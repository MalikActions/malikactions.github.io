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00000000-0000-0000-0000-000000000000}"/>
  <workbookPr codeName="ThisWorkbook"/>
  <mc:AlternateContent xmlns:mc="http://schemas.openxmlformats.org/markup-compatibility/2006">
    <mc:Choice Requires="x15">
      <x15ac:absPath xmlns:x15ac="http://schemas.microsoft.com/office/spreadsheetml/2010/11/ac" url="https://kksky.sharepoint.com/sites/ark-2371-raadhusservice/Delte dokumenter/Betjent/_Rådhusvagten/Vagtplaner/Gamle vagtplaner/"/>
    </mc:Choice>
  </mc:AlternateContent>
  <xr:revisionPtr revIDLastSave="62814" documentId="8_{0A52C0CD-E65D-421A-992F-D0EEB6255974}" xr6:coauthVersionLast="47" xr6:coauthVersionMax="47" xr10:uidLastSave="{180F2359-C58A-486D-A830-A2C3FDFB97AB}"/>
  <bookViews>
    <workbookView xWindow="-120" yWindow="-120" windowWidth="29040" windowHeight="17640" tabRatio="526" firstSheet="15" activeTab="15" xr2:uid="{00000000-000D-0000-FFFF-FFFF00000000}"/>
  </bookViews>
  <sheets>
    <sheet name="Ark7" sheetId="140" state="hidden" r:id="rId1"/>
    <sheet name="Ark8" sheetId="141" state="hidden" r:id="rId2"/>
    <sheet name="Ark9" sheetId="142" state="hidden" r:id="rId3"/>
    <sheet name="Ark4" sheetId="137" state="hidden" r:id="rId4"/>
    <sheet name="Maj 2022" sheetId="153" r:id="rId5"/>
    <sheet name="Juni 2022" sheetId="152" r:id="rId6"/>
    <sheet name="Juli 2022" sheetId="151" r:id="rId7"/>
    <sheet name="August 2022" sheetId="154" r:id="rId8"/>
    <sheet name="September 2022" sheetId="155" r:id="rId9"/>
    <sheet name="Oktober 2022" sheetId="156" r:id="rId10"/>
    <sheet name="November 2022" sheetId="157" r:id="rId11"/>
    <sheet name="December 2022" sheetId="150" r:id="rId12"/>
    <sheet name="Januar 2023" sheetId="161" r:id="rId13"/>
    <sheet name="Februar 2023" sheetId="160" r:id="rId14"/>
    <sheet name="Marts 2023" sheetId="159" r:id="rId15"/>
    <sheet name="April 2023" sheetId="158" r:id="rId16"/>
    <sheet name="Prisliste 2022" sheetId="162" r:id="rId17"/>
    <sheet name="Priser 2023" sheetId="163" r:id="rId18"/>
    <sheet name="GRUSMUS 2022" sheetId="17" r:id="rId19"/>
    <sheet name="Nøgler GL" sheetId="1" r:id="rId20"/>
    <sheet name="Nøgler januar 2000" sheetId="3" r:id="rId21"/>
    <sheet name="Nøgler m. lønkode" sheetId="2" r:id="rId22"/>
    <sheet name="Balanced 2010" sheetId="22" r:id="rId23"/>
    <sheet name="_56F9DC9755BA473782653E2940F9" sheetId="122" state="veryHidden" r:id="rId24"/>
  </sheets>
  <definedNames>
    <definedName name="_56F9DC9755BA473782653E2940F9FormId">"q1iQdodEj0GLbPS0gkPt10GXD2F-bdBPpMbVolKa-XpUNzVVVUs0R1JROE5MS0IwTDFFV0pTNFVJSSQlQCN0PWcu"</definedName>
    <definedName name="_56F9DC9755BA473782653E2940F9ResponseSheet">"Form1"</definedName>
    <definedName name="_56F9DC9755BA473782653E2940F9SourceDocId">"{9cc9521c-7d83-4cb0-89f8-748dca75b3b8}"</definedName>
    <definedName name="NormTid">'Maj 2022'!$AJ$12</definedName>
    <definedName name="_xlnm.Print_Area" localSheetId="20">'Nøgler januar 2000'!$A$1:$W$229</definedName>
    <definedName name="_xlnm.Print_Area" localSheetId="21">'Nøgler m. lønkode'!$A$1:$J$302</definedName>
    <definedName name="_xlnm.Print_Titles" localSheetId="15">'April 2023'!$1:$3</definedName>
    <definedName name="_xlnm.Print_Titles" localSheetId="7">'August 2022'!$1:$3</definedName>
    <definedName name="_xlnm.Print_Titles" localSheetId="22">'Balanced 2010'!$1:$1</definedName>
    <definedName name="_xlnm.Print_Titles" localSheetId="11">'December 2022'!$1:$3</definedName>
    <definedName name="_xlnm.Print_Titles" localSheetId="13">'Februar 2023'!$1:$3</definedName>
    <definedName name="_xlnm.Print_Titles" localSheetId="12">'Januar 2023'!$1:$3</definedName>
    <definedName name="_xlnm.Print_Titles" localSheetId="6">'Juli 2022'!$1:$3</definedName>
    <definedName name="_xlnm.Print_Titles" localSheetId="5">'Juni 2022'!$1:$3</definedName>
    <definedName name="_xlnm.Print_Titles" localSheetId="4">'Maj 2022'!$1:$3</definedName>
    <definedName name="_xlnm.Print_Titles" localSheetId="14">'Marts 2023'!$1:$3</definedName>
    <definedName name="_xlnm.Print_Titles" localSheetId="10">'November 2022'!$1:$3</definedName>
    <definedName name="_xlnm.Print_Titles" localSheetId="9">'Oktober 2022'!$1:$3</definedName>
    <definedName name="_xlnm.Print_Titles" localSheetId="8">'September 2022'!$1:$3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21" i="161" l="1"/>
  <c r="AM61" i="158"/>
  <c r="AM22" i="158"/>
  <c r="AM21" i="158"/>
  <c r="AM21" i="160"/>
  <c r="AL84" i="158"/>
  <c r="AL62" i="158"/>
  <c r="AL63" i="158"/>
  <c r="AL64" i="158"/>
  <c r="AL65" i="158"/>
  <c r="AL66" i="158"/>
  <c r="AL67" i="158"/>
  <c r="AL68" i="158"/>
  <c r="AL69" i="158"/>
  <c r="AL70" i="158"/>
  <c r="AL71" i="158"/>
  <c r="AL72" i="158"/>
  <c r="AL73" i="158"/>
  <c r="AL74" i="158"/>
  <c r="AL75" i="158"/>
  <c r="AM75" i="158"/>
  <c r="AL77" i="158"/>
  <c r="AM77" i="158"/>
  <c r="AL78" i="158"/>
  <c r="AL79" i="158"/>
  <c r="AL80" i="158"/>
  <c r="AM80" i="158"/>
  <c r="AL81" i="158"/>
  <c r="AM81" i="158"/>
  <c r="AL82" i="158"/>
  <c r="AL83" i="158"/>
  <c r="AL85" i="158"/>
  <c r="AL86" i="158"/>
  <c r="AL61" i="158"/>
  <c r="AL21" i="158"/>
  <c r="AJ76" i="158"/>
  <c r="AL76" i="158"/>
  <c r="AJ65" i="158"/>
  <c r="AL22" i="158"/>
  <c r="AL21" i="159"/>
  <c r="AM21" i="159"/>
  <c r="AL64" i="159"/>
  <c r="AM64" i="159"/>
  <c r="AL22" i="159"/>
  <c r="AM22" i="159"/>
  <c r="AL62" i="159"/>
  <c r="AL65" i="159"/>
  <c r="AL66" i="159"/>
  <c r="AL67" i="159"/>
  <c r="AL68" i="159"/>
  <c r="AL69" i="159"/>
  <c r="AL70" i="159"/>
  <c r="AL71" i="159"/>
  <c r="AL72" i="159"/>
  <c r="AL73" i="159"/>
  <c r="AL74" i="159"/>
  <c r="AL75" i="159"/>
  <c r="AL76" i="159"/>
  <c r="AL77" i="159"/>
  <c r="AM77" i="159"/>
  <c r="AL78" i="159"/>
  <c r="AM78" i="159"/>
  <c r="AN78" i="159"/>
  <c r="AL79" i="159"/>
  <c r="AL80" i="159"/>
  <c r="AL81" i="159"/>
  <c r="AL63" i="159"/>
  <c r="AL61" i="159"/>
  <c r="AM61" i="159"/>
  <c r="AL61" i="160"/>
  <c r="AJ65" i="159"/>
  <c r="AL22" i="160"/>
  <c r="AL21" i="160"/>
  <c r="AL20" i="160"/>
  <c r="AN81" i="160"/>
  <c r="AL78" i="160"/>
  <c r="AL77" i="160"/>
  <c r="AL81" i="160"/>
  <c r="AL80" i="160"/>
  <c r="AL79" i="160"/>
  <c r="AL76" i="160"/>
  <c r="AL75" i="160"/>
  <c r="AL74" i="160"/>
  <c r="AL73" i="160"/>
  <c r="AL72" i="160"/>
  <c r="AL71" i="160"/>
  <c r="AL70" i="160"/>
  <c r="AL69" i="160"/>
  <c r="AL68" i="160"/>
  <c r="AL67" i="160"/>
  <c r="AL66" i="160"/>
  <c r="AL64" i="160"/>
  <c r="AL63" i="160"/>
  <c r="AM63" i="160"/>
  <c r="AL62" i="160"/>
  <c r="AM62" i="160"/>
  <c r="AJ81" i="160"/>
  <c r="AJ65" i="160"/>
  <c r="AM22" i="160"/>
  <c r="AN77" i="158"/>
  <c r="AM86" i="158"/>
  <c r="AN86" i="158"/>
  <c r="AM85" i="158"/>
  <c r="AN85" i="158"/>
  <c r="AM83" i="158"/>
  <c r="AN83" i="158"/>
  <c r="AM82" i="158"/>
  <c r="AN81" i="161"/>
  <c r="AM84" i="158"/>
  <c r="AN84" i="158"/>
  <c r="AM79" i="160"/>
  <c r="AN79" i="160"/>
  <c r="AM78" i="160"/>
  <c r="AN78" i="160"/>
  <c r="AM23" i="161"/>
  <c r="AM20" i="161"/>
  <c r="AJ81" i="150"/>
  <c r="AL80" i="161"/>
  <c r="AM80" i="161"/>
  <c r="AN80" i="161"/>
  <c r="AL62" i="161"/>
  <c r="AM75" i="159"/>
  <c r="AM81" i="159"/>
  <c r="AM79" i="158"/>
  <c r="AM76" i="160"/>
  <c r="AN76" i="160"/>
  <c r="AM80" i="160"/>
  <c r="AN80" i="160"/>
  <c r="AL61" i="150"/>
  <c r="AL62" i="150"/>
  <c r="AL63" i="150"/>
  <c r="AL64" i="150"/>
  <c r="AM64" i="150"/>
  <c r="AL65" i="150"/>
  <c r="AL66" i="150"/>
  <c r="AL67" i="150"/>
  <c r="AL68" i="150"/>
  <c r="AL69" i="150"/>
  <c r="AL70" i="150"/>
  <c r="AL71" i="150"/>
  <c r="AL72" i="150"/>
  <c r="AM23" i="150"/>
  <c r="AM20" i="150"/>
  <c r="AN77" i="159"/>
  <c r="AM79" i="159"/>
  <c r="AM81" i="160"/>
  <c r="AM77" i="160"/>
  <c r="AN77" i="160"/>
  <c r="AM75" i="160"/>
  <c r="AM76" i="158"/>
  <c r="AM80" i="159"/>
  <c r="AM76" i="159"/>
  <c r="AM78" i="158"/>
  <c r="AN78" i="158"/>
  <c r="AM21" i="156"/>
  <c r="AL21" i="154"/>
  <c r="AL22" i="154"/>
  <c r="AN21" i="153"/>
  <c r="AL21" i="157"/>
  <c r="AM21" i="157"/>
  <c r="AL22" i="157"/>
  <c r="AM22" i="157"/>
  <c r="AL61" i="157"/>
  <c r="AL62" i="157"/>
  <c r="AL63" i="157"/>
  <c r="AL64" i="157"/>
  <c r="AM64" i="157"/>
  <c r="AL65" i="157"/>
  <c r="AL66" i="157"/>
  <c r="AL67" i="157"/>
  <c r="AL68" i="157"/>
  <c r="AL69" i="157"/>
  <c r="AL70" i="157"/>
  <c r="AL71" i="157"/>
  <c r="AL72" i="157"/>
  <c r="AL73" i="157"/>
  <c r="AL74" i="157"/>
  <c r="AL75" i="157"/>
  <c r="AL61" i="156"/>
  <c r="AL62" i="156"/>
  <c r="AL63" i="156"/>
  <c r="AL64" i="156"/>
  <c r="AL65" i="156"/>
  <c r="AL66" i="156"/>
  <c r="AL67" i="156"/>
  <c r="AL68" i="156"/>
  <c r="AL69" i="156"/>
  <c r="AL70" i="156"/>
  <c r="AL71" i="156"/>
  <c r="AL72" i="156"/>
  <c r="AL21" i="156"/>
  <c r="AL22" i="156"/>
  <c r="AM22" i="156"/>
  <c r="AL21" i="155"/>
  <c r="AL22" i="155"/>
  <c r="AL61" i="155"/>
  <c r="AL62" i="155"/>
  <c r="AL63" i="155"/>
  <c r="AL64" i="155"/>
  <c r="AL65" i="155"/>
  <c r="AL66" i="155"/>
  <c r="AL67" i="155"/>
  <c r="AL68" i="155"/>
  <c r="AL69" i="155"/>
  <c r="AL70" i="155"/>
  <c r="AL71" i="155"/>
  <c r="AL72" i="155"/>
  <c r="AL61" i="154"/>
  <c r="AL62" i="154"/>
  <c r="AL63" i="154"/>
  <c r="AL64" i="154"/>
  <c r="AL65" i="154"/>
  <c r="AL66" i="154"/>
  <c r="AL67" i="154"/>
  <c r="AL68" i="154"/>
  <c r="AL69" i="154"/>
  <c r="AL70" i="154"/>
  <c r="AL71" i="154"/>
  <c r="AL72" i="154"/>
  <c r="AL73" i="154"/>
  <c r="AJ72" i="154"/>
  <c r="AL74" i="154"/>
  <c r="AL22" i="151"/>
  <c r="AM22" i="151"/>
  <c r="AL21" i="151"/>
  <c r="AM21" i="151"/>
  <c r="AL61" i="151"/>
  <c r="AM61" i="151"/>
  <c r="AL62" i="151"/>
  <c r="AM23" i="151"/>
  <c r="AM20" i="151"/>
  <c r="AL22" i="152"/>
  <c r="AM22" i="152"/>
  <c r="AL21" i="152"/>
  <c r="AM21" i="152"/>
  <c r="AL61" i="152"/>
  <c r="AL63" i="151"/>
  <c r="AL64" i="151"/>
  <c r="AL65" i="151"/>
  <c r="AL66" i="151"/>
  <c r="AL67" i="151"/>
  <c r="AL68" i="151"/>
  <c r="AL69" i="151"/>
  <c r="AL70" i="151"/>
  <c r="AL71" i="151"/>
  <c r="AL72" i="151"/>
  <c r="AL73" i="151"/>
  <c r="AL62" i="152"/>
  <c r="AL63" i="152"/>
  <c r="AL64" i="152"/>
  <c r="AL65" i="152"/>
  <c r="AL66" i="152"/>
  <c r="AL67" i="152"/>
  <c r="AL68" i="152"/>
  <c r="AL69" i="152"/>
  <c r="AL70" i="152"/>
  <c r="AL71" i="152"/>
  <c r="AL72" i="152"/>
  <c r="AL73" i="152"/>
  <c r="AJ72" i="152"/>
  <c r="AL72" i="153"/>
  <c r="AL71" i="153"/>
  <c r="AL70" i="153"/>
  <c r="AL69" i="153"/>
  <c r="AL68" i="153"/>
  <c r="AL67" i="153"/>
  <c r="AL66" i="153"/>
  <c r="AL65" i="153"/>
  <c r="AL64" i="153"/>
  <c r="AL63" i="153"/>
  <c r="AL62" i="153"/>
  <c r="AL61" i="153"/>
  <c r="AM61" i="153"/>
  <c r="AL21" i="153"/>
  <c r="AM21" i="153"/>
  <c r="AL22" i="153"/>
  <c r="AM22" i="153"/>
  <c r="AL75" i="161"/>
  <c r="AL76" i="161"/>
  <c r="AL77" i="161"/>
  <c r="AL78" i="161"/>
  <c r="AL79" i="161"/>
  <c r="AJ81" i="161"/>
  <c r="AL81" i="161"/>
  <c r="AJ82" i="161"/>
  <c r="AL82" i="161"/>
  <c r="AL83" i="161"/>
  <c r="AL84" i="161"/>
  <c r="AJ85" i="161"/>
  <c r="AL85" i="161"/>
  <c r="AJ86" i="161"/>
  <c r="AL86" i="161"/>
  <c r="AJ87" i="161"/>
  <c r="AL87" i="161"/>
  <c r="AJ88" i="161"/>
  <c r="AL88" i="161"/>
  <c r="AJ89" i="161"/>
  <c r="AL89" i="161"/>
  <c r="AJ90" i="161"/>
  <c r="AL90" i="161"/>
  <c r="AJ91" i="161"/>
  <c r="AL91" i="161"/>
  <c r="AN83" i="150"/>
  <c r="AN84" i="150"/>
  <c r="AN86" i="150"/>
  <c r="AN87" i="150"/>
  <c r="AN88" i="150"/>
  <c r="AN89" i="150"/>
  <c r="AN90" i="150"/>
  <c r="AL79" i="150"/>
  <c r="AL80" i="150"/>
  <c r="AM90" i="161"/>
  <c r="AN90" i="161"/>
  <c r="AM88" i="161"/>
  <c r="AN88" i="161"/>
  <c r="AM86" i="161"/>
  <c r="AN86" i="161"/>
  <c r="AM84" i="161"/>
  <c r="AN84" i="161"/>
  <c r="AM82" i="161"/>
  <c r="AN82" i="161"/>
  <c r="AN81" i="159"/>
  <c r="AN81" i="158"/>
  <c r="AM79" i="161"/>
  <c r="AN79" i="161"/>
  <c r="AN79" i="159"/>
  <c r="AN80" i="158"/>
  <c r="AM77" i="161"/>
  <c r="AN77" i="161"/>
  <c r="AN76" i="159"/>
  <c r="AM91" i="161"/>
  <c r="AN91" i="161"/>
  <c r="AM89" i="161"/>
  <c r="AN89" i="161"/>
  <c r="AM87" i="161"/>
  <c r="AN87" i="161"/>
  <c r="AM85" i="161"/>
  <c r="AN85" i="161"/>
  <c r="AM83" i="161"/>
  <c r="AN83" i="161"/>
  <c r="AM81" i="161"/>
  <c r="AN80" i="159"/>
  <c r="AN82" i="158"/>
  <c r="AM78" i="161"/>
  <c r="AN78" i="161"/>
  <c r="AN79" i="158"/>
  <c r="AM76" i="161"/>
  <c r="AN76" i="161"/>
  <c r="AN76" i="158"/>
  <c r="AM75" i="161"/>
  <c r="AN75" i="161"/>
  <c r="AN75" i="160"/>
  <c r="AN75" i="159"/>
  <c r="AN75" i="158"/>
  <c r="AM80" i="150"/>
  <c r="AM79" i="150"/>
  <c r="AN79" i="150"/>
  <c r="AJ107" i="156"/>
  <c r="AJ106" i="156"/>
  <c r="AL106" i="156"/>
  <c r="AM106" i="156"/>
  <c r="AJ105" i="156"/>
  <c r="AJ104" i="156"/>
  <c r="AL104" i="156"/>
  <c r="AJ103" i="156"/>
  <c r="AL103" i="156"/>
  <c r="AM103" i="156"/>
  <c r="AJ105" i="157"/>
  <c r="AL105" i="157"/>
  <c r="AJ104" i="157"/>
  <c r="AL104" i="157"/>
  <c r="AM104" i="157"/>
  <c r="AJ103" i="157"/>
  <c r="AJ102" i="157"/>
  <c r="AL102" i="157"/>
  <c r="AJ101" i="157"/>
  <c r="AL101" i="157"/>
  <c r="AM101" i="157"/>
  <c r="AJ111" i="150"/>
  <c r="AL111" i="150"/>
  <c r="AJ110" i="150"/>
  <c r="AL110" i="150"/>
  <c r="AM110" i="150"/>
  <c r="AJ109" i="150"/>
  <c r="AJ108" i="150"/>
  <c r="AL108" i="150"/>
  <c r="AJ107" i="150"/>
  <c r="AL107" i="150"/>
  <c r="AM107" i="150"/>
  <c r="AJ111" i="161"/>
  <c r="AL111" i="161"/>
  <c r="AJ110" i="161"/>
  <c r="AL110" i="161"/>
  <c r="AM110" i="161"/>
  <c r="AN110" i="161"/>
  <c r="AJ109" i="161"/>
  <c r="AJ108" i="161"/>
  <c r="AL108" i="161"/>
  <c r="AJ107" i="161"/>
  <c r="AL107" i="161"/>
  <c r="AM107" i="161"/>
  <c r="AN107" i="161"/>
  <c r="AJ111" i="160"/>
  <c r="AL111" i="160"/>
  <c r="AJ110" i="160"/>
  <c r="AL110" i="160"/>
  <c r="AM110" i="160"/>
  <c r="AJ109" i="160"/>
  <c r="AJ108" i="160"/>
  <c r="AL108" i="160"/>
  <c r="AJ107" i="160"/>
  <c r="AL107" i="160"/>
  <c r="AM107" i="160"/>
  <c r="AJ109" i="159"/>
  <c r="AJ108" i="159"/>
  <c r="AL108" i="159"/>
  <c r="AM108" i="159"/>
  <c r="AJ107" i="159"/>
  <c r="AJ106" i="159"/>
  <c r="AJ105" i="159"/>
  <c r="AM105" i="159"/>
  <c r="AJ115" i="158"/>
  <c r="AJ114" i="158"/>
  <c r="AL114" i="158"/>
  <c r="AM114" i="158"/>
  <c r="AJ113" i="158"/>
  <c r="AJ112" i="158"/>
  <c r="AJ111" i="158"/>
  <c r="AM111" i="158"/>
  <c r="AJ110" i="155"/>
  <c r="AJ109" i="155"/>
  <c r="AL109" i="155"/>
  <c r="AJ108" i="155"/>
  <c r="AL108" i="155"/>
  <c r="AM108" i="155"/>
  <c r="AN108" i="155"/>
  <c r="AJ107" i="155"/>
  <c r="AL106" i="155"/>
  <c r="AJ106" i="155"/>
  <c r="AJ105" i="155"/>
  <c r="AL105" i="155"/>
  <c r="AM105" i="155"/>
  <c r="AN105" i="155"/>
  <c r="AJ76" i="156"/>
  <c r="AL76" i="156"/>
  <c r="AM76" i="156"/>
  <c r="AJ77" i="156"/>
  <c r="AL77" i="156"/>
  <c r="AM77" i="156"/>
  <c r="AJ78" i="156"/>
  <c r="AL78" i="156"/>
  <c r="AJ79" i="156"/>
  <c r="AL79" i="156"/>
  <c r="AJ80" i="156"/>
  <c r="AL80" i="156"/>
  <c r="AJ81" i="156"/>
  <c r="AL81" i="156"/>
  <c r="AJ82" i="156"/>
  <c r="AL82" i="156"/>
  <c r="AJ83" i="156"/>
  <c r="AL83" i="156"/>
  <c r="AJ84" i="156"/>
  <c r="AL84" i="156"/>
  <c r="AJ85" i="156"/>
  <c r="AJ86" i="156"/>
  <c r="AL86" i="156"/>
  <c r="AM86" i="156"/>
  <c r="AJ87" i="156"/>
  <c r="AL87" i="156"/>
  <c r="AJ88" i="156"/>
  <c r="AL88" i="156"/>
  <c r="AJ89" i="156"/>
  <c r="AL89" i="156"/>
  <c r="AJ76" i="157"/>
  <c r="AL76" i="157"/>
  <c r="AL77" i="157"/>
  <c r="AL78" i="157"/>
  <c r="AL80" i="157"/>
  <c r="AM80" i="157"/>
  <c r="AJ81" i="157"/>
  <c r="AL81" i="157"/>
  <c r="AJ82" i="157"/>
  <c r="AL82" i="157"/>
  <c r="AJ83" i="157"/>
  <c r="AL83" i="157"/>
  <c r="AJ84" i="157"/>
  <c r="AL84" i="157"/>
  <c r="AJ85" i="157"/>
  <c r="AL85" i="157"/>
  <c r="AL76" i="150"/>
  <c r="AL77" i="150"/>
  <c r="AL78" i="150"/>
  <c r="AM78" i="150"/>
  <c r="AL81" i="150"/>
  <c r="AJ82" i="150"/>
  <c r="AL82" i="150"/>
  <c r="AJ83" i="150"/>
  <c r="AJ84" i="150"/>
  <c r="AL84" i="150"/>
  <c r="AJ85" i="150"/>
  <c r="AL85" i="150"/>
  <c r="AJ86" i="150"/>
  <c r="AL86" i="150"/>
  <c r="AJ87" i="150"/>
  <c r="AL87" i="150"/>
  <c r="AJ88" i="150"/>
  <c r="AL88" i="150"/>
  <c r="AJ89" i="150"/>
  <c r="AL89" i="150"/>
  <c r="AJ90" i="150"/>
  <c r="AL90" i="150"/>
  <c r="AJ91" i="150"/>
  <c r="AL91" i="150"/>
  <c r="AM82" i="160"/>
  <c r="AM83" i="160"/>
  <c r="AM84" i="160"/>
  <c r="AM85" i="160"/>
  <c r="AM86" i="160"/>
  <c r="AM87" i="160"/>
  <c r="AM88" i="160"/>
  <c r="AM89" i="160"/>
  <c r="AM90" i="160"/>
  <c r="AM91" i="160"/>
  <c r="AM82" i="159"/>
  <c r="AM83" i="159"/>
  <c r="AM84" i="159"/>
  <c r="AM85" i="159"/>
  <c r="AM86" i="159"/>
  <c r="AM87" i="159"/>
  <c r="AM88" i="159"/>
  <c r="AM89" i="159"/>
  <c r="AM87" i="158"/>
  <c r="AM88" i="158"/>
  <c r="AM89" i="158"/>
  <c r="AM90" i="158"/>
  <c r="AM91" i="158"/>
  <c r="AM92" i="158"/>
  <c r="AM93" i="158"/>
  <c r="AM94" i="158"/>
  <c r="AJ76" i="155"/>
  <c r="AL76" i="155"/>
  <c r="AJ77" i="155"/>
  <c r="AL77" i="155"/>
  <c r="AM77" i="155"/>
  <c r="AJ78" i="155"/>
  <c r="AL78" i="155"/>
  <c r="AJ79" i="155"/>
  <c r="AL79" i="155"/>
  <c r="AJ80" i="155"/>
  <c r="AL80" i="155"/>
  <c r="AM80" i="155"/>
  <c r="AN80" i="155"/>
  <c r="AJ81" i="155"/>
  <c r="AL81" i="155"/>
  <c r="AJ82" i="155"/>
  <c r="AL82" i="155"/>
  <c r="AJ83" i="155"/>
  <c r="AM83" i="155"/>
  <c r="AN83" i="155"/>
  <c r="AL83" i="155"/>
  <c r="AJ84" i="155"/>
  <c r="AL84" i="155"/>
  <c r="AJ85" i="155"/>
  <c r="AL85" i="155"/>
  <c r="AJ86" i="155"/>
  <c r="AL86" i="155"/>
  <c r="AJ87" i="155"/>
  <c r="AL87" i="155"/>
  <c r="AJ88" i="155"/>
  <c r="AL88" i="155"/>
  <c r="AJ89" i="155"/>
  <c r="AL89" i="155"/>
  <c r="AM89" i="155"/>
  <c r="AN89" i="155"/>
  <c r="AJ90" i="155"/>
  <c r="AL90" i="155"/>
  <c r="AJ91" i="155"/>
  <c r="AL91" i="155"/>
  <c r="AM77" i="154"/>
  <c r="AM78" i="154"/>
  <c r="AM79" i="151"/>
  <c r="AM62" i="152"/>
  <c r="AM64" i="152"/>
  <c r="AM65" i="152"/>
  <c r="AM66" i="152"/>
  <c r="AM67" i="152"/>
  <c r="AM68" i="152"/>
  <c r="AM69" i="152"/>
  <c r="AM70" i="152"/>
  <c r="AM71" i="152"/>
  <c r="AM72" i="152"/>
  <c r="AM73" i="152"/>
  <c r="AM74" i="152"/>
  <c r="AM75" i="152"/>
  <c r="AM76" i="152"/>
  <c r="AM77" i="152"/>
  <c r="AM78" i="152"/>
  <c r="AM79" i="152"/>
  <c r="AM61" i="152"/>
  <c r="AM63" i="153"/>
  <c r="AM64" i="153"/>
  <c r="AM65" i="153"/>
  <c r="AM66" i="153"/>
  <c r="AM67" i="153"/>
  <c r="AM68" i="153"/>
  <c r="AM69" i="153"/>
  <c r="AM70" i="153"/>
  <c r="AM71" i="153"/>
  <c r="AM72" i="153"/>
  <c r="AM83" i="156"/>
  <c r="AN83" i="156"/>
  <c r="AM89" i="156"/>
  <c r="AN89" i="156"/>
  <c r="AM84" i="155"/>
  <c r="AN84" i="155"/>
  <c r="AN110" i="160"/>
  <c r="AN108" i="159"/>
  <c r="AN114" i="158"/>
  <c r="AM106" i="155"/>
  <c r="AN106" i="155"/>
  <c r="AN104" i="156"/>
  <c r="AN102" i="157"/>
  <c r="AN108" i="150"/>
  <c r="AM81" i="155"/>
  <c r="AN81" i="155"/>
  <c r="AM86" i="155"/>
  <c r="AN86" i="155"/>
  <c r="AN86" i="156"/>
  <c r="AN103" i="156"/>
  <c r="AM109" i="155"/>
  <c r="AN109" i="155"/>
  <c r="AM87" i="155"/>
  <c r="AN87" i="155"/>
  <c r="AM90" i="155"/>
  <c r="AN90" i="155"/>
  <c r="AM78" i="155"/>
  <c r="AM89" i="150"/>
  <c r="AL83" i="150"/>
  <c r="AM83" i="150"/>
  <c r="AM84" i="157"/>
  <c r="AM106" i="159"/>
  <c r="AM111" i="160"/>
  <c r="AM108" i="150"/>
  <c r="AM105" i="157"/>
  <c r="AM115" i="158"/>
  <c r="AM108" i="160"/>
  <c r="AM111" i="161"/>
  <c r="AN111" i="161"/>
  <c r="AM102" i="157"/>
  <c r="AM86" i="150"/>
  <c r="AM76" i="157"/>
  <c r="AM80" i="156"/>
  <c r="AN80" i="156"/>
  <c r="AL107" i="156"/>
  <c r="AM107" i="156"/>
  <c r="AN107" i="156"/>
  <c r="AM112" i="158"/>
  <c r="AM109" i="159"/>
  <c r="AM108" i="161"/>
  <c r="AN108" i="161"/>
  <c r="AM111" i="150"/>
  <c r="AM104" i="156"/>
  <c r="AM110" i="155"/>
  <c r="AN110" i="155"/>
  <c r="AN107" i="160"/>
  <c r="AN105" i="159"/>
  <c r="AN111" i="158"/>
  <c r="AN101" i="157"/>
  <c r="AN107" i="150"/>
  <c r="AN106" i="156"/>
  <c r="AN104" i="157"/>
  <c r="AN110" i="150"/>
  <c r="AL107" i="155"/>
  <c r="AM107" i="155"/>
  <c r="AN107" i="155"/>
  <c r="AL110" i="155"/>
  <c r="AL113" i="158"/>
  <c r="AM113" i="158"/>
  <c r="AL107" i="159"/>
  <c r="AM107" i="159"/>
  <c r="AL109" i="160"/>
  <c r="AM109" i="160"/>
  <c r="AL109" i="161"/>
  <c r="AM109" i="161"/>
  <c r="AN109" i="161"/>
  <c r="AL109" i="150"/>
  <c r="AM109" i="150"/>
  <c r="AL103" i="157"/>
  <c r="AM103" i="157"/>
  <c r="AL105" i="156"/>
  <c r="AM105" i="156"/>
  <c r="AN105" i="156"/>
  <c r="AN77" i="156"/>
  <c r="AM90" i="150"/>
  <c r="AM87" i="150"/>
  <c r="AM84" i="150"/>
  <c r="AM81" i="150"/>
  <c r="AM76" i="150"/>
  <c r="AM85" i="157"/>
  <c r="AM82" i="157"/>
  <c r="AN82" i="157"/>
  <c r="AM81" i="157"/>
  <c r="AN81" i="157"/>
  <c r="AM77" i="157"/>
  <c r="AM87" i="156"/>
  <c r="AN87" i="156"/>
  <c r="AM84" i="156"/>
  <c r="AN84" i="156"/>
  <c r="AM81" i="156"/>
  <c r="AM78" i="156"/>
  <c r="AN78" i="156"/>
  <c r="AM91" i="155"/>
  <c r="AN91" i="155"/>
  <c r="AM82" i="155"/>
  <c r="AN82" i="155"/>
  <c r="AM79" i="155"/>
  <c r="AN79" i="155"/>
  <c r="AM76" i="155"/>
  <c r="AN76" i="156"/>
  <c r="AM91" i="150"/>
  <c r="AM88" i="150"/>
  <c r="AM85" i="150"/>
  <c r="AM82" i="150"/>
  <c r="AM77" i="150"/>
  <c r="AM83" i="157"/>
  <c r="AM78" i="157"/>
  <c r="AN78" i="157"/>
  <c r="AN78" i="150"/>
  <c r="AM88" i="156"/>
  <c r="AN88" i="156"/>
  <c r="AM85" i="156"/>
  <c r="AM82" i="156"/>
  <c r="AM79" i="156"/>
  <c r="AM88" i="155"/>
  <c r="AN88" i="155"/>
  <c r="AM85" i="155"/>
  <c r="AN85" i="155"/>
  <c r="E123" i="152"/>
  <c r="AJ23" i="158"/>
  <c r="AL23" i="158"/>
  <c r="AJ20" i="158"/>
  <c r="AJ23" i="159"/>
  <c r="AL23" i="159"/>
  <c r="AJ20" i="159"/>
  <c r="AJ23" i="160"/>
  <c r="AL23" i="160"/>
  <c r="AJ20" i="160"/>
  <c r="AL66" i="161"/>
  <c r="AL69" i="161"/>
  <c r="AL72" i="161"/>
  <c r="AL21" i="161"/>
  <c r="AL22" i="161"/>
  <c r="AM22" i="161"/>
  <c r="AJ23" i="161"/>
  <c r="AL23" i="161"/>
  <c r="AJ20" i="161"/>
  <c r="AL73" i="150"/>
  <c r="AL74" i="150"/>
  <c r="AL75" i="150"/>
  <c r="AL21" i="150"/>
  <c r="AM21" i="150"/>
  <c r="AL22" i="150"/>
  <c r="AM22" i="150"/>
  <c r="AJ23" i="150"/>
  <c r="AL23" i="150"/>
  <c r="AJ20" i="150"/>
  <c r="AJ23" i="157"/>
  <c r="AL23" i="157"/>
  <c r="AJ20" i="157"/>
  <c r="AJ73" i="156"/>
  <c r="AL73" i="156"/>
  <c r="AJ74" i="156"/>
  <c r="AL74" i="156"/>
  <c r="AJ75" i="156"/>
  <c r="AL75" i="156"/>
  <c r="AJ23" i="156"/>
  <c r="AL23" i="156"/>
  <c r="AJ20" i="156"/>
  <c r="AJ73" i="155"/>
  <c r="AJ74" i="155"/>
  <c r="AJ75" i="155"/>
  <c r="AJ23" i="155"/>
  <c r="AL23" i="155"/>
  <c r="AJ20" i="155"/>
  <c r="AJ74" i="154"/>
  <c r="AJ75" i="154"/>
  <c r="AL75" i="154"/>
  <c r="AJ76" i="154"/>
  <c r="AL77" i="154"/>
  <c r="AN77" i="154"/>
  <c r="AN78" i="154"/>
  <c r="AL78" i="154"/>
  <c r="AJ23" i="154"/>
  <c r="AL23" i="154"/>
  <c r="AJ20" i="154"/>
  <c r="AJ74" i="151"/>
  <c r="AJ75" i="151"/>
  <c r="AL75" i="151"/>
  <c r="AJ76" i="151"/>
  <c r="AJ77" i="151"/>
  <c r="AL77" i="151"/>
  <c r="AJ78" i="151"/>
  <c r="AJ23" i="151"/>
  <c r="AJ20" i="151"/>
  <c r="AJ74" i="152"/>
  <c r="AL74" i="152"/>
  <c r="AJ75" i="152"/>
  <c r="AL75" i="152"/>
  <c r="AN75" i="152"/>
  <c r="AJ76" i="152"/>
  <c r="AL76" i="152"/>
  <c r="AN76" i="152"/>
  <c r="AJ77" i="152"/>
  <c r="AL77" i="152"/>
  <c r="AJ78" i="152"/>
  <c r="AL78" i="152"/>
  <c r="AN78" i="152"/>
  <c r="AJ79" i="152"/>
  <c r="AL79" i="152"/>
  <c r="AN79" i="152"/>
  <c r="AN21" i="152"/>
  <c r="AJ23" i="152"/>
  <c r="AM23" i="152"/>
  <c r="AN23" i="152"/>
  <c r="AL23" i="152"/>
  <c r="AM20" i="152"/>
  <c r="AJ20" i="152"/>
  <c r="AM62" i="153"/>
  <c r="AN73" i="152"/>
  <c r="AM23" i="153"/>
  <c r="AM20" i="153"/>
  <c r="AJ23" i="153"/>
  <c r="AJ20" i="153"/>
  <c r="AN21" i="161"/>
  <c r="AN111" i="160"/>
  <c r="AN109" i="159"/>
  <c r="AN115" i="158"/>
  <c r="AN81" i="156"/>
  <c r="AN105" i="157"/>
  <c r="AN111" i="150"/>
  <c r="AN85" i="157"/>
  <c r="AN82" i="150"/>
  <c r="AN76" i="157"/>
  <c r="AN76" i="150"/>
  <c r="AN108" i="160"/>
  <c r="AN106" i="159"/>
  <c r="AN112" i="158"/>
  <c r="AN77" i="157"/>
  <c r="AN77" i="150"/>
  <c r="AN103" i="157"/>
  <c r="AN109" i="150"/>
  <c r="AN109" i="160"/>
  <c r="AN107" i="159"/>
  <c r="AN113" i="158"/>
  <c r="AN79" i="156"/>
  <c r="AN80" i="157"/>
  <c r="AN82" i="156"/>
  <c r="AN83" i="157"/>
  <c r="AN85" i="156"/>
  <c r="AN84" i="157"/>
  <c r="AN85" i="150"/>
  <c r="AN91" i="150"/>
  <c r="AM21" i="155"/>
  <c r="AM22" i="154"/>
  <c r="AM68" i="160"/>
  <c r="AM70" i="159"/>
  <c r="AM62" i="155"/>
  <c r="AL75" i="155"/>
  <c r="AM75" i="155"/>
  <c r="AN75" i="155"/>
  <c r="AM67" i="155"/>
  <c r="AM71" i="160"/>
  <c r="AM73" i="159"/>
  <c r="AM67" i="159"/>
  <c r="AM64" i="158"/>
  <c r="AL76" i="154"/>
  <c r="AM76" i="154"/>
  <c r="AM74" i="154"/>
  <c r="AM69" i="154"/>
  <c r="AM66" i="154"/>
  <c r="AM23" i="155"/>
  <c r="AL74" i="155"/>
  <c r="AM74" i="155"/>
  <c r="AN74" i="155"/>
  <c r="AM70" i="155"/>
  <c r="AM66" i="155"/>
  <c r="AM62" i="156"/>
  <c r="AM75" i="156"/>
  <c r="AM73" i="156"/>
  <c r="AM71" i="156"/>
  <c r="AM69" i="156"/>
  <c r="AM67" i="156"/>
  <c r="AM65" i="156"/>
  <c r="AM23" i="157"/>
  <c r="AM62" i="157"/>
  <c r="AM75" i="157"/>
  <c r="AM73" i="157"/>
  <c r="AM71" i="157"/>
  <c r="AM69" i="157"/>
  <c r="AM62" i="150"/>
  <c r="AM75" i="150"/>
  <c r="AM73" i="150"/>
  <c r="AM71" i="150"/>
  <c r="AM69" i="150"/>
  <c r="AM67" i="150"/>
  <c r="AM72" i="161"/>
  <c r="AN72" i="161"/>
  <c r="AM69" i="161"/>
  <c r="AN69" i="161"/>
  <c r="AM66" i="161"/>
  <c r="AN66" i="161"/>
  <c r="AM73" i="160"/>
  <c r="AM70" i="160"/>
  <c r="AM67" i="160"/>
  <c r="AM23" i="159"/>
  <c r="AM72" i="158"/>
  <c r="AM69" i="158"/>
  <c r="AM66" i="158"/>
  <c r="AM71" i="155"/>
  <c r="AM65" i="150"/>
  <c r="AM74" i="160"/>
  <c r="AM23" i="154"/>
  <c r="AM21" i="154"/>
  <c r="AM62" i="154"/>
  <c r="AM73" i="154"/>
  <c r="AM71" i="154"/>
  <c r="AM68" i="154"/>
  <c r="AM65" i="154"/>
  <c r="AL73" i="155"/>
  <c r="AM73" i="155"/>
  <c r="AM69" i="155"/>
  <c r="AM65" i="155"/>
  <c r="AM68" i="157"/>
  <c r="AM66" i="157"/>
  <c r="AN22" i="161"/>
  <c r="AN22" i="160"/>
  <c r="AN22" i="159"/>
  <c r="AN22" i="158"/>
  <c r="AL74" i="161"/>
  <c r="AM74" i="161"/>
  <c r="AL71" i="161"/>
  <c r="AL68" i="161"/>
  <c r="AM68" i="161"/>
  <c r="AL65" i="161"/>
  <c r="AM61" i="160"/>
  <c r="AM64" i="160"/>
  <c r="AM65" i="159"/>
  <c r="AM62" i="158"/>
  <c r="AM74" i="158"/>
  <c r="AM71" i="158"/>
  <c r="AM68" i="158"/>
  <c r="AM65" i="158"/>
  <c r="AM75" i="154"/>
  <c r="AM72" i="154"/>
  <c r="AM70" i="154"/>
  <c r="AM67" i="154"/>
  <c r="AM22" i="155"/>
  <c r="AM72" i="155"/>
  <c r="AM68" i="155"/>
  <c r="AM74" i="156"/>
  <c r="AM72" i="156"/>
  <c r="AM70" i="156"/>
  <c r="AM68" i="156"/>
  <c r="AM66" i="156"/>
  <c r="AM74" i="157"/>
  <c r="AM72" i="157"/>
  <c r="AM70" i="157"/>
  <c r="AM67" i="157"/>
  <c r="AM65" i="157"/>
  <c r="AM74" i="150"/>
  <c r="AM72" i="150"/>
  <c r="AM70" i="150"/>
  <c r="AM68" i="150"/>
  <c r="AM66" i="150"/>
  <c r="AM62" i="161"/>
  <c r="AL73" i="161"/>
  <c r="AL70" i="161"/>
  <c r="AM70" i="161"/>
  <c r="AL67" i="161"/>
  <c r="AM23" i="160"/>
  <c r="AM72" i="160"/>
  <c r="AM69" i="160"/>
  <c r="AM66" i="160"/>
  <c r="AM62" i="159"/>
  <c r="AM74" i="159"/>
  <c r="AM71" i="159"/>
  <c r="AM68" i="159"/>
  <c r="AM73" i="158"/>
  <c r="AM70" i="158"/>
  <c r="AM67" i="158"/>
  <c r="AM62" i="151"/>
  <c r="AM65" i="151"/>
  <c r="AM67" i="151"/>
  <c r="AM77" i="151"/>
  <c r="AM75" i="151"/>
  <c r="AN75" i="151"/>
  <c r="AM73" i="151"/>
  <c r="AN73" i="151"/>
  <c r="AM71" i="151"/>
  <c r="AM69" i="151"/>
  <c r="AL23" i="151"/>
  <c r="AN23" i="151"/>
  <c r="AL78" i="151"/>
  <c r="AM78" i="151"/>
  <c r="AN78" i="151"/>
  <c r="AL76" i="151"/>
  <c r="AM76" i="151"/>
  <c r="AN76" i="151"/>
  <c r="AL74" i="151"/>
  <c r="AM74" i="151"/>
  <c r="AM72" i="151"/>
  <c r="AM70" i="151"/>
  <c r="AM68" i="151"/>
  <c r="AM66" i="151"/>
  <c r="AM63" i="158"/>
  <c r="AM23" i="158"/>
  <c r="AM72" i="159"/>
  <c r="AM69" i="159"/>
  <c r="AM66" i="159"/>
  <c r="AM63" i="159"/>
  <c r="AL61" i="161"/>
  <c r="AL64" i="161"/>
  <c r="AM64" i="161"/>
  <c r="AN64" i="161"/>
  <c r="AL63" i="161"/>
  <c r="AN23" i="161"/>
  <c r="AM61" i="150"/>
  <c r="AM63" i="150"/>
  <c r="AM61" i="157"/>
  <c r="AM63" i="157"/>
  <c r="AM61" i="156"/>
  <c r="AM64" i="156"/>
  <c r="AM63" i="156"/>
  <c r="AM23" i="156"/>
  <c r="AM61" i="155"/>
  <c r="AM64" i="155"/>
  <c r="AM63" i="155"/>
  <c r="AM61" i="154"/>
  <c r="AM64" i="154"/>
  <c r="AM63" i="154"/>
  <c r="AM64" i="151"/>
  <c r="AM63" i="151"/>
  <c r="AN77" i="152"/>
  <c r="AM63" i="152"/>
  <c r="AN21" i="160"/>
  <c r="AN21" i="159"/>
  <c r="AN21" i="158"/>
  <c r="AM63" i="161"/>
  <c r="AN63" i="161"/>
  <c r="AN63" i="160"/>
  <c r="AN63" i="159"/>
  <c r="AN63" i="158"/>
  <c r="AN81" i="150"/>
  <c r="AN80" i="150"/>
  <c r="AN77" i="151"/>
  <c r="AN23" i="154"/>
  <c r="AN23" i="155"/>
  <c r="AN23" i="156"/>
  <c r="AN23" i="157"/>
  <c r="AN23" i="150"/>
  <c r="AN66" i="160"/>
  <c r="AN66" i="159"/>
  <c r="AN66" i="158"/>
  <c r="AN75" i="154"/>
  <c r="AN75" i="156"/>
  <c r="AN75" i="157"/>
  <c r="AN75" i="150"/>
  <c r="AN76" i="154"/>
  <c r="AN69" i="160"/>
  <c r="AN69" i="159"/>
  <c r="AN69" i="158"/>
  <c r="AN64" i="160"/>
  <c r="AN64" i="159"/>
  <c r="AN64" i="158"/>
  <c r="AN72" i="160"/>
  <c r="AN72" i="159"/>
  <c r="AN72" i="158"/>
  <c r="AN23" i="160"/>
  <c r="AN23" i="159"/>
  <c r="AN23" i="158"/>
  <c r="AN62" i="161"/>
  <c r="AN62" i="160"/>
  <c r="AN62" i="159"/>
  <c r="AN62" i="158"/>
  <c r="AN68" i="161"/>
  <c r="AN68" i="160"/>
  <c r="AN68" i="159"/>
  <c r="AN68" i="158"/>
  <c r="AN70" i="161"/>
  <c r="AN70" i="160"/>
  <c r="AN70" i="159"/>
  <c r="AN70" i="158"/>
  <c r="AN74" i="161"/>
  <c r="AN74" i="160"/>
  <c r="AN74" i="159"/>
  <c r="AN74" i="158"/>
  <c r="AN73" i="154"/>
  <c r="AM67" i="161"/>
  <c r="AN67" i="161"/>
  <c r="AN67" i="160"/>
  <c r="AN67" i="159"/>
  <c r="AN67" i="158"/>
  <c r="AM73" i="161"/>
  <c r="AN73" i="161"/>
  <c r="AN73" i="160"/>
  <c r="AN73" i="159"/>
  <c r="AN73" i="158"/>
  <c r="AM65" i="161"/>
  <c r="AN65" i="161"/>
  <c r="AM71" i="161"/>
  <c r="AN71" i="161"/>
  <c r="AN71" i="160"/>
  <c r="AN71" i="159"/>
  <c r="AN71" i="158"/>
  <c r="AM61" i="161"/>
  <c r="AN61" i="161"/>
  <c r="AN61" i="160"/>
  <c r="AN74" i="152"/>
  <c r="AN74" i="151"/>
  <c r="AN74" i="154"/>
  <c r="AN74" i="156"/>
  <c r="AN74" i="157"/>
  <c r="AN74" i="150"/>
  <c r="AL79" i="154"/>
  <c r="AM79" i="154"/>
  <c r="AN79" i="154"/>
  <c r="AL79" i="151"/>
  <c r="AN79" i="151"/>
  <c r="AN73" i="155"/>
  <c r="AN73" i="156"/>
  <c r="AN73" i="157"/>
  <c r="AN73" i="150"/>
  <c r="AN72" i="155"/>
  <c r="AN72" i="156"/>
  <c r="AN72" i="157"/>
  <c r="AN72" i="150"/>
  <c r="AL20" i="161"/>
  <c r="AN20" i="161"/>
  <c r="AM20" i="160"/>
  <c r="AM20" i="159"/>
  <c r="AM20" i="158"/>
  <c r="AL20" i="157"/>
  <c r="AM20" i="157"/>
  <c r="AM20" i="156"/>
  <c r="AL20" i="155"/>
  <c r="AL20" i="154"/>
  <c r="AM20" i="154"/>
  <c r="AL23" i="153"/>
  <c r="AN23" i="153"/>
  <c r="AN21" i="151"/>
  <c r="AN21" i="154"/>
  <c r="AN21" i="155"/>
  <c r="AN21" i="156"/>
  <c r="AN21" i="157"/>
  <c r="AN21" i="150"/>
  <c r="AL20" i="153"/>
  <c r="AN20" i="153"/>
  <c r="AL20" i="152"/>
  <c r="AN20" i="152"/>
  <c r="AL20" i="151"/>
  <c r="AN20" i="160"/>
  <c r="AN20" i="159"/>
  <c r="AN20" i="158"/>
  <c r="AN20" i="151"/>
  <c r="AN20" i="154"/>
  <c r="AN22" i="153"/>
  <c r="AN22" i="152"/>
  <c r="AN22" i="151"/>
  <c r="AN22" i="154"/>
  <c r="AN22" i="155"/>
  <c r="AN22" i="156"/>
  <c r="AN22" i="157"/>
  <c r="AN22" i="150"/>
  <c r="AM20" i="155"/>
  <c r="AL20" i="150"/>
  <c r="AN20" i="155"/>
  <c r="AN20" i="156"/>
  <c r="AN20" i="157"/>
  <c r="AN20" i="150"/>
  <c r="H265" i="3"/>
  <c r="G265" i="3"/>
  <c r="F265" i="3"/>
  <c r="E265" i="3"/>
  <c r="D265" i="3"/>
  <c r="C265" i="3"/>
  <c r="B265" i="3"/>
  <c r="I264" i="3"/>
  <c r="I262" i="3"/>
  <c r="I260" i="3"/>
  <c r="I258" i="3"/>
  <c r="I256" i="3"/>
  <c r="I254" i="3"/>
  <c r="I252" i="3"/>
  <c r="I250" i="3"/>
  <c r="I248" i="3"/>
  <c r="I236" i="3"/>
  <c r="I238" i="3"/>
  <c r="I240" i="3"/>
  <c r="I242" i="3"/>
  <c r="I244" i="3"/>
  <c r="I246" i="3"/>
  <c r="I225" i="3"/>
  <c r="I223" i="3"/>
  <c r="I224" i="3"/>
  <c r="H214" i="3"/>
  <c r="G214" i="3"/>
  <c r="F214" i="3"/>
  <c r="E214" i="3"/>
  <c r="D214" i="3"/>
  <c r="C214" i="3"/>
  <c r="B214" i="3"/>
  <c r="I213" i="3"/>
  <c r="I211" i="3"/>
  <c r="I209" i="3"/>
  <c r="H203" i="3"/>
  <c r="G203" i="3"/>
  <c r="G25" i="3"/>
  <c r="G34" i="3"/>
  <c r="G70" i="3"/>
  <c r="G132" i="3"/>
  <c r="G144" i="3"/>
  <c r="G162" i="3"/>
  <c r="G182" i="3"/>
  <c r="F203" i="3"/>
  <c r="E203" i="3"/>
  <c r="D203" i="3"/>
  <c r="D25" i="3"/>
  <c r="D34" i="3"/>
  <c r="D70" i="3"/>
  <c r="D132" i="3"/>
  <c r="D144" i="3"/>
  <c r="D162" i="3"/>
  <c r="D182" i="3"/>
  <c r="C203" i="3"/>
  <c r="B203" i="3"/>
  <c r="B25" i="3"/>
  <c r="B34" i="3"/>
  <c r="B70" i="3"/>
  <c r="B132" i="3"/>
  <c r="B144" i="3"/>
  <c r="B162" i="3"/>
  <c r="B182" i="3"/>
  <c r="I202" i="3"/>
  <c r="I200" i="3"/>
  <c r="I198" i="3"/>
  <c r="I196" i="3"/>
  <c r="I190" i="3"/>
  <c r="N190" i="3"/>
  <c r="I192" i="3"/>
  <c r="N191" i="3"/>
  <c r="I194" i="3"/>
  <c r="N192" i="3"/>
  <c r="S187" i="3"/>
  <c r="H182" i="3"/>
  <c r="H25" i="3"/>
  <c r="H34" i="3"/>
  <c r="H70" i="3"/>
  <c r="H132" i="3"/>
  <c r="H144" i="3"/>
  <c r="H162" i="3"/>
  <c r="F182" i="3"/>
  <c r="E182" i="3"/>
  <c r="C182" i="3"/>
  <c r="I181" i="3"/>
  <c r="N173" i="3"/>
  <c r="I173" i="3"/>
  <c r="N171" i="3"/>
  <c r="S166" i="3"/>
  <c r="I171" i="3"/>
  <c r="F162" i="3"/>
  <c r="E162" i="3"/>
  <c r="C162" i="3"/>
  <c r="I161" i="3"/>
  <c r="I159" i="3"/>
  <c r="I157" i="3"/>
  <c r="I155" i="3"/>
  <c r="I153" i="3"/>
  <c r="I151" i="3"/>
  <c r="F144" i="3"/>
  <c r="E144" i="3"/>
  <c r="C144" i="3"/>
  <c r="C25" i="3"/>
  <c r="C34" i="3"/>
  <c r="C70" i="3"/>
  <c r="C132" i="3"/>
  <c r="I143" i="3"/>
  <c r="I139" i="3"/>
  <c r="I141" i="3"/>
  <c r="N142" i="3"/>
  <c r="F132" i="3"/>
  <c r="E132" i="3"/>
  <c r="E25" i="3"/>
  <c r="E34" i="3"/>
  <c r="E70" i="3"/>
  <c r="I131" i="3"/>
  <c r="N130" i="3"/>
  <c r="I129" i="3"/>
  <c r="S127" i="3"/>
  <c r="I123" i="3"/>
  <c r="G125" i="3"/>
  <c r="H125" i="3"/>
  <c r="I125" i="3"/>
  <c r="I117" i="3"/>
  <c r="I114" i="3"/>
  <c r="H107" i="3"/>
  <c r="G107" i="3"/>
  <c r="F107" i="3"/>
  <c r="E107" i="3"/>
  <c r="D107" i="3"/>
  <c r="C107" i="3"/>
  <c r="B107" i="3"/>
  <c r="I106" i="3"/>
  <c r="I104" i="3"/>
  <c r="I78" i="3"/>
  <c r="I80" i="3"/>
  <c r="I82" i="3"/>
  <c r="I84" i="3"/>
  <c r="I86" i="3"/>
  <c r="I88" i="3"/>
  <c r="I90" i="3"/>
  <c r="I92" i="3"/>
  <c r="I94" i="3"/>
  <c r="I96" i="3"/>
  <c r="I98" i="3"/>
  <c r="I100" i="3"/>
  <c r="I102" i="3"/>
  <c r="F70" i="3"/>
  <c r="F25" i="3"/>
  <c r="F34" i="3"/>
  <c r="I69" i="3"/>
  <c r="M66" i="3"/>
  <c r="I65" i="3"/>
  <c r="I63" i="3"/>
  <c r="N54" i="3"/>
  <c r="I61" i="3"/>
  <c r="N49" i="3"/>
  <c r="I59" i="3"/>
  <c r="N44" i="3"/>
  <c r="I57" i="3"/>
  <c r="N53" i="3"/>
  <c r="I55" i="3"/>
  <c r="N48" i="3"/>
  <c r="I53" i="3"/>
  <c r="N43" i="3"/>
  <c r="I51" i="3"/>
  <c r="N52" i="3"/>
  <c r="I41" i="3"/>
  <c r="N41" i="3"/>
  <c r="I43" i="3"/>
  <c r="N46" i="3"/>
  <c r="I45" i="3"/>
  <c r="N51" i="3"/>
  <c r="I47" i="3"/>
  <c r="N42" i="3"/>
  <c r="I49" i="3"/>
  <c r="N47" i="3"/>
  <c r="M33" i="3"/>
  <c r="I33" i="3"/>
  <c r="I29" i="3"/>
  <c r="I31" i="3"/>
  <c r="I24" i="3"/>
  <c r="I14" i="3"/>
  <c r="N15" i="3"/>
  <c r="I16" i="3"/>
  <c r="N16" i="3"/>
  <c r="I20" i="3"/>
  <c r="N18" i="3"/>
  <c r="I18" i="3"/>
  <c r="I22" i="3"/>
  <c r="I8" i="3"/>
  <c r="I4" i="3"/>
  <c r="I293" i="2"/>
  <c r="I291" i="2"/>
  <c r="I292" i="2"/>
  <c r="H277" i="2"/>
  <c r="G277" i="2"/>
  <c r="F277" i="2"/>
  <c r="E277" i="2"/>
  <c r="E53" i="2"/>
  <c r="E65" i="2"/>
  <c r="E116" i="2"/>
  <c r="E163" i="2"/>
  <c r="E189" i="2"/>
  <c r="E204" i="2"/>
  <c r="E238" i="2"/>
  <c r="E247" i="2"/>
  <c r="D277" i="2"/>
  <c r="C277" i="2"/>
  <c r="B277" i="2"/>
  <c r="I275" i="2"/>
  <c r="I272" i="2"/>
  <c r="I269" i="2"/>
  <c r="I266" i="2"/>
  <c r="I263" i="2"/>
  <c r="I257" i="2"/>
  <c r="I260" i="2"/>
  <c r="G249" i="2"/>
  <c r="H249" i="2"/>
  <c r="I249" i="2"/>
  <c r="H247" i="2"/>
  <c r="G247" i="2"/>
  <c r="F247" i="2"/>
  <c r="D247" i="2"/>
  <c r="C247" i="2"/>
  <c r="B247" i="2"/>
  <c r="H238" i="2"/>
  <c r="H53" i="2"/>
  <c r="H65" i="2"/>
  <c r="H116" i="2"/>
  <c r="H189" i="2"/>
  <c r="H204" i="2"/>
  <c r="G238" i="2"/>
  <c r="F238" i="2"/>
  <c r="D238" i="2"/>
  <c r="D53" i="2"/>
  <c r="D65" i="2"/>
  <c r="D116" i="2"/>
  <c r="D163" i="2"/>
  <c r="D189" i="2"/>
  <c r="D204" i="2"/>
  <c r="C238" i="2"/>
  <c r="B238" i="2"/>
  <c r="I236" i="2"/>
  <c r="I221" i="2"/>
  <c r="I224" i="2"/>
  <c r="I227" i="2"/>
  <c r="I230" i="2"/>
  <c r="I233" i="2"/>
  <c r="G204" i="2"/>
  <c r="F204" i="2"/>
  <c r="C204" i="2"/>
  <c r="B204" i="2"/>
  <c r="I202" i="2"/>
  <c r="I196" i="2"/>
  <c r="I199" i="2"/>
  <c r="G189" i="2"/>
  <c r="F189" i="2"/>
  <c r="C189" i="2"/>
  <c r="B189" i="2"/>
  <c r="I187" i="2"/>
  <c r="I184" i="2"/>
  <c r="I169" i="2"/>
  <c r="G172" i="2"/>
  <c r="H172" i="2"/>
  <c r="I172" i="2"/>
  <c r="F163" i="2"/>
  <c r="F53" i="2"/>
  <c r="F65" i="2"/>
  <c r="F116" i="2"/>
  <c r="C163" i="2"/>
  <c r="B163" i="2"/>
  <c r="B53" i="2"/>
  <c r="B65" i="2"/>
  <c r="B116" i="2"/>
  <c r="I162" i="2"/>
  <c r="I157" i="2"/>
  <c r="G116" i="2"/>
  <c r="C116" i="2"/>
  <c r="C53" i="2"/>
  <c r="C65" i="2"/>
  <c r="I115" i="2"/>
  <c r="I112" i="2"/>
  <c r="I109" i="2"/>
  <c r="I106" i="2"/>
  <c r="I103" i="2"/>
  <c r="I100" i="2"/>
  <c r="I97" i="2"/>
  <c r="I94" i="2"/>
  <c r="I91" i="2"/>
  <c r="I88" i="2"/>
  <c r="I85" i="2"/>
  <c r="I73" i="2"/>
  <c r="I76" i="2"/>
  <c r="I79" i="2"/>
  <c r="I82" i="2"/>
  <c r="G65" i="2"/>
  <c r="G53" i="2"/>
  <c r="I63" i="2"/>
  <c r="I57" i="2"/>
  <c r="I60" i="2"/>
  <c r="I36" i="2"/>
  <c r="I39" i="2"/>
  <c r="I42" i="2"/>
  <c r="I45" i="2"/>
  <c r="I48" i="2"/>
  <c r="I51" i="2"/>
  <c r="I11" i="2"/>
  <c r="G14" i="2"/>
  <c r="H14" i="2"/>
  <c r="I14" i="2"/>
  <c r="I4" i="2"/>
  <c r="G7" i="2"/>
  <c r="H7" i="2"/>
  <c r="I7" i="2"/>
  <c r="I155" i="1"/>
  <c r="I153" i="1"/>
  <c r="I154" i="1"/>
  <c r="H144" i="1"/>
  <c r="G144" i="1"/>
  <c r="G20" i="1"/>
  <c r="G30" i="1"/>
  <c r="G65" i="1"/>
  <c r="G74" i="1"/>
  <c r="G89" i="1"/>
  <c r="G98" i="1"/>
  <c r="G117" i="1"/>
  <c r="F144" i="1"/>
  <c r="E144" i="1"/>
  <c r="D144" i="1"/>
  <c r="C144" i="1"/>
  <c r="B144" i="1"/>
  <c r="I143" i="1"/>
  <c r="I141" i="1"/>
  <c r="I135" i="1"/>
  <c r="I137" i="1"/>
  <c r="I139" i="1"/>
  <c r="I127" i="1"/>
  <c r="I122" i="1"/>
  <c r="H117" i="1"/>
  <c r="F117" i="1"/>
  <c r="E117" i="1"/>
  <c r="D117" i="1"/>
  <c r="C117" i="1"/>
  <c r="B117" i="1"/>
  <c r="I116" i="1"/>
  <c r="I112" i="1"/>
  <c r="I114" i="1"/>
  <c r="I107" i="1"/>
  <c r="I102" i="1"/>
  <c r="H98" i="1"/>
  <c r="F98" i="1"/>
  <c r="F20" i="1"/>
  <c r="F30" i="1"/>
  <c r="F65" i="1"/>
  <c r="F74" i="1"/>
  <c r="F89" i="1"/>
  <c r="E98" i="1"/>
  <c r="D98" i="1"/>
  <c r="C98" i="1"/>
  <c r="C20" i="1"/>
  <c r="C30" i="1"/>
  <c r="C65" i="1"/>
  <c r="C74" i="1"/>
  <c r="C89" i="1"/>
  <c r="B98" i="1"/>
  <c r="I97" i="1"/>
  <c r="I93" i="1"/>
  <c r="I95" i="1"/>
  <c r="H89" i="1"/>
  <c r="E89" i="1"/>
  <c r="D89" i="1"/>
  <c r="B89" i="1"/>
  <c r="I88" i="1"/>
  <c r="I86" i="1"/>
  <c r="I84" i="1"/>
  <c r="I82" i="1"/>
  <c r="I80" i="1"/>
  <c r="I78" i="1"/>
  <c r="H74" i="1"/>
  <c r="E74" i="1"/>
  <c r="D74" i="1"/>
  <c r="B74" i="1"/>
  <c r="I73" i="1"/>
  <c r="I71" i="1"/>
  <c r="I69" i="1"/>
  <c r="H65" i="1"/>
  <c r="H20" i="1"/>
  <c r="H30" i="1"/>
  <c r="E65" i="1"/>
  <c r="E20" i="1"/>
  <c r="E30" i="1"/>
  <c r="D65" i="1"/>
  <c r="D20" i="1"/>
  <c r="D30" i="1"/>
  <c r="B65" i="1"/>
  <c r="B20" i="1"/>
  <c r="B30" i="1"/>
  <c r="I64" i="1"/>
  <c r="I62" i="1"/>
  <c r="I60" i="1"/>
  <c r="I36" i="1"/>
  <c r="I38" i="1"/>
  <c r="I40" i="1"/>
  <c r="I42" i="1"/>
  <c r="I44" i="1"/>
  <c r="I46" i="1"/>
  <c r="I48" i="1"/>
  <c r="I50" i="1"/>
  <c r="I52" i="1"/>
  <c r="I54" i="1"/>
  <c r="I56" i="1"/>
  <c r="I58" i="1"/>
  <c r="I29" i="1"/>
  <c r="I25" i="1"/>
  <c r="I27" i="1"/>
  <c r="I19" i="1"/>
  <c r="I17" i="1"/>
  <c r="I15" i="1"/>
  <c r="I9" i="1"/>
  <c r="I11" i="1"/>
  <c r="I13" i="1"/>
  <c r="I4" i="1"/>
  <c r="Q129" i="3"/>
  <c r="O131" i="3"/>
  <c r="Q131" i="3"/>
  <c r="I65" i="2"/>
  <c r="I98" i="1"/>
  <c r="G220" i="3"/>
  <c r="G221" i="3"/>
  <c r="I156" i="1"/>
  <c r="D220" i="3"/>
  <c r="D221" i="3"/>
  <c r="I117" i="1"/>
  <c r="I144" i="1"/>
  <c r="G287" i="2"/>
  <c r="G288" i="2"/>
  <c r="I116" i="2"/>
  <c r="G118" i="2"/>
  <c r="H118" i="2"/>
  <c r="I118" i="2"/>
  <c r="B287" i="2"/>
  <c r="B288" i="2"/>
  <c r="F287" i="2"/>
  <c r="F288" i="2"/>
  <c r="C287" i="2"/>
  <c r="C288" i="2"/>
  <c r="H287" i="2"/>
  <c r="H288" i="2"/>
  <c r="G10" i="3"/>
  <c r="H10" i="3"/>
  <c r="I10" i="3"/>
  <c r="I144" i="3"/>
  <c r="G146" i="3"/>
  <c r="H146" i="3"/>
  <c r="I146" i="3"/>
  <c r="I34" i="3"/>
  <c r="F220" i="3"/>
  <c r="F221" i="3"/>
  <c r="I132" i="3"/>
  <c r="G134" i="3"/>
  <c r="H134" i="3"/>
  <c r="I134" i="3"/>
  <c r="I226" i="3"/>
  <c r="I265" i="3"/>
  <c r="G267" i="3"/>
  <c r="H267" i="3"/>
  <c r="I267" i="3"/>
  <c r="B148" i="1"/>
  <c r="E148" i="1"/>
  <c r="I189" i="2"/>
  <c r="G191" i="2"/>
  <c r="H191" i="2"/>
  <c r="I191" i="2"/>
  <c r="N174" i="3"/>
  <c r="Q168" i="3"/>
  <c r="O170" i="3"/>
  <c r="Q170" i="3"/>
  <c r="O172" i="3"/>
  <c r="S172" i="3"/>
  <c r="S174" i="3"/>
  <c r="S182" i="3"/>
  <c r="N195" i="3"/>
  <c r="Q189" i="3"/>
  <c r="O191" i="3"/>
  <c r="Q191" i="3"/>
  <c r="O193" i="3"/>
  <c r="S193" i="3"/>
  <c r="S195" i="3"/>
  <c r="S203" i="3"/>
  <c r="N21" i="3"/>
  <c r="P27" i="3"/>
  <c r="H220" i="3"/>
  <c r="H221" i="3"/>
  <c r="I70" i="3"/>
  <c r="G72" i="3"/>
  <c r="H72" i="3"/>
  <c r="I72" i="3"/>
  <c r="I204" i="2"/>
  <c r="G206" i="2"/>
  <c r="H206" i="2"/>
  <c r="I206" i="2"/>
  <c r="I238" i="2"/>
  <c r="G240" i="2"/>
  <c r="H240" i="2"/>
  <c r="I240" i="2"/>
  <c r="D287" i="2"/>
  <c r="D288" i="2"/>
  <c r="E220" i="3"/>
  <c r="E221" i="3"/>
  <c r="C220" i="3"/>
  <c r="C221" i="3"/>
  <c r="I162" i="3"/>
  <c r="G164" i="3"/>
  <c r="H164" i="3"/>
  <c r="I164" i="3"/>
  <c r="I182" i="3"/>
  <c r="I203" i="3"/>
  <c r="G205" i="3"/>
  <c r="H205" i="3"/>
  <c r="I205" i="3"/>
  <c r="B220" i="3"/>
  <c r="B221" i="3"/>
  <c r="I214" i="3"/>
  <c r="G216" i="3"/>
  <c r="H216" i="3"/>
  <c r="I216" i="3"/>
  <c r="I53" i="2"/>
  <c r="I74" i="1"/>
  <c r="I89" i="1"/>
  <c r="C148" i="1"/>
  <c r="F148" i="1"/>
  <c r="G148" i="1"/>
  <c r="E149" i="1"/>
  <c r="I163" i="2"/>
  <c r="G165" i="2"/>
  <c r="H165" i="2"/>
  <c r="I165" i="2"/>
  <c r="I25" i="3"/>
  <c r="M35" i="3"/>
  <c r="I107" i="3"/>
  <c r="G109" i="3"/>
  <c r="H109" i="3"/>
  <c r="I109" i="3"/>
  <c r="I20" i="1"/>
  <c r="I30" i="1"/>
  <c r="I65" i="1"/>
  <c r="D148" i="1"/>
  <c r="H148" i="1"/>
  <c r="I277" i="2"/>
  <c r="G279" i="2"/>
  <c r="H279" i="2"/>
  <c r="I279" i="2"/>
  <c r="E287" i="2"/>
  <c r="E288" i="2"/>
  <c r="G119" i="3"/>
  <c r="H119" i="3"/>
  <c r="I119" i="3"/>
  <c r="N56" i="3"/>
  <c r="O60" i="3"/>
  <c r="M62" i="3"/>
  <c r="P62" i="3"/>
  <c r="I294" i="2"/>
  <c r="D149" i="1"/>
  <c r="B149" i="1"/>
  <c r="P203" i="3"/>
  <c r="G36" i="3"/>
  <c r="H36" i="3"/>
  <c r="I36" i="3"/>
  <c r="G149" i="1"/>
  <c r="G150" i="1"/>
  <c r="H149" i="1"/>
  <c r="H150" i="1"/>
  <c r="C149" i="1"/>
  <c r="C150" i="1"/>
  <c r="E150" i="1"/>
  <c r="F149" i="1"/>
  <c r="O25" i="3"/>
  <c r="M27" i="3"/>
  <c r="I148" i="1"/>
  <c r="B150" i="1"/>
  <c r="U203" i="3"/>
  <c r="D150" i="1"/>
  <c r="I287" i="2"/>
  <c r="I288" i="2"/>
  <c r="I297" i="2"/>
  <c r="I220" i="3"/>
  <c r="I221" i="3"/>
  <c r="I229" i="3"/>
  <c r="F150" i="1"/>
  <c r="G184" i="3"/>
  <c r="H184" i="3"/>
  <c r="I184" i="3"/>
  <c r="P182" i="3"/>
  <c r="U182" i="3"/>
  <c r="G67" i="2"/>
  <c r="H67" i="2"/>
  <c r="I67" i="2"/>
  <c r="M29" i="3"/>
  <c r="P29" i="3"/>
  <c r="P33" i="3"/>
  <c r="R33" i="3"/>
  <c r="O35" i="3"/>
  <c r="P35" i="3"/>
  <c r="M64" i="3"/>
  <c r="P64" i="3"/>
  <c r="P66" i="3"/>
  <c r="R66" i="3"/>
  <c r="O68" i="3"/>
  <c r="P68" i="3"/>
  <c r="I150" i="1"/>
  <c r="I159" i="1"/>
  <c r="I149" i="1"/>
  <c r="J222" i="3"/>
  <c r="AN72" i="154"/>
  <c r="AN72" i="153"/>
  <c r="AN72" i="152"/>
  <c r="AN72" i="151"/>
  <c r="AN71" i="153"/>
  <c r="AN71" i="152"/>
  <c r="AN71" i="151"/>
  <c r="AN71" i="154"/>
  <c r="AN71" i="155"/>
  <c r="AN71" i="156"/>
  <c r="AN71" i="157"/>
  <c r="AN71" i="150"/>
  <c r="AN68" i="153"/>
  <c r="AN68" i="152"/>
  <c r="AN68" i="151"/>
  <c r="AN68" i="154"/>
  <c r="AN68" i="155"/>
  <c r="AN68" i="156"/>
  <c r="AN68" i="157"/>
  <c r="AN68" i="150"/>
  <c r="AN65" i="153"/>
  <c r="AN65" i="152"/>
  <c r="AN65" i="151"/>
  <c r="AN65" i="154"/>
  <c r="AN65" i="155"/>
  <c r="AN65" i="156"/>
  <c r="AN65" i="157"/>
  <c r="AN65" i="150"/>
  <c r="AN61" i="153"/>
  <c r="AN61" i="152"/>
  <c r="AN61" i="151"/>
  <c r="AN61" i="154"/>
  <c r="AN61" i="155"/>
  <c r="AN61" i="156"/>
  <c r="AN61" i="157"/>
  <c r="AN61" i="150"/>
  <c r="AN69" i="153"/>
  <c r="AN69" i="152"/>
  <c r="AN69" i="151"/>
  <c r="AN69" i="154"/>
  <c r="AN69" i="155"/>
  <c r="AN69" i="156"/>
  <c r="AN69" i="157"/>
  <c r="AN69" i="150"/>
  <c r="AN66" i="152"/>
  <c r="AN66" i="151"/>
  <c r="AN66" i="154"/>
  <c r="AN66" i="155"/>
  <c r="AN66" i="156"/>
  <c r="AN66" i="157"/>
  <c r="AN66" i="150"/>
  <c r="AN66" i="153"/>
  <c r="AN63" i="153"/>
  <c r="AN63" i="152"/>
  <c r="AN63" i="151"/>
  <c r="AN63" i="154"/>
  <c r="AN63" i="155"/>
  <c r="AN63" i="156"/>
  <c r="AN63" i="157"/>
  <c r="AN63" i="150"/>
  <c r="AN62" i="153"/>
  <c r="AN62" i="152"/>
  <c r="AN62" i="151"/>
  <c r="AN62" i="154"/>
  <c r="AN62" i="155"/>
  <c r="AN62" i="156"/>
  <c r="AN62" i="157"/>
  <c r="AN62" i="150"/>
  <c r="AN64" i="152"/>
  <c r="AN64" i="151"/>
  <c r="AN64" i="154"/>
  <c r="AN64" i="155"/>
  <c r="AN64" i="153"/>
  <c r="AN70" i="153"/>
  <c r="AN70" i="152"/>
  <c r="AN70" i="151"/>
  <c r="AN70" i="154"/>
  <c r="AN70" i="155"/>
  <c r="AN70" i="156"/>
  <c r="AN70" i="157"/>
  <c r="AN70" i="150"/>
  <c r="AN67" i="153"/>
  <c r="AN67" i="152"/>
  <c r="AN67" i="151"/>
  <c r="AN67" i="154"/>
  <c r="AN67" i="155"/>
  <c r="AN67" i="156"/>
  <c r="AN67" i="157"/>
  <c r="AN67" i="150"/>
  <c r="AN64" i="156"/>
  <c r="AN64" i="157"/>
  <c r="AN64" i="150"/>
  <c r="AN65" i="159"/>
  <c r="AN65" i="158"/>
  <c r="AN61" i="159"/>
  <c r="AN61" i="158"/>
  <c r="AK65" i="160" l="1"/>
  <c r="AM65" i="160"/>
  <c r="AN65" i="1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Marianne Rasmussen</author>
    <author>Steen Hertin</author>
    <author>Nick Lorentzen</author>
    <author>Rasmus Sørensen</author>
    <author>Steen Hertin-Sandkær</author>
    <author>Thomas Holm</author>
    <author>marasm</author>
    <author>Nikolaj Langtin Pamhede</author>
    <author>Michael Bo Pedersen</author>
    <author>Mathias Hartvig Morell Nielsen</author>
    <author>Flemming Nielsen</author>
  </authors>
  <commentList>
    <comment ref="G12" authorId="0" shapeId="0" xr:uid="{14DA1D5A-76BC-42F8-A68A-ED95E645D01D}">
      <text>
        <r>
          <rPr>
            <b/>
            <sz val="9"/>
            <color indexed="81"/>
            <rFont val="Tahoma"/>
            <family val="2"/>
          </rPr>
          <t>Marianne Rasmussen:</t>
        </r>
        <r>
          <rPr>
            <sz val="9"/>
            <color indexed="81"/>
            <rFont val="Tahoma"/>
            <family val="2"/>
          </rPr>
          <t xml:space="preserve">
BR-Møde på oa kl 16-</t>
        </r>
      </text>
    </comment>
    <comment ref="L12" authorId="0" shapeId="0" xr:uid="{60B4D886-483A-40AA-AB92-76B3DBAD87C4}">
      <text>
        <r>
          <rPr>
            <b/>
            <sz val="9"/>
            <color indexed="81"/>
            <rFont val="Tahoma"/>
            <family val="2"/>
          </rPr>
          <t>Marianne Rasmussen:</t>
        </r>
        <r>
          <rPr>
            <sz val="9"/>
            <color indexed="81"/>
            <rFont val="Tahoma"/>
            <family val="2"/>
          </rPr>
          <t xml:space="preserve">
Medaljeuddeling på oa</t>
        </r>
      </text>
    </comment>
    <comment ref="E14" authorId="1" shapeId="0" xr:uid="{1C60ECF8-0D4C-466E-96E6-A7D6917542BA}">
      <text>
        <r>
          <rPr>
            <b/>
            <sz val="9"/>
            <color indexed="81"/>
            <rFont val="Tahoma"/>
            <family val="2"/>
          </rPr>
          <t>Steen Hertin:</t>
        </r>
        <r>
          <rPr>
            <sz val="9"/>
            <color indexed="81"/>
            <rFont val="Tahoma"/>
            <family val="2"/>
          </rPr>
          <t xml:space="preserve">
VH 4-vagt på OA</t>
        </r>
      </text>
    </comment>
    <comment ref="F14" authorId="1" shapeId="0" xr:uid="{18187C66-9BAC-43A4-952F-D9DE39F398B6}">
      <text>
        <r>
          <rPr>
            <b/>
            <sz val="9"/>
            <color indexed="81"/>
            <rFont val="Tahoma"/>
            <family val="2"/>
          </rPr>
          <t>Steen Hertin:</t>
        </r>
        <r>
          <rPr>
            <sz val="9"/>
            <color indexed="81"/>
            <rFont val="Tahoma"/>
            <family val="2"/>
          </rPr>
          <t xml:space="preserve">
VH 4-vagt på OA</t>
        </r>
      </text>
    </comment>
    <comment ref="G14" authorId="1" shapeId="0" xr:uid="{03B4F7A4-B0E8-4A3D-B32E-0CEFDB11E4F0}">
      <text>
        <r>
          <rPr>
            <b/>
            <sz val="9"/>
            <color indexed="81"/>
            <rFont val="Tahoma"/>
            <family val="2"/>
          </rPr>
          <t>Steen Hertin:</t>
        </r>
        <r>
          <rPr>
            <sz val="9"/>
            <color indexed="81"/>
            <rFont val="Tahoma"/>
            <family val="2"/>
          </rPr>
          <t xml:space="preserve">
VH 4-vagt på OA</t>
        </r>
      </text>
    </comment>
    <comment ref="L14" authorId="0" shapeId="0" xr:uid="{D23D6256-D8ED-4202-A3C0-4247EA1738FE}">
      <text>
        <r>
          <rPr>
            <b/>
            <sz val="9"/>
            <color indexed="81"/>
            <rFont val="Tahoma"/>
            <family val="2"/>
          </rPr>
          <t>Marianne Rasmussen:</t>
        </r>
        <r>
          <rPr>
            <sz val="9"/>
            <color indexed="81"/>
            <rFont val="Tahoma"/>
            <family val="2"/>
          </rPr>
          <t xml:space="preserve">
Medaljeuddeling på oa 14,45</t>
        </r>
      </text>
    </comment>
    <comment ref="Y14" authorId="1" shapeId="0" xr:uid="{7AE7A747-36B6-40AF-A171-4CF4B1D2A6D8}">
      <text>
        <r>
          <rPr>
            <b/>
            <sz val="9"/>
            <color indexed="81"/>
            <rFont val="Tahoma"/>
            <family val="2"/>
          </rPr>
          <t>Steen Hertin:</t>
        </r>
        <r>
          <rPr>
            <sz val="9"/>
            <color indexed="81"/>
            <rFont val="Tahoma"/>
            <family val="2"/>
          </rPr>
          <t xml:space="preserve">
89 på OA</t>
        </r>
      </text>
    </comment>
    <comment ref="Z14" authorId="2" shapeId="0" xr:uid="{EF513FF6-46BA-407C-BE74-871C4CA0898F}">
      <text>
        <r>
          <rPr>
            <b/>
            <sz val="9"/>
            <color indexed="81"/>
            <rFont val="Tahoma"/>
            <family val="2"/>
          </rPr>
          <t>Nick Lorentzen:</t>
        </r>
        <r>
          <rPr>
            <sz val="9"/>
            <color indexed="81"/>
            <rFont val="Tahoma"/>
            <family val="2"/>
          </rPr>
          <t xml:space="preserve">
89 vagt OA</t>
        </r>
      </text>
    </comment>
    <comment ref="AA14" authorId="1" shapeId="0" xr:uid="{09203B1A-5DE6-4B65-B590-615E0564AC68}">
      <text>
        <r>
          <rPr>
            <b/>
            <sz val="9"/>
            <color indexed="81"/>
            <rFont val="Tahoma"/>
            <family val="2"/>
          </rPr>
          <t>Steen Hertin:</t>
        </r>
        <r>
          <rPr>
            <sz val="9"/>
            <color indexed="81"/>
            <rFont val="Tahoma"/>
            <family val="2"/>
          </rPr>
          <t xml:space="preserve">
Job samtaler</t>
        </r>
      </text>
    </comment>
    <comment ref="AC14" authorId="1" shapeId="0" xr:uid="{EFB2932D-236A-47F0-B5CB-403A61734879}">
      <text>
        <r>
          <rPr>
            <b/>
            <sz val="9"/>
            <color indexed="81"/>
            <rFont val="Tahoma"/>
            <family val="2"/>
          </rPr>
          <t>Steen Hertin:</t>
        </r>
        <r>
          <rPr>
            <sz val="9"/>
            <color indexed="81"/>
            <rFont val="Tahoma"/>
            <family val="2"/>
          </rPr>
          <t xml:space="preserve">
Job samtaler</t>
        </r>
      </text>
    </comment>
    <comment ref="Y15" authorId="3" shapeId="0" xr:uid="{5535696A-D956-4686-9FA0-B07B1D17C51F}">
      <text>
        <r>
          <rPr>
            <b/>
            <sz val="9"/>
            <color indexed="81"/>
            <rFont val="Tahoma"/>
            <family val="2"/>
          </rPr>
          <t>Rasmus Sørensen:
sætter brikker op</t>
        </r>
      </text>
    </comment>
    <comment ref="G17" authorId="0" shapeId="0" xr:uid="{89E2671B-AC3C-4D60-A4E2-4AD37F6D4B81}">
      <text>
        <r>
          <rPr>
            <b/>
            <sz val="9"/>
            <color indexed="81"/>
            <rFont val="Tahoma"/>
            <family val="2"/>
          </rPr>
          <t>Marianne Rasmussen:</t>
        </r>
        <r>
          <rPr>
            <sz val="9"/>
            <color indexed="81"/>
            <rFont val="Tahoma"/>
            <family val="2"/>
          </rPr>
          <t xml:space="preserve">
BR-Møde på oa kl 1445-</t>
        </r>
      </text>
    </comment>
    <comment ref="J17" authorId="4" shapeId="0" xr:uid="{123BB284-73E0-444B-9B26-CD3C764A7E90}">
      <text>
        <r>
          <rPr>
            <b/>
            <sz val="9"/>
            <color indexed="81"/>
            <rFont val="Tahoma"/>
            <family val="2"/>
          </rPr>
          <t>Steen Hertin-Sandkær:</t>
        </r>
        <r>
          <rPr>
            <sz val="9"/>
            <color indexed="81"/>
            <rFont val="Tahoma"/>
            <family val="2"/>
          </rPr>
          <t xml:space="preserve">
Cabinn Copenhagen
08-15</t>
        </r>
      </text>
    </comment>
    <comment ref="W17" authorId="1" shapeId="0" xr:uid="{7634DF1C-3323-4099-BC75-675A1AFD4FE9}">
      <text>
        <r>
          <rPr>
            <b/>
            <sz val="9"/>
            <color indexed="81"/>
            <rFont val="Tahoma"/>
            <family val="2"/>
          </rPr>
          <t>Steen Hertin:</t>
        </r>
        <r>
          <rPr>
            <sz val="9"/>
            <color indexed="81"/>
            <rFont val="Tahoma"/>
            <family val="2"/>
          </rPr>
          <t xml:space="preserve">
Coåpenhagen 15-22</t>
        </r>
      </text>
    </comment>
    <comment ref="X17" authorId="1" shapeId="0" xr:uid="{65D4C511-5C96-49C0-B744-95EBD779D936}">
      <text>
        <r>
          <rPr>
            <b/>
            <sz val="9"/>
            <color indexed="81"/>
            <rFont val="Tahoma"/>
            <family val="2"/>
          </rPr>
          <t>Steen Hertin:</t>
        </r>
        <r>
          <rPr>
            <sz val="9"/>
            <color indexed="81"/>
            <rFont val="Tahoma"/>
            <family val="2"/>
          </rPr>
          <t xml:space="preserve">
Coåpenhagen 15-22</t>
        </r>
      </text>
    </comment>
    <comment ref="AF17" authorId="1" shapeId="0" xr:uid="{0C85561E-4C3E-47A6-9C69-BEB350EB8365}">
      <text>
        <r>
          <rPr>
            <b/>
            <sz val="9"/>
            <color indexed="81"/>
            <rFont val="Tahoma"/>
            <family val="2"/>
          </rPr>
          <t>Steen Hertin:</t>
        </r>
        <r>
          <rPr>
            <sz val="9"/>
            <color indexed="81"/>
            <rFont val="Tahoma"/>
            <family val="2"/>
          </rPr>
          <t xml:space="preserve">
dagvagt omlagt tjeneste</t>
        </r>
      </text>
    </comment>
    <comment ref="AG17" authorId="1" shapeId="0" xr:uid="{58768101-2E01-4215-901D-17DC6CED1E5E}">
      <text>
        <r>
          <rPr>
            <b/>
            <sz val="9"/>
            <color indexed="81"/>
            <rFont val="Tahoma"/>
            <family val="2"/>
          </rPr>
          <t>Steen Hertin:</t>
        </r>
        <r>
          <rPr>
            <sz val="9"/>
            <color indexed="81"/>
            <rFont val="Tahoma"/>
            <family val="2"/>
          </rPr>
          <t xml:space="preserve">
dagvagt omlagt tjeneste</t>
        </r>
      </text>
    </comment>
    <comment ref="D20" authorId="1" shapeId="0" xr:uid="{F2603BC8-E715-4195-87A0-BE8D9F1993EF}">
      <text>
        <r>
          <rPr>
            <b/>
            <sz val="9"/>
            <color indexed="81"/>
            <rFont val="Tahoma"/>
            <family val="2"/>
          </rPr>
          <t>Steen Hertin:</t>
        </r>
        <r>
          <rPr>
            <sz val="9"/>
            <color indexed="81"/>
            <rFont val="Tahoma"/>
            <family val="2"/>
          </rPr>
          <t xml:space="preserve">
Fra kl. 12.00</t>
        </r>
      </text>
    </comment>
    <comment ref="F20" authorId="1" shapeId="0" xr:uid="{C9C68A39-A2B3-4924-B9E4-49F3AC64BB56}">
      <text>
        <r>
          <rPr>
            <b/>
            <sz val="9"/>
            <color indexed="81"/>
            <rFont val="Tahoma"/>
            <family val="2"/>
          </rPr>
          <t>Steen Hertin:</t>
        </r>
        <r>
          <rPr>
            <sz val="9"/>
            <color indexed="81"/>
            <rFont val="Tahoma"/>
            <family val="2"/>
          </rPr>
          <t xml:space="preserve">
Møder hele dagen</t>
        </r>
      </text>
    </comment>
    <comment ref="R20" authorId="1" shapeId="0" xr:uid="{867D9311-D1E7-49EB-9A8F-F118689D630A}">
      <text>
        <r>
          <rPr>
            <b/>
            <sz val="9"/>
            <color indexed="81"/>
            <rFont val="Tahoma"/>
            <family val="2"/>
          </rPr>
          <t>Steen Hertin:</t>
        </r>
        <r>
          <rPr>
            <sz val="9"/>
            <color indexed="81"/>
            <rFont val="Tahoma"/>
            <family val="2"/>
          </rPr>
          <t xml:space="preserve">
AHF</t>
        </r>
      </text>
    </comment>
    <comment ref="T20" authorId="1" shapeId="0" xr:uid="{8D28EDE0-88CE-4A5E-962A-1731D99286DC}">
      <text>
        <r>
          <rPr>
            <b/>
            <sz val="9"/>
            <color indexed="81"/>
            <rFont val="Tahoma"/>
            <family val="2"/>
          </rPr>
          <t>Steen Hertin:</t>
        </r>
        <r>
          <rPr>
            <sz val="9"/>
            <color indexed="81"/>
            <rFont val="Tahoma"/>
            <family val="2"/>
          </rPr>
          <t xml:space="preserve">
AHF</t>
        </r>
      </text>
    </comment>
    <comment ref="V20" authorId="4" shapeId="0" xr:uid="{3582536E-02B7-46B9-AABA-1423E8801DF5}">
      <text>
        <r>
          <rPr>
            <b/>
            <sz val="9"/>
            <color indexed="81"/>
            <rFont val="Tahoma"/>
            <family val="2"/>
          </rPr>
          <t>Steen Hertin-Sandkær:</t>
        </r>
        <r>
          <rPr>
            <sz val="9"/>
            <color indexed="81"/>
            <rFont val="Tahoma"/>
            <family val="2"/>
          </rPr>
          <t xml:space="preserve">
Cabinn Copenhagen 08-20 . Oa fra kl. 13.00</t>
        </r>
      </text>
    </comment>
    <comment ref="Y20" authorId="1" shapeId="0" xr:uid="{067B6189-2976-4298-B419-0A62BE8B80FD}">
      <text>
        <r>
          <rPr>
            <b/>
            <sz val="9"/>
            <color indexed="81"/>
            <rFont val="Tahoma"/>
            <family val="2"/>
          </rPr>
          <t>Steen Hertin:</t>
        </r>
        <r>
          <rPr>
            <sz val="9"/>
            <color indexed="81"/>
            <rFont val="Tahoma"/>
            <family val="2"/>
          </rPr>
          <t xml:space="preserve">
AHF</t>
        </r>
      </text>
    </comment>
    <comment ref="Z20" authorId="1" shapeId="0" xr:uid="{02E8434B-7CBA-4397-BCB4-A934826354D9}">
      <text>
        <r>
          <rPr>
            <b/>
            <sz val="9"/>
            <color indexed="81"/>
            <rFont val="Tahoma"/>
            <family val="2"/>
          </rPr>
          <t>Steen Hertin:</t>
        </r>
        <r>
          <rPr>
            <sz val="9"/>
            <color indexed="81"/>
            <rFont val="Tahoma"/>
            <family val="2"/>
          </rPr>
          <t xml:space="preserve">
til læge kl. 12.00</t>
        </r>
      </text>
    </comment>
    <comment ref="AA20" authorId="1" shapeId="0" xr:uid="{7716D4C3-509D-40B9-A6FB-766DC760B298}">
      <text>
        <r>
          <rPr>
            <b/>
            <sz val="9"/>
            <color indexed="81"/>
            <rFont val="Tahoma"/>
            <family val="2"/>
          </rPr>
          <t>Steen Hertin:</t>
        </r>
        <r>
          <rPr>
            <sz val="9"/>
            <color indexed="81"/>
            <rFont val="Tahoma"/>
            <family val="2"/>
          </rPr>
          <t xml:space="preserve">
Job samtaler</t>
        </r>
      </text>
    </comment>
    <comment ref="AB20" authorId="1" shapeId="0" xr:uid="{F7DAC2A0-0DC7-404A-8453-1E11E1802895}">
      <text>
        <r>
          <rPr>
            <b/>
            <sz val="9"/>
            <color indexed="81"/>
            <rFont val="Tahoma"/>
            <family val="2"/>
          </rPr>
          <t>Steen Hertin:</t>
        </r>
        <r>
          <rPr>
            <sz val="9"/>
            <color indexed="81"/>
            <rFont val="Tahoma"/>
            <family val="2"/>
          </rPr>
          <t xml:space="preserve">
Copenhagen 08-?</t>
        </r>
      </text>
    </comment>
    <comment ref="AC20" authorId="1" shapeId="0" xr:uid="{45272186-114C-4B3F-A143-F65057E710E9}">
      <text>
        <r>
          <rPr>
            <b/>
            <sz val="9"/>
            <color indexed="81"/>
            <rFont val="Tahoma"/>
            <family val="2"/>
          </rPr>
          <t>Steen Hertin:</t>
        </r>
        <r>
          <rPr>
            <sz val="9"/>
            <color indexed="81"/>
            <rFont val="Tahoma"/>
            <family val="2"/>
          </rPr>
          <t xml:space="preserve">
Job samtaler</t>
        </r>
      </text>
    </comment>
    <comment ref="AG20" authorId="1" shapeId="0" xr:uid="{FD1F9881-015A-44DA-B1FA-5127D274DF09}">
      <text>
        <r>
          <rPr>
            <b/>
            <sz val="9"/>
            <color indexed="81"/>
            <rFont val="Tahoma"/>
            <family val="2"/>
          </rPr>
          <t>Steen Hertin:</t>
        </r>
        <r>
          <rPr>
            <sz val="9"/>
            <color indexed="81"/>
            <rFont val="Tahoma"/>
            <family val="2"/>
          </rPr>
          <t xml:space="preserve">
Til læge</t>
        </r>
      </text>
    </comment>
    <comment ref="D21" authorId="5" shapeId="0" xr:uid="{7D6C937B-505D-4A07-AECF-0BFE01DE2245}">
      <text>
        <r>
          <rPr>
            <b/>
            <sz val="9"/>
            <color indexed="81"/>
            <rFont val="Tahoma"/>
            <family val="2"/>
          </rPr>
          <t>Thomas Holm:</t>
        </r>
        <r>
          <rPr>
            <sz val="9"/>
            <color indexed="81"/>
            <rFont val="Tahoma"/>
            <family val="2"/>
          </rPr>
          <t xml:space="preserve">
4-vagt</t>
        </r>
      </text>
    </comment>
    <comment ref="L21" authorId="0" shapeId="0" xr:uid="{5BDB6F93-E251-451E-A54A-7958C5AEAD0A}">
      <text>
        <r>
          <rPr>
            <b/>
            <sz val="9"/>
            <color indexed="81"/>
            <rFont val="Tahoma"/>
            <family val="2"/>
          </rPr>
          <t>Marianne Rasmussen:</t>
        </r>
        <r>
          <rPr>
            <sz val="9"/>
            <color indexed="81"/>
            <rFont val="Tahoma"/>
            <family val="2"/>
          </rPr>
          <t xml:space="preserve">
Medaljeuddeling på oa 16-</t>
        </r>
      </text>
    </comment>
    <comment ref="R21" authorId="1" shapeId="0" xr:uid="{E57F501A-9268-485B-97AE-BDD1B2090847}">
      <text>
        <r>
          <rPr>
            <b/>
            <sz val="9"/>
            <color indexed="81"/>
            <rFont val="Tahoma"/>
            <family val="2"/>
          </rPr>
          <t>Steen Hertin:</t>
        </r>
        <r>
          <rPr>
            <sz val="9"/>
            <color indexed="81"/>
            <rFont val="Tahoma"/>
            <family val="2"/>
          </rPr>
          <t xml:space="preserve">
Husk vagt til Thorvaldsen kl. 06.00 - 08.00</t>
        </r>
      </text>
    </comment>
    <comment ref="S21" authorId="1" shapeId="0" xr:uid="{7D10832A-12D1-4230-BC60-8B8C102E39A1}">
      <text>
        <r>
          <rPr>
            <b/>
            <sz val="9"/>
            <color indexed="81"/>
            <rFont val="Tahoma"/>
            <family val="2"/>
          </rPr>
          <t>Steen Hertin:</t>
        </r>
        <r>
          <rPr>
            <sz val="9"/>
            <color indexed="81"/>
            <rFont val="Tahoma"/>
            <family val="2"/>
          </rPr>
          <t xml:space="preserve">
dimitrios møder kl. 05.00
som vagt til thorvaldsens</t>
        </r>
      </text>
    </comment>
    <comment ref="AG21" authorId="3" shapeId="0" xr:uid="{DA167054-246B-4D51-B528-E70CA4E4A601}">
      <text>
        <r>
          <rPr>
            <b/>
            <sz val="9"/>
            <color indexed="81"/>
            <rFont val="Tahoma"/>
            <family val="2"/>
          </rPr>
          <t>Rasmus Sørensen:</t>
        </r>
        <r>
          <rPr>
            <sz val="9"/>
            <color indexed="81"/>
            <rFont val="Tahoma"/>
            <family val="2"/>
          </rPr>
          <t xml:space="preserve">
valgkælder fra kl. 14
Til møde kl 10.30.</t>
        </r>
      </text>
    </comment>
    <comment ref="G22" authorId="1" shapeId="0" xr:uid="{5110A546-2C59-4C03-A676-23995FD94223}">
      <text>
        <r>
          <rPr>
            <b/>
            <sz val="9"/>
            <color indexed="81"/>
            <rFont val="Tahoma"/>
            <family val="2"/>
          </rPr>
          <t>Steen Hertin:</t>
        </r>
        <r>
          <rPr>
            <sz val="9"/>
            <color indexed="81"/>
            <rFont val="Tahoma"/>
            <family val="2"/>
          </rPr>
          <t xml:space="preserve">
Cabinn Copenhagen kl. 15-22 på OA</t>
        </r>
      </text>
    </comment>
    <comment ref="H22" authorId="1" shapeId="0" xr:uid="{064883D1-E822-48C7-B813-C477E2F2DF4D}">
      <text>
        <r>
          <rPr>
            <b/>
            <sz val="9"/>
            <color indexed="81"/>
            <rFont val="Tahoma"/>
            <family val="2"/>
          </rPr>
          <t>Steen Hertin:</t>
        </r>
        <r>
          <rPr>
            <sz val="9"/>
            <color indexed="81"/>
            <rFont val="Tahoma"/>
            <family val="2"/>
          </rPr>
          <t xml:space="preserve">
Cabinn Copenhagen kl. 15-22 på OA</t>
        </r>
      </text>
    </comment>
    <comment ref="I22" authorId="2" shapeId="0" xr:uid="{CCFB3020-AA18-4626-B528-E7CEAB36BB69}">
      <text>
        <r>
          <rPr>
            <b/>
            <sz val="9"/>
            <color indexed="81"/>
            <rFont val="Tahoma"/>
            <family val="2"/>
          </rPr>
          <t>Nick Lorentzen:</t>
        </r>
        <r>
          <rPr>
            <sz val="9"/>
            <color indexed="81"/>
            <rFont val="Tahoma"/>
            <family val="2"/>
          </rPr>
          <t xml:space="preserve">
08:00 - 22:00 OA 
Copenhagen</t>
        </r>
      </text>
    </comment>
    <comment ref="N22" authorId="6" shapeId="0" xr:uid="{F0EF1752-EB7D-4138-9BBA-7EF0811A7D2C}">
      <text>
        <r>
          <rPr>
            <b/>
            <sz val="9"/>
            <color indexed="81"/>
            <rFont val="Tahoma"/>
            <family val="2"/>
          </rPr>
          <t>marasm:</t>
        </r>
        <r>
          <rPr>
            <sz val="9"/>
            <color indexed="81"/>
            <rFont val="Tahoma"/>
            <family val="2"/>
          </rPr>
          <t xml:space="preserve">
Arrangement  fra kl 19-</t>
        </r>
      </text>
    </comment>
    <comment ref="O22" authorId="1" shapeId="0" xr:uid="{3CCEE550-007E-43BC-A8E3-974E282F7678}">
      <text>
        <r>
          <rPr>
            <b/>
            <sz val="9"/>
            <color indexed="81"/>
            <rFont val="Tahoma"/>
            <family val="2"/>
          </rPr>
          <t>Steen Hertin:</t>
        </r>
        <r>
          <rPr>
            <sz val="9"/>
            <color indexed="81"/>
            <rFont val="Tahoma"/>
            <family val="2"/>
          </rPr>
          <t xml:space="preserve">
Møder på Copenhagen 08-15 på OA + 15-22 normal tjeneste.</t>
        </r>
      </text>
    </comment>
    <comment ref="Q22" authorId="4" shapeId="0" xr:uid="{9F48E3B5-A282-40EC-9D56-843BE8998301}">
      <text>
        <r>
          <rPr>
            <b/>
            <sz val="9"/>
            <color indexed="81"/>
            <rFont val="Tahoma"/>
            <family val="2"/>
          </rPr>
          <t>Steen Hertin-Sandkær:</t>
        </r>
        <r>
          <rPr>
            <sz val="9"/>
            <color indexed="81"/>
            <rFont val="Tahoma"/>
            <family val="2"/>
          </rPr>
          <t xml:space="preserve">
på Copenhagen 08-22</t>
        </r>
      </text>
    </comment>
    <comment ref="R22" authorId="1" shapeId="0" xr:uid="{8358201B-B1D9-4785-A937-6B83359BFE95}">
      <text>
        <r>
          <rPr>
            <b/>
            <sz val="9"/>
            <color indexed="81"/>
            <rFont val="Tahoma"/>
            <family val="2"/>
          </rPr>
          <t>Steen Hertin:</t>
        </r>
        <r>
          <rPr>
            <sz val="9"/>
            <color indexed="81"/>
            <rFont val="Tahoma"/>
            <family val="2"/>
          </rPr>
          <t xml:space="preserve">
Copenhagen 08-22</t>
        </r>
      </text>
    </comment>
    <comment ref="S22" authorId="1" shapeId="0" xr:uid="{0DE4CF4C-446C-4DB2-A381-5BC846E399F5}">
      <text>
        <r>
          <rPr>
            <b/>
            <sz val="9"/>
            <color indexed="81"/>
            <rFont val="Tahoma"/>
            <family val="2"/>
          </rPr>
          <t>Steen Hertin:</t>
        </r>
        <r>
          <rPr>
            <sz val="9"/>
            <color indexed="81"/>
            <rFont val="Tahoma"/>
            <family val="2"/>
          </rPr>
          <t xml:space="preserve">
Copenhagen 08-15</t>
        </r>
      </text>
    </comment>
    <comment ref="T22" authorId="1" shapeId="0" xr:uid="{7B19A6E4-F44A-45B4-91F1-980704AA6B4B}">
      <text>
        <r>
          <rPr>
            <b/>
            <sz val="9"/>
            <color indexed="81"/>
            <rFont val="Tahoma"/>
            <family val="2"/>
          </rPr>
          <t>Steen Hertin:</t>
        </r>
        <r>
          <rPr>
            <sz val="9"/>
            <color indexed="81"/>
            <rFont val="Tahoma"/>
            <family val="2"/>
          </rPr>
          <t xml:space="preserve">
Copenhagen 08-22</t>
        </r>
      </text>
    </comment>
    <comment ref="U22" authorId="1" shapeId="0" xr:uid="{DD4B9357-FD09-45E4-8D2B-7D1B5CFFD444}">
      <text>
        <r>
          <rPr>
            <b/>
            <sz val="9"/>
            <color indexed="81"/>
            <rFont val="Tahoma"/>
            <family val="2"/>
          </rPr>
          <t>Steen Hertin:</t>
        </r>
        <r>
          <rPr>
            <sz val="9"/>
            <color indexed="81"/>
            <rFont val="Tahoma"/>
            <family val="2"/>
          </rPr>
          <t xml:space="preserve">
Copenhagen 08-15</t>
        </r>
      </text>
    </comment>
    <comment ref="Y22" authorId="1" shapeId="0" xr:uid="{2AC406B9-4323-4204-9369-D98F5BA359BC}">
      <text>
        <r>
          <rPr>
            <b/>
            <sz val="9"/>
            <color indexed="81"/>
            <rFont val="Tahoma"/>
            <family val="2"/>
          </rPr>
          <t>Steen Hertin:</t>
        </r>
        <r>
          <rPr>
            <sz val="9"/>
            <color indexed="81"/>
            <rFont val="Tahoma"/>
            <family val="2"/>
          </rPr>
          <t xml:space="preserve">
Copenhagen 08-15 OA</t>
        </r>
      </text>
    </comment>
    <comment ref="AF22" authorId="3" shapeId="0" xr:uid="{CDFD7AB3-BBBD-4527-9832-167DA0FEB512}">
      <text>
        <r>
          <rPr>
            <b/>
            <sz val="9"/>
            <color indexed="81"/>
            <rFont val="Tahoma"/>
            <family val="2"/>
          </rPr>
          <t>Rasmus Sørensen:</t>
        </r>
        <r>
          <rPr>
            <sz val="9"/>
            <color indexed="81"/>
            <rFont val="Tahoma"/>
            <family val="2"/>
          </rPr>
          <t xml:space="preserve">
svanemøllehallen kl. 20:00-07:00</t>
        </r>
      </text>
    </comment>
    <comment ref="D24" authorId="7" shapeId="0" xr:uid="{B6DA9552-0147-475E-8FB7-403468FA3240}">
      <text>
        <r>
          <rPr>
            <b/>
            <sz val="9"/>
            <color indexed="81"/>
            <rFont val="Tahoma"/>
            <family val="2"/>
          </rPr>
          <t>Nikolaj Langtin Pamhede:</t>
        </r>
        <r>
          <rPr>
            <sz val="9"/>
            <color indexed="81"/>
            <rFont val="Tahoma"/>
            <family val="2"/>
          </rPr>
          <t xml:space="preserve">
Dækker 69 
</t>
        </r>
      </text>
    </comment>
    <comment ref="E24" authorId="1" shapeId="0" xr:uid="{E2EAB798-5B6C-4FDB-B395-262647BB3014}">
      <text>
        <r>
          <rPr>
            <b/>
            <sz val="9"/>
            <color indexed="81"/>
            <rFont val="Tahoma"/>
            <family val="2"/>
          </rPr>
          <t>Steen Hertin:</t>
        </r>
        <r>
          <rPr>
            <sz val="9"/>
            <color indexed="81"/>
            <rFont val="Tahoma"/>
            <family val="2"/>
          </rPr>
          <t xml:space="preserve">
Dækker 1-vagt</t>
        </r>
      </text>
    </comment>
    <comment ref="G24" authorId="1" shapeId="0" xr:uid="{3BABBD36-72F4-47CB-B7E7-A81DE793940E}">
      <text>
        <r>
          <rPr>
            <b/>
            <sz val="9"/>
            <color indexed="81"/>
            <rFont val="Tahoma"/>
            <family val="2"/>
          </rPr>
          <t>Steen Hertin:</t>
        </r>
        <r>
          <rPr>
            <sz val="9"/>
            <color indexed="81"/>
            <rFont val="Tahoma"/>
            <family val="2"/>
          </rPr>
          <t xml:space="preserve">
Dækker 1-vagt</t>
        </r>
      </text>
    </comment>
    <comment ref="H24" authorId="1" shapeId="0" xr:uid="{0116CE2A-B27F-40FC-A18D-C3CD49AAA9BF}">
      <text>
        <r>
          <rPr>
            <b/>
            <sz val="9"/>
            <color indexed="81"/>
            <rFont val="Tahoma"/>
            <family val="2"/>
          </rPr>
          <t>Steen Hertin:</t>
        </r>
        <r>
          <rPr>
            <sz val="9"/>
            <color indexed="81"/>
            <rFont val="Tahoma"/>
            <family val="2"/>
          </rPr>
          <t xml:space="preserve">
Dækker 1-vagt</t>
        </r>
      </text>
    </comment>
    <comment ref="R25" authorId="1" shapeId="0" xr:uid="{BDCEB4BC-1683-4C10-AA39-8AFC086B2F82}">
      <text>
        <r>
          <rPr>
            <b/>
            <sz val="9"/>
            <color indexed="81"/>
            <rFont val="Tahoma"/>
            <family val="2"/>
          </rPr>
          <t>Steen Hertin:</t>
        </r>
        <r>
          <rPr>
            <sz val="9"/>
            <color indexed="81"/>
            <rFont val="Tahoma"/>
            <family val="2"/>
          </rPr>
          <t xml:space="preserve">
Kemal dækker 3-vagt</t>
        </r>
      </text>
    </comment>
    <comment ref="S25" authorId="1" shapeId="0" xr:uid="{1A9276CF-7CE2-4D2E-A037-67674189D7D7}">
      <text>
        <r>
          <rPr>
            <b/>
            <sz val="9"/>
            <color indexed="81"/>
            <rFont val="Tahoma"/>
            <family val="2"/>
          </rPr>
          <t>Steen Hertin:</t>
        </r>
        <r>
          <rPr>
            <sz val="9"/>
            <color indexed="81"/>
            <rFont val="Tahoma"/>
            <family val="2"/>
          </rPr>
          <t xml:space="preserve">
Kemal dækker 3-vagt</t>
        </r>
      </text>
    </comment>
    <comment ref="AC27" authorId="1" shapeId="0" xr:uid="{96DD496B-F2BA-4246-9AF7-C2D3BD0FD1E9}">
      <text>
        <r>
          <rPr>
            <b/>
            <sz val="9"/>
            <color indexed="81"/>
            <rFont val="Tahoma"/>
            <family val="2"/>
          </rPr>
          <t>Steen Hertin:</t>
        </r>
        <r>
          <rPr>
            <sz val="9"/>
            <color indexed="81"/>
            <rFont val="Tahoma"/>
            <family val="2"/>
          </rPr>
          <t xml:space="preserve">
Afløse Johnny som fejeperson</t>
        </r>
      </text>
    </comment>
    <comment ref="C37" authorId="8" shapeId="0" xr:uid="{6AF86FF6-C69D-428D-A671-6082DAE17EE5}">
      <text>
        <r>
          <rPr>
            <b/>
            <sz val="9"/>
            <color indexed="81"/>
            <rFont val="Tahoma"/>
            <family val="2"/>
          </rPr>
          <t>Michael Bo Pedersen:</t>
        </r>
        <r>
          <rPr>
            <sz val="9"/>
            <color indexed="81"/>
            <rFont val="Tahoma"/>
            <family val="2"/>
          </rPr>
          <t xml:space="preserve">
21-vagt på OA</t>
        </r>
      </text>
    </comment>
    <comment ref="V37" authorId="1" shapeId="0" xr:uid="{CD12DCF9-1D07-4182-9E36-3C3A0DCDBDB4}">
      <text>
        <r>
          <rPr>
            <b/>
            <sz val="9"/>
            <color indexed="81"/>
            <rFont val="Tahoma"/>
            <family val="2"/>
          </rPr>
          <t>Steen Hertin:</t>
        </r>
        <r>
          <rPr>
            <sz val="9"/>
            <color indexed="81"/>
            <rFont val="Tahoma"/>
            <family val="2"/>
          </rPr>
          <t xml:space="preserve">
Grus</t>
        </r>
      </text>
    </comment>
    <comment ref="Y37" authorId="1" shapeId="0" xr:uid="{1CCDBABC-0CFE-4FEB-A1A1-0F4BCB187BE6}">
      <text>
        <r>
          <rPr>
            <b/>
            <sz val="9"/>
            <color indexed="81"/>
            <rFont val="Tahoma"/>
            <family val="2"/>
          </rPr>
          <t>Steen Hertin:</t>
        </r>
        <r>
          <rPr>
            <sz val="9"/>
            <color indexed="81"/>
            <rFont val="Tahoma"/>
            <family val="2"/>
          </rPr>
          <t xml:space="preserve">
P-vagt på OA</t>
        </r>
      </text>
    </comment>
    <comment ref="Z37" authorId="1" shapeId="0" xr:uid="{B32B729C-B65F-4F6B-904A-5EE4D477C3E8}">
      <text>
        <r>
          <rPr>
            <b/>
            <sz val="9"/>
            <color indexed="81"/>
            <rFont val="Tahoma"/>
            <family val="2"/>
          </rPr>
          <t>Steen Hertin:
i2</t>
        </r>
        <r>
          <rPr>
            <sz val="9"/>
            <color indexed="81"/>
            <rFont val="Tahoma"/>
            <family val="2"/>
          </rPr>
          <t xml:space="preserve"> på OA</t>
        </r>
      </text>
    </comment>
    <comment ref="AA37" authorId="1" shapeId="0" xr:uid="{E01A81C0-7540-4EF2-9AB3-095CA585A0EE}">
      <text>
        <r>
          <rPr>
            <b/>
            <sz val="9"/>
            <color indexed="81"/>
            <rFont val="Tahoma"/>
            <family val="2"/>
          </rPr>
          <t>Steen Hertin:</t>
        </r>
        <r>
          <rPr>
            <sz val="9"/>
            <color indexed="81"/>
            <rFont val="Tahoma"/>
            <family val="2"/>
          </rPr>
          <t xml:space="preserve">
P-vagt på OA</t>
        </r>
      </text>
    </comment>
    <comment ref="AG37" authorId="1" shapeId="0" xr:uid="{FE1329F6-FDF6-4583-8F99-708B462ADD78}">
      <text>
        <r>
          <rPr>
            <b/>
            <sz val="9"/>
            <color indexed="81"/>
            <rFont val="Tahoma"/>
            <family val="2"/>
          </rPr>
          <t>Steen Hertin:</t>
        </r>
        <r>
          <rPr>
            <sz val="9"/>
            <color indexed="81"/>
            <rFont val="Tahoma"/>
            <family val="2"/>
          </rPr>
          <t xml:space="preserve">
Bud til valg.</t>
        </r>
      </text>
    </comment>
    <comment ref="C38" authorId="1" shapeId="0" xr:uid="{7605A249-28F4-4F27-B54D-3EC32F81BC69}">
      <text>
        <r>
          <rPr>
            <b/>
            <sz val="9"/>
            <color indexed="81"/>
            <rFont val="Tahoma"/>
            <family val="2"/>
          </rPr>
          <t>Steen Hertin:</t>
        </r>
        <r>
          <rPr>
            <sz val="9"/>
            <color indexed="81"/>
            <rFont val="Tahoma"/>
            <family val="2"/>
          </rPr>
          <t xml:space="preserve">
Cabin copenhagen 15-22</t>
        </r>
      </text>
    </comment>
    <comment ref="F38" authorId="1" shapeId="0" xr:uid="{8AD51866-C7BA-45F1-A107-5F4E5BA19C70}">
      <text>
        <r>
          <rPr>
            <b/>
            <sz val="9"/>
            <color indexed="81"/>
            <rFont val="Tahoma"/>
            <family val="2"/>
          </rPr>
          <t>Steen Hertin:</t>
        </r>
        <r>
          <rPr>
            <sz val="9"/>
            <color indexed="81"/>
            <rFont val="Tahoma"/>
            <family val="2"/>
          </rPr>
          <t xml:space="preserve">
Cabinn Copenhagen 15-22 på OA</t>
        </r>
      </text>
    </comment>
    <comment ref="G38" authorId="1" shapeId="0" xr:uid="{0771239A-3975-4EDC-8D29-D234446AEB1F}">
      <text>
        <r>
          <rPr>
            <b/>
            <sz val="9"/>
            <color indexed="81"/>
            <rFont val="Tahoma"/>
            <family val="2"/>
          </rPr>
          <t>Steen Hertin:</t>
        </r>
        <r>
          <rPr>
            <sz val="9"/>
            <color indexed="81"/>
            <rFont val="Tahoma"/>
            <family val="2"/>
          </rPr>
          <t xml:space="preserve">
Cabinn Copenhagen 15-22 på OA</t>
        </r>
      </text>
    </comment>
    <comment ref="H38" authorId="1" shapeId="0" xr:uid="{2C794F2E-3B4A-465E-BE01-1B8496E6BFF6}">
      <text>
        <r>
          <rPr>
            <b/>
            <sz val="9"/>
            <color indexed="81"/>
            <rFont val="Tahoma"/>
            <family val="2"/>
          </rPr>
          <t>Steen Hertin:</t>
        </r>
        <r>
          <rPr>
            <sz val="9"/>
            <color indexed="81"/>
            <rFont val="Tahoma"/>
            <family val="2"/>
          </rPr>
          <t xml:space="preserve">
Cabinn Copenhagen 15-22 på OA</t>
        </r>
      </text>
    </comment>
    <comment ref="L38" authorId="1" shapeId="0" xr:uid="{D76C8188-CE84-4595-8643-321CFBB68DA3}">
      <text>
        <r>
          <rPr>
            <b/>
            <sz val="9"/>
            <color indexed="81"/>
            <rFont val="Tahoma"/>
            <family val="2"/>
          </rPr>
          <t>Steen Hertin:</t>
        </r>
        <r>
          <rPr>
            <sz val="9"/>
            <color indexed="81"/>
            <rFont val="Tahoma"/>
            <family val="2"/>
          </rPr>
          <t xml:space="preserve">
Cabinn Copenhagen 08-22 på OA</t>
        </r>
      </text>
    </comment>
    <comment ref="M38" authorId="1" shapeId="0" xr:uid="{EA465D5A-3564-40EF-BA21-4822376A75FE}">
      <text>
        <r>
          <rPr>
            <b/>
            <sz val="9"/>
            <color indexed="81"/>
            <rFont val="Tahoma"/>
            <family val="2"/>
          </rPr>
          <t>Steen Hertin:</t>
        </r>
        <r>
          <rPr>
            <sz val="9"/>
            <color indexed="81"/>
            <rFont val="Tahoma"/>
            <family val="2"/>
          </rPr>
          <t xml:space="preserve">
Cabinn Copenhagen 08-22 på OA</t>
        </r>
      </text>
    </comment>
    <comment ref="N38" authorId="1" shapeId="0" xr:uid="{B6930217-2B29-4ED6-8621-A1A99C0B67E8}">
      <text>
        <r>
          <rPr>
            <b/>
            <sz val="9"/>
            <color indexed="81"/>
            <rFont val="Tahoma"/>
            <family val="2"/>
          </rPr>
          <t>Steen Hertin:</t>
        </r>
        <r>
          <rPr>
            <sz val="9"/>
            <color indexed="81"/>
            <rFont val="Tahoma"/>
            <family val="2"/>
          </rPr>
          <t xml:space="preserve">
Cabinn Copenhagen 08-22 på OA</t>
        </r>
      </text>
    </comment>
    <comment ref="V38" authorId="1" shapeId="0" xr:uid="{7C0A9D58-F0AC-402F-B776-8631C5ECD49A}">
      <text>
        <r>
          <rPr>
            <b/>
            <sz val="9"/>
            <color indexed="81"/>
            <rFont val="Tahoma"/>
            <family val="2"/>
          </rPr>
          <t>Steen Hertin:</t>
        </r>
        <r>
          <rPr>
            <sz val="9"/>
            <color indexed="81"/>
            <rFont val="Tahoma"/>
            <family val="2"/>
          </rPr>
          <t xml:space="preserve">
Grus</t>
        </r>
      </text>
    </comment>
    <comment ref="AF38" authorId="1" shapeId="0" xr:uid="{5536E8D5-AE60-4B06-9D70-69F65278DFA5}">
      <text>
        <r>
          <rPr>
            <b/>
            <sz val="9"/>
            <color indexed="81"/>
            <rFont val="Tahoma"/>
            <family val="2"/>
          </rPr>
          <t>Steen Hertin:</t>
        </r>
        <r>
          <rPr>
            <sz val="9"/>
            <color indexed="81"/>
            <rFont val="Tahoma"/>
            <family val="2"/>
          </rPr>
          <t xml:space="preserve">
Cabinn Copenhagen 15.30 - 22.00 på OA</t>
        </r>
      </text>
    </comment>
    <comment ref="AG38" authorId="1" shapeId="0" xr:uid="{46431562-1945-4267-8606-6CC96C351E8D}">
      <text>
        <r>
          <rPr>
            <b/>
            <sz val="9"/>
            <color indexed="81"/>
            <rFont val="Tahoma"/>
            <family val="2"/>
          </rPr>
          <t>Steen Hertin:</t>
        </r>
        <r>
          <rPr>
            <sz val="9"/>
            <color indexed="81"/>
            <rFont val="Tahoma"/>
            <family val="2"/>
          </rPr>
          <t xml:space="preserve">
Cabinn Copenhagen 15.30 - 22.00 på OA</t>
        </r>
      </text>
    </comment>
    <comment ref="L39" authorId="1" shapeId="0" xr:uid="{FB968FE9-4BD9-444F-BFD9-0A524C86E74A}">
      <text>
        <r>
          <rPr>
            <b/>
            <sz val="9"/>
            <color indexed="81"/>
            <rFont val="Tahoma"/>
            <family val="2"/>
          </rPr>
          <t>Steen Hertin:</t>
        </r>
        <r>
          <rPr>
            <sz val="9"/>
            <color indexed="81"/>
            <rFont val="Tahoma"/>
            <family val="2"/>
          </rPr>
          <t xml:space="preserve">
Feje sammen med Johnny</t>
        </r>
      </text>
    </comment>
    <comment ref="N39" authorId="1" shapeId="0" xr:uid="{BB110EB4-2347-497E-81BA-5A5BE16D5A28}">
      <text>
        <r>
          <rPr>
            <b/>
            <sz val="9"/>
            <color indexed="81"/>
            <rFont val="Tahoma"/>
            <family val="2"/>
          </rPr>
          <t>Steen Hertin:</t>
        </r>
        <r>
          <rPr>
            <sz val="9"/>
            <color indexed="81"/>
            <rFont val="Tahoma"/>
            <family val="2"/>
          </rPr>
          <t xml:space="preserve">
Feje sammen med Johnny</t>
        </r>
      </text>
    </comment>
    <comment ref="R39" authorId="1" shapeId="0" xr:uid="{EF7F6F14-629B-4A02-B45F-DCE4ED5CA1CB}">
      <text>
        <r>
          <rPr>
            <b/>
            <sz val="9"/>
            <color indexed="81"/>
            <rFont val="Tahoma"/>
            <family val="2"/>
          </rPr>
          <t>Steen Hertin:</t>
        </r>
        <r>
          <rPr>
            <sz val="9"/>
            <color indexed="81"/>
            <rFont val="Tahoma"/>
            <family val="2"/>
          </rPr>
          <t xml:space="preserve">
Feje sammen med Johnny</t>
        </r>
      </text>
    </comment>
    <comment ref="S39" authorId="1" shapeId="0" xr:uid="{8A566639-B9A1-47F7-AA4A-5E7FFD652A8D}">
      <text>
        <r>
          <rPr>
            <b/>
            <sz val="9"/>
            <color indexed="81"/>
            <rFont val="Tahoma"/>
            <family val="2"/>
          </rPr>
          <t>Steen Hertin:</t>
        </r>
        <r>
          <rPr>
            <sz val="9"/>
            <color indexed="81"/>
            <rFont val="Tahoma"/>
            <family val="2"/>
          </rPr>
          <t xml:space="preserve">
Feje sammen med Johnny</t>
        </r>
      </text>
    </comment>
    <comment ref="V39" authorId="1" shapeId="0" xr:uid="{74DDD7B5-1A0A-4E39-A5D1-CC49C701A503}">
      <text>
        <r>
          <rPr>
            <b/>
            <sz val="9"/>
            <color indexed="81"/>
            <rFont val="Tahoma"/>
            <family val="2"/>
          </rPr>
          <t>Steen Hertin:</t>
        </r>
        <r>
          <rPr>
            <sz val="9"/>
            <color indexed="81"/>
            <rFont val="Tahoma"/>
            <family val="2"/>
          </rPr>
          <t xml:space="preserve">
Grus</t>
        </r>
      </text>
    </comment>
    <comment ref="H41" authorId="7" shapeId="0" xr:uid="{E7CD2429-74E4-46EA-9F98-73A2BEB9769A}">
      <text>
        <r>
          <rPr>
            <b/>
            <sz val="9"/>
            <color indexed="81"/>
            <rFont val="Tahoma"/>
            <family val="2"/>
          </rPr>
          <t>Nikolaj Langtin Pamhede:</t>
        </r>
        <r>
          <rPr>
            <sz val="9"/>
            <color indexed="81"/>
            <rFont val="Tahoma"/>
            <family val="2"/>
          </rPr>
          <t xml:space="preserve">
VH
</t>
        </r>
      </text>
    </comment>
    <comment ref="I41" authorId="7" shapeId="0" xr:uid="{E62C2394-D951-4B18-838C-D18B1717C5F0}">
      <text>
        <r>
          <rPr>
            <b/>
            <sz val="9"/>
            <color indexed="81"/>
            <rFont val="Tahoma"/>
            <family val="2"/>
          </rPr>
          <t>Nikolaj Langtin Pamhede:</t>
        </r>
        <r>
          <rPr>
            <sz val="9"/>
            <color indexed="81"/>
            <rFont val="Tahoma"/>
            <family val="2"/>
          </rPr>
          <t xml:space="preserve">
VH
</t>
        </r>
      </text>
    </comment>
    <comment ref="J41" authorId="7" shapeId="0" xr:uid="{8D0F3AB0-1254-47CA-AB4D-4251C599DFA5}">
      <text>
        <r>
          <rPr>
            <b/>
            <sz val="9"/>
            <color indexed="81"/>
            <rFont val="Tahoma"/>
            <family val="2"/>
          </rPr>
          <t>Nikolaj Langtin Pamhede:</t>
        </r>
        <r>
          <rPr>
            <sz val="9"/>
            <color indexed="81"/>
            <rFont val="Tahoma"/>
            <family val="2"/>
          </rPr>
          <t xml:space="preserve">
VH</t>
        </r>
      </text>
    </comment>
    <comment ref="AG42" authorId="9" shapeId="0" xr:uid="{0A393783-19AC-489C-8F5A-D5270DEBE062}">
      <text>
        <r>
          <rPr>
            <b/>
            <sz val="9"/>
            <color indexed="81"/>
            <rFont val="Tahoma"/>
            <family val="2"/>
          </rPr>
          <t>Mathias Hartvig Morell Nielsen:</t>
        </r>
        <r>
          <rPr>
            <sz val="9"/>
            <color indexed="81"/>
            <rFont val="Tahoma"/>
            <family val="2"/>
          </rPr>
          <t xml:space="preserve">
Bliver til kl. 08.00</t>
        </r>
      </text>
    </comment>
    <comment ref="R44" authorId="1" shapeId="0" xr:uid="{4F70449A-27CA-4459-A6C6-728EC293E713}">
      <text>
        <r>
          <rPr>
            <b/>
            <sz val="9"/>
            <color indexed="81"/>
            <rFont val="Tahoma"/>
            <family val="2"/>
          </rPr>
          <t>Steen Hertin:</t>
        </r>
        <r>
          <rPr>
            <sz val="9"/>
            <color indexed="81"/>
            <rFont val="Tahoma"/>
            <family val="2"/>
          </rPr>
          <t xml:space="preserve">
Møder som 11-vagt på OA</t>
        </r>
      </text>
    </comment>
    <comment ref="S44" authorId="1" shapeId="0" xr:uid="{D232CAF0-8C44-428A-89F4-6DE5BD9FA5BC}">
      <text>
        <r>
          <rPr>
            <b/>
            <sz val="9"/>
            <color indexed="81"/>
            <rFont val="Tahoma"/>
            <family val="2"/>
          </rPr>
          <t>Steen Hertin:</t>
        </r>
        <r>
          <rPr>
            <sz val="9"/>
            <color indexed="81"/>
            <rFont val="Tahoma"/>
            <family val="2"/>
          </rPr>
          <t xml:space="preserve">
Omlagt tjeneste til 11-vagt</t>
        </r>
      </text>
    </comment>
    <comment ref="T44" authorId="1" shapeId="0" xr:uid="{37FEDAB8-B02B-4689-82FD-14B359FF7C5E}">
      <text>
        <r>
          <rPr>
            <b/>
            <sz val="9"/>
            <color indexed="81"/>
            <rFont val="Tahoma"/>
            <family val="2"/>
          </rPr>
          <t>Steen Hertin:</t>
        </r>
        <r>
          <rPr>
            <sz val="9"/>
            <color indexed="81"/>
            <rFont val="Tahoma"/>
            <family val="2"/>
          </rPr>
          <t xml:space="preserve">
Omlagt tjeneste til 11-vagt</t>
        </r>
      </text>
    </comment>
    <comment ref="U44" authorId="1" shapeId="0" xr:uid="{B06FDE93-20E6-40C4-A7F1-717355F4E94E}">
      <text>
        <r>
          <rPr>
            <b/>
            <sz val="9"/>
            <color indexed="81"/>
            <rFont val="Tahoma"/>
            <family val="2"/>
          </rPr>
          <t>Steen Hertin:</t>
        </r>
        <r>
          <rPr>
            <sz val="9"/>
            <color indexed="81"/>
            <rFont val="Tahoma"/>
            <family val="2"/>
          </rPr>
          <t xml:space="preserve">
Fri efter nattevagt</t>
        </r>
      </text>
    </comment>
    <comment ref="C46" authorId="1" shapeId="0" xr:uid="{D119B1C5-91C5-4DDA-81C7-A7CA0979C413}">
      <text>
        <r>
          <rPr>
            <b/>
            <sz val="9"/>
            <color indexed="81"/>
            <rFont val="Tahoma"/>
            <family val="2"/>
          </rPr>
          <t>Steen Hertin:</t>
        </r>
        <r>
          <rPr>
            <sz val="9"/>
            <color indexed="81"/>
            <rFont val="Tahoma"/>
            <family val="2"/>
          </rPr>
          <t xml:space="preserve">
Cabin copenhagen 15-22</t>
        </r>
      </text>
    </comment>
    <comment ref="D46" authorId="1" shapeId="0" xr:uid="{60830D4F-CD2A-4A10-A1FB-7A5DF20F60A0}">
      <text>
        <r>
          <rPr>
            <b/>
            <sz val="9"/>
            <color indexed="81"/>
            <rFont val="Tahoma"/>
            <family val="2"/>
          </rPr>
          <t>Steen Hertin:</t>
        </r>
        <r>
          <rPr>
            <sz val="9"/>
            <color indexed="81"/>
            <rFont val="Tahoma"/>
            <family val="2"/>
          </rPr>
          <t xml:space="preserve">
Copenhagen 08-15</t>
        </r>
      </text>
    </comment>
    <comment ref="E46" authorId="1" shapeId="0" xr:uid="{6BE4AFE4-A491-4EAC-A9CD-61616EA6D725}">
      <text>
        <r>
          <rPr>
            <b/>
            <sz val="9"/>
            <color indexed="81"/>
            <rFont val="Tahoma"/>
            <family val="2"/>
          </rPr>
          <t>Steen Hertin:</t>
        </r>
        <r>
          <rPr>
            <sz val="9"/>
            <color indexed="81"/>
            <rFont val="Tahoma"/>
            <family val="2"/>
          </rPr>
          <t xml:space="preserve">
Copenhagen 08-15</t>
        </r>
      </text>
    </comment>
    <comment ref="F46" authorId="1" shapeId="0" xr:uid="{818BECF0-8FF5-4117-8939-9BF3D703316A}">
      <text>
        <r>
          <rPr>
            <b/>
            <sz val="9"/>
            <color indexed="81"/>
            <rFont val="Tahoma"/>
            <family val="2"/>
          </rPr>
          <t>Steen Hertin:</t>
        </r>
        <r>
          <rPr>
            <sz val="9"/>
            <color indexed="81"/>
            <rFont val="Tahoma"/>
            <family val="2"/>
          </rPr>
          <t xml:space="preserve">
Rundvisning på engelsk. Spørg Kristoffer om tiden. + Copenhagen 08-15</t>
        </r>
      </text>
    </comment>
    <comment ref="G46" authorId="1" shapeId="0" xr:uid="{3AAAF06A-4922-41A5-95E5-5F81FFCBFCCA}">
      <text>
        <r>
          <rPr>
            <b/>
            <sz val="9"/>
            <color indexed="81"/>
            <rFont val="Tahoma"/>
            <family val="2"/>
          </rPr>
          <t>Steen Hertin:</t>
        </r>
        <r>
          <rPr>
            <sz val="9"/>
            <color indexed="81"/>
            <rFont val="Tahoma"/>
            <family val="2"/>
          </rPr>
          <t xml:space="preserve">
Copenhagen 08-15</t>
        </r>
      </text>
    </comment>
    <comment ref="H46" authorId="1" shapeId="0" xr:uid="{D0D865A9-B9F5-48F9-9172-A21705A14267}">
      <text>
        <r>
          <rPr>
            <b/>
            <sz val="9"/>
            <color indexed="81"/>
            <rFont val="Tahoma"/>
            <family val="2"/>
          </rPr>
          <t>Steen Hertin:</t>
        </r>
        <r>
          <rPr>
            <sz val="9"/>
            <color indexed="81"/>
            <rFont val="Tahoma"/>
            <family val="2"/>
          </rPr>
          <t xml:space="preserve">
Copenhagen 08-15</t>
        </r>
      </text>
    </comment>
    <comment ref="K46" authorId="1" shapeId="0" xr:uid="{9424EE16-F820-408B-AD50-8A26F4C18700}">
      <text>
        <r>
          <rPr>
            <b/>
            <sz val="9"/>
            <color indexed="81"/>
            <rFont val="Tahoma"/>
            <family val="2"/>
          </rPr>
          <t>Steen Hertin:</t>
        </r>
        <r>
          <rPr>
            <sz val="9"/>
            <color indexed="81"/>
            <rFont val="Tahoma"/>
            <family val="2"/>
          </rPr>
          <t xml:space="preserve">
Cabinn Copenhagen 08-15 på OA</t>
        </r>
      </text>
    </comment>
    <comment ref="L46" authorId="1" shapeId="0" xr:uid="{EA67484E-E72F-48EA-BC9E-625712E136C7}">
      <text>
        <r>
          <rPr>
            <b/>
            <sz val="9"/>
            <color indexed="81"/>
            <rFont val="Tahoma"/>
            <family val="2"/>
          </rPr>
          <t>Steen Hertin:</t>
        </r>
        <r>
          <rPr>
            <sz val="9"/>
            <color indexed="81"/>
            <rFont val="Tahoma"/>
            <family val="2"/>
          </rPr>
          <t xml:space="preserve">
Cabinn Copenhagen 08-15 på OA</t>
        </r>
      </text>
    </comment>
    <comment ref="M46" authorId="1" shapeId="0" xr:uid="{87A09F10-7EC0-493D-87FB-D0358A5C38FF}">
      <text>
        <r>
          <rPr>
            <b/>
            <sz val="9"/>
            <color indexed="81"/>
            <rFont val="Tahoma"/>
            <family val="2"/>
          </rPr>
          <t>Steen Hertin:</t>
        </r>
        <r>
          <rPr>
            <sz val="9"/>
            <color indexed="81"/>
            <rFont val="Tahoma"/>
            <family val="2"/>
          </rPr>
          <t xml:space="preserve">
Cabinn Copenhagen 08-15 på OA</t>
        </r>
      </text>
    </comment>
    <comment ref="N46" authorId="1" shapeId="0" xr:uid="{99EBF691-67AD-476D-BB5D-7DEC28C01DF7}">
      <text>
        <r>
          <rPr>
            <b/>
            <sz val="9"/>
            <color indexed="81"/>
            <rFont val="Tahoma"/>
            <family val="2"/>
          </rPr>
          <t>Steen Hertin:</t>
        </r>
        <r>
          <rPr>
            <sz val="9"/>
            <color indexed="81"/>
            <rFont val="Tahoma"/>
            <family val="2"/>
          </rPr>
          <t xml:space="preserve">
Cabinn Copenhagen 08-15 på OA</t>
        </r>
      </text>
    </comment>
    <comment ref="R46" authorId="1" shapeId="0" xr:uid="{F7B08A02-9388-45B8-86E7-8EE37CFABDCC}">
      <text>
        <r>
          <rPr>
            <b/>
            <sz val="9"/>
            <color indexed="81"/>
            <rFont val="Tahoma"/>
            <family val="2"/>
          </rPr>
          <t>Steen Hertin:</t>
        </r>
        <r>
          <rPr>
            <sz val="9"/>
            <color indexed="81"/>
            <rFont val="Tahoma"/>
            <family val="2"/>
          </rPr>
          <t xml:space="preserve">
Copenhagen 15-22 på OA</t>
        </r>
      </text>
    </comment>
    <comment ref="S46" authorId="1" shapeId="0" xr:uid="{ECDEE65A-6AD4-42F4-A922-DF6DA07BB30D}">
      <text>
        <r>
          <rPr>
            <b/>
            <sz val="9"/>
            <color indexed="81"/>
            <rFont val="Tahoma"/>
            <family val="2"/>
          </rPr>
          <t>Steen Hertin:</t>
        </r>
        <r>
          <rPr>
            <sz val="9"/>
            <color indexed="81"/>
            <rFont val="Tahoma"/>
            <family val="2"/>
          </rPr>
          <t xml:space="preserve">
Copenhagen 15-22 på OA</t>
        </r>
      </text>
    </comment>
    <comment ref="Z46" authorId="1" shapeId="0" xr:uid="{EA9E5D76-5804-435E-B6C9-57432B692B96}">
      <text>
        <r>
          <rPr>
            <b/>
            <sz val="9"/>
            <color indexed="81"/>
            <rFont val="Tahoma"/>
            <family val="2"/>
          </rPr>
          <t>Steen Hertin:</t>
        </r>
        <r>
          <rPr>
            <sz val="9"/>
            <color indexed="81"/>
            <rFont val="Tahoma"/>
            <family val="2"/>
          </rPr>
          <t xml:space="preserve">
Copenhagen 08-15 OA</t>
        </r>
      </text>
    </comment>
    <comment ref="AA46" authorId="1" shapeId="0" xr:uid="{ABFDECCA-0AF5-438B-99CC-C5B53AD52B14}">
      <text>
        <r>
          <rPr>
            <b/>
            <sz val="9"/>
            <color indexed="81"/>
            <rFont val="Tahoma"/>
            <family val="2"/>
          </rPr>
          <t>Steen Hertin:</t>
        </r>
        <r>
          <rPr>
            <sz val="9"/>
            <color indexed="81"/>
            <rFont val="Tahoma"/>
            <family val="2"/>
          </rPr>
          <t xml:space="preserve">
Copenhagen 08-15 OA</t>
        </r>
      </text>
    </comment>
    <comment ref="AC46" authorId="1" shapeId="0" xr:uid="{68FE8224-963E-45D4-95D5-F028B7359BC0}">
      <text>
        <r>
          <rPr>
            <b/>
            <sz val="9"/>
            <color indexed="81"/>
            <rFont val="Tahoma"/>
            <family val="2"/>
          </rPr>
          <t>Steen Hertin:</t>
        </r>
        <r>
          <rPr>
            <sz val="9"/>
            <color indexed="81"/>
            <rFont val="Tahoma"/>
            <family val="2"/>
          </rPr>
          <t xml:space="preserve">
Copenhagen 08-15 OA</t>
        </r>
      </text>
    </comment>
    <comment ref="AG46" authorId="1" shapeId="0" xr:uid="{AEBE4E72-32A0-4A21-A9CA-0EA6114542BD}">
      <text>
        <r>
          <rPr>
            <b/>
            <sz val="9"/>
            <color indexed="81"/>
            <rFont val="Tahoma"/>
            <family val="2"/>
          </rPr>
          <t>Steen Hertin:</t>
        </r>
        <r>
          <rPr>
            <sz val="9"/>
            <color indexed="81"/>
            <rFont val="Tahoma"/>
            <family val="2"/>
          </rPr>
          <t xml:space="preserve">
! Bud. Cabinn Copenhagen 08-15</t>
        </r>
      </text>
    </comment>
    <comment ref="AA48" authorId="8" shapeId="0" xr:uid="{9E7BBFA3-D29B-4D3C-8D03-9558D9317F09}">
      <text>
        <r>
          <rPr>
            <b/>
            <sz val="9"/>
            <color indexed="81"/>
            <rFont val="Tahoma"/>
            <family val="2"/>
          </rPr>
          <t>Michael Bo Pedersen:</t>
        </r>
        <r>
          <rPr>
            <sz val="9"/>
            <color indexed="81"/>
            <rFont val="Tahoma"/>
            <family val="2"/>
          </rPr>
          <t xml:space="preserve">
89-vagt på OA</t>
        </r>
      </text>
    </comment>
    <comment ref="AG48" authorId="4" shapeId="0" xr:uid="{E0B4691A-77FA-4541-A4F4-67DE79E7E1FC}">
      <text>
        <r>
          <rPr>
            <b/>
            <sz val="9"/>
            <color indexed="81"/>
            <rFont val="Tahoma"/>
            <family val="2"/>
          </rPr>
          <t>Steen Hertin-Sandkær:</t>
        </r>
        <r>
          <rPr>
            <sz val="9"/>
            <color indexed="81"/>
            <rFont val="Tahoma"/>
            <family val="2"/>
          </rPr>
          <t xml:space="preserve">
Møder som 99-vagt på OA.</t>
        </r>
      </text>
    </comment>
    <comment ref="I61" authorId="7" shapeId="0" xr:uid="{593C74C8-7B72-4437-9E07-7127F196DACA}">
      <text>
        <r>
          <rPr>
            <b/>
            <sz val="9"/>
            <color indexed="81"/>
            <rFont val="Tahoma"/>
            <family val="2"/>
          </rPr>
          <t>Nikolaj Langtin Pamhede:
9.30-13.30 på OA</t>
        </r>
      </text>
    </comment>
    <comment ref="D62" authorId="0" shapeId="0" xr:uid="{5A6100CE-2559-4D79-90BF-83F61D3B3EF6}">
      <text>
        <r>
          <rPr>
            <b/>
            <sz val="9"/>
            <color indexed="81"/>
            <rFont val="Tahoma"/>
            <family val="2"/>
          </rPr>
          <t>Marianne Rasmussen:</t>
        </r>
        <r>
          <rPr>
            <sz val="9"/>
            <color indexed="81"/>
            <rFont val="Tahoma"/>
            <family val="2"/>
          </rPr>
          <t xml:space="preserve">
1 vagt oa</t>
        </r>
      </text>
    </comment>
    <comment ref="F62" authorId="4" shapeId="0" xr:uid="{75B8FD75-4297-43A6-9414-1BE9EEDE7C51}">
      <text>
        <r>
          <rPr>
            <b/>
            <sz val="9"/>
            <color indexed="81"/>
            <rFont val="Tahoma"/>
            <family val="2"/>
          </rPr>
          <t>Steen Hertin-Sandkær:</t>
        </r>
        <r>
          <rPr>
            <sz val="9"/>
            <color indexed="81"/>
            <rFont val="Tahoma"/>
            <family val="2"/>
          </rPr>
          <t xml:space="preserve">
1-vagt på OA</t>
        </r>
      </text>
    </comment>
    <comment ref="G62" authorId="0" shapeId="0" xr:uid="{867B3C2A-85FC-4FE6-811A-1ECD077C9A1F}">
      <text>
        <r>
          <rPr>
            <b/>
            <sz val="9"/>
            <color indexed="81"/>
            <rFont val="Tahoma"/>
            <family val="2"/>
          </rPr>
          <t>Marianne Rasmussen:</t>
        </r>
        <r>
          <rPr>
            <sz val="9"/>
            <color indexed="81"/>
            <rFont val="Tahoma"/>
            <family val="2"/>
          </rPr>
          <t xml:space="preserve">
26 på oa</t>
        </r>
      </text>
    </comment>
    <comment ref="J62" authorId="1" shapeId="0" xr:uid="{E0632904-3C70-46D6-82A4-04A282F4C2E8}">
      <text>
        <r>
          <rPr>
            <b/>
            <sz val="9"/>
            <color indexed="81"/>
            <rFont val="Tahoma"/>
            <family val="2"/>
          </rPr>
          <t>Steen Hertin:</t>
        </r>
        <r>
          <rPr>
            <sz val="9"/>
            <color indexed="81"/>
            <rFont val="Tahoma"/>
            <family val="2"/>
          </rPr>
          <t xml:space="preserve">
Tingbjerg 13.45-18.15</t>
        </r>
      </text>
    </comment>
    <comment ref="K62" authorId="1" shapeId="0" xr:uid="{5AB44CC4-5E01-4795-B22F-1B99DEFFA0C5}">
      <text>
        <r>
          <rPr>
            <b/>
            <sz val="9"/>
            <color indexed="81"/>
            <rFont val="Tahoma"/>
            <family val="2"/>
          </rPr>
          <t>Steen Hertin:</t>
        </r>
        <r>
          <rPr>
            <sz val="9"/>
            <color indexed="81"/>
            <rFont val="Tahoma"/>
            <family val="2"/>
          </rPr>
          <t xml:space="preserve">
Copenhagen 08-15 på OA</t>
        </r>
      </text>
    </comment>
    <comment ref="R62" authorId="1" shapeId="0" xr:uid="{FE661160-1CE8-4647-81D5-B4BA0E8B7ED1}">
      <text>
        <r>
          <rPr>
            <b/>
            <sz val="9"/>
            <color indexed="81"/>
            <rFont val="Tahoma"/>
            <family val="2"/>
          </rPr>
          <t>Steen Hertin:</t>
        </r>
        <r>
          <rPr>
            <sz val="9"/>
            <color indexed="81"/>
            <rFont val="Tahoma"/>
            <family val="2"/>
          </rPr>
          <t xml:space="preserve">
Copenhagen 08-15 OA</t>
        </r>
      </text>
    </comment>
    <comment ref="S62" authorId="1" shapeId="0" xr:uid="{054A160C-5531-49DC-A443-F155102A78FE}">
      <text>
        <r>
          <rPr>
            <b/>
            <sz val="9"/>
            <color indexed="81"/>
            <rFont val="Tahoma"/>
            <family val="2"/>
          </rPr>
          <t>Steen Hertin:</t>
        </r>
        <r>
          <rPr>
            <sz val="9"/>
            <color indexed="81"/>
            <rFont val="Tahoma"/>
            <family val="2"/>
          </rPr>
          <t xml:space="preserve">
Copenhagen 08-15 OA</t>
        </r>
      </text>
    </comment>
    <comment ref="T62" authorId="1" shapeId="0" xr:uid="{E1A6991F-492E-4B85-830F-25F6CFAB5663}">
      <text>
        <r>
          <rPr>
            <b/>
            <sz val="9"/>
            <color indexed="81"/>
            <rFont val="Tahoma"/>
            <family val="2"/>
          </rPr>
          <t>Steen Hertin:</t>
        </r>
        <r>
          <rPr>
            <sz val="9"/>
            <color indexed="81"/>
            <rFont val="Tahoma"/>
            <family val="2"/>
          </rPr>
          <t xml:space="preserve">
Copenhagen 08-15 OA</t>
        </r>
      </text>
    </comment>
    <comment ref="W62" authorId="4" shapeId="0" xr:uid="{90B572A8-45C2-4D2E-BF99-8C647DB20917}">
      <text>
        <r>
          <rPr>
            <b/>
            <sz val="9"/>
            <color indexed="81"/>
            <rFont val="Tahoma"/>
            <family val="2"/>
          </rPr>
          <t>Steen Hertin-Sandkær:</t>
        </r>
        <r>
          <rPr>
            <sz val="9"/>
            <color indexed="81"/>
            <rFont val="Tahoma"/>
            <family val="2"/>
          </rPr>
          <t xml:space="preserve">
Cabinn copenhagen 08-15</t>
        </r>
      </text>
    </comment>
    <comment ref="X62" authorId="4" shapeId="0" xr:uid="{E194FBBD-4FC2-40FF-A7DC-D3B95F52DA29}">
      <text>
        <r>
          <rPr>
            <b/>
            <sz val="9"/>
            <color indexed="81"/>
            <rFont val="Tahoma"/>
            <family val="2"/>
          </rPr>
          <t>Steen Hertin-Sandkær:</t>
        </r>
        <r>
          <rPr>
            <sz val="9"/>
            <color indexed="81"/>
            <rFont val="Tahoma"/>
            <family val="2"/>
          </rPr>
          <t xml:space="preserve">
Cabinn copenhagen 08-15</t>
        </r>
      </text>
    </comment>
    <comment ref="AA62" authorId="4" shapeId="0" xr:uid="{8C81661C-7A18-4A65-BF02-35B1CB27F0A7}">
      <text>
        <r>
          <rPr>
            <b/>
            <sz val="9"/>
            <color indexed="81"/>
            <rFont val="Tahoma"/>
            <family val="2"/>
          </rPr>
          <t>Steen Hertin-Sandkær:</t>
        </r>
        <r>
          <rPr>
            <sz val="9"/>
            <color indexed="81"/>
            <rFont val="Tahoma"/>
            <family val="2"/>
          </rPr>
          <t xml:space="preserve">
Copenhagen 15-22 på OA</t>
        </r>
      </text>
    </comment>
    <comment ref="AB62" authorId="4" shapeId="0" xr:uid="{53601CC8-94FE-4A5E-A4EC-1A5BA85781AA}">
      <text>
        <r>
          <rPr>
            <b/>
            <sz val="9"/>
            <color indexed="81"/>
            <rFont val="Tahoma"/>
            <family val="2"/>
          </rPr>
          <t>Steen Hertin-Sandkær:</t>
        </r>
        <r>
          <rPr>
            <sz val="9"/>
            <color indexed="81"/>
            <rFont val="Tahoma"/>
            <family val="2"/>
          </rPr>
          <t xml:space="preserve">
Copenhagen 15-22 på OA</t>
        </r>
      </text>
    </comment>
    <comment ref="AC62" authorId="4" shapeId="0" xr:uid="{F7007DB1-F188-4AD5-BEAD-6230470715BB}">
      <text>
        <r>
          <rPr>
            <b/>
            <sz val="9"/>
            <color indexed="81"/>
            <rFont val="Tahoma"/>
            <family val="2"/>
          </rPr>
          <t>Steen Hertin-Sandkær:</t>
        </r>
        <r>
          <rPr>
            <sz val="9"/>
            <color indexed="81"/>
            <rFont val="Tahoma"/>
            <family val="2"/>
          </rPr>
          <t xml:space="preserve">
Copenhagen 15-22 på OA</t>
        </r>
      </text>
    </comment>
    <comment ref="D63" authorId="1" shapeId="0" xr:uid="{E500D412-68DF-4BF0-AA9F-A71E01200EF3}">
      <text>
        <r>
          <rPr>
            <b/>
            <sz val="9"/>
            <color indexed="81"/>
            <rFont val="Tahoma"/>
            <family val="2"/>
          </rPr>
          <t>Steen Hertin:</t>
        </r>
        <r>
          <rPr>
            <sz val="9"/>
            <color indexed="81"/>
            <rFont val="Tahoma"/>
            <family val="2"/>
          </rPr>
          <t xml:space="preserve">
Cabinn Metro 08-15 normal tjeneste + 15-22 på OA</t>
        </r>
      </text>
    </comment>
    <comment ref="E63" authorId="1" shapeId="0" xr:uid="{C99B7DA0-9D44-4B31-A6F2-B95592AD7C7A}">
      <text>
        <r>
          <rPr>
            <b/>
            <sz val="9"/>
            <color indexed="81"/>
            <rFont val="Tahoma"/>
            <family val="2"/>
          </rPr>
          <t>Steen Hertin:</t>
        </r>
        <r>
          <rPr>
            <sz val="9"/>
            <color indexed="81"/>
            <rFont val="Tahoma"/>
            <family val="2"/>
          </rPr>
          <t xml:space="preserve">
Cabinn Metro 08-15 normal tjeneste + 15-22 på OA</t>
        </r>
      </text>
    </comment>
    <comment ref="G63" authorId="1" shapeId="0" xr:uid="{E33463E0-F6BD-4E26-8CFB-D96FF7232247}">
      <text>
        <r>
          <rPr>
            <b/>
            <sz val="9"/>
            <color indexed="81"/>
            <rFont val="Tahoma"/>
            <family val="2"/>
          </rPr>
          <t>Steen Hertin:</t>
        </r>
        <r>
          <rPr>
            <sz val="9"/>
            <color indexed="81"/>
            <rFont val="Tahoma"/>
            <family val="2"/>
          </rPr>
          <t xml:space="preserve">
Cabinn Metro 08-15 normal tjeneste + 15-22 på OA</t>
        </r>
      </text>
    </comment>
    <comment ref="J63" authorId="1" shapeId="0" xr:uid="{F868E6BB-28F9-46A6-B64B-F3B03C0F4A2F}">
      <text>
        <r>
          <rPr>
            <b/>
            <sz val="9"/>
            <color indexed="81"/>
            <rFont val="Tahoma"/>
            <family val="2"/>
          </rPr>
          <t>Steen Hertin:</t>
        </r>
        <r>
          <rPr>
            <sz val="9"/>
            <color indexed="81"/>
            <rFont val="Tahoma"/>
            <family val="2"/>
          </rPr>
          <t xml:space="preserve">
Metro 08-15 alm tjeneste + 15-22 på OA</t>
        </r>
      </text>
    </comment>
    <comment ref="M63" authorId="1" shapeId="0" xr:uid="{CAF9EFAC-026C-48AC-9ED5-4DF5E0960020}">
      <text>
        <r>
          <rPr>
            <b/>
            <sz val="9"/>
            <color indexed="81"/>
            <rFont val="Tahoma"/>
            <family val="2"/>
          </rPr>
          <t>Steen Hertin:</t>
        </r>
        <r>
          <rPr>
            <sz val="9"/>
            <color indexed="81"/>
            <rFont val="Tahoma"/>
            <family val="2"/>
          </rPr>
          <t xml:space="preserve">
Metro 08-22 på OA</t>
        </r>
      </text>
    </comment>
    <comment ref="N63" authorId="1" shapeId="0" xr:uid="{1031468B-BC30-4F6B-BA07-0EB6F929E70C}">
      <text>
        <r>
          <rPr>
            <b/>
            <sz val="9"/>
            <color indexed="81"/>
            <rFont val="Tahoma"/>
            <family val="2"/>
          </rPr>
          <t>Steen Hertin:</t>
        </r>
        <r>
          <rPr>
            <sz val="9"/>
            <color indexed="81"/>
            <rFont val="Tahoma"/>
            <family val="2"/>
          </rPr>
          <t xml:space="preserve">
Metro 08-22 på OA</t>
        </r>
      </text>
    </comment>
    <comment ref="O63" authorId="1" shapeId="0" xr:uid="{002CBAC8-AD89-46F6-9A11-456408BCCFB2}">
      <text>
        <r>
          <rPr>
            <b/>
            <sz val="9"/>
            <color indexed="81"/>
            <rFont val="Tahoma"/>
            <family val="2"/>
          </rPr>
          <t>Steen Hertin:</t>
        </r>
        <r>
          <rPr>
            <sz val="9"/>
            <color indexed="81"/>
            <rFont val="Tahoma"/>
            <family val="2"/>
          </rPr>
          <t xml:space="preserve">
Metro 08-22 på OA</t>
        </r>
      </text>
    </comment>
    <comment ref="P63" authorId="1" shapeId="0" xr:uid="{7A3D5763-9715-4C09-908D-708B1FDE2027}">
      <text>
        <r>
          <rPr>
            <b/>
            <sz val="9"/>
            <color indexed="81"/>
            <rFont val="Tahoma"/>
            <family val="2"/>
          </rPr>
          <t>Steen Hertin:</t>
        </r>
        <r>
          <rPr>
            <sz val="9"/>
            <color indexed="81"/>
            <rFont val="Tahoma"/>
            <family val="2"/>
          </rPr>
          <t xml:space="preserve">
Metro 08-22 på OA</t>
        </r>
      </text>
    </comment>
    <comment ref="Q63" authorId="1" shapeId="0" xr:uid="{F81B7277-4D31-4C5C-84D4-1DB9087F70CE}">
      <text>
        <r>
          <rPr>
            <b/>
            <sz val="9"/>
            <color indexed="81"/>
            <rFont val="Tahoma"/>
            <family val="2"/>
          </rPr>
          <t>Steen Hertin:</t>
        </r>
        <r>
          <rPr>
            <sz val="9"/>
            <color indexed="81"/>
            <rFont val="Tahoma"/>
            <family val="2"/>
          </rPr>
          <t xml:space="preserve">
Metro 08-22 på OA</t>
        </r>
      </text>
    </comment>
    <comment ref="X63" authorId="1" shapeId="0" xr:uid="{24C20017-6D29-446F-B804-75888388EA2B}">
      <text>
        <r>
          <rPr>
            <b/>
            <sz val="9"/>
            <color indexed="81"/>
            <rFont val="Tahoma"/>
            <family val="2"/>
          </rPr>
          <t>Steen Hertin:</t>
        </r>
        <r>
          <rPr>
            <sz val="9"/>
            <color indexed="81"/>
            <rFont val="Tahoma"/>
            <family val="2"/>
          </rPr>
          <t xml:space="preserve">
Tingbjerg 13.45-18.15</t>
        </r>
      </text>
    </comment>
    <comment ref="Y63" authorId="1" shapeId="0" xr:uid="{081DD11D-E7CD-4241-A3F0-B6F018A1AEE6}">
      <text>
        <r>
          <rPr>
            <b/>
            <sz val="9"/>
            <color indexed="81"/>
            <rFont val="Tahoma"/>
            <family val="2"/>
          </rPr>
          <t>Steen Hertin:</t>
        </r>
        <r>
          <rPr>
            <sz val="9"/>
            <color indexed="81"/>
            <rFont val="Tahoma"/>
            <family val="2"/>
          </rPr>
          <t xml:space="preserve">
Metor kl. 08-15 på OA</t>
        </r>
      </text>
    </comment>
    <comment ref="Z63" authorId="1" shapeId="0" xr:uid="{3CC728C7-0CDD-4C1D-9A9B-4A25DBA75943}">
      <text>
        <r>
          <rPr>
            <b/>
            <sz val="9"/>
            <color indexed="81"/>
            <rFont val="Tahoma"/>
            <family val="2"/>
          </rPr>
          <t>Steen Hertin:</t>
        </r>
        <r>
          <rPr>
            <sz val="9"/>
            <color indexed="81"/>
            <rFont val="Tahoma"/>
            <family val="2"/>
          </rPr>
          <t xml:space="preserve">
Metor kl. 08-15 på OA</t>
        </r>
      </text>
    </comment>
    <comment ref="AA63" authorId="1" shapeId="0" xr:uid="{A39AA427-FB68-40D4-9814-2D24B686F010}">
      <text>
        <r>
          <rPr>
            <b/>
            <sz val="9"/>
            <color indexed="81"/>
            <rFont val="Tahoma"/>
            <family val="2"/>
          </rPr>
          <t>Steen Hertin:</t>
        </r>
        <r>
          <rPr>
            <sz val="9"/>
            <color indexed="81"/>
            <rFont val="Tahoma"/>
            <family val="2"/>
          </rPr>
          <t xml:space="preserve">
L-vagt på OA</t>
        </r>
      </text>
    </comment>
    <comment ref="AC63" authorId="1" shapeId="0" xr:uid="{AF56A76E-778A-4689-ADF1-7C395D8FCA8C}">
      <text>
        <r>
          <rPr>
            <b/>
            <sz val="9"/>
            <color indexed="81"/>
            <rFont val="Tahoma"/>
            <family val="2"/>
          </rPr>
          <t>Steen Hertin:</t>
        </r>
        <r>
          <rPr>
            <sz val="9"/>
            <color indexed="81"/>
            <rFont val="Tahoma"/>
            <family val="2"/>
          </rPr>
          <t xml:space="preserve">
Metor kl. 08-15 på OA</t>
        </r>
      </text>
    </comment>
    <comment ref="AG63" authorId="3" shapeId="0" xr:uid="{AD13AD2C-79CE-4228-8E07-30ECE32981EC}">
      <text>
        <r>
          <rPr>
            <b/>
            <sz val="9"/>
            <color indexed="81"/>
            <rFont val="Tahoma"/>
            <family val="2"/>
          </rPr>
          <t>Rasmus Sørensen:</t>
        </r>
        <r>
          <rPr>
            <sz val="9"/>
            <color indexed="81"/>
            <rFont val="Tahoma"/>
            <family val="2"/>
          </rPr>
          <t xml:space="preserve">
svanemøllehallen kl. 15:00-05:00</t>
        </r>
      </text>
    </comment>
    <comment ref="C64" authorId="1" shapeId="0" xr:uid="{151E9C85-DE67-41EB-A141-845FFE1DA02B}">
      <text>
        <r>
          <rPr>
            <b/>
            <sz val="9"/>
            <color indexed="81"/>
            <rFont val="Tahoma"/>
            <family val="2"/>
          </rPr>
          <t>Steen Hertin:</t>
        </r>
        <r>
          <rPr>
            <sz val="9"/>
            <color indexed="81"/>
            <rFont val="Tahoma"/>
            <family val="2"/>
          </rPr>
          <t xml:space="preserve">
Nedtagning tribune 09.30-14.00</t>
        </r>
      </text>
    </comment>
    <comment ref="F64" authorId="1" shapeId="0" xr:uid="{9F657F8C-ACE7-4E2E-BE9C-EE169BF3824F}">
      <text>
        <r>
          <rPr>
            <b/>
            <sz val="9"/>
            <color indexed="81"/>
            <rFont val="Tahoma"/>
            <family val="2"/>
          </rPr>
          <t>Steen Hertin:</t>
        </r>
        <r>
          <rPr>
            <sz val="9"/>
            <color indexed="81"/>
            <rFont val="Tahoma"/>
            <family val="2"/>
          </rPr>
          <t xml:space="preserve">
Cabinn Metro 08-15 normal tjeneste + 15-22 på OA</t>
        </r>
      </text>
    </comment>
    <comment ref="H64" authorId="1" shapeId="0" xr:uid="{9BD758AD-793F-4486-9755-8DBF4B8F3128}">
      <text>
        <r>
          <rPr>
            <b/>
            <sz val="9"/>
            <color indexed="81"/>
            <rFont val="Tahoma"/>
            <family val="2"/>
          </rPr>
          <t>Steen Hertin:</t>
        </r>
        <r>
          <rPr>
            <sz val="9"/>
            <color indexed="81"/>
            <rFont val="Tahoma"/>
            <family val="2"/>
          </rPr>
          <t xml:space="preserve">
Cabinn Metro 08-15 normal tjeneste + 15-22 på OA</t>
        </r>
      </text>
    </comment>
    <comment ref="I64" authorId="1" shapeId="0" xr:uid="{313F600E-71BA-42EB-8BCC-299BA6137B6C}">
      <text>
        <r>
          <rPr>
            <b/>
            <sz val="9"/>
            <color indexed="81"/>
            <rFont val="Tahoma"/>
            <family val="2"/>
          </rPr>
          <t>Steen Hertin:</t>
        </r>
        <r>
          <rPr>
            <sz val="9"/>
            <color indexed="81"/>
            <rFont val="Tahoma"/>
            <family val="2"/>
          </rPr>
          <t xml:space="preserve">
Metro 08-22 på OA</t>
        </r>
      </text>
    </comment>
    <comment ref="K64" authorId="1" shapeId="0" xr:uid="{18F04898-2A06-42FB-B0B0-3FEA47598664}">
      <text>
        <r>
          <rPr>
            <b/>
            <sz val="9"/>
            <color indexed="81"/>
            <rFont val="Tahoma"/>
            <family val="2"/>
          </rPr>
          <t>Steen Hertin:</t>
        </r>
        <r>
          <rPr>
            <sz val="9"/>
            <color indexed="81"/>
            <rFont val="Tahoma"/>
            <family val="2"/>
          </rPr>
          <t xml:space="preserve">
Cabinn Metro 08-15 normal tjeneste + 15-22 på OA</t>
        </r>
      </text>
    </comment>
    <comment ref="L64" authorId="1" shapeId="0" xr:uid="{0C5C5941-47DB-4142-B9E8-98C9E77F1B1D}">
      <text>
        <r>
          <rPr>
            <b/>
            <sz val="9"/>
            <color indexed="81"/>
            <rFont val="Tahoma"/>
            <family val="2"/>
          </rPr>
          <t>Steen Hertin:</t>
        </r>
        <r>
          <rPr>
            <sz val="9"/>
            <color indexed="81"/>
            <rFont val="Tahoma"/>
            <family val="2"/>
          </rPr>
          <t xml:space="preserve">
Cabinn Metro 08-15 normal tjeneste + 15-22 på OA</t>
        </r>
      </text>
    </comment>
    <comment ref="Q64" authorId="1" shapeId="0" xr:uid="{361AE439-A5B7-4264-A03E-EBD1CACCC86B}">
      <text>
        <r>
          <rPr>
            <b/>
            <sz val="9"/>
            <color indexed="81"/>
            <rFont val="Tahoma"/>
            <family val="2"/>
          </rPr>
          <t>Steen Hertin:</t>
        </r>
        <r>
          <rPr>
            <sz val="9"/>
            <color indexed="81"/>
            <rFont val="Tahoma"/>
            <family val="2"/>
          </rPr>
          <t xml:space="preserve">
Tingbjerg 13.45-18.15</t>
        </r>
      </text>
    </comment>
    <comment ref="R64" authorId="1" shapeId="0" xr:uid="{B8886693-AF5E-4FFF-B5A9-18261CC48F38}">
      <text>
        <r>
          <rPr>
            <b/>
            <sz val="9"/>
            <color indexed="81"/>
            <rFont val="Tahoma"/>
            <family val="2"/>
          </rPr>
          <t>Steen Hertin:</t>
        </r>
        <r>
          <rPr>
            <sz val="9"/>
            <color indexed="81"/>
            <rFont val="Tahoma"/>
            <family val="2"/>
          </rPr>
          <t xml:space="preserve">
Cabinn Metro 08-15 normal tjeneste + 15-22 på OA</t>
        </r>
      </text>
    </comment>
    <comment ref="S64" authorId="1" shapeId="0" xr:uid="{0B7A46A4-3E18-4634-8656-ED9B9EBB265A}">
      <text>
        <r>
          <rPr>
            <b/>
            <sz val="9"/>
            <color indexed="81"/>
            <rFont val="Tahoma"/>
            <family val="2"/>
          </rPr>
          <t>Steen Hertin:</t>
        </r>
        <r>
          <rPr>
            <sz val="9"/>
            <color indexed="81"/>
            <rFont val="Tahoma"/>
            <family val="2"/>
          </rPr>
          <t xml:space="preserve">
Cabinn Metro 08-15 normal tjeneste + 15-22 på OA</t>
        </r>
      </text>
    </comment>
    <comment ref="T64" authorId="1" shapeId="0" xr:uid="{E83EF184-0052-4CE7-B228-D2479F643B28}">
      <text>
        <r>
          <rPr>
            <b/>
            <sz val="9"/>
            <color indexed="81"/>
            <rFont val="Tahoma"/>
            <family val="2"/>
          </rPr>
          <t>Steen Hertin:</t>
        </r>
        <r>
          <rPr>
            <sz val="9"/>
            <color indexed="81"/>
            <rFont val="Tahoma"/>
            <family val="2"/>
          </rPr>
          <t xml:space="preserve">
Cabinn Metro 08-15 normal tjeneste + 15-22 på OA</t>
        </r>
      </text>
    </comment>
    <comment ref="U64" authorId="1" shapeId="0" xr:uid="{FACE13E9-FF23-4683-88AA-61093137F993}">
      <text>
        <r>
          <rPr>
            <b/>
            <sz val="9"/>
            <color indexed="81"/>
            <rFont val="Tahoma"/>
            <family val="2"/>
          </rPr>
          <t>Steen Hertin:</t>
        </r>
        <r>
          <rPr>
            <sz val="9"/>
            <color indexed="81"/>
            <rFont val="Tahoma"/>
            <family val="2"/>
          </rPr>
          <t xml:space="preserve">
Cabinn Metro 08-15 normal tjeneste + 15-22 på OA</t>
        </r>
      </text>
    </comment>
    <comment ref="V64" authorId="1" shapeId="0" xr:uid="{FD9BA0FD-42B2-43F6-871F-D450478607B3}">
      <text>
        <r>
          <rPr>
            <b/>
            <sz val="9"/>
            <color indexed="81"/>
            <rFont val="Tahoma"/>
            <family val="2"/>
          </rPr>
          <t>Steen Hertin:</t>
        </r>
        <r>
          <rPr>
            <sz val="9"/>
            <color indexed="81"/>
            <rFont val="Tahoma"/>
            <family val="2"/>
          </rPr>
          <t xml:space="preserve">
Cabinn Metro 08-15 derefter GRUS</t>
        </r>
      </text>
    </comment>
    <comment ref="X64" authorId="1" shapeId="0" xr:uid="{5E2D0A69-9E77-49CF-BAD9-50EF52F2E6A8}">
      <text>
        <r>
          <rPr>
            <b/>
            <sz val="9"/>
            <color indexed="81"/>
            <rFont val="Tahoma"/>
            <family val="2"/>
          </rPr>
          <t>Steen Hertin:</t>
        </r>
        <r>
          <rPr>
            <sz val="9"/>
            <color indexed="81"/>
            <rFont val="Tahoma"/>
            <family val="2"/>
          </rPr>
          <t xml:space="preserve">
Opsætning Scene Rentemestervej</t>
        </r>
      </text>
    </comment>
    <comment ref="Y64" authorId="1" shapeId="0" xr:uid="{6CCBDEEA-2878-4E0F-B7E7-8A579AC320C0}">
      <text>
        <r>
          <rPr>
            <b/>
            <sz val="9"/>
            <color indexed="81"/>
            <rFont val="Tahoma"/>
            <family val="2"/>
          </rPr>
          <t>Steen Hertin:</t>
        </r>
        <r>
          <rPr>
            <sz val="9"/>
            <color indexed="81"/>
            <rFont val="Tahoma"/>
            <family val="2"/>
          </rPr>
          <t xml:space="preserve">
 Cabinn Metro 15-22 normal tjebneste..Nedtagning Scene Rentemestervej på OA</t>
        </r>
      </text>
    </comment>
    <comment ref="Z64" authorId="4" shapeId="0" xr:uid="{730355CB-0396-48C1-8B7A-3AD234A8FC62}">
      <text>
        <r>
          <rPr>
            <b/>
            <sz val="9"/>
            <color indexed="81"/>
            <rFont val="Tahoma"/>
            <family val="2"/>
          </rPr>
          <t>Steen Hertin-Sandkær:</t>
        </r>
        <r>
          <rPr>
            <sz val="9"/>
            <color indexed="81"/>
            <rFont val="Tahoma"/>
            <family val="2"/>
          </rPr>
          <t xml:space="preserve">
Metro 15-22 </t>
        </r>
      </text>
    </comment>
    <comment ref="AA64" authorId="4" shapeId="0" xr:uid="{812CCE93-A0CE-4E04-8F69-8CBA37FC2216}">
      <text>
        <r>
          <rPr>
            <b/>
            <sz val="9"/>
            <color indexed="81"/>
            <rFont val="Tahoma"/>
            <family val="2"/>
          </rPr>
          <t>Steen Hertin-Sandkær:</t>
        </r>
        <r>
          <rPr>
            <sz val="9"/>
            <color indexed="81"/>
            <rFont val="Tahoma"/>
            <family val="2"/>
          </rPr>
          <t xml:space="preserve">
Metro 08-15</t>
        </r>
      </text>
    </comment>
    <comment ref="AD64" authorId="1" shapeId="0" xr:uid="{D9BB1148-0D05-49D5-85F9-4771B4728B92}">
      <text>
        <r>
          <rPr>
            <b/>
            <sz val="9"/>
            <color indexed="81"/>
            <rFont val="Tahoma"/>
            <family val="2"/>
          </rPr>
          <t>Steen Hertin:</t>
        </r>
        <r>
          <rPr>
            <sz val="9"/>
            <color indexed="81"/>
            <rFont val="Tahoma"/>
            <family val="2"/>
          </rPr>
          <t xml:space="preserve">
Metro 08-22 på OA</t>
        </r>
      </text>
    </comment>
    <comment ref="AE64" authorId="1" shapeId="0" xr:uid="{469E22AE-DA30-4ECB-BD30-26C79F179568}">
      <text>
        <r>
          <rPr>
            <b/>
            <sz val="9"/>
            <color indexed="81"/>
            <rFont val="Tahoma"/>
            <family val="2"/>
          </rPr>
          <t>Steen Hertin:</t>
        </r>
        <r>
          <rPr>
            <sz val="9"/>
            <color indexed="81"/>
            <rFont val="Tahoma"/>
            <family val="2"/>
          </rPr>
          <t xml:space="preserve">
Tingbjerg 13.45-18.15</t>
        </r>
      </text>
    </comment>
    <comment ref="AG64" authorId="4" shapeId="0" xr:uid="{EDC2E2AC-5A61-4B4C-9D59-933035FD6E5E}">
      <text>
        <r>
          <rPr>
            <b/>
            <sz val="9"/>
            <color indexed="81"/>
            <rFont val="Tahoma"/>
            <family val="2"/>
          </rPr>
          <t>Steen Hertin-Sandkær:</t>
        </r>
        <r>
          <rPr>
            <sz val="9"/>
            <color indexed="81"/>
            <rFont val="Tahoma"/>
            <family val="2"/>
          </rPr>
          <t xml:space="preserve">
Cabinn Metro 08-15 på OA</t>
        </r>
      </text>
    </comment>
    <comment ref="Y67" authorId="8" shapeId="0" xr:uid="{36A1BF9E-4A07-44C2-B105-3F3345F956B5}">
      <text>
        <r>
          <rPr>
            <b/>
            <sz val="9"/>
            <color indexed="81"/>
            <rFont val="Tahoma"/>
            <family val="2"/>
          </rPr>
          <t>Michael Bo Pedersen:</t>
        </r>
        <r>
          <rPr>
            <sz val="9"/>
            <color indexed="81"/>
            <rFont val="Tahoma"/>
            <family val="2"/>
          </rPr>
          <t xml:space="preserve">
P-vagt på OA</t>
        </r>
      </text>
    </comment>
    <comment ref="AB67" authorId="8" shapeId="0" xr:uid="{3CABB3C3-B304-445B-A2BD-2B2650C30A9D}">
      <text>
        <r>
          <rPr>
            <b/>
            <sz val="9"/>
            <color indexed="81"/>
            <rFont val="Tahoma"/>
            <family val="2"/>
          </rPr>
          <t>Michael Bo Pedersen:</t>
        </r>
        <r>
          <rPr>
            <sz val="9"/>
            <color indexed="81"/>
            <rFont val="Tahoma"/>
            <family val="2"/>
          </rPr>
          <t xml:space="preserve">
Oa pga. sen besked</t>
        </r>
      </text>
    </comment>
    <comment ref="AC67" authorId="8" shapeId="0" xr:uid="{516721B5-1A0F-4B5E-AAB7-EC574E4D6126}">
      <text>
        <r>
          <rPr>
            <b/>
            <sz val="9"/>
            <color indexed="81"/>
            <rFont val="Tahoma"/>
            <family val="2"/>
          </rPr>
          <t>Michael Bo Pedersen:</t>
        </r>
        <r>
          <rPr>
            <sz val="9"/>
            <color indexed="81"/>
            <rFont val="Tahoma"/>
            <family val="2"/>
          </rPr>
          <t xml:space="preserve">
OA pga. sen besked</t>
        </r>
      </text>
    </comment>
    <comment ref="D68" authorId="1" shapeId="0" xr:uid="{6BA9632E-A1B8-495B-BE6C-172B2493719D}">
      <text>
        <r>
          <rPr>
            <b/>
            <sz val="9"/>
            <color indexed="81"/>
            <rFont val="Tahoma"/>
            <family val="2"/>
          </rPr>
          <t>Steen Hertin:</t>
        </r>
        <r>
          <rPr>
            <sz val="9"/>
            <color indexed="81"/>
            <rFont val="Tahoma"/>
            <family val="2"/>
          </rPr>
          <t xml:space="preserve">
Copenhagen 08-15 OA</t>
        </r>
      </text>
    </comment>
    <comment ref="E68" authorId="1" shapeId="0" xr:uid="{8BB50BA0-1063-41BF-95B9-28D4E0EE994A}">
      <text>
        <r>
          <rPr>
            <b/>
            <sz val="9"/>
            <color indexed="81"/>
            <rFont val="Tahoma"/>
            <family val="2"/>
          </rPr>
          <t>Steen Hertin:</t>
        </r>
        <r>
          <rPr>
            <sz val="9"/>
            <color indexed="81"/>
            <rFont val="Tahoma"/>
            <family val="2"/>
          </rPr>
          <t xml:space="preserve">
Copenhagen 08-15 OA</t>
        </r>
      </text>
    </comment>
    <comment ref="F68" authorId="1" shapeId="0" xr:uid="{8420C704-4E92-4050-A3EE-A3CFE1386AF6}">
      <text>
        <r>
          <rPr>
            <b/>
            <sz val="9"/>
            <color indexed="81"/>
            <rFont val="Tahoma"/>
            <family val="2"/>
          </rPr>
          <t>Steen Hertin:</t>
        </r>
        <r>
          <rPr>
            <sz val="9"/>
            <color indexed="81"/>
            <rFont val="Tahoma"/>
            <family val="2"/>
          </rPr>
          <t xml:space="preserve">
Copenhagen 08-15 OA</t>
        </r>
      </text>
    </comment>
    <comment ref="G68" authorId="1" shapeId="0" xr:uid="{935023E7-2F42-45DB-91D2-5362B5976F1B}">
      <text>
        <r>
          <rPr>
            <b/>
            <sz val="9"/>
            <color indexed="81"/>
            <rFont val="Tahoma"/>
            <family val="2"/>
          </rPr>
          <t>Steen Hertin:</t>
        </r>
        <r>
          <rPr>
            <sz val="9"/>
            <color indexed="81"/>
            <rFont val="Tahoma"/>
            <family val="2"/>
          </rPr>
          <t xml:space="preserve">
Copenhagen 08-15 OA</t>
        </r>
      </text>
    </comment>
    <comment ref="H68" authorId="1" shapeId="0" xr:uid="{DC6448EA-24BB-46C0-AF30-410D1F07AC09}">
      <text>
        <r>
          <rPr>
            <b/>
            <sz val="9"/>
            <color indexed="81"/>
            <rFont val="Tahoma"/>
            <family val="2"/>
          </rPr>
          <t>Steen Hertin:</t>
        </r>
        <r>
          <rPr>
            <sz val="9"/>
            <color indexed="81"/>
            <rFont val="Tahoma"/>
            <family val="2"/>
          </rPr>
          <t xml:space="preserve">
Copenhagen 08-15 OA</t>
        </r>
      </text>
    </comment>
    <comment ref="O68" authorId="1" shapeId="0" xr:uid="{427A1C48-CF7B-4682-ABF0-D2591EEA9E74}">
      <text>
        <r>
          <rPr>
            <b/>
            <sz val="9"/>
            <color indexed="81"/>
            <rFont val="Tahoma"/>
            <family val="2"/>
          </rPr>
          <t>Steen Hertin:</t>
        </r>
        <r>
          <rPr>
            <sz val="9"/>
            <color indexed="81"/>
            <rFont val="Tahoma"/>
            <family val="2"/>
          </rPr>
          <t xml:space="preserve">
Copenhagen 08-15</t>
        </r>
      </text>
    </comment>
    <comment ref="P68" authorId="1" shapeId="0" xr:uid="{BBDE7237-37E1-43EC-B917-8840A2DF67E7}">
      <text>
        <r>
          <rPr>
            <b/>
            <sz val="9"/>
            <color indexed="81"/>
            <rFont val="Tahoma"/>
            <family val="2"/>
          </rPr>
          <t>Steen Hertin:</t>
        </r>
        <r>
          <rPr>
            <sz val="9"/>
            <color indexed="81"/>
            <rFont val="Tahoma"/>
            <family val="2"/>
          </rPr>
          <t xml:space="preserve">
Copenhagen 08-22</t>
        </r>
      </text>
    </comment>
    <comment ref="G70" authorId="9" shapeId="0" xr:uid="{3898A4C3-FDBB-4CFC-B9FE-CA650501912D}">
      <text>
        <r>
          <rPr>
            <b/>
            <sz val="9"/>
            <color indexed="81"/>
            <rFont val="Tahoma"/>
            <family val="2"/>
          </rPr>
          <t>Mathias Hartvig Morell Nielsen:</t>
        </r>
        <r>
          <rPr>
            <sz val="9"/>
            <color indexed="81"/>
            <rFont val="Tahoma"/>
            <family val="2"/>
          </rPr>
          <t xml:space="preserve">
Kun aftenarbejde efter kl. 16.00</t>
        </r>
      </text>
    </comment>
    <comment ref="E71" authorId="6" shapeId="0" xr:uid="{54A2BBC6-0046-4F72-8298-81D0A1706B30}">
      <text>
        <r>
          <rPr>
            <b/>
            <sz val="9"/>
            <color indexed="81"/>
            <rFont val="Tahoma"/>
            <family val="2"/>
          </rPr>
          <t>marasm:</t>
        </r>
        <r>
          <rPr>
            <sz val="9"/>
            <color indexed="81"/>
            <rFont val="Tahoma"/>
            <family val="2"/>
          </rPr>
          <t xml:space="preserve">
Arrangement 16:30</t>
        </r>
      </text>
    </comment>
    <comment ref="F71" authorId="6" shapeId="0" xr:uid="{A0189D66-E07C-4BFD-BF14-967650C25642}">
      <text>
        <r>
          <rPr>
            <b/>
            <sz val="9"/>
            <color indexed="81"/>
            <rFont val="Tahoma"/>
            <family val="2"/>
          </rPr>
          <t>marasm:</t>
        </r>
        <r>
          <rPr>
            <sz val="9"/>
            <color indexed="81"/>
            <rFont val="Tahoma"/>
            <family val="2"/>
          </rPr>
          <t xml:space="preserve">
Arrangement 16:30</t>
        </r>
      </text>
    </comment>
    <comment ref="I71" authorId="1" shapeId="0" xr:uid="{97D0FBEB-6470-4461-AC43-4F46A8B0ADDC}">
      <text>
        <r>
          <rPr>
            <b/>
            <sz val="9"/>
            <color indexed="81"/>
            <rFont val="Tahoma"/>
            <family val="2"/>
          </rPr>
          <t>Steen Hertin:</t>
        </r>
        <r>
          <rPr>
            <sz val="9"/>
            <color indexed="81"/>
            <rFont val="Tahoma"/>
            <family val="2"/>
          </rPr>
          <t xml:space="preserve">
Copenhagen 08-15 OA</t>
        </r>
      </text>
    </comment>
    <comment ref="J71" authorId="1" shapeId="0" xr:uid="{2D07CEC3-C5E2-44E2-BF0C-E0E9DC70D37F}">
      <text>
        <r>
          <rPr>
            <b/>
            <sz val="9"/>
            <color indexed="81"/>
            <rFont val="Tahoma"/>
            <family val="2"/>
          </rPr>
          <t>Steen Hertin:</t>
        </r>
        <r>
          <rPr>
            <sz val="9"/>
            <color indexed="81"/>
            <rFont val="Tahoma"/>
            <family val="2"/>
          </rPr>
          <t xml:space="preserve">
Copenhagen 08-22 på OA</t>
        </r>
      </text>
    </comment>
    <comment ref="N71" authorId="6" shapeId="0" xr:uid="{466E1937-7B81-4E5E-A97A-5DFEDDDAAD29}">
      <text>
        <r>
          <rPr>
            <b/>
            <sz val="9"/>
            <color indexed="81"/>
            <rFont val="Tahoma"/>
            <family val="2"/>
          </rPr>
          <t>marasm:</t>
        </r>
        <r>
          <rPr>
            <sz val="9"/>
            <color indexed="81"/>
            <rFont val="Tahoma"/>
            <family val="2"/>
          </rPr>
          <t xml:space="preserve">
Arrangement på oa fra kl 15,30-</t>
        </r>
      </text>
    </comment>
    <comment ref="P71" authorId="1" shapeId="0" xr:uid="{2D951815-8018-41D9-B829-C60E5750E551}">
      <text>
        <r>
          <rPr>
            <b/>
            <sz val="9"/>
            <color indexed="81"/>
            <rFont val="Tahoma"/>
            <family val="2"/>
          </rPr>
          <t>Steen Hertin:</t>
        </r>
        <r>
          <rPr>
            <sz val="9"/>
            <color indexed="81"/>
            <rFont val="Tahoma"/>
            <family val="2"/>
          </rPr>
          <t xml:space="preserve">
Cabinn Copenhagen 08-15 + 15-22 på OA</t>
        </r>
      </text>
    </comment>
    <comment ref="V71" authorId="4" shapeId="0" xr:uid="{7066BF66-86C1-4758-B831-2FF284870CDA}">
      <text>
        <r>
          <rPr>
            <b/>
            <sz val="9"/>
            <color indexed="81"/>
            <rFont val="Tahoma"/>
            <family val="2"/>
          </rPr>
          <t>Steen Hertin-Sandkær:</t>
        </r>
        <r>
          <rPr>
            <sz val="9"/>
            <color indexed="81"/>
            <rFont val="Tahoma"/>
            <family val="2"/>
          </rPr>
          <t xml:space="preserve">
Copenhagen 08-15 på OA</t>
        </r>
      </text>
    </comment>
    <comment ref="W71" authorId="4" shapeId="0" xr:uid="{8F8036D0-BC6C-4CC3-87B5-A0ECC7B00436}">
      <text>
        <r>
          <rPr>
            <b/>
            <sz val="9"/>
            <color indexed="81"/>
            <rFont val="Tahoma"/>
            <family val="2"/>
          </rPr>
          <t>Steen Hertin-Sandkær:</t>
        </r>
        <r>
          <rPr>
            <sz val="9"/>
            <color indexed="81"/>
            <rFont val="Tahoma"/>
            <family val="2"/>
          </rPr>
          <t xml:space="preserve">
Copenhagen 08-22</t>
        </r>
      </text>
    </comment>
    <comment ref="X71" authorId="4" shapeId="0" xr:uid="{7055B541-1019-4887-A936-968152AFAB8A}">
      <text>
        <r>
          <rPr>
            <b/>
            <sz val="9"/>
            <color indexed="81"/>
            <rFont val="Tahoma"/>
            <family val="2"/>
          </rPr>
          <t>Steen Hertin-Sandkær:</t>
        </r>
        <r>
          <rPr>
            <sz val="9"/>
            <color indexed="81"/>
            <rFont val="Tahoma"/>
            <family val="2"/>
          </rPr>
          <t xml:space="preserve">
Copenhagen 08-15</t>
        </r>
      </text>
    </comment>
    <comment ref="AF71" authorId="4" shapeId="0" xr:uid="{C652E6A7-0EB9-423D-B2B6-65146AF1D756}">
      <text>
        <r>
          <rPr>
            <b/>
            <sz val="9"/>
            <color indexed="81"/>
            <rFont val="Tahoma"/>
            <family val="2"/>
          </rPr>
          <t>Steen Hertin-Sandkær:</t>
        </r>
        <r>
          <rPr>
            <sz val="9"/>
            <color indexed="81"/>
            <rFont val="Tahoma"/>
            <family val="2"/>
          </rPr>
          <t xml:space="preserve">
Copenhagen 08-22</t>
        </r>
      </text>
    </comment>
    <comment ref="H72" authorId="7" shapeId="0" xr:uid="{7564C99B-489C-476E-9065-DF05F5A9FC41}">
      <text>
        <r>
          <rPr>
            <b/>
            <sz val="9"/>
            <color indexed="81"/>
            <rFont val="Tahoma"/>
            <family val="2"/>
          </rPr>
          <t>Nikolaj Langtin Pamhede:</t>
        </r>
        <r>
          <rPr>
            <sz val="9"/>
            <color indexed="81"/>
            <rFont val="Tahoma"/>
            <family val="2"/>
          </rPr>
          <t xml:space="preserve">
møder 9-16
omlagt tjeneste fra 25Vagt</t>
        </r>
      </text>
    </comment>
    <comment ref="T72" authorId="4" shapeId="0" xr:uid="{BEB75145-C9DA-4011-8F3E-7DBE817C8A09}">
      <text>
        <r>
          <rPr>
            <b/>
            <sz val="9"/>
            <color indexed="81"/>
            <rFont val="Tahoma"/>
            <family val="2"/>
          </rPr>
          <t>Steen Hertin-Sandkær:</t>
        </r>
        <r>
          <rPr>
            <sz val="9"/>
            <color indexed="81"/>
            <rFont val="Tahoma"/>
            <family val="2"/>
          </rPr>
          <t xml:space="preserve">
K2 på OA</t>
        </r>
      </text>
    </comment>
    <comment ref="Y72" authorId="1" shapeId="0" xr:uid="{C5FDB7C6-83FD-4696-B7C0-355E6F4E8BB4}">
      <text>
        <r>
          <rPr>
            <b/>
            <sz val="9"/>
            <color indexed="81"/>
            <rFont val="Tahoma"/>
            <family val="2"/>
          </rPr>
          <t>Steen Hertin:</t>
        </r>
        <r>
          <rPr>
            <sz val="9"/>
            <color indexed="81"/>
            <rFont val="Tahoma"/>
            <family val="2"/>
          </rPr>
          <t xml:space="preserve">
Blive på Rentemestervej til kl. 22.00</t>
        </r>
      </text>
    </comment>
    <comment ref="Z72" authorId="2" shapeId="0" xr:uid="{C07E54B4-E510-4046-8FC5-84C988F02FFC}">
      <text>
        <r>
          <rPr>
            <b/>
            <sz val="9"/>
            <color indexed="81"/>
            <rFont val="Tahoma"/>
            <family val="2"/>
          </rPr>
          <t>Nick Lorentzen:</t>
        </r>
        <r>
          <rPr>
            <sz val="9"/>
            <color indexed="81"/>
            <rFont val="Tahoma"/>
            <family val="2"/>
          </rPr>
          <t xml:space="preserve">
OA 08:15 - 15:00  L vagt</t>
        </r>
      </text>
    </comment>
    <comment ref="D82" authorId="3" shapeId="0" xr:uid="{03524DDD-2320-42DE-B68F-59F67DADCFC9}">
      <text>
        <r>
          <rPr>
            <b/>
            <sz val="9"/>
            <color indexed="81"/>
            <rFont val="Tahoma"/>
            <family val="2"/>
          </rPr>
          <t>Rasmus Sørensen:</t>
        </r>
        <r>
          <rPr>
            <sz val="9"/>
            <color indexed="81"/>
            <rFont val="Tahoma"/>
            <family val="2"/>
          </rPr>
          <t xml:space="preserve">
introdag møder kl. 8</t>
        </r>
      </text>
    </comment>
    <comment ref="K87" authorId="1" shapeId="0" xr:uid="{535623E9-5214-4B41-9581-CB6B2561D54A}">
      <text>
        <r>
          <rPr>
            <b/>
            <sz val="9"/>
            <color indexed="81"/>
            <rFont val="Tahoma"/>
            <family val="2"/>
          </rPr>
          <t>Steen Hertin:</t>
        </r>
        <r>
          <rPr>
            <sz val="9"/>
            <color indexed="81"/>
            <rFont val="Tahoma"/>
            <family val="2"/>
          </rPr>
          <t xml:space="preserve">
Vagthavender tager imod</t>
        </r>
      </text>
    </comment>
    <comment ref="K88" authorId="1" shapeId="0" xr:uid="{EA3DB269-C87A-41E5-A1AF-A10B7B4EF4E9}">
      <text>
        <r>
          <rPr>
            <b/>
            <sz val="9"/>
            <color indexed="81"/>
            <rFont val="Tahoma"/>
            <family val="2"/>
          </rPr>
          <t>Steen Hertin:</t>
        </r>
        <r>
          <rPr>
            <sz val="9"/>
            <color indexed="81"/>
            <rFont val="Tahoma"/>
            <family val="2"/>
          </rPr>
          <t xml:space="preserve">
Vagthavender tager imod</t>
        </r>
      </text>
    </comment>
    <comment ref="S100" authorId="1" shapeId="0" xr:uid="{1294DC27-5C55-4301-BFFB-A572DFA047A4}">
      <text>
        <r>
          <rPr>
            <b/>
            <sz val="9"/>
            <color indexed="81"/>
            <rFont val="Tahoma"/>
            <family val="2"/>
          </rPr>
          <t>Steen Hertin:</t>
        </r>
        <r>
          <rPr>
            <sz val="9"/>
            <color indexed="81"/>
            <rFont val="Tahoma"/>
            <family val="2"/>
          </rPr>
          <t xml:space="preserve">
dimitrios møder kl. 06.30
som vagt til thorvaldsens</t>
        </r>
      </text>
    </comment>
    <comment ref="T100" authorId="1" shapeId="0" xr:uid="{BE46C340-3E4D-4338-93FC-0DBC9C65B636}">
      <text>
        <r>
          <rPr>
            <b/>
            <sz val="9"/>
            <color indexed="81"/>
            <rFont val="Tahoma"/>
            <family val="2"/>
          </rPr>
          <t>Steen Hertin:</t>
        </r>
        <r>
          <rPr>
            <sz val="9"/>
            <color indexed="81"/>
            <rFont val="Tahoma"/>
            <family val="2"/>
          </rPr>
          <t xml:space="preserve">
dimitrios OA fra kl. 05.00-07.30
som vagt til thorvaldsens+ 5 vagt OA</t>
        </r>
      </text>
    </comment>
    <comment ref="D101" authorId="1" shapeId="0" xr:uid="{91283A3D-A1B7-4DFF-B259-A22393BD4070}">
      <text>
        <r>
          <rPr>
            <b/>
            <sz val="9"/>
            <color indexed="81"/>
            <rFont val="Tahoma"/>
            <family val="2"/>
          </rPr>
          <t>Steen Hertin:</t>
        </r>
        <r>
          <rPr>
            <sz val="9"/>
            <color indexed="81"/>
            <rFont val="Tahoma"/>
            <family val="2"/>
          </rPr>
          <t xml:space="preserve">
26-vagt på oa</t>
        </r>
      </text>
    </comment>
    <comment ref="E101" authorId="1" shapeId="0" xr:uid="{1B785A5B-CDC2-4F55-902B-797160731049}">
      <text>
        <r>
          <rPr>
            <b/>
            <sz val="9"/>
            <color indexed="81"/>
            <rFont val="Tahoma"/>
            <family val="2"/>
          </rPr>
          <t>Steen Hertin:</t>
        </r>
        <r>
          <rPr>
            <sz val="9"/>
            <color indexed="81"/>
            <rFont val="Tahoma"/>
            <family val="2"/>
          </rPr>
          <t xml:space="preserve">
26-vagt på oa</t>
        </r>
      </text>
    </comment>
    <comment ref="F101" authorId="1" shapeId="0" xr:uid="{8F56C417-96FF-4992-85D9-5B71DA677DC1}">
      <text>
        <r>
          <rPr>
            <b/>
            <sz val="9"/>
            <color indexed="81"/>
            <rFont val="Tahoma"/>
            <family val="2"/>
          </rPr>
          <t>Steen Hertin:</t>
        </r>
        <r>
          <rPr>
            <sz val="9"/>
            <color indexed="81"/>
            <rFont val="Tahoma"/>
            <family val="2"/>
          </rPr>
          <t xml:space="preserve">
26-vagt på oa</t>
        </r>
      </text>
    </comment>
    <comment ref="H101" authorId="1" shapeId="0" xr:uid="{1911EE2B-F941-433A-9CD2-C4CC2EDE6415}">
      <text>
        <r>
          <rPr>
            <b/>
            <sz val="9"/>
            <color indexed="81"/>
            <rFont val="Tahoma"/>
            <family val="2"/>
          </rPr>
          <t>Steen Hertin:</t>
        </r>
        <r>
          <rPr>
            <sz val="9"/>
            <color indexed="81"/>
            <rFont val="Tahoma"/>
            <family val="2"/>
          </rPr>
          <t xml:space="preserve">
26-vagt på oa</t>
        </r>
      </text>
    </comment>
    <comment ref="G108" authorId="0" shapeId="0" xr:uid="{46165319-833F-4D86-8844-D06DB3D1A6C6}">
      <text>
        <r>
          <rPr>
            <b/>
            <sz val="9"/>
            <color indexed="81"/>
            <rFont val="Tahoma"/>
            <family val="2"/>
          </rPr>
          <t>Marianne Rasmussen:</t>
        </r>
        <r>
          <rPr>
            <sz val="9"/>
            <color indexed="81"/>
            <rFont val="Tahoma"/>
            <family val="2"/>
          </rPr>
          <t xml:space="preserve">
BR-Møde på oa 14,45-</t>
        </r>
      </text>
    </comment>
    <comment ref="L108" authorId="0" shapeId="0" xr:uid="{0D3621EC-320B-48F3-8D94-4B832BD3DB76}">
      <text>
        <r>
          <rPr>
            <b/>
            <sz val="9"/>
            <color indexed="81"/>
            <rFont val="Tahoma"/>
            <family val="2"/>
          </rPr>
          <t>Marianne Rasmussen:</t>
        </r>
        <r>
          <rPr>
            <sz val="9"/>
            <color indexed="81"/>
            <rFont val="Tahoma"/>
            <family val="2"/>
          </rPr>
          <t xml:space="preserve">
Medaljeuddeling på oa 14,45</t>
        </r>
      </text>
    </comment>
    <comment ref="G120" authorId="0" shapeId="0" xr:uid="{1F418B79-8FD3-4A4D-802E-31B1472D8037}">
      <text>
        <r>
          <rPr>
            <b/>
            <sz val="9"/>
            <color indexed="81"/>
            <rFont val="Tahoma"/>
            <family val="2"/>
          </rPr>
          <t>Marianne Rasmussen:</t>
        </r>
        <r>
          <rPr>
            <sz val="9"/>
            <color indexed="81"/>
            <rFont val="Tahoma"/>
            <family val="2"/>
          </rPr>
          <t xml:space="preserve">
BR-Møde på oa 15,30</t>
        </r>
      </text>
    </comment>
    <comment ref="L120" authorId="0" shapeId="0" xr:uid="{38109629-D3B6-4856-847E-AF9F887A712F}">
      <text>
        <r>
          <rPr>
            <b/>
            <sz val="9"/>
            <color indexed="81"/>
            <rFont val="Tahoma"/>
            <family val="2"/>
          </rPr>
          <t>Marianne Rasmussen:</t>
        </r>
        <r>
          <rPr>
            <sz val="9"/>
            <color indexed="81"/>
            <rFont val="Tahoma"/>
            <family val="2"/>
          </rPr>
          <t xml:space="preserve">
Medaljeuddeling på oa 16-</t>
        </r>
      </text>
    </comment>
    <comment ref="G121" authorId="0" shapeId="0" xr:uid="{DB186562-2A9F-4A27-A2DB-E3E300C0371B}">
      <text>
        <r>
          <rPr>
            <b/>
            <sz val="9"/>
            <color indexed="81"/>
            <rFont val="Tahoma"/>
            <family val="2"/>
          </rPr>
          <t>Marianne Rasmussen:</t>
        </r>
        <r>
          <rPr>
            <sz val="9"/>
            <color indexed="81"/>
            <rFont val="Tahoma"/>
            <family val="2"/>
          </rPr>
          <t xml:space="preserve">
BR-Møde på oa 16-</t>
        </r>
      </text>
    </comment>
    <comment ref="L121" authorId="0" shapeId="0" xr:uid="{FFBCB37F-E1DC-4EB9-8DD0-B9248D970948}">
      <text>
        <r>
          <rPr>
            <b/>
            <sz val="9"/>
            <color indexed="81"/>
            <rFont val="Tahoma"/>
            <family val="2"/>
          </rPr>
          <t>Marianne Rasmussen:</t>
        </r>
        <r>
          <rPr>
            <sz val="9"/>
            <color indexed="81"/>
            <rFont val="Tahoma"/>
            <family val="2"/>
          </rPr>
          <t xml:space="preserve">
Medaljeuddeling på oa 16-</t>
        </r>
      </text>
    </comment>
    <comment ref="N121" authorId="6" shapeId="0" xr:uid="{4B5ABD24-C421-4991-81F6-3A685F29492A}">
      <text>
        <r>
          <rPr>
            <b/>
            <sz val="9"/>
            <color indexed="81"/>
            <rFont val="Tahoma"/>
            <family val="2"/>
          </rPr>
          <t>marasm:</t>
        </r>
        <r>
          <rPr>
            <sz val="9"/>
            <color indexed="81"/>
            <rFont val="Tahoma"/>
            <family val="2"/>
          </rPr>
          <t xml:space="preserve">
Arrangement på oa fra kl 16-</t>
        </r>
      </text>
    </comment>
    <comment ref="U121" authorId="9" shapeId="0" xr:uid="{668AFAE9-AF7C-44DE-ADFB-A9C2234FDB38}">
      <text>
        <r>
          <rPr>
            <b/>
            <sz val="9"/>
            <color indexed="81"/>
            <rFont val="Tahoma"/>
            <family val="2"/>
          </rPr>
          <t>Mathias Hartvig Morell Nielsen:</t>
        </r>
        <r>
          <rPr>
            <sz val="9"/>
            <color indexed="81"/>
            <rFont val="Tahoma"/>
            <family val="2"/>
          </rPr>
          <t xml:space="preserve">
Møder 05.45 til thorvaldsen</t>
        </r>
      </text>
    </comment>
    <comment ref="AC121" authorId="8" shapeId="0" xr:uid="{6D1C205D-7EEF-44A2-B875-CEFD2D0CC674}">
      <text>
        <r>
          <rPr>
            <b/>
            <sz val="9"/>
            <color indexed="81"/>
            <rFont val="Tahoma"/>
            <family val="2"/>
          </rPr>
          <t>Michael Bo Pedersen:</t>
        </r>
        <r>
          <rPr>
            <sz val="9"/>
            <color indexed="81"/>
            <rFont val="Tahoma"/>
            <family val="2"/>
          </rPr>
          <t xml:space="preserve">
1-Vagt på OA
til kl 13.00</t>
        </r>
      </text>
    </comment>
    <comment ref="C122" authorId="8" shapeId="0" xr:uid="{5796A9F3-C6DF-47A2-AB23-4E0A1FECC3FA}">
      <text>
        <r>
          <rPr>
            <b/>
            <sz val="9"/>
            <color indexed="81"/>
            <rFont val="Tahoma"/>
            <family val="2"/>
          </rPr>
          <t>Michael Bo Pedersen:</t>
        </r>
        <r>
          <rPr>
            <sz val="9"/>
            <color indexed="81"/>
            <rFont val="Tahoma"/>
            <family val="2"/>
          </rPr>
          <t xml:space="preserve">
Cabinn Copenhagen 08.00-15.00</t>
        </r>
      </text>
    </comment>
    <comment ref="D122" authorId="1" shapeId="0" xr:uid="{1341D0A5-4293-472F-9E94-E7F394AB3BDA}">
      <text>
        <r>
          <rPr>
            <b/>
            <sz val="9"/>
            <color indexed="81"/>
            <rFont val="Tahoma"/>
            <family val="2"/>
          </rPr>
          <t>Steen Hertin:</t>
        </r>
        <r>
          <rPr>
            <sz val="9"/>
            <color indexed="81"/>
            <rFont val="Tahoma"/>
            <family val="2"/>
          </rPr>
          <t xml:space="preserve">
Copenhagen 15-22 på OA.</t>
        </r>
      </text>
    </comment>
    <comment ref="E122" authorId="1" shapeId="0" xr:uid="{4EBF09AC-41CC-409F-9906-3B278F3949D4}">
      <text>
        <r>
          <rPr>
            <b/>
            <sz val="9"/>
            <color indexed="81"/>
            <rFont val="Tahoma"/>
            <family val="2"/>
          </rPr>
          <t>Steen Hertin:</t>
        </r>
        <r>
          <rPr>
            <sz val="9"/>
            <color indexed="81"/>
            <rFont val="Tahoma"/>
            <family val="2"/>
          </rPr>
          <t xml:space="preserve">
Copenhagen 15-22 på OA.</t>
        </r>
      </text>
    </comment>
    <comment ref="G122" authorId="0" shapeId="0" xr:uid="{F159B5DB-60A7-4AD8-A425-6A38B3273698}">
      <text>
        <r>
          <rPr>
            <b/>
            <sz val="9"/>
            <color indexed="81"/>
            <rFont val="Tahoma"/>
            <family val="2"/>
          </rPr>
          <t>Marianne Rasmussen:</t>
        </r>
        <r>
          <rPr>
            <sz val="9"/>
            <color indexed="81"/>
            <rFont val="Tahoma"/>
            <family val="2"/>
          </rPr>
          <t xml:space="preserve">
BR-Møde på oa</t>
        </r>
      </text>
    </comment>
    <comment ref="J122" authorId="1" shapeId="0" xr:uid="{2E583CD0-3C85-4B55-AAF4-14974A5B6824}">
      <text>
        <r>
          <rPr>
            <b/>
            <sz val="9"/>
            <color indexed="81"/>
            <rFont val="Tahoma"/>
            <family val="2"/>
          </rPr>
          <t>Steen Hertin:</t>
        </r>
        <r>
          <rPr>
            <sz val="9"/>
            <color indexed="81"/>
            <rFont val="Tahoma"/>
            <family val="2"/>
          </rPr>
          <t xml:space="preserve">
Copenhagen 15-22 OA</t>
        </r>
      </text>
    </comment>
    <comment ref="L122" authorId="0" shapeId="0" xr:uid="{36926247-4986-463F-885A-AA75470250EB}">
      <text>
        <r>
          <rPr>
            <b/>
            <sz val="9"/>
            <color indexed="81"/>
            <rFont val="Tahoma"/>
            <family val="2"/>
          </rPr>
          <t>Marianne Rasmussen:</t>
        </r>
        <r>
          <rPr>
            <sz val="9"/>
            <color indexed="81"/>
            <rFont val="Tahoma"/>
            <family val="2"/>
          </rPr>
          <t xml:space="preserve">
Medaljeuddeling på oa 16-</t>
        </r>
      </text>
    </comment>
    <comment ref="M122" authorId="1" shapeId="0" xr:uid="{D8A4DF8E-66E8-4DD0-B49A-A9C7584FFC41}">
      <text>
        <r>
          <rPr>
            <b/>
            <sz val="9"/>
            <color indexed="81"/>
            <rFont val="Tahoma"/>
            <family val="2"/>
          </rPr>
          <t>Steen Hertin:</t>
        </r>
        <r>
          <rPr>
            <sz val="9"/>
            <color indexed="81"/>
            <rFont val="Tahoma"/>
            <family val="2"/>
          </rPr>
          <t xml:space="preserve">
Copenhagen 15-22 på OA</t>
        </r>
      </text>
    </comment>
    <comment ref="N122" authorId="6" shapeId="0" xr:uid="{68CF1AF0-55CF-4778-9ACE-0BEB196F5476}">
      <text>
        <r>
          <rPr>
            <b/>
            <sz val="9"/>
            <color indexed="81"/>
            <rFont val="Tahoma"/>
            <family val="2"/>
          </rPr>
          <t>marasm:</t>
        </r>
        <r>
          <rPr>
            <sz val="9"/>
            <color indexed="81"/>
            <rFont val="Tahoma"/>
            <family val="2"/>
          </rPr>
          <t xml:space="preserve">
Arrangement på oa fra kl 16-</t>
        </r>
      </text>
    </comment>
    <comment ref="R122" authorId="6" shapeId="0" xr:uid="{541544C4-7B27-42B9-AD0E-130B67484249}">
      <text>
        <r>
          <rPr>
            <b/>
            <sz val="9"/>
            <color indexed="81"/>
            <rFont val="Tahoma"/>
            <family val="2"/>
          </rPr>
          <t>marasm:</t>
        </r>
        <r>
          <rPr>
            <sz val="9"/>
            <color indexed="81"/>
            <rFont val="Tahoma"/>
            <family val="2"/>
          </rPr>
          <t xml:space="preserve">
Arrangement på oa fra kl 16,30-</t>
        </r>
      </text>
    </comment>
    <comment ref="S122" authorId="1" shapeId="0" xr:uid="{A2460203-B184-4B26-8D27-B37D8CA449AA}">
      <text>
        <r>
          <rPr>
            <b/>
            <sz val="9"/>
            <color indexed="81"/>
            <rFont val="Tahoma"/>
            <family val="2"/>
          </rPr>
          <t>Steen Hertin:</t>
        </r>
        <r>
          <rPr>
            <sz val="9"/>
            <color indexed="81"/>
            <rFont val="Tahoma"/>
            <family val="2"/>
          </rPr>
          <t xml:space="preserve">
Copenhagen 15-22 på OA</t>
        </r>
      </text>
    </comment>
    <comment ref="U122" authorId="1" shapeId="0" xr:uid="{2C1F2C32-3870-4154-80F9-DA253C38457A}">
      <text>
        <r>
          <rPr>
            <b/>
            <sz val="9"/>
            <color indexed="81"/>
            <rFont val="Tahoma"/>
            <family val="2"/>
          </rPr>
          <t>Steen Hertin:</t>
        </r>
        <r>
          <rPr>
            <sz val="9"/>
            <color indexed="81"/>
            <rFont val="Tahoma"/>
            <family val="2"/>
          </rPr>
          <t xml:space="preserve">
Copenhagen 15-22 på OA</t>
        </r>
      </text>
    </comment>
    <comment ref="X122" authorId="1" shapeId="0" xr:uid="{42C93A80-A959-462F-AFE8-E93390A53D91}">
      <text>
        <r>
          <rPr>
            <b/>
            <sz val="9"/>
            <color indexed="81"/>
            <rFont val="Tahoma"/>
            <family val="2"/>
          </rPr>
          <t>Steen Hertin:</t>
        </r>
        <r>
          <rPr>
            <sz val="9"/>
            <color indexed="81"/>
            <rFont val="Tahoma"/>
            <family val="2"/>
          </rPr>
          <t xml:space="preserve">
Coåpenhagen 15-22</t>
        </r>
      </text>
    </comment>
    <comment ref="Y122" authorId="4" shapeId="0" xr:uid="{34B6E8EC-2464-4EFD-9996-D3A4C69015B8}">
      <text>
        <r>
          <rPr>
            <b/>
            <sz val="9"/>
            <color indexed="81"/>
            <rFont val="Tahoma"/>
            <family val="2"/>
          </rPr>
          <t>Steen Hertin-Sandkær:</t>
        </r>
        <r>
          <rPr>
            <sz val="9"/>
            <color indexed="81"/>
            <rFont val="Tahoma"/>
            <family val="2"/>
          </rPr>
          <t xml:space="preserve">
Copenhagen 08-22  fra kl 14.45 på OA.</t>
        </r>
      </text>
    </comment>
    <comment ref="Z122" authorId="4" shapeId="0" xr:uid="{E52986A5-2750-455D-9459-3A0D890BE8BF}">
      <text>
        <r>
          <rPr>
            <b/>
            <sz val="9"/>
            <color indexed="81"/>
            <rFont val="Tahoma"/>
            <family val="2"/>
          </rPr>
          <t>Steen Hertin-Sandkær:</t>
        </r>
        <r>
          <rPr>
            <sz val="9"/>
            <color indexed="81"/>
            <rFont val="Tahoma"/>
            <family val="2"/>
          </rPr>
          <t xml:space="preserve">
Copenhagen 15-22 på OA.</t>
        </r>
      </text>
    </comment>
    <comment ref="AC122" authorId="1" shapeId="0" xr:uid="{9FF5FE7B-B510-42E6-B210-3FAA8E7FC49D}">
      <text>
        <r>
          <rPr>
            <b/>
            <sz val="9"/>
            <color indexed="81"/>
            <rFont val="Tahoma"/>
            <family val="2"/>
          </rPr>
          <t>Steen Hertin:</t>
        </r>
        <r>
          <rPr>
            <sz val="9"/>
            <color indexed="81"/>
            <rFont val="Tahoma"/>
            <family val="2"/>
          </rPr>
          <t xml:space="preserve">
Copenhagen 15-22 på OA</t>
        </r>
      </text>
    </comment>
    <comment ref="AD122" authorId="1" shapeId="0" xr:uid="{F83D241C-5260-4132-ADB6-A2D0A8067F44}">
      <text>
        <r>
          <rPr>
            <b/>
            <sz val="9"/>
            <color indexed="81"/>
            <rFont val="Tahoma"/>
            <family val="2"/>
          </rPr>
          <t>Steen Hertin:</t>
        </r>
        <r>
          <rPr>
            <sz val="9"/>
            <color indexed="81"/>
            <rFont val="Tahoma"/>
            <family val="2"/>
          </rPr>
          <t xml:space="preserve">
Copenhagen 15-22</t>
        </r>
      </text>
    </comment>
    <comment ref="AE122" authorId="1" shapeId="0" xr:uid="{60723626-2634-4AA9-8701-A9F5C5BBDDDE}">
      <text>
        <r>
          <rPr>
            <b/>
            <sz val="9"/>
            <color indexed="81"/>
            <rFont val="Tahoma"/>
            <family val="2"/>
          </rPr>
          <t>Steen Hertin:</t>
        </r>
        <r>
          <rPr>
            <sz val="9"/>
            <color indexed="81"/>
            <rFont val="Tahoma"/>
            <family val="2"/>
          </rPr>
          <t xml:space="preserve">
Copenhagen 15-22</t>
        </r>
      </text>
    </comment>
    <comment ref="E123" authorId="6" shapeId="0" xr:uid="{8C27B3D3-5E89-4E2E-AA7D-CCDA77DB5FF6}">
      <text>
        <r>
          <rPr>
            <b/>
            <sz val="9"/>
            <color indexed="81"/>
            <rFont val="Tahoma"/>
            <family val="2"/>
          </rPr>
          <t>marasm:</t>
        </r>
        <r>
          <rPr>
            <sz val="9"/>
            <color indexed="81"/>
            <rFont val="Tahoma"/>
            <family val="2"/>
          </rPr>
          <t xml:space="preserve">
Arrangement 16:00</t>
        </r>
      </text>
    </comment>
    <comment ref="L123" authorId="0" shapeId="0" xr:uid="{E9C745D6-DEA7-4D23-8422-5EAD2A5003EE}">
      <text>
        <r>
          <rPr>
            <b/>
            <sz val="9"/>
            <color indexed="81"/>
            <rFont val="Tahoma"/>
            <family val="2"/>
          </rPr>
          <t>Marianne Rasmussen:</t>
        </r>
        <r>
          <rPr>
            <sz val="9"/>
            <color indexed="81"/>
            <rFont val="Tahoma"/>
            <family val="2"/>
          </rPr>
          <t xml:space="preserve">
Medaljeuddeling på oa 16,30</t>
        </r>
      </text>
    </comment>
    <comment ref="N123" authorId="6" shapeId="0" xr:uid="{D2379E86-748A-45CD-A596-E42559D0D211}">
      <text>
        <r>
          <rPr>
            <b/>
            <sz val="9"/>
            <color indexed="81"/>
            <rFont val="Tahoma"/>
            <family val="2"/>
          </rPr>
          <t>marasm:</t>
        </r>
        <r>
          <rPr>
            <sz val="9"/>
            <color indexed="81"/>
            <rFont val="Tahoma"/>
            <family val="2"/>
          </rPr>
          <t xml:space="preserve">
Arrangement på oa fra kl 15,30-</t>
        </r>
      </text>
    </comment>
    <comment ref="R123" authorId="6" shapeId="0" xr:uid="{3ECDB227-FE79-4920-974E-8201EFF3303E}">
      <text>
        <r>
          <rPr>
            <b/>
            <sz val="9"/>
            <color indexed="81"/>
            <rFont val="Tahoma"/>
            <family val="2"/>
          </rPr>
          <t>marasm:</t>
        </r>
        <r>
          <rPr>
            <sz val="9"/>
            <color indexed="81"/>
            <rFont val="Tahoma"/>
            <family val="2"/>
          </rPr>
          <t xml:space="preserve">
Arrangement på oa fra kl 15,30-</t>
        </r>
      </text>
    </comment>
    <comment ref="D124" authorId="1" shapeId="0" xr:uid="{F148B9E7-3800-401D-9E01-CA5BC98C6973}">
      <text>
        <r>
          <rPr>
            <b/>
            <sz val="9"/>
            <color indexed="81"/>
            <rFont val="Tahoma"/>
            <family val="2"/>
          </rPr>
          <t>Steen Hertin:</t>
        </r>
        <r>
          <rPr>
            <sz val="9"/>
            <color indexed="81"/>
            <rFont val="Tahoma"/>
            <family val="2"/>
          </rPr>
          <t xml:space="preserve">
Cabinn Copenhagen 15-22 OA</t>
        </r>
      </text>
    </comment>
    <comment ref="E124" authorId="1" shapeId="0" xr:uid="{FAEBFA7E-333A-4548-85F9-296EFAFEFE1F}">
      <text>
        <r>
          <rPr>
            <b/>
            <sz val="9"/>
            <color indexed="81"/>
            <rFont val="Tahoma"/>
            <family val="2"/>
          </rPr>
          <t>Steen Hertin:</t>
        </r>
        <r>
          <rPr>
            <sz val="9"/>
            <color indexed="81"/>
            <rFont val="Tahoma"/>
            <family val="2"/>
          </rPr>
          <t xml:space="preserve">
Cabinn Copenhagen 15-22 OA</t>
        </r>
      </text>
    </comment>
    <comment ref="F124" authorId="2" shapeId="0" xr:uid="{1A2C7ADE-ED86-4379-B85B-78A770D8537B}">
      <text>
        <r>
          <rPr>
            <b/>
            <sz val="9"/>
            <color indexed="81"/>
            <rFont val="Tahoma"/>
            <family val="2"/>
          </rPr>
          <t>Nick Lorentzen:</t>
        </r>
        <r>
          <rPr>
            <sz val="9"/>
            <color indexed="81"/>
            <rFont val="Tahoma"/>
            <family val="2"/>
          </rPr>
          <t xml:space="preserve">
OA 15:00 - 22:00
Cabinn Copenhagen</t>
        </r>
      </text>
    </comment>
    <comment ref="K124" authorId="1" shapeId="0" xr:uid="{36D45919-06DE-4C0D-86CE-98943B80EB67}">
      <text>
        <r>
          <rPr>
            <b/>
            <sz val="9"/>
            <color indexed="81"/>
            <rFont val="Tahoma"/>
            <family val="2"/>
          </rPr>
          <t>Steen Hertin:</t>
        </r>
        <r>
          <rPr>
            <sz val="9"/>
            <color indexed="81"/>
            <rFont val="Tahoma"/>
            <family val="2"/>
          </rPr>
          <t xml:space="preserve">
Copenhagen 15-22 på OA</t>
        </r>
      </text>
    </comment>
    <comment ref="L124" authorId="0" shapeId="0" xr:uid="{1B61E179-FBEB-45DF-8D68-AF7E3DE5D4DF}">
      <text>
        <r>
          <rPr>
            <b/>
            <sz val="9"/>
            <color indexed="81"/>
            <rFont val="Tahoma"/>
            <family val="2"/>
          </rPr>
          <t>Marianne Rasmussen:</t>
        </r>
        <r>
          <rPr>
            <sz val="9"/>
            <color indexed="81"/>
            <rFont val="Tahoma"/>
            <family val="2"/>
          </rPr>
          <t xml:space="preserve">
Medaljeuddeling 15,30</t>
        </r>
      </text>
    </comment>
    <comment ref="N124" authorId="1" shapeId="0" xr:uid="{9DC940E4-89B5-4616-8116-82AE58674979}">
      <text>
        <r>
          <rPr>
            <b/>
            <sz val="9"/>
            <color indexed="81"/>
            <rFont val="Tahoma"/>
            <family val="2"/>
          </rPr>
          <t>Steen Hertin:</t>
        </r>
        <r>
          <rPr>
            <sz val="9"/>
            <color indexed="81"/>
            <rFont val="Tahoma"/>
            <family val="2"/>
          </rPr>
          <t xml:space="preserve">
Copenhagen 15-22 på OA</t>
        </r>
      </text>
    </comment>
    <comment ref="O124" authorId="1" shapeId="0" xr:uid="{EE4F0F45-D3BA-47AC-AAF6-C3F185131EE2}">
      <text>
        <r>
          <rPr>
            <b/>
            <sz val="9"/>
            <color indexed="81"/>
            <rFont val="Tahoma"/>
            <family val="2"/>
          </rPr>
          <t>Steen Hertin:</t>
        </r>
        <r>
          <rPr>
            <sz val="9"/>
            <color indexed="81"/>
            <rFont val="Tahoma"/>
            <family val="2"/>
          </rPr>
          <t xml:space="preserve">
Copenhagen 15-22 på OA</t>
        </r>
      </text>
    </comment>
    <comment ref="Q124" authorId="1" shapeId="0" xr:uid="{35AEA8B7-8759-4D22-8A7D-343924E1B7B9}">
      <text>
        <r>
          <rPr>
            <b/>
            <sz val="9"/>
            <color indexed="81"/>
            <rFont val="Tahoma"/>
            <family val="2"/>
          </rPr>
          <t>Steen Hertin:</t>
        </r>
        <r>
          <rPr>
            <sz val="9"/>
            <color indexed="81"/>
            <rFont val="Tahoma"/>
            <family val="2"/>
          </rPr>
          <t xml:space="preserve">
Copenhagen 08-22</t>
        </r>
      </text>
    </comment>
    <comment ref="T124" authorId="1" shapeId="0" xr:uid="{60B071C4-8968-45DB-95A8-50B6C91FDA30}">
      <text>
        <r>
          <rPr>
            <b/>
            <sz val="9"/>
            <color indexed="81"/>
            <rFont val="Tahoma"/>
            <family val="2"/>
          </rPr>
          <t>Steen Hertin:</t>
        </r>
        <r>
          <rPr>
            <sz val="9"/>
            <color indexed="81"/>
            <rFont val="Tahoma"/>
            <family val="2"/>
          </rPr>
          <t xml:space="preserve">
Copenhagen 15-22 på OA</t>
        </r>
      </text>
    </comment>
    <comment ref="U124" authorId="1" shapeId="0" xr:uid="{6C09F1A0-6BD3-47B1-87D8-A2A47A3B4E2E}">
      <text>
        <r>
          <rPr>
            <b/>
            <sz val="9"/>
            <color indexed="81"/>
            <rFont val="Tahoma"/>
            <family val="2"/>
          </rPr>
          <t>Steen Hertin:</t>
        </r>
        <r>
          <rPr>
            <sz val="9"/>
            <color indexed="81"/>
            <rFont val="Tahoma"/>
            <family val="2"/>
          </rPr>
          <t xml:space="preserve">
Copenhagen 15-22 på oa.</t>
        </r>
      </text>
    </comment>
    <comment ref="V124" authorId="1" shapeId="0" xr:uid="{36EA30A5-4360-4898-8005-80ADEF2DEFF1}">
      <text>
        <r>
          <rPr>
            <b/>
            <sz val="9"/>
            <color indexed="81"/>
            <rFont val="Tahoma"/>
            <family val="2"/>
          </rPr>
          <t>Steen Hertin:</t>
        </r>
        <r>
          <rPr>
            <sz val="9"/>
            <color indexed="81"/>
            <rFont val="Tahoma"/>
            <family val="2"/>
          </rPr>
          <t xml:space="preserve">
Copenhagen 15-22 på oa.</t>
        </r>
      </text>
    </comment>
    <comment ref="Y124" authorId="1" shapeId="0" xr:uid="{4A2D092A-759D-47DA-BBBE-A14187291725}">
      <text>
        <r>
          <rPr>
            <b/>
            <sz val="9"/>
            <color indexed="81"/>
            <rFont val="Tahoma"/>
            <family val="2"/>
          </rPr>
          <t>Steen Hertin:</t>
        </r>
        <r>
          <rPr>
            <sz val="9"/>
            <color indexed="81"/>
            <rFont val="Tahoma"/>
            <family val="2"/>
          </rPr>
          <t xml:space="preserve">
Copenhagen 15-22 på OA</t>
        </r>
      </text>
    </comment>
    <comment ref="Z124" authorId="1" shapeId="0" xr:uid="{236AF156-9AF3-4785-8FE1-3FEF2159FB84}">
      <text>
        <r>
          <rPr>
            <b/>
            <sz val="9"/>
            <color indexed="81"/>
            <rFont val="Tahoma"/>
            <family val="2"/>
          </rPr>
          <t>Steen Hertin:</t>
        </r>
        <r>
          <rPr>
            <sz val="9"/>
            <color indexed="81"/>
            <rFont val="Tahoma"/>
            <family val="2"/>
          </rPr>
          <t xml:space="preserve">
Copenhagen 15-22 på OA</t>
        </r>
      </text>
    </comment>
    <comment ref="AA124" authorId="9" shapeId="0" xr:uid="{E7FCFF93-448B-457D-9A90-04BE849982BA}">
      <text>
        <r>
          <rPr>
            <b/>
            <sz val="9"/>
            <color indexed="81"/>
            <rFont val="Tahoma"/>
            <family val="2"/>
          </rPr>
          <t>Mathias Hartvig Morell Nielsen:</t>
        </r>
        <r>
          <rPr>
            <sz val="9"/>
            <color indexed="81"/>
            <rFont val="Tahoma"/>
            <family val="2"/>
          </rPr>
          <t xml:space="preserve">
Møder ca kl. 09.15</t>
        </r>
      </text>
    </comment>
    <comment ref="AD124" authorId="1" shapeId="0" xr:uid="{647773F1-BA07-48DC-BAB5-05EFE0ABCCC3}">
      <text>
        <r>
          <rPr>
            <b/>
            <sz val="9"/>
            <color indexed="81"/>
            <rFont val="Tahoma"/>
            <family val="2"/>
          </rPr>
          <t>Steen Hertin:</t>
        </r>
        <r>
          <rPr>
            <sz val="9"/>
            <color indexed="81"/>
            <rFont val="Tahoma"/>
            <family val="2"/>
          </rPr>
          <t xml:space="preserve">
Copenhagen 08-15</t>
        </r>
      </text>
    </comment>
    <comment ref="AE124" authorId="1" shapeId="0" xr:uid="{DC2A3395-7CF9-455C-8AE4-06FB3CFF564D}">
      <text>
        <r>
          <rPr>
            <b/>
            <sz val="9"/>
            <color indexed="81"/>
            <rFont val="Tahoma"/>
            <family val="2"/>
          </rPr>
          <t>Steen Hertin:</t>
        </r>
        <r>
          <rPr>
            <sz val="9"/>
            <color indexed="81"/>
            <rFont val="Tahoma"/>
            <family val="2"/>
          </rPr>
          <t xml:space="preserve">
Copenhagen 08-15</t>
        </r>
      </text>
    </comment>
    <comment ref="AB141" authorId="1" shapeId="0" xr:uid="{E0343429-EBC3-431E-BDC3-87E918448E62}">
      <text>
        <r>
          <rPr>
            <b/>
            <sz val="9"/>
            <color indexed="81"/>
            <rFont val="Tahoma"/>
            <family val="2"/>
          </rPr>
          <t>Steen Hertin:</t>
        </r>
        <r>
          <rPr>
            <sz val="9"/>
            <color indexed="81"/>
            <rFont val="Tahoma"/>
            <family val="2"/>
          </rPr>
          <t xml:space="preserve">
21-vagt på OA</t>
        </r>
      </text>
    </comment>
    <comment ref="AC141" authorId="1" shapeId="0" xr:uid="{5B8B9408-E054-4D5D-8A58-309A21979E8B}">
      <text>
        <r>
          <rPr>
            <b/>
            <sz val="9"/>
            <color indexed="81"/>
            <rFont val="Tahoma"/>
            <family val="2"/>
          </rPr>
          <t>Steen Hertin:</t>
        </r>
        <r>
          <rPr>
            <sz val="9"/>
            <color indexed="81"/>
            <rFont val="Tahoma"/>
            <family val="2"/>
          </rPr>
          <t xml:space="preserve">
21-vagt på OA</t>
        </r>
      </text>
    </comment>
    <comment ref="AD141" authorId="1" shapeId="0" xr:uid="{4B6F8779-6BFA-4CB6-A0B4-200597DE5902}">
      <text>
        <r>
          <rPr>
            <b/>
            <sz val="9"/>
            <color indexed="81"/>
            <rFont val="Tahoma"/>
            <family val="2"/>
          </rPr>
          <t>Steen Hertin:</t>
        </r>
        <r>
          <rPr>
            <sz val="9"/>
            <color indexed="81"/>
            <rFont val="Tahoma"/>
            <family val="2"/>
          </rPr>
          <t xml:space="preserve">
21-vagt på OA</t>
        </r>
      </text>
    </comment>
    <comment ref="AE141" authorId="1" shapeId="0" xr:uid="{7A1C692A-4378-4F9F-A9E3-8FE9BD887ED7}">
      <text>
        <r>
          <rPr>
            <b/>
            <sz val="9"/>
            <color indexed="81"/>
            <rFont val="Tahoma"/>
            <family val="2"/>
          </rPr>
          <t>Steen Hertin:</t>
        </r>
        <r>
          <rPr>
            <sz val="9"/>
            <color indexed="81"/>
            <rFont val="Tahoma"/>
            <family val="2"/>
          </rPr>
          <t xml:space="preserve">
21-vagt på OA</t>
        </r>
      </text>
    </comment>
    <comment ref="E153" authorId="6" shapeId="0" xr:uid="{B7F23E66-BF55-4C64-9491-8D9E81489ACD}">
      <text>
        <r>
          <rPr>
            <b/>
            <sz val="9"/>
            <color indexed="81"/>
            <rFont val="Tahoma"/>
            <family val="2"/>
          </rPr>
          <t>marasm:</t>
        </r>
        <r>
          <rPr>
            <sz val="9"/>
            <color indexed="81"/>
            <rFont val="Tahoma"/>
            <family val="2"/>
          </rPr>
          <t xml:space="preserve">
AHF</t>
        </r>
      </text>
    </comment>
    <comment ref="F153" authorId="6" shapeId="0" xr:uid="{80E87DF8-C378-45BB-A4BE-716070CB6D0A}">
      <text>
        <r>
          <rPr>
            <b/>
            <sz val="9"/>
            <color indexed="81"/>
            <rFont val="Tahoma"/>
            <family val="2"/>
          </rPr>
          <t>marasm:</t>
        </r>
        <r>
          <rPr>
            <sz val="9"/>
            <color indexed="81"/>
            <rFont val="Tahoma"/>
            <family val="2"/>
          </rPr>
          <t xml:space="preserve">
AHF</t>
        </r>
      </text>
    </comment>
    <comment ref="G153" authorId="0" shapeId="0" xr:uid="{3DE8EA1B-EFA2-4512-83EA-18DFEAA76836}">
      <text>
        <r>
          <rPr>
            <b/>
            <sz val="9"/>
            <color indexed="81"/>
            <rFont val="Tahoma"/>
            <family val="2"/>
          </rPr>
          <t>Marianne Rasmussen:</t>
        </r>
        <r>
          <rPr>
            <sz val="9"/>
            <color indexed="81"/>
            <rFont val="Tahoma"/>
            <family val="2"/>
          </rPr>
          <t xml:space="preserve">
BR-Møde på oa 15,30-</t>
        </r>
      </text>
    </comment>
    <comment ref="K153" authorId="6" shapeId="0" xr:uid="{EB2232B3-DE40-4853-847C-9541E795CED1}">
      <text>
        <r>
          <rPr>
            <b/>
            <sz val="9"/>
            <color indexed="81"/>
            <rFont val="Tahoma"/>
            <family val="2"/>
          </rPr>
          <t>marasm:</t>
        </r>
        <r>
          <rPr>
            <sz val="9"/>
            <color indexed="81"/>
            <rFont val="Tahoma"/>
            <family val="2"/>
          </rPr>
          <t xml:space="preserve">
AHF</t>
        </r>
      </text>
    </comment>
    <comment ref="L153" authorId="0" shapeId="0" xr:uid="{86316B3B-E3A5-4303-8E88-FC004F856312}">
      <text>
        <r>
          <rPr>
            <b/>
            <sz val="9"/>
            <color indexed="81"/>
            <rFont val="Tahoma"/>
            <family val="2"/>
          </rPr>
          <t>Marianne Rasmussen:</t>
        </r>
        <r>
          <rPr>
            <sz val="9"/>
            <color indexed="81"/>
            <rFont val="Tahoma"/>
            <family val="2"/>
          </rPr>
          <t xml:space="preserve">
Medaljeuddeling på oa 15,30</t>
        </r>
      </text>
    </comment>
    <comment ref="N153" authorId="6" shapeId="0" xr:uid="{7717E910-7F08-46DF-9148-6B304A265C95}">
      <text>
        <r>
          <rPr>
            <b/>
            <sz val="9"/>
            <color indexed="81"/>
            <rFont val="Tahoma"/>
            <family val="2"/>
          </rPr>
          <t>marasm:</t>
        </r>
        <r>
          <rPr>
            <sz val="9"/>
            <color indexed="81"/>
            <rFont val="Tahoma"/>
            <family val="2"/>
          </rPr>
          <t xml:space="preserve">
AHF</t>
        </r>
      </text>
    </comment>
    <comment ref="R153" authorId="6" shapeId="0" xr:uid="{D5C96706-79F5-4398-9F7D-B3ED35731103}">
      <text>
        <r>
          <rPr>
            <b/>
            <sz val="9"/>
            <color indexed="81"/>
            <rFont val="Tahoma"/>
            <family val="2"/>
          </rPr>
          <t>marasm:</t>
        </r>
        <r>
          <rPr>
            <sz val="9"/>
            <color indexed="81"/>
            <rFont val="Tahoma"/>
            <family val="2"/>
          </rPr>
          <t xml:space="preserve">
AHF</t>
        </r>
      </text>
    </comment>
    <comment ref="T153" authorId="0" shapeId="0" xr:uid="{8F7D78D9-2760-41C2-84CC-E8629B29C604}">
      <text>
        <r>
          <rPr>
            <b/>
            <sz val="9"/>
            <color indexed="81"/>
            <rFont val="Tahoma"/>
            <family val="2"/>
          </rPr>
          <t>Marianne Rasmussen:</t>
        </r>
        <r>
          <rPr>
            <sz val="9"/>
            <color indexed="81"/>
            <rFont val="Tahoma"/>
            <family val="2"/>
          </rPr>
          <t xml:space="preserve">
AHF</t>
        </r>
      </text>
    </comment>
    <comment ref="V153" authorId="6" shapeId="0" xr:uid="{A7AA66F4-9177-4E46-AE8E-D466B6B5D84C}">
      <text>
        <r>
          <rPr>
            <b/>
            <sz val="9"/>
            <color indexed="81"/>
            <rFont val="Tahoma"/>
            <family val="2"/>
          </rPr>
          <t>marasm:</t>
        </r>
        <r>
          <rPr>
            <sz val="9"/>
            <color indexed="81"/>
            <rFont val="Tahoma"/>
            <family val="2"/>
          </rPr>
          <t xml:space="preserve">
AHF</t>
        </r>
      </text>
    </comment>
    <comment ref="Y153" authorId="6" shapeId="0" xr:uid="{EC3D27D8-669F-4AA5-AB3F-59FB907CFC0E}">
      <text>
        <r>
          <rPr>
            <b/>
            <sz val="9"/>
            <color indexed="81"/>
            <rFont val="Tahoma"/>
            <family val="2"/>
          </rPr>
          <t>marasm:</t>
        </r>
        <r>
          <rPr>
            <sz val="9"/>
            <color indexed="81"/>
            <rFont val="Tahoma"/>
            <family val="2"/>
          </rPr>
          <t xml:space="preserve">
AHF</t>
        </r>
      </text>
    </comment>
    <comment ref="AA153" authorId="0" shapeId="0" xr:uid="{9DD1CC79-C785-43A6-805F-876E23A001B2}">
      <text>
        <r>
          <rPr>
            <b/>
            <sz val="9"/>
            <color indexed="81"/>
            <rFont val="Tahoma"/>
            <family val="2"/>
          </rPr>
          <t>Marianne Rasmussen:</t>
        </r>
        <r>
          <rPr>
            <sz val="9"/>
            <color indexed="81"/>
            <rFont val="Tahoma"/>
            <family val="2"/>
          </rPr>
          <t xml:space="preserve">
AHF</t>
        </r>
      </text>
    </comment>
    <comment ref="F154" authorId="1" shapeId="0" xr:uid="{64287F6F-DC54-4DE0-BCA4-09A4451FE4B8}">
      <text>
        <r>
          <rPr>
            <b/>
            <sz val="9"/>
            <color indexed="81"/>
            <rFont val="Tahoma"/>
            <family val="2"/>
          </rPr>
          <t>Steen Hertin:</t>
        </r>
        <r>
          <rPr>
            <sz val="9"/>
            <color indexed="81"/>
            <rFont val="Tahoma"/>
            <family val="2"/>
          </rPr>
          <t xml:space="preserve">
</t>
        </r>
      </text>
    </comment>
    <comment ref="G158" authorId="0" shapeId="0" xr:uid="{C0959939-9D6F-4373-A56E-29536C600B6B}">
      <text>
        <r>
          <rPr>
            <b/>
            <sz val="9"/>
            <color indexed="81"/>
            <rFont val="Tahoma"/>
            <family val="2"/>
          </rPr>
          <t>Marianne Rasmussen:</t>
        </r>
        <r>
          <rPr>
            <sz val="9"/>
            <color indexed="81"/>
            <rFont val="Tahoma"/>
            <family val="2"/>
          </rPr>
          <t xml:space="preserve">
BR-Møde på oa 15,15-</t>
        </r>
      </text>
    </comment>
    <comment ref="K158" authorId="10" shapeId="0" xr:uid="{66C0353D-89DC-41F1-8E87-A41FEA484A88}">
      <text>
        <r>
          <rPr>
            <b/>
            <sz val="9"/>
            <color indexed="81"/>
            <rFont val="Tahoma"/>
            <family val="2"/>
          </rPr>
          <t>Flemming Nielsen:</t>
        </r>
        <r>
          <rPr>
            <sz val="9"/>
            <color indexed="81"/>
            <rFont val="Tahoma"/>
            <family val="2"/>
          </rPr>
          <t xml:space="preserve">
AHF</t>
        </r>
      </text>
    </comment>
    <comment ref="L158" authorId="10" shapeId="0" xr:uid="{F05B90E1-2DC4-4300-829E-4B93555543DC}">
      <text>
        <r>
          <rPr>
            <b/>
            <sz val="9"/>
            <color indexed="81"/>
            <rFont val="Tahoma"/>
            <family val="2"/>
          </rPr>
          <t xml:space="preserve">Flemming Nielsen:
</t>
        </r>
        <r>
          <rPr>
            <sz val="9"/>
            <color indexed="81"/>
            <rFont val="Tahoma"/>
            <family val="2"/>
          </rPr>
          <t>AHF</t>
        </r>
      </text>
    </comment>
    <comment ref="AC180" authorId="4" shapeId="0" xr:uid="{29C477A5-A1CC-48E5-BD49-8C55CDC18418}">
      <text>
        <r>
          <rPr>
            <b/>
            <sz val="9"/>
            <color indexed="81"/>
            <rFont val="Tahoma"/>
            <family val="2"/>
          </rPr>
          <t>Steen Hertin-Sandkær:</t>
        </r>
        <r>
          <rPr>
            <sz val="9"/>
            <color indexed="81"/>
            <rFont val="Tahoma"/>
            <family val="2"/>
          </rPr>
          <t xml:space="preserve">
Intern flex</t>
        </r>
      </text>
    </comment>
    <comment ref="D181" authorId="6" shapeId="0" xr:uid="{1354E57D-F9A6-4DA8-9B30-79DF09185BE7}">
      <text>
        <r>
          <rPr>
            <b/>
            <sz val="9"/>
            <color indexed="81"/>
            <rFont val="Tahoma"/>
            <family val="2"/>
          </rPr>
          <t>marasm:</t>
        </r>
        <r>
          <rPr>
            <sz val="9"/>
            <color indexed="81"/>
            <rFont val="Tahoma"/>
            <family val="2"/>
          </rPr>
          <t xml:space="preserve">
Internt flex</t>
        </r>
      </text>
    </comment>
    <comment ref="H181" authorId="6" shapeId="0" xr:uid="{FF8FAF2C-E005-4536-B3F9-E1AD635A7705}">
      <text>
        <r>
          <rPr>
            <b/>
            <sz val="9"/>
            <color indexed="81"/>
            <rFont val="Tahoma"/>
            <family val="2"/>
          </rPr>
          <t>marasm:</t>
        </r>
        <r>
          <rPr>
            <sz val="9"/>
            <color indexed="81"/>
            <rFont val="Tahoma"/>
            <family val="2"/>
          </rPr>
          <t xml:space="preserve">
Internt flex</t>
        </r>
      </text>
    </comment>
    <comment ref="K181" authorId="6" shapeId="0" xr:uid="{2A468FF2-5ECC-4821-A75B-2754F54B6863}">
      <text>
        <r>
          <rPr>
            <b/>
            <sz val="9"/>
            <color indexed="81"/>
            <rFont val="Tahoma"/>
            <family val="2"/>
          </rPr>
          <t>marasm:</t>
        </r>
        <r>
          <rPr>
            <sz val="9"/>
            <color indexed="81"/>
            <rFont val="Tahoma"/>
            <family val="2"/>
          </rPr>
          <t xml:space="preserve">
Internt flex</t>
        </r>
      </text>
    </comment>
    <comment ref="L181" authorId="6" shapeId="0" xr:uid="{F9924B97-1731-4E94-AA2D-C65F61A13F30}">
      <text>
        <r>
          <rPr>
            <b/>
            <sz val="9"/>
            <color indexed="81"/>
            <rFont val="Tahoma"/>
            <family val="2"/>
          </rPr>
          <t>marasm:</t>
        </r>
        <r>
          <rPr>
            <sz val="9"/>
            <color indexed="81"/>
            <rFont val="Tahoma"/>
            <family val="2"/>
          </rPr>
          <t xml:space="preserve">
Internt flex</t>
        </r>
      </text>
    </comment>
    <comment ref="E182" authorId="4" shapeId="0" xr:uid="{2EAA308D-F9E9-466D-85C8-AD3454DE1673}">
      <text>
        <r>
          <rPr>
            <b/>
            <sz val="9"/>
            <color indexed="81"/>
            <rFont val="Tahoma"/>
            <family val="2"/>
          </rPr>
          <t>Steen Hertin-Sandkær:</t>
        </r>
        <r>
          <rPr>
            <sz val="9"/>
            <color indexed="81"/>
            <rFont val="Tahoma"/>
            <family val="2"/>
          </rPr>
          <t xml:space="preserve">
intern flex</t>
        </r>
      </text>
    </comment>
    <comment ref="H182" authorId="1" shapeId="0" xr:uid="{6D9C37EA-A127-427B-BC56-0F1BCC191CFF}">
      <text>
        <r>
          <rPr>
            <b/>
            <sz val="9"/>
            <color indexed="81"/>
            <rFont val="Tahoma"/>
            <family val="2"/>
          </rPr>
          <t>Steen Hertin:</t>
        </r>
        <r>
          <rPr>
            <sz val="9"/>
            <color indexed="81"/>
            <rFont val="Tahoma"/>
            <family val="2"/>
          </rPr>
          <t xml:space="preserve">
Svanemøllehallen 16.00-21.00 OA</t>
        </r>
      </text>
    </comment>
    <comment ref="V182" authorId="4" shapeId="0" xr:uid="{A1CCAEB5-89F4-4507-9D5C-CF8D0A57FEDA}">
      <text>
        <r>
          <rPr>
            <b/>
            <sz val="9"/>
            <color indexed="81"/>
            <rFont val="Tahoma"/>
            <family val="2"/>
          </rPr>
          <t>Steen Hertin-Sandkær:</t>
        </r>
        <r>
          <rPr>
            <sz val="9"/>
            <color indexed="81"/>
            <rFont val="Tahoma"/>
            <family val="2"/>
          </rPr>
          <t xml:space="preserve">
Metro 15-22 OA</t>
        </r>
      </text>
    </comment>
    <comment ref="AF182" authorId="1" shapeId="0" xr:uid="{7A2590BF-CD0F-4129-AA7B-B474B03422B5}">
      <text>
        <r>
          <rPr>
            <b/>
            <sz val="9"/>
            <color indexed="81"/>
            <rFont val="Tahoma"/>
            <family val="2"/>
          </rPr>
          <t>Steen Hertin:</t>
        </r>
        <r>
          <rPr>
            <sz val="9"/>
            <color indexed="81"/>
            <rFont val="Tahoma"/>
            <family val="2"/>
          </rPr>
          <t xml:space="preserve">
Metro 15-22 på OA</t>
        </r>
      </text>
    </comment>
    <comment ref="AG182" authorId="1" shapeId="0" xr:uid="{697A6C90-94F1-4D69-9C24-D41B9B7472BF}">
      <text>
        <r>
          <rPr>
            <b/>
            <sz val="9"/>
            <color indexed="81"/>
            <rFont val="Tahoma"/>
            <family val="2"/>
          </rPr>
          <t>Steen Hertin:</t>
        </r>
        <r>
          <rPr>
            <sz val="9"/>
            <color indexed="81"/>
            <rFont val="Tahoma"/>
            <family val="2"/>
          </rPr>
          <t xml:space="preserve">
Metro 15-22 på OA</t>
        </r>
      </text>
    </comment>
    <comment ref="D183" authorId="1" shapeId="0" xr:uid="{835710B4-1B54-4EF4-BFB3-52E2DF5A4516}">
      <text>
        <r>
          <rPr>
            <b/>
            <sz val="9"/>
            <color indexed="81"/>
            <rFont val="Tahoma"/>
            <family val="2"/>
          </rPr>
          <t>Steen Hertin:</t>
        </r>
        <r>
          <rPr>
            <sz val="9"/>
            <color indexed="81"/>
            <rFont val="Tahoma"/>
            <family val="2"/>
          </rPr>
          <t xml:space="preserve">
Går kl. 12.00</t>
        </r>
      </text>
    </comment>
    <comment ref="L187" authorId="0" shapeId="0" xr:uid="{727964F5-9A38-4295-878D-A3554ED28C29}">
      <text>
        <r>
          <rPr>
            <b/>
            <sz val="9"/>
            <color indexed="81"/>
            <rFont val="Tahoma"/>
            <family val="2"/>
          </rPr>
          <t>Marianne Rasmussen:</t>
        </r>
        <r>
          <rPr>
            <sz val="9"/>
            <color indexed="81"/>
            <rFont val="Tahoma"/>
            <family val="2"/>
          </rPr>
          <t xml:space="preserve">
Medaljeuddeling på oa 15,45</t>
        </r>
      </text>
    </comment>
    <comment ref="T211" authorId="6" shapeId="0" xr:uid="{C52EC85C-0805-4D5F-A534-45BDB26AF9FE}">
      <text>
        <r>
          <rPr>
            <b/>
            <sz val="9"/>
            <color indexed="81"/>
            <rFont val="Tahoma"/>
            <family val="2"/>
          </rPr>
          <t>marasm:</t>
        </r>
        <r>
          <rPr>
            <sz val="9"/>
            <color indexed="81"/>
            <rFont val="Tahoma"/>
            <family val="2"/>
          </rPr>
          <t xml:space="preserve">
- 3,15 timer i afs</t>
        </r>
      </text>
    </comment>
    <comment ref="C212" authorId="1" shapeId="0" xr:uid="{0A28F334-E47C-40D2-A6E5-81482CBC3F8C}">
      <text>
        <r>
          <rPr>
            <b/>
            <sz val="9"/>
            <color indexed="81"/>
            <rFont val="Tahoma"/>
            <family val="2"/>
          </rPr>
          <t>Steen Hertin:</t>
        </r>
        <r>
          <rPr>
            <sz val="9"/>
            <color indexed="81"/>
            <rFont val="Tahoma"/>
            <family val="2"/>
          </rPr>
          <t xml:space="preserve">
Cabin metro 08-22</t>
        </r>
      </text>
    </comment>
    <comment ref="T212" authorId="6" shapeId="0" xr:uid="{5358FE54-DB2A-4F7A-8D0A-BEE3B6D656BB}">
      <text>
        <r>
          <rPr>
            <b/>
            <sz val="9"/>
            <color indexed="81"/>
            <rFont val="Tahoma"/>
            <family val="2"/>
          </rPr>
          <t>marasm:</t>
        </r>
        <r>
          <rPr>
            <sz val="9"/>
            <color indexed="81"/>
            <rFont val="Tahoma"/>
            <family val="2"/>
          </rPr>
          <t xml:space="preserve">
afs fra kl. 12-14,45</t>
        </r>
      </text>
    </comment>
    <comment ref="W212" authorId="1" shapeId="0" xr:uid="{BFE8BFC8-D7CB-4B64-A469-29958792DA3B}">
      <text>
        <r>
          <rPr>
            <b/>
            <sz val="9"/>
            <color indexed="81"/>
            <rFont val="Tahoma"/>
            <family val="2"/>
          </rPr>
          <t>Steen Hertin:</t>
        </r>
        <r>
          <rPr>
            <sz val="9"/>
            <color indexed="81"/>
            <rFont val="Tahoma"/>
            <family val="2"/>
          </rPr>
          <t xml:space="preserve">
Cabin metro 08-22</t>
        </r>
      </text>
    </comment>
    <comment ref="X212" authorId="1" shapeId="0" xr:uid="{2A0084DC-7BC9-4C6F-A9D2-648907D41301}">
      <text>
        <r>
          <rPr>
            <b/>
            <sz val="9"/>
            <color indexed="81"/>
            <rFont val="Tahoma"/>
            <family val="2"/>
          </rPr>
          <t>Steen Hertin:</t>
        </r>
        <r>
          <rPr>
            <sz val="9"/>
            <color indexed="81"/>
            <rFont val="Tahoma"/>
            <family val="2"/>
          </rPr>
          <t xml:space="preserve">
Cabin metro 08-22</t>
        </r>
      </text>
    </comment>
    <comment ref="AA212" authorId="1" shapeId="0" xr:uid="{AA0BAADD-789F-4853-8A6E-0B1F3096AA94}">
      <text>
        <r>
          <rPr>
            <b/>
            <sz val="9"/>
            <color indexed="81"/>
            <rFont val="Tahoma"/>
            <family val="2"/>
          </rPr>
          <t>Steen Hertin:</t>
        </r>
        <r>
          <rPr>
            <sz val="9"/>
            <color indexed="81"/>
            <rFont val="Tahoma"/>
            <family val="2"/>
          </rPr>
          <t xml:space="preserve">
Cabin metro 15-22</t>
        </r>
      </text>
    </comment>
    <comment ref="AB212" authorId="1" shapeId="0" xr:uid="{920AA307-5467-4C16-A9B5-B548BF01CD4B}">
      <text>
        <r>
          <rPr>
            <b/>
            <sz val="9"/>
            <color indexed="81"/>
            <rFont val="Tahoma"/>
            <family val="2"/>
          </rPr>
          <t>Steen Hertin:</t>
        </r>
        <r>
          <rPr>
            <sz val="9"/>
            <color indexed="81"/>
            <rFont val="Tahoma"/>
            <family val="2"/>
          </rPr>
          <t xml:space="preserve">
Cabin metro 08-22</t>
        </r>
      </text>
    </comment>
    <comment ref="AC212" authorId="1" shapeId="0" xr:uid="{78A7B940-1598-4B74-A9A2-5205887AEB67}">
      <text>
        <r>
          <rPr>
            <b/>
            <sz val="9"/>
            <color indexed="81"/>
            <rFont val="Tahoma"/>
            <family val="2"/>
          </rPr>
          <t>Steen Hertin:</t>
        </r>
        <r>
          <rPr>
            <sz val="9"/>
            <color indexed="81"/>
            <rFont val="Tahoma"/>
            <family val="2"/>
          </rPr>
          <t xml:space="preserve">
Cabin metro 15-22</t>
        </r>
      </text>
    </comment>
    <comment ref="AE212" authorId="1" shapeId="0" xr:uid="{E5E49FB6-B2ED-45FD-9FC1-D51790918D7F}">
      <text>
        <r>
          <rPr>
            <b/>
            <sz val="9"/>
            <color indexed="81"/>
            <rFont val="Tahoma"/>
            <family val="2"/>
          </rPr>
          <t>Steen Hertin:</t>
        </r>
        <r>
          <rPr>
            <sz val="9"/>
            <color indexed="81"/>
            <rFont val="Tahoma"/>
            <family val="2"/>
          </rPr>
          <t xml:space="preserve">
Cabin metro 08-22</t>
        </r>
      </text>
    </comment>
    <comment ref="AG216" authorId="6" shapeId="0" xr:uid="{C3FF8A85-783E-4730-A807-17C4C389FDAD}">
      <text>
        <r>
          <rPr>
            <b/>
            <sz val="9"/>
            <color indexed="81"/>
            <rFont val="Tahoma"/>
            <family val="2"/>
          </rPr>
          <t>marasm:</t>
        </r>
        <r>
          <rPr>
            <sz val="9"/>
            <color indexed="81"/>
            <rFont val="Tahoma"/>
            <family val="2"/>
          </rPr>
          <t xml:space="preserve">
1 bud til valg</t>
        </r>
      </text>
    </comment>
    <comment ref="U217" authorId="6" shapeId="0" xr:uid="{72EBCA95-633A-4B21-A348-01DF7B8AEA86}">
      <text>
        <r>
          <rPr>
            <b/>
            <sz val="9"/>
            <color indexed="81"/>
            <rFont val="Tahoma"/>
            <family val="2"/>
          </rPr>
          <t>marasm:</t>
        </r>
        <r>
          <rPr>
            <sz val="9"/>
            <color indexed="81"/>
            <rFont val="Tahoma"/>
            <family val="2"/>
          </rPr>
          <t xml:space="preserve">
- 2 timer i afs
1145-1345</t>
        </r>
      </text>
    </comment>
    <comment ref="U218" authorId="6" shapeId="0" xr:uid="{10697BF4-4959-4D72-8AD5-4F22081193B1}">
      <text>
        <r>
          <rPr>
            <b/>
            <sz val="9"/>
            <color indexed="81"/>
            <rFont val="Tahoma"/>
            <family val="2"/>
          </rPr>
          <t>marasm:</t>
        </r>
        <r>
          <rPr>
            <sz val="9"/>
            <color indexed="81"/>
            <rFont val="Tahoma"/>
            <family val="2"/>
          </rPr>
          <t xml:space="preserve">
- 1345-1545 i afs</t>
        </r>
      </text>
    </comment>
    <comment ref="V218" authorId="6" shapeId="0" xr:uid="{FB100598-3BD7-4426-A6C0-8B95672BCA50}">
      <text>
        <r>
          <rPr>
            <b/>
            <sz val="9"/>
            <color indexed="81"/>
            <rFont val="Tahoma"/>
            <family val="2"/>
          </rPr>
          <t>marasm:</t>
        </r>
        <r>
          <rPr>
            <sz val="9"/>
            <color indexed="81"/>
            <rFont val="Tahoma"/>
            <family val="2"/>
          </rPr>
          <t xml:space="preserve">
- 12-14 i Afs</t>
        </r>
      </text>
    </comment>
    <comment ref="D272" authorId="0" shapeId="0" xr:uid="{1A13F665-FD8D-47C0-BD03-B45004697662}">
      <text>
        <r>
          <rPr>
            <b/>
            <sz val="9"/>
            <color indexed="81"/>
            <rFont val="Tahoma"/>
            <family val="2"/>
          </rPr>
          <t>Marianne Rasmussen:</t>
        </r>
        <r>
          <rPr>
            <sz val="9"/>
            <color indexed="81"/>
            <rFont val="Tahoma"/>
            <family val="2"/>
          </rPr>
          <t xml:space="preserve">
- 4,5 time i afs</t>
        </r>
      </text>
    </comment>
    <comment ref="H272" authorId="0" shapeId="0" xr:uid="{69CA9BEF-1C9A-4C38-8926-B65400DB9207}">
      <text>
        <r>
          <rPr>
            <b/>
            <sz val="9"/>
            <color indexed="81"/>
            <rFont val="Tahoma"/>
            <family val="2"/>
          </rPr>
          <t>Marianne Rasmussen:</t>
        </r>
        <r>
          <rPr>
            <sz val="9"/>
            <color indexed="81"/>
            <rFont val="Tahoma"/>
            <family val="2"/>
          </rPr>
          <t xml:space="preserve">
-3 timer i afs</t>
        </r>
      </text>
    </comment>
    <comment ref="S272" authorId="6" shapeId="0" xr:uid="{1ADCA7E2-9FBA-430D-99D9-8102E7AE9512}">
      <text>
        <r>
          <rPr>
            <b/>
            <sz val="9"/>
            <color indexed="81"/>
            <rFont val="Tahoma"/>
            <family val="2"/>
          </rPr>
          <t>marasm:</t>
        </r>
        <r>
          <rPr>
            <sz val="9"/>
            <color indexed="81"/>
            <rFont val="Tahoma"/>
            <family val="2"/>
          </rPr>
          <t xml:space="preserve">
- 4,5 time i afs</t>
        </r>
      </text>
    </comment>
    <comment ref="T272" authorId="0" shapeId="0" xr:uid="{A9523E09-B630-42D5-87B7-BF70B985350E}">
      <text>
        <r>
          <rPr>
            <b/>
            <sz val="9"/>
            <color indexed="81"/>
            <rFont val="Tahoma"/>
            <family val="2"/>
          </rPr>
          <t>Marianne Rasmussen:</t>
        </r>
        <r>
          <rPr>
            <sz val="9"/>
            <color indexed="81"/>
            <rFont val="Tahoma"/>
            <family val="2"/>
          </rPr>
          <t xml:space="preserve">
 - 5 timer i afs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Marianne Rasmussen</author>
    <author>Thomas Holm</author>
    <author>marasm</author>
    <author>Steen Hertin</author>
    <author>Steen Hertin-Sandkær</author>
    <author>Michael Bo Pedersen</author>
    <author>Nick Lorentzen</author>
    <author>Mathias Hartvig Morell Nielsen</author>
    <author>Mathias Nielsen</author>
    <author>Kim BT. Pedersen</author>
  </authors>
  <commentList>
    <comment ref="C12" authorId="0" shapeId="0" xr:uid="{502B30A5-8A4F-47FF-BC82-2B04BD5419E9}">
      <text>
        <r>
          <rPr>
            <b/>
            <sz val="9"/>
            <color indexed="81"/>
            <rFont val="Tahoma"/>
            <family val="2"/>
          </rPr>
          <t>Marianne Rasmussen:</t>
        </r>
        <r>
          <rPr>
            <sz val="9"/>
            <color indexed="81"/>
            <rFont val="Tahoma"/>
            <family val="2"/>
          </rPr>
          <t xml:space="preserve">
Fintælling Kl. 17</t>
        </r>
      </text>
    </comment>
    <comment ref="D12" authorId="0" shapeId="0" xr:uid="{92BD6CAD-D32E-4ADC-B2A8-F3F6CB7AFBC0}">
      <text>
        <r>
          <rPr>
            <b/>
            <sz val="9"/>
            <color indexed="81"/>
            <rFont val="Tahoma"/>
            <family val="2"/>
          </rPr>
          <t>Marianne Rasmussen:</t>
        </r>
        <r>
          <rPr>
            <sz val="9"/>
            <color indexed="81"/>
            <rFont val="Tahoma"/>
            <family val="2"/>
          </rPr>
          <t xml:space="preserve">
Fintælling </t>
        </r>
      </text>
    </comment>
    <comment ref="J12" authorId="1" shapeId="0" xr:uid="{4EA38149-16A5-4354-A794-B59BF2C2C4A5}">
      <text>
        <r>
          <rPr>
            <b/>
            <sz val="9"/>
            <color indexed="81"/>
            <rFont val="Tahoma"/>
            <family val="2"/>
          </rPr>
          <t>Thomas Holm:</t>
        </r>
        <r>
          <rPr>
            <sz val="9"/>
            <color indexed="81"/>
            <rFont val="Tahoma"/>
            <family val="2"/>
          </rPr>
          <t xml:space="preserve">
Møder som VH</t>
        </r>
      </text>
    </comment>
    <comment ref="X12" authorId="2" shapeId="0" xr:uid="{13561E7A-B725-4F81-B9F2-3133D5E9CB12}">
      <text>
        <r>
          <rPr>
            <b/>
            <sz val="9"/>
            <color indexed="81"/>
            <rFont val="Tahoma"/>
            <family val="2"/>
          </rPr>
          <t>marasm:</t>
        </r>
        <r>
          <rPr>
            <sz val="9"/>
            <color indexed="81"/>
            <rFont val="Tahoma"/>
            <family val="2"/>
          </rPr>
          <t xml:space="preserve">
Arrangement på OA</t>
        </r>
      </text>
    </comment>
    <comment ref="Z12" authorId="2" shapeId="0" xr:uid="{82239460-301F-4F8C-94CB-5FF7FCF1D0D3}">
      <text>
        <r>
          <rPr>
            <b/>
            <sz val="9"/>
            <color indexed="81"/>
            <rFont val="Tahoma"/>
            <family val="2"/>
          </rPr>
          <t>marasm:</t>
        </r>
        <r>
          <rPr>
            <sz val="9"/>
            <color indexed="81"/>
            <rFont val="Tahoma"/>
            <family val="2"/>
          </rPr>
          <t xml:space="preserve">
BR-Møde på oa</t>
        </r>
      </text>
    </comment>
    <comment ref="D14" authorId="2" shapeId="0" xr:uid="{B19752EB-24DA-4745-90D2-A12276B6C714}">
      <text>
        <r>
          <rPr>
            <b/>
            <sz val="9"/>
            <color indexed="81"/>
            <rFont val="Tahoma"/>
            <family val="2"/>
          </rPr>
          <t>marasm:</t>
        </r>
        <r>
          <rPr>
            <sz val="9"/>
            <color indexed="81"/>
            <rFont val="Tahoma"/>
            <family val="2"/>
          </rPr>
          <t xml:space="preserve">
BR-Møde</t>
        </r>
      </text>
    </comment>
    <comment ref="C17" authorId="0" shapeId="0" xr:uid="{467CA056-ED72-45B3-AD48-D4F3A80E4561}">
      <text>
        <r>
          <rPr>
            <b/>
            <sz val="9"/>
            <color indexed="81"/>
            <rFont val="Tahoma"/>
            <family val="2"/>
          </rPr>
          <t>Marianne Rasmussen:</t>
        </r>
        <r>
          <rPr>
            <sz val="9"/>
            <color indexed="81"/>
            <rFont val="Tahoma"/>
            <family val="2"/>
          </rPr>
          <t xml:space="preserve">
Møder kl. 07.30 som vagthavende + Fintælling Kl. 17</t>
        </r>
      </text>
    </comment>
    <comment ref="D17" authorId="0" shapeId="0" xr:uid="{68680656-EF86-4B69-930D-17C5414CBD37}">
      <text>
        <r>
          <rPr>
            <b/>
            <sz val="9"/>
            <color indexed="81"/>
            <rFont val="Tahoma"/>
            <family val="2"/>
          </rPr>
          <t>Marianne Rasmussen:</t>
        </r>
        <r>
          <rPr>
            <sz val="9"/>
            <color indexed="81"/>
            <rFont val="Tahoma"/>
            <family val="2"/>
          </rPr>
          <t xml:space="preserve">
Fintælling </t>
        </r>
      </text>
    </comment>
    <comment ref="E17" authorId="3" shapeId="0" xr:uid="{2A34411B-7D98-4610-91FA-3AF82190500A}">
      <text>
        <r>
          <rPr>
            <b/>
            <sz val="9"/>
            <color indexed="81"/>
            <rFont val="Tahoma"/>
            <family val="2"/>
          </rPr>
          <t>Steen Hertin:</t>
        </r>
        <r>
          <rPr>
            <sz val="9"/>
            <color indexed="81"/>
            <rFont val="Tahoma"/>
            <family val="2"/>
          </rPr>
          <t xml:space="preserve">
dagvagt omlagt tjeneste</t>
        </r>
      </text>
    </comment>
    <comment ref="I17" authorId="2" shapeId="0" xr:uid="{27270412-2BFE-40A4-ABC4-63FBE8915F48}">
      <text>
        <r>
          <rPr>
            <b/>
            <sz val="9"/>
            <color indexed="81"/>
            <rFont val="Tahoma"/>
            <family val="2"/>
          </rPr>
          <t>marasm:</t>
        </r>
        <r>
          <rPr>
            <sz val="9"/>
            <color indexed="81"/>
            <rFont val="Tahoma"/>
            <family val="2"/>
          </rPr>
          <t xml:space="preserve">
Arrangement på oa</t>
        </r>
      </text>
    </comment>
    <comment ref="J17" authorId="1" shapeId="0" xr:uid="{C2C8B5C5-BBB9-4F6B-B6DD-0AB4ED42ACCB}">
      <text>
        <r>
          <rPr>
            <b/>
            <sz val="9"/>
            <color indexed="81"/>
            <rFont val="Tahoma"/>
            <family val="2"/>
          </rPr>
          <t>Thomas Holm:</t>
        </r>
        <r>
          <rPr>
            <sz val="9"/>
            <color indexed="81"/>
            <rFont val="Tahoma"/>
            <family val="2"/>
          </rPr>
          <t xml:space="preserve">
FES Nyborg
09.00-15.30</t>
        </r>
      </text>
    </comment>
    <comment ref="M17" authorId="3" shapeId="0" xr:uid="{EB669C5D-1636-4BF7-B5AC-49D80D4BBC07}">
      <text>
        <r>
          <rPr>
            <b/>
            <sz val="9"/>
            <color indexed="81"/>
            <rFont val="Tahoma"/>
            <family val="2"/>
          </rPr>
          <t>Steen Hertin:</t>
        </r>
        <r>
          <rPr>
            <sz val="9"/>
            <color indexed="81"/>
            <rFont val="Tahoma"/>
            <family val="2"/>
          </rPr>
          <t xml:space="preserve">
Copenhagen 08-15</t>
        </r>
      </text>
    </comment>
    <comment ref="O17" authorId="3" shapeId="0" xr:uid="{566352A4-12A4-4D34-9676-5C0DD98A88A7}">
      <text>
        <r>
          <rPr>
            <b/>
            <sz val="9"/>
            <color indexed="81"/>
            <rFont val="Tahoma"/>
            <family val="2"/>
          </rPr>
          <t>Steen Hertin:</t>
        </r>
        <r>
          <rPr>
            <sz val="9"/>
            <color indexed="81"/>
            <rFont val="Tahoma"/>
            <family val="2"/>
          </rPr>
          <t xml:space="preserve">
dagvagt omlagt tjeneste
2-vagt OA</t>
        </r>
      </text>
    </comment>
    <comment ref="Q17" authorId="3" shapeId="0" xr:uid="{C260882A-2079-47BC-8EF7-DF5FF65CD03E}">
      <text>
        <r>
          <rPr>
            <b/>
            <sz val="9"/>
            <color indexed="81"/>
            <rFont val="Tahoma"/>
            <family val="2"/>
          </rPr>
          <t>Steen Hertin:</t>
        </r>
        <r>
          <rPr>
            <sz val="9"/>
            <color indexed="81"/>
            <rFont val="Tahoma"/>
            <family val="2"/>
          </rPr>
          <t xml:space="preserve">
dagvagt omlagt tjeneste</t>
        </r>
      </text>
    </comment>
    <comment ref="R17" authorId="3" shapeId="0" xr:uid="{00F98D17-DAB3-4ECB-8EEF-467B67F98710}">
      <text>
        <r>
          <rPr>
            <b/>
            <sz val="9"/>
            <color indexed="81"/>
            <rFont val="Tahoma"/>
            <family val="2"/>
          </rPr>
          <t>Steen Hertin:</t>
        </r>
        <r>
          <rPr>
            <sz val="9"/>
            <color indexed="81"/>
            <rFont val="Tahoma"/>
            <family val="2"/>
          </rPr>
          <t xml:space="preserve">
dagvagt omlagt tjeneste</t>
        </r>
      </text>
    </comment>
    <comment ref="S17" authorId="3" shapeId="0" xr:uid="{6751124D-A7EC-4307-8514-8FA64685AAF6}">
      <text>
        <r>
          <rPr>
            <b/>
            <sz val="9"/>
            <color indexed="81"/>
            <rFont val="Tahoma"/>
            <family val="2"/>
          </rPr>
          <t>Steen Hertin:</t>
        </r>
        <r>
          <rPr>
            <sz val="9"/>
            <color indexed="81"/>
            <rFont val="Tahoma"/>
            <family val="2"/>
          </rPr>
          <t xml:space="preserve">
dagvagt omlagt tjeneste</t>
        </r>
      </text>
    </comment>
    <comment ref="V17" authorId="3" shapeId="0" xr:uid="{06ECBE2F-10F1-4E7A-9B09-9A652966046E}">
      <text>
        <r>
          <rPr>
            <b/>
            <sz val="9"/>
            <color indexed="81"/>
            <rFont val="Tahoma"/>
            <family val="2"/>
          </rPr>
          <t>Steen Hertin:</t>
        </r>
        <r>
          <rPr>
            <sz val="9"/>
            <color indexed="81"/>
            <rFont val="Tahoma"/>
            <family val="2"/>
          </rPr>
          <t xml:space="preserve">
dagvagt omlagt tjeneste</t>
        </r>
      </text>
    </comment>
    <comment ref="W17" authorId="3" shapeId="0" xr:uid="{B202A7F5-A830-4F7A-9E8D-5FF7E3300FA2}">
      <text>
        <r>
          <rPr>
            <b/>
            <sz val="9"/>
            <color indexed="81"/>
            <rFont val="Tahoma"/>
            <family val="2"/>
          </rPr>
          <t>Steen Hertin:</t>
        </r>
        <r>
          <rPr>
            <sz val="9"/>
            <color indexed="81"/>
            <rFont val="Tahoma"/>
            <family val="2"/>
          </rPr>
          <t xml:space="preserve">
dagvagt omlagt tjeneste</t>
        </r>
      </text>
    </comment>
    <comment ref="X17" authorId="3" shapeId="0" xr:uid="{F5551B92-D67B-45B1-8666-8C61712FF510}">
      <text>
        <r>
          <rPr>
            <b/>
            <sz val="9"/>
            <color indexed="81"/>
            <rFont val="Tahoma"/>
            <family val="2"/>
          </rPr>
          <t>Steen Hertin:</t>
        </r>
        <r>
          <rPr>
            <sz val="9"/>
            <color indexed="81"/>
            <rFont val="Tahoma"/>
            <family val="2"/>
          </rPr>
          <t xml:space="preserve">
dagvagt omlagt tjeneste
Arrangement på OA</t>
        </r>
      </text>
    </comment>
    <comment ref="Y17" authorId="3" shapeId="0" xr:uid="{0C2E2AB6-64B8-44C9-92B8-E395D308CEE6}">
      <text>
        <r>
          <rPr>
            <b/>
            <sz val="9"/>
            <color indexed="81"/>
            <rFont val="Tahoma"/>
            <family val="2"/>
          </rPr>
          <t>Steen Hertin:</t>
        </r>
        <r>
          <rPr>
            <sz val="9"/>
            <color indexed="81"/>
            <rFont val="Tahoma"/>
            <family val="2"/>
          </rPr>
          <t xml:space="preserve">
dagvagt omlagt tjeneste</t>
        </r>
      </text>
    </comment>
    <comment ref="Z17" authorId="3" shapeId="0" xr:uid="{45F41B25-C3E2-4DD9-B03B-F3EFBCD1A62A}">
      <text>
        <r>
          <rPr>
            <b/>
            <sz val="9"/>
            <color indexed="81"/>
            <rFont val="Tahoma"/>
            <family val="2"/>
          </rPr>
          <t>Steen Hertin:</t>
        </r>
        <r>
          <rPr>
            <sz val="9"/>
            <color indexed="81"/>
            <rFont val="Tahoma"/>
            <family val="2"/>
          </rPr>
          <t xml:space="preserve">
dagvagt omlagt tjeneste
BR-Møde på oa</t>
        </r>
      </text>
    </comment>
    <comment ref="AC17" authorId="3" shapeId="0" xr:uid="{2EFA5357-CF4A-4D81-9DF6-CEBD0DACC154}">
      <text>
        <r>
          <rPr>
            <b/>
            <sz val="9"/>
            <color indexed="81"/>
            <rFont val="Tahoma"/>
            <family val="2"/>
          </rPr>
          <t>Steen Hertin:</t>
        </r>
        <r>
          <rPr>
            <sz val="9"/>
            <color indexed="81"/>
            <rFont val="Tahoma"/>
            <family val="2"/>
          </rPr>
          <t xml:space="preserve">
dagvagt omlagt tjeneste</t>
        </r>
      </text>
    </comment>
    <comment ref="AE17" authorId="3" shapeId="0" xr:uid="{84283B82-C35D-4FFC-993C-A9815E7F654C}">
      <text>
        <r>
          <rPr>
            <b/>
            <sz val="9"/>
            <color indexed="81"/>
            <rFont val="Tahoma"/>
            <family val="2"/>
          </rPr>
          <t>Steen Hertin:</t>
        </r>
        <r>
          <rPr>
            <sz val="9"/>
            <color indexed="81"/>
            <rFont val="Tahoma"/>
            <family val="2"/>
          </rPr>
          <t xml:space="preserve">
dagvagt omlagt tjeneste
Eksamen KP Sigurdsgade</t>
        </r>
      </text>
    </comment>
    <comment ref="AF17" authorId="3" shapeId="0" xr:uid="{C396E3BA-C04B-4692-8E97-0765046F816D}">
      <text>
        <r>
          <rPr>
            <b/>
            <sz val="9"/>
            <color indexed="81"/>
            <rFont val="Tahoma"/>
            <family val="2"/>
          </rPr>
          <t>Steen Hertin:</t>
        </r>
        <r>
          <rPr>
            <sz val="9"/>
            <color indexed="81"/>
            <rFont val="Tahoma"/>
            <family val="2"/>
          </rPr>
          <t xml:space="preserve">
dagvagt omlagt tjeneste
Arrangement på OA</t>
        </r>
      </text>
    </comment>
    <comment ref="D20" authorId="0" shapeId="0" xr:uid="{0ED91B80-48E8-42BC-B878-D1CDD0F3AEF6}">
      <text>
        <r>
          <rPr>
            <b/>
            <sz val="9"/>
            <color indexed="81"/>
            <rFont val="Tahoma"/>
            <family val="2"/>
          </rPr>
          <t>Marianne Rasmussen:</t>
        </r>
        <r>
          <rPr>
            <sz val="9"/>
            <color indexed="81"/>
            <rFont val="Tahoma"/>
            <family val="2"/>
          </rPr>
          <t xml:space="preserve">
Fintælling </t>
        </r>
      </text>
    </comment>
    <comment ref="H20" authorId="3" shapeId="0" xr:uid="{D0B8BFE8-8493-42D3-9A38-78637CE496CD}">
      <text>
        <r>
          <rPr>
            <b/>
            <sz val="9"/>
            <color indexed="81"/>
            <rFont val="Tahoma"/>
            <family val="2"/>
          </rPr>
          <t>Steen Hertin:</t>
        </r>
        <r>
          <rPr>
            <sz val="9"/>
            <color indexed="81"/>
            <rFont val="Tahoma"/>
            <family val="2"/>
          </rPr>
          <t xml:space="preserve">
Copenhagen 08-15</t>
        </r>
      </text>
    </comment>
    <comment ref="N20" authorId="3" shapeId="0" xr:uid="{CDF9B3AA-CAD0-4829-9A06-6C80B0650AE3}">
      <text>
        <r>
          <rPr>
            <b/>
            <sz val="9"/>
            <color indexed="81"/>
            <rFont val="Tahoma"/>
            <family val="2"/>
          </rPr>
          <t>Steen Hertin:</t>
        </r>
        <r>
          <rPr>
            <sz val="9"/>
            <color indexed="81"/>
            <rFont val="Tahoma"/>
            <family val="2"/>
          </rPr>
          <t xml:space="preserve">
Copenhagen 08-15</t>
        </r>
      </text>
    </comment>
    <comment ref="O20" authorId="3" shapeId="0" xr:uid="{97DF1FD1-BDEB-448A-A431-B7FC70B4949C}">
      <text>
        <r>
          <rPr>
            <b/>
            <sz val="9"/>
            <color indexed="81"/>
            <rFont val="Tahoma"/>
            <family val="2"/>
          </rPr>
          <t>Steen Hertin:</t>
        </r>
        <r>
          <rPr>
            <sz val="9"/>
            <color indexed="81"/>
            <rFont val="Tahoma"/>
            <family val="2"/>
          </rPr>
          <t xml:space="preserve">
Kursus</t>
        </r>
      </text>
    </comment>
    <comment ref="Q20" authorId="3" shapeId="0" xr:uid="{23165896-BCED-4368-8F5F-C1C2C013A4C8}">
      <text>
        <r>
          <rPr>
            <b/>
            <sz val="9"/>
            <color indexed="81"/>
            <rFont val="Tahoma"/>
            <family val="2"/>
          </rPr>
          <t>Steen Hertin:</t>
        </r>
        <r>
          <rPr>
            <sz val="9"/>
            <color indexed="81"/>
            <rFont val="Tahoma"/>
            <family val="2"/>
          </rPr>
          <t xml:space="preserve">
Kursus</t>
        </r>
      </text>
    </comment>
    <comment ref="X20" authorId="3" shapeId="0" xr:uid="{682A7F31-185E-4CE4-9E3E-676482376FC0}">
      <text>
        <r>
          <rPr>
            <b/>
            <sz val="9"/>
            <color indexed="81"/>
            <rFont val="Tahoma"/>
            <family val="2"/>
          </rPr>
          <t>Steen Hertin:</t>
        </r>
        <r>
          <rPr>
            <sz val="9"/>
            <color indexed="81"/>
            <rFont val="Tahoma"/>
            <family val="2"/>
          </rPr>
          <t xml:space="preserve">
Kursus</t>
        </r>
      </text>
    </comment>
    <comment ref="AB20" authorId="3" shapeId="0" xr:uid="{9C8052F6-F480-4FEB-AFBB-371BA6B14713}">
      <text>
        <r>
          <rPr>
            <b/>
            <sz val="9"/>
            <color indexed="81"/>
            <rFont val="Tahoma"/>
            <family val="2"/>
          </rPr>
          <t>Steen Hertin:</t>
        </r>
        <r>
          <rPr>
            <sz val="9"/>
            <color indexed="81"/>
            <rFont val="Tahoma"/>
            <family val="2"/>
          </rPr>
          <t xml:space="preserve">
Copenhagen 08-15</t>
        </r>
      </text>
    </comment>
    <comment ref="AC20" authorId="4" shapeId="0" xr:uid="{ED46B6C6-2AB3-494F-A7BF-BCB7784BE3FC}">
      <text>
        <r>
          <rPr>
            <b/>
            <sz val="9"/>
            <color indexed="81"/>
            <rFont val="Tahoma"/>
            <family val="2"/>
          </rPr>
          <t>Steen Hertin-Sandkær:</t>
        </r>
        <r>
          <rPr>
            <sz val="9"/>
            <color indexed="81"/>
            <rFont val="Tahoma"/>
            <family val="2"/>
          </rPr>
          <t xml:space="preserve">
2-vagt på OA</t>
        </r>
      </text>
    </comment>
    <comment ref="C21" authorId="0" shapeId="0" xr:uid="{FE1EEEDB-130A-4C44-B611-7D444C8FAB60}">
      <text>
        <r>
          <rPr>
            <b/>
            <sz val="9"/>
            <color indexed="81"/>
            <rFont val="Tahoma"/>
            <family val="2"/>
          </rPr>
          <t>Marianne Rasmussen:</t>
        </r>
        <r>
          <rPr>
            <sz val="9"/>
            <color indexed="81"/>
            <rFont val="Tahoma"/>
            <family val="2"/>
          </rPr>
          <t xml:space="preserve">
Fintælling Kl. 17</t>
        </r>
      </text>
    </comment>
    <comment ref="D21" authorId="0" shapeId="0" xr:uid="{D49886A8-E1E5-4598-A2E6-1FD29DC5389A}">
      <text>
        <r>
          <rPr>
            <b/>
            <sz val="9"/>
            <color indexed="81"/>
            <rFont val="Tahoma"/>
            <family val="2"/>
          </rPr>
          <t>Marianne Rasmussen:</t>
        </r>
        <r>
          <rPr>
            <sz val="9"/>
            <color indexed="81"/>
            <rFont val="Tahoma"/>
            <family val="2"/>
          </rPr>
          <t xml:space="preserve">
Fintælling </t>
        </r>
      </text>
    </comment>
    <comment ref="D22" authorId="2" shapeId="0" xr:uid="{B27D5BF2-18F3-402B-B8AD-14024F52488E}">
      <text>
        <r>
          <rPr>
            <b/>
            <sz val="9"/>
            <color indexed="81"/>
            <rFont val="Tahoma"/>
            <family val="2"/>
          </rPr>
          <t>marasm:</t>
        </r>
        <r>
          <rPr>
            <sz val="9"/>
            <color indexed="81"/>
            <rFont val="Tahoma"/>
            <family val="2"/>
          </rPr>
          <t xml:space="preserve">
BR-Møde</t>
        </r>
      </text>
    </comment>
    <comment ref="L22" authorId="3" shapeId="0" xr:uid="{4281D70C-2002-4ACD-8EDC-A6F717A54474}">
      <text>
        <r>
          <rPr>
            <b/>
            <sz val="9"/>
            <color indexed="81"/>
            <rFont val="Tahoma"/>
            <family val="2"/>
          </rPr>
          <t>Steen Hertin:</t>
        </r>
        <r>
          <rPr>
            <sz val="9"/>
            <color indexed="81"/>
            <rFont val="Tahoma"/>
            <family val="2"/>
          </rPr>
          <t xml:space="preserve">
G-vagt på OA</t>
        </r>
      </text>
    </comment>
    <comment ref="C24" authorId="0" shapeId="0" xr:uid="{68795084-E44B-4A6C-9077-88EB3944CAC2}">
      <text>
        <r>
          <rPr>
            <b/>
            <sz val="9"/>
            <color indexed="81"/>
            <rFont val="Tahoma"/>
            <family val="2"/>
          </rPr>
          <t>Marianne Rasmussen:</t>
        </r>
        <r>
          <rPr>
            <sz val="9"/>
            <color indexed="81"/>
            <rFont val="Tahoma"/>
            <family val="2"/>
          </rPr>
          <t xml:space="preserve">
Fintælling Kl. 17</t>
        </r>
      </text>
    </comment>
    <comment ref="D24" authorId="0" shapeId="0" xr:uid="{0F9C3EC5-B185-4112-AA4C-61F4AD64C295}">
      <text>
        <r>
          <rPr>
            <b/>
            <sz val="9"/>
            <color indexed="81"/>
            <rFont val="Tahoma"/>
            <family val="2"/>
          </rPr>
          <t>Marianne Rasmussen:</t>
        </r>
        <r>
          <rPr>
            <sz val="9"/>
            <color indexed="81"/>
            <rFont val="Tahoma"/>
            <family val="2"/>
          </rPr>
          <t xml:space="preserve">
Fintælling </t>
        </r>
      </text>
    </comment>
    <comment ref="I25" authorId="3" shapeId="0" xr:uid="{A8C1E64C-C6E6-47E4-8288-9474387ABE82}">
      <text>
        <r>
          <rPr>
            <b/>
            <sz val="9"/>
            <color indexed="81"/>
            <rFont val="Tahoma"/>
            <family val="2"/>
          </rPr>
          <t>Steen Hertin:</t>
        </r>
        <r>
          <rPr>
            <sz val="9"/>
            <color indexed="81"/>
            <rFont val="Tahoma"/>
            <family val="2"/>
          </rPr>
          <t xml:space="preserve">
Dække Lyongade fra kl. 13.00</t>
        </r>
      </text>
    </comment>
    <comment ref="C26" authorId="3" shapeId="0" xr:uid="{7E0E5455-2C23-473D-8F46-41463308094C}">
      <text>
        <r>
          <rPr>
            <b/>
            <sz val="9"/>
            <color indexed="81"/>
            <rFont val="Tahoma"/>
            <family val="2"/>
          </rPr>
          <t>Steen Hertin:</t>
        </r>
        <r>
          <rPr>
            <sz val="9"/>
            <color indexed="81"/>
            <rFont val="Tahoma"/>
            <family val="2"/>
          </rPr>
          <t xml:space="preserve">
Feje for Johnny</t>
        </r>
      </text>
    </comment>
    <comment ref="D26" authorId="3" shapeId="0" xr:uid="{C5580F64-EBDD-4418-ACA0-483B29186B5F}">
      <text>
        <r>
          <rPr>
            <b/>
            <sz val="9"/>
            <color indexed="81"/>
            <rFont val="Tahoma"/>
            <family val="2"/>
          </rPr>
          <t>Steen Hertin:</t>
        </r>
        <r>
          <rPr>
            <sz val="9"/>
            <color indexed="81"/>
            <rFont val="Tahoma"/>
            <family val="2"/>
          </rPr>
          <t xml:space="preserve">
Feje for Johnny</t>
        </r>
      </text>
    </comment>
    <comment ref="J26" authorId="3" shapeId="0" xr:uid="{2BDF6F86-87F5-4C08-88DF-72EC305BC530}">
      <text>
        <r>
          <rPr>
            <b/>
            <sz val="9"/>
            <color indexed="81"/>
            <rFont val="Tahoma"/>
            <family val="2"/>
          </rPr>
          <t>Steen Hertin:</t>
        </r>
        <r>
          <rPr>
            <sz val="9"/>
            <color indexed="81"/>
            <rFont val="Tahoma"/>
            <family val="2"/>
          </rPr>
          <t xml:space="preserve">
Vagten på Rentemestervej skal blive til kl. 12.15</t>
        </r>
      </text>
    </comment>
    <comment ref="P26" authorId="3" shapeId="0" xr:uid="{8D854403-2BB8-4D90-BBB8-4ABA412F3C76}">
      <text>
        <r>
          <rPr>
            <b/>
            <sz val="9"/>
            <color indexed="81"/>
            <rFont val="Tahoma"/>
            <family val="2"/>
          </rPr>
          <t>Steen Hertin:</t>
        </r>
        <r>
          <rPr>
            <sz val="9"/>
            <color indexed="81"/>
            <rFont val="Tahoma"/>
            <family val="2"/>
          </rPr>
          <t xml:space="preserve">
Dække Lyongade fra kl. 13.00</t>
        </r>
      </text>
    </comment>
    <comment ref="R26" authorId="3" shapeId="0" xr:uid="{38747DA5-AA67-4631-9467-6C6A6213E998}">
      <text>
        <r>
          <rPr>
            <b/>
            <sz val="9"/>
            <color indexed="81"/>
            <rFont val="Tahoma"/>
            <family val="2"/>
          </rPr>
          <t>Steen Hertin:</t>
        </r>
        <r>
          <rPr>
            <sz val="9"/>
            <color indexed="81"/>
            <rFont val="Tahoma"/>
            <family val="2"/>
          </rPr>
          <t xml:space="preserve">
Dække hjemløseenheden ved møder</t>
        </r>
      </text>
    </comment>
    <comment ref="C37" authorId="3" shapeId="0" xr:uid="{52CA1A87-EF5C-4637-89E7-31E71B9682B8}">
      <text>
        <r>
          <rPr>
            <b/>
            <sz val="9"/>
            <color indexed="81"/>
            <rFont val="Tahoma"/>
            <family val="2"/>
          </rPr>
          <t>Steen Hertin:</t>
        </r>
        <r>
          <rPr>
            <sz val="9"/>
            <color indexed="81"/>
            <rFont val="Tahoma"/>
            <family val="2"/>
          </rPr>
          <t xml:space="preserve">
1 bud til valg</t>
        </r>
      </text>
    </comment>
    <comment ref="D37" authorId="0" shapeId="0" xr:uid="{1560167B-2898-45D6-9CEF-A80D25239AAB}">
      <text>
        <r>
          <rPr>
            <b/>
            <sz val="9"/>
            <color indexed="81"/>
            <rFont val="Tahoma"/>
            <family val="2"/>
          </rPr>
          <t>Marianne Rasmussen:</t>
        </r>
        <r>
          <rPr>
            <sz val="9"/>
            <color indexed="81"/>
            <rFont val="Tahoma"/>
            <family val="2"/>
          </rPr>
          <t xml:space="preserve">
Fintælling </t>
        </r>
      </text>
    </comment>
    <comment ref="E37" authorId="5" shapeId="0" xr:uid="{E2CE6AEC-0055-4622-A60F-3043A46EE2C4}">
      <text>
        <r>
          <rPr>
            <b/>
            <sz val="9"/>
            <color indexed="81"/>
            <rFont val="Tahoma"/>
            <family val="2"/>
          </rPr>
          <t>Michael Bo Pedersen:</t>
        </r>
        <r>
          <rPr>
            <sz val="9"/>
            <color indexed="81"/>
            <rFont val="Tahoma"/>
            <family val="2"/>
          </rPr>
          <t xml:space="preserve">
21-vagt på oa</t>
        </r>
      </text>
    </comment>
    <comment ref="F37" authorId="5" shapeId="0" xr:uid="{B01EFF93-B94A-4FA1-97EF-A26640FCAA91}">
      <text>
        <r>
          <rPr>
            <b/>
            <sz val="9"/>
            <color indexed="81"/>
            <rFont val="Tahoma"/>
            <family val="2"/>
          </rPr>
          <t>Michael Bo Pedersen:</t>
        </r>
        <r>
          <rPr>
            <sz val="9"/>
            <color indexed="81"/>
            <rFont val="Tahoma"/>
            <family val="2"/>
          </rPr>
          <t xml:space="preserve">
21-vagt på oa</t>
        </r>
      </text>
    </comment>
    <comment ref="V37" authorId="6" shapeId="0" xr:uid="{A2265540-89AB-4BEA-8524-56F941DE4786}">
      <text>
        <r>
          <rPr>
            <b/>
            <sz val="9"/>
            <color indexed="81"/>
            <rFont val="Tahoma"/>
            <family val="2"/>
          </rPr>
          <t>Nick Lorentzen:</t>
        </r>
        <r>
          <rPr>
            <sz val="9"/>
            <color indexed="81"/>
            <rFont val="Tahoma"/>
            <family val="2"/>
          </rPr>
          <t xml:space="preserve">
OA L-vagt</t>
        </r>
      </text>
    </comment>
    <comment ref="W37" authorId="6" shapeId="0" xr:uid="{539443CB-A70F-47A4-9CC9-702718935C97}">
      <text>
        <r>
          <rPr>
            <b/>
            <sz val="9"/>
            <color indexed="81"/>
            <rFont val="Tahoma"/>
            <family val="2"/>
          </rPr>
          <t>Nick Lorentzen:</t>
        </r>
        <r>
          <rPr>
            <sz val="9"/>
            <color indexed="81"/>
            <rFont val="Tahoma"/>
            <family val="2"/>
          </rPr>
          <t xml:space="preserve">
OA L-vagt</t>
        </r>
      </text>
    </comment>
    <comment ref="X37" authorId="6" shapeId="0" xr:uid="{17DE65E2-C555-473C-81D6-40851C3A16E0}">
      <text>
        <r>
          <rPr>
            <b/>
            <sz val="9"/>
            <color indexed="81"/>
            <rFont val="Tahoma"/>
            <family val="2"/>
          </rPr>
          <t>Nick Lorentzen:</t>
        </r>
        <r>
          <rPr>
            <sz val="9"/>
            <color indexed="81"/>
            <rFont val="Tahoma"/>
            <family val="2"/>
          </rPr>
          <t xml:space="preserve">
OA L-vagt</t>
        </r>
      </text>
    </comment>
    <comment ref="Y37" authorId="6" shapeId="0" xr:uid="{577FE214-5E66-4033-98C8-8F711F0C2BBA}">
      <text>
        <r>
          <rPr>
            <b/>
            <sz val="9"/>
            <color indexed="81"/>
            <rFont val="Tahoma"/>
            <family val="2"/>
          </rPr>
          <t>Nick Lorentzen:</t>
        </r>
        <r>
          <rPr>
            <sz val="9"/>
            <color indexed="81"/>
            <rFont val="Tahoma"/>
            <family val="2"/>
          </rPr>
          <t xml:space="preserve">
OA L-vagt</t>
        </r>
      </text>
    </comment>
    <comment ref="Z37" authorId="6" shapeId="0" xr:uid="{403B9489-592D-4556-BDF2-98F7794065AD}">
      <text>
        <r>
          <rPr>
            <b/>
            <sz val="9"/>
            <color indexed="81"/>
            <rFont val="Tahoma"/>
            <family val="2"/>
          </rPr>
          <t>Nick Lorentzen:</t>
        </r>
        <r>
          <rPr>
            <sz val="9"/>
            <color indexed="81"/>
            <rFont val="Tahoma"/>
            <family val="2"/>
          </rPr>
          <t xml:space="preserve">
OA L-vagt</t>
        </r>
      </text>
    </comment>
    <comment ref="D38" authorId="3" shapeId="0" xr:uid="{5003C9C4-2118-4644-A8E6-EF9476068CC8}">
      <text>
        <r>
          <rPr>
            <b/>
            <sz val="9"/>
            <color indexed="81"/>
            <rFont val="Tahoma"/>
            <family val="2"/>
          </rPr>
          <t>Steen Hertin:</t>
        </r>
        <r>
          <rPr>
            <sz val="9"/>
            <color indexed="81"/>
            <rFont val="Tahoma"/>
            <family val="2"/>
          </rPr>
          <t xml:space="preserve">
Møder på Cabinn copenhagen 08.00-15.00..</t>
        </r>
      </text>
    </comment>
    <comment ref="F38" authorId="3" shapeId="0" xr:uid="{F2E25C3E-8057-495C-BA43-D6512F424EE2}">
      <text>
        <r>
          <rPr>
            <b/>
            <sz val="9"/>
            <color indexed="81"/>
            <rFont val="Tahoma"/>
            <family val="2"/>
          </rPr>
          <t>Steen Hertin:</t>
        </r>
        <r>
          <rPr>
            <sz val="9"/>
            <color indexed="81"/>
            <rFont val="Tahoma"/>
            <family val="2"/>
          </rPr>
          <t xml:space="preserve">
Copenhagen 08-15</t>
        </r>
      </text>
    </comment>
    <comment ref="G38" authorId="3" shapeId="0" xr:uid="{85EDD1B8-3756-43B1-AFD7-72E36067F9D6}">
      <text>
        <r>
          <rPr>
            <b/>
            <sz val="9"/>
            <color indexed="81"/>
            <rFont val="Tahoma"/>
            <family val="2"/>
          </rPr>
          <t>Steen Hertin:</t>
        </r>
        <r>
          <rPr>
            <sz val="9"/>
            <color indexed="81"/>
            <rFont val="Tahoma"/>
            <family val="2"/>
          </rPr>
          <t xml:space="preserve">
Copenhagen 08-15</t>
        </r>
      </text>
    </comment>
    <comment ref="Q38" authorId="3" shapeId="0" xr:uid="{FDD40FD0-F9B2-468D-BC23-12D71B250FC7}">
      <text>
        <r>
          <rPr>
            <b/>
            <sz val="9"/>
            <color indexed="81"/>
            <rFont val="Tahoma"/>
            <family val="2"/>
          </rPr>
          <t>Steen Hertin:</t>
        </r>
        <r>
          <rPr>
            <sz val="9"/>
            <color indexed="81"/>
            <rFont val="Tahoma"/>
            <family val="2"/>
          </rPr>
          <t xml:space="preserve">
Copenhagen 08-15</t>
        </r>
      </text>
    </comment>
    <comment ref="R38" authorId="3" shapeId="0" xr:uid="{E43CF4A2-459D-4300-9C54-309329811F43}">
      <text>
        <r>
          <rPr>
            <b/>
            <sz val="9"/>
            <color indexed="81"/>
            <rFont val="Tahoma"/>
            <family val="2"/>
          </rPr>
          <t>Steen Hertin:</t>
        </r>
        <r>
          <rPr>
            <sz val="9"/>
            <color indexed="81"/>
            <rFont val="Tahoma"/>
            <family val="2"/>
          </rPr>
          <t xml:space="preserve">
Copenhagen 08-15</t>
        </r>
      </text>
    </comment>
    <comment ref="S38" authorId="3" shapeId="0" xr:uid="{20FEDF79-6C20-4882-BDEA-37A2D56CB819}">
      <text>
        <r>
          <rPr>
            <b/>
            <sz val="9"/>
            <color indexed="81"/>
            <rFont val="Tahoma"/>
            <family val="2"/>
          </rPr>
          <t>Steen Hertin:</t>
        </r>
        <r>
          <rPr>
            <sz val="9"/>
            <color indexed="81"/>
            <rFont val="Tahoma"/>
            <family val="2"/>
          </rPr>
          <t xml:space="preserve">
Copenhagen 08-15</t>
        </r>
      </text>
    </comment>
    <comment ref="W38" authorId="3" shapeId="0" xr:uid="{CD6D4F86-C534-43A6-9D2C-EC35E15CDDD3}">
      <text>
        <r>
          <rPr>
            <b/>
            <sz val="9"/>
            <color indexed="81"/>
            <rFont val="Tahoma"/>
            <family val="2"/>
          </rPr>
          <t>Steen Hertin:</t>
        </r>
        <r>
          <rPr>
            <sz val="9"/>
            <color indexed="81"/>
            <rFont val="Tahoma"/>
            <family val="2"/>
          </rPr>
          <t xml:space="preserve">
Copenhagen 08-15 på OA</t>
        </r>
      </text>
    </comment>
    <comment ref="X38" authorId="3" shapeId="0" xr:uid="{86C595C0-169B-4A67-803B-400638E4E00D}">
      <text>
        <r>
          <rPr>
            <b/>
            <sz val="9"/>
            <color indexed="81"/>
            <rFont val="Tahoma"/>
            <family val="2"/>
          </rPr>
          <t>Steen Hertin:</t>
        </r>
        <r>
          <rPr>
            <sz val="9"/>
            <color indexed="81"/>
            <rFont val="Tahoma"/>
            <family val="2"/>
          </rPr>
          <t xml:space="preserve">
Copenhagen 08-15 på OA</t>
        </r>
      </text>
    </comment>
    <comment ref="Y38" authorId="3" shapeId="0" xr:uid="{931DA3C5-38A3-44D0-9F33-EFAA593A25B4}">
      <text>
        <r>
          <rPr>
            <b/>
            <sz val="9"/>
            <color indexed="81"/>
            <rFont val="Tahoma"/>
            <family val="2"/>
          </rPr>
          <t>Steen Hertin:</t>
        </r>
        <r>
          <rPr>
            <sz val="9"/>
            <color indexed="81"/>
            <rFont val="Tahoma"/>
            <family val="2"/>
          </rPr>
          <t xml:space="preserve">
Copenhagen 08-15 på OA</t>
        </r>
      </text>
    </comment>
    <comment ref="Z38" authorId="3" shapeId="0" xr:uid="{64D50D95-A7D1-451F-BF9A-5F74AACE205D}">
      <text>
        <r>
          <rPr>
            <b/>
            <sz val="9"/>
            <color indexed="81"/>
            <rFont val="Tahoma"/>
            <family val="2"/>
          </rPr>
          <t>Steen Hertin:</t>
        </r>
        <r>
          <rPr>
            <sz val="9"/>
            <color indexed="81"/>
            <rFont val="Tahoma"/>
            <family val="2"/>
          </rPr>
          <t xml:space="preserve">
Copenhagen 08-15 på OA</t>
        </r>
      </text>
    </comment>
    <comment ref="AC38" authorId="3" shapeId="0" xr:uid="{64B4036B-6DE1-444A-B05A-9215E9F970E6}">
      <text>
        <r>
          <rPr>
            <b/>
            <sz val="9"/>
            <color indexed="81"/>
            <rFont val="Tahoma"/>
            <family val="2"/>
          </rPr>
          <t>Steen Hertin:</t>
        </r>
        <r>
          <rPr>
            <sz val="9"/>
            <color indexed="81"/>
            <rFont val="Tahoma"/>
            <family val="2"/>
          </rPr>
          <t xml:space="preserve">
Copenhagen 08-15</t>
        </r>
      </text>
    </comment>
    <comment ref="AD38" authorId="3" shapeId="0" xr:uid="{A113B79E-286A-4E20-912E-BEB878CCA8BC}">
      <text>
        <r>
          <rPr>
            <b/>
            <sz val="9"/>
            <color indexed="81"/>
            <rFont val="Tahoma"/>
            <family val="2"/>
          </rPr>
          <t>Steen Hertin:</t>
        </r>
        <r>
          <rPr>
            <sz val="9"/>
            <color indexed="81"/>
            <rFont val="Tahoma"/>
            <family val="2"/>
          </rPr>
          <t xml:space="preserve">
Copenhagen 08-15</t>
        </r>
      </text>
    </comment>
    <comment ref="AE38" authorId="3" shapeId="0" xr:uid="{E2EE56D2-4035-4E05-ADA0-589271A56207}">
      <text>
        <r>
          <rPr>
            <b/>
            <sz val="9"/>
            <color indexed="81"/>
            <rFont val="Tahoma"/>
            <family val="2"/>
          </rPr>
          <t>Steen Hertin:</t>
        </r>
        <r>
          <rPr>
            <sz val="9"/>
            <color indexed="81"/>
            <rFont val="Tahoma"/>
            <family val="2"/>
          </rPr>
          <t xml:space="preserve">
Copenhagen 08-15. går kl-. 13.00</t>
        </r>
      </text>
    </comment>
    <comment ref="AF38" authorId="3" shapeId="0" xr:uid="{5EE46299-B0CC-4622-A1C5-C52367A3530C}">
      <text>
        <r>
          <rPr>
            <b/>
            <sz val="9"/>
            <color indexed="81"/>
            <rFont val="Tahoma"/>
            <family val="2"/>
          </rPr>
          <t>Steen Hertin:</t>
        </r>
        <r>
          <rPr>
            <sz val="9"/>
            <color indexed="81"/>
            <rFont val="Tahoma"/>
            <family val="2"/>
          </rPr>
          <t xml:space="preserve">
Copenhagen 08-15</t>
        </r>
      </text>
    </comment>
    <comment ref="O39" authorId="3" shapeId="0" xr:uid="{92A389E0-D7F1-46AC-894A-8F79809422E6}">
      <text>
        <r>
          <rPr>
            <b/>
            <sz val="9"/>
            <color indexed="81"/>
            <rFont val="Tahoma"/>
            <family val="2"/>
          </rPr>
          <t>Steen Hertin:</t>
        </r>
        <r>
          <rPr>
            <sz val="9"/>
            <color indexed="81"/>
            <rFont val="Tahoma"/>
            <family val="2"/>
          </rPr>
          <t xml:space="preserve">
Feje for Johnny</t>
        </r>
      </text>
    </comment>
    <comment ref="P39" authorId="3" shapeId="0" xr:uid="{D2E19F4E-8859-484B-8566-764BDD58325C}">
      <text>
        <r>
          <rPr>
            <b/>
            <sz val="9"/>
            <color indexed="81"/>
            <rFont val="Tahoma"/>
            <family val="2"/>
          </rPr>
          <t>Steen Hertin:</t>
        </r>
        <r>
          <rPr>
            <sz val="9"/>
            <color indexed="81"/>
            <rFont val="Tahoma"/>
            <family val="2"/>
          </rPr>
          <t xml:space="preserve">
Feje for Johnny</t>
        </r>
      </text>
    </comment>
    <comment ref="Q39" authorId="3" shapeId="0" xr:uid="{1FBB4049-C889-49C5-9BE0-33F799BCE3C0}">
      <text>
        <r>
          <rPr>
            <b/>
            <sz val="9"/>
            <color indexed="81"/>
            <rFont val="Tahoma"/>
            <family val="2"/>
          </rPr>
          <t>Steen Hertin:</t>
        </r>
        <r>
          <rPr>
            <sz val="9"/>
            <color indexed="81"/>
            <rFont val="Tahoma"/>
            <family val="2"/>
          </rPr>
          <t xml:space="preserve">
Feje for Johnny</t>
        </r>
      </text>
    </comment>
    <comment ref="R39" authorId="3" shapeId="0" xr:uid="{EC31DCA2-2863-4B23-AEA2-C1D1475497D5}">
      <text>
        <r>
          <rPr>
            <b/>
            <sz val="9"/>
            <color indexed="81"/>
            <rFont val="Tahoma"/>
            <family val="2"/>
          </rPr>
          <t>Steen Hertin:</t>
        </r>
        <r>
          <rPr>
            <sz val="9"/>
            <color indexed="81"/>
            <rFont val="Tahoma"/>
            <family val="2"/>
          </rPr>
          <t xml:space="preserve">
Feje for Johnny</t>
        </r>
      </text>
    </comment>
    <comment ref="S39" authorId="3" shapeId="0" xr:uid="{B107D38C-E569-4D2A-AF6E-B230024E71AC}">
      <text>
        <r>
          <rPr>
            <b/>
            <sz val="9"/>
            <color indexed="81"/>
            <rFont val="Tahoma"/>
            <family val="2"/>
          </rPr>
          <t>Steen Hertin:</t>
        </r>
        <r>
          <rPr>
            <sz val="9"/>
            <color indexed="81"/>
            <rFont val="Tahoma"/>
            <family val="2"/>
          </rPr>
          <t xml:space="preserve">
Feje for Johnny</t>
        </r>
      </text>
    </comment>
    <comment ref="V39" authorId="3" shapeId="0" xr:uid="{CC94184F-DACA-4007-9E9E-547E3F3E1679}">
      <text>
        <r>
          <rPr>
            <b/>
            <sz val="9"/>
            <color indexed="81"/>
            <rFont val="Tahoma"/>
            <family val="2"/>
          </rPr>
          <t>Steen Hertin:</t>
        </r>
        <r>
          <rPr>
            <sz val="9"/>
            <color indexed="81"/>
            <rFont val="Tahoma"/>
            <family val="2"/>
          </rPr>
          <t xml:space="preserve">
Feje for Johnny</t>
        </r>
      </text>
    </comment>
    <comment ref="W39" authorId="3" shapeId="0" xr:uid="{8C55BA17-5FF7-481F-943A-B90697316667}">
      <text>
        <r>
          <rPr>
            <b/>
            <sz val="9"/>
            <color indexed="81"/>
            <rFont val="Tahoma"/>
            <family val="2"/>
          </rPr>
          <t>Steen Hertin:</t>
        </r>
        <r>
          <rPr>
            <sz val="9"/>
            <color indexed="81"/>
            <rFont val="Tahoma"/>
            <family val="2"/>
          </rPr>
          <t xml:space="preserve">
Feje for Johnny</t>
        </r>
      </text>
    </comment>
    <comment ref="X39" authorId="3" shapeId="0" xr:uid="{EB7B99DD-7C2D-42EB-B462-AFA972AA3059}">
      <text>
        <r>
          <rPr>
            <b/>
            <sz val="9"/>
            <color indexed="81"/>
            <rFont val="Tahoma"/>
            <family val="2"/>
          </rPr>
          <t>Steen Hertin:</t>
        </r>
        <r>
          <rPr>
            <sz val="9"/>
            <color indexed="81"/>
            <rFont val="Tahoma"/>
            <family val="2"/>
          </rPr>
          <t xml:space="preserve">
Fri</t>
        </r>
      </text>
    </comment>
    <comment ref="Y39" authorId="3" shapeId="0" xr:uid="{4634F4C8-20C6-4B94-9CD7-1A133BC820AA}">
      <text>
        <r>
          <rPr>
            <b/>
            <sz val="9"/>
            <color indexed="81"/>
            <rFont val="Tahoma"/>
            <family val="2"/>
          </rPr>
          <t>Steen Hertin:</t>
        </r>
        <r>
          <rPr>
            <sz val="9"/>
            <color indexed="81"/>
            <rFont val="Tahoma"/>
            <family val="2"/>
          </rPr>
          <t xml:space="preserve">
Feje for Johnny</t>
        </r>
      </text>
    </comment>
    <comment ref="Z39" authorId="3" shapeId="0" xr:uid="{CBE7852B-EF4D-47F5-B7C5-5A11D915533E}">
      <text>
        <r>
          <rPr>
            <b/>
            <sz val="9"/>
            <color indexed="81"/>
            <rFont val="Tahoma"/>
            <family val="2"/>
          </rPr>
          <t>Steen Hertin:</t>
        </r>
        <r>
          <rPr>
            <sz val="9"/>
            <color indexed="81"/>
            <rFont val="Tahoma"/>
            <family val="2"/>
          </rPr>
          <t xml:space="preserve">
Feje for Johnny</t>
        </r>
      </text>
    </comment>
    <comment ref="AC39" authorId="3" shapeId="0" xr:uid="{5E8AF3CD-25FC-4CFA-A791-53394C082FAB}">
      <text>
        <r>
          <rPr>
            <b/>
            <sz val="9"/>
            <color indexed="81"/>
            <rFont val="Tahoma"/>
            <family val="2"/>
          </rPr>
          <t>Steen Hertin:</t>
        </r>
        <r>
          <rPr>
            <sz val="9"/>
            <color indexed="81"/>
            <rFont val="Tahoma"/>
            <family val="2"/>
          </rPr>
          <t xml:space="preserve">
Feje for Johnny</t>
        </r>
      </text>
    </comment>
    <comment ref="AD39" authorId="3" shapeId="0" xr:uid="{3F77B18C-CCFD-462F-A4A9-D12270097190}">
      <text>
        <r>
          <rPr>
            <b/>
            <sz val="9"/>
            <color indexed="81"/>
            <rFont val="Tahoma"/>
            <family val="2"/>
          </rPr>
          <t>Steen Hertin:</t>
        </r>
        <r>
          <rPr>
            <sz val="9"/>
            <color indexed="81"/>
            <rFont val="Tahoma"/>
            <family val="2"/>
          </rPr>
          <t xml:space="preserve">
Feje for Johnny</t>
        </r>
      </text>
    </comment>
    <comment ref="AE39" authorId="3" shapeId="0" xr:uid="{E9C9223A-A77C-4F18-B9FE-A5B330D90E5B}">
      <text>
        <r>
          <rPr>
            <b/>
            <sz val="9"/>
            <color indexed="81"/>
            <rFont val="Tahoma"/>
            <family val="2"/>
          </rPr>
          <t>Steen Hertin:</t>
        </r>
        <r>
          <rPr>
            <sz val="9"/>
            <color indexed="81"/>
            <rFont val="Tahoma"/>
            <family val="2"/>
          </rPr>
          <t xml:space="preserve">
Fri</t>
        </r>
      </text>
    </comment>
    <comment ref="AF39" authorId="3" shapeId="0" xr:uid="{B13D73DB-6CF4-4A1E-8732-B612FBA8FB34}">
      <text>
        <r>
          <rPr>
            <b/>
            <sz val="9"/>
            <color indexed="81"/>
            <rFont val="Tahoma"/>
            <family val="2"/>
          </rPr>
          <t>Steen Hertin:</t>
        </r>
        <r>
          <rPr>
            <sz val="9"/>
            <color indexed="81"/>
            <rFont val="Tahoma"/>
            <family val="2"/>
          </rPr>
          <t xml:space="preserve">
Feje for Johnny</t>
        </r>
      </text>
    </comment>
    <comment ref="V41" authorId="3" shapeId="0" xr:uid="{7EB88689-4921-4C18-8087-303C143AAF12}">
      <text>
        <r>
          <rPr>
            <b/>
            <sz val="9"/>
            <color indexed="81"/>
            <rFont val="Tahoma"/>
            <family val="2"/>
          </rPr>
          <t>Steen Hertin:</t>
        </r>
        <r>
          <rPr>
            <sz val="9"/>
            <color indexed="81"/>
            <rFont val="Tahoma"/>
            <family val="2"/>
          </rPr>
          <t xml:space="preserve">
vagthavende</t>
        </r>
      </text>
    </comment>
    <comment ref="K42" authorId="4" shapeId="0" xr:uid="{476F323B-C6AA-493F-930A-B30FB0144BEA}">
      <text>
        <r>
          <rPr>
            <b/>
            <sz val="9"/>
            <color indexed="81"/>
            <rFont val="Tahoma"/>
            <family val="2"/>
          </rPr>
          <t>Steen Hertin-Sandkær:</t>
        </r>
        <r>
          <rPr>
            <sz val="9"/>
            <color indexed="81"/>
            <rFont val="Tahoma"/>
            <family val="2"/>
          </rPr>
          <t xml:space="preserve">
Copenhagen 08-15</t>
        </r>
      </text>
    </comment>
    <comment ref="L42" authorId="4" shapeId="0" xr:uid="{FE0D04E5-4ADD-471C-B101-23E1DCE395F2}">
      <text>
        <r>
          <rPr>
            <b/>
            <sz val="9"/>
            <color indexed="81"/>
            <rFont val="Tahoma"/>
            <family val="2"/>
          </rPr>
          <t>Steen Hertin-Sandkær:</t>
        </r>
        <r>
          <rPr>
            <sz val="9"/>
            <color indexed="81"/>
            <rFont val="Tahoma"/>
            <family val="2"/>
          </rPr>
          <t xml:space="preserve">
Copenhagen 08-15</t>
        </r>
      </text>
    </comment>
    <comment ref="T42" authorId="6" shapeId="0" xr:uid="{083F3B45-1FE2-4366-9528-0CC3A00C5530}">
      <text>
        <r>
          <rPr>
            <b/>
            <sz val="9"/>
            <color indexed="81"/>
            <rFont val="Tahoma"/>
            <family val="2"/>
          </rPr>
          <t>Nick Lorentzen:</t>
        </r>
        <r>
          <rPr>
            <sz val="9"/>
            <color indexed="81"/>
            <rFont val="Tahoma"/>
            <family val="2"/>
          </rPr>
          <t xml:space="preserve">
22 vagt på OA</t>
        </r>
      </text>
    </comment>
    <comment ref="U42" authorId="6" shapeId="0" xr:uid="{A239F6DD-8E7D-4238-926A-72EF7D3A32FF}">
      <text>
        <r>
          <rPr>
            <b/>
            <sz val="9"/>
            <color indexed="81"/>
            <rFont val="Tahoma"/>
            <family val="2"/>
          </rPr>
          <t>Nick Lorentzen:</t>
        </r>
        <r>
          <rPr>
            <sz val="9"/>
            <color indexed="81"/>
            <rFont val="Tahoma"/>
            <family val="2"/>
          </rPr>
          <t xml:space="preserve">
22 vagt på OA</t>
        </r>
      </text>
    </comment>
    <comment ref="AC42" authorId="6" shapeId="0" xr:uid="{61E12971-A15A-4F1D-B670-5F8B355033CD}">
      <text>
        <r>
          <rPr>
            <b/>
            <sz val="9"/>
            <color indexed="81"/>
            <rFont val="Tahoma"/>
            <family val="2"/>
          </rPr>
          <t>Nick Lorentzen:</t>
        </r>
        <r>
          <rPr>
            <sz val="9"/>
            <color indexed="81"/>
            <rFont val="Tahoma"/>
            <family val="2"/>
          </rPr>
          <t xml:space="preserve">
4 vagt på OA</t>
        </r>
      </text>
    </comment>
    <comment ref="L44" authorId="4" shapeId="0" xr:uid="{F212D149-7159-401E-808F-63BB56F100FC}">
      <text>
        <r>
          <rPr>
            <b/>
            <sz val="9"/>
            <color indexed="81"/>
            <rFont val="Tahoma"/>
            <family val="2"/>
          </rPr>
          <t>Steen Hertin-Sandkær:</t>
        </r>
        <r>
          <rPr>
            <sz val="9"/>
            <color indexed="81"/>
            <rFont val="Tahoma"/>
            <family val="2"/>
          </rPr>
          <t xml:space="preserve">
Omlagt tjeneste til i2 derefter på OA til KFF sommerfest.</t>
        </r>
      </text>
    </comment>
    <comment ref="Z44" authorId="4" shapeId="0" xr:uid="{F16C187A-3F13-41FC-AC47-5B444831292C}">
      <text>
        <r>
          <rPr>
            <b/>
            <sz val="9"/>
            <color indexed="81"/>
            <rFont val="Tahoma"/>
            <family val="2"/>
          </rPr>
          <t>Steen Hertin-Sandkær:</t>
        </r>
        <r>
          <rPr>
            <sz val="9"/>
            <color indexed="81"/>
            <rFont val="Tahoma"/>
            <family val="2"/>
          </rPr>
          <t xml:space="preserve">
Bytte vagt med Sonny og kører 5-vagt</t>
        </r>
      </text>
    </comment>
    <comment ref="C46" authorId="4" shapeId="0" xr:uid="{DF6883E7-FCBB-49D1-98BF-29FA3B468B4D}">
      <text>
        <r>
          <rPr>
            <b/>
            <sz val="9"/>
            <color indexed="81"/>
            <rFont val="Tahoma"/>
            <family val="2"/>
          </rPr>
          <t>Steen Hertin-Sandkær:</t>
        </r>
        <r>
          <rPr>
            <sz val="9"/>
            <color indexed="81"/>
            <rFont val="Tahoma"/>
            <family val="2"/>
          </rPr>
          <t xml:space="preserve">
Bud til valg</t>
        </r>
      </text>
    </comment>
    <comment ref="P46" authorId="3" shapeId="0" xr:uid="{902F0EAD-E66F-42B0-AB24-58BB7E8947B7}">
      <text>
        <r>
          <rPr>
            <b/>
            <sz val="9"/>
            <color indexed="81"/>
            <rFont val="Tahoma"/>
            <family val="2"/>
          </rPr>
          <t>Steen Hertin:</t>
        </r>
        <r>
          <rPr>
            <sz val="9"/>
            <color indexed="81"/>
            <rFont val="Tahoma"/>
            <family val="2"/>
          </rPr>
          <t xml:space="preserve">
omviser</t>
        </r>
      </text>
    </comment>
    <comment ref="Q46" authorId="3" shapeId="0" xr:uid="{B23E04D4-8119-40AB-9B76-00A68D6D6F63}">
      <text>
        <r>
          <rPr>
            <b/>
            <sz val="9"/>
            <color indexed="81"/>
            <rFont val="Tahoma"/>
            <family val="2"/>
          </rPr>
          <t>Steen Hertin:</t>
        </r>
        <r>
          <rPr>
            <sz val="9"/>
            <color indexed="81"/>
            <rFont val="Tahoma"/>
            <family val="2"/>
          </rPr>
          <t xml:space="preserve">
omviser</t>
        </r>
      </text>
    </comment>
    <comment ref="R46" authorId="3" shapeId="0" xr:uid="{DB059F0D-9E73-48E3-86B0-B29CC0D76B3E}">
      <text>
        <r>
          <rPr>
            <b/>
            <sz val="9"/>
            <color indexed="81"/>
            <rFont val="Tahoma"/>
            <family val="2"/>
          </rPr>
          <t>Steen Hertin:</t>
        </r>
        <r>
          <rPr>
            <sz val="9"/>
            <color indexed="81"/>
            <rFont val="Tahoma"/>
            <family val="2"/>
          </rPr>
          <t xml:space="preserve">
omviser</t>
        </r>
      </text>
    </comment>
    <comment ref="S46" authorId="3" shapeId="0" xr:uid="{81A171E7-D101-4126-ADD8-E100EC436EC1}">
      <text>
        <r>
          <rPr>
            <b/>
            <sz val="9"/>
            <color indexed="81"/>
            <rFont val="Tahoma"/>
            <family val="2"/>
          </rPr>
          <t>Steen Hertin:</t>
        </r>
        <r>
          <rPr>
            <sz val="9"/>
            <color indexed="81"/>
            <rFont val="Tahoma"/>
            <family val="2"/>
          </rPr>
          <t xml:space="preserve">
omviser</t>
        </r>
      </text>
    </comment>
    <comment ref="V46" authorId="4" shapeId="0" xr:uid="{B09D882E-0897-4D69-99CC-856BA634A993}">
      <text>
        <r>
          <rPr>
            <b/>
            <sz val="9"/>
            <color indexed="81"/>
            <rFont val="Tahoma"/>
            <family val="2"/>
          </rPr>
          <t>Steen Hertin-Sandkær:</t>
        </r>
        <r>
          <rPr>
            <sz val="9"/>
            <color indexed="81"/>
            <rFont val="Tahoma"/>
            <family val="2"/>
          </rPr>
          <t xml:space="preserve">
Copenhagen 08-15 OA</t>
        </r>
      </text>
    </comment>
    <comment ref="AD46" authorId="3" shapeId="0" xr:uid="{2BBEEE5B-CC06-49C5-92F7-151C44EF3B64}">
      <text>
        <r>
          <rPr>
            <b/>
            <sz val="9"/>
            <color indexed="81"/>
            <rFont val="Tahoma"/>
            <family val="2"/>
          </rPr>
          <t>Steen Hertin:</t>
        </r>
        <r>
          <rPr>
            <sz val="9"/>
            <color indexed="81"/>
            <rFont val="Tahoma"/>
            <family val="2"/>
          </rPr>
          <t xml:space="preserve">
omviser på oa</t>
        </r>
      </text>
    </comment>
    <comment ref="AE46" authorId="3" shapeId="0" xr:uid="{E7905C43-6007-42BD-AC18-9920BEEA56F5}">
      <text>
        <r>
          <rPr>
            <b/>
            <sz val="9"/>
            <color indexed="81"/>
            <rFont val="Tahoma"/>
            <family val="2"/>
          </rPr>
          <t>Steen Hertin:</t>
        </r>
        <r>
          <rPr>
            <sz val="9"/>
            <color indexed="81"/>
            <rFont val="Tahoma"/>
            <family val="2"/>
          </rPr>
          <t xml:space="preserve">
omviser på oa</t>
        </r>
      </text>
    </comment>
    <comment ref="AF46" authorId="3" shapeId="0" xr:uid="{06E3D9A3-0AA2-48A1-9CD8-5607E22E2FA2}">
      <text>
        <r>
          <rPr>
            <b/>
            <sz val="9"/>
            <color indexed="81"/>
            <rFont val="Tahoma"/>
            <family val="2"/>
          </rPr>
          <t>Steen Hertin:</t>
        </r>
        <r>
          <rPr>
            <sz val="9"/>
            <color indexed="81"/>
            <rFont val="Tahoma"/>
            <family val="2"/>
          </rPr>
          <t xml:space="preserve">
omviser på oa</t>
        </r>
      </text>
    </comment>
    <comment ref="D48" authorId="0" shapeId="0" xr:uid="{3FF9C6F6-3833-4A06-854B-9F18AC3533C0}">
      <text>
        <r>
          <rPr>
            <b/>
            <sz val="9"/>
            <color indexed="81"/>
            <rFont val="Tahoma"/>
            <family val="2"/>
          </rPr>
          <t>Marianne Rasmussen:</t>
        </r>
        <r>
          <rPr>
            <sz val="9"/>
            <color indexed="81"/>
            <rFont val="Tahoma"/>
            <family val="2"/>
          </rPr>
          <t xml:space="preserve">
Fintælling </t>
        </r>
      </text>
    </comment>
    <comment ref="I48" authorId="4" shapeId="0" xr:uid="{E3C3784C-1C83-49AD-B962-E0AB79DAE0E4}">
      <text>
        <r>
          <rPr>
            <b/>
            <sz val="9"/>
            <color indexed="81"/>
            <rFont val="Tahoma"/>
            <family val="2"/>
          </rPr>
          <t>Steen Hertin-Sandkær:</t>
        </r>
        <r>
          <rPr>
            <sz val="9"/>
            <color indexed="81"/>
            <rFont val="Tahoma"/>
            <family val="2"/>
          </rPr>
          <t xml:space="preserve">
Feje for Johnny</t>
        </r>
      </text>
    </comment>
    <comment ref="J48" authorId="4" shapeId="0" xr:uid="{0EFAE3C7-0800-4022-8500-246A9861281D}">
      <text>
        <r>
          <rPr>
            <b/>
            <sz val="9"/>
            <color indexed="81"/>
            <rFont val="Tahoma"/>
            <family val="2"/>
          </rPr>
          <t>Steen Hertin-Sandkær:</t>
        </r>
        <r>
          <rPr>
            <sz val="9"/>
            <color indexed="81"/>
            <rFont val="Tahoma"/>
            <family val="2"/>
          </rPr>
          <t xml:space="preserve">
Feje for Johnny</t>
        </r>
      </text>
    </comment>
    <comment ref="K48" authorId="4" shapeId="0" xr:uid="{CDE3F4E6-A680-4B90-9FB1-35A7D6E6FBBD}">
      <text>
        <r>
          <rPr>
            <b/>
            <sz val="9"/>
            <color indexed="81"/>
            <rFont val="Tahoma"/>
            <family val="2"/>
          </rPr>
          <t>Steen Hertin-Sandkær:</t>
        </r>
        <r>
          <rPr>
            <sz val="9"/>
            <color indexed="81"/>
            <rFont val="Tahoma"/>
            <family val="2"/>
          </rPr>
          <t xml:space="preserve">
Feje for Johnny</t>
        </r>
      </text>
    </comment>
    <comment ref="L48" authorId="4" shapeId="0" xr:uid="{237E1F8D-CAED-4126-B878-FE039CA50EF0}">
      <text>
        <r>
          <rPr>
            <b/>
            <sz val="9"/>
            <color indexed="81"/>
            <rFont val="Tahoma"/>
            <family val="2"/>
          </rPr>
          <t>Steen Hertin-Sandkær:</t>
        </r>
        <r>
          <rPr>
            <sz val="9"/>
            <color indexed="81"/>
            <rFont val="Tahoma"/>
            <family val="2"/>
          </rPr>
          <t xml:space="preserve">
Feje for Johnny</t>
        </r>
      </text>
    </comment>
    <comment ref="D49" authorId="2" shapeId="0" xr:uid="{25BA994A-DC15-4A00-A80F-129C6486125D}">
      <text>
        <r>
          <rPr>
            <b/>
            <sz val="9"/>
            <color indexed="81"/>
            <rFont val="Tahoma"/>
            <family val="2"/>
          </rPr>
          <t>marasm:</t>
        </r>
        <r>
          <rPr>
            <sz val="9"/>
            <color indexed="81"/>
            <rFont val="Tahoma"/>
            <family val="2"/>
          </rPr>
          <t xml:space="preserve">
BR-Møde</t>
        </r>
      </text>
    </comment>
    <comment ref="I61" authorId="3" shapeId="0" xr:uid="{530C5299-F6F1-4EAF-9FC4-3190F76745BA}">
      <text>
        <r>
          <rPr>
            <b/>
            <sz val="9"/>
            <color indexed="81"/>
            <rFont val="Tahoma"/>
            <family val="2"/>
          </rPr>
          <t>Steen Hertin:</t>
        </r>
        <r>
          <rPr>
            <sz val="9"/>
            <color indexed="81"/>
            <rFont val="Tahoma"/>
            <family val="2"/>
          </rPr>
          <t xml:space="preserve">
Hjælper med opsætning Rentemestervej på OA.</t>
        </r>
      </text>
    </comment>
    <comment ref="J61" authorId="3" shapeId="0" xr:uid="{E5B3B02D-706F-470D-9F66-84D253B95DC8}">
      <text>
        <r>
          <rPr>
            <b/>
            <sz val="9"/>
            <color indexed="81"/>
            <rFont val="Tahoma"/>
            <family val="2"/>
          </rPr>
          <t>Steen Hertin:</t>
        </r>
        <r>
          <rPr>
            <sz val="9"/>
            <color indexed="81"/>
            <rFont val="Tahoma"/>
            <family val="2"/>
          </rPr>
          <t xml:space="preserve">
Hjælper med opsætning Rentemestervej på OA.</t>
        </r>
      </text>
    </comment>
    <comment ref="P61" authorId="7" shapeId="0" xr:uid="{A182CA30-C846-4B35-9B3B-4964350ECE60}">
      <text>
        <r>
          <rPr>
            <b/>
            <sz val="9"/>
            <color indexed="81"/>
            <rFont val="Tahoma"/>
            <family val="2"/>
          </rPr>
          <t>Mathias Hartvig Morell Nielsen:</t>
        </r>
        <r>
          <rPr>
            <sz val="9"/>
            <color indexed="81"/>
            <rFont val="Tahoma"/>
            <family val="2"/>
          </rPr>
          <t xml:space="preserve">
89 vagt OA</t>
        </r>
      </text>
    </comment>
    <comment ref="Q61" authorId="7" shapeId="0" xr:uid="{1CDC7676-7B66-4ACB-84E4-E613CAF015D2}">
      <text>
        <r>
          <rPr>
            <b/>
            <sz val="9"/>
            <color indexed="81"/>
            <rFont val="Tahoma"/>
            <family val="2"/>
          </rPr>
          <t>Mathias Hartvig Morell Nielsen:</t>
        </r>
        <r>
          <rPr>
            <sz val="9"/>
            <color indexed="81"/>
            <rFont val="Tahoma"/>
            <family val="2"/>
          </rPr>
          <t xml:space="preserve">
89 vagt OA</t>
        </r>
      </text>
    </comment>
    <comment ref="S61" authorId="6" shapeId="0" xr:uid="{A4EA42ED-0A04-4CBB-BDD3-1DB41DC6BFD4}">
      <text>
        <r>
          <rPr>
            <b/>
            <sz val="9"/>
            <color indexed="81"/>
            <rFont val="Tahoma"/>
            <family val="2"/>
          </rPr>
          <t>Nick Lorentzen:</t>
        </r>
        <r>
          <rPr>
            <sz val="9"/>
            <color indexed="81"/>
            <rFont val="Tahoma"/>
            <family val="2"/>
          </rPr>
          <t xml:space="preserve">
89 vagt på OA</t>
        </r>
      </text>
    </comment>
    <comment ref="AB61" authorId="7" shapeId="0" xr:uid="{F215E070-C29B-425F-8C29-5B9B6B7F524D}">
      <text>
        <r>
          <rPr>
            <b/>
            <sz val="9"/>
            <color indexed="81"/>
            <rFont val="Tahoma"/>
            <family val="2"/>
          </rPr>
          <t>Mathias Hartvig Morell Nielsen:</t>
        </r>
        <r>
          <rPr>
            <sz val="9"/>
            <color indexed="81"/>
            <rFont val="Tahoma"/>
            <family val="2"/>
          </rPr>
          <t xml:space="preserve">
OA på rentemestervej. Lukker stedet kl. 19.00</t>
        </r>
      </text>
    </comment>
    <comment ref="AC61" authorId="6" shapeId="0" xr:uid="{A9F100EF-8A68-4F6A-B6A1-ECE055BF7A5C}">
      <text>
        <r>
          <rPr>
            <b/>
            <sz val="9"/>
            <color indexed="81"/>
            <rFont val="Tahoma"/>
            <family val="2"/>
          </rPr>
          <t>Nick Lorentzen:</t>
        </r>
        <r>
          <rPr>
            <sz val="9"/>
            <color indexed="81"/>
            <rFont val="Tahoma"/>
            <family val="2"/>
          </rPr>
          <t xml:space="preserve">
99 vagt OA</t>
        </r>
      </text>
    </comment>
    <comment ref="AD61" authorId="6" shapeId="0" xr:uid="{8F3E7EF1-1189-48B9-964C-3BBC425DDAFE}">
      <text>
        <r>
          <rPr>
            <b/>
            <sz val="9"/>
            <color indexed="81"/>
            <rFont val="Tahoma"/>
            <family val="2"/>
          </rPr>
          <t>Nick Lorentzen:</t>
        </r>
        <r>
          <rPr>
            <sz val="9"/>
            <color indexed="81"/>
            <rFont val="Tahoma"/>
            <family val="2"/>
          </rPr>
          <t xml:space="preserve">
99 vagt OA</t>
        </r>
      </text>
    </comment>
    <comment ref="AE61" authorId="6" shapeId="0" xr:uid="{F295FAFC-30F0-4E50-A2B9-469E921F2056}">
      <text>
        <r>
          <rPr>
            <b/>
            <sz val="9"/>
            <color indexed="81"/>
            <rFont val="Tahoma"/>
            <family val="2"/>
          </rPr>
          <t>Nick Lorentzen:</t>
        </r>
        <r>
          <rPr>
            <sz val="9"/>
            <color indexed="81"/>
            <rFont val="Tahoma"/>
            <family val="2"/>
          </rPr>
          <t xml:space="preserve">
99 vagt OA</t>
        </r>
      </text>
    </comment>
    <comment ref="AF61" authorId="6" shapeId="0" xr:uid="{EBD0764B-10CE-4269-A0B7-A7B0B592545E}">
      <text>
        <r>
          <rPr>
            <b/>
            <sz val="9"/>
            <color indexed="81"/>
            <rFont val="Tahoma"/>
            <family val="2"/>
          </rPr>
          <t>Nick Lorentzen:</t>
        </r>
        <r>
          <rPr>
            <sz val="9"/>
            <color indexed="81"/>
            <rFont val="Tahoma"/>
            <family val="2"/>
          </rPr>
          <t xml:space="preserve">
99 vagt OA</t>
        </r>
      </text>
    </comment>
    <comment ref="C62" authorId="0" shapeId="0" xr:uid="{8B88FDD3-5754-4F92-8971-AB6A3F5C9096}">
      <text>
        <r>
          <rPr>
            <b/>
            <sz val="9"/>
            <color indexed="81"/>
            <rFont val="Tahoma"/>
            <family val="2"/>
          </rPr>
          <t>Marianne Rasmussen:</t>
        </r>
        <r>
          <rPr>
            <sz val="9"/>
            <color indexed="81"/>
            <rFont val="Tahoma"/>
            <family val="2"/>
          </rPr>
          <t xml:space="preserve">
Fintælling Kl. 17</t>
        </r>
      </text>
    </comment>
    <comment ref="D62" authorId="0" shapeId="0" xr:uid="{414EDCE8-8816-45C6-BB96-9CE6EA09B660}">
      <text>
        <r>
          <rPr>
            <b/>
            <sz val="9"/>
            <color indexed="81"/>
            <rFont val="Tahoma"/>
            <family val="2"/>
          </rPr>
          <t>Marianne Rasmussen:</t>
        </r>
        <r>
          <rPr>
            <sz val="9"/>
            <color indexed="81"/>
            <rFont val="Tahoma"/>
            <family val="2"/>
          </rPr>
          <t xml:space="preserve">
Fintælling </t>
        </r>
      </text>
    </comment>
    <comment ref="I62" authorId="4" shapeId="0" xr:uid="{4C05BA6E-375C-4E1F-8BAB-3DEC7C02B9E3}">
      <text>
        <r>
          <rPr>
            <b/>
            <sz val="9"/>
            <color indexed="81"/>
            <rFont val="Tahoma"/>
            <family val="2"/>
          </rPr>
          <t>Steen Hertin-Sandkær:</t>
        </r>
        <r>
          <rPr>
            <sz val="9"/>
            <color indexed="81"/>
            <rFont val="Tahoma"/>
            <family val="2"/>
          </rPr>
          <t xml:space="preserve">
Cabinn Copenhagen 08-15 på OA</t>
        </r>
      </text>
    </comment>
    <comment ref="J62" authorId="4" shapeId="0" xr:uid="{CDB7C190-87C5-41A9-8EA2-8EC6928770D0}">
      <text>
        <r>
          <rPr>
            <b/>
            <sz val="9"/>
            <color indexed="81"/>
            <rFont val="Tahoma"/>
            <family val="2"/>
          </rPr>
          <t>Steen Hertin-Sandkær:</t>
        </r>
        <r>
          <rPr>
            <sz val="9"/>
            <color indexed="81"/>
            <rFont val="Tahoma"/>
            <family val="2"/>
          </rPr>
          <t xml:space="preserve">
Cabinn Copenhagen 08-15 på OA</t>
        </r>
      </text>
    </comment>
    <comment ref="K62" authorId="4" shapeId="0" xr:uid="{599B3452-094E-416E-B9A0-41A282590BA5}">
      <text>
        <r>
          <rPr>
            <b/>
            <sz val="9"/>
            <color indexed="81"/>
            <rFont val="Tahoma"/>
            <family val="2"/>
          </rPr>
          <t>Steen Hertin-Sandkær:</t>
        </r>
        <r>
          <rPr>
            <sz val="9"/>
            <color indexed="81"/>
            <rFont val="Tahoma"/>
            <family val="2"/>
          </rPr>
          <t xml:space="preserve">
Cabinn Copenhagen 08-15 på OA</t>
        </r>
      </text>
    </comment>
    <comment ref="L62" authorId="4" shapeId="0" xr:uid="{E257C313-F954-427D-926B-D15E8D883C4E}">
      <text>
        <r>
          <rPr>
            <b/>
            <sz val="9"/>
            <color indexed="81"/>
            <rFont val="Tahoma"/>
            <family val="2"/>
          </rPr>
          <t>Steen Hertin-Sandkær:</t>
        </r>
        <r>
          <rPr>
            <sz val="9"/>
            <color indexed="81"/>
            <rFont val="Tahoma"/>
            <family val="2"/>
          </rPr>
          <t xml:space="preserve">
Cabinn Copenhagen 08-15 på OA</t>
        </r>
      </text>
    </comment>
    <comment ref="O62" authorId="4" shapeId="0" xr:uid="{FC421063-39E0-4D9E-866B-2B0C89A05ECF}">
      <text>
        <r>
          <rPr>
            <b/>
            <sz val="9"/>
            <color indexed="81"/>
            <rFont val="Tahoma"/>
            <family val="2"/>
          </rPr>
          <t>Steen Hertin-Sandkær:</t>
        </r>
        <r>
          <rPr>
            <sz val="9"/>
            <color indexed="81"/>
            <rFont val="Tahoma"/>
            <family val="2"/>
          </rPr>
          <t xml:space="preserve">
Copenhagen 08-15</t>
        </r>
      </text>
    </comment>
    <comment ref="P62" authorId="4" shapeId="0" xr:uid="{18C99A1A-595B-4470-A0B4-02141090999F}">
      <text>
        <r>
          <rPr>
            <b/>
            <sz val="9"/>
            <color indexed="81"/>
            <rFont val="Tahoma"/>
            <family val="2"/>
          </rPr>
          <t>Steen Hertin-Sandkær:</t>
        </r>
        <r>
          <rPr>
            <sz val="9"/>
            <color indexed="81"/>
            <rFont val="Tahoma"/>
            <family val="2"/>
          </rPr>
          <t xml:space="preserve">
Copenhagen 08-15</t>
        </r>
      </text>
    </comment>
    <comment ref="R62" authorId="3" shapeId="0" xr:uid="{C4C683AF-7B0D-4EB9-B4E1-AF69F9F87778}">
      <text>
        <r>
          <rPr>
            <b/>
            <sz val="9"/>
            <color indexed="81"/>
            <rFont val="Tahoma"/>
            <family val="2"/>
          </rPr>
          <t>Steen Hertin:</t>
        </r>
        <r>
          <rPr>
            <sz val="9"/>
            <color indexed="81"/>
            <rFont val="Tahoma"/>
            <family val="2"/>
          </rPr>
          <t xml:space="preserve">
Dække hjemløseenheden ved møder</t>
        </r>
      </text>
    </comment>
    <comment ref="T62" authorId="4" shapeId="0" xr:uid="{ADF5E8AF-37FD-48F5-987C-78DCD9914EF5}">
      <text>
        <r>
          <rPr>
            <b/>
            <sz val="9"/>
            <color indexed="81"/>
            <rFont val="Tahoma"/>
            <family val="2"/>
          </rPr>
          <t>Steen Hertin-Sandkær:</t>
        </r>
        <r>
          <rPr>
            <sz val="9"/>
            <color indexed="81"/>
            <rFont val="Tahoma"/>
            <family val="2"/>
          </rPr>
          <t xml:space="preserve">
Copenhagen 08-15</t>
        </r>
      </text>
    </comment>
    <comment ref="U62" authorId="4" shapeId="0" xr:uid="{D8D9035D-3D43-409D-BC02-565B308ABD6B}">
      <text>
        <r>
          <rPr>
            <b/>
            <sz val="9"/>
            <color indexed="81"/>
            <rFont val="Tahoma"/>
            <family val="2"/>
          </rPr>
          <t>Steen Hertin-Sandkær:</t>
        </r>
        <r>
          <rPr>
            <sz val="9"/>
            <color indexed="81"/>
            <rFont val="Tahoma"/>
            <family val="2"/>
          </rPr>
          <t xml:space="preserve">
Copenhagen 08-15</t>
        </r>
      </text>
    </comment>
    <comment ref="X62" authorId="0" shapeId="0" xr:uid="{29831ECC-0651-452D-8924-F80AE6AE97E4}">
      <text>
        <r>
          <rPr>
            <b/>
            <sz val="9"/>
            <color indexed="81"/>
            <rFont val="Tahoma"/>
            <family val="2"/>
          </rPr>
          <t>Marianne Rasmussen:</t>
        </r>
        <r>
          <rPr>
            <sz val="9"/>
            <color indexed="81"/>
            <rFont val="Tahoma"/>
            <family val="2"/>
          </rPr>
          <t xml:space="preserve">
Arrangement på OA</t>
        </r>
      </text>
    </comment>
    <comment ref="Z62" authorId="2" shapeId="0" xr:uid="{3628745C-A435-4070-A98E-8008B36FA0CF}">
      <text>
        <r>
          <rPr>
            <b/>
            <sz val="9"/>
            <color indexed="81"/>
            <rFont val="Tahoma"/>
            <family val="2"/>
          </rPr>
          <t>marasm:</t>
        </r>
        <r>
          <rPr>
            <sz val="9"/>
            <color indexed="81"/>
            <rFont val="Tahoma"/>
            <family val="2"/>
          </rPr>
          <t xml:space="preserve">
BR-Møde på oa</t>
        </r>
      </text>
    </comment>
    <comment ref="D63" authorId="3" shapeId="0" xr:uid="{4CB14191-CC86-4C31-BCD0-6A3157980E24}">
      <text>
        <r>
          <rPr>
            <b/>
            <sz val="9"/>
            <color indexed="81"/>
            <rFont val="Tahoma"/>
            <family val="2"/>
          </rPr>
          <t>Steen Hertin:</t>
        </r>
        <r>
          <rPr>
            <sz val="9"/>
            <color indexed="81"/>
            <rFont val="Tahoma"/>
            <family val="2"/>
          </rPr>
          <t xml:space="preserve">
Cabinn Metro kl. 08-15</t>
        </r>
      </text>
    </comment>
    <comment ref="E63" authorId="3" shapeId="0" xr:uid="{51C46942-B537-4BC3-85D6-7672C3E05781}">
      <text>
        <r>
          <rPr>
            <b/>
            <sz val="9"/>
            <color indexed="81"/>
            <rFont val="Tahoma"/>
            <family val="2"/>
          </rPr>
          <t>Steen Hertin:</t>
        </r>
        <r>
          <rPr>
            <sz val="9"/>
            <color indexed="81"/>
            <rFont val="Tahoma"/>
            <family val="2"/>
          </rPr>
          <t xml:space="preserve">
Cabinn Metro kl. 08-15</t>
        </r>
      </text>
    </comment>
    <comment ref="I63" authorId="3" shapeId="0" xr:uid="{C8289556-D8F1-4FBE-B5D8-00DDD05915F9}">
      <text>
        <r>
          <rPr>
            <b/>
            <sz val="9"/>
            <color indexed="81"/>
            <rFont val="Tahoma"/>
            <family val="2"/>
          </rPr>
          <t>Steen Hertin:</t>
        </r>
        <r>
          <rPr>
            <sz val="9"/>
            <color indexed="81"/>
            <rFont val="Tahoma"/>
            <family val="2"/>
          </rPr>
          <t xml:space="preserve">
Metro kl. 08.00-15.00 på OA</t>
        </r>
      </text>
    </comment>
    <comment ref="J63" authorId="3" shapeId="0" xr:uid="{040E5971-3B66-4992-9044-7358310A92C7}">
      <text>
        <r>
          <rPr>
            <b/>
            <sz val="9"/>
            <color indexed="81"/>
            <rFont val="Tahoma"/>
            <family val="2"/>
          </rPr>
          <t>Steen Hertin:</t>
        </r>
        <r>
          <rPr>
            <sz val="9"/>
            <color indexed="81"/>
            <rFont val="Tahoma"/>
            <family val="2"/>
          </rPr>
          <t xml:space="preserve">
Metro kl. 08.00-15.00 på OA</t>
        </r>
      </text>
    </comment>
    <comment ref="K63" authorId="3" shapeId="0" xr:uid="{13583AC4-F8E8-4CA4-9D2B-E40C725F934F}">
      <text>
        <r>
          <rPr>
            <b/>
            <sz val="9"/>
            <color indexed="81"/>
            <rFont val="Tahoma"/>
            <family val="2"/>
          </rPr>
          <t>Steen Hertin:</t>
        </r>
        <r>
          <rPr>
            <sz val="9"/>
            <color indexed="81"/>
            <rFont val="Tahoma"/>
            <family val="2"/>
          </rPr>
          <t xml:space="preserve">
Metro kl. 08.00-15.00 på OA</t>
        </r>
      </text>
    </comment>
    <comment ref="L63" authorId="3" shapeId="0" xr:uid="{59F44523-66A4-40DC-B0B2-6647C325E163}">
      <text>
        <r>
          <rPr>
            <b/>
            <sz val="9"/>
            <color indexed="81"/>
            <rFont val="Tahoma"/>
            <family val="2"/>
          </rPr>
          <t>Steen Hertin:</t>
        </r>
        <r>
          <rPr>
            <sz val="9"/>
            <color indexed="81"/>
            <rFont val="Tahoma"/>
            <family val="2"/>
          </rPr>
          <t xml:space="preserve">
Metro kl. 08.00-15.00 på OA</t>
        </r>
      </text>
    </comment>
    <comment ref="R63" authorId="3" shapeId="0" xr:uid="{9F9A242B-0176-4846-A96D-77B6E32FE437}">
      <text>
        <r>
          <rPr>
            <b/>
            <sz val="9"/>
            <color indexed="81"/>
            <rFont val="Tahoma"/>
            <family val="2"/>
          </rPr>
          <t>Steen Hertin:</t>
        </r>
        <r>
          <rPr>
            <sz val="9"/>
            <color indexed="81"/>
            <rFont val="Tahoma"/>
            <family val="2"/>
          </rPr>
          <t xml:space="preserve">
Gå bag Stig</t>
        </r>
      </text>
    </comment>
    <comment ref="U63" authorId="6" shapeId="0" xr:uid="{8FD92958-9ED6-45D7-BDBE-DF3DEDAB1316}">
      <text>
        <r>
          <rPr>
            <b/>
            <sz val="9"/>
            <color indexed="81"/>
            <rFont val="Tahoma"/>
            <family val="2"/>
          </rPr>
          <t>Nick Lorentzen:</t>
        </r>
        <r>
          <rPr>
            <sz val="9"/>
            <color indexed="81"/>
            <rFont val="Tahoma"/>
            <family val="2"/>
          </rPr>
          <t xml:space="preserve">
OA fra 18:15 til 18:45</t>
        </r>
      </text>
    </comment>
    <comment ref="AB63" authorId="3" shapeId="0" xr:uid="{10BCC0E7-05A8-493B-BCD4-8D6F3863BA38}">
      <text>
        <r>
          <rPr>
            <b/>
            <sz val="9"/>
            <color indexed="81"/>
            <rFont val="Tahoma"/>
            <family val="2"/>
          </rPr>
          <t>Steen Hertin:</t>
        </r>
        <r>
          <rPr>
            <sz val="9"/>
            <color indexed="81"/>
            <rFont val="Tahoma"/>
            <family val="2"/>
          </rPr>
          <t xml:space="preserve">
Tingbjerg 13.45-18.15</t>
        </r>
      </text>
    </comment>
    <comment ref="AC63" authorId="7" shapeId="0" xr:uid="{BD30B248-FE59-4FAA-95E2-412D6167A5E2}">
      <text>
        <r>
          <rPr>
            <b/>
            <sz val="9"/>
            <color indexed="81"/>
            <rFont val="Tahoma"/>
            <family val="2"/>
          </rPr>
          <t>Mathias Hartvig Morell Nielsen:</t>
        </r>
        <r>
          <rPr>
            <sz val="9"/>
            <color indexed="81"/>
            <rFont val="Tahoma"/>
            <family val="2"/>
          </rPr>
          <t xml:space="preserve">
6-vagt OA</t>
        </r>
      </text>
    </comment>
    <comment ref="C64" authorId="3" shapeId="0" xr:uid="{8E4AB372-B8B3-43B2-AEF4-57FED81546B1}">
      <text>
        <r>
          <rPr>
            <b/>
            <sz val="9"/>
            <color indexed="81"/>
            <rFont val="Tahoma"/>
            <family val="2"/>
          </rPr>
          <t>Steen Hertin:</t>
        </r>
        <r>
          <rPr>
            <sz val="9"/>
            <color indexed="81"/>
            <rFont val="Tahoma"/>
            <family val="2"/>
          </rPr>
          <t xml:space="preserve">
Cabinn Metro 08-15 på OA</t>
        </r>
      </text>
    </comment>
    <comment ref="M64" authorId="4" shapeId="0" xr:uid="{6CFB7328-CC60-4E79-8593-2E0BD780A5FD}">
      <text>
        <r>
          <rPr>
            <b/>
            <sz val="9"/>
            <color indexed="81"/>
            <rFont val="Tahoma"/>
            <family val="2"/>
          </rPr>
          <t>Steen Hertin-Sandkær:</t>
        </r>
        <r>
          <rPr>
            <sz val="9"/>
            <color indexed="81"/>
            <rFont val="Tahoma"/>
            <family val="2"/>
          </rPr>
          <t xml:space="preserve">
Cabinn metro 08-15 på oa.</t>
        </r>
      </text>
    </comment>
    <comment ref="O64" authorId="3" shapeId="0" xr:uid="{9E690A86-1A31-4954-9226-5655602285C2}">
      <text>
        <r>
          <rPr>
            <b/>
            <sz val="9"/>
            <color indexed="81"/>
            <rFont val="Tahoma"/>
            <family val="2"/>
          </rPr>
          <t>Steen Hertin:</t>
        </r>
        <r>
          <rPr>
            <sz val="9"/>
            <color indexed="81"/>
            <rFont val="Tahoma"/>
            <family val="2"/>
          </rPr>
          <t xml:space="preserve">
Gå bag Vinnie + Metro 08-15 på OA</t>
        </r>
      </text>
    </comment>
    <comment ref="P64" authorId="4" shapeId="0" xr:uid="{582ECDBB-1AB2-4848-9742-F85270651237}">
      <text>
        <r>
          <rPr>
            <b/>
            <sz val="9"/>
            <color indexed="81"/>
            <rFont val="Tahoma"/>
            <family val="2"/>
          </rPr>
          <t>Steen Hertin-Sandkær:</t>
        </r>
        <r>
          <rPr>
            <sz val="9"/>
            <color indexed="81"/>
            <rFont val="Tahoma"/>
            <family val="2"/>
          </rPr>
          <t xml:space="preserve">
Cabinn Metro 08-15</t>
        </r>
      </text>
    </comment>
    <comment ref="Q64" authorId="4" shapeId="0" xr:uid="{17733C74-293D-456A-A999-BC2E571EC6D0}">
      <text>
        <r>
          <rPr>
            <b/>
            <sz val="9"/>
            <color indexed="81"/>
            <rFont val="Tahoma"/>
            <family val="2"/>
          </rPr>
          <t>Steen Hertin-Sandkær:</t>
        </r>
        <r>
          <rPr>
            <sz val="9"/>
            <color indexed="81"/>
            <rFont val="Tahoma"/>
            <family val="2"/>
          </rPr>
          <t xml:space="preserve">
Cabinn Metro 08-15</t>
        </r>
      </text>
    </comment>
    <comment ref="R64" authorId="4" shapeId="0" xr:uid="{67B5F0BD-F805-48E7-B8C6-DF68575CB4BC}">
      <text>
        <r>
          <rPr>
            <b/>
            <sz val="9"/>
            <color indexed="81"/>
            <rFont val="Tahoma"/>
            <family val="2"/>
          </rPr>
          <t>Steen Hertin-Sandkær:</t>
        </r>
        <r>
          <rPr>
            <sz val="9"/>
            <color indexed="81"/>
            <rFont val="Tahoma"/>
            <family val="2"/>
          </rPr>
          <t xml:space="preserve">
Cabinn Metro 08-15</t>
        </r>
      </text>
    </comment>
    <comment ref="S64" authorId="4" shapeId="0" xr:uid="{6B77E892-6E43-4B68-BE47-9FAA52D82846}">
      <text>
        <r>
          <rPr>
            <b/>
            <sz val="9"/>
            <color indexed="81"/>
            <rFont val="Tahoma"/>
            <family val="2"/>
          </rPr>
          <t>Steen Hertin-Sandkær:</t>
        </r>
        <r>
          <rPr>
            <sz val="9"/>
            <color indexed="81"/>
            <rFont val="Tahoma"/>
            <family val="2"/>
          </rPr>
          <t xml:space="preserve">
Cabinn Metro 08-15</t>
        </r>
      </text>
    </comment>
    <comment ref="T64" authorId="4" shapeId="0" xr:uid="{C040E2AA-B154-4C06-B411-2601B383834F}">
      <text>
        <r>
          <rPr>
            <b/>
            <sz val="9"/>
            <color indexed="81"/>
            <rFont val="Tahoma"/>
            <family val="2"/>
          </rPr>
          <t>Steen Hertin-Sandkær:</t>
        </r>
        <r>
          <rPr>
            <sz val="9"/>
            <color indexed="81"/>
            <rFont val="Tahoma"/>
            <family val="2"/>
          </rPr>
          <t xml:space="preserve">
Cabinn Metro 08-15</t>
        </r>
      </text>
    </comment>
    <comment ref="V64" authorId="3" shapeId="0" xr:uid="{B8171C27-4F00-4D65-9B3A-D8D1727A7A77}">
      <text>
        <r>
          <rPr>
            <b/>
            <sz val="9"/>
            <color indexed="81"/>
            <rFont val="Tahoma"/>
            <family val="2"/>
          </rPr>
          <t>Steen Hertin:</t>
        </r>
        <r>
          <rPr>
            <sz val="9"/>
            <color indexed="81"/>
            <rFont val="Tahoma"/>
            <family val="2"/>
          </rPr>
          <t xml:space="preserve">
Cabinn Metro 08-15</t>
        </r>
      </text>
    </comment>
    <comment ref="W64" authorId="3" shapeId="0" xr:uid="{9274E5CA-C6C7-4D4D-BF00-4EFDF4ED4DB2}">
      <text>
        <r>
          <rPr>
            <b/>
            <sz val="9"/>
            <color indexed="81"/>
            <rFont val="Tahoma"/>
            <family val="2"/>
          </rPr>
          <t>Steen Hertin:</t>
        </r>
        <r>
          <rPr>
            <sz val="9"/>
            <color indexed="81"/>
            <rFont val="Tahoma"/>
            <family val="2"/>
          </rPr>
          <t xml:space="preserve">
Cabinn Metro 08-15</t>
        </r>
      </text>
    </comment>
    <comment ref="X64" authorId="3" shapeId="0" xr:uid="{4813A879-F3E0-41DE-84C8-995A4ABEED7E}">
      <text>
        <r>
          <rPr>
            <b/>
            <sz val="9"/>
            <color indexed="81"/>
            <rFont val="Tahoma"/>
            <family val="2"/>
          </rPr>
          <t>Steen Hertin:</t>
        </r>
        <r>
          <rPr>
            <sz val="9"/>
            <color indexed="81"/>
            <rFont val="Tahoma"/>
            <family val="2"/>
          </rPr>
          <t xml:space="preserve">
Cabinn Metro 08-15</t>
        </r>
      </text>
    </comment>
    <comment ref="Y64" authorId="3" shapeId="0" xr:uid="{C4D4EB6C-6D30-4680-A573-4701044781DF}">
      <text>
        <r>
          <rPr>
            <b/>
            <sz val="9"/>
            <color indexed="81"/>
            <rFont val="Tahoma"/>
            <family val="2"/>
          </rPr>
          <t>Steen Hertin:</t>
        </r>
        <r>
          <rPr>
            <sz val="9"/>
            <color indexed="81"/>
            <rFont val="Tahoma"/>
            <family val="2"/>
          </rPr>
          <t xml:space="preserve">
Cabinn Metro 08-15</t>
        </r>
      </text>
    </comment>
    <comment ref="Z64" authorId="3" shapeId="0" xr:uid="{09992570-9C84-4490-8685-76978B9B034C}">
      <text>
        <r>
          <rPr>
            <b/>
            <sz val="9"/>
            <color indexed="81"/>
            <rFont val="Tahoma"/>
            <family val="2"/>
          </rPr>
          <t>Steen Hertin:</t>
        </r>
        <r>
          <rPr>
            <sz val="9"/>
            <color indexed="81"/>
            <rFont val="Tahoma"/>
            <family val="2"/>
          </rPr>
          <t xml:space="preserve">
Cabinn Metro 08-15</t>
        </r>
      </text>
    </comment>
    <comment ref="AA64" authorId="3" shapeId="0" xr:uid="{EB0340B4-3F92-4C33-A2A7-D72B918FCE06}">
      <text>
        <r>
          <rPr>
            <b/>
            <sz val="9"/>
            <color indexed="81"/>
            <rFont val="Tahoma"/>
            <family val="2"/>
          </rPr>
          <t>Steen Hertin:</t>
        </r>
        <r>
          <rPr>
            <sz val="9"/>
            <color indexed="81"/>
            <rFont val="Tahoma"/>
            <family val="2"/>
          </rPr>
          <t xml:space="preserve">
Cabinn Metro 08-15 på OA</t>
        </r>
      </text>
    </comment>
    <comment ref="AB64" authorId="3" shapeId="0" xr:uid="{AEFDA8A7-6DC4-453A-A48E-A0D6CE70B3B1}">
      <text>
        <r>
          <rPr>
            <b/>
            <sz val="9"/>
            <color indexed="81"/>
            <rFont val="Tahoma"/>
            <family val="2"/>
          </rPr>
          <t>Steen Hertin:</t>
        </r>
        <r>
          <rPr>
            <sz val="9"/>
            <color indexed="81"/>
            <rFont val="Tahoma"/>
            <family val="2"/>
          </rPr>
          <t xml:space="preserve">
Cabinn Metro 08-15 på OA</t>
        </r>
      </text>
    </comment>
    <comment ref="AC64" authorId="3" shapeId="0" xr:uid="{2DB51D62-1E77-41FA-9C5C-DF4450980896}">
      <text>
        <r>
          <rPr>
            <b/>
            <sz val="9"/>
            <color indexed="81"/>
            <rFont val="Tahoma"/>
            <family val="2"/>
          </rPr>
          <t>Steen Hertin:</t>
        </r>
        <r>
          <rPr>
            <sz val="9"/>
            <color indexed="81"/>
            <rFont val="Tahoma"/>
            <family val="2"/>
          </rPr>
          <t xml:space="preserve">
Cabinn Metro 08-15</t>
        </r>
      </text>
    </comment>
    <comment ref="AD64" authorId="3" shapeId="0" xr:uid="{B94A949D-0AF2-426B-9FC6-C1D40084D301}">
      <text>
        <r>
          <rPr>
            <b/>
            <sz val="9"/>
            <color indexed="81"/>
            <rFont val="Tahoma"/>
            <family val="2"/>
          </rPr>
          <t>Steen Hertin:</t>
        </r>
        <r>
          <rPr>
            <sz val="9"/>
            <color indexed="81"/>
            <rFont val="Tahoma"/>
            <family val="2"/>
          </rPr>
          <t xml:space="preserve">
Cabinn Metro 08-15</t>
        </r>
      </text>
    </comment>
    <comment ref="AE64" authorId="3" shapeId="0" xr:uid="{F7785200-773D-4CDA-B3F5-F61FAB720310}">
      <text>
        <r>
          <rPr>
            <b/>
            <sz val="9"/>
            <color indexed="81"/>
            <rFont val="Tahoma"/>
            <family val="2"/>
          </rPr>
          <t>Steen Hertin:</t>
        </r>
        <r>
          <rPr>
            <sz val="9"/>
            <color indexed="81"/>
            <rFont val="Tahoma"/>
            <family val="2"/>
          </rPr>
          <t xml:space="preserve">
Cabinn Metro 08-15</t>
        </r>
      </text>
    </comment>
    <comment ref="AF64" authorId="3" shapeId="0" xr:uid="{B2208714-8460-4694-A85A-02937185BED7}">
      <text>
        <r>
          <rPr>
            <b/>
            <sz val="9"/>
            <color indexed="81"/>
            <rFont val="Tahoma"/>
            <family val="2"/>
          </rPr>
          <t>Steen Hertin:</t>
        </r>
        <r>
          <rPr>
            <sz val="9"/>
            <color indexed="81"/>
            <rFont val="Tahoma"/>
            <family val="2"/>
          </rPr>
          <t xml:space="preserve">
Cabinn Metro 08-15</t>
        </r>
      </text>
    </comment>
    <comment ref="C66" authorId="0" shapeId="0" xr:uid="{6F337C67-CED7-4F3A-88D8-527774FE1710}">
      <text>
        <r>
          <rPr>
            <b/>
            <sz val="9"/>
            <color indexed="81"/>
            <rFont val="Tahoma"/>
            <family val="2"/>
          </rPr>
          <t>Marianne Rasmussen:</t>
        </r>
        <r>
          <rPr>
            <sz val="9"/>
            <color indexed="81"/>
            <rFont val="Tahoma"/>
            <family val="2"/>
          </rPr>
          <t xml:space="preserve">
Fintælling Kl. 17</t>
        </r>
      </text>
    </comment>
    <comment ref="D66" authorId="0" shapeId="0" xr:uid="{F9A6D353-AB03-4430-9189-CCCF9146E58E}">
      <text>
        <r>
          <rPr>
            <b/>
            <sz val="9"/>
            <color indexed="81"/>
            <rFont val="Tahoma"/>
            <family val="2"/>
          </rPr>
          <t>Marianne Rasmussen:</t>
        </r>
        <r>
          <rPr>
            <sz val="9"/>
            <color indexed="81"/>
            <rFont val="Tahoma"/>
            <family val="2"/>
          </rPr>
          <t xml:space="preserve">
Fintælling </t>
        </r>
      </text>
    </comment>
    <comment ref="Q66" authorId="0" shapeId="0" xr:uid="{A369C16B-D355-447B-B9BF-61C645ABDECC}">
      <text>
        <r>
          <rPr>
            <b/>
            <sz val="9"/>
            <color indexed="81"/>
            <rFont val="Tahoma"/>
            <family val="2"/>
          </rPr>
          <t>Marianne Rasmussen:</t>
        </r>
        <r>
          <rPr>
            <sz val="9"/>
            <color indexed="81"/>
            <rFont val="Tahoma"/>
            <family val="2"/>
          </rPr>
          <t xml:space="preserve">
Arrangement på OA</t>
        </r>
      </text>
    </comment>
    <comment ref="R66" authorId="4" shapeId="0" xr:uid="{1E9FCED6-5532-4131-B0FC-767E60965C82}">
      <text>
        <r>
          <rPr>
            <b/>
            <sz val="9"/>
            <color indexed="81"/>
            <rFont val="Tahoma"/>
            <family val="2"/>
          </rPr>
          <t>Steen Hertin-Sandkær:</t>
        </r>
        <r>
          <rPr>
            <sz val="9"/>
            <color indexed="81"/>
            <rFont val="Tahoma"/>
            <family val="2"/>
          </rPr>
          <t xml:space="preserve">
8-vagt på OA</t>
        </r>
      </text>
    </comment>
    <comment ref="X66" authorId="0" shapeId="0" xr:uid="{8C67E5EB-0D14-4C47-B34C-B427B85C7ADF}">
      <text>
        <r>
          <rPr>
            <b/>
            <sz val="9"/>
            <color indexed="81"/>
            <rFont val="Tahoma"/>
            <family val="2"/>
          </rPr>
          <t>Marianne Rasmussen:</t>
        </r>
        <r>
          <rPr>
            <sz val="9"/>
            <color indexed="81"/>
            <rFont val="Tahoma"/>
            <family val="2"/>
          </rPr>
          <t xml:space="preserve">
Arrangement på OA</t>
        </r>
      </text>
    </comment>
    <comment ref="I67" authorId="2" shapeId="0" xr:uid="{C814041F-F5F9-4C29-A267-D3AB0A43640F}">
      <text>
        <r>
          <rPr>
            <b/>
            <sz val="9"/>
            <color indexed="81"/>
            <rFont val="Tahoma"/>
            <family val="2"/>
          </rPr>
          <t>marasm:</t>
        </r>
        <r>
          <rPr>
            <sz val="9"/>
            <color indexed="81"/>
            <rFont val="Tahoma"/>
            <family val="2"/>
          </rPr>
          <t xml:space="preserve">
7-vagt på oa</t>
        </r>
      </text>
    </comment>
    <comment ref="J67" authorId="2" shapeId="0" xr:uid="{46F79966-F9AE-4FE1-91AA-7DDCD9800C76}">
      <text>
        <r>
          <rPr>
            <b/>
            <sz val="9"/>
            <color indexed="81"/>
            <rFont val="Tahoma"/>
            <family val="2"/>
          </rPr>
          <t>marasm:</t>
        </r>
        <r>
          <rPr>
            <sz val="9"/>
            <color indexed="81"/>
            <rFont val="Tahoma"/>
            <family val="2"/>
          </rPr>
          <t xml:space="preserve">
7-vagt på oa</t>
        </r>
      </text>
    </comment>
    <comment ref="K67" authorId="1" shapeId="0" xr:uid="{1C61F12B-69FC-4C30-8EC7-FC88D6465198}">
      <text>
        <r>
          <rPr>
            <b/>
            <sz val="9"/>
            <color indexed="81"/>
            <rFont val="Tahoma"/>
            <family val="2"/>
          </rPr>
          <t>Thomas Holm:</t>
        </r>
        <r>
          <rPr>
            <sz val="9"/>
            <color indexed="81"/>
            <rFont val="Tahoma"/>
            <family val="2"/>
          </rPr>
          <t xml:space="preserve">
7- vagt OA</t>
        </r>
      </text>
    </comment>
    <comment ref="AC67" authorId="1" shapeId="0" xr:uid="{FF6E0DA5-5021-4436-A1AD-6EB37726C3CE}">
      <text>
        <r>
          <rPr>
            <b/>
            <sz val="9"/>
            <color indexed="81"/>
            <rFont val="Tahoma"/>
            <family val="2"/>
          </rPr>
          <t>Thomas Holm:</t>
        </r>
        <r>
          <rPr>
            <sz val="9"/>
            <color indexed="81"/>
            <rFont val="Tahoma"/>
            <family val="2"/>
          </rPr>
          <t xml:space="preserve">
Vagt ved udstilling på Rådhuspladsen
09-16</t>
        </r>
      </text>
    </comment>
    <comment ref="AD67" authorId="1" shapeId="0" xr:uid="{64FBFC89-A964-4DA8-BE30-7591CFA90A5D}">
      <text>
        <r>
          <rPr>
            <b/>
            <sz val="9"/>
            <color indexed="81"/>
            <rFont val="Tahoma"/>
            <family val="2"/>
          </rPr>
          <t>Thomas Holm:</t>
        </r>
        <r>
          <rPr>
            <sz val="9"/>
            <color indexed="81"/>
            <rFont val="Tahoma"/>
            <family val="2"/>
          </rPr>
          <t xml:space="preserve">
Vagt ved udstilling på Rådhuspladsen
09-16</t>
        </r>
      </text>
    </comment>
    <comment ref="AE67" authorId="1" shapeId="0" xr:uid="{2B43CE31-DE46-4947-A479-DEA22257EC71}">
      <text>
        <r>
          <rPr>
            <b/>
            <sz val="9"/>
            <color indexed="81"/>
            <rFont val="Tahoma"/>
            <family val="2"/>
          </rPr>
          <t>Thomas Holm:</t>
        </r>
        <r>
          <rPr>
            <sz val="9"/>
            <color indexed="81"/>
            <rFont val="Tahoma"/>
            <family val="2"/>
          </rPr>
          <t xml:space="preserve">
Vagt ved udstilling på Rådhuspladsen
09-16</t>
        </r>
      </text>
    </comment>
    <comment ref="L68" authorId="3" shapeId="0" xr:uid="{76E468C7-72E1-4499-85B1-5738C712DBC5}">
      <text>
        <r>
          <rPr>
            <b/>
            <sz val="9"/>
            <color indexed="81"/>
            <rFont val="Tahoma"/>
            <family val="2"/>
          </rPr>
          <t>Steen Hertin:</t>
        </r>
        <r>
          <rPr>
            <sz val="9"/>
            <color indexed="81"/>
            <rFont val="Tahoma"/>
            <family val="2"/>
          </rPr>
          <t xml:space="preserve">
KFF sommerfest kl. 16.00 til slut på OA</t>
        </r>
      </text>
    </comment>
    <comment ref="R68" authorId="4" shapeId="0" xr:uid="{57C334D0-41A9-49FD-8524-5D1331CB3E74}">
      <text>
        <r>
          <rPr>
            <b/>
            <sz val="9"/>
            <color indexed="81"/>
            <rFont val="Tahoma"/>
            <family val="2"/>
          </rPr>
          <t>Steen Hertin-Sandkær:</t>
        </r>
        <r>
          <rPr>
            <sz val="9"/>
            <color indexed="81"/>
            <rFont val="Tahoma"/>
            <family val="2"/>
          </rPr>
          <t xml:space="preserve">
22-vagt på oa.</t>
        </r>
      </text>
    </comment>
    <comment ref="S68" authorId="4" shapeId="0" xr:uid="{DA8EE747-979F-4F3A-9F05-AABB0A76577F}">
      <text>
        <r>
          <rPr>
            <b/>
            <sz val="9"/>
            <color indexed="81"/>
            <rFont val="Tahoma"/>
            <family val="2"/>
          </rPr>
          <t>Steen Hertin-Sandkær:</t>
        </r>
        <r>
          <rPr>
            <sz val="9"/>
            <color indexed="81"/>
            <rFont val="Tahoma"/>
            <family val="2"/>
          </rPr>
          <t xml:space="preserve">
22-vagt på oa.</t>
        </r>
      </text>
    </comment>
    <comment ref="M69" authorId="3" shapeId="0" xr:uid="{36603147-C219-43B6-BEF8-5CF6254689EE}">
      <text>
        <r>
          <rPr>
            <b/>
            <sz val="9"/>
            <color indexed="81"/>
            <rFont val="Tahoma"/>
            <family val="2"/>
          </rPr>
          <t>Steen Hertin:</t>
        </r>
        <r>
          <rPr>
            <sz val="9"/>
            <color indexed="81"/>
            <rFont val="Tahoma"/>
            <family val="2"/>
          </rPr>
          <t xml:space="preserve">
Byttet vagt med Anders</t>
        </r>
      </text>
    </comment>
    <comment ref="P69" authorId="7" shapeId="0" xr:uid="{3B9BC675-BB52-466D-BAA7-4E9EE3FC3506}">
      <text>
        <r>
          <rPr>
            <b/>
            <sz val="9"/>
            <color indexed="81"/>
            <rFont val="Tahoma"/>
            <family val="2"/>
          </rPr>
          <t>Mathias Hartvig Morell Nielsen:</t>
        </r>
        <r>
          <rPr>
            <sz val="9"/>
            <color indexed="81"/>
            <rFont val="Tahoma"/>
            <family val="2"/>
          </rPr>
          <t xml:space="preserve">
4 vagt OA</t>
        </r>
      </text>
    </comment>
    <comment ref="Q69" authorId="7" shapeId="0" xr:uid="{53952CDE-3DF4-40C3-896D-FBD868D7C421}">
      <text>
        <r>
          <rPr>
            <b/>
            <sz val="9"/>
            <color indexed="81"/>
            <rFont val="Tahoma"/>
            <family val="2"/>
          </rPr>
          <t>Mathias Hartvig Morell Nielsen:</t>
        </r>
        <r>
          <rPr>
            <sz val="9"/>
            <color indexed="81"/>
            <rFont val="Tahoma"/>
            <family val="2"/>
          </rPr>
          <t xml:space="preserve">
4 vagt OA</t>
        </r>
      </text>
    </comment>
    <comment ref="R69" authorId="7" shapeId="0" xr:uid="{5ADDCFCD-6371-4697-9E46-2763BD7E2B0D}">
      <text>
        <r>
          <rPr>
            <b/>
            <sz val="9"/>
            <color indexed="81"/>
            <rFont val="Tahoma"/>
            <family val="2"/>
          </rPr>
          <t>Mathias Hartvig Morell Nielsen:</t>
        </r>
        <r>
          <rPr>
            <sz val="9"/>
            <color indexed="81"/>
            <rFont val="Tahoma"/>
            <family val="2"/>
          </rPr>
          <t xml:space="preserve">
4 vagt OA</t>
        </r>
      </text>
    </comment>
    <comment ref="S69" authorId="8" shapeId="0" xr:uid="{5045E023-C79E-473C-81CF-35753261C755}">
      <text>
        <r>
          <rPr>
            <b/>
            <sz val="9"/>
            <color indexed="81"/>
            <rFont val="Tahoma"/>
            <family val="2"/>
          </rPr>
          <t>Mathias Nielsen:</t>
        </r>
        <r>
          <rPr>
            <sz val="9"/>
            <color indexed="81"/>
            <rFont val="Tahoma"/>
            <family val="2"/>
          </rPr>
          <t xml:space="preserve">
4 vagt OA
Møder kl. 10.00</t>
        </r>
      </text>
    </comment>
    <comment ref="C70" authorId="3" shapeId="0" xr:uid="{474DCE75-FFBD-426D-9E2B-1FCCC4B816E1}">
      <text>
        <r>
          <rPr>
            <b/>
            <sz val="9"/>
            <color indexed="81"/>
            <rFont val="Tahoma"/>
            <family val="2"/>
          </rPr>
          <t>Steen Hertin:</t>
        </r>
        <r>
          <rPr>
            <sz val="9"/>
            <color indexed="81"/>
            <rFont val="Tahoma"/>
            <family val="2"/>
          </rPr>
          <t xml:space="preserve">
Bud til valg</t>
        </r>
      </text>
    </comment>
    <comment ref="C71" authorId="3" shapeId="0" xr:uid="{364665E1-8479-473C-920F-4ADAAEF4E241}">
      <text>
        <r>
          <rPr>
            <b/>
            <sz val="9"/>
            <color indexed="81"/>
            <rFont val="Tahoma"/>
            <family val="2"/>
          </rPr>
          <t>Steen Hertin:</t>
        </r>
        <r>
          <rPr>
            <sz val="9"/>
            <color indexed="81"/>
            <rFont val="Tahoma"/>
            <family val="2"/>
          </rPr>
          <t xml:space="preserve">
Copenahagen 08-15</t>
        </r>
      </text>
    </comment>
    <comment ref="D71" authorId="3" shapeId="0" xr:uid="{00DCB78F-B8E3-4612-B083-3D0D932A00F8}">
      <text>
        <r>
          <rPr>
            <b/>
            <sz val="9"/>
            <color indexed="81"/>
            <rFont val="Tahoma"/>
            <family val="2"/>
          </rPr>
          <t>Steen Hertin:</t>
        </r>
        <r>
          <rPr>
            <sz val="9"/>
            <color indexed="81"/>
            <rFont val="Tahoma"/>
            <family val="2"/>
          </rPr>
          <t xml:space="preserve">
R-vagt</t>
        </r>
      </text>
    </comment>
    <comment ref="E71" authorId="3" shapeId="0" xr:uid="{FB7D30B9-CE82-4889-800F-546F71DA1DA0}">
      <text>
        <r>
          <rPr>
            <b/>
            <sz val="9"/>
            <color indexed="81"/>
            <rFont val="Tahoma"/>
            <family val="2"/>
          </rPr>
          <t>Steen Hertin:</t>
        </r>
        <r>
          <rPr>
            <sz val="9"/>
            <color indexed="81"/>
            <rFont val="Tahoma"/>
            <family val="2"/>
          </rPr>
          <t xml:space="preserve">
Copenahagen 08-15</t>
        </r>
      </text>
    </comment>
    <comment ref="X71" authorId="0" shapeId="0" xr:uid="{C98A55CD-7655-409B-B346-D6F84D077BD0}">
      <text>
        <r>
          <rPr>
            <b/>
            <sz val="9"/>
            <color indexed="81"/>
            <rFont val="Tahoma"/>
            <family val="2"/>
          </rPr>
          <t>Marianne Rasmussen:</t>
        </r>
        <r>
          <rPr>
            <sz val="9"/>
            <color indexed="81"/>
            <rFont val="Tahoma"/>
            <family val="2"/>
          </rPr>
          <t xml:space="preserve">
Arrangement på OA </t>
        </r>
      </text>
    </comment>
    <comment ref="AE71" authorId="4" shapeId="0" xr:uid="{38288DE5-04FD-497A-B388-DC0DDB78349C}">
      <text>
        <r>
          <rPr>
            <b/>
            <sz val="9"/>
            <color indexed="81"/>
            <rFont val="Tahoma"/>
            <family val="2"/>
          </rPr>
          <t>Steen Hertin-Sandkær:</t>
        </r>
        <r>
          <rPr>
            <sz val="9"/>
            <color indexed="81"/>
            <rFont val="Tahoma"/>
            <family val="2"/>
          </rPr>
          <t xml:space="preserve">
Københavns museum09.45-18.00 Snak med Steen kl. 09.45</t>
        </r>
      </text>
    </comment>
    <comment ref="D72" authorId="0" shapeId="0" xr:uid="{68F6D823-205F-4C11-A534-3C1FEB3D7270}">
      <text>
        <r>
          <rPr>
            <b/>
            <sz val="9"/>
            <color indexed="81"/>
            <rFont val="Tahoma"/>
            <family val="2"/>
          </rPr>
          <t>Marianne Rasmussen:</t>
        </r>
        <r>
          <rPr>
            <sz val="9"/>
            <color indexed="81"/>
            <rFont val="Tahoma"/>
            <family val="2"/>
          </rPr>
          <t xml:space="preserve">
Fintælling </t>
        </r>
      </text>
    </comment>
    <comment ref="O72" authorId="4" shapeId="0" xr:uid="{BF8A7329-636B-4B6A-A7B0-376DCC52BA88}">
      <text>
        <r>
          <rPr>
            <b/>
            <sz val="9"/>
            <color indexed="81"/>
            <rFont val="Tahoma"/>
            <family val="2"/>
          </rPr>
          <t>Steen Hertin-Sandkær:</t>
        </r>
        <r>
          <rPr>
            <sz val="9"/>
            <color indexed="81"/>
            <rFont val="Tahoma"/>
            <family val="2"/>
          </rPr>
          <t xml:space="preserve">
K2 på OA</t>
        </r>
      </text>
    </comment>
    <comment ref="P72" authorId="4" shapeId="0" xr:uid="{D1631CF3-440B-43EF-B58C-82EEB3FCFD5F}">
      <text>
        <r>
          <rPr>
            <b/>
            <sz val="9"/>
            <color indexed="81"/>
            <rFont val="Tahoma"/>
            <family val="2"/>
          </rPr>
          <t>Steen Hertin-Sandkær:</t>
        </r>
        <r>
          <rPr>
            <sz val="9"/>
            <color indexed="81"/>
            <rFont val="Tahoma"/>
            <family val="2"/>
          </rPr>
          <t xml:space="preserve">
K2 på OA</t>
        </r>
      </text>
    </comment>
    <comment ref="C73" authorId="4" shapeId="0" xr:uid="{F673E46A-B767-4A2E-A1E8-8A6AEF9450DF}">
      <text>
        <r>
          <rPr>
            <b/>
            <sz val="9"/>
            <color indexed="81"/>
            <rFont val="Tahoma"/>
            <family val="2"/>
          </rPr>
          <t>Steen Hertin-Sandkær:</t>
        </r>
        <r>
          <rPr>
            <sz val="9"/>
            <color indexed="81"/>
            <rFont val="Tahoma"/>
            <family val="2"/>
          </rPr>
          <t xml:space="preserve">
Møder kl. 09.00</t>
        </r>
      </text>
    </comment>
    <comment ref="L73" authorId="3" shapeId="0" xr:uid="{FF0501AB-E424-43D8-823B-FA0222B3DB73}">
      <text>
        <r>
          <rPr>
            <b/>
            <sz val="9"/>
            <color indexed="81"/>
            <rFont val="Tahoma"/>
            <family val="2"/>
          </rPr>
          <t>Steen Hertin:</t>
        </r>
        <r>
          <rPr>
            <sz val="9"/>
            <color indexed="81"/>
            <rFont val="Tahoma"/>
            <family val="2"/>
          </rPr>
          <t xml:space="preserve">
Vagtfri</t>
        </r>
      </text>
    </comment>
    <comment ref="S73" authorId="3" shapeId="0" xr:uid="{B2B649E0-6D2D-4E28-B6EE-B9F30C0B88C3}">
      <text>
        <r>
          <rPr>
            <b/>
            <sz val="9"/>
            <color indexed="81"/>
            <rFont val="Tahoma"/>
            <family val="2"/>
          </rPr>
          <t>Steen Hertin:</t>
        </r>
        <r>
          <rPr>
            <sz val="9"/>
            <color indexed="81"/>
            <rFont val="Tahoma"/>
            <family val="2"/>
          </rPr>
          <t xml:space="preserve">
L-vagt på OA.</t>
        </r>
      </text>
    </comment>
    <comment ref="AE73" authorId="4" shapeId="0" xr:uid="{781A3691-C651-400F-83D2-D505F67FFC07}">
      <text>
        <r>
          <rPr>
            <b/>
            <sz val="9"/>
            <color indexed="81"/>
            <rFont val="Tahoma"/>
            <family val="2"/>
          </rPr>
          <t>Steen Hertin-Sandkær:</t>
        </r>
        <r>
          <rPr>
            <sz val="9"/>
            <color indexed="81"/>
            <rFont val="Tahoma"/>
            <family val="2"/>
          </rPr>
          <t xml:space="preserve">
3-vagt påp OA</t>
        </r>
      </text>
    </comment>
    <comment ref="C74" authorId="4" shapeId="0" xr:uid="{79617B7A-84FC-4149-B6C7-EB4EE0150004}">
      <text>
        <r>
          <rPr>
            <b/>
            <sz val="9"/>
            <color indexed="81"/>
            <rFont val="Tahoma"/>
            <family val="2"/>
          </rPr>
          <t>Steen Hertin-Sandkær:</t>
        </r>
        <r>
          <rPr>
            <sz val="9"/>
            <color indexed="81"/>
            <rFont val="Tahoma"/>
            <family val="2"/>
          </rPr>
          <t xml:space="preserve">
Møder kl. 09.00</t>
        </r>
      </text>
    </comment>
    <comment ref="AC84" authorId="9" shapeId="0" xr:uid="{305587AB-F154-4485-A1FA-15305233FACD}">
      <text>
        <r>
          <rPr>
            <b/>
            <sz val="9"/>
            <color indexed="81"/>
            <rFont val="Tahoma"/>
            <family val="2"/>
          </rPr>
          <t>Kim BT. Pedersen:</t>
        </r>
        <r>
          <rPr>
            <sz val="9"/>
            <color indexed="81"/>
            <rFont val="Tahoma"/>
            <family val="2"/>
          </rPr>
          <t xml:space="preserve">
Skole</t>
        </r>
      </text>
    </comment>
    <comment ref="C102" authorId="4" shapeId="0" xr:uid="{18A2C856-921C-429C-A869-1B6AA4E5659E}">
      <text>
        <r>
          <rPr>
            <b/>
            <sz val="9"/>
            <color indexed="81"/>
            <rFont val="Tahoma"/>
            <family val="2"/>
          </rPr>
          <t>Steen Hertin-Sandkær:</t>
        </r>
        <r>
          <rPr>
            <sz val="9"/>
            <color indexed="81"/>
            <rFont val="Tahoma"/>
            <family val="2"/>
          </rPr>
          <t xml:space="preserve">
99-vagt på OA</t>
        </r>
      </text>
    </comment>
    <comment ref="H102" authorId="7" shapeId="0" xr:uid="{417D6A8D-8179-45B3-93EA-F51835C17B3B}">
      <text>
        <r>
          <rPr>
            <b/>
            <sz val="9"/>
            <color indexed="81"/>
            <rFont val="Tahoma"/>
            <family val="2"/>
          </rPr>
          <t>Mathias Hartvig Morell Nielsen:</t>
        </r>
        <r>
          <rPr>
            <sz val="9"/>
            <color indexed="81"/>
            <rFont val="Tahoma"/>
            <family val="2"/>
          </rPr>
          <t xml:space="preserve">
11 vagt OA</t>
        </r>
      </text>
    </comment>
    <comment ref="I102" authorId="7" shapeId="0" xr:uid="{2D9DF62F-DA15-4B93-A722-EB158548F174}">
      <text>
        <r>
          <rPr>
            <b/>
            <sz val="9"/>
            <color indexed="81"/>
            <rFont val="Tahoma"/>
            <family val="2"/>
          </rPr>
          <t>Mathias Hartvig Morell Nielsen:</t>
        </r>
        <r>
          <rPr>
            <sz val="9"/>
            <color indexed="81"/>
            <rFont val="Tahoma"/>
            <family val="2"/>
          </rPr>
          <t xml:space="preserve">
11 vagt OA
Bliver på Thorvaldesen til 9:30</t>
        </r>
      </text>
    </comment>
    <comment ref="J102" authorId="7" shapeId="0" xr:uid="{2ED6BE84-56CD-4B1C-B2E5-75D30E16B8BE}">
      <text>
        <r>
          <rPr>
            <b/>
            <sz val="9"/>
            <color indexed="81"/>
            <rFont val="Tahoma"/>
            <family val="2"/>
          </rPr>
          <t>Mathias Hartvig Morell Nielsen:</t>
        </r>
        <r>
          <rPr>
            <sz val="9"/>
            <color indexed="81"/>
            <rFont val="Tahoma"/>
            <family val="2"/>
          </rPr>
          <t xml:space="preserve">
11 vagt OA</t>
        </r>
      </text>
    </comment>
    <comment ref="K102" authorId="7" shapeId="0" xr:uid="{53AB6D2E-8D7E-4B27-B5DF-705118CAD005}">
      <text>
        <r>
          <rPr>
            <b/>
            <sz val="9"/>
            <color indexed="81"/>
            <rFont val="Tahoma"/>
            <family val="2"/>
          </rPr>
          <t>Mathias Hartvig Morell Nielsen:</t>
        </r>
        <r>
          <rPr>
            <sz val="9"/>
            <color indexed="81"/>
            <rFont val="Tahoma"/>
            <family val="2"/>
          </rPr>
          <t xml:space="preserve">
11 vagt OA</t>
        </r>
      </text>
    </comment>
    <comment ref="AC102" authorId="3" shapeId="0" xr:uid="{D7346F0C-8C7A-4A37-B13E-6F7893422504}">
      <text>
        <r>
          <rPr>
            <b/>
            <sz val="9"/>
            <color indexed="81"/>
            <rFont val="Tahoma"/>
            <family val="2"/>
          </rPr>
          <t>Steen Hertin:</t>
        </r>
        <r>
          <rPr>
            <sz val="9"/>
            <color indexed="81"/>
            <rFont val="Tahoma"/>
            <family val="2"/>
          </rPr>
          <t xml:space="preserve">
P-vagt</t>
        </r>
      </text>
    </comment>
    <comment ref="AD102" authorId="3" shapeId="0" xr:uid="{016F11AA-AB18-492B-94C0-7AEDCAA5D849}">
      <text>
        <r>
          <rPr>
            <b/>
            <sz val="9"/>
            <color indexed="81"/>
            <rFont val="Tahoma"/>
            <family val="2"/>
          </rPr>
          <t>Steen Hertin:</t>
        </r>
        <r>
          <rPr>
            <sz val="9"/>
            <color indexed="81"/>
            <rFont val="Tahoma"/>
            <family val="2"/>
          </rPr>
          <t xml:space="preserve">
P-vagt</t>
        </r>
      </text>
    </comment>
    <comment ref="AF102" authorId="6" shapeId="0" xr:uid="{EC39E237-8468-4E69-8479-221334120816}">
      <text>
        <r>
          <rPr>
            <b/>
            <sz val="9"/>
            <color indexed="81"/>
            <rFont val="Tahoma"/>
            <family val="2"/>
          </rPr>
          <t>Nick Lorentzen:</t>
        </r>
        <r>
          <rPr>
            <sz val="9"/>
            <color indexed="81"/>
            <rFont val="Tahoma"/>
            <family val="2"/>
          </rPr>
          <t xml:space="preserve">
OA til 02:15</t>
        </r>
      </text>
    </comment>
    <comment ref="J103" authorId="1" shapeId="0" xr:uid="{C63E1273-85CA-4069-8113-2C2079A44981}">
      <text>
        <r>
          <rPr>
            <b/>
            <sz val="9"/>
            <color indexed="81"/>
            <rFont val="Tahoma"/>
            <family val="2"/>
          </rPr>
          <t>Thomas Holm:</t>
        </r>
        <r>
          <rPr>
            <sz val="9"/>
            <color indexed="81"/>
            <rFont val="Tahoma"/>
            <family val="2"/>
          </rPr>
          <t xml:space="preserve">
Arrangement på OA</t>
        </r>
      </text>
    </comment>
    <comment ref="N103" authorId="3" shapeId="0" xr:uid="{78931E45-CE07-43A6-8726-61EEE0F0E5A2}">
      <text>
        <r>
          <rPr>
            <b/>
            <sz val="9"/>
            <color indexed="81"/>
            <rFont val="Tahoma"/>
            <family val="2"/>
          </rPr>
          <t>Steen Hertin:</t>
        </r>
        <r>
          <rPr>
            <sz val="9"/>
            <color indexed="81"/>
            <rFont val="Tahoma"/>
            <family val="2"/>
          </rPr>
          <t xml:space="preserve">
Tingbjerg 13.45-18.15</t>
        </r>
      </text>
    </comment>
    <comment ref="Q103" authorId="0" shapeId="0" xr:uid="{2541C5CB-3602-46DD-8029-62C180F2A3EF}">
      <text>
        <r>
          <rPr>
            <b/>
            <sz val="9"/>
            <color indexed="81"/>
            <rFont val="Tahoma"/>
            <family val="2"/>
          </rPr>
          <t>Marianne Rasmussen:</t>
        </r>
        <r>
          <rPr>
            <sz val="9"/>
            <color indexed="81"/>
            <rFont val="Tahoma"/>
            <family val="2"/>
          </rPr>
          <t xml:space="preserve">
Arrangement på OA</t>
        </r>
      </text>
    </comment>
    <comment ref="U103" authorId="3" shapeId="0" xr:uid="{E421C4A9-A7BE-4E85-9966-9DC0ACEF74B0}">
      <text>
        <r>
          <rPr>
            <b/>
            <sz val="9"/>
            <color indexed="81"/>
            <rFont val="Tahoma"/>
            <family val="2"/>
          </rPr>
          <t>Steen Hertin:</t>
        </r>
        <r>
          <rPr>
            <sz val="9"/>
            <color indexed="81"/>
            <rFont val="Tahoma"/>
            <family val="2"/>
          </rPr>
          <t xml:space="preserve">
Tingbjerg 13.45-18.15</t>
        </r>
      </text>
    </comment>
    <comment ref="X103" authorId="2" shapeId="0" xr:uid="{878BE50F-381F-4EB4-ADAF-821ED50D7CF6}">
      <text>
        <r>
          <rPr>
            <b/>
            <sz val="9"/>
            <color indexed="81"/>
            <rFont val="Tahoma"/>
            <family val="2"/>
          </rPr>
          <t>marasm:</t>
        </r>
        <r>
          <rPr>
            <sz val="9"/>
            <color indexed="81"/>
            <rFont val="Tahoma"/>
            <family val="2"/>
          </rPr>
          <t xml:space="preserve">
Arrangement på OA</t>
        </r>
      </text>
    </comment>
    <comment ref="D110" authorId="2" shapeId="0" xr:uid="{451C0F36-14EE-403F-AF7E-AAAD80C55282}">
      <text>
        <r>
          <rPr>
            <b/>
            <sz val="9"/>
            <color indexed="81"/>
            <rFont val="Tahoma"/>
            <family val="2"/>
          </rPr>
          <t>marasm:</t>
        </r>
        <r>
          <rPr>
            <sz val="9"/>
            <color indexed="81"/>
            <rFont val="Tahoma"/>
            <family val="2"/>
          </rPr>
          <t xml:space="preserve">
BR-Møde</t>
        </r>
      </text>
    </comment>
    <comment ref="Z122" authorId="2" shapeId="0" xr:uid="{DB73F2DE-6C40-411B-9244-BF92AB939172}">
      <text>
        <r>
          <rPr>
            <b/>
            <sz val="9"/>
            <color indexed="81"/>
            <rFont val="Tahoma"/>
            <family val="2"/>
          </rPr>
          <t>marasm:</t>
        </r>
        <r>
          <rPr>
            <sz val="9"/>
            <color indexed="81"/>
            <rFont val="Tahoma"/>
            <family val="2"/>
          </rPr>
          <t xml:space="preserve">
BR-Møde på oa</t>
        </r>
      </text>
    </comment>
    <comment ref="AF122" authorId="0" shapeId="0" xr:uid="{57F93B8B-D089-430E-BEBF-7A625F69A128}">
      <text>
        <r>
          <rPr>
            <b/>
            <sz val="9"/>
            <color indexed="81"/>
            <rFont val="Tahoma"/>
            <family val="2"/>
          </rPr>
          <t>Marianne Rasmussen:</t>
        </r>
        <r>
          <rPr>
            <sz val="9"/>
            <color indexed="81"/>
            <rFont val="Tahoma"/>
            <family val="2"/>
          </rPr>
          <t xml:space="preserve">
Arrangement på OA</t>
        </r>
      </text>
    </comment>
    <comment ref="C123" authorId="0" shapeId="0" xr:uid="{48AE8F5A-1128-434D-B1D9-58DE3B70287D}">
      <text>
        <r>
          <rPr>
            <b/>
            <sz val="9"/>
            <color indexed="81"/>
            <rFont val="Tahoma"/>
            <family val="2"/>
          </rPr>
          <t>Marianne Rasmussen:</t>
        </r>
        <r>
          <rPr>
            <sz val="9"/>
            <color indexed="81"/>
            <rFont val="Tahoma"/>
            <family val="2"/>
          </rPr>
          <t xml:space="preserve">
Valg Rådhuset ????</t>
        </r>
      </text>
    </comment>
    <comment ref="D123" authorId="2" shapeId="0" xr:uid="{DDF87D19-AEF5-4D6F-962B-FE80C008B2FF}">
      <text>
        <r>
          <rPr>
            <b/>
            <sz val="9"/>
            <color indexed="81"/>
            <rFont val="Tahoma"/>
            <family val="2"/>
          </rPr>
          <t>marasm:</t>
        </r>
        <r>
          <rPr>
            <sz val="9"/>
            <color indexed="81"/>
            <rFont val="Tahoma"/>
            <family val="2"/>
          </rPr>
          <t xml:space="preserve">
BR-Møde</t>
        </r>
      </text>
    </comment>
    <comment ref="I123" authorId="2" shapeId="0" xr:uid="{B141D038-80C8-4120-949D-B5D60E15FEE2}">
      <text>
        <r>
          <rPr>
            <b/>
            <sz val="9"/>
            <color indexed="81"/>
            <rFont val="Tahoma"/>
            <family val="2"/>
          </rPr>
          <t>marasm:</t>
        </r>
        <r>
          <rPr>
            <sz val="9"/>
            <color indexed="81"/>
            <rFont val="Tahoma"/>
            <family val="2"/>
          </rPr>
          <t xml:space="preserve">
Arrangement på oa</t>
        </r>
      </text>
    </comment>
    <comment ref="V123" authorId="6" shapeId="0" xr:uid="{B9A19AEF-1EDF-406E-9D81-C760CA6543CC}">
      <text>
        <r>
          <rPr>
            <b/>
            <sz val="9"/>
            <color indexed="81"/>
            <rFont val="Tahoma"/>
            <family val="2"/>
          </rPr>
          <t>Nick Lorentzen:</t>
        </r>
        <r>
          <rPr>
            <sz val="9"/>
            <color indexed="81"/>
            <rFont val="Tahoma"/>
            <family val="2"/>
          </rPr>
          <t xml:space="preserve">
Skal til tandlægen - kommer ved 9 tiden</t>
        </r>
      </text>
    </comment>
    <comment ref="Z123" authorId="2" shapeId="0" xr:uid="{634AF199-94BE-4397-AEFD-B67AFAC45CC7}">
      <text>
        <r>
          <rPr>
            <b/>
            <sz val="9"/>
            <color indexed="81"/>
            <rFont val="Tahoma"/>
            <family val="2"/>
          </rPr>
          <t>marasm:</t>
        </r>
        <r>
          <rPr>
            <sz val="9"/>
            <color indexed="81"/>
            <rFont val="Tahoma"/>
            <family val="2"/>
          </rPr>
          <t xml:space="preserve">
BR-Møde på oa
Møder 09:20</t>
        </r>
      </text>
    </comment>
    <comment ref="C124" authorId="0" shapeId="0" xr:uid="{68DB2813-5FBA-4DD2-B522-B19B0DCF1076}">
      <text>
        <r>
          <rPr>
            <b/>
            <sz val="9"/>
            <color indexed="81"/>
            <rFont val="Tahoma"/>
            <family val="2"/>
          </rPr>
          <t>Marianne Rasmussen:</t>
        </r>
        <r>
          <rPr>
            <sz val="9"/>
            <color indexed="81"/>
            <rFont val="Tahoma"/>
            <family val="2"/>
          </rPr>
          <t xml:space="preserve">
Valg Rådhuset ????</t>
        </r>
      </text>
    </comment>
    <comment ref="D124" authorId="2" shapeId="0" xr:uid="{2687F39F-B42A-458E-BCCE-D3FD8AF1F490}">
      <text>
        <r>
          <rPr>
            <b/>
            <sz val="9"/>
            <color indexed="81"/>
            <rFont val="Tahoma"/>
            <family val="2"/>
          </rPr>
          <t>marasm:</t>
        </r>
        <r>
          <rPr>
            <sz val="9"/>
            <color indexed="81"/>
            <rFont val="Tahoma"/>
            <family val="2"/>
          </rPr>
          <t xml:space="preserve">
BR-Møde</t>
        </r>
      </text>
    </comment>
    <comment ref="I124" authorId="2" shapeId="0" xr:uid="{B618FF02-CFC2-46B2-AECE-4D681D7DB712}">
      <text>
        <r>
          <rPr>
            <b/>
            <sz val="9"/>
            <color indexed="81"/>
            <rFont val="Tahoma"/>
            <family val="2"/>
          </rPr>
          <t>marasm:</t>
        </r>
        <r>
          <rPr>
            <sz val="9"/>
            <color indexed="81"/>
            <rFont val="Tahoma"/>
            <family val="2"/>
          </rPr>
          <t xml:space="preserve">
Arrangement på oa</t>
        </r>
      </text>
    </comment>
    <comment ref="J124" authorId="2" shapeId="0" xr:uid="{DBBDB6F7-837C-4557-932A-B4CB8C8A6FD8}">
      <text>
        <r>
          <rPr>
            <b/>
            <sz val="9"/>
            <color indexed="81"/>
            <rFont val="Tahoma"/>
            <family val="2"/>
          </rPr>
          <t>marasm:</t>
        </r>
        <r>
          <rPr>
            <sz val="9"/>
            <color indexed="81"/>
            <rFont val="Tahoma"/>
            <family val="2"/>
          </rPr>
          <t xml:space="preserve">
Arrangement på OA</t>
        </r>
      </text>
    </comment>
    <comment ref="V124" authorId="3" shapeId="0" xr:uid="{7337877A-1F7A-4E60-9EC2-799534383BF9}">
      <text>
        <r>
          <rPr>
            <b/>
            <sz val="9"/>
            <color indexed="81"/>
            <rFont val="Tahoma"/>
            <family val="2"/>
          </rPr>
          <t>Steen Hertin:</t>
        </r>
        <r>
          <rPr>
            <sz val="9"/>
            <color indexed="81"/>
            <rFont val="Tahoma"/>
            <family val="2"/>
          </rPr>
          <t xml:space="preserve">
Omviser</t>
        </r>
      </text>
    </comment>
    <comment ref="W124" authorId="3" shapeId="0" xr:uid="{58680296-95BD-4076-BDA8-5D62FC841A4C}">
      <text>
        <r>
          <rPr>
            <b/>
            <sz val="9"/>
            <color indexed="81"/>
            <rFont val="Tahoma"/>
            <family val="2"/>
          </rPr>
          <t>Steen Hertin:</t>
        </r>
        <r>
          <rPr>
            <sz val="9"/>
            <color indexed="81"/>
            <rFont val="Tahoma"/>
            <family val="2"/>
          </rPr>
          <t xml:space="preserve">
Omviser</t>
        </r>
      </text>
    </comment>
    <comment ref="X124" authorId="3" shapeId="0" xr:uid="{60B2159C-63D0-4A17-B64A-EA64CA721798}">
      <text>
        <r>
          <rPr>
            <b/>
            <sz val="9"/>
            <color indexed="81"/>
            <rFont val="Tahoma"/>
            <family val="2"/>
          </rPr>
          <t>Steen Hertin:</t>
        </r>
        <r>
          <rPr>
            <sz val="9"/>
            <color indexed="81"/>
            <rFont val="Tahoma"/>
            <family val="2"/>
          </rPr>
          <t xml:space="preserve">
Omviser
Arrangement på OA </t>
        </r>
      </text>
    </comment>
    <comment ref="Y124" authorId="3" shapeId="0" xr:uid="{AB96EF5F-61E2-4C41-831E-4EB7ADA9BE7F}">
      <text>
        <r>
          <rPr>
            <b/>
            <sz val="9"/>
            <color indexed="81"/>
            <rFont val="Tahoma"/>
            <family val="2"/>
          </rPr>
          <t>Steen Hertin:</t>
        </r>
        <r>
          <rPr>
            <sz val="9"/>
            <color indexed="81"/>
            <rFont val="Tahoma"/>
            <family val="2"/>
          </rPr>
          <t xml:space="preserve">
Omviser</t>
        </r>
      </text>
    </comment>
    <comment ref="Z124" authorId="3" shapeId="0" xr:uid="{AC71A668-F27F-4517-9720-3624DE8BB2CE}">
      <text>
        <r>
          <rPr>
            <b/>
            <sz val="9"/>
            <color indexed="81"/>
            <rFont val="Tahoma"/>
            <family val="2"/>
          </rPr>
          <t>Steen Hertin:</t>
        </r>
        <r>
          <rPr>
            <sz val="9"/>
            <color indexed="81"/>
            <rFont val="Tahoma"/>
            <family val="2"/>
          </rPr>
          <t xml:space="preserve">
Omviser på OA
BR-Møde på oa</t>
        </r>
      </text>
    </comment>
    <comment ref="AC124" authorId="3" shapeId="0" xr:uid="{B3E4E579-BA7B-411C-9D95-1EBA13F09C3F}">
      <text>
        <r>
          <rPr>
            <b/>
            <sz val="9"/>
            <color indexed="81"/>
            <rFont val="Tahoma"/>
            <family val="2"/>
          </rPr>
          <t>Steen Hertin:</t>
        </r>
        <r>
          <rPr>
            <sz val="9"/>
            <color indexed="81"/>
            <rFont val="Tahoma"/>
            <family val="2"/>
          </rPr>
          <t xml:space="preserve">
Omviser</t>
        </r>
      </text>
    </comment>
    <comment ref="AF124" authorId="0" shapeId="0" xr:uid="{77FA8494-59C3-4A0B-A646-2E3FF5E52255}">
      <text>
        <r>
          <rPr>
            <b/>
            <sz val="9"/>
            <color indexed="81"/>
            <rFont val="Tahoma"/>
            <family val="2"/>
          </rPr>
          <t>Marianne Rasmussen:</t>
        </r>
        <r>
          <rPr>
            <sz val="9"/>
            <color indexed="81"/>
            <rFont val="Tahoma"/>
            <family val="2"/>
          </rPr>
          <t xml:space="preserve">
Arrangement på OA</t>
        </r>
      </text>
    </comment>
    <comment ref="C125" authorId="0" shapeId="0" xr:uid="{8EE1203E-86F6-4FD4-BDA6-408EB7C7C330}">
      <text>
        <r>
          <rPr>
            <b/>
            <sz val="9"/>
            <color indexed="81"/>
            <rFont val="Tahoma"/>
            <family val="2"/>
          </rPr>
          <t>Marianne Rasmussen:</t>
        </r>
        <r>
          <rPr>
            <sz val="9"/>
            <color indexed="81"/>
            <rFont val="Tahoma"/>
            <family val="2"/>
          </rPr>
          <t xml:space="preserve">
Valg Rådhuset ????</t>
        </r>
      </text>
    </comment>
    <comment ref="D125" authorId="2" shapeId="0" xr:uid="{8A89C611-CD73-44C2-9AF9-A59D5547D63B}">
      <text>
        <r>
          <rPr>
            <b/>
            <sz val="9"/>
            <color indexed="81"/>
            <rFont val="Tahoma"/>
            <family val="2"/>
          </rPr>
          <t>marasm:</t>
        </r>
        <r>
          <rPr>
            <sz val="9"/>
            <color indexed="81"/>
            <rFont val="Tahoma"/>
            <family val="2"/>
          </rPr>
          <t xml:space="preserve">
BR-Møde</t>
        </r>
      </text>
    </comment>
    <comment ref="I125" authorId="2" shapeId="0" xr:uid="{5840CEF8-989E-41CD-93C2-B24B6F80EB08}">
      <text>
        <r>
          <rPr>
            <b/>
            <sz val="9"/>
            <color indexed="81"/>
            <rFont val="Tahoma"/>
            <family val="2"/>
          </rPr>
          <t>marasm:</t>
        </r>
        <r>
          <rPr>
            <sz val="9"/>
            <color indexed="81"/>
            <rFont val="Tahoma"/>
            <family val="2"/>
          </rPr>
          <t xml:space="preserve">
Arrangement på oa</t>
        </r>
      </text>
    </comment>
    <comment ref="J125" authorId="2" shapeId="0" xr:uid="{F7534DF8-1405-4F6D-930E-A1865D53F4EB}">
      <text>
        <r>
          <rPr>
            <b/>
            <sz val="9"/>
            <color indexed="81"/>
            <rFont val="Tahoma"/>
            <family val="2"/>
          </rPr>
          <t>marasm:</t>
        </r>
        <r>
          <rPr>
            <sz val="9"/>
            <color indexed="81"/>
            <rFont val="Tahoma"/>
            <family val="2"/>
          </rPr>
          <t xml:space="preserve">
Arrangement på OA</t>
        </r>
      </text>
    </comment>
    <comment ref="M125" authorId="3" shapeId="0" xr:uid="{183AA9CB-7FC9-48EE-83AE-FF08C215E66B}">
      <text>
        <r>
          <rPr>
            <b/>
            <sz val="9"/>
            <color indexed="81"/>
            <rFont val="Tahoma"/>
            <family val="2"/>
          </rPr>
          <t>Steen Hertin:</t>
        </r>
        <r>
          <rPr>
            <sz val="9"/>
            <color indexed="81"/>
            <rFont val="Tahoma"/>
            <family val="2"/>
          </rPr>
          <t xml:space="preserve">
A2 på </t>
        </r>
      </text>
    </comment>
    <comment ref="P125" authorId="4" shapeId="0" xr:uid="{E65BF6E3-CE6C-440E-BF31-7ED285050E4D}">
      <text>
        <r>
          <rPr>
            <b/>
            <sz val="9"/>
            <color indexed="81"/>
            <rFont val="Tahoma"/>
            <family val="2"/>
          </rPr>
          <t>Steen Hertin-Sandkær:</t>
        </r>
        <r>
          <rPr>
            <sz val="9"/>
            <color indexed="81"/>
            <rFont val="Tahoma"/>
            <family val="2"/>
          </rPr>
          <t xml:space="preserve">
8-vagt på oa.</t>
        </r>
      </text>
    </comment>
    <comment ref="Q125" authorId="0" shapeId="0" xr:uid="{AE252D85-E487-44A3-816E-187801C06F1C}">
      <text>
        <r>
          <rPr>
            <b/>
            <sz val="9"/>
            <color indexed="81"/>
            <rFont val="Tahoma"/>
            <family val="2"/>
          </rPr>
          <t>Marianne Rasmussen:</t>
        </r>
        <r>
          <rPr>
            <sz val="9"/>
            <color indexed="81"/>
            <rFont val="Tahoma"/>
            <family val="2"/>
          </rPr>
          <t xml:space="preserve">
Arrangement på OA</t>
        </r>
      </text>
    </comment>
    <comment ref="X125" authorId="2" shapeId="0" xr:uid="{8E269C74-20CB-44D4-8C8A-E8839FF4BA85}">
      <text>
        <r>
          <rPr>
            <b/>
            <sz val="9"/>
            <color indexed="81"/>
            <rFont val="Tahoma"/>
            <family val="2"/>
          </rPr>
          <t>marasm:</t>
        </r>
        <r>
          <rPr>
            <sz val="9"/>
            <color indexed="81"/>
            <rFont val="Tahoma"/>
            <family val="2"/>
          </rPr>
          <t xml:space="preserve">
Arrangement på OA</t>
        </r>
      </text>
    </comment>
    <comment ref="AF125" authorId="0" shapeId="0" xr:uid="{CC42713A-0B7B-411E-9653-703B73D38F79}">
      <text>
        <r>
          <rPr>
            <b/>
            <sz val="9"/>
            <color indexed="81"/>
            <rFont val="Tahoma"/>
            <family val="2"/>
          </rPr>
          <t>Marianne Rasmussen:</t>
        </r>
        <r>
          <rPr>
            <sz val="9"/>
            <color indexed="81"/>
            <rFont val="Tahoma"/>
            <family val="2"/>
          </rPr>
          <t xml:space="preserve">
Arrangement på OA</t>
        </r>
      </text>
    </comment>
    <comment ref="C126" authorId="0" shapeId="0" xr:uid="{312A5FCD-93EA-412B-853D-4611E343476A}">
      <text>
        <r>
          <rPr>
            <b/>
            <sz val="9"/>
            <color indexed="81"/>
            <rFont val="Tahoma"/>
            <family val="2"/>
          </rPr>
          <t>Marianne Rasmussen:</t>
        </r>
        <r>
          <rPr>
            <sz val="9"/>
            <color indexed="81"/>
            <rFont val="Tahoma"/>
            <family val="2"/>
          </rPr>
          <t xml:space="preserve">
Valg Rådhuset ????</t>
        </r>
      </text>
    </comment>
    <comment ref="D126" authorId="2" shapeId="0" xr:uid="{D72B2137-51F6-4999-A228-122DF1B38901}">
      <text>
        <r>
          <rPr>
            <b/>
            <sz val="9"/>
            <color indexed="81"/>
            <rFont val="Tahoma"/>
            <family val="2"/>
          </rPr>
          <t>marasm:</t>
        </r>
        <r>
          <rPr>
            <sz val="9"/>
            <color indexed="81"/>
            <rFont val="Tahoma"/>
            <family val="2"/>
          </rPr>
          <t xml:space="preserve">
BR-Møde</t>
        </r>
      </text>
    </comment>
    <comment ref="E126" authorId="4" shapeId="0" xr:uid="{2E8A1FC8-4F08-4127-8A7E-693BF1F75E46}">
      <text>
        <r>
          <rPr>
            <b/>
            <sz val="9"/>
            <color indexed="81"/>
            <rFont val="Tahoma"/>
            <family val="2"/>
          </rPr>
          <t>Steen Hertin-Sandkær:</t>
        </r>
        <r>
          <rPr>
            <sz val="9"/>
            <color indexed="81"/>
            <rFont val="Tahoma"/>
            <family val="2"/>
          </rPr>
          <t xml:space="preserve">
fri til AMR </t>
        </r>
      </text>
    </comment>
    <comment ref="F126" authorId="3" shapeId="0" xr:uid="{FAA69A71-252C-4F98-89E7-6456A008919A}">
      <text>
        <r>
          <rPr>
            <b/>
            <sz val="9"/>
            <color indexed="81"/>
            <rFont val="Tahoma"/>
            <family val="2"/>
          </rPr>
          <t>Steen Hertin:</t>
        </r>
        <r>
          <rPr>
            <sz val="9"/>
            <color indexed="81"/>
            <rFont val="Tahoma"/>
            <family val="2"/>
          </rPr>
          <t xml:space="preserve">
Bellahøjhallen 15.00-23.30 på OA</t>
        </r>
      </text>
    </comment>
    <comment ref="J126" authorId="2" shapeId="0" xr:uid="{C2E1536A-741A-48B3-99F0-2CA938D909B4}">
      <text>
        <r>
          <rPr>
            <b/>
            <sz val="9"/>
            <color indexed="81"/>
            <rFont val="Tahoma"/>
            <family val="2"/>
          </rPr>
          <t>marasm:</t>
        </r>
        <r>
          <rPr>
            <sz val="9"/>
            <color indexed="81"/>
            <rFont val="Tahoma"/>
            <family val="2"/>
          </rPr>
          <t xml:space="preserve">
Arrangement på oa</t>
        </r>
      </text>
    </comment>
    <comment ref="O126" authorId="3" shapeId="0" xr:uid="{C2837E3B-C46A-4B10-A6D8-4C466DBBF199}">
      <text>
        <r>
          <rPr>
            <b/>
            <sz val="9"/>
            <color indexed="81"/>
            <rFont val="Tahoma"/>
            <family val="2"/>
          </rPr>
          <t>Steen Hertin:</t>
        </r>
        <r>
          <rPr>
            <sz val="9"/>
            <color indexed="81"/>
            <rFont val="Tahoma"/>
            <family val="2"/>
          </rPr>
          <t xml:space="preserve">
Omviser</t>
        </r>
      </text>
    </comment>
    <comment ref="Q126" authorId="0" shapeId="0" xr:uid="{DBDDD7BE-71B0-43A3-9F94-1B71C34DD21B}">
      <text>
        <r>
          <rPr>
            <b/>
            <sz val="9"/>
            <color indexed="81"/>
            <rFont val="Tahoma"/>
            <family val="2"/>
          </rPr>
          <t>Marianne Rasmussen:</t>
        </r>
        <r>
          <rPr>
            <sz val="9"/>
            <color indexed="81"/>
            <rFont val="Tahoma"/>
            <family val="2"/>
          </rPr>
          <t xml:space="preserve">
Arrangement på OA</t>
        </r>
      </text>
    </comment>
    <comment ref="S126" authorId="3" shapeId="0" xr:uid="{DF1530CB-2328-4DE6-A646-2C18D7136A63}">
      <text>
        <r>
          <rPr>
            <b/>
            <sz val="9"/>
            <color indexed="81"/>
            <rFont val="Tahoma"/>
            <family val="2"/>
          </rPr>
          <t>Steen Hertin:</t>
        </r>
        <r>
          <rPr>
            <sz val="9"/>
            <color indexed="81"/>
            <rFont val="Tahoma"/>
            <family val="2"/>
          </rPr>
          <t xml:space="preserve">
Hjælpe med omvisninger</t>
        </r>
      </text>
    </comment>
    <comment ref="X126" authorId="0" shapeId="0" xr:uid="{2A1F460A-3EDB-4FF0-8638-671EC00A0677}">
      <text>
        <r>
          <rPr>
            <b/>
            <sz val="9"/>
            <color indexed="81"/>
            <rFont val="Tahoma"/>
            <family val="2"/>
          </rPr>
          <t>Marianne Rasmussen:</t>
        </r>
        <r>
          <rPr>
            <sz val="9"/>
            <color indexed="81"/>
            <rFont val="Tahoma"/>
            <family val="2"/>
          </rPr>
          <t xml:space="preserve">
Arrangement på OA</t>
        </r>
      </text>
    </comment>
    <comment ref="AA126" authorId="3" shapeId="0" xr:uid="{58170AE1-CFFD-4A28-81BD-F85C9D2BF63D}">
      <text>
        <r>
          <rPr>
            <b/>
            <sz val="9"/>
            <color indexed="81"/>
            <rFont val="Tahoma"/>
            <family val="2"/>
          </rPr>
          <t>Steen Hertin:</t>
        </r>
        <r>
          <rPr>
            <sz val="9"/>
            <color indexed="81"/>
            <rFont val="Tahoma"/>
            <family val="2"/>
          </rPr>
          <t xml:space="preserve">
Copenhagen 08-15</t>
        </r>
      </text>
    </comment>
    <comment ref="AE126" authorId="5" shapeId="0" xr:uid="{47ED044A-07E4-4FB4-8357-14E798706FCD}">
      <text>
        <r>
          <rPr>
            <b/>
            <sz val="9"/>
            <color indexed="81"/>
            <rFont val="Tahoma"/>
            <family val="2"/>
          </rPr>
          <t>Michael Bo Pedersen:</t>
        </r>
        <r>
          <rPr>
            <sz val="9"/>
            <color indexed="81"/>
            <rFont val="Tahoma"/>
            <family val="2"/>
          </rPr>
          <t xml:space="preserve">
Til læge
Går kl. 15.00</t>
        </r>
      </text>
    </comment>
    <comment ref="AF126" authorId="0" shapeId="0" xr:uid="{8A83F85D-333F-461F-9F39-53730129233B}">
      <text>
        <r>
          <rPr>
            <b/>
            <sz val="9"/>
            <color indexed="81"/>
            <rFont val="Tahoma"/>
            <family val="2"/>
          </rPr>
          <t>Marianne Rasmussen:</t>
        </r>
        <r>
          <rPr>
            <sz val="9"/>
            <color indexed="81"/>
            <rFont val="Tahoma"/>
            <family val="2"/>
          </rPr>
          <t xml:space="preserve">
Arrangement på OA</t>
        </r>
      </text>
    </comment>
    <comment ref="C155" authorId="0" shapeId="0" xr:uid="{3B7D118B-C7D3-41B6-AFE4-624C2B072704}">
      <text>
        <r>
          <rPr>
            <b/>
            <sz val="9"/>
            <color indexed="81"/>
            <rFont val="Tahoma"/>
            <family val="2"/>
          </rPr>
          <t>Marianne Rasmussen:</t>
        </r>
        <r>
          <rPr>
            <sz val="9"/>
            <color indexed="81"/>
            <rFont val="Tahoma"/>
            <family val="2"/>
          </rPr>
          <t xml:space="preserve">
Møder senere +  Fintælling Kl. 17</t>
        </r>
      </text>
    </comment>
    <comment ref="D155" authorId="0" shapeId="0" xr:uid="{25A45297-C066-4002-A4C4-89CC8013DE3F}">
      <text>
        <r>
          <rPr>
            <b/>
            <sz val="9"/>
            <color indexed="81"/>
            <rFont val="Tahoma"/>
            <family val="2"/>
          </rPr>
          <t>Marianne Rasmussen:</t>
        </r>
        <r>
          <rPr>
            <sz val="9"/>
            <color indexed="81"/>
            <rFont val="Tahoma"/>
            <family val="2"/>
          </rPr>
          <t xml:space="preserve">
Fintælling </t>
        </r>
      </text>
    </comment>
    <comment ref="I155" authorId="0" shapeId="0" xr:uid="{0DD8A70B-B1C8-4782-AD80-47474C93B163}">
      <text>
        <r>
          <rPr>
            <b/>
            <sz val="9"/>
            <color indexed="81"/>
            <rFont val="Tahoma"/>
            <family val="2"/>
          </rPr>
          <t>Marianne Rasmussen:</t>
        </r>
        <r>
          <rPr>
            <sz val="9"/>
            <color indexed="81"/>
            <rFont val="Tahoma"/>
            <family val="2"/>
          </rPr>
          <t xml:space="preserve">
AHF</t>
        </r>
      </text>
    </comment>
    <comment ref="J155" authorId="2" shapeId="0" xr:uid="{AB8ECEB8-CA46-4440-B602-4FF9CC870736}">
      <text>
        <r>
          <rPr>
            <b/>
            <sz val="9"/>
            <color indexed="81"/>
            <rFont val="Tahoma"/>
            <family val="2"/>
          </rPr>
          <t>marasm:</t>
        </r>
        <r>
          <rPr>
            <sz val="9"/>
            <color indexed="81"/>
            <rFont val="Tahoma"/>
            <family val="2"/>
          </rPr>
          <t xml:space="preserve">
Arrangement på oa</t>
        </r>
      </text>
    </comment>
    <comment ref="L155" authorId="2" shapeId="0" xr:uid="{0D199509-885F-49CA-9278-64668E0D2536}">
      <text>
        <r>
          <rPr>
            <b/>
            <sz val="9"/>
            <color indexed="81"/>
            <rFont val="Tahoma"/>
            <family val="2"/>
          </rPr>
          <t>marasm:</t>
        </r>
        <r>
          <rPr>
            <sz val="9"/>
            <color indexed="81"/>
            <rFont val="Tahoma"/>
            <family val="2"/>
          </rPr>
          <t xml:space="preserve">
AHF</t>
        </r>
      </text>
    </comment>
    <comment ref="O155" authorId="2" shapeId="0" xr:uid="{67030F34-CC64-430C-BC1D-97F2DE624475}">
      <text>
        <r>
          <rPr>
            <b/>
            <sz val="9"/>
            <color indexed="81"/>
            <rFont val="Tahoma"/>
            <family val="2"/>
          </rPr>
          <t>marasm:</t>
        </r>
        <r>
          <rPr>
            <sz val="9"/>
            <color indexed="81"/>
            <rFont val="Tahoma"/>
            <family val="2"/>
          </rPr>
          <t xml:space="preserve">
AHF</t>
        </r>
      </text>
    </comment>
    <comment ref="Q155" authorId="2" shapeId="0" xr:uid="{359345D4-BDBF-4E6F-AC5C-5FC212753BFB}">
      <text>
        <r>
          <rPr>
            <b/>
            <sz val="9"/>
            <color indexed="81"/>
            <rFont val="Tahoma"/>
            <family val="2"/>
          </rPr>
          <t>marasm:</t>
        </r>
        <r>
          <rPr>
            <sz val="9"/>
            <color indexed="81"/>
            <rFont val="Tahoma"/>
            <family val="2"/>
          </rPr>
          <t xml:space="preserve">
Arrangement på oa</t>
        </r>
      </text>
    </comment>
    <comment ref="S155" authorId="2" shapeId="0" xr:uid="{3BC71683-1B12-406F-8279-B3FB3A6BF6B0}">
      <text>
        <r>
          <rPr>
            <b/>
            <sz val="9"/>
            <color indexed="81"/>
            <rFont val="Tahoma"/>
            <family val="2"/>
          </rPr>
          <t>marasm:</t>
        </r>
        <r>
          <rPr>
            <sz val="9"/>
            <color indexed="81"/>
            <rFont val="Tahoma"/>
            <family val="2"/>
          </rPr>
          <t xml:space="preserve">
AHF</t>
        </r>
      </text>
    </comment>
    <comment ref="W155" authorId="2" shapeId="0" xr:uid="{8F11187F-452E-439C-A229-ABEAE06EA06F}">
      <text>
        <r>
          <rPr>
            <b/>
            <sz val="9"/>
            <color indexed="81"/>
            <rFont val="Tahoma"/>
            <family val="2"/>
          </rPr>
          <t>marasm:</t>
        </r>
        <r>
          <rPr>
            <sz val="9"/>
            <color indexed="81"/>
            <rFont val="Tahoma"/>
            <family val="2"/>
          </rPr>
          <t xml:space="preserve">
AHF</t>
        </r>
      </text>
    </comment>
    <comment ref="Y155" authorId="0" shapeId="0" xr:uid="{F4FB367C-9E5D-4911-88CD-3F1FE34EBA72}">
      <text>
        <r>
          <rPr>
            <b/>
            <sz val="9"/>
            <color indexed="81"/>
            <rFont val="Tahoma"/>
            <family val="2"/>
          </rPr>
          <t>Marianne Rasmussen:</t>
        </r>
        <r>
          <rPr>
            <sz val="9"/>
            <color indexed="81"/>
            <rFont val="Tahoma"/>
            <family val="2"/>
          </rPr>
          <t xml:space="preserve">
AHF</t>
        </r>
      </text>
    </comment>
    <comment ref="Z155" authorId="2" shapeId="0" xr:uid="{1CB2CE37-1612-4B95-977E-DA16C1A5210D}">
      <text>
        <r>
          <rPr>
            <b/>
            <sz val="9"/>
            <color indexed="81"/>
            <rFont val="Tahoma"/>
            <family val="2"/>
          </rPr>
          <t>marasm:</t>
        </r>
        <r>
          <rPr>
            <sz val="9"/>
            <color indexed="81"/>
            <rFont val="Tahoma"/>
            <family val="2"/>
          </rPr>
          <t xml:space="preserve">
BR-Møde på oa</t>
        </r>
      </text>
    </comment>
    <comment ref="AD155" authorId="2" shapeId="0" xr:uid="{2FBD8D22-A833-4211-9ABC-18D33AC59AB4}">
      <text>
        <r>
          <rPr>
            <b/>
            <sz val="9"/>
            <color indexed="81"/>
            <rFont val="Tahoma"/>
            <family val="2"/>
          </rPr>
          <t>marasm:</t>
        </r>
        <r>
          <rPr>
            <sz val="9"/>
            <color indexed="81"/>
            <rFont val="Tahoma"/>
            <family val="2"/>
          </rPr>
          <t xml:space="preserve">
AHF</t>
        </r>
      </text>
    </comment>
    <comment ref="AF155" authorId="2" shapeId="0" xr:uid="{FD046D17-F868-4B74-8639-761B809BC2B4}">
      <text>
        <r>
          <rPr>
            <b/>
            <sz val="9"/>
            <color indexed="81"/>
            <rFont val="Tahoma"/>
            <family val="2"/>
          </rPr>
          <t>marasm:</t>
        </r>
        <r>
          <rPr>
            <sz val="9"/>
            <color indexed="81"/>
            <rFont val="Tahoma"/>
            <family val="2"/>
          </rPr>
          <t xml:space="preserve">
AHF</t>
        </r>
      </text>
    </comment>
    <comment ref="C160" authorId="0" shapeId="0" xr:uid="{3FA3EDC3-B1BD-4DB6-995F-30E6D05EE3BB}">
      <text>
        <r>
          <rPr>
            <b/>
            <sz val="9"/>
            <color indexed="81"/>
            <rFont val="Tahoma"/>
            <family val="2"/>
          </rPr>
          <t>Marianne Rasmussen:</t>
        </r>
        <r>
          <rPr>
            <sz val="9"/>
            <color indexed="81"/>
            <rFont val="Tahoma"/>
            <family val="2"/>
          </rPr>
          <t xml:space="preserve">
Fintælling Kl. 17</t>
        </r>
      </text>
    </comment>
    <comment ref="D160" authorId="0" shapeId="0" xr:uid="{5E1CC2D1-C363-4C9F-8AFA-D793F2FE9AF8}">
      <text>
        <r>
          <rPr>
            <b/>
            <sz val="9"/>
            <color indexed="81"/>
            <rFont val="Tahoma"/>
            <family val="2"/>
          </rPr>
          <t>Marianne Rasmussen:</t>
        </r>
        <r>
          <rPr>
            <sz val="9"/>
            <color indexed="81"/>
            <rFont val="Tahoma"/>
            <family val="2"/>
          </rPr>
          <t xml:space="preserve">
Fintælling </t>
        </r>
      </text>
    </comment>
    <comment ref="Z160" authorId="2" shapeId="0" xr:uid="{9991857F-3E57-4C7C-8F9D-5B194267A60B}">
      <text>
        <r>
          <rPr>
            <b/>
            <sz val="9"/>
            <color indexed="81"/>
            <rFont val="Tahoma"/>
            <family val="2"/>
          </rPr>
          <t>marasm:</t>
        </r>
        <r>
          <rPr>
            <sz val="9"/>
            <color indexed="81"/>
            <rFont val="Tahoma"/>
            <family val="2"/>
          </rPr>
          <t xml:space="preserve">
BR-Møde på oa</t>
        </r>
      </text>
    </comment>
    <comment ref="C183" authorId="3" shapeId="0" xr:uid="{4CEB9254-238F-4F82-ABF6-D0BFB841E950}">
      <text>
        <r>
          <rPr>
            <b/>
            <sz val="9"/>
            <color indexed="81"/>
            <rFont val="Tahoma"/>
            <family val="2"/>
          </rPr>
          <t>Steen Hertin:</t>
        </r>
        <r>
          <rPr>
            <sz val="9"/>
            <color indexed="81"/>
            <rFont val="Tahoma"/>
            <family val="2"/>
          </rPr>
          <t xml:space="preserve">
Bud til valg</t>
        </r>
      </text>
    </comment>
    <comment ref="D183" authorId="0" shapeId="0" xr:uid="{03486798-8CE9-452B-B657-5F92629AD88B}">
      <text>
        <r>
          <rPr>
            <b/>
            <sz val="9"/>
            <color indexed="81"/>
            <rFont val="Tahoma"/>
            <family val="2"/>
          </rPr>
          <t>Marianne Rasmussen:</t>
        </r>
        <r>
          <rPr>
            <sz val="9"/>
            <color indexed="81"/>
            <rFont val="Tahoma"/>
            <family val="2"/>
          </rPr>
          <t xml:space="preserve">
Fintælling </t>
        </r>
      </text>
    </comment>
    <comment ref="X183" authorId="0" shapeId="0" xr:uid="{ECA1E388-6C3B-4A64-8756-8A8053F5FAA4}">
      <text>
        <r>
          <rPr>
            <b/>
            <sz val="9"/>
            <color indexed="81"/>
            <rFont val="Tahoma"/>
            <family val="2"/>
          </rPr>
          <t>Marianne Rasmussen:</t>
        </r>
        <r>
          <rPr>
            <sz val="9"/>
            <color indexed="81"/>
            <rFont val="Tahoma"/>
            <family val="2"/>
          </rPr>
          <t xml:space="preserve">
Arrangement på OA</t>
        </r>
      </text>
    </comment>
    <comment ref="U184" authorId="3" shapeId="0" xr:uid="{AF2A531A-1D9A-47FA-8DD3-0693531664B9}">
      <text>
        <r>
          <rPr>
            <b/>
            <sz val="9"/>
            <color indexed="81"/>
            <rFont val="Tahoma"/>
            <family val="2"/>
          </rPr>
          <t>Steen Hertin:</t>
        </r>
        <r>
          <rPr>
            <sz val="9"/>
            <color indexed="81"/>
            <rFont val="Tahoma"/>
            <family val="2"/>
          </rPr>
          <t xml:space="preserve">
Metro 08-15</t>
        </r>
      </text>
    </comment>
    <comment ref="Q190" authorId="0" shapeId="0" xr:uid="{0DB71B2F-286D-4F82-83B3-2CA112383035}">
      <text>
        <r>
          <rPr>
            <b/>
            <sz val="9"/>
            <color indexed="81"/>
            <rFont val="Tahoma"/>
            <family val="2"/>
          </rPr>
          <t>Marianne Rasmussen:</t>
        </r>
        <r>
          <rPr>
            <sz val="9"/>
            <color indexed="81"/>
            <rFont val="Tahoma"/>
            <family val="2"/>
          </rPr>
          <t xml:space="preserve">
Arrangement på OA</t>
        </r>
      </text>
    </comment>
    <comment ref="I212" authorId="2" shapeId="0" xr:uid="{4088707D-6935-4230-BA9E-58B7284B4E2F}">
      <text>
        <r>
          <rPr>
            <b/>
            <sz val="9"/>
            <color indexed="81"/>
            <rFont val="Tahoma"/>
            <family val="2"/>
          </rPr>
          <t>marasm:</t>
        </r>
        <r>
          <rPr>
            <sz val="9"/>
            <color indexed="81"/>
            <rFont val="Tahoma"/>
            <family val="2"/>
          </rPr>
          <t xml:space="preserve">
AHF</t>
        </r>
      </text>
    </comment>
    <comment ref="J212" authorId="2" shapeId="0" xr:uid="{9BFD1327-7088-45BD-A8F2-66F00994008C}">
      <text>
        <r>
          <rPr>
            <b/>
            <sz val="9"/>
            <color indexed="81"/>
            <rFont val="Tahoma"/>
            <family val="2"/>
          </rPr>
          <t>marasm:</t>
        </r>
        <r>
          <rPr>
            <sz val="9"/>
            <color indexed="81"/>
            <rFont val="Tahoma"/>
            <family val="2"/>
          </rPr>
          <t xml:space="preserve">
AHF</t>
        </r>
      </text>
    </comment>
    <comment ref="C214" authorId="0" shapeId="0" xr:uid="{4D6513AD-5D25-4D59-82D9-72314DC33726}">
      <text>
        <r>
          <rPr>
            <b/>
            <sz val="9"/>
            <color indexed="81"/>
            <rFont val="Tahoma"/>
            <family val="2"/>
          </rPr>
          <t>Marianne Rasmussen:</t>
        </r>
        <r>
          <rPr>
            <sz val="9"/>
            <color indexed="81"/>
            <rFont val="Tahoma"/>
            <family val="2"/>
          </rPr>
          <t xml:space="preserve">
Fintælling Kl 17
- 3 timer afs </t>
        </r>
      </text>
    </comment>
    <comment ref="D214" authorId="0" shapeId="0" xr:uid="{FA672EA6-520E-4B19-9EAE-1819D85FD21B}">
      <text>
        <r>
          <rPr>
            <b/>
            <sz val="9"/>
            <color indexed="81"/>
            <rFont val="Tahoma"/>
            <family val="2"/>
          </rPr>
          <t>Marianne Rasmussen:</t>
        </r>
        <r>
          <rPr>
            <sz val="9"/>
            <color indexed="81"/>
            <rFont val="Tahoma"/>
            <family val="2"/>
          </rPr>
          <t xml:space="preserve">
Fintælling </t>
        </r>
      </text>
    </comment>
    <comment ref="R214" authorId="2" shapeId="0" xr:uid="{6696E3D4-486E-402B-9BFD-D9D48EDC0AEC}">
      <text>
        <r>
          <rPr>
            <b/>
            <sz val="9"/>
            <color indexed="81"/>
            <rFont val="Tahoma"/>
            <family val="2"/>
          </rPr>
          <t>marasm:</t>
        </r>
        <r>
          <rPr>
            <sz val="9"/>
            <color indexed="81"/>
            <rFont val="Tahoma"/>
            <family val="2"/>
          </rPr>
          <t xml:space="preserve">
- afs 7-13,45</t>
        </r>
      </text>
    </comment>
    <comment ref="X214" authorId="2" shapeId="0" xr:uid="{48AFB7A5-5E44-4050-9F1A-89D9482C8EA8}">
      <text>
        <r>
          <rPr>
            <b/>
            <sz val="9"/>
            <color indexed="81"/>
            <rFont val="Tahoma"/>
            <family val="2"/>
          </rPr>
          <t>marasm:</t>
        </r>
        <r>
          <rPr>
            <sz val="9"/>
            <color indexed="81"/>
            <rFont val="Tahoma"/>
            <family val="2"/>
          </rPr>
          <t xml:space="preserve">
Afs fra kl. 9,15-13,30</t>
        </r>
      </text>
    </comment>
    <comment ref="F215" authorId="4" shapeId="0" xr:uid="{F5F6CA61-1190-4BA9-A47E-B90FF228DCA9}">
      <text>
        <r>
          <rPr>
            <b/>
            <sz val="9"/>
            <color indexed="81"/>
            <rFont val="Tahoma"/>
            <family val="2"/>
          </rPr>
          <t>Steen Hertin-Sandkær:</t>
        </r>
        <r>
          <rPr>
            <sz val="9"/>
            <color indexed="81"/>
            <rFont val="Tahoma"/>
            <family val="2"/>
          </rPr>
          <t xml:space="preserve">
Metro kl. 08-15</t>
        </r>
      </text>
    </comment>
    <comment ref="G215" authorId="4" shapeId="0" xr:uid="{79E6FA26-88A7-4C58-8BD6-5D50C3027525}">
      <text>
        <r>
          <rPr>
            <b/>
            <sz val="9"/>
            <color indexed="81"/>
            <rFont val="Tahoma"/>
            <family val="2"/>
          </rPr>
          <t>Steen Hertin-Sandkær:</t>
        </r>
        <r>
          <rPr>
            <sz val="9"/>
            <color indexed="81"/>
            <rFont val="Tahoma"/>
            <family val="2"/>
          </rPr>
          <t xml:space="preserve">
Metro kl. 08-15</t>
        </r>
      </text>
    </comment>
    <comment ref="H215" authorId="4" shapeId="0" xr:uid="{5B2C288B-1CC0-43FC-8CCD-DBF8E80CEBB1}">
      <text>
        <r>
          <rPr>
            <b/>
            <sz val="9"/>
            <color indexed="81"/>
            <rFont val="Tahoma"/>
            <family val="2"/>
          </rPr>
          <t>Steen Hertin-Sandkær:</t>
        </r>
        <r>
          <rPr>
            <sz val="9"/>
            <color indexed="81"/>
            <rFont val="Tahoma"/>
            <family val="2"/>
          </rPr>
          <t xml:space="preserve">
Metro kl. 08-15</t>
        </r>
      </text>
    </comment>
    <comment ref="J215" authorId="2" shapeId="0" xr:uid="{5CE19DDF-BF08-4B2C-9184-4BE0C17BD176}">
      <text>
        <r>
          <rPr>
            <b/>
            <sz val="9"/>
            <color indexed="81"/>
            <rFont val="Tahoma"/>
            <family val="2"/>
          </rPr>
          <t>marasm:</t>
        </r>
        <r>
          <rPr>
            <sz val="9"/>
            <color indexed="81"/>
            <rFont val="Tahoma"/>
            <family val="2"/>
          </rPr>
          <t xml:space="preserve">
afs fra kl. 10,30-1345</t>
        </r>
      </text>
    </comment>
    <comment ref="N215" authorId="1" shapeId="0" xr:uid="{D1001BC6-25BD-4724-8869-C68EEF1B41BF}">
      <text>
        <r>
          <rPr>
            <b/>
            <sz val="9"/>
            <color indexed="81"/>
            <rFont val="Tahoma"/>
            <family val="2"/>
          </rPr>
          <t>Thomas Holm:</t>
        </r>
        <r>
          <rPr>
            <sz val="9"/>
            <color indexed="81"/>
            <rFont val="Tahoma"/>
            <family val="2"/>
          </rPr>
          <t xml:space="preserve">
Metro 08-15</t>
        </r>
      </text>
    </comment>
    <comment ref="P215" authorId="2" shapeId="0" xr:uid="{E379AC03-E91E-4527-81E1-060FD724C73F}">
      <text>
        <r>
          <rPr>
            <b/>
            <sz val="9"/>
            <color indexed="81"/>
            <rFont val="Tahoma"/>
            <family val="2"/>
          </rPr>
          <t>marasm:</t>
        </r>
        <r>
          <rPr>
            <sz val="9"/>
            <color indexed="81"/>
            <rFont val="Tahoma"/>
            <family val="2"/>
          </rPr>
          <t xml:space="preserve">
- afs 13,30-14,45</t>
        </r>
      </text>
    </comment>
    <comment ref="W215" authorId="2" shapeId="0" xr:uid="{309228C9-7DFE-4175-A3EF-B37D62C46408}">
      <text>
        <r>
          <rPr>
            <b/>
            <sz val="9"/>
            <color indexed="81"/>
            <rFont val="Tahoma"/>
            <family val="2"/>
          </rPr>
          <t>marasm:</t>
        </r>
        <r>
          <rPr>
            <sz val="9"/>
            <color indexed="81"/>
            <rFont val="Tahoma"/>
            <family val="2"/>
          </rPr>
          <t xml:space="preserve">
- 3 timer afs
6-9</t>
        </r>
      </text>
    </comment>
    <comment ref="C216" authorId="0" shapeId="0" xr:uid="{2AB2C5ED-7871-4EAB-8796-76633009FA05}">
      <text>
        <r>
          <rPr>
            <b/>
            <sz val="9"/>
            <color indexed="81"/>
            <rFont val="Tahoma"/>
            <family val="2"/>
          </rPr>
          <t>Marianne Rasmussen:</t>
        </r>
        <r>
          <rPr>
            <sz val="9"/>
            <color indexed="81"/>
            <rFont val="Tahoma"/>
            <family val="2"/>
          </rPr>
          <t xml:space="preserve">
Fintælling Kl 17</t>
        </r>
      </text>
    </comment>
    <comment ref="D216" authorId="0" shapeId="0" xr:uid="{BE71F357-DC23-4161-941C-AAB8CE1F341D}">
      <text>
        <r>
          <rPr>
            <b/>
            <sz val="9"/>
            <color indexed="81"/>
            <rFont val="Tahoma"/>
            <family val="2"/>
          </rPr>
          <t>Marianne Rasmussen:</t>
        </r>
        <r>
          <rPr>
            <sz val="9"/>
            <color indexed="81"/>
            <rFont val="Tahoma"/>
            <family val="2"/>
          </rPr>
          <t xml:space="preserve">
Fintælling </t>
        </r>
      </text>
    </comment>
    <comment ref="C219" authorId="2" shapeId="0" xr:uid="{EDE64EF4-00ED-4DBE-8AB4-9279B4278CB0}">
      <text>
        <r>
          <rPr>
            <b/>
            <sz val="9"/>
            <color indexed="81"/>
            <rFont val="Tahoma"/>
            <family val="2"/>
          </rPr>
          <t>marasm:</t>
        </r>
        <r>
          <rPr>
            <sz val="9"/>
            <color indexed="81"/>
            <rFont val="Tahoma"/>
            <family val="2"/>
          </rPr>
          <t xml:space="preserve">
 1 bud til Valg</t>
        </r>
      </text>
    </comment>
    <comment ref="D219" authorId="0" shapeId="0" xr:uid="{704AE6B7-73F8-4D1A-A4F6-1B829075115A}">
      <text>
        <r>
          <rPr>
            <b/>
            <sz val="9"/>
            <color indexed="81"/>
            <rFont val="Tahoma"/>
            <family val="2"/>
          </rPr>
          <t>Marianne Rasmussen:</t>
        </r>
        <r>
          <rPr>
            <sz val="9"/>
            <color indexed="81"/>
            <rFont val="Tahoma"/>
            <family val="2"/>
          </rPr>
          <t xml:space="preserve">
Fintælling </t>
        </r>
      </text>
    </comment>
    <comment ref="X220" authorId="2" shapeId="0" xr:uid="{74EFBECB-7A82-47EA-9EF4-A4F5079B421E}">
      <text>
        <r>
          <rPr>
            <b/>
            <sz val="9"/>
            <color indexed="81"/>
            <rFont val="Tahoma"/>
            <family val="2"/>
          </rPr>
          <t>marasm:</t>
        </r>
        <r>
          <rPr>
            <sz val="9"/>
            <color indexed="81"/>
            <rFont val="Tahoma"/>
            <family val="2"/>
          </rPr>
          <t xml:space="preserve">
- 3 timer afs
11,45-14,45</t>
        </r>
      </text>
    </comment>
    <comment ref="J275" authorId="0" shapeId="0" xr:uid="{F5669247-404C-47F2-B0E7-DA0D69736B8C}">
      <text>
        <r>
          <rPr>
            <b/>
            <sz val="9"/>
            <color indexed="81"/>
            <rFont val="Tahoma"/>
            <family val="2"/>
          </rPr>
          <t>Marianne Rasmussen:</t>
        </r>
        <r>
          <rPr>
            <sz val="9"/>
            <color indexed="81"/>
            <rFont val="Tahoma"/>
            <family val="2"/>
          </rPr>
          <t xml:space="preserve">
- 5 timer i afs</t>
        </r>
      </text>
    </comment>
    <comment ref="S275" authorId="0" shapeId="0" xr:uid="{91AAEACA-8221-48CF-A210-969093985F50}">
      <text>
        <r>
          <rPr>
            <b/>
            <sz val="9"/>
            <color indexed="81"/>
            <rFont val="Tahoma"/>
            <family val="2"/>
          </rPr>
          <t>Marianne Rasmussen:</t>
        </r>
        <r>
          <rPr>
            <sz val="9"/>
            <color indexed="81"/>
            <rFont val="Tahoma"/>
            <family val="2"/>
          </rPr>
          <t xml:space="preserve">
- 3 timer i afs</t>
        </r>
      </text>
    </comment>
    <comment ref="V275" authorId="0" shapeId="0" xr:uid="{DA2A7360-3DE4-4006-A229-40BFDBD52E94}">
      <text>
        <r>
          <rPr>
            <b/>
            <sz val="9"/>
            <color indexed="81"/>
            <rFont val="Tahoma"/>
            <family val="2"/>
          </rPr>
          <t>Marianne Rasmussen:</t>
        </r>
        <r>
          <rPr>
            <sz val="9"/>
            <color indexed="81"/>
            <rFont val="Tahoma"/>
            <family val="2"/>
          </rPr>
          <t xml:space="preserve">
- 2 timer afs</t>
        </r>
      </text>
    </comment>
    <comment ref="AD275" authorId="0" shapeId="0" xr:uid="{95F7F26C-D885-42DB-B13E-59A0C764AA14}">
      <text>
        <r>
          <rPr>
            <b/>
            <sz val="9"/>
            <color indexed="81"/>
            <rFont val="Tahoma"/>
            <family val="2"/>
          </rPr>
          <t>Marianne Rasmussen:</t>
        </r>
        <r>
          <rPr>
            <sz val="9"/>
            <color indexed="81"/>
            <rFont val="Tahoma"/>
            <family val="2"/>
          </rPr>
          <t xml:space="preserve">
- 1 time i afs</t>
        </r>
      </text>
    </comment>
    <comment ref="AE275" authorId="2" shapeId="0" xr:uid="{AFD1B0E1-7430-450E-8497-F84E171C0F67}">
      <text>
        <r>
          <rPr>
            <b/>
            <sz val="9"/>
            <color indexed="81"/>
            <rFont val="Tahoma"/>
            <family val="2"/>
          </rPr>
          <t>marasm:</t>
        </r>
        <r>
          <rPr>
            <sz val="9"/>
            <color indexed="81"/>
            <rFont val="Tahoma"/>
            <family val="2"/>
          </rPr>
          <t xml:space="preserve">
- 5 timer i afs</t>
        </r>
      </text>
    </comment>
    <comment ref="C276" authorId="2" shapeId="0" xr:uid="{53C09F38-4024-486F-B2EB-0BB0F250F089}">
      <text>
        <r>
          <rPr>
            <b/>
            <sz val="9"/>
            <color indexed="81"/>
            <rFont val="Tahoma"/>
            <family val="2"/>
          </rPr>
          <t>marasm:</t>
        </r>
        <r>
          <rPr>
            <sz val="9"/>
            <color indexed="81"/>
            <rFont val="Tahoma"/>
            <family val="2"/>
          </rPr>
          <t xml:space="preserve">
- 4 timer i afs.</t>
        </r>
      </text>
    </comment>
    <comment ref="Q276" authorId="2" shapeId="0" xr:uid="{EAE6AEBE-128C-4212-BD7A-5AB7C34572F8}">
      <text>
        <r>
          <rPr>
            <b/>
            <sz val="9"/>
            <color indexed="81"/>
            <rFont val="Tahoma"/>
            <family val="2"/>
          </rPr>
          <t>marasm:</t>
        </r>
        <r>
          <rPr>
            <sz val="9"/>
            <color indexed="81"/>
            <rFont val="Tahoma"/>
            <family val="2"/>
          </rPr>
          <t xml:space="preserve">
- 4 timer afs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Steen Hertin-Sandkær</author>
    <author>Steen Hertin</author>
    <author>Mathias Hartvig Morell Nielsen</author>
    <author>Nikolaj Langtin Pamhede</author>
    <author>Thomas Holm</author>
    <author>Michael Bo Pedersen</author>
    <author>Kim BT. Pedersen</author>
    <author>Nick Lorentzen</author>
    <author>marasm</author>
    <author>Marianne Rasmussen</author>
  </authors>
  <commentList>
    <comment ref="U14" authorId="0" shapeId="0" xr:uid="{0CB6008E-6768-450B-8CFA-BDC203980BB4}">
      <text>
        <r>
          <rPr>
            <b/>
            <sz val="9"/>
            <color indexed="81"/>
            <rFont val="Tahoma"/>
            <family val="2"/>
          </rPr>
          <t>Steen Hertin-Sandkær:</t>
        </r>
        <r>
          <rPr>
            <sz val="9"/>
            <color indexed="81"/>
            <rFont val="Tahoma"/>
            <family val="2"/>
          </rPr>
          <t xml:space="preserve">
Arbejde i KAS med Steen</t>
        </r>
      </text>
    </comment>
    <comment ref="V14" authorId="0" shapeId="0" xr:uid="{077B330A-EE0E-4C0A-9FE9-8AC6500193FE}">
      <text>
        <r>
          <rPr>
            <b/>
            <sz val="9"/>
            <color indexed="81"/>
            <rFont val="Tahoma"/>
            <family val="2"/>
          </rPr>
          <t>Steen Hertin-Sandkær:</t>
        </r>
        <r>
          <rPr>
            <sz val="9"/>
            <color indexed="81"/>
            <rFont val="Tahoma"/>
            <family val="2"/>
          </rPr>
          <t xml:space="preserve">
Arbejde i KAS med Steen</t>
        </r>
      </text>
    </comment>
    <comment ref="C17" authorId="1" shapeId="0" xr:uid="{C63082BC-DF31-42D8-BE9F-C6BA571F55D8}">
      <text>
        <r>
          <rPr>
            <b/>
            <sz val="9"/>
            <color indexed="81"/>
            <rFont val="Tahoma"/>
            <family val="2"/>
          </rPr>
          <t>Steen Hertin:</t>
        </r>
        <r>
          <rPr>
            <sz val="9"/>
            <color indexed="81"/>
            <rFont val="Tahoma"/>
            <family val="2"/>
          </rPr>
          <t xml:space="preserve">
dagvagt omlagt tjeneste</t>
        </r>
      </text>
    </comment>
    <comment ref="K17" authorId="1" shapeId="0" xr:uid="{B1A6EA2E-9FA7-423A-847E-47C9C4506C35}">
      <text>
        <r>
          <rPr>
            <b/>
            <sz val="9"/>
            <color indexed="81"/>
            <rFont val="Tahoma"/>
            <family val="2"/>
          </rPr>
          <t>Steen Hertin:</t>
        </r>
        <r>
          <rPr>
            <sz val="9"/>
            <color indexed="81"/>
            <rFont val="Tahoma"/>
            <family val="2"/>
          </rPr>
          <t xml:space="preserve">
Cabinn  Copenhagen 08-15</t>
        </r>
      </text>
    </comment>
    <comment ref="L17" authorId="1" shapeId="0" xr:uid="{18CACF14-DFA8-4D7A-8E9C-4CCEA691EA80}">
      <text>
        <r>
          <rPr>
            <b/>
            <sz val="9"/>
            <color indexed="81"/>
            <rFont val="Tahoma"/>
            <family val="2"/>
          </rPr>
          <t>Steen Hertin:</t>
        </r>
        <r>
          <rPr>
            <sz val="9"/>
            <color indexed="81"/>
            <rFont val="Tahoma"/>
            <family val="2"/>
          </rPr>
          <t xml:space="preserve">
Cabinn  Copenhagen 08-15</t>
        </r>
      </text>
    </comment>
    <comment ref="R17" authorId="1" shapeId="0" xr:uid="{A8BCAC88-AEF7-46F9-9C03-D696A1763576}">
      <text>
        <r>
          <rPr>
            <b/>
            <sz val="9"/>
            <color indexed="81"/>
            <rFont val="Tahoma"/>
            <family val="2"/>
          </rPr>
          <t>Steen Hertin:</t>
        </r>
        <r>
          <rPr>
            <sz val="9"/>
            <color indexed="81"/>
            <rFont val="Tahoma"/>
            <family val="2"/>
          </rPr>
          <t xml:space="preserve">
Cabinn  Copenhagen 08-15</t>
        </r>
      </text>
    </comment>
    <comment ref="S17" authorId="1" shapeId="0" xr:uid="{16A1139B-4AB6-471D-93D8-DD65AAF22929}">
      <text>
        <r>
          <rPr>
            <b/>
            <sz val="9"/>
            <color indexed="81"/>
            <rFont val="Tahoma"/>
            <family val="2"/>
          </rPr>
          <t>Steen Hertin:</t>
        </r>
        <r>
          <rPr>
            <sz val="9"/>
            <color indexed="81"/>
            <rFont val="Tahoma"/>
            <family val="2"/>
          </rPr>
          <t xml:space="preserve">
Cabinn  Copenhagen 08-15</t>
        </r>
      </text>
    </comment>
    <comment ref="T20" authorId="1" shapeId="0" xr:uid="{3936E3B6-32C3-4F27-B1EB-4AD598A114D4}">
      <text>
        <r>
          <rPr>
            <b/>
            <sz val="9"/>
            <color indexed="81"/>
            <rFont val="Tahoma"/>
            <family val="2"/>
          </rPr>
          <t>Steen Hertin:</t>
        </r>
        <r>
          <rPr>
            <sz val="9"/>
            <color indexed="81"/>
            <rFont val="Tahoma"/>
            <family val="2"/>
          </rPr>
          <t xml:space="preserve">
arbejder hjemme fra kl. 14.00</t>
        </r>
      </text>
    </comment>
    <comment ref="Y20" authorId="1" shapeId="0" xr:uid="{1EFF54B9-8080-4487-AB59-9DC033C6C12C}">
      <text>
        <r>
          <rPr>
            <b/>
            <sz val="9"/>
            <color indexed="81"/>
            <rFont val="Tahoma"/>
            <family val="2"/>
          </rPr>
          <t>Steen Hertin:</t>
        </r>
        <r>
          <rPr>
            <sz val="9"/>
            <color indexed="81"/>
            <rFont val="Tahoma"/>
            <family val="2"/>
          </rPr>
          <t xml:space="preserve">
Copenhagen 08-15</t>
        </r>
      </text>
    </comment>
    <comment ref="Z20" authorId="1" shapeId="0" xr:uid="{F15FC0A7-0302-47F7-B0FD-9C2104D5B980}">
      <text>
        <r>
          <rPr>
            <b/>
            <sz val="9"/>
            <color indexed="81"/>
            <rFont val="Tahoma"/>
            <family val="2"/>
          </rPr>
          <t>Steen Hertin:</t>
        </r>
        <r>
          <rPr>
            <sz val="9"/>
            <color indexed="81"/>
            <rFont val="Tahoma"/>
            <family val="2"/>
          </rPr>
          <t xml:space="preserve">
Copenhagen 08-15</t>
        </r>
      </text>
    </comment>
    <comment ref="AG20" authorId="1" shapeId="0" xr:uid="{D84311D8-A2B7-40ED-AA42-C8206B8A8971}">
      <text>
        <r>
          <rPr>
            <b/>
            <sz val="9"/>
            <color indexed="81"/>
            <rFont val="Tahoma"/>
            <family val="2"/>
          </rPr>
          <t>Steen Hertin:</t>
        </r>
        <r>
          <rPr>
            <sz val="9"/>
            <color indexed="81"/>
            <rFont val="Tahoma"/>
            <family val="2"/>
          </rPr>
          <t xml:space="preserve">
Copenhagen 08-15</t>
        </r>
      </text>
    </comment>
    <comment ref="V26" authorId="0" shapeId="0" xr:uid="{92C7D4AC-B9F4-4437-8607-3F6AA96A221A}">
      <text>
        <r>
          <rPr>
            <b/>
            <sz val="9"/>
            <color indexed="81"/>
            <rFont val="Tahoma"/>
            <family val="2"/>
          </rPr>
          <t>Steen Hertin-Sandkær:</t>
        </r>
        <r>
          <rPr>
            <sz val="9"/>
            <color indexed="81"/>
            <rFont val="Tahoma"/>
            <family val="2"/>
          </rPr>
          <t xml:space="preserve">
fra kl. 12.00</t>
        </r>
      </text>
    </comment>
    <comment ref="T37" authorId="1" shapeId="0" xr:uid="{AAB68B6F-063B-4A34-B392-89CB5804234F}">
      <text>
        <r>
          <rPr>
            <b/>
            <sz val="9"/>
            <color indexed="81"/>
            <rFont val="Tahoma"/>
            <family val="2"/>
          </rPr>
          <t>Steen Hertin:</t>
        </r>
        <r>
          <rPr>
            <sz val="9"/>
            <color indexed="81"/>
            <rFont val="Tahoma"/>
            <family val="2"/>
          </rPr>
          <t xml:space="preserve">
9-vagt på OA</t>
        </r>
      </text>
    </comment>
    <comment ref="U37" authorId="1" shapeId="0" xr:uid="{D5EAED1C-8690-40C0-8047-77EA29CEF739}">
      <text>
        <r>
          <rPr>
            <b/>
            <sz val="9"/>
            <color indexed="81"/>
            <rFont val="Tahoma"/>
            <family val="2"/>
          </rPr>
          <t>Steen Hertin:</t>
        </r>
        <r>
          <rPr>
            <sz val="9"/>
            <color indexed="81"/>
            <rFont val="Tahoma"/>
            <family val="2"/>
          </rPr>
          <t xml:space="preserve">
9-vagt på OA</t>
        </r>
      </text>
    </comment>
    <comment ref="V37" authorId="1" shapeId="0" xr:uid="{85841DF0-19B2-4F54-8E7D-63B52D567C73}">
      <text>
        <r>
          <rPr>
            <b/>
            <sz val="9"/>
            <color indexed="81"/>
            <rFont val="Tahoma"/>
            <family val="2"/>
          </rPr>
          <t>Steen Hertin:</t>
        </r>
        <r>
          <rPr>
            <sz val="9"/>
            <color indexed="81"/>
            <rFont val="Tahoma"/>
            <family val="2"/>
          </rPr>
          <t xml:space="preserve">
9-vagt på OA</t>
        </r>
      </text>
    </comment>
    <comment ref="W37" authorId="1" shapeId="0" xr:uid="{D47BF034-ECD9-4152-9E08-CA80347A3843}">
      <text>
        <r>
          <rPr>
            <b/>
            <sz val="9"/>
            <color indexed="81"/>
            <rFont val="Tahoma"/>
            <family val="2"/>
          </rPr>
          <t>Steen Hertin:</t>
        </r>
        <r>
          <rPr>
            <sz val="9"/>
            <color indexed="81"/>
            <rFont val="Tahoma"/>
            <family val="2"/>
          </rPr>
          <t xml:space="preserve">
9-vagt på OA</t>
        </r>
      </text>
    </comment>
    <comment ref="C38" authorId="1" shapeId="0" xr:uid="{4577839A-4E81-4FF9-A612-C080EB58D4E1}">
      <text>
        <r>
          <rPr>
            <b/>
            <sz val="9"/>
            <color indexed="81"/>
            <rFont val="Tahoma"/>
            <family val="2"/>
          </rPr>
          <t>Steen Hertin:</t>
        </r>
        <r>
          <rPr>
            <sz val="9"/>
            <color indexed="81"/>
            <rFont val="Tahoma"/>
            <family val="2"/>
          </rPr>
          <t xml:space="preserve">
Copenhagen 08-15</t>
        </r>
      </text>
    </comment>
    <comment ref="AB38" authorId="1" shapeId="0" xr:uid="{6131E47E-D9CB-4A5F-94C5-38F85B1C2820}">
      <text>
        <r>
          <rPr>
            <b/>
            <sz val="9"/>
            <color indexed="81"/>
            <rFont val="Tahoma"/>
            <family val="2"/>
          </rPr>
          <t>Steen Hertin:</t>
        </r>
        <r>
          <rPr>
            <sz val="9"/>
            <color indexed="81"/>
            <rFont val="Tahoma"/>
            <family val="2"/>
          </rPr>
          <t xml:space="preserve">
3-vagt på OA</t>
        </r>
      </text>
    </comment>
    <comment ref="AC38" authorId="1" shapeId="0" xr:uid="{902D30F2-A008-42E3-870B-0806C11F6265}">
      <text>
        <r>
          <rPr>
            <b/>
            <sz val="9"/>
            <color indexed="81"/>
            <rFont val="Tahoma"/>
            <family val="2"/>
          </rPr>
          <t>Steen Hertin:</t>
        </r>
        <r>
          <rPr>
            <sz val="9"/>
            <color indexed="81"/>
            <rFont val="Tahoma"/>
            <family val="2"/>
          </rPr>
          <t xml:space="preserve">
3-vagt på OA</t>
        </r>
      </text>
    </comment>
    <comment ref="AD38" authorId="1" shapeId="0" xr:uid="{F946C188-C6DC-4F0D-A4F5-9C0B66526C00}">
      <text>
        <r>
          <rPr>
            <b/>
            <sz val="9"/>
            <color indexed="81"/>
            <rFont val="Tahoma"/>
            <family val="2"/>
          </rPr>
          <t>Steen Hertin:</t>
        </r>
        <r>
          <rPr>
            <sz val="9"/>
            <color indexed="81"/>
            <rFont val="Tahoma"/>
            <family val="2"/>
          </rPr>
          <t xml:space="preserve">
3-vagt på OA</t>
        </r>
      </text>
    </comment>
    <comment ref="AE38" authorId="1" shapeId="0" xr:uid="{63F6A205-D046-4982-A97C-C2B47DBC9875}">
      <text>
        <r>
          <rPr>
            <b/>
            <sz val="9"/>
            <color indexed="81"/>
            <rFont val="Tahoma"/>
            <family val="2"/>
          </rPr>
          <t>Steen Hertin:</t>
        </r>
        <r>
          <rPr>
            <sz val="9"/>
            <color indexed="81"/>
            <rFont val="Tahoma"/>
            <family val="2"/>
          </rPr>
          <t xml:space="preserve">
3-vagt på OA</t>
        </r>
      </text>
    </comment>
    <comment ref="AF38" authorId="1" shapeId="0" xr:uid="{D2986FB6-CA47-406D-871A-C64E25BF7D72}">
      <text>
        <r>
          <rPr>
            <b/>
            <sz val="9"/>
            <color indexed="81"/>
            <rFont val="Tahoma"/>
            <family val="2"/>
          </rPr>
          <t>Steen Hertin:</t>
        </r>
        <r>
          <rPr>
            <sz val="9"/>
            <color indexed="81"/>
            <rFont val="Tahoma"/>
            <family val="2"/>
          </rPr>
          <t xml:space="preserve">
Copenhagen 08-15 på OA</t>
        </r>
      </text>
    </comment>
    <comment ref="F39" authorId="0" shapeId="0" xr:uid="{DA7FA4CD-AF99-407B-AAA1-CDA6E79D5C2F}">
      <text>
        <r>
          <rPr>
            <b/>
            <sz val="9"/>
            <color indexed="81"/>
            <rFont val="Tahoma"/>
            <family val="2"/>
          </rPr>
          <t>Steen Hertin-Sandkær:</t>
        </r>
        <r>
          <rPr>
            <sz val="9"/>
            <color indexed="81"/>
            <rFont val="Tahoma"/>
            <family val="2"/>
          </rPr>
          <t xml:space="preserve">
Fejer for Johnny</t>
        </r>
      </text>
    </comment>
    <comment ref="G39" authorId="0" shapeId="0" xr:uid="{FE577273-4D90-457D-A0D3-6748727CFFC1}">
      <text>
        <r>
          <rPr>
            <b/>
            <sz val="9"/>
            <color indexed="81"/>
            <rFont val="Tahoma"/>
            <family val="2"/>
          </rPr>
          <t>Steen Hertin-Sandkær:</t>
        </r>
        <r>
          <rPr>
            <sz val="9"/>
            <color indexed="81"/>
            <rFont val="Tahoma"/>
            <family val="2"/>
          </rPr>
          <t xml:space="preserve">
Fejer for Johnny</t>
        </r>
      </text>
    </comment>
    <comment ref="H39" authorId="0" shapeId="0" xr:uid="{07A63742-B6AA-437F-9C25-6AD7D4CA1E26}">
      <text>
        <r>
          <rPr>
            <b/>
            <sz val="9"/>
            <color indexed="81"/>
            <rFont val="Tahoma"/>
            <family val="2"/>
          </rPr>
          <t>Steen Hertin-Sandkær:</t>
        </r>
        <r>
          <rPr>
            <sz val="9"/>
            <color indexed="81"/>
            <rFont val="Tahoma"/>
            <family val="2"/>
          </rPr>
          <t xml:space="preserve">
Fri</t>
        </r>
      </text>
    </comment>
    <comment ref="I39" authorId="0" shapeId="0" xr:uid="{4035D42C-16C7-4176-993D-AC7E28BD4FF6}">
      <text>
        <r>
          <rPr>
            <b/>
            <sz val="9"/>
            <color indexed="81"/>
            <rFont val="Tahoma"/>
            <family val="2"/>
          </rPr>
          <t>Steen Hertin-Sandkær:</t>
        </r>
        <r>
          <rPr>
            <sz val="9"/>
            <color indexed="81"/>
            <rFont val="Tahoma"/>
            <family val="2"/>
          </rPr>
          <t xml:space="preserve">
Fejer for Johnny</t>
        </r>
      </text>
    </comment>
    <comment ref="J39" authorId="0" shapeId="0" xr:uid="{2B301448-5C83-407C-AA74-823A8146DEAE}">
      <text>
        <r>
          <rPr>
            <b/>
            <sz val="9"/>
            <color indexed="81"/>
            <rFont val="Tahoma"/>
            <family val="2"/>
          </rPr>
          <t>Steen Hertin-Sandkær:</t>
        </r>
        <r>
          <rPr>
            <sz val="9"/>
            <color indexed="81"/>
            <rFont val="Tahoma"/>
            <family val="2"/>
          </rPr>
          <t xml:space="preserve">
Fejer for Johnny</t>
        </r>
      </text>
    </comment>
    <comment ref="M39" authorId="0" shapeId="0" xr:uid="{4AF29A5C-E5AB-485C-B1F8-4D5B7A77DA04}">
      <text>
        <r>
          <rPr>
            <b/>
            <sz val="9"/>
            <color indexed="81"/>
            <rFont val="Tahoma"/>
            <family val="2"/>
          </rPr>
          <t>Steen Hertin-Sandkær:</t>
        </r>
        <r>
          <rPr>
            <sz val="9"/>
            <color indexed="81"/>
            <rFont val="Tahoma"/>
            <family val="2"/>
          </rPr>
          <t xml:space="preserve">
Fejer for Johnny</t>
        </r>
      </text>
    </comment>
    <comment ref="N39" authorId="0" shapeId="0" xr:uid="{E3570C95-6F80-43C0-8149-45274AE6325E}">
      <text>
        <r>
          <rPr>
            <b/>
            <sz val="9"/>
            <color indexed="81"/>
            <rFont val="Tahoma"/>
            <family val="2"/>
          </rPr>
          <t>Steen Hertin-Sandkær:</t>
        </r>
        <r>
          <rPr>
            <sz val="9"/>
            <color indexed="81"/>
            <rFont val="Tahoma"/>
            <family val="2"/>
          </rPr>
          <t xml:space="preserve">
Fejer for Johnny</t>
        </r>
      </text>
    </comment>
    <comment ref="O39" authorId="0" shapeId="0" xr:uid="{46F18D4D-88F8-4910-A528-E844C24828E8}">
      <text>
        <r>
          <rPr>
            <b/>
            <sz val="9"/>
            <color indexed="81"/>
            <rFont val="Tahoma"/>
            <family val="2"/>
          </rPr>
          <t>Steen Hertin-Sandkær:</t>
        </r>
        <r>
          <rPr>
            <sz val="9"/>
            <color indexed="81"/>
            <rFont val="Tahoma"/>
            <family val="2"/>
          </rPr>
          <t xml:space="preserve">
Fri</t>
        </r>
      </text>
    </comment>
    <comment ref="P39" authorId="0" shapeId="0" xr:uid="{5DE4FE7C-7140-4346-8376-734D29DABB51}">
      <text>
        <r>
          <rPr>
            <b/>
            <sz val="9"/>
            <color indexed="81"/>
            <rFont val="Tahoma"/>
            <family val="2"/>
          </rPr>
          <t>Steen Hertin-Sandkær:</t>
        </r>
        <r>
          <rPr>
            <sz val="9"/>
            <color indexed="81"/>
            <rFont val="Tahoma"/>
            <family val="2"/>
          </rPr>
          <t xml:space="preserve">
Fejer for Johnny</t>
        </r>
      </text>
    </comment>
    <comment ref="Q39" authorId="0" shapeId="0" xr:uid="{6E275A16-F522-4ECA-A080-44A82D23EF24}">
      <text>
        <r>
          <rPr>
            <b/>
            <sz val="9"/>
            <color indexed="81"/>
            <rFont val="Tahoma"/>
            <family val="2"/>
          </rPr>
          <t>Steen Hertin-Sandkær:</t>
        </r>
        <r>
          <rPr>
            <sz val="9"/>
            <color indexed="81"/>
            <rFont val="Tahoma"/>
            <family val="2"/>
          </rPr>
          <t xml:space="preserve">
Fejer for Johnny</t>
        </r>
      </text>
    </comment>
    <comment ref="T39" authorId="0" shapeId="0" xr:uid="{018F99AB-A4A7-4499-A3F7-48FEB1E91FA0}">
      <text>
        <r>
          <rPr>
            <b/>
            <sz val="9"/>
            <color indexed="81"/>
            <rFont val="Tahoma"/>
            <family val="2"/>
          </rPr>
          <t>Steen Hertin-Sandkær:</t>
        </r>
        <r>
          <rPr>
            <sz val="9"/>
            <color indexed="81"/>
            <rFont val="Tahoma"/>
            <family val="2"/>
          </rPr>
          <t xml:space="preserve">
Fejer for Johnny</t>
        </r>
      </text>
    </comment>
    <comment ref="U39" authorId="0" shapeId="0" xr:uid="{19BF3E78-3707-42EB-96FB-FD018F1C7832}">
      <text>
        <r>
          <rPr>
            <b/>
            <sz val="9"/>
            <color indexed="81"/>
            <rFont val="Tahoma"/>
            <family val="2"/>
          </rPr>
          <t>Steen Hertin-Sandkær:</t>
        </r>
        <r>
          <rPr>
            <sz val="9"/>
            <color indexed="81"/>
            <rFont val="Tahoma"/>
            <family val="2"/>
          </rPr>
          <t xml:space="preserve">
Fejer for Johnny</t>
        </r>
      </text>
    </comment>
    <comment ref="V39" authorId="0" shapeId="0" xr:uid="{60EE08A1-47C4-45EF-9B05-FF98E6A387C7}">
      <text>
        <r>
          <rPr>
            <b/>
            <sz val="9"/>
            <color indexed="81"/>
            <rFont val="Tahoma"/>
            <family val="2"/>
          </rPr>
          <t>Steen Hertin-Sandkær:</t>
        </r>
        <r>
          <rPr>
            <sz val="9"/>
            <color indexed="81"/>
            <rFont val="Tahoma"/>
            <family val="2"/>
          </rPr>
          <t xml:space="preserve">
Fri</t>
        </r>
      </text>
    </comment>
    <comment ref="W39" authorId="0" shapeId="0" xr:uid="{C735F246-2393-4503-9BCC-656F629DE2A3}">
      <text>
        <r>
          <rPr>
            <b/>
            <sz val="9"/>
            <color indexed="81"/>
            <rFont val="Tahoma"/>
            <family val="2"/>
          </rPr>
          <t>Steen Hertin-Sandkær:</t>
        </r>
        <r>
          <rPr>
            <sz val="9"/>
            <color indexed="81"/>
            <rFont val="Tahoma"/>
            <family val="2"/>
          </rPr>
          <t xml:space="preserve">
Fejer for Johnny</t>
        </r>
      </text>
    </comment>
    <comment ref="X39" authorId="0" shapeId="0" xr:uid="{B6BE8EC7-1214-4239-BB90-C259F0A44B29}">
      <text>
        <r>
          <rPr>
            <b/>
            <sz val="9"/>
            <color indexed="81"/>
            <rFont val="Tahoma"/>
            <family val="2"/>
          </rPr>
          <t>Steen Hertin-Sandkær:</t>
        </r>
        <r>
          <rPr>
            <sz val="9"/>
            <color indexed="81"/>
            <rFont val="Tahoma"/>
            <family val="2"/>
          </rPr>
          <t xml:space="preserve">
Fejer for Johnny</t>
        </r>
      </text>
    </comment>
    <comment ref="AA39" authorId="0" shapeId="0" xr:uid="{8F8BA2FC-5CDF-4D92-91DF-8E3356353505}">
      <text>
        <r>
          <rPr>
            <b/>
            <sz val="9"/>
            <color indexed="81"/>
            <rFont val="Tahoma"/>
            <family val="2"/>
          </rPr>
          <t>Steen Hertin-Sandkær:</t>
        </r>
        <r>
          <rPr>
            <sz val="9"/>
            <color indexed="81"/>
            <rFont val="Tahoma"/>
            <family val="2"/>
          </rPr>
          <t xml:space="preserve">
Fejer for Johnny</t>
        </r>
      </text>
    </comment>
    <comment ref="AB39" authorId="0" shapeId="0" xr:uid="{5E0A0669-B3D7-4306-B198-D09510EE0EE2}">
      <text>
        <r>
          <rPr>
            <b/>
            <sz val="9"/>
            <color indexed="81"/>
            <rFont val="Tahoma"/>
            <family val="2"/>
          </rPr>
          <t>Steen Hertin-Sandkær:</t>
        </r>
        <r>
          <rPr>
            <sz val="9"/>
            <color indexed="81"/>
            <rFont val="Tahoma"/>
            <family val="2"/>
          </rPr>
          <t xml:space="preserve">
Fejer for Johnny</t>
        </r>
      </text>
    </comment>
    <comment ref="AC39" authorId="0" shapeId="0" xr:uid="{5DDC24D6-BE8C-4663-9465-BC0516E2A94D}">
      <text>
        <r>
          <rPr>
            <b/>
            <sz val="9"/>
            <color indexed="81"/>
            <rFont val="Tahoma"/>
            <family val="2"/>
          </rPr>
          <t>Steen Hertin-Sandkær:</t>
        </r>
        <r>
          <rPr>
            <sz val="9"/>
            <color indexed="81"/>
            <rFont val="Tahoma"/>
            <family val="2"/>
          </rPr>
          <t xml:space="preserve">
Fri</t>
        </r>
      </text>
    </comment>
    <comment ref="AD39" authorId="0" shapeId="0" xr:uid="{31C7E994-17E6-4BE6-B5DE-DDC2ADF6A6B6}">
      <text>
        <r>
          <rPr>
            <b/>
            <sz val="9"/>
            <color indexed="81"/>
            <rFont val="Tahoma"/>
            <family val="2"/>
          </rPr>
          <t>Steen Hertin-Sandkær:</t>
        </r>
        <r>
          <rPr>
            <sz val="9"/>
            <color indexed="81"/>
            <rFont val="Tahoma"/>
            <family val="2"/>
          </rPr>
          <t xml:space="preserve">
Fejer for Johnny</t>
        </r>
      </text>
    </comment>
    <comment ref="AE39" authorId="0" shapeId="0" xr:uid="{D223DA11-6001-4897-A182-ECCFEA079FCB}">
      <text>
        <r>
          <rPr>
            <b/>
            <sz val="9"/>
            <color indexed="81"/>
            <rFont val="Tahoma"/>
            <family val="2"/>
          </rPr>
          <t>Steen Hertin-Sandkær:</t>
        </r>
        <r>
          <rPr>
            <sz val="9"/>
            <color indexed="81"/>
            <rFont val="Tahoma"/>
            <family val="2"/>
          </rPr>
          <t xml:space="preserve">
Fejer for Johnny</t>
        </r>
      </text>
    </comment>
    <comment ref="F42" authorId="0" shapeId="0" xr:uid="{43356F59-3029-4C31-9DFC-487B16E2304F}">
      <text>
        <r>
          <rPr>
            <b/>
            <sz val="9"/>
            <color indexed="81"/>
            <rFont val="Tahoma"/>
            <family val="2"/>
          </rPr>
          <t>Steen Hertin-Sandkær:</t>
        </r>
        <r>
          <rPr>
            <sz val="9"/>
            <color indexed="81"/>
            <rFont val="Tahoma"/>
            <family val="2"/>
          </rPr>
          <t xml:space="preserve">
Copenhagen 08-15</t>
        </r>
      </text>
    </comment>
    <comment ref="O42" authorId="0" shapeId="0" xr:uid="{29544163-4221-4470-A40F-2BCE60915575}">
      <text>
        <r>
          <rPr>
            <b/>
            <sz val="9"/>
            <color indexed="81"/>
            <rFont val="Tahoma"/>
            <family val="2"/>
          </rPr>
          <t>Steen Hertin-Sandkær:</t>
        </r>
        <r>
          <rPr>
            <sz val="9"/>
            <color indexed="81"/>
            <rFont val="Tahoma"/>
            <family val="2"/>
          </rPr>
          <t xml:space="preserve">
Copenhagen 08-15</t>
        </r>
      </text>
    </comment>
    <comment ref="P42" authorId="0" shapeId="0" xr:uid="{D8C50193-4B42-4824-B68D-1FE25265737A}">
      <text>
        <r>
          <rPr>
            <b/>
            <sz val="9"/>
            <color indexed="81"/>
            <rFont val="Tahoma"/>
            <family val="2"/>
          </rPr>
          <t>Steen Hertin-Sandkær:</t>
        </r>
        <r>
          <rPr>
            <sz val="9"/>
            <color indexed="81"/>
            <rFont val="Tahoma"/>
            <family val="2"/>
          </rPr>
          <t xml:space="preserve">
Copenhagen 08-15</t>
        </r>
      </text>
    </comment>
    <comment ref="Q42" authorId="0" shapeId="0" xr:uid="{B10C2AC7-3EF9-4B7B-B83A-2EDC6FFCB138}">
      <text>
        <r>
          <rPr>
            <b/>
            <sz val="9"/>
            <color indexed="81"/>
            <rFont val="Tahoma"/>
            <family val="2"/>
          </rPr>
          <t>Steen Hertin-Sandkær:</t>
        </r>
        <r>
          <rPr>
            <sz val="9"/>
            <color indexed="81"/>
            <rFont val="Tahoma"/>
            <family val="2"/>
          </rPr>
          <t xml:space="preserve">
Copenhagen 08-15</t>
        </r>
      </text>
    </comment>
    <comment ref="T42" authorId="1" shapeId="0" xr:uid="{44753C3D-90D6-439F-B182-00CCB1B938F7}">
      <text>
        <r>
          <rPr>
            <b/>
            <sz val="9"/>
            <color indexed="81"/>
            <rFont val="Tahoma"/>
            <family val="2"/>
          </rPr>
          <t>Steen Hertin:</t>
        </r>
        <r>
          <rPr>
            <sz val="9"/>
            <color indexed="81"/>
            <rFont val="Tahoma"/>
            <family val="2"/>
          </rPr>
          <t xml:space="preserve">
Copenhagen 08-15</t>
        </r>
      </text>
    </comment>
    <comment ref="U42" authorId="1" shapeId="0" xr:uid="{14DA4F08-742B-4009-985F-79A0897CD415}">
      <text>
        <r>
          <rPr>
            <b/>
            <sz val="9"/>
            <color indexed="81"/>
            <rFont val="Tahoma"/>
            <family val="2"/>
          </rPr>
          <t>Steen Hertin:</t>
        </r>
        <r>
          <rPr>
            <sz val="9"/>
            <color indexed="81"/>
            <rFont val="Tahoma"/>
            <family val="2"/>
          </rPr>
          <t xml:space="preserve">
Copenhagen 08-15</t>
        </r>
      </text>
    </comment>
    <comment ref="V42" authorId="1" shapeId="0" xr:uid="{11D57BAF-14F8-4632-B7A8-5884783E6D28}">
      <text>
        <r>
          <rPr>
            <b/>
            <sz val="9"/>
            <color indexed="81"/>
            <rFont val="Tahoma"/>
            <family val="2"/>
          </rPr>
          <t>Steen Hertin:</t>
        </r>
        <r>
          <rPr>
            <sz val="9"/>
            <color indexed="81"/>
            <rFont val="Tahoma"/>
            <family val="2"/>
          </rPr>
          <t xml:space="preserve">
Copenhagen 08-15</t>
        </r>
      </text>
    </comment>
    <comment ref="W42" authorId="1" shapeId="0" xr:uid="{D5F485C9-4834-4536-AE0D-E64EB415FDFA}">
      <text>
        <r>
          <rPr>
            <b/>
            <sz val="9"/>
            <color indexed="81"/>
            <rFont val="Tahoma"/>
            <family val="2"/>
          </rPr>
          <t>Steen Hertin:</t>
        </r>
        <r>
          <rPr>
            <sz val="9"/>
            <color indexed="81"/>
            <rFont val="Tahoma"/>
            <family val="2"/>
          </rPr>
          <t xml:space="preserve">
Copenhagen 08-15</t>
        </r>
      </text>
    </comment>
    <comment ref="X42" authorId="1" shapeId="0" xr:uid="{E05B09B5-E724-4652-814B-8EB93668628F}">
      <text>
        <r>
          <rPr>
            <b/>
            <sz val="9"/>
            <color indexed="81"/>
            <rFont val="Tahoma"/>
            <family val="2"/>
          </rPr>
          <t>Steen Hertin:</t>
        </r>
        <r>
          <rPr>
            <sz val="9"/>
            <color indexed="81"/>
            <rFont val="Tahoma"/>
            <family val="2"/>
          </rPr>
          <t xml:space="preserve">
Copenhagen 08-15</t>
        </r>
      </text>
    </comment>
    <comment ref="AC44" authorId="0" shapeId="0" xr:uid="{CDFAA352-2918-45B5-9B5D-A5D9FEDD8F15}">
      <text>
        <r>
          <rPr>
            <b/>
            <sz val="9"/>
            <color indexed="81"/>
            <rFont val="Tahoma"/>
            <family val="2"/>
          </rPr>
          <t>Steen Hertin-Sandkær:</t>
        </r>
        <r>
          <rPr>
            <sz val="9"/>
            <color indexed="81"/>
            <rFont val="Tahoma"/>
            <family val="2"/>
          </rPr>
          <t xml:space="preserve">
K-vagt på OA</t>
        </r>
      </text>
    </comment>
    <comment ref="G46" authorId="0" shapeId="0" xr:uid="{AE5C45FC-BA0A-4353-A310-975D7C104712}">
      <text>
        <r>
          <rPr>
            <b/>
            <sz val="9"/>
            <color indexed="81"/>
            <rFont val="Tahoma"/>
            <family val="2"/>
          </rPr>
          <t>Steen Hertin-Sandkær:</t>
        </r>
        <r>
          <rPr>
            <sz val="9"/>
            <color indexed="81"/>
            <rFont val="Tahoma"/>
            <family val="2"/>
          </rPr>
          <t xml:space="preserve">
Copenhagen 08-15 på OA</t>
        </r>
      </text>
    </comment>
    <comment ref="H46" authorId="0" shapeId="0" xr:uid="{76378C3D-493E-47EA-98CC-A281453897AE}">
      <text>
        <r>
          <rPr>
            <b/>
            <sz val="9"/>
            <color indexed="81"/>
            <rFont val="Tahoma"/>
            <family val="2"/>
          </rPr>
          <t>Steen Hertin-Sandkær:</t>
        </r>
        <r>
          <rPr>
            <sz val="9"/>
            <color indexed="81"/>
            <rFont val="Tahoma"/>
            <family val="2"/>
          </rPr>
          <t xml:space="preserve">
Copenhagen 08-15 på OA</t>
        </r>
      </text>
    </comment>
    <comment ref="I46" authorId="0" shapeId="0" xr:uid="{901BB115-5825-42FC-8D4F-A64941840267}">
      <text>
        <r>
          <rPr>
            <b/>
            <sz val="9"/>
            <color indexed="81"/>
            <rFont val="Tahoma"/>
            <family val="2"/>
          </rPr>
          <t>Steen Hertin-Sandkær:</t>
        </r>
        <r>
          <rPr>
            <sz val="9"/>
            <color indexed="81"/>
            <rFont val="Tahoma"/>
            <family val="2"/>
          </rPr>
          <t xml:space="preserve">
Copenhagen 08-15 på OA</t>
        </r>
      </text>
    </comment>
    <comment ref="J46" authorId="0" shapeId="0" xr:uid="{B5504047-4760-48F8-B55B-131BE00924B9}">
      <text>
        <r>
          <rPr>
            <b/>
            <sz val="9"/>
            <color indexed="81"/>
            <rFont val="Tahoma"/>
            <family val="2"/>
          </rPr>
          <t>Steen Hertin-Sandkær:</t>
        </r>
        <r>
          <rPr>
            <sz val="9"/>
            <color indexed="81"/>
            <rFont val="Tahoma"/>
            <family val="2"/>
          </rPr>
          <t xml:space="preserve">
Copenhagen 08-15 på OA</t>
        </r>
      </text>
    </comment>
    <comment ref="M46" authorId="1" shapeId="0" xr:uid="{52DB31A5-2791-4F4C-9E92-26D2088C28B4}">
      <text>
        <r>
          <rPr>
            <b/>
            <sz val="9"/>
            <color indexed="81"/>
            <rFont val="Tahoma"/>
            <family val="2"/>
          </rPr>
          <t>Steen Hertin:</t>
        </r>
        <r>
          <rPr>
            <sz val="9"/>
            <color indexed="81"/>
            <rFont val="Tahoma"/>
            <family val="2"/>
          </rPr>
          <t xml:space="preserve">
Copenhagen 08-15</t>
        </r>
      </text>
    </comment>
    <comment ref="N46" authorId="1" shapeId="0" xr:uid="{23D1DF40-E9FF-4CB7-9F28-3F702199D63D}">
      <text>
        <r>
          <rPr>
            <b/>
            <sz val="9"/>
            <color indexed="81"/>
            <rFont val="Tahoma"/>
            <family val="2"/>
          </rPr>
          <t>Steen Hertin:</t>
        </r>
        <r>
          <rPr>
            <sz val="9"/>
            <color indexed="81"/>
            <rFont val="Tahoma"/>
            <family val="2"/>
          </rPr>
          <t xml:space="preserve">
Copenhagen 08-15</t>
        </r>
      </text>
    </comment>
    <comment ref="Q46" authorId="1" shapeId="0" xr:uid="{063F550D-3CCF-48E2-8517-DFBBD1ECE5CA}">
      <text>
        <r>
          <rPr>
            <b/>
            <sz val="9"/>
            <color indexed="81"/>
            <rFont val="Tahoma"/>
            <family val="2"/>
          </rPr>
          <t>Steen Hertin:</t>
        </r>
        <r>
          <rPr>
            <sz val="9"/>
            <color indexed="81"/>
            <rFont val="Tahoma"/>
            <family val="2"/>
          </rPr>
          <t xml:space="preserve">
Omviser på OA</t>
        </r>
      </text>
    </comment>
    <comment ref="R46" authorId="1" shapeId="0" xr:uid="{0F1F41BC-354C-4CD1-AC31-890521598F90}">
      <text>
        <r>
          <rPr>
            <b/>
            <sz val="9"/>
            <color indexed="81"/>
            <rFont val="Tahoma"/>
            <family val="2"/>
          </rPr>
          <t>Steen Hertin:</t>
        </r>
        <r>
          <rPr>
            <sz val="9"/>
            <color indexed="81"/>
            <rFont val="Tahoma"/>
            <family val="2"/>
          </rPr>
          <t xml:space="preserve">
Omviser på OA</t>
        </r>
      </text>
    </comment>
    <comment ref="W46" authorId="0" shapeId="0" xr:uid="{2A276E82-BB69-4D01-8831-5B30C14ABF13}">
      <text>
        <r>
          <rPr>
            <b/>
            <sz val="9"/>
            <color indexed="81"/>
            <rFont val="Tahoma"/>
            <family val="2"/>
          </rPr>
          <t>Steen Hertin-Sandkær:</t>
        </r>
        <r>
          <rPr>
            <sz val="9"/>
            <color indexed="81"/>
            <rFont val="Tahoma"/>
            <family val="2"/>
          </rPr>
          <t xml:space="preserve">
25-vagt på OA</t>
        </r>
      </text>
    </comment>
    <comment ref="AA46" authorId="0" shapeId="0" xr:uid="{A96521E4-F5B4-4226-90E3-6A4D751C80C8}">
      <text>
        <r>
          <rPr>
            <b/>
            <sz val="9"/>
            <color indexed="81"/>
            <rFont val="Tahoma"/>
            <family val="2"/>
          </rPr>
          <t>Steen Hertin-Sandkær:</t>
        </r>
        <r>
          <rPr>
            <sz val="9"/>
            <color indexed="81"/>
            <rFont val="Tahoma"/>
            <family val="2"/>
          </rPr>
          <t xml:space="preserve">
Copenhagen 08-15 på OA</t>
        </r>
      </text>
    </comment>
    <comment ref="F47" authorId="1" shapeId="0" xr:uid="{7D0BE65B-2882-48DC-9802-E43D5F50E07D}">
      <text>
        <r>
          <rPr>
            <b/>
            <sz val="9"/>
            <color indexed="81"/>
            <rFont val="Tahoma"/>
            <family val="2"/>
          </rPr>
          <t>Steen Hertin:</t>
        </r>
        <r>
          <rPr>
            <sz val="9"/>
            <color indexed="81"/>
            <rFont val="Tahoma"/>
            <family val="2"/>
          </rPr>
          <t xml:space="preserve">
89 på OA</t>
        </r>
      </text>
    </comment>
    <comment ref="G47" authorId="1" shapeId="0" xr:uid="{3B053F72-02FF-46BE-AEA7-8955AC890716}">
      <text>
        <r>
          <rPr>
            <b/>
            <sz val="9"/>
            <color indexed="81"/>
            <rFont val="Tahoma"/>
            <family val="2"/>
          </rPr>
          <t>Steen Hertin:</t>
        </r>
        <r>
          <rPr>
            <sz val="9"/>
            <color indexed="81"/>
            <rFont val="Tahoma"/>
            <family val="2"/>
          </rPr>
          <t xml:space="preserve">
89 på OA</t>
        </r>
      </text>
    </comment>
    <comment ref="O47" authorId="2" shapeId="0" xr:uid="{49520A2E-73A3-4DD4-B264-96CD53E56D74}">
      <text>
        <r>
          <rPr>
            <b/>
            <sz val="9"/>
            <color indexed="81"/>
            <rFont val="Tahoma"/>
            <family val="2"/>
          </rPr>
          <t>Mathias Hartvig Morell Nielsen:</t>
        </r>
        <r>
          <rPr>
            <sz val="9"/>
            <color indexed="81"/>
            <rFont val="Tahoma"/>
            <family val="2"/>
          </rPr>
          <t xml:space="preserve">
7'er vagt OA</t>
        </r>
      </text>
    </comment>
    <comment ref="P47" authorId="2" shapeId="0" xr:uid="{99E9BA25-2004-4ECE-B38F-F7F00D0100F3}">
      <text>
        <r>
          <rPr>
            <b/>
            <sz val="9"/>
            <color indexed="81"/>
            <rFont val="Tahoma"/>
            <family val="2"/>
          </rPr>
          <t>Mathias Hartvig Morell Nielsen:</t>
        </r>
        <r>
          <rPr>
            <sz val="9"/>
            <color indexed="81"/>
            <rFont val="Tahoma"/>
            <family val="2"/>
          </rPr>
          <t xml:space="preserve">
7'er vagt OA</t>
        </r>
      </text>
    </comment>
    <comment ref="Q47" authorId="2" shapeId="0" xr:uid="{36CF851B-CCF6-46B9-B62C-33408E4E8B58}">
      <text>
        <r>
          <rPr>
            <b/>
            <sz val="9"/>
            <color indexed="81"/>
            <rFont val="Tahoma"/>
            <family val="2"/>
          </rPr>
          <t>Mathias Hartvig Morell Nielsen:</t>
        </r>
        <r>
          <rPr>
            <sz val="9"/>
            <color indexed="81"/>
            <rFont val="Tahoma"/>
            <family val="2"/>
          </rPr>
          <t xml:space="preserve">
7'er vagt OA</t>
        </r>
      </text>
    </comment>
    <comment ref="V47" authorId="3" shapeId="0" xr:uid="{4D97D8ED-390E-4925-9807-693409C8D08E}">
      <text>
        <r>
          <rPr>
            <b/>
            <sz val="9"/>
            <color indexed="81"/>
            <rFont val="Tahoma"/>
            <family val="2"/>
          </rPr>
          <t>Nikolaj Langtin Pamhede:</t>
        </r>
        <r>
          <rPr>
            <sz val="9"/>
            <color indexed="81"/>
            <rFont val="Tahoma"/>
            <family val="2"/>
          </rPr>
          <t xml:space="preserve">
79 Vagt på oa</t>
        </r>
      </text>
    </comment>
    <comment ref="H61" authorId="1" shapeId="0" xr:uid="{48370776-A353-401E-BD32-0A7EACF7FDD8}">
      <text>
        <r>
          <rPr>
            <b/>
            <sz val="9"/>
            <color indexed="81"/>
            <rFont val="Tahoma"/>
            <family val="2"/>
          </rPr>
          <t>Steen Hertin:</t>
        </r>
        <r>
          <rPr>
            <sz val="9"/>
            <color indexed="81"/>
            <rFont val="Tahoma"/>
            <family val="2"/>
          </rPr>
          <t xml:space="preserve">
9-vagt på OA</t>
        </r>
      </text>
    </comment>
    <comment ref="J61" authorId="3" shapeId="0" xr:uid="{A6ADD2CA-2051-4B73-8401-E8CF3CF365DF}">
      <text>
        <r>
          <rPr>
            <b/>
            <sz val="9"/>
            <color indexed="81"/>
            <rFont val="Tahoma"/>
            <family val="2"/>
          </rPr>
          <t>Nikolaj Langtin Pamhede:</t>
        </r>
        <r>
          <rPr>
            <sz val="9"/>
            <color indexed="81"/>
            <rFont val="Tahoma"/>
            <family val="2"/>
          </rPr>
          <t xml:space="preserve">
69 vagt på oa</t>
        </r>
      </text>
    </comment>
    <comment ref="AA61" authorId="4" shapeId="0" xr:uid="{C01787B3-85BF-4F7F-9B57-1EE21D9B0920}">
      <text>
        <r>
          <rPr>
            <b/>
            <sz val="9"/>
            <color indexed="81"/>
            <rFont val="Tahoma"/>
            <family val="2"/>
          </rPr>
          <t>Thomas Holm:</t>
        </r>
        <r>
          <rPr>
            <sz val="9"/>
            <color indexed="81"/>
            <rFont val="Tahoma"/>
            <family val="2"/>
          </rPr>
          <t xml:space="preserve">
69-vagt OA</t>
        </r>
      </text>
    </comment>
    <comment ref="AB61" authorId="0" shapeId="0" xr:uid="{F5B0489E-1F41-4D65-9141-6FA7EB83560A}">
      <text>
        <r>
          <rPr>
            <b/>
            <sz val="9"/>
            <color indexed="81"/>
            <rFont val="Tahoma"/>
            <family val="2"/>
          </rPr>
          <t>Steen Hertin-Sandkær:</t>
        </r>
        <r>
          <rPr>
            <sz val="9"/>
            <color indexed="81"/>
            <rFont val="Tahoma"/>
            <family val="2"/>
          </rPr>
          <t xml:space="preserve">
89 på OA</t>
        </r>
      </text>
    </comment>
    <comment ref="AC61" authorId="0" shapeId="0" xr:uid="{24A4C7A4-F5D2-4545-B5CA-A4A5749AE78E}">
      <text>
        <r>
          <rPr>
            <b/>
            <sz val="9"/>
            <color indexed="81"/>
            <rFont val="Tahoma"/>
            <family val="2"/>
          </rPr>
          <t>Steen Hertin-Sandkær:</t>
        </r>
        <r>
          <rPr>
            <sz val="9"/>
            <color indexed="81"/>
            <rFont val="Tahoma"/>
            <family val="2"/>
          </rPr>
          <t xml:space="preserve">
89 på OA</t>
        </r>
      </text>
    </comment>
    <comment ref="AD61" authorId="1" shapeId="0" xr:uid="{25E752AB-5FE2-4E96-ABFF-880D011DE88A}">
      <text>
        <r>
          <rPr>
            <b/>
            <sz val="9"/>
            <color indexed="81"/>
            <rFont val="Tahoma"/>
            <family val="2"/>
          </rPr>
          <t>Steen Hertin:</t>
        </r>
        <r>
          <rPr>
            <sz val="9"/>
            <color indexed="81"/>
            <rFont val="Tahoma"/>
            <family val="2"/>
          </rPr>
          <t xml:space="preserve">
69-vagt på OA</t>
        </r>
      </text>
    </comment>
    <comment ref="AE61" authorId="1" shapeId="0" xr:uid="{8F3385EA-4544-473C-A7F7-7C53A44CF4EB}">
      <text>
        <r>
          <rPr>
            <b/>
            <sz val="9"/>
            <color indexed="81"/>
            <rFont val="Tahoma"/>
            <family val="2"/>
          </rPr>
          <t>Steen Hertin:</t>
        </r>
        <r>
          <rPr>
            <sz val="9"/>
            <color indexed="81"/>
            <rFont val="Tahoma"/>
            <family val="2"/>
          </rPr>
          <t xml:space="preserve">
69-vagt på OA</t>
        </r>
      </text>
    </comment>
    <comment ref="J62" authorId="5" shapeId="0" xr:uid="{D50A41E9-139D-48BD-856B-49D6C8BDA2C3}">
      <text>
        <r>
          <rPr>
            <b/>
            <sz val="9"/>
            <color indexed="81"/>
            <rFont val="Tahoma"/>
            <family val="2"/>
          </rPr>
          <t>Michael Bo Pedersen:</t>
        </r>
        <r>
          <rPr>
            <sz val="9"/>
            <color indexed="81"/>
            <rFont val="Tahoma"/>
            <family val="2"/>
          </rPr>
          <t xml:space="preserve">
Kun dagvagt</t>
        </r>
      </text>
    </comment>
    <comment ref="G63" authorId="1" shapeId="0" xr:uid="{E998EF80-DE72-4E13-A37E-C12211894947}">
      <text>
        <r>
          <rPr>
            <b/>
            <sz val="9"/>
            <color indexed="81"/>
            <rFont val="Tahoma"/>
            <family val="2"/>
          </rPr>
          <t>Steen Hertin:</t>
        </r>
        <r>
          <rPr>
            <sz val="9"/>
            <color indexed="81"/>
            <rFont val="Tahoma"/>
            <family val="2"/>
          </rPr>
          <t xml:space="preserve">
Metro 08-15 på oa</t>
        </r>
      </text>
    </comment>
    <comment ref="H63" authorId="1" shapeId="0" xr:uid="{163D38F0-B8F8-4EF0-AF1A-9C5AEC0F0B1E}">
      <text>
        <r>
          <rPr>
            <b/>
            <sz val="9"/>
            <color indexed="81"/>
            <rFont val="Tahoma"/>
            <family val="2"/>
          </rPr>
          <t>Steen Hertin:</t>
        </r>
        <r>
          <rPr>
            <sz val="9"/>
            <color indexed="81"/>
            <rFont val="Tahoma"/>
            <family val="2"/>
          </rPr>
          <t xml:space="preserve">
Metro 08-15 på oa</t>
        </r>
      </text>
    </comment>
    <comment ref="I63" authorId="1" shapeId="0" xr:uid="{2D433CF2-96B5-4A89-968E-0D326DD86DAF}">
      <text>
        <r>
          <rPr>
            <b/>
            <sz val="9"/>
            <color indexed="81"/>
            <rFont val="Tahoma"/>
            <family val="2"/>
          </rPr>
          <t>Steen Hertin:</t>
        </r>
        <r>
          <rPr>
            <sz val="9"/>
            <color indexed="81"/>
            <rFont val="Tahoma"/>
            <family val="2"/>
          </rPr>
          <t xml:space="preserve">
Metro 08-15 på oa</t>
        </r>
      </text>
    </comment>
    <comment ref="J63" authorId="1" shapeId="0" xr:uid="{82230430-26E5-4E73-9996-8DD3C8495C1B}">
      <text>
        <r>
          <rPr>
            <b/>
            <sz val="9"/>
            <color indexed="81"/>
            <rFont val="Tahoma"/>
            <family val="2"/>
          </rPr>
          <t>Steen Hertin:</t>
        </r>
        <r>
          <rPr>
            <sz val="9"/>
            <color indexed="81"/>
            <rFont val="Tahoma"/>
            <family val="2"/>
          </rPr>
          <t xml:space="preserve">
Metro 08-15 på oa</t>
        </r>
      </text>
    </comment>
    <comment ref="K63" authorId="1" shapeId="0" xr:uid="{104BF747-D651-4FBC-80F0-F66291A771EE}">
      <text>
        <r>
          <rPr>
            <b/>
            <sz val="9"/>
            <color indexed="81"/>
            <rFont val="Tahoma"/>
            <family val="2"/>
          </rPr>
          <t>Steen Hertin:</t>
        </r>
        <r>
          <rPr>
            <sz val="9"/>
            <color indexed="81"/>
            <rFont val="Tahoma"/>
            <family val="2"/>
          </rPr>
          <t xml:space="preserve">
Cabinn Metro 08-15</t>
        </r>
      </text>
    </comment>
    <comment ref="L63" authorId="1" shapeId="0" xr:uid="{D65F533A-6974-49F5-AB6C-575A198C5B68}">
      <text>
        <r>
          <rPr>
            <b/>
            <sz val="9"/>
            <color indexed="81"/>
            <rFont val="Tahoma"/>
            <family val="2"/>
          </rPr>
          <t>Steen Hertin:</t>
        </r>
        <r>
          <rPr>
            <sz val="9"/>
            <color indexed="81"/>
            <rFont val="Tahoma"/>
            <family val="2"/>
          </rPr>
          <t xml:space="preserve">
Cabinn Metro 08-15</t>
        </r>
      </text>
    </comment>
    <comment ref="M63" authorId="1" shapeId="0" xr:uid="{C2C55F39-3E0D-4556-A6E7-F17EDED9F92C}">
      <text>
        <r>
          <rPr>
            <b/>
            <sz val="9"/>
            <color indexed="81"/>
            <rFont val="Tahoma"/>
            <family val="2"/>
          </rPr>
          <t>Steen Hertin:</t>
        </r>
        <r>
          <rPr>
            <sz val="9"/>
            <color indexed="81"/>
            <rFont val="Tahoma"/>
            <family val="2"/>
          </rPr>
          <t xml:space="preserve">
Metro 08-15 på OA</t>
        </r>
      </text>
    </comment>
    <comment ref="N63" authorId="1" shapeId="0" xr:uid="{BA4AE06A-CBAF-4034-93D1-5BB418CF4635}">
      <text>
        <r>
          <rPr>
            <b/>
            <sz val="9"/>
            <color indexed="81"/>
            <rFont val="Tahoma"/>
            <family val="2"/>
          </rPr>
          <t>Steen Hertin:</t>
        </r>
        <r>
          <rPr>
            <sz val="9"/>
            <color indexed="81"/>
            <rFont val="Tahoma"/>
            <family val="2"/>
          </rPr>
          <t xml:space="preserve">
Metro 08-15 på OA</t>
        </r>
      </text>
    </comment>
    <comment ref="O63" authorId="1" shapeId="0" xr:uid="{BD8A66CC-CD15-43A3-85EE-62BEB2569C5D}">
      <text>
        <r>
          <rPr>
            <b/>
            <sz val="9"/>
            <color indexed="81"/>
            <rFont val="Tahoma"/>
            <family val="2"/>
          </rPr>
          <t>Steen Hertin:</t>
        </r>
        <r>
          <rPr>
            <sz val="9"/>
            <color indexed="81"/>
            <rFont val="Tahoma"/>
            <family val="2"/>
          </rPr>
          <t xml:space="preserve">
Metro 08-15 på OA</t>
        </r>
      </text>
    </comment>
    <comment ref="P63" authorId="1" shapeId="0" xr:uid="{EBF10A2D-E49D-42C8-B853-B7F449D0A40F}">
      <text>
        <r>
          <rPr>
            <b/>
            <sz val="9"/>
            <color indexed="81"/>
            <rFont val="Tahoma"/>
            <family val="2"/>
          </rPr>
          <t>Steen Hertin:</t>
        </r>
        <r>
          <rPr>
            <sz val="9"/>
            <color indexed="81"/>
            <rFont val="Tahoma"/>
            <family val="2"/>
          </rPr>
          <t xml:space="preserve">
Metro 08-15 på OA</t>
        </r>
      </text>
    </comment>
    <comment ref="Q63" authorId="1" shapeId="0" xr:uid="{C0E32653-DAC1-45F7-80E3-47C46F27F111}">
      <text>
        <r>
          <rPr>
            <b/>
            <sz val="9"/>
            <color indexed="81"/>
            <rFont val="Tahoma"/>
            <family val="2"/>
          </rPr>
          <t>Steen Hertin:</t>
        </r>
        <r>
          <rPr>
            <sz val="9"/>
            <color indexed="81"/>
            <rFont val="Tahoma"/>
            <family val="2"/>
          </rPr>
          <t xml:space="preserve">
Metro 08-15 på OA</t>
        </r>
      </text>
    </comment>
    <comment ref="T63" authorId="1" shapeId="0" xr:uid="{A630A8A5-2ACA-4E48-8F0D-FB5BE37D2738}">
      <text>
        <r>
          <rPr>
            <b/>
            <sz val="9"/>
            <color indexed="81"/>
            <rFont val="Tahoma"/>
            <family val="2"/>
          </rPr>
          <t>Steen Hertin:</t>
        </r>
        <r>
          <rPr>
            <sz val="9"/>
            <color indexed="81"/>
            <rFont val="Tahoma"/>
            <family val="2"/>
          </rPr>
          <t xml:space="preserve">
Metro på OA kl. 08-15</t>
        </r>
      </text>
    </comment>
    <comment ref="U63" authorId="1" shapeId="0" xr:uid="{F4572B47-8C65-4AA9-9D56-D30F8466F449}">
      <text>
        <r>
          <rPr>
            <b/>
            <sz val="9"/>
            <color indexed="81"/>
            <rFont val="Tahoma"/>
            <family val="2"/>
          </rPr>
          <t>Steen Hertin:</t>
        </r>
        <r>
          <rPr>
            <sz val="9"/>
            <color indexed="81"/>
            <rFont val="Tahoma"/>
            <family val="2"/>
          </rPr>
          <t xml:space="preserve">
Metro på OA kl. 08-15</t>
        </r>
      </text>
    </comment>
    <comment ref="V63" authorId="1" shapeId="0" xr:uid="{7BA64C44-BAC7-43B3-895D-07D3BEDEF3A8}">
      <text>
        <r>
          <rPr>
            <b/>
            <sz val="9"/>
            <color indexed="81"/>
            <rFont val="Tahoma"/>
            <family val="2"/>
          </rPr>
          <t>Steen Hertin:</t>
        </r>
        <r>
          <rPr>
            <sz val="9"/>
            <color indexed="81"/>
            <rFont val="Tahoma"/>
            <family val="2"/>
          </rPr>
          <t xml:space="preserve">
Metro på OA kl. 08-15</t>
        </r>
      </text>
    </comment>
    <comment ref="W63" authorId="1" shapeId="0" xr:uid="{B886A9CB-2248-4492-80A0-B9C9AD09D174}">
      <text>
        <r>
          <rPr>
            <b/>
            <sz val="9"/>
            <color indexed="81"/>
            <rFont val="Tahoma"/>
            <family val="2"/>
          </rPr>
          <t>Steen Hertin:</t>
        </r>
        <r>
          <rPr>
            <sz val="9"/>
            <color indexed="81"/>
            <rFont val="Tahoma"/>
            <family val="2"/>
          </rPr>
          <t xml:space="preserve">
Metro på OA kl. 08-15</t>
        </r>
      </text>
    </comment>
    <comment ref="X63" authorId="1" shapeId="0" xr:uid="{A9E5D8E4-C810-4B86-98AA-971B88E9D9B6}">
      <text>
        <r>
          <rPr>
            <b/>
            <sz val="9"/>
            <color indexed="81"/>
            <rFont val="Tahoma"/>
            <family val="2"/>
          </rPr>
          <t>Steen Hertin:</t>
        </r>
        <r>
          <rPr>
            <sz val="9"/>
            <color indexed="81"/>
            <rFont val="Tahoma"/>
            <family val="2"/>
          </rPr>
          <t xml:space="preserve">
Metro på OA kl. 08-15</t>
        </r>
      </text>
    </comment>
    <comment ref="Z63" authorId="0" shapeId="0" xr:uid="{0101FC13-D175-47DE-A233-D3632C088834}">
      <text>
        <r>
          <rPr>
            <b/>
            <sz val="9"/>
            <color indexed="81"/>
            <rFont val="Tahoma"/>
            <family val="2"/>
          </rPr>
          <t>Steen Hertin-Sandkær:</t>
        </r>
        <r>
          <rPr>
            <sz val="9"/>
            <color indexed="81"/>
            <rFont val="Tahoma"/>
            <family val="2"/>
          </rPr>
          <t xml:space="preserve">
Metro 08-15</t>
        </r>
      </text>
    </comment>
    <comment ref="AB63" authorId="1" shapeId="0" xr:uid="{83A71C92-23B1-44DD-B1E3-3B8582462A06}">
      <text>
        <r>
          <rPr>
            <b/>
            <sz val="9"/>
            <color indexed="81"/>
            <rFont val="Tahoma"/>
            <family val="2"/>
          </rPr>
          <t>Steen Hertin:</t>
        </r>
        <r>
          <rPr>
            <sz val="9"/>
            <color indexed="81"/>
            <rFont val="Tahoma"/>
            <family val="2"/>
          </rPr>
          <t xml:space="preserve">
99-vagt på OA</t>
        </r>
      </text>
    </comment>
    <comment ref="AF63" authorId="1" shapeId="0" xr:uid="{E1ABDC52-9470-4D93-ABCB-A031F103CBD3}">
      <text>
        <r>
          <rPr>
            <b/>
            <sz val="9"/>
            <color indexed="81"/>
            <rFont val="Tahoma"/>
            <family val="2"/>
          </rPr>
          <t>Steen Hertin:</t>
        </r>
        <r>
          <rPr>
            <sz val="9"/>
            <color indexed="81"/>
            <rFont val="Tahoma"/>
            <family val="2"/>
          </rPr>
          <t xml:space="preserve">
Cabinn Metro 08-15</t>
        </r>
      </text>
    </comment>
    <comment ref="AG63" authorId="1" shapeId="0" xr:uid="{13D834CF-782D-4102-88E3-EE04E0858289}">
      <text>
        <r>
          <rPr>
            <b/>
            <sz val="9"/>
            <color indexed="81"/>
            <rFont val="Tahoma"/>
            <family val="2"/>
          </rPr>
          <t>Steen Hertin:</t>
        </r>
        <r>
          <rPr>
            <sz val="9"/>
            <color indexed="81"/>
            <rFont val="Tahoma"/>
            <family val="2"/>
          </rPr>
          <t xml:space="preserve">
Cabinn Metro 08-15</t>
        </r>
      </text>
    </comment>
    <comment ref="C64" authorId="1" shapeId="0" xr:uid="{2E47A178-D665-4FD7-9404-88AC46C8A518}">
      <text>
        <r>
          <rPr>
            <b/>
            <sz val="9"/>
            <color indexed="81"/>
            <rFont val="Tahoma"/>
            <family val="2"/>
          </rPr>
          <t>Steen Hertin:</t>
        </r>
        <r>
          <rPr>
            <sz val="9"/>
            <color indexed="81"/>
            <rFont val="Tahoma"/>
            <family val="2"/>
          </rPr>
          <t xml:space="preserve">
Cabinn Metro 08-15</t>
        </r>
      </text>
    </comment>
    <comment ref="D64" authorId="1" shapeId="0" xr:uid="{855CF428-0B11-45E7-BDA6-F074BB3E99AF}">
      <text>
        <r>
          <rPr>
            <b/>
            <sz val="9"/>
            <color indexed="81"/>
            <rFont val="Tahoma"/>
            <family val="2"/>
          </rPr>
          <t>Steen Hertin:</t>
        </r>
        <r>
          <rPr>
            <sz val="9"/>
            <color indexed="81"/>
            <rFont val="Tahoma"/>
            <family val="2"/>
          </rPr>
          <t xml:space="preserve">
Cabinn Metro 08-15</t>
        </r>
      </text>
    </comment>
    <comment ref="E64" authorId="1" shapeId="0" xr:uid="{3A81BA99-0DDF-445A-B876-63553674473E}">
      <text>
        <r>
          <rPr>
            <b/>
            <sz val="9"/>
            <color indexed="81"/>
            <rFont val="Tahoma"/>
            <family val="2"/>
          </rPr>
          <t>Steen Hertin:</t>
        </r>
        <r>
          <rPr>
            <sz val="9"/>
            <color indexed="81"/>
            <rFont val="Tahoma"/>
            <family val="2"/>
          </rPr>
          <t xml:space="preserve">
Cabinn Metro 08-15</t>
        </r>
      </text>
    </comment>
    <comment ref="F64" authorId="1" shapeId="0" xr:uid="{5D470182-A22E-44ED-9FD6-64413CAACB13}">
      <text>
        <r>
          <rPr>
            <b/>
            <sz val="9"/>
            <color indexed="81"/>
            <rFont val="Tahoma"/>
            <family val="2"/>
          </rPr>
          <t>Steen Hertin:</t>
        </r>
        <r>
          <rPr>
            <sz val="9"/>
            <color indexed="81"/>
            <rFont val="Tahoma"/>
            <family val="2"/>
          </rPr>
          <t xml:space="preserve">
Metro på oa 08-15</t>
        </r>
      </text>
    </comment>
    <comment ref="N64" authorId="6" shapeId="0" xr:uid="{6793834B-25B8-48AF-8E18-EB05C309E108}">
      <text>
        <r>
          <rPr>
            <b/>
            <sz val="9"/>
            <color indexed="81"/>
            <rFont val="Tahoma"/>
            <family val="2"/>
          </rPr>
          <t>Kim BT. Pedersen:</t>
        </r>
        <r>
          <rPr>
            <sz val="9"/>
            <color indexed="81"/>
            <rFont val="Tahoma"/>
            <family val="2"/>
          </rPr>
          <t xml:space="preserve">
Metro 08-15 på OA</t>
        </r>
      </text>
    </comment>
    <comment ref="Q64" authorId="1" shapeId="0" xr:uid="{3BA22777-95AE-4904-A3C9-66C336AA6312}">
      <text>
        <r>
          <rPr>
            <b/>
            <sz val="9"/>
            <color indexed="81"/>
            <rFont val="Tahoma"/>
            <family val="2"/>
          </rPr>
          <t>Steen Hertin:</t>
        </r>
        <r>
          <rPr>
            <sz val="9"/>
            <color indexed="81"/>
            <rFont val="Tahoma"/>
            <family val="2"/>
          </rPr>
          <t xml:space="preserve">
Metro på OA kl. 08-15</t>
        </r>
      </text>
    </comment>
    <comment ref="R64" authorId="1" shapeId="0" xr:uid="{43580E6B-23DC-4C44-9FB2-34C6E079D1D1}">
      <text>
        <r>
          <rPr>
            <b/>
            <sz val="9"/>
            <color indexed="81"/>
            <rFont val="Tahoma"/>
            <family val="2"/>
          </rPr>
          <t>Steen Hertin:</t>
        </r>
        <r>
          <rPr>
            <sz val="9"/>
            <color indexed="81"/>
            <rFont val="Tahoma"/>
            <family val="2"/>
          </rPr>
          <t xml:space="preserve">
Cabinn Metro 08-15</t>
        </r>
      </text>
    </comment>
    <comment ref="S64" authorId="1" shapeId="0" xr:uid="{8AD6DA9D-A033-4A56-8FF4-444C762BEA24}">
      <text>
        <r>
          <rPr>
            <b/>
            <sz val="9"/>
            <color indexed="81"/>
            <rFont val="Tahoma"/>
            <family val="2"/>
          </rPr>
          <t>Steen Hertin:</t>
        </r>
        <r>
          <rPr>
            <sz val="9"/>
            <color indexed="81"/>
            <rFont val="Tahoma"/>
            <family val="2"/>
          </rPr>
          <t xml:space="preserve">
Cabinn Metro 08-15</t>
        </r>
      </text>
    </comment>
    <comment ref="W64" authorId="2" shapeId="0" xr:uid="{F696FD81-CAC2-4EFD-88EA-25D06A4A65BD}">
      <text>
        <r>
          <rPr>
            <b/>
            <sz val="9"/>
            <color indexed="81"/>
            <rFont val="Tahoma"/>
            <family val="2"/>
          </rPr>
          <t>Mathias Hartvig Morell Nielsen:</t>
        </r>
        <r>
          <rPr>
            <sz val="9"/>
            <color indexed="81"/>
            <rFont val="Tahoma"/>
            <family val="2"/>
          </rPr>
          <t xml:space="preserve">
K-vagt OA</t>
        </r>
      </text>
    </comment>
    <comment ref="X64" authorId="2" shapeId="0" xr:uid="{EDEC2F84-A30E-4D2B-82E7-231C95D0AC45}">
      <text>
        <r>
          <rPr>
            <b/>
            <sz val="9"/>
            <color indexed="81"/>
            <rFont val="Tahoma"/>
            <family val="2"/>
          </rPr>
          <t>Mathias Hartvig Morell Nielsen:</t>
        </r>
        <r>
          <rPr>
            <sz val="9"/>
            <color indexed="81"/>
            <rFont val="Tahoma"/>
            <family val="2"/>
          </rPr>
          <t xml:space="preserve">
K-vagt OA</t>
        </r>
      </text>
    </comment>
    <comment ref="Y64" authorId="0" shapeId="0" xr:uid="{B393D687-9781-4AE2-BF4F-5A13E55513CE}">
      <text>
        <r>
          <rPr>
            <b/>
            <sz val="9"/>
            <color indexed="81"/>
            <rFont val="Tahoma"/>
            <family val="2"/>
          </rPr>
          <t>Steen Hertin-Sandkær:</t>
        </r>
        <r>
          <rPr>
            <sz val="9"/>
            <color indexed="81"/>
            <rFont val="Tahoma"/>
            <family val="2"/>
          </rPr>
          <t xml:space="preserve">
Metro 08-15</t>
        </r>
      </text>
    </comment>
    <comment ref="AA64" authorId="0" shapeId="0" xr:uid="{99ED5D6E-3451-4287-A1A9-DF3AE7FA75F8}">
      <text>
        <r>
          <rPr>
            <b/>
            <sz val="9"/>
            <color indexed="81"/>
            <rFont val="Tahoma"/>
            <family val="2"/>
          </rPr>
          <t>Steen Hertin-Sandkær:</t>
        </r>
        <r>
          <rPr>
            <sz val="9"/>
            <color indexed="81"/>
            <rFont val="Tahoma"/>
            <family val="2"/>
          </rPr>
          <t xml:space="preserve">
Metro 08-15</t>
        </r>
      </text>
    </comment>
    <comment ref="AB64" authorId="0" shapeId="0" xr:uid="{1B5E3EC8-39ED-447E-B728-B8633A98967D}">
      <text>
        <r>
          <rPr>
            <b/>
            <sz val="9"/>
            <color indexed="81"/>
            <rFont val="Tahoma"/>
            <family val="2"/>
          </rPr>
          <t>Steen Hertin-Sandkær:</t>
        </r>
        <r>
          <rPr>
            <sz val="9"/>
            <color indexed="81"/>
            <rFont val="Tahoma"/>
            <family val="2"/>
          </rPr>
          <t xml:space="preserve">
Metro 08-15</t>
        </r>
      </text>
    </comment>
    <comment ref="AC64" authorId="0" shapeId="0" xr:uid="{B2D25CB9-7D80-475C-8F3C-EEB05F22913E}">
      <text>
        <r>
          <rPr>
            <b/>
            <sz val="9"/>
            <color indexed="81"/>
            <rFont val="Tahoma"/>
            <family val="2"/>
          </rPr>
          <t>Steen Hertin-Sandkær:</t>
        </r>
        <r>
          <rPr>
            <sz val="9"/>
            <color indexed="81"/>
            <rFont val="Tahoma"/>
            <family val="2"/>
          </rPr>
          <t xml:space="preserve">
Metro 08-15</t>
        </r>
      </text>
    </comment>
    <comment ref="AD64" authorId="0" shapeId="0" xr:uid="{C0F54CDC-A32E-461A-9AE5-BBFE5780DD4D}">
      <text>
        <r>
          <rPr>
            <b/>
            <sz val="9"/>
            <color indexed="81"/>
            <rFont val="Tahoma"/>
            <family val="2"/>
          </rPr>
          <t>Steen Hertin-Sandkær:</t>
        </r>
        <r>
          <rPr>
            <sz val="9"/>
            <color indexed="81"/>
            <rFont val="Tahoma"/>
            <family val="2"/>
          </rPr>
          <t xml:space="preserve">
Metro 08-15</t>
        </r>
      </text>
    </comment>
    <comment ref="AE64" authorId="0" shapeId="0" xr:uid="{49B0F014-BD0A-4926-B59C-0E54804F91EE}">
      <text>
        <r>
          <rPr>
            <b/>
            <sz val="9"/>
            <color indexed="81"/>
            <rFont val="Tahoma"/>
            <family val="2"/>
          </rPr>
          <t>Steen Hertin-Sandkær:</t>
        </r>
        <r>
          <rPr>
            <sz val="9"/>
            <color indexed="81"/>
            <rFont val="Tahoma"/>
            <family val="2"/>
          </rPr>
          <t xml:space="preserve">
Metro 08-15</t>
        </r>
      </text>
    </comment>
    <comment ref="AF64" authorId="1" shapeId="0" xr:uid="{A5E940A7-6AF1-4ECA-8CB8-E1DF49ECE7F8}">
      <text>
        <r>
          <rPr>
            <b/>
            <sz val="9"/>
            <color indexed="81"/>
            <rFont val="Tahoma"/>
            <family val="2"/>
          </rPr>
          <t>Steen Hertin:</t>
        </r>
        <r>
          <rPr>
            <sz val="9"/>
            <color indexed="81"/>
            <rFont val="Tahoma"/>
            <family val="2"/>
          </rPr>
          <t xml:space="preserve">
Rentemestervej kl.15.30-21.30</t>
        </r>
      </text>
    </comment>
    <comment ref="I67" authorId="0" shapeId="0" xr:uid="{05A26E5A-A702-4BD0-A7CB-43C4DA93212B}">
      <text>
        <r>
          <rPr>
            <b/>
            <sz val="9"/>
            <color indexed="81"/>
            <rFont val="Tahoma"/>
            <family val="2"/>
          </rPr>
          <t>Steen Hertin-Sandkær:</t>
        </r>
        <r>
          <rPr>
            <sz val="9"/>
            <color indexed="81"/>
            <rFont val="Tahoma"/>
            <family val="2"/>
          </rPr>
          <t xml:space="preserve">
11-vagt på OA</t>
        </r>
      </text>
    </comment>
    <comment ref="M68" authorId="4" shapeId="0" xr:uid="{647492BC-A223-4327-AB9C-7AC6F6CBD620}">
      <text>
        <r>
          <rPr>
            <b/>
            <sz val="9"/>
            <color indexed="81"/>
            <rFont val="Tahoma"/>
            <family val="2"/>
          </rPr>
          <t>Thomas Holm:</t>
        </r>
        <r>
          <rPr>
            <sz val="9"/>
            <color indexed="81"/>
            <rFont val="Tahoma"/>
            <family val="2"/>
          </rPr>
          <t xml:space="preserve">
26-vagt </t>
        </r>
      </text>
    </comment>
    <comment ref="N68" authorId="4" shapeId="0" xr:uid="{ACB3F698-987E-4162-BD1B-12F0ADD3289E}">
      <text>
        <r>
          <rPr>
            <b/>
            <sz val="9"/>
            <color indexed="81"/>
            <rFont val="Tahoma"/>
            <family val="2"/>
          </rPr>
          <t>Thomas Holm:</t>
        </r>
        <r>
          <rPr>
            <sz val="9"/>
            <color indexed="81"/>
            <rFont val="Tahoma"/>
            <family val="2"/>
          </rPr>
          <t xml:space="preserve">
26-vagt </t>
        </r>
      </text>
    </comment>
    <comment ref="O68" authorId="4" shapeId="0" xr:uid="{D89EB08A-B0D5-4766-A294-DA6954BEBB27}">
      <text>
        <r>
          <rPr>
            <b/>
            <sz val="9"/>
            <color indexed="81"/>
            <rFont val="Tahoma"/>
            <family val="2"/>
          </rPr>
          <t>Thomas Holm:</t>
        </r>
        <r>
          <rPr>
            <sz val="9"/>
            <color indexed="81"/>
            <rFont val="Tahoma"/>
            <family val="2"/>
          </rPr>
          <t xml:space="preserve">
26-vagt </t>
        </r>
      </text>
    </comment>
    <comment ref="P68" authorId="4" shapeId="0" xr:uid="{CAC50128-DCF1-4436-8CE5-DD7F767498BE}">
      <text>
        <r>
          <rPr>
            <b/>
            <sz val="9"/>
            <color indexed="81"/>
            <rFont val="Tahoma"/>
            <family val="2"/>
          </rPr>
          <t>Thomas Holm:</t>
        </r>
        <r>
          <rPr>
            <sz val="9"/>
            <color indexed="81"/>
            <rFont val="Tahoma"/>
            <family val="2"/>
          </rPr>
          <t xml:space="preserve">
26-vagt </t>
        </r>
      </text>
    </comment>
    <comment ref="Q68" authorId="4" shapeId="0" xr:uid="{4F27FB8B-825C-4F71-BAC8-6852FD0FC033}">
      <text>
        <r>
          <rPr>
            <b/>
            <sz val="9"/>
            <color indexed="81"/>
            <rFont val="Tahoma"/>
            <family val="2"/>
          </rPr>
          <t>Thomas Holm:</t>
        </r>
        <r>
          <rPr>
            <sz val="9"/>
            <color indexed="81"/>
            <rFont val="Tahoma"/>
            <family val="2"/>
          </rPr>
          <t xml:space="preserve">
26-vagt </t>
        </r>
      </text>
    </comment>
    <comment ref="AA68" authorId="0" shapeId="0" xr:uid="{58A54765-D6CF-4128-9B0D-AA2959FEF552}">
      <text>
        <r>
          <rPr>
            <b/>
            <sz val="9"/>
            <color indexed="81"/>
            <rFont val="Tahoma"/>
            <family val="2"/>
          </rPr>
          <t>Steen Hertin-Sandkær:</t>
        </r>
        <r>
          <rPr>
            <sz val="9"/>
            <color indexed="81"/>
            <rFont val="Tahoma"/>
            <family val="2"/>
          </rPr>
          <t xml:space="preserve">
L-vagt på OA</t>
        </r>
      </text>
    </comment>
    <comment ref="AB68" authorId="0" shapeId="0" xr:uid="{D2F9C51A-5D85-4D00-B549-0D9881066A52}">
      <text>
        <r>
          <rPr>
            <b/>
            <sz val="9"/>
            <color indexed="81"/>
            <rFont val="Tahoma"/>
            <family val="2"/>
          </rPr>
          <t>Steen Hertin-Sandkær:</t>
        </r>
        <r>
          <rPr>
            <sz val="9"/>
            <color indexed="81"/>
            <rFont val="Tahoma"/>
            <family val="2"/>
          </rPr>
          <t xml:space="preserve">
Copenhagen 08-15 på OA</t>
        </r>
      </text>
    </comment>
    <comment ref="AC68" authorId="0" shapeId="0" xr:uid="{FD836B33-6289-4CE0-9E4B-17C4855F3031}">
      <text>
        <r>
          <rPr>
            <b/>
            <sz val="9"/>
            <color indexed="81"/>
            <rFont val="Tahoma"/>
            <family val="2"/>
          </rPr>
          <t>Steen Hertin-Sandkær:</t>
        </r>
        <r>
          <rPr>
            <sz val="9"/>
            <color indexed="81"/>
            <rFont val="Tahoma"/>
            <family val="2"/>
          </rPr>
          <t xml:space="preserve">
Copenhagen 08-15 på OA</t>
        </r>
      </text>
    </comment>
    <comment ref="AD68" authorId="0" shapeId="0" xr:uid="{F27376DD-A200-41D9-A962-159F9A94E530}">
      <text>
        <r>
          <rPr>
            <b/>
            <sz val="9"/>
            <color indexed="81"/>
            <rFont val="Tahoma"/>
            <family val="2"/>
          </rPr>
          <t>Steen Hertin-Sandkær:</t>
        </r>
        <r>
          <rPr>
            <sz val="9"/>
            <color indexed="81"/>
            <rFont val="Tahoma"/>
            <family val="2"/>
          </rPr>
          <t xml:space="preserve">
Copenhagen 08-15 på OA</t>
        </r>
      </text>
    </comment>
    <comment ref="AE68" authorId="0" shapeId="0" xr:uid="{9A7E0248-6629-4B55-B0D4-C0DCEAF21B5C}">
      <text>
        <r>
          <rPr>
            <b/>
            <sz val="9"/>
            <color indexed="81"/>
            <rFont val="Tahoma"/>
            <family val="2"/>
          </rPr>
          <t>Steen Hertin-Sandkær:</t>
        </r>
        <r>
          <rPr>
            <sz val="9"/>
            <color indexed="81"/>
            <rFont val="Tahoma"/>
            <family val="2"/>
          </rPr>
          <t xml:space="preserve">
Copenhagen 08-15 på OA</t>
        </r>
      </text>
    </comment>
    <comment ref="H69" authorId="3" shapeId="0" xr:uid="{28439351-F196-4207-A067-2492A50F5D5D}">
      <text>
        <r>
          <rPr>
            <b/>
            <sz val="9"/>
            <color indexed="81"/>
            <rFont val="Tahoma"/>
            <family val="2"/>
          </rPr>
          <t>Nikolaj Langtin Pamhede:</t>
        </r>
        <r>
          <rPr>
            <sz val="9"/>
            <color indexed="81"/>
            <rFont val="Tahoma"/>
            <family val="2"/>
          </rPr>
          <t xml:space="preserve">
11 vagt på oa
</t>
        </r>
      </text>
    </comment>
    <comment ref="M69" authorId="1" shapeId="0" xr:uid="{41BF8775-2ACD-4FD4-B85A-026DFE39F49F}">
      <text>
        <r>
          <rPr>
            <b/>
            <sz val="9"/>
            <color indexed="81"/>
            <rFont val="Tahoma"/>
            <family val="2"/>
          </rPr>
          <t>Steen Hertin:</t>
        </r>
        <r>
          <rPr>
            <sz val="9"/>
            <color indexed="81"/>
            <rFont val="Tahoma"/>
            <family val="2"/>
          </rPr>
          <t xml:space="preserve">
8-vagt + 10-vagt på OA</t>
        </r>
      </text>
    </comment>
    <comment ref="N69" authorId="1" shapeId="0" xr:uid="{F0DE1703-892B-496B-B342-3F5CB24B8CBC}">
      <text>
        <r>
          <rPr>
            <b/>
            <sz val="9"/>
            <color indexed="81"/>
            <rFont val="Tahoma"/>
            <family val="2"/>
          </rPr>
          <t>Steen Hertin:</t>
        </r>
        <r>
          <rPr>
            <sz val="9"/>
            <color indexed="81"/>
            <rFont val="Tahoma"/>
            <family val="2"/>
          </rPr>
          <t xml:space="preserve">
8-vagt + 10-vagt på OA</t>
        </r>
      </text>
    </comment>
    <comment ref="O69" authorId="1" shapeId="0" xr:uid="{30DC4D6F-4B7F-4EC1-AB92-17967FC4F4E4}">
      <text>
        <r>
          <rPr>
            <b/>
            <sz val="9"/>
            <color indexed="81"/>
            <rFont val="Tahoma"/>
            <family val="2"/>
          </rPr>
          <t>Steen Hertin:</t>
        </r>
        <r>
          <rPr>
            <sz val="9"/>
            <color indexed="81"/>
            <rFont val="Tahoma"/>
            <family val="2"/>
          </rPr>
          <t xml:space="preserve">
25-vagt + 10-vagt på OA</t>
        </r>
      </text>
    </comment>
    <comment ref="P69" authorId="1" shapeId="0" xr:uid="{79FE7C26-8312-4F11-9B3D-C7428A6153F2}">
      <text>
        <r>
          <rPr>
            <b/>
            <sz val="9"/>
            <color indexed="81"/>
            <rFont val="Tahoma"/>
            <family val="2"/>
          </rPr>
          <t>Steen Hertin:</t>
        </r>
        <r>
          <rPr>
            <sz val="9"/>
            <color indexed="81"/>
            <rFont val="Tahoma"/>
            <family val="2"/>
          </rPr>
          <t xml:space="preserve">
10-vagt på OA
blive på
Rentemestervej til 21:30</t>
        </r>
      </text>
    </comment>
    <comment ref="Q69" authorId="1" shapeId="0" xr:uid="{C504D7DE-12CB-433F-AF24-F4E99A41AA7B}">
      <text>
        <r>
          <rPr>
            <b/>
            <sz val="9"/>
            <color indexed="81"/>
            <rFont val="Tahoma"/>
            <family val="2"/>
          </rPr>
          <t>Steen Hertin:</t>
        </r>
        <r>
          <rPr>
            <sz val="9"/>
            <color indexed="81"/>
            <rFont val="Tahoma"/>
            <family val="2"/>
          </rPr>
          <t xml:space="preserve">
10-vagt på OA</t>
        </r>
      </text>
    </comment>
    <comment ref="Z69" authorId="1" shapeId="0" xr:uid="{31E840FC-3217-4648-9F48-937349ABD21E}">
      <text>
        <r>
          <rPr>
            <b/>
            <sz val="9"/>
            <color indexed="81"/>
            <rFont val="Tahoma"/>
            <family val="2"/>
          </rPr>
          <t>Steen Hertin:</t>
        </r>
        <r>
          <rPr>
            <sz val="9"/>
            <color indexed="81"/>
            <rFont val="Tahoma"/>
            <family val="2"/>
          </rPr>
          <t xml:space="preserve">
Simon bliver til kl. 00.00 og dækker B2 på OA</t>
        </r>
      </text>
    </comment>
    <comment ref="H70" authorId="1" shapeId="0" xr:uid="{DFB335F5-8861-4D3A-B444-9474EE776CBB}">
      <text>
        <r>
          <rPr>
            <b/>
            <sz val="9"/>
            <color indexed="81"/>
            <rFont val="Tahoma"/>
            <family val="2"/>
          </rPr>
          <t>Steen Hertin:</t>
        </r>
        <r>
          <rPr>
            <sz val="9"/>
            <color indexed="81"/>
            <rFont val="Tahoma"/>
            <family val="2"/>
          </rPr>
          <t xml:space="preserve">
F-dage efter aftale</t>
        </r>
      </text>
    </comment>
    <comment ref="I70" authorId="1" shapeId="0" xr:uid="{16F4A8FA-DC93-4924-96E2-995FDAB83F0D}">
      <text>
        <r>
          <rPr>
            <b/>
            <sz val="9"/>
            <color indexed="81"/>
            <rFont val="Tahoma"/>
            <family val="2"/>
          </rPr>
          <t>Steen Hertin:</t>
        </r>
        <r>
          <rPr>
            <sz val="9"/>
            <color indexed="81"/>
            <rFont val="Tahoma"/>
            <family val="2"/>
          </rPr>
          <t xml:space="preserve">
F-dage efter aftale</t>
        </r>
      </text>
    </comment>
    <comment ref="J70" authorId="1" shapeId="0" xr:uid="{7C92607D-B24F-42A7-930E-06D2E53FF4A4}">
      <text>
        <r>
          <rPr>
            <b/>
            <sz val="9"/>
            <color indexed="81"/>
            <rFont val="Tahoma"/>
            <family val="2"/>
          </rPr>
          <t>Steen Hertin:</t>
        </r>
        <r>
          <rPr>
            <sz val="9"/>
            <color indexed="81"/>
            <rFont val="Tahoma"/>
            <family val="2"/>
          </rPr>
          <t xml:space="preserve">
F-dage efter aftale</t>
        </r>
      </text>
    </comment>
    <comment ref="D71" authorId="0" shapeId="0" xr:uid="{5FC0A7A8-7862-4DBE-9A01-EBCB006652D3}">
      <text>
        <r>
          <rPr>
            <b/>
            <sz val="9"/>
            <color indexed="81"/>
            <rFont val="Tahoma"/>
            <family val="2"/>
          </rPr>
          <t>Steen Hertin-Sandkær:</t>
        </r>
        <r>
          <rPr>
            <sz val="9"/>
            <color indexed="81"/>
            <rFont val="Tahoma"/>
            <family val="2"/>
          </rPr>
          <t xml:space="preserve">
Copenhagen 08-15</t>
        </r>
      </text>
    </comment>
    <comment ref="E71" authorId="1" shapeId="0" xr:uid="{486B73EA-BF5E-44C6-B55A-379AF745439E}">
      <text>
        <r>
          <rPr>
            <b/>
            <sz val="9"/>
            <color indexed="81"/>
            <rFont val="Tahoma"/>
            <family val="2"/>
          </rPr>
          <t>Steen Hertin:</t>
        </r>
        <r>
          <rPr>
            <sz val="9"/>
            <color indexed="81"/>
            <rFont val="Tahoma"/>
            <family val="2"/>
          </rPr>
          <t xml:space="preserve">
Copenhagen 08-15</t>
        </r>
      </text>
    </comment>
    <comment ref="S73" authorId="1" shapeId="0" xr:uid="{8898F526-AF80-4055-A78F-5A8C06B4C635}">
      <text>
        <r>
          <rPr>
            <b/>
            <sz val="9"/>
            <color indexed="81"/>
            <rFont val="Tahoma"/>
            <family val="2"/>
          </rPr>
          <t>Steen Hertin:</t>
        </r>
        <r>
          <rPr>
            <sz val="9"/>
            <color indexed="81"/>
            <rFont val="Tahoma"/>
            <family val="2"/>
          </rPr>
          <t xml:space="preserve">
Møder først kl. 11.00</t>
        </r>
      </text>
    </comment>
    <comment ref="T73" authorId="6" shapeId="0" xr:uid="{AB02214D-64B6-45A6-9AFD-DD92A6904FDA}">
      <text>
        <r>
          <rPr>
            <b/>
            <sz val="9"/>
            <color indexed="81"/>
            <rFont val="Tahoma"/>
            <family val="2"/>
          </rPr>
          <t>Kim BT. Pedersen:</t>
        </r>
        <r>
          <rPr>
            <sz val="9"/>
            <color indexed="81"/>
            <rFont val="Tahoma"/>
            <family val="2"/>
          </rPr>
          <t xml:space="preserve">
25-vagt på OA</t>
        </r>
      </text>
    </comment>
    <comment ref="U73" authorId="6" shapeId="0" xr:uid="{5BB65C47-0A6F-4401-971F-6BEB8DBD9AFF}">
      <text>
        <r>
          <rPr>
            <b/>
            <sz val="9"/>
            <color indexed="81"/>
            <rFont val="Tahoma"/>
            <family val="2"/>
          </rPr>
          <t>Kim BT. Pedersen:</t>
        </r>
        <r>
          <rPr>
            <sz val="9"/>
            <color indexed="81"/>
            <rFont val="Tahoma"/>
            <family val="2"/>
          </rPr>
          <t xml:space="preserve">
25-vagt på OA
</t>
        </r>
      </text>
    </comment>
    <comment ref="V73" authorId="6" shapeId="0" xr:uid="{235447D5-BB8F-44A3-8AE3-C9607421D8B7}">
      <text>
        <r>
          <rPr>
            <b/>
            <sz val="9"/>
            <color indexed="81"/>
            <rFont val="Tahoma"/>
            <family val="2"/>
          </rPr>
          <t>Kim BT. Pedersen:</t>
        </r>
        <r>
          <rPr>
            <sz val="9"/>
            <color indexed="81"/>
            <rFont val="Tahoma"/>
            <family val="2"/>
          </rPr>
          <t xml:space="preserve">
25-vagt på OA</t>
        </r>
      </text>
    </comment>
    <comment ref="X73" authorId="6" shapeId="0" xr:uid="{66CC6EAB-B477-4136-9067-5D05A3C9F22E}">
      <text>
        <r>
          <rPr>
            <b/>
            <sz val="9"/>
            <color indexed="81"/>
            <rFont val="Tahoma"/>
            <family val="2"/>
          </rPr>
          <t>Kim BT. Pedersen:</t>
        </r>
        <r>
          <rPr>
            <sz val="9"/>
            <color indexed="81"/>
            <rFont val="Tahoma"/>
            <family val="2"/>
          </rPr>
          <t xml:space="preserve">
25-vagt på OA</t>
        </r>
      </text>
    </comment>
    <comment ref="AC73" authorId="1" shapeId="0" xr:uid="{33B83BC9-48C3-4873-B2DA-A1652FDB4FCE}">
      <text>
        <r>
          <rPr>
            <b/>
            <sz val="9"/>
            <color indexed="81"/>
            <rFont val="Tahoma"/>
            <family val="2"/>
          </rPr>
          <t>Steen Hertin:</t>
        </r>
        <r>
          <rPr>
            <sz val="9"/>
            <color indexed="81"/>
            <rFont val="Tahoma"/>
            <family val="2"/>
          </rPr>
          <t xml:space="preserve">
Oplæring i GKL hos K2 på OA</t>
        </r>
      </text>
    </comment>
    <comment ref="F75" authorId="1" shapeId="0" xr:uid="{8ACC9C40-CB0B-4C4E-8FCF-06FE3377BDE6}">
      <text>
        <r>
          <rPr>
            <b/>
            <sz val="9"/>
            <color indexed="81"/>
            <rFont val="Tahoma"/>
            <family val="2"/>
          </rPr>
          <t>Steen Hertin:</t>
        </r>
        <r>
          <rPr>
            <sz val="9"/>
            <color indexed="81"/>
            <rFont val="Tahoma"/>
            <family val="2"/>
          </rPr>
          <t xml:space="preserve">
Møder kl. 09..</t>
        </r>
      </text>
    </comment>
    <comment ref="F81" authorId="0" shapeId="0" xr:uid="{B334A202-DE9C-4471-9ED7-D6D28E4C5DF8}">
      <text>
        <r>
          <rPr>
            <b/>
            <sz val="9"/>
            <color indexed="81"/>
            <rFont val="Tahoma"/>
            <family val="2"/>
          </rPr>
          <t>Steen Hertin-Sandkær:</t>
        </r>
        <r>
          <rPr>
            <sz val="9"/>
            <color indexed="81"/>
            <rFont val="Tahoma"/>
            <family val="2"/>
          </rPr>
          <t xml:space="preserve">
i2 på OA</t>
        </r>
      </text>
    </comment>
    <comment ref="G81" authorId="0" shapeId="0" xr:uid="{7CE766D6-AE32-4D47-8FBB-AABCF4A3887A}">
      <text>
        <r>
          <rPr>
            <b/>
            <sz val="9"/>
            <color indexed="81"/>
            <rFont val="Tahoma"/>
            <family val="2"/>
          </rPr>
          <t>Steen Hertin-Sandkær:</t>
        </r>
        <r>
          <rPr>
            <sz val="9"/>
            <color indexed="81"/>
            <rFont val="Tahoma"/>
            <family val="2"/>
          </rPr>
          <t xml:space="preserve">
i2 på OA</t>
        </r>
      </text>
    </comment>
    <comment ref="I81" authorId="3" shapeId="0" xr:uid="{BA632781-D5C4-49A2-94C5-AA2F29C0006B}">
      <text>
        <r>
          <rPr>
            <b/>
            <sz val="9"/>
            <color indexed="81"/>
            <rFont val="Tahoma"/>
            <family val="2"/>
          </rPr>
          <t>Nikolaj Langtin Pamhede:</t>
        </r>
        <r>
          <rPr>
            <sz val="9"/>
            <color indexed="81"/>
            <rFont val="Tahoma"/>
            <family val="2"/>
          </rPr>
          <t xml:space="preserve">
69 vagt på oa</t>
        </r>
      </text>
    </comment>
    <comment ref="J81" authorId="3" shapeId="0" xr:uid="{9C19AB17-8D53-4F42-91F2-46C93FD46A7C}">
      <text>
        <r>
          <rPr>
            <b/>
            <sz val="9"/>
            <color indexed="81"/>
            <rFont val="Tahoma"/>
            <family val="2"/>
          </rPr>
          <t>Nikolaj Langtin Pamhede:</t>
        </r>
        <r>
          <rPr>
            <sz val="9"/>
            <color indexed="81"/>
            <rFont val="Tahoma"/>
            <family val="2"/>
          </rPr>
          <t xml:space="preserve">
1 vagt på oa</t>
        </r>
      </text>
    </comment>
    <comment ref="X81" authorId="0" shapeId="0" xr:uid="{3CB1BDA2-92D8-4C68-88D1-2CEFCA408136}">
      <text>
        <r>
          <rPr>
            <b/>
            <sz val="9"/>
            <color indexed="81"/>
            <rFont val="Tahoma"/>
            <family val="2"/>
          </rPr>
          <t>Steen Hertin-Sandkær:</t>
        </r>
        <r>
          <rPr>
            <sz val="9"/>
            <color indexed="81"/>
            <rFont val="Tahoma"/>
            <family val="2"/>
          </rPr>
          <t xml:space="preserve">
9-vagt på OA</t>
        </r>
      </text>
    </comment>
    <comment ref="AB82" authorId="1" shapeId="0" xr:uid="{1281404E-39AD-472A-B84D-CD6AE5778FEB}">
      <text>
        <r>
          <rPr>
            <b/>
            <sz val="9"/>
            <color indexed="81"/>
            <rFont val="Tahoma"/>
            <family val="2"/>
          </rPr>
          <t>Steen Hertin:</t>
        </r>
        <r>
          <rPr>
            <sz val="9"/>
            <color indexed="81"/>
            <rFont val="Tahoma"/>
            <family val="2"/>
          </rPr>
          <t xml:space="preserve">
Møder kl. 08.00</t>
        </r>
      </text>
    </comment>
    <comment ref="AD83" authorId="2" shapeId="0" xr:uid="{9B487B4D-7583-442D-A104-32EEEC78C207}">
      <text>
        <r>
          <rPr>
            <b/>
            <sz val="9"/>
            <color indexed="81"/>
            <rFont val="Tahoma"/>
            <family val="2"/>
          </rPr>
          <t>Mathias Hartvig Morell Nielsen:</t>
        </r>
        <r>
          <rPr>
            <sz val="9"/>
            <color indexed="81"/>
            <rFont val="Tahoma"/>
            <family val="2"/>
          </rPr>
          <t xml:space="preserve">
99-vagt OA</t>
        </r>
      </text>
    </comment>
    <comment ref="U84" authorId="0" shapeId="0" xr:uid="{E9172E19-D9F8-4CD1-9142-40EA1831A4C3}">
      <text>
        <r>
          <rPr>
            <b/>
            <sz val="9"/>
            <color indexed="81"/>
            <rFont val="Tahoma"/>
            <family val="2"/>
          </rPr>
          <t>Steen Hertin-Sandkær:</t>
        </r>
        <r>
          <rPr>
            <sz val="9"/>
            <color indexed="81"/>
            <rFont val="Tahoma"/>
            <family val="2"/>
          </rPr>
          <t xml:space="preserve">
Møder kl. 09.00</t>
        </r>
      </text>
    </comment>
    <comment ref="AC85" authorId="1" shapeId="0" xr:uid="{A1187073-1DC0-4E06-B5A4-18CE84816C19}">
      <text>
        <r>
          <rPr>
            <b/>
            <sz val="9"/>
            <color indexed="81"/>
            <rFont val="Tahoma"/>
            <family val="2"/>
          </rPr>
          <t>Steen Hertin:</t>
        </r>
        <r>
          <rPr>
            <sz val="9"/>
            <color indexed="81"/>
            <rFont val="Tahoma"/>
            <family val="2"/>
          </rPr>
          <t xml:space="preserve">
Møder kl. 09.00</t>
        </r>
      </text>
    </comment>
    <comment ref="F87" authorId="1" shapeId="0" xr:uid="{E93CFFED-E846-4999-AEF1-64EE6B22FF93}">
      <text>
        <r>
          <rPr>
            <b/>
            <sz val="9"/>
            <color indexed="81"/>
            <rFont val="Tahoma"/>
            <family val="2"/>
          </rPr>
          <t>Steen Hertin:</t>
        </r>
        <r>
          <rPr>
            <sz val="9"/>
            <color indexed="81"/>
            <rFont val="Tahoma"/>
            <family val="2"/>
          </rPr>
          <t xml:space="preserve">
Møder kl. 09..</t>
        </r>
      </text>
    </comment>
    <comment ref="N87" authorId="6" shapeId="0" xr:uid="{CC74BED8-B397-42EF-BF29-5B7873032ECA}">
      <text>
        <r>
          <rPr>
            <b/>
            <sz val="9"/>
            <color indexed="81"/>
            <rFont val="Tahoma"/>
            <family val="2"/>
          </rPr>
          <t>Kim BT. Pedersen:</t>
        </r>
        <r>
          <rPr>
            <sz val="9"/>
            <color indexed="81"/>
            <rFont val="Tahoma"/>
            <family val="2"/>
          </rPr>
          <t xml:space="preserve">
Går 14:30.
</t>
        </r>
      </text>
    </comment>
    <comment ref="C107" authorId="7" shapeId="0" xr:uid="{7C313A6A-42A8-41FC-8248-1F1C8AFA60EC}">
      <text>
        <r>
          <rPr>
            <b/>
            <sz val="9"/>
            <color indexed="81"/>
            <rFont val="Tahoma"/>
            <family val="2"/>
          </rPr>
          <t>Nick Lorentzen:</t>
        </r>
        <r>
          <rPr>
            <sz val="9"/>
            <color indexed="81"/>
            <rFont val="Tahoma"/>
            <family val="2"/>
          </rPr>
          <t xml:space="preserve">
OA til 01:45</t>
        </r>
      </text>
    </comment>
    <comment ref="G107" authorId="1" shapeId="0" xr:uid="{DCBF55D1-F526-43F1-8C5F-AC0E47712FB2}">
      <text>
        <r>
          <rPr>
            <b/>
            <sz val="9"/>
            <color indexed="81"/>
            <rFont val="Tahoma"/>
            <family val="2"/>
          </rPr>
          <t>Steen Hertin:</t>
        </r>
        <r>
          <rPr>
            <sz val="9"/>
            <color indexed="81"/>
            <rFont val="Tahoma"/>
            <family val="2"/>
          </rPr>
          <t xml:space="preserve">
Copenhagen 08-15</t>
        </r>
      </text>
    </comment>
    <comment ref="K107" authorId="1" shapeId="0" xr:uid="{9FD11EE1-0177-4479-BA8C-555965618F8E}">
      <text>
        <r>
          <rPr>
            <b/>
            <sz val="9"/>
            <color indexed="81"/>
            <rFont val="Tahoma"/>
            <family val="2"/>
          </rPr>
          <t>Steen Hertin:</t>
        </r>
        <r>
          <rPr>
            <sz val="9"/>
            <color indexed="81"/>
            <rFont val="Tahoma"/>
            <family val="2"/>
          </rPr>
          <t xml:space="preserve">
Copenhagen 08-15</t>
        </r>
      </text>
    </comment>
    <comment ref="M131" authorId="6" shapeId="0" xr:uid="{D952A883-85DD-4E15-9AA4-E5763E8BFE8A}">
      <text>
        <r>
          <rPr>
            <b/>
            <sz val="9"/>
            <color indexed="81"/>
            <rFont val="Tahoma"/>
            <family val="2"/>
          </rPr>
          <t>Kim BT. Pedersen:</t>
        </r>
        <r>
          <rPr>
            <sz val="9"/>
            <color indexed="81"/>
            <rFont val="Tahoma"/>
            <family val="2"/>
          </rPr>
          <t xml:space="preserve">
7-vagt på OA</t>
        </r>
      </text>
    </comment>
    <comment ref="N131" authorId="6" shapeId="0" xr:uid="{0F00F8A5-109C-4AA4-B7E2-A7D225AEE2EA}">
      <text>
        <r>
          <rPr>
            <b/>
            <sz val="9"/>
            <color indexed="81"/>
            <rFont val="Tahoma"/>
            <family val="2"/>
          </rPr>
          <t>Kim BT. Pedersen:</t>
        </r>
        <r>
          <rPr>
            <sz val="9"/>
            <color indexed="81"/>
            <rFont val="Tahoma"/>
            <family val="2"/>
          </rPr>
          <t xml:space="preserve">
7-vagt på OA</t>
        </r>
      </text>
    </comment>
    <comment ref="O131" authorId="0" shapeId="0" xr:uid="{95FFFDAF-B3DE-4BC1-BE6F-24E14788A0C9}">
      <text>
        <r>
          <rPr>
            <b/>
            <sz val="9"/>
            <color indexed="81"/>
            <rFont val="Tahoma"/>
            <family val="2"/>
          </rPr>
          <t>Steen Hertin-Sandkær:</t>
        </r>
        <r>
          <rPr>
            <sz val="9"/>
            <color indexed="81"/>
            <rFont val="Tahoma"/>
            <family val="2"/>
          </rPr>
          <t xml:space="preserve">
skal gå kl. 14.30</t>
        </r>
      </text>
    </comment>
    <comment ref="R149" authorId="2" shapeId="0" xr:uid="{77551E23-75C0-49BC-BE6E-B6034F4A2C21}">
      <text>
        <r>
          <rPr>
            <b/>
            <sz val="9"/>
            <color indexed="81"/>
            <rFont val="Tahoma"/>
            <family val="2"/>
          </rPr>
          <t>Mathias Hartvig Morell Nielsen:</t>
        </r>
        <r>
          <rPr>
            <sz val="9"/>
            <color indexed="81"/>
            <rFont val="Tahoma"/>
            <family val="2"/>
          </rPr>
          <t xml:space="preserve">
Bliver til kl. 07.00 på OA</t>
        </r>
      </text>
    </comment>
    <comment ref="S149" authorId="2" shapeId="0" xr:uid="{DF45DBEB-AB08-44E6-A5AE-98553219E95F}">
      <text>
        <r>
          <rPr>
            <b/>
            <sz val="9"/>
            <color indexed="81"/>
            <rFont val="Tahoma"/>
            <family val="2"/>
          </rPr>
          <t>Mathias Hartvig Morell Nielsen:</t>
        </r>
        <r>
          <rPr>
            <sz val="9"/>
            <color indexed="81"/>
            <rFont val="Tahoma"/>
            <family val="2"/>
          </rPr>
          <t xml:space="preserve">
Bliver til kl. 07.00 på OA</t>
        </r>
      </text>
    </comment>
    <comment ref="M189" authorId="1" shapeId="0" xr:uid="{F83971C5-01CB-469B-B3C9-3B4FCE4AC91E}">
      <text>
        <r>
          <rPr>
            <b/>
            <sz val="9"/>
            <color indexed="81"/>
            <rFont val="Tahoma"/>
            <family val="2"/>
          </rPr>
          <t>Steen Hertin:</t>
        </r>
        <r>
          <rPr>
            <sz val="9"/>
            <color indexed="81"/>
            <rFont val="Tahoma"/>
            <family val="2"/>
          </rPr>
          <t xml:space="preserve">
metro 08-15</t>
        </r>
      </text>
    </comment>
    <comment ref="O189" authorId="1" shapeId="0" xr:uid="{EC5EF847-C97B-4D9C-A653-0D5BD7598BA7}">
      <text>
        <r>
          <rPr>
            <b/>
            <sz val="9"/>
            <color indexed="81"/>
            <rFont val="Tahoma"/>
            <family val="2"/>
          </rPr>
          <t>Steen Hertin:</t>
        </r>
        <r>
          <rPr>
            <sz val="9"/>
            <color indexed="81"/>
            <rFont val="Tahoma"/>
            <family val="2"/>
          </rPr>
          <t xml:space="preserve">
metro 08-15</t>
        </r>
      </text>
    </comment>
    <comment ref="P189" authorId="1" shapeId="0" xr:uid="{A457F683-6517-488E-9877-CC24562A4F7C}">
      <text>
        <r>
          <rPr>
            <b/>
            <sz val="9"/>
            <color indexed="81"/>
            <rFont val="Tahoma"/>
            <family val="2"/>
          </rPr>
          <t>Steen Hertin:</t>
        </r>
        <r>
          <rPr>
            <sz val="9"/>
            <color indexed="81"/>
            <rFont val="Tahoma"/>
            <family val="2"/>
          </rPr>
          <t xml:space="preserve">
metro 08-15</t>
        </r>
      </text>
    </comment>
    <comment ref="T196" authorId="0" shapeId="0" xr:uid="{FA90B4BB-AAF3-45EC-A320-6684B88C9CE0}">
      <text>
        <r>
          <rPr>
            <b/>
            <sz val="9"/>
            <color indexed="81"/>
            <rFont val="Tahoma"/>
            <family val="2"/>
          </rPr>
          <t>Steen Hertin-Sandkær:</t>
        </r>
        <r>
          <rPr>
            <sz val="9"/>
            <color indexed="81"/>
            <rFont val="Tahoma"/>
            <family val="2"/>
          </rPr>
          <t xml:space="preserve">
Sidste dag.</t>
        </r>
      </text>
    </comment>
    <comment ref="F198" authorId="1" shapeId="0" xr:uid="{807857D4-8714-451A-9D7C-4F2F5436148C}">
      <text>
        <r>
          <rPr>
            <b/>
            <sz val="9"/>
            <color indexed="81"/>
            <rFont val="Tahoma"/>
            <family val="2"/>
          </rPr>
          <t>Steen Hertin:</t>
        </r>
        <r>
          <rPr>
            <sz val="9"/>
            <color indexed="81"/>
            <rFont val="Tahoma"/>
            <family val="2"/>
          </rPr>
          <t xml:space="preserve">
Mødern 08.15-10.15</t>
        </r>
      </text>
    </comment>
    <comment ref="H198" authorId="1" shapeId="0" xr:uid="{924B7298-2367-4713-9C4C-255F07520C59}">
      <text>
        <r>
          <rPr>
            <b/>
            <sz val="9"/>
            <color indexed="81"/>
            <rFont val="Tahoma"/>
            <family val="2"/>
          </rPr>
          <t>Steen Hertin:</t>
        </r>
        <r>
          <rPr>
            <sz val="9"/>
            <color indexed="81"/>
            <rFont val="Tahoma"/>
            <family val="2"/>
          </rPr>
          <t xml:space="preserve">
Mødern 08.15-10.15</t>
        </r>
      </text>
    </comment>
    <comment ref="M198" authorId="1" shapeId="0" xr:uid="{D8611C15-F416-46C5-B71E-4F956012F871}">
      <text>
        <r>
          <rPr>
            <b/>
            <sz val="9"/>
            <color indexed="81"/>
            <rFont val="Tahoma"/>
            <family val="2"/>
          </rPr>
          <t>Steen Hertin:</t>
        </r>
        <r>
          <rPr>
            <sz val="9"/>
            <color indexed="81"/>
            <rFont val="Tahoma"/>
            <family val="2"/>
          </rPr>
          <t xml:space="preserve">
Mødern 08.15-10.15</t>
        </r>
      </text>
    </comment>
    <comment ref="O198" authorId="1" shapeId="0" xr:uid="{7724CDCE-31D4-4674-BA0F-301472EAA1EE}">
      <text>
        <r>
          <rPr>
            <b/>
            <sz val="9"/>
            <color indexed="81"/>
            <rFont val="Tahoma"/>
            <family val="2"/>
          </rPr>
          <t>Steen Hertin:</t>
        </r>
        <r>
          <rPr>
            <sz val="9"/>
            <color indexed="81"/>
            <rFont val="Tahoma"/>
            <family val="2"/>
          </rPr>
          <t xml:space="preserve">
Mødern 08.15-10.15</t>
        </r>
      </text>
    </comment>
    <comment ref="T198" authorId="1" shapeId="0" xr:uid="{34564EFF-D27A-4026-A4F4-8798683FB20E}">
      <text>
        <r>
          <rPr>
            <b/>
            <sz val="9"/>
            <color indexed="81"/>
            <rFont val="Tahoma"/>
            <family val="2"/>
          </rPr>
          <t>Steen Hertin:</t>
        </r>
        <r>
          <rPr>
            <sz val="9"/>
            <color indexed="81"/>
            <rFont val="Tahoma"/>
            <family val="2"/>
          </rPr>
          <t xml:space="preserve">
Mødern 08.15-10.15</t>
        </r>
      </text>
    </comment>
    <comment ref="V198" authorId="1" shapeId="0" xr:uid="{D5C12D13-E6DF-430A-9742-A84CA6F9B94D}">
      <text>
        <r>
          <rPr>
            <b/>
            <sz val="9"/>
            <color indexed="81"/>
            <rFont val="Tahoma"/>
            <family val="2"/>
          </rPr>
          <t>Steen Hertin:</t>
        </r>
        <r>
          <rPr>
            <sz val="9"/>
            <color indexed="81"/>
            <rFont val="Tahoma"/>
            <family val="2"/>
          </rPr>
          <t xml:space="preserve">
Mødern 08.15-10.15</t>
        </r>
      </text>
    </comment>
    <comment ref="AA198" authorId="1" shapeId="0" xr:uid="{6FC028C6-FCE1-4063-87B8-4D332A7128E3}">
      <text>
        <r>
          <rPr>
            <b/>
            <sz val="9"/>
            <color indexed="81"/>
            <rFont val="Tahoma"/>
            <family val="2"/>
          </rPr>
          <t>Steen Hertin:</t>
        </r>
        <r>
          <rPr>
            <sz val="9"/>
            <color indexed="81"/>
            <rFont val="Tahoma"/>
            <family val="2"/>
          </rPr>
          <t xml:space="preserve">
Mødern 08.15-11.15</t>
        </r>
      </text>
    </comment>
    <comment ref="AC198" authorId="1" shapeId="0" xr:uid="{227850A7-D845-4BE0-A009-6DB89D55095A}">
      <text>
        <r>
          <rPr>
            <b/>
            <sz val="9"/>
            <color indexed="81"/>
            <rFont val="Tahoma"/>
            <family val="2"/>
          </rPr>
          <t>Steen Hertin:</t>
        </r>
        <r>
          <rPr>
            <sz val="9"/>
            <color indexed="81"/>
            <rFont val="Tahoma"/>
            <family val="2"/>
          </rPr>
          <t xml:space="preserve">
Mødern 08.15-11.15</t>
        </r>
      </text>
    </comment>
    <comment ref="H225" authorId="8" shapeId="0" xr:uid="{AEB6BC1F-4BFE-4BA5-8943-58BE1CF4299C}">
      <text>
        <r>
          <rPr>
            <b/>
            <sz val="9"/>
            <color indexed="81"/>
            <rFont val="Tahoma"/>
            <family val="2"/>
          </rPr>
          <t>marasm:</t>
        </r>
        <r>
          <rPr>
            <sz val="9"/>
            <color indexed="81"/>
            <rFont val="Tahoma"/>
            <family val="2"/>
          </rPr>
          <t xml:space="preserve">
-1 Time afs</t>
        </r>
      </text>
    </comment>
    <comment ref="J265" authorId="0" shapeId="0" xr:uid="{11F2505A-E9AD-4B34-A694-82EC189FBA26}">
      <text>
        <r>
          <rPr>
            <b/>
            <sz val="9"/>
            <color indexed="81"/>
            <rFont val="Tahoma"/>
            <family val="2"/>
          </rPr>
          <t>Steen Hertin-Sandkær:</t>
        </r>
        <r>
          <rPr>
            <sz val="9"/>
            <color indexed="81"/>
            <rFont val="Tahoma"/>
            <family val="2"/>
          </rPr>
          <t xml:space="preserve">
11-vagt på OA</t>
        </r>
      </text>
    </comment>
    <comment ref="G280" authorId="9" shapeId="0" xr:uid="{0B658AAB-814B-48C4-93F9-F5C5570FFDC3}">
      <text>
        <r>
          <rPr>
            <b/>
            <sz val="9"/>
            <color indexed="81"/>
            <rFont val="Tahoma"/>
            <family val="2"/>
          </rPr>
          <t>Marianne Rasmussen:</t>
        </r>
        <r>
          <rPr>
            <sz val="9"/>
            <color indexed="81"/>
            <rFont val="Tahoma"/>
            <family val="2"/>
          </rPr>
          <t xml:space="preserve">
- 2 timer i afs</t>
        </r>
      </text>
    </comment>
    <comment ref="I280" authorId="9" shapeId="0" xr:uid="{D3EE8668-AB72-4C3F-B877-8BA2199B0589}">
      <text>
        <r>
          <rPr>
            <b/>
            <sz val="9"/>
            <color indexed="81"/>
            <rFont val="Tahoma"/>
            <family val="2"/>
          </rPr>
          <t>Marianne Rasmussen:</t>
        </r>
        <r>
          <rPr>
            <sz val="9"/>
            <color indexed="81"/>
            <rFont val="Tahoma"/>
            <family val="2"/>
          </rPr>
          <t xml:space="preserve">
- 4 Timer afs</t>
        </r>
      </text>
    </comment>
    <comment ref="AD280" authorId="9" shapeId="0" xr:uid="{74BA7ACE-FCB0-4CA2-8B5F-C3E4CBE0637A}">
      <text>
        <r>
          <rPr>
            <b/>
            <sz val="9"/>
            <color indexed="81"/>
            <rFont val="Tahoma"/>
            <family val="2"/>
          </rPr>
          <t>Marianne Rasmussen:</t>
        </r>
        <r>
          <rPr>
            <sz val="9"/>
            <color indexed="81"/>
            <rFont val="Tahoma"/>
            <family val="2"/>
          </rPr>
          <t xml:space="preserve">
- 3,5 Timer i afs</t>
        </r>
      </text>
    </comment>
    <comment ref="AE280" authorId="9" shapeId="0" xr:uid="{A3A68D82-6D19-481A-B5F4-F9821BD1727D}">
      <text>
        <r>
          <rPr>
            <b/>
            <sz val="9"/>
            <color indexed="81"/>
            <rFont val="Tahoma"/>
            <family val="2"/>
          </rPr>
          <t>Marianne Rasmussen:</t>
        </r>
        <r>
          <rPr>
            <sz val="9"/>
            <color indexed="81"/>
            <rFont val="Tahoma"/>
            <family val="2"/>
          </rPr>
          <t xml:space="preserve">
- 3 timer afs</t>
        </r>
      </text>
    </comment>
    <comment ref="X281" authorId="9" shapeId="0" xr:uid="{ADDE8FC7-ECA2-43C4-B740-010335C2BED9}">
      <text>
        <r>
          <rPr>
            <b/>
            <sz val="9"/>
            <color indexed="81"/>
            <rFont val="Tahoma"/>
            <family val="2"/>
          </rPr>
          <t>Marianne Rasmussen:</t>
        </r>
        <r>
          <rPr>
            <sz val="9"/>
            <color indexed="81"/>
            <rFont val="Tahoma"/>
            <family val="2"/>
          </rPr>
          <t xml:space="preserve">
- 2 timer i afs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Steen Hertin-Sandkær</author>
    <author>Thomas Holm</author>
    <author>marasm</author>
    <author>Nick Lorentzen</author>
    <author>Nikolaj Langtin Pamhede</author>
    <author>Steen Hertin</author>
    <author>Michael Bo Pedersen</author>
    <author>Kim Holm Aabroe</author>
    <author>Rasmus Sørensen</author>
    <author>Kim BT. Pedersen</author>
    <author>Marianne Rasmussen</author>
  </authors>
  <commentList>
    <comment ref="Z15" authorId="0" shapeId="0" xr:uid="{B25D7946-E086-4C5F-B601-FB65AD5A3090}">
      <text>
        <r>
          <rPr>
            <b/>
            <sz val="9"/>
            <color indexed="81"/>
            <rFont val="Tahoma"/>
            <family val="2"/>
          </rPr>
          <t>Steen Hertin-Sandkær:</t>
        </r>
        <r>
          <rPr>
            <sz val="9"/>
            <color indexed="81"/>
            <rFont val="Tahoma"/>
            <family val="2"/>
          </rPr>
          <t xml:space="preserve">
kursus 09-12</t>
        </r>
      </text>
    </comment>
    <comment ref="T17" authorId="0" shapeId="0" xr:uid="{F9388052-1CE0-45A8-BEDC-579AEBBF0E43}">
      <text>
        <r>
          <rPr>
            <b/>
            <sz val="9"/>
            <color indexed="81"/>
            <rFont val="Tahoma"/>
            <family val="2"/>
          </rPr>
          <t>Steen Hertin-Sandkær:</t>
        </r>
        <r>
          <rPr>
            <sz val="9"/>
            <color indexed="81"/>
            <rFont val="Tahoma"/>
            <family val="2"/>
          </rPr>
          <t xml:space="preserve">
kursus 09-12</t>
        </r>
      </text>
    </comment>
    <comment ref="AG17" authorId="1" shapeId="0" xr:uid="{1779C459-C252-41B5-BC48-341FA07951AC}">
      <text>
        <r>
          <rPr>
            <b/>
            <sz val="9"/>
            <color indexed="81"/>
            <rFont val="Tahoma"/>
            <family val="2"/>
          </rPr>
          <t>Thomas Holm:</t>
        </r>
        <r>
          <rPr>
            <sz val="9"/>
            <color indexed="81"/>
            <rFont val="Tahoma"/>
            <family val="2"/>
          </rPr>
          <t xml:space="preserve">
Møde vedr. Dronningens jubilæum + med HBR</t>
        </r>
      </text>
    </comment>
    <comment ref="R18" authorId="0" shapeId="0" xr:uid="{FB4DDA33-7481-4D74-8F16-452B823CCB9C}">
      <text>
        <r>
          <rPr>
            <b/>
            <sz val="9"/>
            <color indexed="81"/>
            <rFont val="Tahoma"/>
            <family val="2"/>
          </rPr>
          <t>Steen Hertin-Sandkær:</t>
        </r>
        <r>
          <rPr>
            <sz val="9"/>
            <color indexed="81"/>
            <rFont val="Tahoma"/>
            <family val="2"/>
          </rPr>
          <t xml:space="preserve">
kursus 09-12</t>
        </r>
      </text>
    </comment>
    <comment ref="I20" authorId="0" shapeId="0" xr:uid="{D89600F3-D037-4DEB-8C0F-6756AAB8CFEE}">
      <text>
        <r>
          <rPr>
            <b/>
            <sz val="9"/>
            <color indexed="81"/>
            <rFont val="Tahoma"/>
            <family val="2"/>
          </rPr>
          <t>Steen Hertin-Sandkær:</t>
        </r>
        <r>
          <rPr>
            <sz val="9"/>
            <color indexed="81"/>
            <rFont val="Tahoma"/>
            <family val="2"/>
          </rPr>
          <t xml:space="preserve">
Copenhagen 08-15</t>
        </r>
      </text>
    </comment>
    <comment ref="P20" authorId="0" shapeId="0" xr:uid="{FD4DD982-F7E1-4404-8D23-9F00E2C58E42}">
      <text>
        <r>
          <rPr>
            <b/>
            <sz val="9"/>
            <color indexed="81"/>
            <rFont val="Tahoma"/>
            <family val="2"/>
          </rPr>
          <t>Steen Hertin-Sandkær:</t>
        </r>
        <r>
          <rPr>
            <sz val="9"/>
            <color indexed="81"/>
            <rFont val="Tahoma"/>
            <family val="2"/>
          </rPr>
          <t xml:space="preserve">
Copenhagen 08-15</t>
        </r>
      </text>
    </comment>
    <comment ref="S20" authorId="2" shapeId="0" xr:uid="{755AEA1E-6C8F-4DBA-8D33-F79959401F3D}">
      <text>
        <r>
          <rPr>
            <b/>
            <sz val="9"/>
            <color indexed="81"/>
            <rFont val="Tahoma"/>
            <family val="2"/>
          </rPr>
          <t>marasm:</t>
        </r>
        <r>
          <rPr>
            <sz val="9"/>
            <color indexed="81"/>
            <rFont val="Tahoma"/>
            <family val="2"/>
          </rPr>
          <t xml:space="preserve">
- 13-1545 afs timer</t>
        </r>
      </text>
    </comment>
    <comment ref="T20" authorId="0" shapeId="0" xr:uid="{D1C6DC54-A9CF-4A8C-81FF-D06AFB490049}">
      <text>
        <r>
          <rPr>
            <b/>
            <sz val="9"/>
            <color indexed="81"/>
            <rFont val="Tahoma"/>
            <family val="2"/>
          </rPr>
          <t>Steen Hertin-Sandkær:</t>
        </r>
        <r>
          <rPr>
            <sz val="9"/>
            <color indexed="81"/>
            <rFont val="Tahoma"/>
            <family val="2"/>
          </rPr>
          <t xml:space="preserve">
kursus 09-12</t>
        </r>
      </text>
    </comment>
    <comment ref="Q26" authorId="0" shapeId="0" xr:uid="{8A410799-648E-490D-BD97-FF6C450FDB37}">
      <text>
        <r>
          <rPr>
            <b/>
            <sz val="9"/>
            <color indexed="81"/>
            <rFont val="Tahoma"/>
            <family val="2"/>
          </rPr>
          <t>Steen Hertin-Sandkær:</t>
        </r>
        <r>
          <rPr>
            <sz val="9"/>
            <color indexed="81"/>
            <rFont val="Tahoma"/>
            <family val="2"/>
          </rPr>
          <t xml:space="preserve">
kursus 09-12</t>
        </r>
      </text>
    </comment>
    <comment ref="S26" authorId="0" shapeId="0" xr:uid="{FD4513FB-2480-413D-83F3-EEAF26E9D35C}">
      <text>
        <r>
          <rPr>
            <b/>
            <sz val="9"/>
            <color indexed="81"/>
            <rFont val="Tahoma"/>
            <family val="2"/>
          </rPr>
          <t>Steen Hertin-Sandkær:</t>
        </r>
        <r>
          <rPr>
            <sz val="9"/>
            <color indexed="81"/>
            <rFont val="Tahoma"/>
            <family val="2"/>
          </rPr>
          <t xml:space="preserve">
kursus 09-12</t>
        </r>
      </text>
    </comment>
    <comment ref="Z26" authorId="0" shapeId="0" xr:uid="{37AE2622-D745-443E-B9A0-3979525E7054}">
      <text>
        <r>
          <rPr>
            <b/>
            <sz val="9"/>
            <color indexed="81"/>
            <rFont val="Tahoma"/>
            <family val="2"/>
          </rPr>
          <t>Steen Hertin-Sandkær:</t>
        </r>
        <r>
          <rPr>
            <sz val="9"/>
            <color indexed="81"/>
            <rFont val="Tahoma"/>
            <family val="2"/>
          </rPr>
          <t xml:space="preserve">
kursus 09-12</t>
        </r>
      </text>
    </comment>
    <comment ref="AB26" authorId="0" shapeId="0" xr:uid="{62ED4D48-9977-4EB5-9845-4154179D5950}">
      <text>
        <r>
          <rPr>
            <b/>
            <sz val="9"/>
            <color indexed="81"/>
            <rFont val="Tahoma"/>
            <family val="2"/>
          </rPr>
          <t>Steen Hertin-Sandkær:</t>
        </r>
        <r>
          <rPr>
            <sz val="9"/>
            <color indexed="81"/>
            <rFont val="Tahoma"/>
            <family val="2"/>
          </rPr>
          <t xml:space="preserve">
kursus 09-12</t>
        </r>
      </text>
    </comment>
    <comment ref="AD26" authorId="3" shapeId="0" xr:uid="{A23895BC-AA97-44CE-81CE-F6C163E4B0FA}">
      <text>
        <r>
          <rPr>
            <b/>
            <sz val="9"/>
            <color indexed="81"/>
            <rFont val="Tahoma"/>
            <family val="2"/>
          </rPr>
          <t>Nick Lorentzen:</t>
        </r>
        <r>
          <rPr>
            <sz val="9"/>
            <color indexed="81"/>
            <rFont val="Tahoma"/>
            <family val="2"/>
          </rPr>
          <t xml:space="preserve">
Rentemestervej
Vagt bliver til kl. 18.30</t>
        </r>
      </text>
    </comment>
    <comment ref="AF26" authorId="3" shapeId="0" xr:uid="{3B6923B2-766C-4875-A71B-0024AA342B87}">
      <text>
        <r>
          <rPr>
            <b/>
            <sz val="9"/>
            <color indexed="81"/>
            <rFont val="Tahoma"/>
            <family val="2"/>
          </rPr>
          <t>Nick Lorentzen:</t>
        </r>
        <r>
          <rPr>
            <sz val="9"/>
            <color indexed="81"/>
            <rFont val="Tahoma"/>
            <family val="2"/>
          </rPr>
          <t xml:space="preserve">
Rentemestervej
Vagt Tirsdag d. 30. august til kl. 20.30</t>
        </r>
      </text>
    </comment>
    <comment ref="AG26" authorId="0" shapeId="0" xr:uid="{38AC1A51-4ACA-45A7-A171-51AB49E8FAF6}">
      <text>
        <r>
          <rPr>
            <b/>
            <sz val="9"/>
            <color indexed="81"/>
            <rFont val="Tahoma"/>
            <family val="2"/>
          </rPr>
          <t>Steen Hertin-Sandkær:</t>
        </r>
        <r>
          <rPr>
            <sz val="9"/>
            <color indexed="81"/>
            <rFont val="Tahoma"/>
            <family val="2"/>
          </rPr>
          <t xml:space="preserve">
Chauffør Rentemestervej kl. 14.30-20.00</t>
        </r>
      </text>
    </comment>
    <comment ref="Y37" authorId="0" shapeId="0" xr:uid="{B7A2A854-39C9-4B9A-A1ED-8FCCA0D8E905}">
      <text>
        <r>
          <rPr>
            <b/>
            <sz val="9"/>
            <color indexed="81"/>
            <rFont val="Tahoma"/>
            <family val="2"/>
          </rPr>
          <t>Steen Hertin-Sandkær:</t>
        </r>
        <r>
          <rPr>
            <sz val="9"/>
            <color indexed="81"/>
            <rFont val="Tahoma"/>
            <family val="2"/>
          </rPr>
          <t xml:space="preserve">
kursus 09-12</t>
        </r>
      </text>
    </comment>
    <comment ref="AG37" authorId="4" shapeId="0" xr:uid="{3582240F-D64F-4201-A892-AFE2B84C4EB1}">
      <text>
        <r>
          <rPr>
            <b/>
            <sz val="9"/>
            <color indexed="81"/>
            <rFont val="Tahoma"/>
            <family val="2"/>
          </rPr>
          <t>Nikolaj Langtin Pamhede:</t>
        </r>
        <r>
          <rPr>
            <sz val="9"/>
            <color indexed="81"/>
            <rFont val="Tahoma"/>
            <family val="2"/>
          </rPr>
          <t xml:space="preserve">
21 vagt på oa</t>
        </r>
      </text>
    </comment>
    <comment ref="C38" authorId="0" shapeId="0" xr:uid="{16F211D5-16C7-44CC-8EA6-D955FB16E1C5}">
      <text>
        <r>
          <rPr>
            <b/>
            <sz val="9"/>
            <color indexed="81"/>
            <rFont val="Tahoma"/>
            <family val="2"/>
          </rPr>
          <t>Steen Hertin-Sandkær:</t>
        </r>
        <r>
          <rPr>
            <sz val="9"/>
            <color indexed="81"/>
            <rFont val="Tahoma"/>
            <family val="2"/>
          </rPr>
          <t xml:space="preserve">
Copenhagen 08-15</t>
        </r>
      </text>
    </comment>
    <comment ref="D38" authorId="0" shapeId="0" xr:uid="{F796AFC2-0565-4B58-9D25-0F408BB3BEA8}">
      <text>
        <r>
          <rPr>
            <b/>
            <sz val="9"/>
            <color indexed="81"/>
            <rFont val="Tahoma"/>
            <family val="2"/>
          </rPr>
          <t>Steen Hertin-Sandkær:</t>
        </r>
        <r>
          <rPr>
            <sz val="9"/>
            <color indexed="81"/>
            <rFont val="Tahoma"/>
            <family val="2"/>
          </rPr>
          <t xml:space="preserve">
Copenhagen 08-15</t>
        </r>
      </text>
    </comment>
    <comment ref="H38" authorId="0" shapeId="0" xr:uid="{BC7FE38F-DF1D-41D6-9184-6E8F2EFCEDEA}">
      <text>
        <r>
          <rPr>
            <b/>
            <sz val="9"/>
            <color indexed="81"/>
            <rFont val="Tahoma"/>
            <family val="2"/>
          </rPr>
          <t>Steen Hertin-Sandkær:</t>
        </r>
        <r>
          <rPr>
            <sz val="9"/>
            <color indexed="81"/>
            <rFont val="Tahoma"/>
            <family val="2"/>
          </rPr>
          <t xml:space="preserve">
Copenhagen 08-15</t>
        </r>
      </text>
    </comment>
    <comment ref="Y38" authorId="0" shapeId="0" xr:uid="{7B32194B-0C7A-4F71-93C9-A582057BCFBC}">
      <text>
        <r>
          <rPr>
            <b/>
            <sz val="9"/>
            <color indexed="81"/>
            <rFont val="Tahoma"/>
            <family val="2"/>
          </rPr>
          <t>Steen Hertin-Sandkær:</t>
        </r>
        <r>
          <rPr>
            <sz val="9"/>
            <color indexed="81"/>
            <rFont val="Tahoma"/>
            <family val="2"/>
          </rPr>
          <t xml:space="preserve">
kursus 09-12</t>
        </r>
      </text>
    </comment>
    <comment ref="C39" authorId="0" shapeId="0" xr:uid="{893D0F87-357D-4A81-A4F6-1499087F0E06}">
      <text>
        <r>
          <rPr>
            <b/>
            <sz val="9"/>
            <color indexed="81"/>
            <rFont val="Tahoma"/>
            <family val="2"/>
          </rPr>
          <t>Steen Hertin-Sandkær:</t>
        </r>
        <r>
          <rPr>
            <sz val="9"/>
            <color indexed="81"/>
            <rFont val="Tahoma"/>
            <family val="2"/>
          </rPr>
          <t xml:space="preserve">
Fejer for Johnny</t>
        </r>
      </text>
    </comment>
    <comment ref="D39" authorId="0" shapeId="0" xr:uid="{B9AB6234-541B-48FD-9DEB-19E32ADDBAB9}">
      <text>
        <r>
          <rPr>
            <b/>
            <sz val="9"/>
            <color indexed="81"/>
            <rFont val="Tahoma"/>
            <family val="2"/>
          </rPr>
          <t>Steen Hertin-Sandkær:</t>
        </r>
        <r>
          <rPr>
            <sz val="9"/>
            <color indexed="81"/>
            <rFont val="Tahoma"/>
            <family val="2"/>
          </rPr>
          <t xml:space="preserve">
Fejer for Johnny</t>
        </r>
      </text>
    </comment>
    <comment ref="E39" authorId="0" shapeId="0" xr:uid="{6BC7E8C6-A19A-4406-93FA-105FB56DCE9F}">
      <text>
        <r>
          <rPr>
            <b/>
            <sz val="9"/>
            <color indexed="81"/>
            <rFont val="Tahoma"/>
            <family val="2"/>
          </rPr>
          <t>Steen Hertin-Sandkær:</t>
        </r>
        <r>
          <rPr>
            <sz val="9"/>
            <color indexed="81"/>
            <rFont val="Tahoma"/>
            <family val="2"/>
          </rPr>
          <t xml:space="preserve">
Fri</t>
        </r>
      </text>
    </comment>
    <comment ref="F39" authorId="0" shapeId="0" xr:uid="{E4753E24-5A84-4EAB-992E-ED54E279672D}">
      <text>
        <r>
          <rPr>
            <b/>
            <sz val="9"/>
            <color indexed="81"/>
            <rFont val="Tahoma"/>
            <family val="2"/>
          </rPr>
          <t>Steen Hertin-Sandkær:</t>
        </r>
        <r>
          <rPr>
            <sz val="9"/>
            <color indexed="81"/>
            <rFont val="Tahoma"/>
            <family val="2"/>
          </rPr>
          <t xml:space="preserve">
Fejer for Johnny</t>
        </r>
      </text>
    </comment>
    <comment ref="G39" authorId="0" shapeId="0" xr:uid="{E66818C1-C7E3-48B3-AC54-3BC4382F9469}">
      <text>
        <r>
          <rPr>
            <b/>
            <sz val="9"/>
            <color indexed="81"/>
            <rFont val="Tahoma"/>
            <family val="2"/>
          </rPr>
          <t>Steen Hertin-Sandkær:</t>
        </r>
        <r>
          <rPr>
            <sz val="9"/>
            <color indexed="81"/>
            <rFont val="Tahoma"/>
            <family val="2"/>
          </rPr>
          <t xml:space="preserve">
Fejer for Johnny</t>
        </r>
      </text>
    </comment>
    <comment ref="J39" authorId="0" shapeId="0" xr:uid="{4AC0514B-88B1-447A-96FF-7C85CE095601}">
      <text>
        <r>
          <rPr>
            <b/>
            <sz val="9"/>
            <color indexed="81"/>
            <rFont val="Tahoma"/>
            <family val="2"/>
          </rPr>
          <t>Steen Hertin-Sandkær:</t>
        </r>
        <r>
          <rPr>
            <sz val="9"/>
            <color indexed="81"/>
            <rFont val="Tahoma"/>
            <family val="2"/>
          </rPr>
          <t xml:space="preserve">
Fejer for Johnny</t>
        </r>
      </text>
    </comment>
    <comment ref="K39" authorId="0" shapeId="0" xr:uid="{622BBEAF-F313-4C2C-BFA9-15173BA61F25}">
      <text>
        <r>
          <rPr>
            <b/>
            <sz val="9"/>
            <color indexed="81"/>
            <rFont val="Tahoma"/>
            <family val="2"/>
          </rPr>
          <t>Steen Hertin-Sandkær:</t>
        </r>
        <r>
          <rPr>
            <sz val="9"/>
            <color indexed="81"/>
            <rFont val="Tahoma"/>
            <family val="2"/>
          </rPr>
          <t xml:space="preserve">
Fejer for Johnny</t>
        </r>
      </text>
    </comment>
    <comment ref="L39" authorId="0" shapeId="0" xr:uid="{E202B56C-986D-45E7-94BF-0ED886942D13}">
      <text>
        <r>
          <rPr>
            <b/>
            <sz val="9"/>
            <color indexed="81"/>
            <rFont val="Tahoma"/>
            <family val="2"/>
          </rPr>
          <t>Steen Hertin-Sandkær:</t>
        </r>
        <r>
          <rPr>
            <sz val="9"/>
            <color indexed="81"/>
            <rFont val="Tahoma"/>
            <family val="2"/>
          </rPr>
          <t xml:space="preserve">
Fri</t>
        </r>
      </text>
    </comment>
    <comment ref="M39" authorId="0" shapeId="0" xr:uid="{B250244A-912A-49B7-BA14-F5C3985EA76E}">
      <text>
        <r>
          <rPr>
            <b/>
            <sz val="9"/>
            <color indexed="81"/>
            <rFont val="Tahoma"/>
            <family val="2"/>
          </rPr>
          <t>Steen Hertin-Sandkær:</t>
        </r>
        <r>
          <rPr>
            <sz val="9"/>
            <color indexed="81"/>
            <rFont val="Tahoma"/>
            <family val="2"/>
          </rPr>
          <t xml:space="preserve">
Fejer for Johnny</t>
        </r>
      </text>
    </comment>
    <comment ref="N39" authorId="0" shapeId="0" xr:uid="{E204246D-6AF1-44E7-9CC4-D3FF1189AEDC}">
      <text>
        <r>
          <rPr>
            <b/>
            <sz val="9"/>
            <color indexed="81"/>
            <rFont val="Tahoma"/>
            <family val="2"/>
          </rPr>
          <t>Steen Hertin-Sandkær:</t>
        </r>
        <r>
          <rPr>
            <sz val="9"/>
            <color indexed="81"/>
            <rFont val="Tahoma"/>
            <family val="2"/>
          </rPr>
          <t xml:space="preserve">
Fejer for Johnny</t>
        </r>
      </text>
    </comment>
    <comment ref="Q39" authorId="0" shapeId="0" xr:uid="{8C3F2015-B65B-47C1-8D75-0513A60BC34F}">
      <text>
        <r>
          <rPr>
            <b/>
            <sz val="9"/>
            <color indexed="81"/>
            <rFont val="Tahoma"/>
            <family val="2"/>
          </rPr>
          <t>Steen Hertin-Sandkær:</t>
        </r>
        <r>
          <rPr>
            <sz val="9"/>
            <color indexed="81"/>
            <rFont val="Tahoma"/>
            <family val="2"/>
          </rPr>
          <t xml:space="preserve">
Fejer for Johnny</t>
        </r>
      </text>
    </comment>
    <comment ref="R39" authorId="0" shapeId="0" xr:uid="{5924B686-61A1-472E-B694-A5C6C3C10D8B}">
      <text>
        <r>
          <rPr>
            <b/>
            <sz val="9"/>
            <color indexed="81"/>
            <rFont val="Tahoma"/>
            <family val="2"/>
          </rPr>
          <t>Steen Hertin-Sandkær:</t>
        </r>
        <r>
          <rPr>
            <sz val="9"/>
            <color indexed="81"/>
            <rFont val="Tahoma"/>
            <family val="2"/>
          </rPr>
          <t xml:space="preserve">
Fejer for Johnny</t>
        </r>
      </text>
    </comment>
    <comment ref="S39" authorId="0" shapeId="0" xr:uid="{096615B2-5DEF-40F6-A0B9-26AA16D4A081}">
      <text>
        <r>
          <rPr>
            <b/>
            <sz val="9"/>
            <color indexed="81"/>
            <rFont val="Tahoma"/>
            <family val="2"/>
          </rPr>
          <t>Steen Hertin-Sandkær:</t>
        </r>
        <r>
          <rPr>
            <sz val="9"/>
            <color indexed="81"/>
            <rFont val="Tahoma"/>
            <family val="2"/>
          </rPr>
          <t xml:space="preserve">
Fri</t>
        </r>
      </text>
    </comment>
    <comment ref="T39" authorId="0" shapeId="0" xr:uid="{9EBE811F-3AF5-4FB1-B935-74B81AA9309D}">
      <text>
        <r>
          <rPr>
            <b/>
            <sz val="9"/>
            <color indexed="81"/>
            <rFont val="Tahoma"/>
            <family val="2"/>
          </rPr>
          <t>Steen Hertin-Sandkær:</t>
        </r>
        <r>
          <rPr>
            <sz val="9"/>
            <color indexed="81"/>
            <rFont val="Tahoma"/>
            <family val="2"/>
          </rPr>
          <t xml:space="preserve">
Fejer for Johnny</t>
        </r>
      </text>
    </comment>
    <comment ref="U39" authorId="0" shapeId="0" xr:uid="{0E17A629-AD90-4EB5-B6ED-ABE05FAC4E26}">
      <text>
        <r>
          <rPr>
            <b/>
            <sz val="9"/>
            <color indexed="81"/>
            <rFont val="Tahoma"/>
            <family val="2"/>
          </rPr>
          <t>Steen Hertin-Sandkær:</t>
        </r>
        <r>
          <rPr>
            <sz val="9"/>
            <color indexed="81"/>
            <rFont val="Tahoma"/>
            <family val="2"/>
          </rPr>
          <t xml:space="preserve">
Fejer for Johnny</t>
        </r>
      </text>
    </comment>
    <comment ref="X39" authorId="0" shapeId="0" xr:uid="{D4166947-6920-4E52-8AF5-EB988E5C932D}">
      <text>
        <r>
          <rPr>
            <b/>
            <sz val="9"/>
            <color indexed="81"/>
            <rFont val="Tahoma"/>
            <family val="2"/>
          </rPr>
          <t>Steen Hertin-Sandkær:</t>
        </r>
        <r>
          <rPr>
            <sz val="9"/>
            <color indexed="81"/>
            <rFont val="Tahoma"/>
            <family val="2"/>
          </rPr>
          <t xml:space="preserve">
Fejer for Johnny</t>
        </r>
      </text>
    </comment>
    <comment ref="Y39" authorId="0" shapeId="0" xr:uid="{FA9DB6C7-8A30-4902-A73F-8A7E14571011}">
      <text>
        <r>
          <rPr>
            <b/>
            <sz val="9"/>
            <color indexed="81"/>
            <rFont val="Tahoma"/>
            <family val="2"/>
          </rPr>
          <t>Steen Hertin-Sandkær:</t>
        </r>
        <r>
          <rPr>
            <sz val="9"/>
            <color indexed="81"/>
            <rFont val="Tahoma"/>
            <family val="2"/>
          </rPr>
          <t xml:space="preserve">
Fejer for Johnny</t>
        </r>
      </text>
    </comment>
    <comment ref="Z39" authorId="0" shapeId="0" xr:uid="{2479EE73-2742-4C4B-9BFC-2B226C91CB10}">
      <text>
        <r>
          <rPr>
            <b/>
            <sz val="9"/>
            <color indexed="81"/>
            <rFont val="Tahoma"/>
            <family val="2"/>
          </rPr>
          <t>Steen Hertin-Sandkær:</t>
        </r>
        <r>
          <rPr>
            <sz val="9"/>
            <color indexed="81"/>
            <rFont val="Tahoma"/>
            <family val="2"/>
          </rPr>
          <t xml:space="preserve">
Fri</t>
        </r>
      </text>
    </comment>
    <comment ref="AA39" authorId="0" shapeId="0" xr:uid="{F7541DA0-ED90-4E40-8DD2-AFBE3A4F5CFA}">
      <text>
        <r>
          <rPr>
            <b/>
            <sz val="9"/>
            <color indexed="81"/>
            <rFont val="Tahoma"/>
            <family val="2"/>
          </rPr>
          <t>Steen Hertin-Sandkær:</t>
        </r>
        <r>
          <rPr>
            <sz val="9"/>
            <color indexed="81"/>
            <rFont val="Tahoma"/>
            <family val="2"/>
          </rPr>
          <t xml:space="preserve">
Fejer for Johnny</t>
        </r>
      </text>
    </comment>
    <comment ref="AB39" authorId="0" shapeId="0" xr:uid="{15958F7F-E48C-4AAE-80A1-09051253F43E}">
      <text>
        <r>
          <rPr>
            <b/>
            <sz val="9"/>
            <color indexed="81"/>
            <rFont val="Tahoma"/>
            <family val="2"/>
          </rPr>
          <t>Steen Hertin-Sandkær:</t>
        </r>
        <r>
          <rPr>
            <sz val="9"/>
            <color indexed="81"/>
            <rFont val="Tahoma"/>
            <family val="2"/>
          </rPr>
          <t xml:space="preserve">
kursus 09-12 + feje for Johnny</t>
        </r>
      </text>
    </comment>
    <comment ref="AE39" authorId="0" shapeId="0" xr:uid="{87320988-CACB-42F9-8818-3634BEAFE577}">
      <text>
        <r>
          <rPr>
            <b/>
            <sz val="9"/>
            <color indexed="81"/>
            <rFont val="Tahoma"/>
            <family val="2"/>
          </rPr>
          <t>Steen Hertin-Sandkær:</t>
        </r>
        <r>
          <rPr>
            <sz val="9"/>
            <color indexed="81"/>
            <rFont val="Tahoma"/>
            <family val="2"/>
          </rPr>
          <t xml:space="preserve">
Fejer for Johnny</t>
        </r>
      </text>
    </comment>
    <comment ref="AF39" authorId="0" shapeId="0" xr:uid="{1DA1EDB3-CDDA-454B-99DB-42BF20AE9BB3}">
      <text>
        <r>
          <rPr>
            <b/>
            <sz val="9"/>
            <color indexed="81"/>
            <rFont val="Tahoma"/>
            <family val="2"/>
          </rPr>
          <t>Steen Hertin-Sandkær:</t>
        </r>
        <r>
          <rPr>
            <sz val="9"/>
            <color indexed="81"/>
            <rFont val="Tahoma"/>
            <family val="2"/>
          </rPr>
          <t xml:space="preserve">
Fejer for Johnny</t>
        </r>
      </text>
    </comment>
    <comment ref="AG39" authorId="0" shapeId="0" xr:uid="{4FA082B5-82D2-4E49-9250-FF34CF079268}">
      <text>
        <r>
          <rPr>
            <b/>
            <sz val="9"/>
            <color indexed="81"/>
            <rFont val="Tahoma"/>
            <family val="2"/>
          </rPr>
          <t>Steen Hertin-Sandkær:</t>
        </r>
        <r>
          <rPr>
            <sz val="9"/>
            <color indexed="81"/>
            <rFont val="Tahoma"/>
            <family val="2"/>
          </rPr>
          <t xml:space="preserve">
Fri</t>
        </r>
      </text>
    </comment>
    <comment ref="R42" authorId="5" shapeId="0" xr:uid="{274B7CCF-F96E-4D2F-9016-519DB9146588}">
      <text>
        <r>
          <rPr>
            <b/>
            <sz val="9"/>
            <color indexed="81"/>
            <rFont val="Tahoma"/>
            <family val="2"/>
          </rPr>
          <t>Steen Hertin:</t>
        </r>
        <r>
          <rPr>
            <sz val="9"/>
            <color indexed="81"/>
            <rFont val="Tahoma"/>
            <family val="2"/>
          </rPr>
          <t xml:space="preserve">
Copenhagen 08-15</t>
        </r>
      </text>
    </comment>
    <comment ref="S42" authorId="5" shapeId="0" xr:uid="{CC7D60AB-6F42-4F76-9E3D-B984F3753FF4}">
      <text>
        <r>
          <rPr>
            <b/>
            <sz val="9"/>
            <color indexed="81"/>
            <rFont val="Tahoma"/>
            <family val="2"/>
          </rPr>
          <t>Steen Hertin:</t>
        </r>
        <r>
          <rPr>
            <sz val="9"/>
            <color indexed="81"/>
            <rFont val="Tahoma"/>
            <family val="2"/>
          </rPr>
          <t xml:space="preserve">
Copenhagen 08-15</t>
        </r>
      </text>
    </comment>
    <comment ref="T42" authorId="0" shapeId="0" xr:uid="{94F988FA-7575-4ACB-AFE3-388F0F081A9D}">
      <text>
        <r>
          <rPr>
            <b/>
            <sz val="9"/>
            <color indexed="81"/>
            <rFont val="Tahoma"/>
            <family val="2"/>
          </rPr>
          <t>Steen Hertin-Sandkær:</t>
        </r>
        <r>
          <rPr>
            <sz val="9"/>
            <color indexed="81"/>
            <rFont val="Tahoma"/>
            <family val="2"/>
          </rPr>
          <t xml:space="preserve">
kursus 09-12</t>
        </r>
      </text>
    </comment>
    <comment ref="U42" authorId="5" shapeId="0" xr:uid="{41034DD3-B62A-4D04-8D59-4689A2FA4FC1}">
      <text>
        <r>
          <rPr>
            <b/>
            <sz val="9"/>
            <color indexed="81"/>
            <rFont val="Tahoma"/>
            <family val="2"/>
          </rPr>
          <t>Steen Hertin:</t>
        </r>
        <r>
          <rPr>
            <sz val="9"/>
            <color indexed="81"/>
            <rFont val="Tahoma"/>
            <family val="2"/>
          </rPr>
          <t xml:space="preserve">
Copenhagen 08-15</t>
        </r>
      </text>
    </comment>
    <comment ref="AE42" authorId="5" shapeId="0" xr:uid="{7F650ED2-DB47-48F5-B4C1-7826165315EA}">
      <text>
        <r>
          <rPr>
            <b/>
            <sz val="9"/>
            <color indexed="81"/>
            <rFont val="Tahoma"/>
            <family val="2"/>
          </rPr>
          <t>Steen Hertin:</t>
        </r>
        <r>
          <rPr>
            <sz val="9"/>
            <color indexed="81"/>
            <rFont val="Tahoma"/>
            <family val="2"/>
          </rPr>
          <t xml:space="preserve">
Copenhagen 08-15</t>
        </r>
      </text>
    </comment>
    <comment ref="AF42" authorId="5" shapeId="0" xr:uid="{E49C83C1-641E-4CA5-A333-3C8A172E5CF0}">
      <text>
        <r>
          <rPr>
            <b/>
            <sz val="9"/>
            <color indexed="81"/>
            <rFont val="Tahoma"/>
            <family val="2"/>
          </rPr>
          <t>Steen Hertin:</t>
        </r>
        <r>
          <rPr>
            <sz val="9"/>
            <color indexed="81"/>
            <rFont val="Tahoma"/>
            <family val="2"/>
          </rPr>
          <t xml:space="preserve">
Copenhagen 08-15</t>
        </r>
      </text>
    </comment>
    <comment ref="AG42" authorId="5" shapeId="0" xr:uid="{FBCC95A5-7CAE-4AAD-9ABB-2180D83515F3}">
      <text>
        <r>
          <rPr>
            <b/>
            <sz val="9"/>
            <color indexed="81"/>
            <rFont val="Tahoma"/>
            <family val="2"/>
          </rPr>
          <t>Steen Hertin:</t>
        </r>
        <r>
          <rPr>
            <sz val="9"/>
            <color indexed="81"/>
            <rFont val="Tahoma"/>
            <family val="2"/>
          </rPr>
          <t xml:space="preserve">
Copenhagen 08-15</t>
        </r>
      </text>
    </comment>
    <comment ref="Y44" authorId="0" shapeId="0" xr:uid="{55E79BA8-F26C-42C9-8539-2D476BDB5346}">
      <text>
        <r>
          <rPr>
            <b/>
            <sz val="9"/>
            <color indexed="81"/>
            <rFont val="Tahoma"/>
            <family val="2"/>
          </rPr>
          <t>Steen Hertin-Sandkær:</t>
        </r>
        <r>
          <rPr>
            <sz val="9"/>
            <color indexed="81"/>
            <rFont val="Tahoma"/>
            <family val="2"/>
          </rPr>
          <t xml:space="preserve">
kursus 09-12</t>
        </r>
      </text>
    </comment>
    <comment ref="AG44" authorId="1" shapeId="0" xr:uid="{9240F577-17C4-4947-9ED9-1DA6014F2E50}">
      <text>
        <r>
          <rPr>
            <b/>
            <sz val="9"/>
            <color indexed="81"/>
            <rFont val="Tahoma"/>
            <family val="2"/>
          </rPr>
          <t>Thomas Holm:</t>
        </r>
        <r>
          <rPr>
            <sz val="9"/>
            <color indexed="81"/>
            <rFont val="Tahoma"/>
            <family val="2"/>
          </rPr>
          <t xml:space="preserve">
Til lægen
møder kl. 10.00</t>
        </r>
      </text>
    </comment>
    <comment ref="D46" authorId="6" shapeId="0" xr:uid="{D4B6026B-BABF-436E-83A6-C7B812FB12A7}">
      <text>
        <r>
          <rPr>
            <b/>
            <sz val="9"/>
            <color indexed="81"/>
            <rFont val="Tahoma"/>
            <family val="2"/>
          </rPr>
          <t>Michael Bo Pedersen:</t>
        </r>
        <r>
          <rPr>
            <sz val="9"/>
            <color indexed="81"/>
            <rFont val="Tahoma"/>
            <family val="2"/>
          </rPr>
          <t xml:space="preserve">
1-vagt</t>
        </r>
      </text>
    </comment>
    <comment ref="E46" authorId="0" shapeId="0" xr:uid="{FFE3D11C-8ABA-4275-9F95-C6BF8E23AE2D}">
      <text>
        <r>
          <rPr>
            <b/>
            <sz val="9"/>
            <color indexed="81"/>
            <rFont val="Tahoma"/>
            <family val="2"/>
          </rPr>
          <t>Steen Hertin-Sandkær:</t>
        </r>
        <r>
          <rPr>
            <sz val="9"/>
            <color indexed="81"/>
            <rFont val="Tahoma"/>
            <family val="2"/>
          </rPr>
          <t xml:space="preserve">
Copenhagen 08-15</t>
        </r>
      </text>
    </comment>
    <comment ref="F46" authorId="0" shapeId="0" xr:uid="{BF847F54-783D-4438-8B61-74ABB5307975}">
      <text>
        <r>
          <rPr>
            <b/>
            <sz val="9"/>
            <color indexed="81"/>
            <rFont val="Tahoma"/>
            <family val="2"/>
          </rPr>
          <t>Steen Hertin-Sandkær:</t>
        </r>
        <r>
          <rPr>
            <sz val="9"/>
            <color indexed="81"/>
            <rFont val="Tahoma"/>
            <family val="2"/>
          </rPr>
          <t xml:space="preserve">
Copenhagen 08-15</t>
        </r>
      </text>
    </comment>
    <comment ref="G46" authorId="0" shapeId="0" xr:uid="{BA8EDAA8-68C0-4702-AA00-BE1AFEE7D689}">
      <text>
        <r>
          <rPr>
            <b/>
            <sz val="9"/>
            <color indexed="81"/>
            <rFont val="Tahoma"/>
            <family val="2"/>
          </rPr>
          <t>Steen Hertin-Sandkær:</t>
        </r>
        <r>
          <rPr>
            <sz val="9"/>
            <color indexed="81"/>
            <rFont val="Tahoma"/>
            <family val="2"/>
          </rPr>
          <t xml:space="preserve">
Copenhagen 08-15</t>
        </r>
      </text>
    </comment>
    <comment ref="K46" authorId="5" shapeId="0" xr:uid="{307A8D26-F977-4A03-8C7E-AD0406F26D5B}">
      <text>
        <r>
          <rPr>
            <b/>
            <sz val="9"/>
            <color indexed="81"/>
            <rFont val="Tahoma"/>
            <family val="2"/>
          </rPr>
          <t>Steen Hertin:</t>
        </r>
        <r>
          <rPr>
            <sz val="9"/>
            <color indexed="81"/>
            <rFont val="Tahoma"/>
            <family val="2"/>
          </rPr>
          <t xml:space="preserve">
D-vagt på OA</t>
        </r>
      </text>
    </comment>
    <comment ref="M46" authorId="5" shapeId="0" xr:uid="{2A8DD059-6F23-4ADD-A503-A60E399086CF}">
      <text>
        <r>
          <rPr>
            <b/>
            <sz val="9"/>
            <color indexed="81"/>
            <rFont val="Tahoma"/>
            <family val="2"/>
          </rPr>
          <t>Steen Hertin:</t>
        </r>
        <r>
          <rPr>
            <sz val="9"/>
            <color indexed="81"/>
            <rFont val="Tahoma"/>
            <family val="2"/>
          </rPr>
          <t xml:space="preserve">
L-vagt påå OA</t>
        </r>
      </text>
    </comment>
    <comment ref="N46" authorId="5" shapeId="0" xr:uid="{76BCA79D-FC8D-4380-A84C-EC60B0AACAB1}">
      <text>
        <r>
          <rPr>
            <b/>
            <sz val="9"/>
            <color indexed="81"/>
            <rFont val="Tahoma"/>
            <family val="2"/>
          </rPr>
          <t>Steen Hertin:</t>
        </r>
        <r>
          <rPr>
            <sz val="9"/>
            <color indexed="81"/>
            <rFont val="Tahoma"/>
            <family val="2"/>
          </rPr>
          <t xml:space="preserve">
L-vagt påå OA</t>
        </r>
      </text>
    </comment>
    <comment ref="O46" authorId="0" shapeId="0" xr:uid="{BC228696-84C3-4952-BDB1-DBF692BF373E}">
      <text>
        <r>
          <rPr>
            <b/>
            <sz val="9"/>
            <color indexed="81"/>
            <rFont val="Tahoma"/>
            <family val="2"/>
          </rPr>
          <t>Steen Hertin-Sandkær:</t>
        </r>
        <r>
          <rPr>
            <sz val="9"/>
            <color indexed="81"/>
            <rFont val="Tahoma"/>
            <family val="2"/>
          </rPr>
          <t xml:space="preserve">
Copenhagen 08-15</t>
        </r>
      </text>
    </comment>
    <comment ref="R47" authorId="0" shapeId="0" xr:uid="{3CEFAD36-8022-4B45-A5DB-2BF65C587D74}">
      <text>
        <r>
          <rPr>
            <b/>
            <sz val="9"/>
            <color indexed="81"/>
            <rFont val="Tahoma"/>
            <family val="2"/>
          </rPr>
          <t>Steen Hertin-Sandkær:</t>
        </r>
        <r>
          <rPr>
            <sz val="9"/>
            <color indexed="81"/>
            <rFont val="Tahoma"/>
            <family val="2"/>
          </rPr>
          <t xml:space="preserve">
kursus 09-12 Flyttet til kursus d. 23/8</t>
        </r>
      </text>
    </comment>
    <comment ref="Y47" authorId="0" shapeId="0" xr:uid="{1EE398DF-707A-4114-9480-C8E55C7C7F56}">
      <text>
        <r>
          <rPr>
            <b/>
            <sz val="9"/>
            <color indexed="81"/>
            <rFont val="Tahoma"/>
            <family val="2"/>
          </rPr>
          <t>Steen Hertin-Sandkær:</t>
        </r>
        <r>
          <rPr>
            <sz val="9"/>
            <color indexed="81"/>
            <rFont val="Tahoma"/>
            <family val="2"/>
          </rPr>
          <t xml:space="preserve">
kursus 09-12</t>
        </r>
      </text>
    </comment>
    <comment ref="R48" authorId="0" shapeId="0" xr:uid="{5C787238-4E1B-4E56-AA12-00584E89FEA3}">
      <text>
        <r>
          <rPr>
            <b/>
            <sz val="9"/>
            <color indexed="81"/>
            <rFont val="Tahoma"/>
            <family val="2"/>
          </rPr>
          <t>Steen Hertin-Sandkær:</t>
        </r>
        <r>
          <rPr>
            <sz val="9"/>
            <color indexed="81"/>
            <rFont val="Tahoma"/>
            <family val="2"/>
          </rPr>
          <t xml:space="preserve">
kursus 09-12 Har bytte internt med Niels C. og møder som 4-vagt</t>
        </r>
      </text>
    </comment>
    <comment ref="R49" authorId="0" shapeId="0" xr:uid="{0333E732-A7B0-4029-8DAF-F672B0E1B793}">
      <text>
        <r>
          <rPr>
            <b/>
            <sz val="9"/>
            <color indexed="81"/>
            <rFont val="Tahoma"/>
            <family val="2"/>
          </rPr>
          <t>Steen Hertin-Sandkær:</t>
        </r>
        <r>
          <rPr>
            <sz val="9"/>
            <color indexed="81"/>
            <rFont val="Tahoma"/>
            <family val="2"/>
          </rPr>
          <t xml:space="preserve">
kursus 09-12</t>
        </r>
      </text>
    </comment>
    <comment ref="R50" authorId="0" shapeId="0" xr:uid="{7FA99FA3-889D-43D8-842F-7598B710E026}">
      <text>
        <r>
          <rPr>
            <b/>
            <sz val="9"/>
            <color indexed="81"/>
            <rFont val="Tahoma"/>
            <family val="2"/>
          </rPr>
          <t>Steen Hertin-Sandkær:</t>
        </r>
        <r>
          <rPr>
            <sz val="9"/>
            <color indexed="81"/>
            <rFont val="Tahoma"/>
            <family val="2"/>
          </rPr>
          <t xml:space="preserve">
kursus 09-12</t>
        </r>
      </text>
    </comment>
    <comment ref="T50" authorId="4" shapeId="0" xr:uid="{AED01F63-A90A-4A4E-B637-651F86FD1990}">
      <text>
        <r>
          <rPr>
            <b/>
            <sz val="9"/>
            <color indexed="81"/>
            <rFont val="Tahoma"/>
            <family val="2"/>
          </rPr>
          <t>Nikolaj Langtin Pamhede:</t>
        </r>
        <r>
          <rPr>
            <sz val="9"/>
            <color indexed="81"/>
            <rFont val="Tahoma"/>
            <family val="2"/>
          </rPr>
          <t xml:space="preserve">
Møder som i1</t>
        </r>
      </text>
    </comment>
    <comment ref="T51" authorId="0" shapeId="0" xr:uid="{B3513EFD-8717-4BA4-8FB3-1BEB49F5CCDA}">
      <text>
        <r>
          <rPr>
            <b/>
            <sz val="9"/>
            <color indexed="81"/>
            <rFont val="Tahoma"/>
            <family val="2"/>
          </rPr>
          <t>Steen Hertin-Sandkær:</t>
        </r>
        <r>
          <rPr>
            <sz val="9"/>
            <color indexed="81"/>
            <rFont val="Tahoma"/>
            <family val="2"/>
          </rPr>
          <t xml:space="preserve">
kursus 09-12</t>
        </r>
      </text>
    </comment>
    <comment ref="R62" authorId="5" shapeId="0" xr:uid="{6DB7E768-3734-412C-9BF8-5691521A10F4}">
      <text>
        <r>
          <rPr>
            <b/>
            <sz val="9"/>
            <color indexed="81"/>
            <rFont val="Tahoma"/>
            <family val="2"/>
          </rPr>
          <t>Steen Hertin:</t>
        </r>
        <r>
          <rPr>
            <sz val="9"/>
            <color indexed="81"/>
            <rFont val="Tahoma"/>
            <family val="2"/>
          </rPr>
          <t xml:space="preserve">
Kursus 09-12</t>
        </r>
      </text>
    </comment>
    <comment ref="AB62" authorId="1" shapeId="0" xr:uid="{7E20625B-0D08-4707-9819-4E706C001030}">
      <text>
        <r>
          <rPr>
            <b/>
            <sz val="9"/>
            <color indexed="81"/>
            <rFont val="Tahoma"/>
            <family val="2"/>
          </rPr>
          <t>Thomas Holm:</t>
        </r>
        <r>
          <rPr>
            <sz val="9"/>
            <color indexed="81"/>
            <rFont val="Tahoma"/>
            <family val="2"/>
          </rPr>
          <t xml:space="preserve">
L-Vagt</t>
        </r>
      </text>
    </comment>
    <comment ref="AD62" authorId="5" shapeId="0" xr:uid="{10EA1B0F-1D79-42B1-8799-8D7F925B812E}">
      <text>
        <r>
          <rPr>
            <b/>
            <sz val="9"/>
            <color indexed="81"/>
            <rFont val="Tahoma"/>
            <family val="2"/>
          </rPr>
          <t>Steen Hertin:</t>
        </r>
        <r>
          <rPr>
            <sz val="9"/>
            <color indexed="81"/>
            <rFont val="Tahoma"/>
            <family val="2"/>
          </rPr>
          <t xml:space="preserve">
Tingbjerg 13.45-18.45</t>
        </r>
      </text>
    </comment>
    <comment ref="E63" authorId="5" shapeId="0" xr:uid="{8BC5F7BD-9C2E-478C-AC33-5B27A8F43247}">
      <text>
        <r>
          <rPr>
            <b/>
            <sz val="9"/>
            <color indexed="81"/>
            <rFont val="Tahoma"/>
            <family val="2"/>
          </rPr>
          <t>Steen Hertin:</t>
        </r>
        <r>
          <rPr>
            <sz val="9"/>
            <color indexed="81"/>
            <rFont val="Tahoma"/>
            <family val="2"/>
          </rPr>
          <t xml:space="preserve">
Metro på OA 08-15</t>
        </r>
      </text>
    </comment>
    <comment ref="F63" authorId="5" shapeId="0" xr:uid="{642342BA-EB58-4842-8AC1-FEE1ACD6D5BC}">
      <text>
        <r>
          <rPr>
            <b/>
            <sz val="9"/>
            <color indexed="81"/>
            <rFont val="Tahoma"/>
            <family val="2"/>
          </rPr>
          <t>Steen Hertin:</t>
        </r>
        <r>
          <rPr>
            <sz val="9"/>
            <color indexed="81"/>
            <rFont val="Tahoma"/>
            <family val="2"/>
          </rPr>
          <t xml:space="preserve">
Metro på OA 08-15</t>
        </r>
      </text>
    </comment>
    <comment ref="H63" authorId="0" shapeId="0" xr:uid="{50E22865-210A-4467-9835-8C636FC1EF1F}">
      <text>
        <r>
          <rPr>
            <b/>
            <sz val="9"/>
            <color indexed="81"/>
            <rFont val="Tahoma"/>
            <family val="2"/>
          </rPr>
          <t>Steen Hertin-Sandkær:</t>
        </r>
        <r>
          <rPr>
            <sz val="9"/>
            <color indexed="81"/>
            <rFont val="Tahoma"/>
            <family val="2"/>
          </rPr>
          <t xml:space="preserve">
Metro 08-15</t>
        </r>
      </text>
    </comment>
    <comment ref="Q63" authorId="0" shapeId="0" xr:uid="{C8BD7271-A631-480F-B52A-4E53B5E16015}">
      <text>
        <r>
          <rPr>
            <b/>
            <sz val="9"/>
            <color indexed="81"/>
            <rFont val="Tahoma"/>
            <family val="2"/>
          </rPr>
          <t>Steen Hertin-Sandkær:</t>
        </r>
        <r>
          <rPr>
            <sz val="9"/>
            <color indexed="81"/>
            <rFont val="Tahoma"/>
            <family val="2"/>
          </rPr>
          <t xml:space="preserve">
Metro 08-15</t>
        </r>
      </text>
    </comment>
    <comment ref="R63" authorId="0" shapeId="0" xr:uid="{6F992D1B-11A1-478C-8766-F667BEDAF29F}">
      <text>
        <r>
          <rPr>
            <b/>
            <sz val="9"/>
            <color indexed="81"/>
            <rFont val="Tahoma"/>
            <family val="2"/>
          </rPr>
          <t>Steen Hertin-Sandkær:</t>
        </r>
        <r>
          <rPr>
            <sz val="9"/>
            <color indexed="81"/>
            <rFont val="Tahoma"/>
            <family val="2"/>
          </rPr>
          <t xml:space="preserve">
Metro 08-15</t>
        </r>
      </text>
    </comment>
    <comment ref="S63" authorId="0" shapeId="0" xr:uid="{3576C4EB-F861-4C2E-B07D-26D837E7D8EA}">
      <text>
        <r>
          <rPr>
            <b/>
            <sz val="9"/>
            <color indexed="81"/>
            <rFont val="Tahoma"/>
            <family val="2"/>
          </rPr>
          <t>Steen Hertin-Sandkær:</t>
        </r>
        <r>
          <rPr>
            <sz val="9"/>
            <color indexed="81"/>
            <rFont val="Tahoma"/>
            <family val="2"/>
          </rPr>
          <t xml:space="preserve">
Metro 08-15</t>
        </r>
      </text>
    </comment>
    <comment ref="T63" authorId="0" shapeId="0" xr:uid="{DC3A9014-C260-4102-B417-D169B3516578}">
      <text>
        <r>
          <rPr>
            <b/>
            <sz val="9"/>
            <color indexed="81"/>
            <rFont val="Tahoma"/>
            <family val="2"/>
          </rPr>
          <t>Steen Hertin-Sandkær:</t>
        </r>
        <r>
          <rPr>
            <sz val="9"/>
            <color indexed="81"/>
            <rFont val="Tahoma"/>
            <family val="2"/>
          </rPr>
          <t xml:space="preserve">
Metro 08-15</t>
        </r>
      </text>
    </comment>
    <comment ref="U63" authorId="0" shapeId="0" xr:uid="{2A5F30AF-E041-4098-8AD6-EC0614A0C7E5}">
      <text>
        <r>
          <rPr>
            <b/>
            <sz val="9"/>
            <color indexed="81"/>
            <rFont val="Tahoma"/>
            <family val="2"/>
          </rPr>
          <t>Steen Hertin-Sandkær:</t>
        </r>
        <r>
          <rPr>
            <sz val="9"/>
            <color indexed="81"/>
            <rFont val="Tahoma"/>
            <family val="2"/>
          </rPr>
          <t xml:space="preserve">
Metro 08-15</t>
        </r>
      </text>
    </comment>
    <comment ref="X63" authorId="0" shapeId="0" xr:uid="{B4CA77C9-7FDD-4630-B134-E845C4BDC7F5}">
      <text>
        <r>
          <rPr>
            <b/>
            <sz val="9"/>
            <color indexed="81"/>
            <rFont val="Tahoma"/>
            <family val="2"/>
          </rPr>
          <t>Steen Hertin-Sandkær:</t>
        </r>
        <r>
          <rPr>
            <sz val="9"/>
            <color indexed="81"/>
            <rFont val="Tahoma"/>
            <family val="2"/>
          </rPr>
          <t xml:space="preserve">
Metro 08-15</t>
        </r>
      </text>
    </comment>
    <comment ref="Y63" authorId="0" shapeId="0" xr:uid="{F1A54364-2276-4E48-8444-5F99B87E52A8}">
      <text>
        <r>
          <rPr>
            <b/>
            <sz val="9"/>
            <color indexed="81"/>
            <rFont val="Tahoma"/>
            <family val="2"/>
          </rPr>
          <t>Steen Hertin-Sandkær:</t>
        </r>
        <r>
          <rPr>
            <sz val="9"/>
            <color indexed="81"/>
            <rFont val="Tahoma"/>
            <family val="2"/>
          </rPr>
          <t xml:space="preserve">
Metro 08-15</t>
        </r>
      </text>
    </comment>
    <comment ref="Z63" authorId="0" shapeId="0" xr:uid="{456F7A89-F892-43EF-856A-9511FDD7C280}">
      <text>
        <r>
          <rPr>
            <b/>
            <sz val="9"/>
            <color indexed="81"/>
            <rFont val="Tahoma"/>
            <family val="2"/>
          </rPr>
          <t>Steen Hertin-Sandkær:</t>
        </r>
        <r>
          <rPr>
            <sz val="9"/>
            <color indexed="81"/>
            <rFont val="Tahoma"/>
            <family val="2"/>
          </rPr>
          <t xml:space="preserve">
Metro 08-15</t>
        </r>
      </text>
    </comment>
    <comment ref="AA63" authorId="0" shapeId="0" xr:uid="{EEF32730-E7CF-4CBB-9B01-0B2A28BB64D3}">
      <text>
        <r>
          <rPr>
            <b/>
            <sz val="9"/>
            <color indexed="81"/>
            <rFont val="Tahoma"/>
            <family val="2"/>
          </rPr>
          <t>Steen Hertin-Sandkær:</t>
        </r>
        <r>
          <rPr>
            <sz val="9"/>
            <color indexed="81"/>
            <rFont val="Tahoma"/>
            <family val="2"/>
          </rPr>
          <t xml:space="preserve">
Metro 08-15</t>
        </r>
      </text>
    </comment>
    <comment ref="AB63" authorId="0" shapeId="0" xr:uid="{627542B3-1A2F-451C-A968-027E0E80DEFD}">
      <text>
        <r>
          <rPr>
            <b/>
            <sz val="9"/>
            <color indexed="81"/>
            <rFont val="Tahoma"/>
            <family val="2"/>
          </rPr>
          <t>Steen Hertin-Sandkær:</t>
        </r>
        <r>
          <rPr>
            <sz val="9"/>
            <color indexed="81"/>
            <rFont val="Tahoma"/>
            <family val="2"/>
          </rPr>
          <t xml:space="preserve">
Metro 08-15</t>
        </r>
      </text>
    </comment>
    <comment ref="AE63" authorId="0" shapeId="0" xr:uid="{341D5EAA-CA83-4481-9DCA-9E90D00C04E7}">
      <text>
        <r>
          <rPr>
            <b/>
            <sz val="9"/>
            <color indexed="81"/>
            <rFont val="Tahoma"/>
            <family val="2"/>
          </rPr>
          <t>Steen Hertin-Sandkær:</t>
        </r>
        <r>
          <rPr>
            <sz val="9"/>
            <color indexed="81"/>
            <rFont val="Tahoma"/>
            <family val="2"/>
          </rPr>
          <t xml:space="preserve">
Metro 08-15</t>
        </r>
      </text>
    </comment>
    <comment ref="AF63" authorId="0" shapeId="0" xr:uid="{AF2D371B-EF5C-4E34-BF6E-74B31AB2A2E4}">
      <text>
        <r>
          <rPr>
            <b/>
            <sz val="9"/>
            <color indexed="81"/>
            <rFont val="Tahoma"/>
            <family val="2"/>
          </rPr>
          <t>Steen Hertin-Sandkær:</t>
        </r>
        <r>
          <rPr>
            <sz val="9"/>
            <color indexed="81"/>
            <rFont val="Tahoma"/>
            <family val="2"/>
          </rPr>
          <t xml:space="preserve">
Metro 08-15</t>
        </r>
      </text>
    </comment>
    <comment ref="AG63" authorId="0" shapeId="0" xr:uid="{1F4368C7-86E2-4F45-9A42-7F855E00BC7F}">
      <text>
        <r>
          <rPr>
            <b/>
            <sz val="9"/>
            <color indexed="81"/>
            <rFont val="Tahoma"/>
            <family val="2"/>
          </rPr>
          <t>Steen Hertin-Sandkær:</t>
        </r>
        <r>
          <rPr>
            <sz val="9"/>
            <color indexed="81"/>
            <rFont val="Tahoma"/>
            <family val="2"/>
          </rPr>
          <t xml:space="preserve">
Metro 08-15</t>
        </r>
      </text>
    </comment>
    <comment ref="C64" authorId="0" shapeId="0" xr:uid="{BAFCD80C-EE20-49FF-99B0-21D13E2AFB03}">
      <text>
        <r>
          <rPr>
            <b/>
            <sz val="9"/>
            <color indexed="81"/>
            <rFont val="Tahoma"/>
            <family val="2"/>
          </rPr>
          <t>Steen Hertin-Sandkær:</t>
        </r>
        <r>
          <rPr>
            <sz val="9"/>
            <color indexed="81"/>
            <rFont val="Tahoma"/>
            <family val="2"/>
          </rPr>
          <t xml:space="preserve">
Metro 08-15</t>
        </r>
      </text>
    </comment>
    <comment ref="D64" authorId="0" shapeId="0" xr:uid="{51CFC89A-4A8D-4B06-A0A5-5A0FE23A2306}">
      <text>
        <r>
          <rPr>
            <b/>
            <sz val="9"/>
            <color indexed="81"/>
            <rFont val="Tahoma"/>
            <family val="2"/>
          </rPr>
          <t>Steen Hertin-Sandkær:</t>
        </r>
        <r>
          <rPr>
            <sz val="9"/>
            <color indexed="81"/>
            <rFont val="Tahoma"/>
            <family val="2"/>
          </rPr>
          <t xml:space="preserve">
Metro 08-15</t>
        </r>
      </text>
    </comment>
    <comment ref="E64" authorId="0" shapeId="0" xr:uid="{C0463E2B-B29D-499F-9605-F08B8951ABDB}">
      <text>
        <r>
          <rPr>
            <b/>
            <sz val="9"/>
            <color indexed="81"/>
            <rFont val="Tahoma"/>
            <family val="2"/>
          </rPr>
          <t>Steen Hertin-Sandkær:</t>
        </r>
        <r>
          <rPr>
            <sz val="9"/>
            <color indexed="81"/>
            <rFont val="Tahoma"/>
            <family val="2"/>
          </rPr>
          <t xml:space="preserve">
Sjællandsgade opsætning mærkater</t>
        </r>
      </text>
    </comment>
    <comment ref="F64" authorId="0" shapeId="0" xr:uid="{78F1181A-8088-4AF2-9CCB-2B829E4896CA}">
      <text>
        <r>
          <rPr>
            <b/>
            <sz val="9"/>
            <color indexed="81"/>
            <rFont val="Tahoma"/>
            <family val="2"/>
          </rPr>
          <t>Steen Hertin-Sandkær:</t>
        </r>
        <r>
          <rPr>
            <sz val="9"/>
            <color indexed="81"/>
            <rFont val="Tahoma"/>
            <family val="2"/>
          </rPr>
          <t xml:space="preserve">
Sjællandsgade opsætning mærkater</t>
        </r>
      </text>
    </comment>
    <comment ref="G64" authorId="0" shapeId="0" xr:uid="{71604099-8279-4D7F-B27C-8E59720C1407}">
      <text>
        <r>
          <rPr>
            <b/>
            <sz val="9"/>
            <color indexed="81"/>
            <rFont val="Tahoma"/>
            <family val="2"/>
          </rPr>
          <t>Steen Hertin-Sandkær:</t>
        </r>
        <r>
          <rPr>
            <sz val="9"/>
            <color indexed="81"/>
            <rFont val="Tahoma"/>
            <family val="2"/>
          </rPr>
          <t xml:space="preserve">
Metro 08-15</t>
        </r>
      </text>
    </comment>
    <comment ref="I64" authorId="0" shapeId="0" xr:uid="{3BD34B40-B33D-4DE7-84BD-F699A591978A}">
      <text>
        <r>
          <rPr>
            <b/>
            <sz val="9"/>
            <color indexed="81"/>
            <rFont val="Tahoma"/>
            <family val="2"/>
          </rPr>
          <t>Steen Hertin-Sandkær:</t>
        </r>
        <r>
          <rPr>
            <sz val="9"/>
            <color indexed="81"/>
            <rFont val="Tahoma"/>
            <family val="2"/>
          </rPr>
          <t xml:space="preserve">
Metro 08-15</t>
        </r>
      </text>
    </comment>
    <comment ref="J64" authorId="0" shapeId="0" xr:uid="{A2E3E829-4846-483F-8796-F38CAF45E83B}">
      <text>
        <r>
          <rPr>
            <b/>
            <sz val="9"/>
            <color indexed="81"/>
            <rFont val="Tahoma"/>
            <family val="2"/>
          </rPr>
          <t>Steen Hertin-Sandkær:</t>
        </r>
        <r>
          <rPr>
            <sz val="9"/>
            <color indexed="81"/>
            <rFont val="Tahoma"/>
            <family val="2"/>
          </rPr>
          <t xml:space="preserve">
Metro 08-15</t>
        </r>
      </text>
    </comment>
    <comment ref="K64" authorId="0" shapeId="0" xr:uid="{A1DC94B5-5E33-4D9A-AE36-05F5BC47207F}">
      <text>
        <r>
          <rPr>
            <b/>
            <sz val="9"/>
            <color indexed="81"/>
            <rFont val="Tahoma"/>
            <family val="2"/>
          </rPr>
          <t>Steen Hertin-Sandkær:</t>
        </r>
        <r>
          <rPr>
            <sz val="9"/>
            <color indexed="81"/>
            <rFont val="Tahoma"/>
            <family val="2"/>
          </rPr>
          <t xml:space="preserve">
Metro 08-15</t>
        </r>
      </text>
    </comment>
    <comment ref="L64" authorId="0" shapeId="0" xr:uid="{78CA32C0-2FD1-46CA-8E28-1D580FFA38F3}">
      <text>
        <r>
          <rPr>
            <b/>
            <sz val="9"/>
            <color indexed="81"/>
            <rFont val="Tahoma"/>
            <family val="2"/>
          </rPr>
          <t>Steen Hertin-Sandkær:</t>
        </r>
        <r>
          <rPr>
            <sz val="9"/>
            <color indexed="81"/>
            <rFont val="Tahoma"/>
            <family val="2"/>
          </rPr>
          <t xml:space="preserve">
Metro 08-15</t>
        </r>
      </text>
    </comment>
    <comment ref="M64" authorId="0" shapeId="0" xr:uid="{57ECE182-FB5F-4EEE-9E45-A659D347D86F}">
      <text>
        <r>
          <rPr>
            <b/>
            <sz val="9"/>
            <color indexed="81"/>
            <rFont val="Tahoma"/>
            <family val="2"/>
          </rPr>
          <t>Steen Hertin-Sandkær:</t>
        </r>
        <r>
          <rPr>
            <sz val="9"/>
            <color indexed="81"/>
            <rFont val="Tahoma"/>
            <family val="2"/>
          </rPr>
          <t xml:space="preserve">
Metro 08-15</t>
        </r>
      </text>
    </comment>
    <comment ref="N64" authorId="0" shapeId="0" xr:uid="{D3304130-BC40-4040-9E15-BF17FBCC2535}">
      <text>
        <r>
          <rPr>
            <b/>
            <sz val="9"/>
            <color indexed="81"/>
            <rFont val="Tahoma"/>
            <family val="2"/>
          </rPr>
          <t>Steen Hertin-Sandkær:</t>
        </r>
        <r>
          <rPr>
            <sz val="9"/>
            <color indexed="81"/>
            <rFont val="Tahoma"/>
            <family val="2"/>
          </rPr>
          <t xml:space="preserve">
Metro 08-15</t>
        </r>
      </text>
    </comment>
    <comment ref="Q64" authorId="5" shapeId="0" xr:uid="{168DD95F-94C7-43EC-9D15-E7AB88701F5E}">
      <text>
        <r>
          <rPr>
            <b/>
            <sz val="9"/>
            <color indexed="81"/>
            <rFont val="Tahoma"/>
            <family val="2"/>
          </rPr>
          <t>Steen Hertin:Copenhagen 08-15</t>
        </r>
      </text>
    </comment>
    <comment ref="R64" authorId="0" shapeId="0" xr:uid="{5D9AA977-30D8-49DD-BAC8-DB0226A5AA8C}">
      <text>
        <r>
          <rPr>
            <b/>
            <sz val="9"/>
            <color indexed="81"/>
            <rFont val="Tahoma"/>
            <family val="2"/>
          </rPr>
          <t>Steen Hertin-Sandkær:</t>
        </r>
        <r>
          <rPr>
            <sz val="9"/>
            <color indexed="81"/>
            <rFont val="Tahoma"/>
            <family val="2"/>
          </rPr>
          <t xml:space="preserve">
Metro 08-15 Skl til borgerservice kl. 12,30</t>
        </r>
      </text>
    </comment>
    <comment ref="S64" authorId="5" shapeId="0" xr:uid="{97098BCF-1A9A-4D74-872C-8417DCE2E659}">
      <text>
        <r>
          <rPr>
            <b/>
            <sz val="9"/>
            <color indexed="81"/>
            <rFont val="Tahoma"/>
            <family val="2"/>
          </rPr>
          <t>Steen Hertin:</t>
        </r>
        <r>
          <rPr>
            <sz val="9"/>
            <color indexed="81"/>
            <rFont val="Tahoma"/>
            <family val="2"/>
          </rPr>
          <t xml:space="preserve">
Sjællansgade</t>
        </r>
      </text>
    </comment>
    <comment ref="T64" authorId="5" shapeId="0" xr:uid="{347B7165-4841-4CCE-8497-80D98779AB31}">
      <text>
        <r>
          <rPr>
            <b/>
            <sz val="9"/>
            <color indexed="81"/>
            <rFont val="Tahoma"/>
            <family val="2"/>
          </rPr>
          <t>Steen Hertin:Copenhagen 08-15</t>
        </r>
      </text>
    </comment>
    <comment ref="U64" authorId="5" shapeId="0" xr:uid="{75B6DDAB-FE1E-4CB1-8D2A-0D21B707C2D8}">
      <text>
        <r>
          <rPr>
            <b/>
            <sz val="9"/>
            <color indexed="81"/>
            <rFont val="Tahoma"/>
            <family val="2"/>
          </rPr>
          <t>Steen Hertin:</t>
        </r>
        <r>
          <rPr>
            <sz val="9"/>
            <color indexed="81"/>
            <rFont val="Tahoma"/>
            <family val="2"/>
          </rPr>
          <t xml:space="preserve">
Sjællansgade</t>
        </r>
      </text>
    </comment>
    <comment ref="W64" authorId="5" shapeId="0" xr:uid="{A7CBB63D-7D9F-4CDE-915D-B477D2118081}">
      <text>
        <r>
          <rPr>
            <b/>
            <sz val="9"/>
            <color indexed="81"/>
            <rFont val="Tahoma"/>
            <family val="2"/>
          </rPr>
          <t>Steen Hertin:</t>
        </r>
        <r>
          <rPr>
            <sz val="9"/>
            <color indexed="81"/>
            <rFont val="Tahoma"/>
            <family val="2"/>
          </rPr>
          <t xml:space="preserve">
Tingbjerg 13.45-18.45</t>
        </r>
      </text>
    </comment>
    <comment ref="X64" authorId="5" shapeId="0" xr:uid="{9AB6357B-7940-4EBD-A963-7087E58C1506}">
      <text>
        <r>
          <rPr>
            <b/>
            <sz val="9"/>
            <color indexed="81"/>
            <rFont val="Tahoma"/>
            <family val="2"/>
          </rPr>
          <t>Steen Hertin:</t>
        </r>
        <r>
          <rPr>
            <sz val="9"/>
            <color indexed="81"/>
            <rFont val="Tahoma"/>
            <family val="2"/>
          </rPr>
          <t xml:space="preserve">
Sjællansgade</t>
        </r>
      </text>
    </comment>
    <comment ref="Y64" authorId="5" shapeId="0" xr:uid="{08D7491C-A5C0-4976-9CDC-5053F0E1041B}">
      <text>
        <r>
          <rPr>
            <b/>
            <sz val="9"/>
            <color indexed="81"/>
            <rFont val="Tahoma"/>
            <family val="2"/>
          </rPr>
          <t>Steen Hertin:</t>
        </r>
        <r>
          <rPr>
            <sz val="9"/>
            <color indexed="81"/>
            <rFont val="Tahoma"/>
            <family val="2"/>
          </rPr>
          <t xml:space="preserve">
Sjællansgade</t>
        </r>
      </text>
    </comment>
    <comment ref="Z64" authorId="0" shapeId="0" xr:uid="{6641B55A-C721-413F-9C94-4069D03C0DCD}">
      <text>
        <r>
          <rPr>
            <b/>
            <sz val="9"/>
            <color indexed="81"/>
            <rFont val="Tahoma"/>
            <family val="2"/>
          </rPr>
          <t>Steen Hertin-Sandkær:</t>
        </r>
        <r>
          <rPr>
            <sz val="9"/>
            <color indexed="81"/>
            <rFont val="Tahoma"/>
            <family val="2"/>
          </rPr>
          <t xml:space="preserve">
kursus 09-12</t>
        </r>
      </text>
    </comment>
    <comment ref="AA64" authorId="5" shapeId="0" xr:uid="{DCBEFC58-4FD0-4932-8EBB-8E4EED4CFE5B}">
      <text>
        <r>
          <rPr>
            <b/>
            <sz val="9"/>
            <color indexed="81"/>
            <rFont val="Tahoma"/>
            <family val="2"/>
          </rPr>
          <t>Steen Hertin:</t>
        </r>
        <r>
          <rPr>
            <sz val="9"/>
            <color indexed="81"/>
            <rFont val="Tahoma"/>
            <family val="2"/>
          </rPr>
          <t xml:space="preserve">
Sjællansgade</t>
        </r>
      </text>
    </comment>
    <comment ref="AB64" authorId="5" shapeId="0" xr:uid="{33AB06B2-1BED-47BB-BD13-3AE12EFE63BC}">
      <text>
        <r>
          <rPr>
            <b/>
            <sz val="9"/>
            <color indexed="81"/>
            <rFont val="Tahoma"/>
            <family val="2"/>
          </rPr>
          <t>Steen Hertin:</t>
        </r>
        <r>
          <rPr>
            <sz val="9"/>
            <color indexed="81"/>
            <rFont val="Tahoma"/>
            <family val="2"/>
          </rPr>
          <t xml:space="preserve">
Sjællansgade + Dække Copenhagen 08-15</t>
        </r>
      </text>
    </comment>
    <comment ref="AE64" authorId="5" shapeId="0" xr:uid="{500D140D-F641-4934-982F-20689B4AD705}">
      <text>
        <r>
          <rPr>
            <b/>
            <sz val="9"/>
            <color indexed="81"/>
            <rFont val="Tahoma"/>
            <family val="2"/>
          </rPr>
          <t>Steen Hertin:</t>
        </r>
        <r>
          <rPr>
            <sz val="9"/>
            <color indexed="81"/>
            <rFont val="Tahoma"/>
            <family val="2"/>
          </rPr>
          <t xml:space="preserve">
Sjællansgade</t>
        </r>
      </text>
    </comment>
    <comment ref="AF64" authorId="5" shapeId="0" xr:uid="{4065BD52-7669-4B59-B067-38337DC08BF9}">
      <text>
        <r>
          <rPr>
            <b/>
            <sz val="9"/>
            <color indexed="81"/>
            <rFont val="Tahoma"/>
            <family val="2"/>
          </rPr>
          <t>Steen Hertin:</t>
        </r>
        <r>
          <rPr>
            <sz val="9"/>
            <color indexed="81"/>
            <rFont val="Tahoma"/>
            <family val="2"/>
          </rPr>
          <t xml:space="preserve">
Sjællansgade S 2 på oa.</t>
        </r>
      </text>
    </comment>
    <comment ref="AG64" authorId="5" shapeId="0" xr:uid="{4A202AC7-45DE-43FB-8F88-DBCB1D4FA12C}">
      <text>
        <r>
          <rPr>
            <b/>
            <sz val="9"/>
            <color indexed="81"/>
            <rFont val="Tahoma"/>
            <family val="2"/>
          </rPr>
          <t>Steen Hertin:</t>
        </r>
        <r>
          <rPr>
            <sz val="9"/>
            <color indexed="81"/>
            <rFont val="Tahoma"/>
            <family val="2"/>
          </rPr>
          <t xml:space="preserve">
Sjællansgade S 2 på oa.</t>
        </r>
      </text>
    </comment>
    <comment ref="Z67" authorId="0" shapeId="0" xr:uid="{082BACD9-4FA8-4E8C-AC2F-0B6E2D8999EE}">
      <text>
        <r>
          <rPr>
            <b/>
            <sz val="9"/>
            <color indexed="81"/>
            <rFont val="Tahoma"/>
            <family val="2"/>
          </rPr>
          <t>Steen Hertin-Sandkær:</t>
        </r>
        <r>
          <rPr>
            <sz val="9"/>
            <color indexed="81"/>
            <rFont val="Tahoma"/>
            <family val="2"/>
          </rPr>
          <t xml:space="preserve">
kursus 09-12</t>
        </r>
      </text>
    </comment>
    <comment ref="J68" authorId="0" shapeId="0" xr:uid="{4572B7DA-502C-4DD9-9398-3D306B8334F9}">
      <text>
        <r>
          <rPr>
            <b/>
            <sz val="9"/>
            <color indexed="81"/>
            <rFont val="Tahoma"/>
            <family val="2"/>
          </rPr>
          <t>Steen Hertin-Sandkær:</t>
        </r>
        <r>
          <rPr>
            <sz val="9"/>
            <color indexed="81"/>
            <rFont val="Tahoma"/>
            <family val="2"/>
          </rPr>
          <t xml:space="preserve">
Copenhagen 08-15</t>
        </r>
      </text>
    </comment>
    <comment ref="K68" authorId="0" shapeId="0" xr:uid="{E397BA3F-5C84-4440-A36A-004CF0A5AE26}">
      <text>
        <r>
          <rPr>
            <b/>
            <sz val="9"/>
            <color indexed="81"/>
            <rFont val="Tahoma"/>
            <family val="2"/>
          </rPr>
          <t>Steen Hertin-Sandkær:</t>
        </r>
        <r>
          <rPr>
            <sz val="9"/>
            <color indexed="81"/>
            <rFont val="Tahoma"/>
            <family val="2"/>
          </rPr>
          <t xml:space="preserve">
Copenhagen 08-15</t>
        </r>
      </text>
    </comment>
    <comment ref="L68" authorId="0" shapeId="0" xr:uid="{2AEFAEF1-E87B-4E56-B068-BEBEAD75BC19}">
      <text>
        <r>
          <rPr>
            <b/>
            <sz val="9"/>
            <color indexed="81"/>
            <rFont val="Tahoma"/>
            <family val="2"/>
          </rPr>
          <t>Steen Hertin-Sandkær:</t>
        </r>
        <r>
          <rPr>
            <sz val="9"/>
            <color indexed="81"/>
            <rFont val="Tahoma"/>
            <family val="2"/>
          </rPr>
          <t xml:space="preserve">
Copenhagen 08-15</t>
        </r>
      </text>
    </comment>
    <comment ref="M68" authorId="0" shapeId="0" xr:uid="{05445831-A83A-4A2C-B18A-F50E22960557}">
      <text>
        <r>
          <rPr>
            <b/>
            <sz val="9"/>
            <color indexed="81"/>
            <rFont val="Tahoma"/>
            <family val="2"/>
          </rPr>
          <t>Steen Hertin-Sandkær:</t>
        </r>
        <r>
          <rPr>
            <sz val="9"/>
            <color indexed="81"/>
            <rFont val="Tahoma"/>
            <family val="2"/>
          </rPr>
          <t xml:space="preserve">
Copenhagen 08-15</t>
        </r>
      </text>
    </comment>
    <comment ref="N68" authorId="0" shapeId="0" xr:uid="{D7EE662C-12FF-47A1-9907-E606A3C8574A}">
      <text>
        <r>
          <rPr>
            <b/>
            <sz val="9"/>
            <color indexed="81"/>
            <rFont val="Tahoma"/>
            <family val="2"/>
          </rPr>
          <t>Steen Hertin-Sandkær:</t>
        </r>
        <r>
          <rPr>
            <sz val="9"/>
            <color indexed="81"/>
            <rFont val="Tahoma"/>
            <family val="2"/>
          </rPr>
          <t xml:space="preserve">
Copenhagen 08-15</t>
        </r>
      </text>
    </comment>
    <comment ref="AB68" authorId="5" shapeId="0" xr:uid="{8E51B6F4-AE59-43AA-A170-8001952781A6}">
      <text>
        <r>
          <rPr>
            <b/>
            <sz val="9"/>
            <color indexed="81"/>
            <rFont val="Tahoma"/>
            <family val="2"/>
          </rPr>
          <t>Steen Hertin:</t>
        </r>
        <r>
          <rPr>
            <sz val="9"/>
            <color indexed="81"/>
            <rFont val="Tahoma"/>
            <family val="2"/>
          </rPr>
          <t xml:space="preserve">
Kursus 09-12</t>
        </r>
      </text>
    </comment>
    <comment ref="T69" authorId="5" shapeId="0" xr:uid="{5516212A-C732-4C8C-A9AE-80FC67771A17}">
      <text>
        <r>
          <rPr>
            <b/>
            <sz val="9"/>
            <color indexed="81"/>
            <rFont val="Tahoma"/>
            <family val="2"/>
          </rPr>
          <t>Steen Hertin:</t>
        </r>
        <r>
          <rPr>
            <sz val="9"/>
            <color indexed="81"/>
            <rFont val="Tahoma"/>
            <family val="2"/>
          </rPr>
          <t xml:space="preserve">
Kursus 09-12</t>
        </r>
      </text>
    </comment>
    <comment ref="AB70" authorId="5" shapeId="0" xr:uid="{97F67888-643F-4D49-BA5E-FEE48AE15C32}">
      <text>
        <r>
          <rPr>
            <b/>
            <sz val="9"/>
            <color indexed="81"/>
            <rFont val="Tahoma"/>
            <family val="2"/>
          </rPr>
          <t>Steen Hertin:</t>
        </r>
        <r>
          <rPr>
            <sz val="9"/>
            <color indexed="81"/>
            <rFont val="Tahoma"/>
            <family val="2"/>
          </rPr>
          <t xml:space="preserve">
Kursus 09-12</t>
        </r>
      </text>
    </comment>
    <comment ref="AC70" authorId="1" shapeId="0" xr:uid="{FCB0CCB5-49A2-4ED5-9258-2E3F9FA3A0C2}">
      <text>
        <r>
          <rPr>
            <b/>
            <sz val="9"/>
            <color indexed="81"/>
            <rFont val="Tahoma"/>
            <family val="2"/>
          </rPr>
          <t>Thomas Holm:</t>
        </r>
        <r>
          <rPr>
            <sz val="9"/>
            <color indexed="81"/>
            <rFont val="Tahoma"/>
            <family val="2"/>
          </rPr>
          <t xml:space="preserve">
A1-vagt fra 14.30</t>
        </r>
      </text>
    </comment>
    <comment ref="V71" authorId="0" shapeId="0" xr:uid="{3A3EBB65-CFD0-4848-BFC3-9B8D6F3AE13F}">
      <text>
        <r>
          <rPr>
            <b/>
            <sz val="9"/>
            <color indexed="81"/>
            <rFont val="Tahoma"/>
            <family val="2"/>
          </rPr>
          <t>Steen Hertin-Sandkær:</t>
        </r>
        <r>
          <rPr>
            <sz val="9"/>
            <color indexed="81"/>
            <rFont val="Tahoma"/>
            <family val="2"/>
          </rPr>
          <t xml:space="preserve">
Copenhagen 08-15</t>
        </r>
      </text>
    </comment>
    <comment ref="W71" authorId="0" shapeId="0" xr:uid="{DC24961C-23C2-4BD3-99A2-578FA9DAED65}">
      <text>
        <r>
          <rPr>
            <b/>
            <sz val="9"/>
            <color indexed="81"/>
            <rFont val="Tahoma"/>
            <family val="2"/>
          </rPr>
          <t>Steen Hertin-Sandkær:</t>
        </r>
        <r>
          <rPr>
            <sz val="9"/>
            <color indexed="81"/>
            <rFont val="Tahoma"/>
            <family val="2"/>
          </rPr>
          <t xml:space="preserve">
Copenhagen 08-15</t>
        </r>
      </text>
    </comment>
    <comment ref="X71" authorId="0" shapeId="0" xr:uid="{14772D91-1673-4755-9A38-AD8013CDD79C}">
      <text>
        <r>
          <rPr>
            <b/>
            <sz val="9"/>
            <color indexed="81"/>
            <rFont val="Tahoma"/>
            <family val="2"/>
          </rPr>
          <t>Steen Hertin-Sandkær:</t>
        </r>
        <r>
          <rPr>
            <sz val="9"/>
            <color indexed="81"/>
            <rFont val="Tahoma"/>
            <family val="2"/>
          </rPr>
          <t xml:space="preserve">
Copenhagen 08-15</t>
        </r>
      </text>
    </comment>
    <comment ref="Y71" authorId="0" shapeId="0" xr:uid="{62D2168D-ABB4-4566-A014-A4E629EA475D}">
      <text>
        <r>
          <rPr>
            <b/>
            <sz val="9"/>
            <color indexed="81"/>
            <rFont val="Tahoma"/>
            <family val="2"/>
          </rPr>
          <t>Steen Hertin-Sandkær:</t>
        </r>
        <r>
          <rPr>
            <sz val="9"/>
            <color indexed="81"/>
            <rFont val="Tahoma"/>
            <family val="2"/>
          </rPr>
          <t xml:space="preserve">
Copenhagen 08-15</t>
        </r>
      </text>
    </comment>
    <comment ref="Z71" authorId="0" shapeId="0" xr:uid="{03CAA2DB-85AC-4AE6-97F8-E41C82FDB8B3}">
      <text>
        <r>
          <rPr>
            <b/>
            <sz val="9"/>
            <color indexed="81"/>
            <rFont val="Tahoma"/>
            <family val="2"/>
          </rPr>
          <t>Steen Hertin-Sandkær:</t>
        </r>
        <r>
          <rPr>
            <sz val="9"/>
            <color indexed="81"/>
            <rFont val="Tahoma"/>
            <family val="2"/>
          </rPr>
          <t xml:space="preserve">
Copenhagen 08-15</t>
        </r>
      </text>
    </comment>
    <comment ref="AA71" authorId="0" shapeId="0" xr:uid="{D414DFE1-F645-401E-8CE8-19CB6FFAB626}">
      <text>
        <r>
          <rPr>
            <b/>
            <sz val="9"/>
            <color indexed="81"/>
            <rFont val="Tahoma"/>
            <family val="2"/>
          </rPr>
          <t>Steen Hertin-Sandkær:</t>
        </r>
        <r>
          <rPr>
            <sz val="9"/>
            <color indexed="81"/>
            <rFont val="Tahoma"/>
            <family val="2"/>
          </rPr>
          <t xml:space="preserve">
Copenhagen 08-15</t>
        </r>
      </text>
    </comment>
    <comment ref="AB71" authorId="0" shapeId="0" xr:uid="{DCF8C212-83E9-42E7-9709-2CD5D2A9C123}">
      <text>
        <r>
          <rPr>
            <b/>
            <sz val="9"/>
            <color indexed="81"/>
            <rFont val="Tahoma"/>
            <family val="2"/>
          </rPr>
          <t>Steen Hertin-Sandkær:</t>
        </r>
        <r>
          <rPr>
            <sz val="9"/>
            <color indexed="81"/>
            <rFont val="Tahoma"/>
            <family val="2"/>
          </rPr>
          <t xml:space="preserve">
kursus 09-12</t>
        </r>
      </text>
    </comment>
    <comment ref="AC71" authorId="0" shapeId="0" xr:uid="{1AA021A8-39C1-426D-8BE6-4E2CD7B0EDED}">
      <text>
        <r>
          <rPr>
            <b/>
            <sz val="9"/>
            <color indexed="81"/>
            <rFont val="Tahoma"/>
            <family val="2"/>
          </rPr>
          <t>Steen Hertin-Sandkær:</t>
        </r>
        <r>
          <rPr>
            <sz val="9"/>
            <color indexed="81"/>
            <rFont val="Tahoma"/>
            <family val="2"/>
          </rPr>
          <t xml:space="preserve">
Copenhagen 08-15</t>
        </r>
      </text>
    </comment>
    <comment ref="AD71" authorId="0" shapeId="0" xr:uid="{89528107-DCD1-46CE-A94D-3C502AF2A20F}">
      <text>
        <r>
          <rPr>
            <b/>
            <sz val="9"/>
            <color indexed="81"/>
            <rFont val="Tahoma"/>
            <family val="2"/>
          </rPr>
          <t>Steen Hertin-Sandkær:</t>
        </r>
        <r>
          <rPr>
            <sz val="9"/>
            <color indexed="81"/>
            <rFont val="Tahoma"/>
            <family val="2"/>
          </rPr>
          <t xml:space="preserve">
Copenhagen 08-15</t>
        </r>
      </text>
    </comment>
    <comment ref="E73" authorId="6" shapeId="0" xr:uid="{1B21487B-1BF6-4DDC-B7FC-6BCD1214C983}">
      <text>
        <r>
          <rPr>
            <b/>
            <sz val="9"/>
            <color indexed="81"/>
            <rFont val="Tahoma"/>
            <family val="2"/>
          </rPr>
          <t>Michael Bo Pedersen:</t>
        </r>
        <r>
          <rPr>
            <sz val="9"/>
            <color indexed="81"/>
            <rFont val="Tahoma"/>
            <family val="2"/>
          </rPr>
          <t xml:space="preserve">
1-Vagt på OA</t>
        </r>
      </text>
    </comment>
    <comment ref="P73" authorId="5" shapeId="0" xr:uid="{C7C083B0-29C0-44B3-AC7E-538A8CE12BFD}">
      <text>
        <r>
          <rPr>
            <b/>
            <sz val="9"/>
            <color indexed="81"/>
            <rFont val="Tahoma"/>
            <family val="2"/>
          </rPr>
          <t>Steen Hertin:</t>
        </r>
        <r>
          <rPr>
            <sz val="9"/>
            <color indexed="81"/>
            <rFont val="Tahoma"/>
            <family val="2"/>
          </rPr>
          <t xml:space="preserve">
Dækker Tingbjerg 13.45-18.45</t>
        </r>
      </text>
    </comment>
    <comment ref="X73" authorId="7" shapeId="0" xr:uid="{53816487-446B-487C-AA68-60A5191E3516}">
      <text>
        <r>
          <rPr>
            <b/>
            <sz val="9"/>
            <color indexed="81"/>
            <rFont val="Tahoma"/>
            <family val="2"/>
          </rPr>
          <t>Kim Holm Aabroe:</t>
        </r>
        <r>
          <rPr>
            <sz val="9"/>
            <color indexed="81"/>
            <rFont val="Tahoma"/>
            <family val="2"/>
          </rPr>
          <t xml:space="preserve">
3-vagt OA
møder kl. 08.45</t>
        </r>
      </text>
    </comment>
    <comment ref="Y73" authorId="0" shapeId="0" xr:uid="{60DA2188-4716-4E5E-9AD1-FB042D2C4B7F}">
      <text>
        <r>
          <rPr>
            <b/>
            <sz val="9"/>
            <color indexed="81"/>
            <rFont val="Tahoma"/>
            <family val="2"/>
          </rPr>
          <t>Steen Hertin-Sandkær:</t>
        </r>
        <r>
          <rPr>
            <sz val="9"/>
            <color indexed="81"/>
            <rFont val="Tahoma"/>
            <family val="2"/>
          </rPr>
          <t xml:space="preserve">
kursus 09-12</t>
        </r>
      </text>
    </comment>
    <comment ref="Z73" authorId="1" shapeId="0" xr:uid="{89305475-ABB5-455B-A5CB-549DC48F4C2D}">
      <text>
        <r>
          <rPr>
            <b/>
            <sz val="9"/>
            <color indexed="81"/>
            <rFont val="Tahoma"/>
            <family val="2"/>
          </rPr>
          <t>Thomas Holm:</t>
        </r>
        <r>
          <rPr>
            <sz val="9"/>
            <color indexed="81"/>
            <rFont val="Tahoma"/>
            <family val="2"/>
          </rPr>
          <t xml:space="preserve">
Brønshøjvej</t>
        </r>
      </text>
    </comment>
    <comment ref="AD73" authorId="1" shapeId="0" xr:uid="{A8FB4826-ABC9-422C-8CDC-4DA546ECF92A}">
      <text>
        <r>
          <rPr>
            <b/>
            <sz val="9"/>
            <color indexed="81"/>
            <rFont val="Tahoma"/>
            <family val="2"/>
          </rPr>
          <t>Thomas Holm:</t>
        </r>
        <r>
          <rPr>
            <sz val="9"/>
            <color indexed="81"/>
            <rFont val="Tahoma"/>
            <family val="2"/>
          </rPr>
          <t xml:space="preserve">
Møder kl 11.00
OA fra 18.15 til kl. 20.00
Rentemestervej</t>
        </r>
      </text>
    </comment>
    <comment ref="R74" authorId="5" shapeId="0" xr:uid="{40788775-8968-417A-BC58-D71AB98D1654}">
      <text>
        <r>
          <rPr>
            <b/>
            <sz val="9"/>
            <color indexed="81"/>
            <rFont val="Tahoma"/>
            <family val="2"/>
          </rPr>
          <t>Steen Hertin:</t>
        </r>
        <r>
          <rPr>
            <sz val="9"/>
            <color indexed="81"/>
            <rFont val="Tahoma"/>
            <family val="2"/>
          </rPr>
          <t xml:space="preserve">
Kursus 09-12</t>
        </r>
      </text>
    </comment>
    <comment ref="AD82" authorId="6" shapeId="0" xr:uid="{079376F3-1CF2-4BB7-BEAD-1F711DE9965F}">
      <text>
        <r>
          <rPr>
            <b/>
            <sz val="9"/>
            <color indexed="81"/>
            <rFont val="Tahoma"/>
            <family val="2"/>
          </rPr>
          <t>Michael Bo Pedersen:</t>
        </r>
        <r>
          <rPr>
            <sz val="9"/>
            <color indexed="81"/>
            <rFont val="Tahoma"/>
            <family val="2"/>
          </rPr>
          <t xml:space="preserve">
OA fra 18.15 til kl. 20.00
Rentemestervej</t>
        </r>
      </text>
    </comment>
    <comment ref="D85" authorId="0" shapeId="0" xr:uid="{6AC5E45A-B8FA-4B55-B3C6-713E49E4FAFE}">
      <text>
        <r>
          <rPr>
            <b/>
            <sz val="9"/>
            <color indexed="81"/>
            <rFont val="Tahoma"/>
            <family val="2"/>
          </rPr>
          <t>Steen Hertin-Sandkær:</t>
        </r>
        <r>
          <rPr>
            <sz val="9"/>
            <color indexed="81"/>
            <rFont val="Tahoma"/>
            <family val="2"/>
          </rPr>
          <t xml:space="preserve">
Møder kl. 09.00</t>
        </r>
      </text>
    </comment>
    <comment ref="E85" authorId="0" shapeId="0" xr:uid="{DB56AF1E-6034-474F-A7B6-A6EAEF2085B0}">
      <text>
        <r>
          <rPr>
            <b/>
            <sz val="9"/>
            <color indexed="81"/>
            <rFont val="Tahoma"/>
            <family val="2"/>
          </rPr>
          <t>Steen Hertin-Sandkær:</t>
        </r>
        <r>
          <rPr>
            <sz val="9"/>
            <color indexed="81"/>
            <rFont val="Tahoma"/>
            <family val="2"/>
          </rPr>
          <t xml:space="preserve">
Sjællandsgade opsætning mærkater</t>
        </r>
      </text>
    </comment>
    <comment ref="F85" authorId="0" shapeId="0" xr:uid="{508818E2-06FB-4891-AE66-DC8B593B6CC2}">
      <text>
        <r>
          <rPr>
            <b/>
            <sz val="9"/>
            <color indexed="81"/>
            <rFont val="Tahoma"/>
            <family val="2"/>
          </rPr>
          <t>Steen Hertin-Sandkær:</t>
        </r>
        <r>
          <rPr>
            <sz val="9"/>
            <color indexed="81"/>
            <rFont val="Tahoma"/>
            <family val="2"/>
          </rPr>
          <t xml:space="preserve">
Sjællandsgade opsætning mærkater</t>
        </r>
      </text>
    </comment>
    <comment ref="G85" authorId="5" shapeId="0" xr:uid="{A0FFA916-0B32-459C-BC51-3D8154494AF8}">
      <text>
        <r>
          <rPr>
            <b/>
            <sz val="9"/>
            <color indexed="81"/>
            <rFont val="Tahoma"/>
            <family val="2"/>
          </rPr>
          <t>Steen Hertin:</t>
        </r>
        <r>
          <rPr>
            <sz val="9"/>
            <color indexed="81"/>
            <rFont val="Tahoma"/>
            <family val="2"/>
          </rPr>
          <t xml:space="preserve">
Møder kl. 08.00</t>
        </r>
      </text>
    </comment>
    <comment ref="H85" authorId="5" shapeId="0" xr:uid="{8BC49D0D-702F-48AB-964E-71366A55FAD8}">
      <text>
        <r>
          <rPr>
            <b/>
            <sz val="9"/>
            <color indexed="81"/>
            <rFont val="Tahoma"/>
            <family val="2"/>
          </rPr>
          <t>Steen Hertin:</t>
        </r>
        <r>
          <rPr>
            <sz val="9"/>
            <color indexed="81"/>
            <rFont val="Tahoma"/>
            <family val="2"/>
          </rPr>
          <t xml:space="preserve">
Oplæring</t>
        </r>
      </text>
    </comment>
    <comment ref="Q89" authorId="5" shapeId="0" xr:uid="{98AEC000-FF26-405A-A35C-79F42B8A2B6D}">
      <text>
        <r>
          <rPr>
            <b/>
            <sz val="9"/>
            <color indexed="81"/>
            <rFont val="Tahoma"/>
            <family val="2"/>
          </rPr>
          <t>Steen Hertin:</t>
        </r>
        <r>
          <rPr>
            <sz val="9"/>
            <color indexed="81"/>
            <rFont val="Tahoma"/>
            <family val="2"/>
          </rPr>
          <t xml:space="preserve">
Sterter kl. 09.00</t>
        </r>
      </text>
    </comment>
    <comment ref="U89" authorId="5" shapeId="0" xr:uid="{B825C81B-7806-4034-B508-D8ED5F146632}">
      <text>
        <r>
          <rPr>
            <b/>
            <sz val="9"/>
            <color indexed="81"/>
            <rFont val="Tahoma"/>
            <family val="2"/>
          </rPr>
          <t>Steen Hertin:</t>
        </r>
        <r>
          <rPr>
            <sz val="9"/>
            <color indexed="81"/>
            <rFont val="Tahoma"/>
            <family val="2"/>
          </rPr>
          <t xml:space="preserve">
Sjællansgade</t>
        </r>
      </text>
    </comment>
    <comment ref="F91" authorId="8" shapeId="0" xr:uid="{8DC072CE-C3B9-4DAA-B610-43C278276583}">
      <text>
        <r>
          <rPr>
            <b/>
            <sz val="9"/>
            <color indexed="81"/>
            <rFont val="Tahoma"/>
            <family val="2"/>
          </rPr>
          <t>Rasmus Sørensen:</t>
        </r>
        <r>
          <rPr>
            <sz val="9"/>
            <color indexed="81"/>
            <rFont val="Tahoma"/>
            <family val="2"/>
          </rPr>
          <t xml:space="preserve">
fri</t>
        </r>
      </text>
    </comment>
    <comment ref="K91" authorId="9" shapeId="0" xr:uid="{F11090E0-F5F3-4FE8-A52B-D8352914094C}">
      <text>
        <r>
          <rPr>
            <b/>
            <sz val="9"/>
            <color indexed="81"/>
            <rFont val="Tahoma"/>
            <family val="2"/>
          </rPr>
          <t>Kim BT. Pedersen:</t>
        </r>
        <r>
          <rPr>
            <sz val="9"/>
            <color indexed="81"/>
            <rFont val="Tahoma"/>
            <family val="2"/>
          </rPr>
          <t xml:space="preserve">
Går kl. 1600</t>
        </r>
      </text>
    </comment>
    <comment ref="D101" authorId="0" shapeId="0" xr:uid="{DF0FD12A-B31E-46AF-BA1E-8CE17E4D676D}">
      <text>
        <r>
          <rPr>
            <b/>
            <sz val="9"/>
            <color indexed="81"/>
            <rFont val="Tahoma"/>
            <family val="2"/>
          </rPr>
          <t>Steen Hertin-Sandkær:</t>
        </r>
        <r>
          <rPr>
            <sz val="9"/>
            <color indexed="81"/>
            <rFont val="Tahoma"/>
            <family val="2"/>
          </rPr>
          <t xml:space="preserve">
Møder kl. 09.00</t>
        </r>
      </text>
    </comment>
    <comment ref="E101" authorId="0" shapeId="0" xr:uid="{396F78B2-CF18-4A1D-B263-41F44EE42954}">
      <text>
        <r>
          <rPr>
            <b/>
            <sz val="9"/>
            <color indexed="81"/>
            <rFont val="Tahoma"/>
            <family val="2"/>
          </rPr>
          <t>Steen Hertin-Sandkær:</t>
        </r>
        <r>
          <rPr>
            <sz val="9"/>
            <color indexed="81"/>
            <rFont val="Tahoma"/>
            <family val="2"/>
          </rPr>
          <t xml:space="preserve">
Sjællandsgade opsætning mærkater</t>
        </r>
      </text>
    </comment>
    <comment ref="F101" authorId="0" shapeId="0" xr:uid="{FD132775-4E50-4A56-8967-DF037FDA999A}">
      <text>
        <r>
          <rPr>
            <b/>
            <sz val="9"/>
            <color indexed="81"/>
            <rFont val="Tahoma"/>
            <family val="2"/>
          </rPr>
          <t>Steen Hertin-Sandkær:</t>
        </r>
        <r>
          <rPr>
            <sz val="9"/>
            <color indexed="81"/>
            <rFont val="Tahoma"/>
            <family val="2"/>
          </rPr>
          <t xml:space="preserve">
Sjællandsgade opsætning mærkater</t>
        </r>
      </text>
    </comment>
    <comment ref="G101" authorId="5" shapeId="0" xr:uid="{A7709A36-2D2A-4305-9048-6204FB8441CC}">
      <text>
        <r>
          <rPr>
            <b/>
            <sz val="9"/>
            <color indexed="81"/>
            <rFont val="Tahoma"/>
            <family val="2"/>
          </rPr>
          <t>Steen Hertin:</t>
        </r>
        <r>
          <rPr>
            <sz val="9"/>
            <color indexed="81"/>
            <rFont val="Tahoma"/>
            <family val="2"/>
          </rPr>
          <t xml:space="preserve">
Møder kl. 08.00</t>
        </r>
      </text>
    </comment>
    <comment ref="H101" authorId="5" shapeId="0" xr:uid="{574616FA-5B0A-4453-9CFD-63ADF647E9BC}">
      <text>
        <r>
          <rPr>
            <b/>
            <sz val="9"/>
            <color indexed="81"/>
            <rFont val="Tahoma"/>
            <family val="2"/>
          </rPr>
          <t>Steen Hertin:</t>
        </r>
        <r>
          <rPr>
            <sz val="9"/>
            <color indexed="81"/>
            <rFont val="Tahoma"/>
            <family val="2"/>
          </rPr>
          <t xml:space="preserve">
Oplæring</t>
        </r>
      </text>
    </comment>
    <comment ref="S101" authorId="1" shapeId="0" xr:uid="{0B17FD41-02F2-4802-B86F-322865855B9B}">
      <text>
        <r>
          <rPr>
            <b/>
            <sz val="9"/>
            <color indexed="81"/>
            <rFont val="Tahoma"/>
            <family val="2"/>
          </rPr>
          <t>Thomas Holm:</t>
        </r>
        <r>
          <rPr>
            <sz val="9"/>
            <color indexed="81"/>
            <rFont val="Tahoma"/>
            <family val="2"/>
          </rPr>
          <t xml:space="preserve">
Til lægen
Møder kl. 10.00</t>
        </r>
      </text>
    </comment>
    <comment ref="Q102" authorId="5" shapeId="0" xr:uid="{A581D321-A431-45FE-B485-B94216C1D12D}">
      <text>
        <r>
          <rPr>
            <b/>
            <sz val="9"/>
            <color indexed="81"/>
            <rFont val="Tahoma"/>
            <family val="2"/>
          </rPr>
          <t>Steen Hertin:</t>
        </r>
        <r>
          <rPr>
            <sz val="9"/>
            <color indexed="81"/>
            <rFont val="Tahoma"/>
            <family val="2"/>
          </rPr>
          <t xml:space="preserve">
Sterter kl. 09.00</t>
        </r>
      </text>
    </comment>
    <comment ref="U102" authorId="5" shapeId="0" xr:uid="{D3BEB36E-9F37-4CC9-95F4-9F82E17BDACB}">
      <text>
        <r>
          <rPr>
            <b/>
            <sz val="9"/>
            <color indexed="81"/>
            <rFont val="Tahoma"/>
            <family val="2"/>
          </rPr>
          <t>Steen Hertin:</t>
        </r>
        <r>
          <rPr>
            <sz val="9"/>
            <color indexed="81"/>
            <rFont val="Tahoma"/>
            <family val="2"/>
          </rPr>
          <t xml:space="preserve">
Sjællansgade</t>
        </r>
      </text>
    </comment>
    <comment ref="AF102" authorId="5" shapeId="0" xr:uid="{71DB0DB2-272D-4A5D-ADDC-E765DD709E1F}">
      <text>
        <r>
          <rPr>
            <b/>
            <sz val="9"/>
            <color indexed="81"/>
            <rFont val="Tahoma"/>
            <family val="2"/>
          </rPr>
          <t>Steen Hertin:</t>
        </r>
        <r>
          <rPr>
            <sz val="9"/>
            <color indexed="81"/>
            <rFont val="Tahoma"/>
            <family val="2"/>
          </rPr>
          <t xml:space="preserve">
S2 på OA Begge vagter på oplæring.</t>
        </r>
      </text>
    </comment>
    <comment ref="AG102" authorId="5" shapeId="0" xr:uid="{F163504E-5CC9-4E96-9AB9-C66BD7BEDB36}">
      <text>
        <r>
          <rPr>
            <b/>
            <sz val="9"/>
            <color indexed="81"/>
            <rFont val="Tahoma"/>
            <family val="2"/>
          </rPr>
          <t>Steen Hertin:</t>
        </r>
        <r>
          <rPr>
            <sz val="9"/>
            <color indexed="81"/>
            <rFont val="Tahoma"/>
            <family val="2"/>
          </rPr>
          <t xml:space="preserve">
Rentemestervej 14.30 - 20.00</t>
        </r>
      </text>
    </comment>
    <comment ref="T103" authorId="0" shapeId="0" xr:uid="{4F8FD1D0-EB6D-4993-8A11-6617E56A8DBA}">
      <text>
        <r>
          <rPr>
            <b/>
            <sz val="9"/>
            <color indexed="81"/>
            <rFont val="Tahoma"/>
            <family val="2"/>
          </rPr>
          <t>Steen Hertin-Sandkær:</t>
        </r>
        <r>
          <rPr>
            <sz val="9"/>
            <color indexed="81"/>
            <rFont val="Tahoma"/>
            <family val="2"/>
          </rPr>
          <t xml:space="preserve">
Starter kl. 08.00</t>
        </r>
      </text>
    </comment>
    <comment ref="Y103" authorId="4" shapeId="0" xr:uid="{B1A898CA-2549-4965-A0BE-8E574E075849}">
      <text>
        <r>
          <rPr>
            <b/>
            <sz val="9"/>
            <color indexed="81"/>
            <rFont val="Tahoma"/>
            <family val="2"/>
          </rPr>
          <t>Nikolaj Langtin Pamhede:</t>
        </r>
        <r>
          <rPr>
            <sz val="9"/>
            <color indexed="81"/>
            <rFont val="Tahoma"/>
            <family val="2"/>
          </rPr>
          <t xml:space="preserve">
Møder som 3 vagt</t>
        </r>
      </text>
    </comment>
    <comment ref="AG103" authorId="5" shapeId="0" xr:uid="{8A7BBCD3-5E2C-48D3-980D-819336CDFE91}">
      <text>
        <r>
          <rPr>
            <b/>
            <sz val="9"/>
            <color indexed="81"/>
            <rFont val="Tahoma"/>
            <family val="2"/>
          </rPr>
          <t>Steen Hertin:</t>
        </r>
        <r>
          <rPr>
            <sz val="9"/>
            <color indexed="81"/>
            <rFont val="Tahoma"/>
            <family val="2"/>
          </rPr>
          <t xml:space="preserve">
OA kl. 08.00 - 08.30 Henrik forsinket</t>
        </r>
      </text>
    </comment>
    <comment ref="R116" authorId="5" shapeId="0" xr:uid="{8BCE2CBB-B1D0-4F92-9293-611038ADAA69}">
      <text>
        <r>
          <rPr>
            <b/>
            <sz val="9"/>
            <color indexed="81"/>
            <rFont val="Tahoma"/>
            <family val="2"/>
          </rPr>
          <t>Steen Hertin:</t>
        </r>
        <r>
          <rPr>
            <sz val="9"/>
            <color indexed="81"/>
            <rFont val="Tahoma"/>
            <family val="2"/>
          </rPr>
          <t xml:space="preserve">
Kursus 09-12</t>
        </r>
      </text>
    </comment>
    <comment ref="C117" authorId="6" shapeId="0" xr:uid="{6FE90DA4-5C4E-4CBF-80FC-49A95021F03B}">
      <text>
        <r>
          <rPr>
            <b/>
            <sz val="9"/>
            <color indexed="81"/>
            <rFont val="Tahoma"/>
            <family val="2"/>
          </rPr>
          <t>Michael Bo Pedersen:</t>
        </r>
        <r>
          <rPr>
            <sz val="9"/>
            <color indexed="81"/>
            <rFont val="Tahoma"/>
            <family val="2"/>
          </rPr>
          <t xml:space="preserve">
G-vagt på OA</t>
        </r>
      </text>
    </comment>
    <comment ref="D117" authorId="6" shapeId="0" xr:uid="{BFB8AB46-1B18-4C42-A4AE-1905F6FA76DD}">
      <text>
        <r>
          <rPr>
            <b/>
            <sz val="9"/>
            <color indexed="81"/>
            <rFont val="Tahoma"/>
            <family val="2"/>
          </rPr>
          <t>Michael Bo Pedersen:</t>
        </r>
        <r>
          <rPr>
            <sz val="9"/>
            <color indexed="81"/>
            <rFont val="Tahoma"/>
            <family val="2"/>
          </rPr>
          <t xml:space="preserve">
G-vagt på OA</t>
        </r>
      </text>
    </comment>
    <comment ref="E117" authorId="6" shapeId="0" xr:uid="{BBD1CDD8-73BE-4787-BFE4-052633B3F9A8}">
      <text>
        <r>
          <rPr>
            <b/>
            <sz val="9"/>
            <color indexed="81"/>
            <rFont val="Tahoma"/>
            <family val="2"/>
          </rPr>
          <t>Michael Bo Pedersen:</t>
        </r>
        <r>
          <rPr>
            <sz val="9"/>
            <color indexed="81"/>
            <rFont val="Tahoma"/>
            <family val="2"/>
          </rPr>
          <t xml:space="preserve">
G-vagt på OA</t>
        </r>
      </text>
    </comment>
    <comment ref="G117" authorId="6" shapeId="0" xr:uid="{5799B10B-9423-4C95-A291-071230E9D1E3}">
      <text>
        <r>
          <rPr>
            <b/>
            <sz val="9"/>
            <color indexed="81"/>
            <rFont val="Tahoma"/>
            <family val="2"/>
          </rPr>
          <t>Michael Bo Pedersen:</t>
        </r>
        <r>
          <rPr>
            <sz val="9"/>
            <color indexed="81"/>
            <rFont val="Tahoma"/>
            <family val="2"/>
          </rPr>
          <t xml:space="preserve">
G-vagt på OA</t>
        </r>
      </text>
    </comment>
    <comment ref="AB124" authorId="0" shapeId="0" xr:uid="{0F089F7D-EA84-4713-A9B1-C63C9DCF49D6}">
      <text>
        <r>
          <rPr>
            <b/>
            <sz val="9"/>
            <color indexed="81"/>
            <rFont val="Tahoma"/>
            <family val="2"/>
          </rPr>
          <t>Steen Hertin-Sandkær:</t>
        </r>
        <r>
          <rPr>
            <sz val="9"/>
            <color indexed="81"/>
            <rFont val="Tahoma"/>
            <family val="2"/>
          </rPr>
          <t xml:space="preserve">
kursus 09-12</t>
        </r>
      </text>
    </comment>
    <comment ref="Z137" authorId="5" shapeId="0" xr:uid="{BC977196-901F-4937-AC45-E69DD30DF123}">
      <text>
        <r>
          <rPr>
            <b/>
            <sz val="9"/>
            <color indexed="81"/>
            <rFont val="Tahoma"/>
            <family val="2"/>
          </rPr>
          <t>Steen Hertin:</t>
        </r>
        <r>
          <rPr>
            <sz val="9"/>
            <color indexed="81"/>
            <rFont val="Tahoma"/>
            <family val="2"/>
          </rPr>
          <t xml:space="preserve">
Kursus 09-12</t>
        </r>
      </text>
    </comment>
    <comment ref="J138" authorId="9" shapeId="0" xr:uid="{CA865CBC-AF83-4BAB-B507-1759A84A1008}">
      <text>
        <r>
          <rPr>
            <b/>
            <sz val="9"/>
            <color indexed="81"/>
            <rFont val="Tahoma"/>
            <family val="2"/>
          </rPr>
          <t>Kim BT. Pedersen:</t>
        </r>
        <r>
          <rPr>
            <sz val="9"/>
            <color indexed="81"/>
            <rFont val="Tahoma"/>
            <family val="2"/>
          </rPr>
          <t xml:space="preserve">
Copenhagen 9-15</t>
        </r>
      </text>
    </comment>
    <comment ref="N138" authorId="9" shapeId="0" xr:uid="{9BC99B38-59F5-43BB-9EE6-6D40375A1D2B}">
      <text>
        <r>
          <rPr>
            <b/>
            <sz val="9"/>
            <color indexed="81"/>
            <rFont val="Tahoma"/>
            <family val="2"/>
          </rPr>
          <t>Kim BT. Pedersen:</t>
        </r>
        <r>
          <rPr>
            <sz val="9"/>
            <color indexed="81"/>
            <rFont val="Tahoma"/>
            <family val="2"/>
          </rPr>
          <t xml:space="preserve">
omvisning 1230-1330</t>
        </r>
      </text>
    </comment>
    <comment ref="Q138" authorId="0" shapeId="0" xr:uid="{4C204829-6B1A-4BA0-BB1A-B1C085B49675}">
      <text>
        <r>
          <rPr>
            <b/>
            <sz val="9"/>
            <color indexed="81"/>
            <rFont val="Tahoma"/>
            <family val="2"/>
          </rPr>
          <t>Steen Hertin-Sandkær:</t>
        </r>
        <r>
          <rPr>
            <sz val="9"/>
            <color indexed="81"/>
            <rFont val="Tahoma"/>
            <family val="2"/>
          </rPr>
          <t xml:space="preserve">
ferie rykket til uge 30</t>
        </r>
      </text>
    </comment>
    <comment ref="R138" authorId="5" shapeId="0" xr:uid="{786C026E-9A43-456F-B0C4-C600CD825C0A}">
      <text>
        <r>
          <rPr>
            <b/>
            <sz val="9"/>
            <color indexed="81"/>
            <rFont val="Tahoma"/>
            <family val="2"/>
          </rPr>
          <t>Steen Hertin:</t>
        </r>
        <r>
          <rPr>
            <sz val="9"/>
            <color indexed="81"/>
            <rFont val="Tahoma"/>
            <family val="2"/>
          </rPr>
          <t xml:space="preserve">
Kursus 09-12</t>
        </r>
      </text>
    </comment>
    <comment ref="Z139" authorId="5" shapeId="0" xr:uid="{9DF24974-57BF-426B-97A2-FB69910500FB}">
      <text>
        <r>
          <rPr>
            <b/>
            <sz val="9"/>
            <color indexed="81"/>
            <rFont val="Tahoma"/>
            <family val="2"/>
          </rPr>
          <t>Steen Hertin:</t>
        </r>
        <r>
          <rPr>
            <sz val="9"/>
            <color indexed="81"/>
            <rFont val="Tahoma"/>
            <family val="2"/>
          </rPr>
          <t xml:space="preserve">
Kursus 09-12</t>
        </r>
      </text>
    </comment>
    <comment ref="Y140" authorId="5" shapeId="0" xr:uid="{C3B45CE8-9C9D-4B96-B2CB-709CB844F6F1}">
      <text>
        <r>
          <rPr>
            <b/>
            <sz val="9"/>
            <color indexed="81"/>
            <rFont val="Tahoma"/>
            <family val="2"/>
          </rPr>
          <t>Steen Hertin:</t>
        </r>
        <r>
          <rPr>
            <sz val="9"/>
            <color indexed="81"/>
            <rFont val="Tahoma"/>
            <family val="2"/>
          </rPr>
          <t xml:space="preserve">
Kursus 09-12</t>
        </r>
      </text>
    </comment>
    <comment ref="Y153" authorId="5" shapeId="0" xr:uid="{FC870C54-0287-4FA0-9C3A-38123CC3E832}">
      <text>
        <r>
          <rPr>
            <b/>
            <sz val="9"/>
            <color indexed="81"/>
            <rFont val="Tahoma"/>
            <family val="2"/>
          </rPr>
          <t>Steen Hertin:</t>
        </r>
        <r>
          <rPr>
            <sz val="9"/>
            <color indexed="81"/>
            <rFont val="Tahoma"/>
            <family val="2"/>
          </rPr>
          <t xml:space="preserve">
Kursus 09-12</t>
        </r>
      </text>
    </comment>
    <comment ref="Y155" authorId="5" shapeId="0" xr:uid="{4E1EF11B-4D80-425B-A31D-8044ACCEC043}">
      <text>
        <r>
          <rPr>
            <b/>
            <sz val="9"/>
            <color indexed="81"/>
            <rFont val="Tahoma"/>
            <family val="2"/>
          </rPr>
          <t>Steen Hertin:</t>
        </r>
        <r>
          <rPr>
            <sz val="9"/>
            <color indexed="81"/>
            <rFont val="Tahoma"/>
            <family val="2"/>
          </rPr>
          <t xml:space="preserve">
Kursus 09-12</t>
        </r>
      </text>
    </comment>
    <comment ref="T158" authorId="5" shapeId="0" xr:uid="{48976765-32E1-4C10-B083-365C9629AAE4}">
      <text>
        <r>
          <rPr>
            <b/>
            <sz val="9"/>
            <color indexed="81"/>
            <rFont val="Tahoma"/>
            <family val="2"/>
          </rPr>
          <t>Steen Hertin:</t>
        </r>
        <r>
          <rPr>
            <sz val="9"/>
            <color indexed="81"/>
            <rFont val="Tahoma"/>
            <family val="2"/>
          </rPr>
          <t xml:space="preserve">
Kursus 09-12</t>
        </r>
      </text>
    </comment>
    <comment ref="G169" authorId="2" shapeId="0" xr:uid="{9D386349-C183-40E2-857A-A0E4E861FDE5}">
      <text>
        <r>
          <rPr>
            <b/>
            <sz val="9"/>
            <color indexed="81"/>
            <rFont val="Tahoma"/>
            <family val="2"/>
          </rPr>
          <t>marasm:</t>
        </r>
        <r>
          <rPr>
            <sz val="9"/>
            <color indexed="81"/>
            <rFont val="Tahoma"/>
            <family val="2"/>
          </rPr>
          <t xml:space="preserve">
AHF</t>
        </r>
      </text>
    </comment>
    <comment ref="J169" authorId="2" shapeId="0" xr:uid="{4AFEF592-CC12-456F-812C-AFB98B870C96}">
      <text>
        <r>
          <rPr>
            <b/>
            <sz val="9"/>
            <color indexed="81"/>
            <rFont val="Tahoma"/>
            <family val="2"/>
          </rPr>
          <t>marasm:</t>
        </r>
        <r>
          <rPr>
            <sz val="9"/>
            <color indexed="81"/>
            <rFont val="Tahoma"/>
            <family val="2"/>
          </rPr>
          <t xml:space="preserve">
AHF</t>
        </r>
      </text>
    </comment>
    <comment ref="N169" authorId="2" shapeId="0" xr:uid="{C7AAED3C-3B64-413B-A51C-18C4136E4445}">
      <text>
        <r>
          <rPr>
            <b/>
            <sz val="9"/>
            <color indexed="81"/>
            <rFont val="Tahoma"/>
            <family val="2"/>
          </rPr>
          <t>marasm:</t>
        </r>
        <r>
          <rPr>
            <sz val="9"/>
            <color indexed="81"/>
            <rFont val="Tahoma"/>
            <family val="2"/>
          </rPr>
          <t xml:space="preserve">
AHF</t>
        </r>
      </text>
    </comment>
    <comment ref="Q169" authorId="2" shapeId="0" xr:uid="{676EB369-FC54-45E0-AE53-4770CA8B7E14}">
      <text>
        <r>
          <rPr>
            <b/>
            <sz val="9"/>
            <color indexed="81"/>
            <rFont val="Tahoma"/>
            <family val="2"/>
          </rPr>
          <t>marasm:</t>
        </r>
        <r>
          <rPr>
            <sz val="9"/>
            <color indexed="81"/>
            <rFont val="Tahoma"/>
            <family val="2"/>
          </rPr>
          <t xml:space="preserve">
AHF</t>
        </r>
      </text>
    </comment>
    <comment ref="T169" authorId="2" shapeId="0" xr:uid="{2371FAC9-6EA7-416C-B7F2-C6347D88264E}">
      <text>
        <r>
          <rPr>
            <b/>
            <sz val="9"/>
            <color indexed="81"/>
            <rFont val="Tahoma"/>
            <family val="2"/>
          </rPr>
          <t>marasm:</t>
        </r>
        <r>
          <rPr>
            <sz val="9"/>
            <color indexed="81"/>
            <rFont val="Tahoma"/>
            <family val="2"/>
          </rPr>
          <t xml:space="preserve">
AHF</t>
        </r>
      </text>
    </comment>
    <comment ref="U169" authorId="2" shapeId="0" xr:uid="{8FFB48D0-2A18-45DB-AD43-7B60B5CC5228}">
      <text>
        <r>
          <rPr>
            <b/>
            <sz val="9"/>
            <color indexed="81"/>
            <rFont val="Tahoma"/>
            <family val="2"/>
          </rPr>
          <t>marasm:</t>
        </r>
        <r>
          <rPr>
            <sz val="9"/>
            <color indexed="81"/>
            <rFont val="Tahoma"/>
            <family val="2"/>
          </rPr>
          <t xml:space="preserve">
AHF</t>
        </r>
      </text>
    </comment>
    <comment ref="Z169" authorId="0" shapeId="0" xr:uid="{C8D428AC-83E6-44EC-ACDE-B24A3EA75CCE}">
      <text>
        <r>
          <rPr>
            <b/>
            <sz val="9"/>
            <color indexed="81"/>
            <rFont val="Tahoma"/>
            <family val="2"/>
          </rPr>
          <t>Steen Hertin-Sandkær:</t>
        </r>
        <r>
          <rPr>
            <sz val="9"/>
            <color indexed="81"/>
            <rFont val="Tahoma"/>
            <family val="2"/>
          </rPr>
          <t xml:space="preserve">
kursus 09-12</t>
        </r>
      </text>
    </comment>
    <comment ref="AB169" authorId="2" shapeId="0" xr:uid="{379DAC44-DA5C-4754-A34C-936C9F5D213B}">
      <text>
        <r>
          <rPr>
            <b/>
            <sz val="9"/>
            <color indexed="81"/>
            <rFont val="Tahoma"/>
            <family val="2"/>
          </rPr>
          <t>marasm:</t>
        </r>
        <r>
          <rPr>
            <sz val="9"/>
            <color indexed="81"/>
            <rFont val="Tahoma"/>
            <family val="2"/>
          </rPr>
          <t xml:space="preserve">
AHF gå kl 12</t>
        </r>
      </text>
    </comment>
    <comment ref="AE169" authorId="2" shapeId="0" xr:uid="{B1A29F8F-04A8-4D75-8403-0D3EB58CAB2E}">
      <text>
        <r>
          <rPr>
            <b/>
            <sz val="9"/>
            <color indexed="81"/>
            <rFont val="Tahoma"/>
            <family val="2"/>
          </rPr>
          <t>marasm:</t>
        </r>
        <r>
          <rPr>
            <sz val="9"/>
            <color indexed="81"/>
            <rFont val="Tahoma"/>
            <family val="2"/>
          </rPr>
          <t xml:space="preserve">
AHF</t>
        </r>
      </text>
    </comment>
    <comment ref="Y170" authorId="0" shapeId="0" xr:uid="{3849A4D0-9152-419C-BF70-901C67A56EB1}">
      <text>
        <r>
          <rPr>
            <b/>
            <sz val="9"/>
            <color indexed="81"/>
            <rFont val="Tahoma"/>
            <family val="2"/>
          </rPr>
          <t>Steen Hertin-Sandkær:</t>
        </r>
        <r>
          <rPr>
            <sz val="9"/>
            <color indexed="81"/>
            <rFont val="Tahoma"/>
            <family val="2"/>
          </rPr>
          <t xml:space="preserve">
kursus 09-12</t>
        </r>
      </text>
    </comment>
    <comment ref="Z171" authorId="0" shapeId="0" xr:uid="{5B5B559D-29F5-4906-8780-953AA14D2DC6}">
      <text>
        <r>
          <rPr>
            <b/>
            <sz val="9"/>
            <color indexed="81"/>
            <rFont val="Tahoma"/>
            <family val="2"/>
          </rPr>
          <t>Steen Hertin-Sandkær:</t>
        </r>
        <r>
          <rPr>
            <sz val="9"/>
            <color indexed="81"/>
            <rFont val="Tahoma"/>
            <family val="2"/>
          </rPr>
          <t xml:space="preserve">
kursus 09-12</t>
        </r>
      </text>
    </comment>
    <comment ref="AE196" authorId="10" shapeId="0" xr:uid="{D8C265D3-613B-484D-AC41-389F5309E033}">
      <text>
        <r>
          <rPr>
            <b/>
            <sz val="9"/>
            <color indexed="81"/>
            <rFont val="Tahoma"/>
            <family val="2"/>
          </rPr>
          <t>Marianne Rasmussen:</t>
        </r>
        <r>
          <rPr>
            <sz val="9"/>
            <color indexed="81"/>
            <rFont val="Tahoma"/>
            <family val="2"/>
          </rPr>
          <t xml:space="preserve">
internflex aftalt med Flemming Dam</t>
        </r>
      </text>
    </comment>
    <comment ref="AF196" authorId="10" shapeId="0" xr:uid="{7244EB3E-067B-49E0-B134-16EB1C076974}">
      <text>
        <r>
          <rPr>
            <b/>
            <sz val="9"/>
            <color indexed="81"/>
            <rFont val="Tahoma"/>
            <family val="2"/>
          </rPr>
          <t>Marianne Rasmussen:</t>
        </r>
        <r>
          <rPr>
            <sz val="9"/>
            <color indexed="81"/>
            <rFont val="Tahoma"/>
            <family val="2"/>
          </rPr>
          <t xml:space="preserve">
internflex aftalt med Flemming Dam</t>
        </r>
      </text>
    </comment>
    <comment ref="AG196" authorId="10" shapeId="0" xr:uid="{85CAFF72-1A0B-4BD2-8842-5AB7B08F9C88}">
      <text>
        <r>
          <rPr>
            <b/>
            <sz val="9"/>
            <color indexed="81"/>
            <rFont val="Tahoma"/>
            <family val="2"/>
          </rPr>
          <t>Marianne Rasmussen:</t>
        </r>
        <r>
          <rPr>
            <sz val="9"/>
            <color indexed="81"/>
            <rFont val="Tahoma"/>
            <family val="2"/>
          </rPr>
          <t xml:space="preserve">
internflex aftalt med Flemming Dam</t>
        </r>
      </text>
    </comment>
    <comment ref="F197" authorId="10" shapeId="0" xr:uid="{8A70665A-61C3-4AAA-90F5-D2F32D11D781}">
      <text>
        <r>
          <rPr>
            <b/>
            <sz val="9"/>
            <color indexed="81"/>
            <rFont val="Tahoma"/>
            <family val="2"/>
          </rPr>
          <t>Marianne Rasmussen:</t>
        </r>
        <r>
          <rPr>
            <sz val="9"/>
            <color indexed="81"/>
            <rFont val="Tahoma"/>
            <family val="2"/>
          </rPr>
          <t xml:space="preserve">
internflex aftalt med de andre</t>
        </r>
      </text>
    </comment>
    <comment ref="G197" authorId="10" shapeId="0" xr:uid="{3818BAE5-ACAF-4D2D-9F23-4FA0C32397B2}">
      <text>
        <r>
          <rPr>
            <b/>
            <sz val="9"/>
            <color indexed="81"/>
            <rFont val="Tahoma"/>
            <family val="2"/>
          </rPr>
          <t>Marianne Rasmussen:</t>
        </r>
        <r>
          <rPr>
            <sz val="9"/>
            <color indexed="81"/>
            <rFont val="Tahoma"/>
            <family val="2"/>
          </rPr>
          <t xml:space="preserve">
internflex aftalt med de andre</t>
        </r>
      </text>
    </comment>
    <comment ref="C207" authorId="5" shapeId="0" xr:uid="{6B67807D-C52B-46D0-A684-D8DDE840224A}">
      <text>
        <r>
          <rPr>
            <b/>
            <sz val="9"/>
            <color indexed="81"/>
            <rFont val="Tahoma"/>
            <family val="2"/>
          </rPr>
          <t>Steen Hertin:</t>
        </r>
        <r>
          <rPr>
            <sz val="9"/>
            <color indexed="81"/>
            <rFont val="Tahoma"/>
            <family val="2"/>
          </rPr>
          <t xml:space="preserve">
Mødern 08.15-11.15</t>
        </r>
      </text>
    </comment>
    <comment ref="E207" authorId="5" shapeId="0" xr:uid="{116D10A2-3BB2-4005-8504-AC155FFD4700}">
      <text>
        <r>
          <rPr>
            <b/>
            <sz val="9"/>
            <color indexed="81"/>
            <rFont val="Tahoma"/>
            <family val="2"/>
          </rPr>
          <t>Steen Hertin:</t>
        </r>
        <r>
          <rPr>
            <sz val="9"/>
            <color indexed="81"/>
            <rFont val="Tahoma"/>
            <family val="2"/>
          </rPr>
          <t xml:space="preserve">
Mødern 08.15-11.15</t>
        </r>
      </text>
    </comment>
    <comment ref="J207" authorId="5" shapeId="0" xr:uid="{B9AFE55C-B76A-44BE-8648-3617ED9F8AA9}">
      <text>
        <r>
          <rPr>
            <b/>
            <sz val="9"/>
            <color indexed="81"/>
            <rFont val="Tahoma"/>
            <family val="2"/>
          </rPr>
          <t>Steen Hertin:</t>
        </r>
        <r>
          <rPr>
            <sz val="9"/>
            <color indexed="81"/>
            <rFont val="Tahoma"/>
            <family val="2"/>
          </rPr>
          <t xml:space="preserve">
Mødern 08.15-11.15</t>
        </r>
      </text>
    </comment>
    <comment ref="L207" authorId="5" shapeId="0" xr:uid="{E1E1A234-E0AE-4183-96E4-BBC69641A8EE}">
      <text>
        <r>
          <rPr>
            <b/>
            <sz val="9"/>
            <color indexed="81"/>
            <rFont val="Tahoma"/>
            <family val="2"/>
          </rPr>
          <t>Steen Hertin:</t>
        </r>
        <r>
          <rPr>
            <sz val="9"/>
            <color indexed="81"/>
            <rFont val="Tahoma"/>
            <family val="2"/>
          </rPr>
          <t xml:space="preserve">
Mødern 08.15-11.15</t>
        </r>
      </text>
    </comment>
    <comment ref="Q207" authorId="5" shapeId="0" xr:uid="{BBE29EB2-4ACD-4BF6-A3C4-3D43C8947181}">
      <text>
        <r>
          <rPr>
            <b/>
            <sz val="9"/>
            <color indexed="81"/>
            <rFont val="Tahoma"/>
            <family val="2"/>
          </rPr>
          <t>Steen Hertin:</t>
        </r>
        <r>
          <rPr>
            <sz val="9"/>
            <color indexed="81"/>
            <rFont val="Tahoma"/>
            <family val="2"/>
          </rPr>
          <t xml:space="preserve">
Mødern 08.15-11.15</t>
        </r>
      </text>
    </comment>
    <comment ref="S207" authorId="5" shapeId="0" xr:uid="{CA87128F-E39A-4057-A85F-F234D3A16EA5}">
      <text>
        <r>
          <rPr>
            <b/>
            <sz val="9"/>
            <color indexed="81"/>
            <rFont val="Tahoma"/>
            <family val="2"/>
          </rPr>
          <t>Steen Hertin:</t>
        </r>
        <r>
          <rPr>
            <sz val="9"/>
            <color indexed="81"/>
            <rFont val="Tahoma"/>
            <family val="2"/>
          </rPr>
          <t xml:space="preserve">
Mødern 08.15-11.15</t>
        </r>
      </text>
    </comment>
    <comment ref="X207" authorId="5" shapeId="0" xr:uid="{A1AAABA8-4231-4916-824F-81437A6C1E4A}">
      <text>
        <r>
          <rPr>
            <b/>
            <sz val="9"/>
            <color indexed="81"/>
            <rFont val="Tahoma"/>
            <family val="2"/>
          </rPr>
          <t>Steen Hertin:</t>
        </r>
        <r>
          <rPr>
            <sz val="9"/>
            <color indexed="81"/>
            <rFont val="Tahoma"/>
            <family val="2"/>
          </rPr>
          <t xml:space="preserve">
Mødern 08.15-11.15</t>
        </r>
      </text>
    </comment>
    <comment ref="Z207" authorId="5" shapeId="0" xr:uid="{FA8222A0-43B7-431E-BA60-324AD248FA7E}">
      <text>
        <r>
          <rPr>
            <b/>
            <sz val="9"/>
            <color indexed="81"/>
            <rFont val="Tahoma"/>
            <family val="2"/>
          </rPr>
          <t>Steen Hertin:</t>
        </r>
        <r>
          <rPr>
            <sz val="9"/>
            <color indexed="81"/>
            <rFont val="Tahoma"/>
            <family val="2"/>
          </rPr>
          <t xml:space="preserve">
Mødern 08.15-11.15</t>
        </r>
      </text>
    </comment>
    <comment ref="O229" authorId="5" shapeId="0" xr:uid="{F5614FA5-7C43-40C8-8512-A1D7FC8C5F07}">
      <text>
        <r>
          <rPr>
            <b/>
            <sz val="9"/>
            <color indexed="81"/>
            <rFont val="Tahoma"/>
            <family val="2"/>
          </rPr>
          <t>Steen Hertin:</t>
        </r>
        <r>
          <rPr>
            <sz val="9"/>
            <color indexed="81"/>
            <rFont val="Tahoma"/>
            <family val="2"/>
          </rPr>
          <t xml:space="preserve">
Metro kl 08-15</t>
        </r>
      </text>
    </comment>
    <comment ref="P229" authorId="5" shapeId="0" xr:uid="{51A6CE84-0D7C-4CB8-8837-94C01FBBA186}">
      <text>
        <r>
          <rPr>
            <b/>
            <sz val="9"/>
            <color indexed="81"/>
            <rFont val="Tahoma"/>
            <family val="2"/>
          </rPr>
          <t>Steen Hertin:</t>
        </r>
        <r>
          <rPr>
            <sz val="9"/>
            <color indexed="81"/>
            <rFont val="Tahoma"/>
            <family val="2"/>
          </rPr>
          <t xml:space="preserve">
Metro kl 08-15</t>
        </r>
      </text>
    </comment>
    <comment ref="V229" authorId="5" shapeId="0" xr:uid="{D1B69457-A1A4-41E8-9A5C-7042E2C1E405}">
      <text>
        <r>
          <rPr>
            <b/>
            <sz val="9"/>
            <color indexed="81"/>
            <rFont val="Tahoma"/>
            <family val="2"/>
          </rPr>
          <t>Steen Hertin:</t>
        </r>
        <r>
          <rPr>
            <sz val="9"/>
            <color indexed="81"/>
            <rFont val="Tahoma"/>
            <family val="2"/>
          </rPr>
          <t xml:space="preserve">
Metro kl 08-15</t>
        </r>
      </text>
    </comment>
    <comment ref="W229" authorId="5" shapeId="0" xr:uid="{F5AFB58A-B8CF-465F-ADE6-91D0C1EB7B51}">
      <text>
        <r>
          <rPr>
            <b/>
            <sz val="9"/>
            <color indexed="81"/>
            <rFont val="Tahoma"/>
            <family val="2"/>
          </rPr>
          <t>Steen Hertin:</t>
        </r>
        <r>
          <rPr>
            <sz val="9"/>
            <color indexed="81"/>
            <rFont val="Tahoma"/>
            <family val="2"/>
          </rPr>
          <t xml:space="preserve">
Metro kl 08-15</t>
        </r>
      </text>
    </comment>
    <comment ref="AC229" authorId="5" shapeId="0" xr:uid="{0B37AADA-6AF7-4E8F-86C6-B409E23D91B8}">
      <text>
        <r>
          <rPr>
            <b/>
            <sz val="9"/>
            <color indexed="81"/>
            <rFont val="Tahoma"/>
            <family val="2"/>
          </rPr>
          <t>Steen Hertin:</t>
        </r>
        <r>
          <rPr>
            <sz val="9"/>
            <color indexed="81"/>
            <rFont val="Tahoma"/>
            <family val="2"/>
          </rPr>
          <t xml:space="preserve">
Metro kl 08-15</t>
        </r>
      </text>
    </comment>
    <comment ref="AD229" authorId="5" shapeId="0" xr:uid="{2F175BC0-ED88-41C9-9498-D8F32D242E85}">
      <text>
        <r>
          <rPr>
            <b/>
            <sz val="9"/>
            <color indexed="81"/>
            <rFont val="Tahoma"/>
            <family val="2"/>
          </rPr>
          <t>Steen Hertin:</t>
        </r>
        <r>
          <rPr>
            <sz val="9"/>
            <color indexed="81"/>
            <rFont val="Tahoma"/>
            <family val="2"/>
          </rPr>
          <t xml:space="preserve">
Metro kl 08-15</t>
        </r>
      </text>
    </comment>
    <comment ref="D233" authorId="10" shapeId="0" xr:uid="{679AD602-F87E-4367-9D1F-1E505EC90D98}">
      <text>
        <r>
          <rPr>
            <b/>
            <sz val="9"/>
            <color indexed="81"/>
            <rFont val="Tahoma"/>
            <family val="2"/>
          </rPr>
          <t>Marianne Rasmussen:</t>
        </r>
        <r>
          <rPr>
            <sz val="9"/>
            <color indexed="81"/>
            <rFont val="Tahoma"/>
            <family val="2"/>
          </rPr>
          <t xml:space="preserve">
- 2,75 Timer i afs</t>
        </r>
      </text>
    </comment>
    <comment ref="C289" authorId="10" shapeId="0" xr:uid="{7F3433FA-7866-4C82-B098-74345D39E30F}">
      <text>
        <r>
          <rPr>
            <b/>
            <sz val="9"/>
            <color indexed="81"/>
            <rFont val="Tahoma"/>
            <family val="2"/>
          </rPr>
          <t>Marianne Rasmussen:</t>
        </r>
        <r>
          <rPr>
            <sz val="9"/>
            <color indexed="81"/>
            <rFont val="Tahoma"/>
            <family val="2"/>
          </rPr>
          <t xml:space="preserve">
- 4 Timer afs</t>
        </r>
      </text>
    </comment>
    <comment ref="E289" authorId="10" shapeId="0" xr:uid="{25615BE3-0783-4431-A1D0-EBA6F1FA3F73}">
      <text>
        <r>
          <rPr>
            <b/>
            <sz val="9"/>
            <color indexed="81"/>
            <rFont val="Tahoma"/>
            <family val="2"/>
          </rPr>
          <t>Marianne Rasmussen:</t>
        </r>
        <r>
          <rPr>
            <sz val="9"/>
            <color indexed="81"/>
            <rFont val="Tahoma"/>
            <family val="2"/>
          </rPr>
          <t xml:space="preserve">
- 5 Timer i afs</t>
        </r>
      </text>
    </comment>
    <comment ref="J289" authorId="10" shapeId="0" xr:uid="{0F7352CF-B247-427B-A9D6-7F450A7E7319}">
      <text>
        <r>
          <rPr>
            <b/>
            <sz val="9"/>
            <color indexed="81"/>
            <rFont val="Tahoma"/>
            <family val="2"/>
          </rPr>
          <t>Marianne Rasmussen:</t>
        </r>
        <r>
          <rPr>
            <sz val="9"/>
            <color indexed="81"/>
            <rFont val="Tahoma"/>
            <family val="2"/>
          </rPr>
          <t xml:space="preserve">
- 2 Timer i afs</t>
        </r>
      </text>
    </comment>
    <comment ref="K289" authorId="2" shapeId="0" xr:uid="{FCEFCA14-B60D-402D-A81A-183E96E87C10}">
      <text>
        <r>
          <rPr>
            <b/>
            <sz val="9"/>
            <color indexed="81"/>
            <rFont val="Tahoma"/>
            <family val="2"/>
          </rPr>
          <t>marasm:</t>
        </r>
        <r>
          <rPr>
            <sz val="9"/>
            <color indexed="81"/>
            <rFont val="Tahoma"/>
            <family val="2"/>
          </rPr>
          <t xml:space="preserve">
- 5,5 time afs</t>
        </r>
      </text>
    </comment>
    <comment ref="Q289" authorId="10" shapeId="0" xr:uid="{BB06624A-81FA-4B50-BE6C-6423DE46DB43}">
      <text>
        <r>
          <rPr>
            <b/>
            <sz val="9"/>
            <color indexed="81"/>
            <rFont val="Tahoma"/>
            <family val="2"/>
          </rPr>
          <t>Marianne Rasmussen:</t>
        </r>
        <r>
          <rPr>
            <sz val="9"/>
            <color indexed="81"/>
            <rFont val="Tahoma"/>
            <family val="2"/>
          </rPr>
          <t xml:space="preserve">
- 4 Timer afs</t>
        </r>
      </text>
    </comment>
    <comment ref="AE289" authorId="2" shapeId="0" xr:uid="{49548D6C-4692-4617-ABA1-C5D9FE2654DF}">
      <text>
        <r>
          <rPr>
            <b/>
            <sz val="9"/>
            <color indexed="81"/>
            <rFont val="Tahoma"/>
            <family val="2"/>
          </rPr>
          <t>marasm:</t>
        </r>
        <r>
          <rPr>
            <sz val="9"/>
            <color indexed="81"/>
            <rFont val="Tahoma"/>
            <family val="2"/>
          </rPr>
          <t xml:space="preserve">
- 4 Timer afs</t>
        </r>
      </text>
    </comment>
    <comment ref="AF289" authorId="10" shapeId="0" xr:uid="{AAAA0200-3EE7-4D93-BC90-F6E4991B346A}">
      <text>
        <r>
          <rPr>
            <b/>
            <sz val="9"/>
            <color indexed="81"/>
            <rFont val="Tahoma"/>
            <family val="2"/>
          </rPr>
          <t>Marianne Rasmussen:</t>
        </r>
        <r>
          <rPr>
            <sz val="9"/>
            <color indexed="81"/>
            <rFont val="Tahoma"/>
            <family val="2"/>
          </rPr>
          <t xml:space="preserve">
- 3 timer afs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Holm</author>
    <author>Marianne Rasmussen</author>
    <author>Steen Hertin</author>
    <author>Nikolaj Langtin Pamhede</author>
    <author>marasm</author>
    <author>Nick Lorentzen</author>
    <author>Steen Hertin-Sandkær</author>
    <author>Kim Holm Aabroe</author>
    <author>Mathias Hartvig Morell Nielsen</author>
    <author>Henrik Wolffbrandt Hansen</author>
    <author>Rasmus Sørensen</author>
    <author>Michael Bo Pedersen</author>
  </authors>
  <commentList>
    <comment ref="G17" authorId="0" shapeId="0" xr:uid="{9B8B7288-F8FB-456A-A11A-946AF56340A6}">
      <text>
        <r>
          <rPr>
            <b/>
            <sz val="9"/>
            <color indexed="81"/>
            <rFont val="Tahoma"/>
            <family val="2"/>
          </rPr>
          <t>Thomas Holm:</t>
        </r>
        <r>
          <rPr>
            <sz val="9"/>
            <color indexed="81"/>
            <rFont val="Tahoma"/>
            <family val="2"/>
          </rPr>
          <t xml:space="preserve">
Omlagt TJ</t>
        </r>
      </text>
    </comment>
    <comment ref="H17" authorId="0" shapeId="0" xr:uid="{3284C156-A9B8-4849-99CF-70A38D2F5DF0}">
      <text>
        <r>
          <rPr>
            <b/>
            <sz val="9"/>
            <color indexed="81"/>
            <rFont val="Tahoma"/>
            <family val="2"/>
          </rPr>
          <t>Thomas Holm:</t>
        </r>
        <r>
          <rPr>
            <sz val="9"/>
            <color indexed="81"/>
            <rFont val="Tahoma"/>
            <family val="2"/>
          </rPr>
          <t xml:space="preserve">
Omlagt TJ</t>
        </r>
      </text>
    </comment>
    <comment ref="I17" authorId="0" shapeId="0" xr:uid="{9C9CEA6C-7A90-4D50-9755-A6A497A80973}">
      <text>
        <r>
          <rPr>
            <b/>
            <sz val="9"/>
            <color indexed="81"/>
            <rFont val="Tahoma"/>
            <family val="2"/>
          </rPr>
          <t>Thomas Holm:</t>
        </r>
        <r>
          <rPr>
            <sz val="9"/>
            <color indexed="81"/>
            <rFont val="Tahoma"/>
            <family val="2"/>
          </rPr>
          <t xml:space="preserve">
Omlagt TJ</t>
        </r>
      </text>
    </comment>
    <comment ref="J17" authorId="0" shapeId="0" xr:uid="{D010ACB2-12AF-4404-8788-ABF110577796}">
      <text>
        <r>
          <rPr>
            <b/>
            <sz val="9"/>
            <color indexed="81"/>
            <rFont val="Tahoma"/>
            <family val="2"/>
          </rPr>
          <t>Thomas Holm:</t>
        </r>
        <r>
          <rPr>
            <sz val="9"/>
            <color indexed="81"/>
            <rFont val="Tahoma"/>
            <family val="2"/>
          </rPr>
          <t xml:space="preserve">
Omlagt TJ</t>
        </r>
      </text>
    </comment>
    <comment ref="K17" authorId="0" shapeId="0" xr:uid="{6E6A5254-FF58-4DC8-B6B9-838566D31046}">
      <text>
        <r>
          <rPr>
            <b/>
            <sz val="9"/>
            <color indexed="81"/>
            <rFont val="Tahoma"/>
            <family val="2"/>
          </rPr>
          <t>Thomas Holm:</t>
        </r>
        <r>
          <rPr>
            <sz val="9"/>
            <color indexed="81"/>
            <rFont val="Tahoma"/>
            <family val="2"/>
          </rPr>
          <t xml:space="preserve">
Omlagt TJ</t>
        </r>
      </text>
    </comment>
    <comment ref="L17" authorId="0" shapeId="0" xr:uid="{AB9D6415-B689-4B85-82ED-B26D8CB3AE5C}">
      <text>
        <r>
          <rPr>
            <b/>
            <sz val="9"/>
            <color indexed="81"/>
            <rFont val="Tahoma"/>
            <family val="2"/>
          </rPr>
          <t>Thomas Holm:
Omlagt TJ</t>
        </r>
      </text>
    </comment>
    <comment ref="Q17" authorId="0" shapeId="0" xr:uid="{19B0BE0C-F215-4289-941C-2A65BD07405D}">
      <text>
        <r>
          <rPr>
            <b/>
            <sz val="9"/>
            <color indexed="81"/>
            <rFont val="Tahoma"/>
            <family val="2"/>
          </rPr>
          <t>Thomas Holm:</t>
        </r>
        <r>
          <rPr>
            <sz val="9"/>
            <color indexed="81"/>
            <rFont val="Tahoma"/>
            <family val="2"/>
          </rPr>
          <t xml:space="preserve">
DBI</t>
        </r>
      </text>
    </comment>
    <comment ref="U17" authorId="0" shapeId="0" xr:uid="{B334ADF4-2894-4FF5-97CA-34376A6BCDDB}">
      <text>
        <r>
          <rPr>
            <b/>
            <sz val="9"/>
            <color indexed="81"/>
            <rFont val="Tahoma"/>
            <family val="2"/>
          </rPr>
          <t>Thomas Holm:</t>
        </r>
        <r>
          <rPr>
            <sz val="9"/>
            <color indexed="81"/>
            <rFont val="Tahoma"/>
            <family val="2"/>
          </rPr>
          <t xml:space="preserve">
Gennemgang af fysisk bygningssikring</t>
        </r>
      </text>
    </comment>
    <comment ref="Y17" authorId="0" shapeId="0" xr:uid="{45A2C314-BA29-42E8-BFD9-543B7171AABE}">
      <text>
        <r>
          <rPr>
            <b/>
            <sz val="9"/>
            <color indexed="81"/>
            <rFont val="Tahoma"/>
            <family val="2"/>
          </rPr>
          <t>Thomas Holm:</t>
        </r>
        <r>
          <rPr>
            <sz val="9"/>
            <color indexed="81"/>
            <rFont val="Tahoma"/>
            <family val="2"/>
          </rPr>
          <t xml:space="preserve">
Gennemgang af fysisk bygningssikring</t>
        </r>
      </text>
    </comment>
    <comment ref="AF17" authorId="0" shapeId="0" xr:uid="{4617FF2F-03E0-4935-BB2B-3498549CF4CA}">
      <text>
        <r>
          <rPr>
            <b/>
            <sz val="9"/>
            <color indexed="81"/>
            <rFont val="Tahoma"/>
            <family val="2"/>
          </rPr>
          <t>Thomas Holm:</t>
        </r>
        <r>
          <rPr>
            <sz val="9"/>
            <color indexed="81"/>
            <rFont val="Tahoma"/>
            <family val="2"/>
          </rPr>
          <t xml:space="preserve">
Gennemgang af fysisk bygningssikring
11.30-14.30</t>
        </r>
      </text>
    </comment>
    <comment ref="Y20" authorId="1" shapeId="0" xr:uid="{2A12ACC3-0F59-4BAB-8ED8-51D31420BA7F}">
      <text>
        <r>
          <rPr>
            <b/>
            <sz val="9"/>
            <color indexed="81"/>
            <rFont val="Tahoma"/>
            <family val="2"/>
          </rPr>
          <t>Marianne Rasmussen:</t>
        </r>
        <r>
          <rPr>
            <sz val="9"/>
            <color indexed="81"/>
            <rFont val="Tahoma"/>
            <family val="2"/>
          </rPr>
          <t xml:space="preserve">
Arrangement kl 8-14,15</t>
        </r>
      </text>
    </comment>
    <comment ref="AC20" authorId="2" shapeId="0" xr:uid="{9ACBDA44-F2FB-449B-B353-DFE8128FA4B9}">
      <text>
        <r>
          <rPr>
            <b/>
            <sz val="9"/>
            <color indexed="81"/>
            <rFont val="Tahoma"/>
            <family val="2"/>
          </rPr>
          <t>Steen Hertin:</t>
        </r>
        <r>
          <rPr>
            <sz val="9"/>
            <color indexed="81"/>
            <rFont val="Tahoma"/>
            <family val="2"/>
          </rPr>
          <t xml:space="preserve">
AHF</t>
        </r>
      </text>
    </comment>
    <comment ref="P21" authorId="3" shapeId="0" xr:uid="{28735D7A-A50F-432A-85A0-96FB63E6B646}">
      <text>
        <r>
          <rPr>
            <b/>
            <sz val="9"/>
            <color indexed="81"/>
            <rFont val="Tahoma"/>
            <family val="2"/>
          </rPr>
          <t>Nikolaj Langtin Pamhede:</t>
        </r>
        <r>
          <rPr>
            <sz val="9"/>
            <color indexed="81"/>
            <rFont val="Tahoma"/>
            <family val="2"/>
          </rPr>
          <t xml:space="preserve">
Hospitalet 9.30-12.00</t>
        </r>
      </text>
    </comment>
    <comment ref="R21" authorId="2" shapeId="0" xr:uid="{30196F80-FF04-42AA-8A4C-A2B6E41C685D}">
      <text>
        <r>
          <rPr>
            <b/>
            <sz val="9"/>
            <color indexed="81"/>
            <rFont val="Tahoma"/>
            <family val="2"/>
          </rPr>
          <t>Steen Hertin:</t>
        </r>
        <r>
          <rPr>
            <sz val="9"/>
            <color indexed="81"/>
            <rFont val="Tahoma"/>
            <family val="2"/>
          </rPr>
          <t xml:space="preserve">
Betjentvagt</t>
        </r>
      </text>
    </comment>
    <comment ref="H22" authorId="4" shapeId="0" xr:uid="{F74892CE-78F6-4CF3-8ED4-793ED5D4CA54}">
      <text>
        <r>
          <rPr>
            <b/>
            <sz val="9"/>
            <color indexed="81"/>
            <rFont val="Tahoma"/>
            <family val="2"/>
          </rPr>
          <t>marasm:</t>
        </r>
        <r>
          <rPr>
            <sz val="9"/>
            <color indexed="81"/>
            <rFont val="Tahoma"/>
            <family val="2"/>
          </rPr>
          <t xml:space="preserve">
OA Arrangement 18-21,30</t>
        </r>
      </text>
    </comment>
    <comment ref="P25" authorId="5" shapeId="0" xr:uid="{6C1FDFF0-350B-4CF2-BAF4-E84A68C1163B}">
      <text>
        <r>
          <rPr>
            <b/>
            <sz val="9"/>
            <color indexed="81"/>
            <rFont val="Tahoma"/>
            <family val="2"/>
          </rPr>
          <t>Nick Lorentzen:</t>
        </r>
        <r>
          <rPr>
            <sz val="9"/>
            <color indexed="81"/>
            <rFont val="Tahoma"/>
            <family val="2"/>
          </rPr>
          <t xml:space="preserve">
Rentemestervej 
Vagt Onsdag d. 14 sep. til kl. 22.15 Asawin møder 20.30 og bliver til slut.</t>
        </r>
      </text>
    </comment>
    <comment ref="Q25" authorId="5" shapeId="0" xr:uid="{AAE606C6-60FC-474C-A081-BAA78432177E}">
      <text>
        <r>
          <rPr>
            <b/>
            <sz val="9"/>
            <color indexed="81"/>
            <rFont val="Tahoma"/>
            <family val="2"/>
          </rPr>
          <t>Nick Lorentzen:</t>
        </r>
        <r>
          <rPr>
            <sz val="9"/>
            <color indexed="81"/>
            <rFont val="Tahoma"/>
            <family val="2"/>
          </rPr>
          <t xml:space="preserve">
Rentemestervej
Vagt Torsdag d. 15 sep. til kl. 23.00 Sahli er der</t>
        </r>
      </text>
    </comment>
    <comment ref="R25" authorId="5" shapeId="0" xr:uid="{C8805189-ED6C-48EF-8FBF-FFAD59670EC2}">
      <text>
        <r>
          <rPr>
            <b/>
            <sz val="9"/>
            <color indexed="81"/>
            <rFont val="Tahoma"/>
            <family val="2"/>
          </rPr>
          <t>Nick Lorentzen:</t>
        </r>
        <r>
          <rPr>
            <sz val="9"/>
            <color indexed="81"/>
            <rFont val="Tahoma"/>
            <family val="2"/>
          </rPr>
          <t xml:space="preserve">
Rentemestervej
Vagt Fredag d. 16 sep. til kl. 22.15. Sahli er der</t>
        </r>
      </text>
    </comment>
    <comment ref="S25" authorId="5" shapeId="0" xr:uid="{288D52B2-2CB4-41C2-8975-56C7D86C1675}">
      <text>
        <r>
          <rPr>
            <b/>
            <sz val="9"/>
            <color indexed="81"/>
            <rFont val="Tahoma"/>
            <family val="2"/>
          </rPr>
          <t>Nick Lorentzen:</t>
        </r>
        <r>
          <rPr>
            <sz val="9"/>
            <color indexed="81"/>
            <rFont val="Tahoma"/>
            <family val="2"/>
          </rPr>
          <t xml:space="preserve">
Rentemestervej
Vagt Lørdag d. 17. sep. kl. 18.30-22</t>
        </r>
      </text>
    </comment>
    <comment ref="T25" authorId="5" shapeId="0" xr:uid="{F441FB06-63F4-4126-AE23-2AB4A95A71CF}">
      <text>
        <r>
          <rPr>
            <b/>
            <sz val="9"/>
            <color indexed="81"/>
            <rFont val="Tahoma"/>
            <family val="2"/>
          </rPr>
          <t>Nick Lorentzen:</t>
        </r>
        <r>
          <rPr>
            <sz val="9"/>
            <color indexed="81"/>
            <rFont val="Tahoma"/>
            <family val="2"/>
          </rPr>
          <t xml:space="preserve">
Rentemestervej
Vagt Søndag d. 18 sep. kl. 18.30-23.00</t>
        </r>
      </text>
    </comment>
    <comment ref="V25" authorId="5" shapeId="0" xr:uid="{490DA5F1-2B5E-40BD-A5D2-C84F0B0F1009}">
      <text>
        <r>
          <rPr>
            <b/>
            <sz val="9"/>
            <color indexed="81"/>
            <rFont val="Tahoma"/>
            <family val="2"/>
          </rPr>
          <t>Nick Lorentzen:</t>
        </r>
        <r>
          <rPr>
            <sz val="9"/>
            <color indexed="81"/>
            <rFont val="Tahoma"/>
            <family val="2"/>
          </rPr>
          <t xml:space="preserve">
Rentemestervej
Vagt Tirsdag d. 20. september til kl. 20.30</t>
        </r>
      </text>
    </comment>
    <comment ref="AC25" authorId="5" shapeId="0" xr:uid="{56BBE790-C960-4A53-982E-E4567B7E9C65}">
      <text>
        <r>
          <rPr>
            <b/>
            <sz val="9"/>
            <color indexed="81"/>
            <rFont val="Tahoma"/>
            <family val="2"/>
          </rPr>
          <t>Nick Lorentzen:</t>
        </r>
        <r>
          <rPr>
            <sz val="9"/>
            <color indexed="81"/>
            <rFont val="Tahoma"/>
            <family val="2"/>
          </rPr>
          <t xml:space="preserve">
Rentemestervej
Vagt Tirsdag d. 27. september til kl. 20.30</t>
        </r>
      </text>
    </comment>
    <comment ref="AE25" authorId="5" shapeId="0" xr:uid="{F5147B8D-107F-48B6-9208-F97AD136F03F}">
      <text>
        <r>
          <rPr>
            <b/>
            <sz val="9"/>
            <color indexed="81"/>
            <rFont val="Tahoma"/>
            <family val="2"/>
          </rPr>
          <t>Nick Lorentzen:</t>
        </r>
        <r>
          <rPr>
            <sz val="9"/>
            <color indexed="81"/>
            <rFont val="Tahoma"/>
            <family val="2"/>
          </rPr>
          <t xml:space="preserve">
Rentemestervej
Torsdag den 29/09
Arrangement til kl.: 22:15</t>
        </r>
      </text>
    </comment>
    <comment ref="C28" authorId="6" shapeId="0" xr:uid="{C3E0DE11-0C46-40A4-ADC9-6D311CFF0586}">
      <text>
        <r>
          <rPr>
            <b/>
            <sz val="9"/>
            <color indexed="81"/>
            <rFont val="Tahoma"/>
            <family val="2"/>
          </rPr>
          <t>Steen Hertin-Sandkær:</t>
        </r>
        <r>
          <rPr>
            <sz val="9"/>
            <color indexed="81"/>
            <rFont val="Tahoma"/>
            <family val="2"/>
          </rPr>
          <t xml:space="preserve">
Chauffør Rentemestervej kl. 15.00-20.00</t>
        </r>
      </text>
    </comment>
    <comment ref="D28" authorId="6" shapeId="0" xr:uid="{314FDF4F-C860-4F56-A8CC-E25BD47BDB3B}">
      <text>
        <r>
          <rPr>
            <b/>
            <sz val="9"/>
            <color indexed="81"/>
            <rFont val="Tahoma"/>
            <family val="2"/>
          </rPr>
          <t>Steen Hertin-Sandkær:</t>
        </r>
        <r>
          <rPr>
            <sz val="9"/>
            <color indexed="81"/>
            <rFont val="Tahoma"/>
            <family val="2"/>
          </rPr>
          <t xml:space="preserve">
Chauffør Rentemestervej kl. 15.00-20.00</t>
        </r>
      </text>
    </comment>
    <comment ref="E28" authorId="6" shapeId="0" xr:uid="{95D71E0E-2F50-4BFF-98BD-97A05B4C4853}">
      <text>
        <r>
          <rPr>
            <b/>
            <sz val="9"/>
            <color indexed="81"/>
            <rFont val="Tahoma"/>
            <family val="2"/>
          </rPr>
          <t>Steen Hertin-Sandkær:</t>
        </r>
        <r>
          <rPr>
            <sz val="9"/>
            <color indexed="81"/>
            <rFont val="Tahoma"/>
            <family val="2"/>
          </rPr>
          <t xml:space="preserve">
Chauffør Rentemestervej kl. 13.00.20.30</t>
        </r>
      </text>
    </comment>
    <comment ref="N37" authorId="7" shapeId="0" xr:uid="{86B9A4E7-1381-4905-996D-183D21CDBBBC}">
      <text>
        <r>
          <rPr>
            <b/>
            <sz val="9"/>
            <color indexed="81"/>
            <rFont val="Tahoma"/>
            <family val="2"/>
          </rPr>
          <t>Kim Holm Aabroe:</t>
        </r>
        <r>
          <rPr>
            <sz val="9"/>
            <color indexed="81"/>
            <rFont val="Tahoma"/>
            <family val="2"/>
          </rPr>
          <t xml:space="preserve">
matthæusgade OA</t>
        </r>
      </text>
    </comment>
    <comment ref="P37" authorId="7" shapeId="0" xr:uid="{127F6B71-7CAF-4A1C-9167-D8B2E4BE5741}">
      <text>
        <r>
          <rPr>
            <b/>
            <sz val="9"/>
            <color indexed="81"/>
            <rFont val="Tahoma"/>
            <family val="2"/>
          </rPr>
          <t>Kim Holm Aabroe:</t>
        </r>
        <r>
          <rPr>
            <sz val="9"/>
            <color indexed="81"/>
            <rFont val="Tahoma"/>
            <family val="2"/>
          </rPr>
          <t xml:space="preserve">
69-vagt på oa</t>
        </r>
      </text>
    </comment>
    <comment ref="C38" authorId="5" shapeId="0" xr:uid="{C2A8CB0E-12E6-4013-8A3B-5E2FB6B2D38F}">
      <text>
        <r>
          <rPr>
            <b/>
            <sz val="9"/>
            <color indexed="81"/>
            <rFont val="Tahoma"/>
            <family val="2"/>
          </rPr>
          <t>Nick Lorentzen:</t>
        </r>
        <r>
          <rPr>
            <sz val="9"/>
            <color indexed="81"/>
            <rFont val="Tahoma"/>
            <family val="2"/>
          </rPr>
          <t xml:space="preserve">
1 vagt OA</t>
        </r>
      </text>
    </comment>
    <comment ref="D38" authorId="5" shapeId="0" xr:uid="{3CBFA557-0FAF-45F6-8B36-0018766E837C}">
      <text>
        <r>
          <rPr>
            <b/>
            <sz val="9"/>
            <color indexed="81"/>
            <rFont val="Tahoma"/>
            <family val="2"/>
          </rPr>
          <t>Nick Lorentzen:</t>
        </r>
        <r>
          <rPr>
            <sz val="9"/>
            <color indexed="81"/>
            <rFont val="Tahoma"/>
            <family val="2"/>
          </rPr>
          <t xml:space="preserve">
1 Vagt OA</t>
        </r>
      </text>
    </comment>
    <comment ref="T38" authorId="0" shapeId="0" xr:uid="{315BFAAC-B3CE-482F-BFD2-9CB8F28FA9DD}">
      <text>
        <r>
          <rPr>
            <b/>
            <sz val="9"/>
            <color indexed="81"/>
            <rFont val="Tahoma"/>
            <family val="2"/>
          </rPr>
          <t>Thomas Holm:</t>
        </r>
        <r>
          <rPr>
            <sz val="9"/>
            <color indexed="81"/>
            <rFont val="Tahoma"/>
            <family val="2"/>
          </rPr>
          <t xml:space="preserve">
Rentemestervej, nedtagning / opsætning af scene kl. 23.00 - ?</t>
        </r>
      </text>
    </comment>
    <comment ref="C39" authorId="6" shapeId="0" xr:uid="{4AD40D3F-1843-4C16-A6FF-E128D3D4E783}">
      <text>
        <r>
          <rPr>
            <b/>
            <sz val="9"/>
            <color indexed="81"/>
            <rFont val="Tahoma"/>
            <family val="2"/>
          </rPr>
          <t>Steen Hertin-Sandkær:</t>
        </r>
        <r>
          <rPr>
            <sz val="9"/>
            <color indexed="81"/>
            <rFont val="Tahoma"/>
            <family val="2"/>
          </rPr>
          <t xml:space="preserve">
Fejer for Johnny</t>
        </r>
      </text>
    </comment>
    <comment ref="D39" authorId="6" shapeId="0" xr:uid="{93185CC0-8470-4B21-8C43-4E8BC7D16A91}">
      <text>
        <r>
          <rPr>
            <b/>
            <sz val="9"/>
            <color indexed="81"/>
            <rFont val="Tahoma"/>
            <family val="2"/>
          </rPr>
          <t>Steen Hertin-Sandkær:</t>
        </r>
        <r>
          <rPr>
            <sz val="9"/>
            <color indexed="81"/>
            <rFont val="Tahoma"/>
            <family val="2"/>
          </rPr>
          <t xml:space="preserve">
kursus 09-12 + feje for Johnny</t>
        </r>
      </text>
    </comment>
    <comment ref="G39" authorId="6" shapeId="0" xr:uid="{25302DBC-4A6F-4DF3-9CB1-748E1C8551A7}">
      <text>
        <r>
          <rPr>
            <b/>
            <sz val="9"/>
            <color indexed="81"/>
            <rFont val="Tahoma"/>
            <family val="2"/>
          </rPr>
          <t>Steen Hertin-Sandkær:</t>
        </r>
        <r>
          <rPr>
            <sz val="9"/>
            <color indexed="81"/>
            <rFont val="Tahoma"/>
            <family val="2"/>
          </rPr>
          <t xml:space="preserve">
Fejer for Johnny</t>
        </r>
      </text>
    </comment>
    <comment ref="H39" authorId="6" shapeId="0" xr:uid="{167810BD-5741-4098-B823-275253B18DCA}">
      <text>
        <r>
          <rPr>
            <b/>
            <sz val="9"/>
            <color indexed="81"/>
            <rFont val="Tahoma"/>
            <family val="2"/>
          </rPr>
          <t>Steen Hertin-Sandkær:</t>
        </r>
        <r>
          <rPr>
            <sz val="9"/>
            <color indexed="81"/>
            <rFont val="Tahoma"/>
            <family val="2"/>
          </rPr>
          <t xml:space="preserve">
Fejer for Johnny</t>
        </r>
      </text>
    </comment>
    <comment ref="I39" authorId="6" shapeId="0" xr:uid="{851BBE2F-95A9-43FE-8720-30F63A24AC11}">
      <text>
        <r>
          <rPr>
            <b/>
            <sz val="9"/>
            <color indexed="81"/>
            <rFont val="Tahoma"/>
            <family val="2"/>
          </rPr>
          <t>Steen Hertin-Sandkær:</t>
        </r>
        <r>
          <rPr>
            <sz val="9"/>
            <color indexed="81"/>
            <rFont val="Tahoma"/>
            <family val="2"/>
          </rPr>
          <t xml:space="preserve">
Fri</t>
        </r>
      </text>
    </comment>
    <comment ref="J39" authorId="6" shapeId="0" xr:uid="{667554DB-FA6D-49C0-9C2C-5EFB519ED86F}">
      <text>
        <r>
          <rPr>
            <b/>
            <sz val="9"/>
            <color indexed="81"/>
            <rFont val="Tahoma"/>
            <family val="2"/>
          </rPr>
          <t>Steen Hertin-Sandkær:</t>
        </r>
        <r>
          <rPr>
            <sz val="9"/>
            <color indexed="81"/>
            <rFont val="Tahoma"/>
            <family val="2"/>
          </rPr>
          <t xml:space="preserve">
Fejer for Johnny</t>
        </r>
      </text>
    </comment>
    <comment ref="K39" authorId="6" shapeId="0" xr:uid="{51CEA1E0-80A8-4D90-A8BE-11449B28D0E7}">
      <text>
        <r>
          <rPr>
            <b/>
            <sz val="9"/>
            <color indexed="81"/>
            <rFont val="Tahoma"/>
            <family val="2"/>
          </rPr>
          <t>Steen Hertin-Sandkær:</t>
        </r>
        <r>
          <rPr>
            <sz val="9"/>
            <color indexed="81"/>
            <rFont val="Tahoma"/>
            <family val="2"/>
          </rPr>
          <t xml:space="preserve">
kursus 09-12 + feje for Johnny</t>
        </r>
      </text>
    </comment>
    <comment ref="N39" authorId="6" shapeId="0" xr:uid="{85BA9568-A028-4BCA-9DFF-CC5D310049BB}">
      <text>
        <r>
          <rPr>
            <b/>
            <sz val="9"/>
            <color indexed="81"/>
            <rFont val="Tahoma"/>
            <family val="2"/>
          </rPr>
          <t>Steen Hertin-Sandkær:</t>
        </r>
        <r>
          <rPr>
            <sz val="9"/>
            <color indexed="81"/>
            <rFont val="Tahoma"/>
            <family val="2"/>
          </rPr>
          <t xml:space="preserve">
Fejer for Johnny</t>
        </r>
      </text>
    </comment>
    <comment ref="O39" authorId="6" shapeId="0" xr:uid="{06062F35-252C-4ED5-BC7A-7308BB9A7BE7}">
      <text>
        <r>
          <rPr>
            <b/>
            <sz val="9"/>
            <color indexed="81"/>
            <rFont val="Tahoma"/>
            <family val="2"/>
          </rPr>
          <t>Steen Hertin-Sandkær:</t>
        </r>
        <r>
          <rPr>
            <sz val="9"/>
            <color indexed="81"/>
            <rFont val="Tahoma"/>
            <family val="2"/>
          </rPr>
          <t xml:space="preserve">
Fejer for Johnny</t>
        </r>
      </text>
    </comment>
    <comment ref="P39" authorId="6" shapeId="0" xr:uid="{8A8957DF-A146-46E0-A0EF-3DD85AB0906A}">
      <text>
        <r>
          <rPr>
            <b/>
            <sz val="9"/>
            <color indexed="81"/>
            <rFont val="Tahoma"/>
            <family val="2"/>
          </rPr>
          <t>Steen Hertin-Sandkær:</t>
        </r>
        <r>
          <rPr>
            <sz val="9"/>
            <color indexed="81"/>
            <rFont val="Tahoma"/>
            <family val="2"/>
          </rPr>
          <t xml:space="preserve">
Fri</t>
        </r>
      </text>
    </comment>
    <comment ref="Q39" authorId="6" shapeId="0" xr:uid="{EDBA895F-6863-4BD7-A354-1433A1BBDD22}">
      <text>
        <r>
          <rPr>
            <b/>
            <sz val="9"/>
            <color indexed="81"/>
            <rFont val="Tahoma"/>
            <family val="2"/>
          </rPr>
          <t>Steen Hertin-Sandkær:</t>
        </r>
        <r>
          <rPr>
            <sz val="9"/>
            <color indexed="81"/>
            <rFont val="Tahoma"/>
            <family val="2"/>
          </rPr>
          <t xml:space="preserve">
Fejer for Johnny</t>
        </r>
      </text>
    </comment>
    <comment ref="R39" authorId="6" shapeId="0" xr:uid="{BFA065CD-4A70-42A4-B1CF-C4292922DECA}">
      <text>
        <r>
          <rPr>
            <b/>
            <sz val="9"/>
            <color indexed="81"/>
            <rFont val="Tahoma"/>
            <family val="2"/>
          </rPr>
          <t>Steen Hertin-Sandkær:</t>
        </r>
        <r>
          <rPr>
            <sz val="9"/>
            <color indexed="81"/>
            <rFont val="Tahoma"/>
            <family val="2"/>
          </rPr>
          <t xml:space="preserve">
kursus 09-12 + feje for Johnny</t>
        </r>
      </text>
    </comment>
    <comment ref="U39" authorId="6" shapeId="0" xr:uid="{A7EB9C99-37BE-4C16-9203-8856ADC00C58}">
      <text>
        <r>
          <rPr>
            <b/>
            <sz val="9"/>
            <color indexed="81"/>
            <rFont val="Tahoma"/>
            <family val="2"/>
          </rPr>
          <t>Steen Hertin-Sandkær:</t>
        </r>
        <r>
          <rPr>
            <sz val="9"/>
            <color indexed="81"/>
            <rFont val="Tahoma"/>
            <family val="2"/>
          </rPr>
          <t xml:space="preserve">
Fejer for Johnny</t>
        </r>
      </text>
    </comment>
    <comment ref="V39" authorId="6" shapeId="0" xr:uid="{1CFA5DAE-E89E-4D17-8CBC-0BE51F87ED3A}">
      <text>
        <r>
          <rPr>
            <b/>
            <sz val="9"/>
            <color indexed="81"/>
            <rFont val="Tahoma"/>
            <family val="2"/>
          </rPr>
          <t>Steen Hertin-Sandkær:</t>
        </r>
        <r>
          <rPr>
            <sz val="9"/>
            <color indexed="81"/>
            <rFont val="Tahoma"/>
            <family val="2"/>
          </rPr>
          <t xml:space="preserve">
Fejer for Johnny</t>
        </r>
      </text>
    </comment>
    <comment ref="W39" authorId="6" shapeId="0" xr:uid="{0E3DF130-FAE5-4DFF-BFAB-DAE190796FD7}">
      <text>
        <r>
          <rPr>
            <b/>
            <sz val="9"/>
            <color indexed="81"/>
            <rFont val="Tahoma"/>
            <family val="2"/>
          </rPr>
          <t>Steen Hertin-Sandkær:</t>
        </r>
        <r>
          <rPr>
            <sz val="9"/>
            <color indexed="81"/>
            <rFont val="Tahoma"/>
            <family val="2"/>
          </rPr>
          <t xml:space="preserve">
Fri</t>
        </r>
      </text>
    </comment>
    <comment ref="X39" authorId="6" shapeId="0" xr:uid="{3D355A9B-75F3-48B0-AA9B-C594ED7A7C2D}">
      <text>
        <r>
          <rPr>
            <b/>
            <sz val="9"/>
            <color indexed="81"/>
            <rFont val="Tahoma"/>
            <family val="2"/>
          </rPr>
          <t>Steen Hertin-Sandkær:</t>
        </r>
        <r>
          <rPr>
            <sz val="9"/>
            <color indexed="81"/>
            <rFont val="Tahoma"/>
            <family val="2"/>
          </rPr>
          <t xml:space="preserve">
Fejer for Johnny</t>
        </r>
      </text>
    </comment>
    <comment ref="Y39" authorId="6" shapeId="0" xr:uid="{BA1C5AC9-5454-42E0-8E90-D094A80849B3}">
      <text>
        <r>
          <rPr>
            <b/>
            <sz val="9"/>
            <color indexed="81"/>
            <rFont val="Tahoma"/>
            <family val="2"/>
          </rPr>
          <t>Steen Hertin-Sandkær:</t>
        </r>
        <r>
          <rPr>
            <sz val="9"/>
            <color indexed="81"/>
            <rFont val="Tahoma"/>
            <family val="2"/>
          </rPr>
          <t xml:space="preserve">
kursus 09-12 + feje for Johnny</t>
        </r>
      </text>
    </comment>
    <comment ref="AB39" authorId="6" shapeId="0" xr:uid="{76A27ECD-D578-4304-9944-41A866E71FA9}">
      <text>
        <r>
          <rPr>
            <b/>
            <sz val="9"/>
            <color indexed="81"/>
            <rFont val="Tahoma"/>
            <family val="2"/>
          </rPr>
          <t>Steen Hertin-Sandkær:</t>
        </r>
        <r>
          <rPr>
            <sz val="9"/>
            <color indexed="81"/>
            <rFont val="Tahoma"/>
            <family val="2"/>
          </rPr>
          <t xml:space="preserve">
Fejer for Johnny</t>
        </r>
      </text>
    </comment>
    <comment ref="AC39" authorId="6" shapeId="0" xr:uid="{AF4189F1-8EC9-4C03-991F-38D1D93AB2B2}">
      <text>
        <r>
          <rPr>
            <b/>
            <sz val="9"/>
            <color indexed="81"/>
            <rFont val="Tahoma"/>
            <family val="2"/>
          </rPr>
          <t>Steen Hertin-Sandkær:</t>
        </r>
        <r>
          <rPr>
            <sz val="9"/>
            <color indexed="81"/>
            <rFont val="Tahoma"/>
            <family val="2"/>
          </rPr>
          <t xml:space="preserve">
Fejer for Johnny</t>
        </r>
      </text>
    </comment>
    <comment ref="AD39" authorId="6" shapeId="0" xr:uid="{8461D262-E641-411C-84A0-541DCD9359F0}">
      <text>
        <r>
          <rPr>
            <b/>
            <sz val="9"/>
            <color indexed="81"/>
            <rFont val="Tahoma"/>
            <family val="2"/>
          </rPr>
          <t>Steen Hertin-Sandkær:</t>
        </r>
        <r>
          <rPr>
            <sz val="9"/>
            <color indexed="81"/>
            <rFont val="Tahoma"/>
            <family val="2"/>
          </rPr>
          <t xml:space="preserve">
Fri</t>
        </r>
      </text>
    </comment>
    <comment ref="AE39" authorId="6" shapeId="0" xr:uid="{B50F7C36-4140-40E1-B3C6-9FBA1E96D1BC}">
      <text>
        <r>
          <rPr>
            <b/>
            <sz val="9"/>
            <color indexed="81"/>
            <rFont val="Tahoma"/>
            <family val="2"/>
          </rPr>
          <t>Steen Hertin-Sandkær:</t>
        </r>
        <r>
          <rPr>
            <sz val="9"/>
            <color indexed="81"/>
            <rFont val="Tahoma"/>
            <family val="2"/>
          </rPr>
          <t xml:space="preserve">
Fejer for Johnny</t>
        </r>
      </text>
    </comment>
    <comment ref="AF39" authorId="6" shapeId="0" xr:uid="{7084E55C-C8ED-47DF-8A34-7502D8BC0C9E}">
      <text>
        <r>
          <rPr>
            <b/>
            <sz val="9"/>
            <color indexed="81"/>
            <rFont val="Tahoma"/>
            <family val="2"/>
          </rPr>
          <t>Steen Hertin-Sandkær:</t>
        </r>
        <r>
          <rPr>
            <sz val="9"/>
            <color indexed="81"/>
            <rFont val="Tahoma"/>
            <family val="2"/>
          </rPr>
          <t xml:space="preserve">
kursus 09-12 + feje for Johnny</t>
        </r>
      </text>
    </comment>
    <comment ref="G41" authorId="0" shapeId="0" xr:uid="{827D1DFA-8785-42F5-B972-26696D9B581D}">
      <text>
        <r>
          <rPr>
            <b/>
            <sz val="9"/>
            <color indexed="81"/>
            <rFont val="Tahoma"/>
            <family val="2"/>
          </rPr>
          <t>Thomas Holm:</t>
        </r>
        <r>
          <rPr>
            <sz val="9"/>
            <color indexed="81"/>
            <rFont val="Tahoma"/>
            <family val="2"/>
          </rPr>
          <t xml:space="preserve">
VH. Nat</t>
        </r>
      </text>
    </comment>
    <comment ref="H41" authorId="0" shapeId="0" xr:uid="{A30B8B51-530B-4823-9ABC-B1A570A61DF1}">
      <text>
        <r>
          <rPr>
            <b/>
            <sz val="9"/>
            <color indexed="81"/>
            <rFont val="Tahoma"/>
            <family val="2"/>
          </rPr>
          <t>Thomas Holm:</t>
        </r>
        <r>
          <rPr>
            <sz val="9"/>
            <color indexed="81"/>
            <rFont val="Tahoma"/>
            <family val="2"/>
          </rPr>
          <t xml:space="preserve">
VH. Nat</t>
        </r>
      </text>
    </comment>
    <comment ref="I41" authorId="0" shapeId="0" xr:uid="{62369464-44D0-41F3-83A3-2070360599BB}">
      <text>
        <r>
          <rPr>
            <b/>
            <sz val="9"/>
            <color indexed="81"/>
            <rFont val="Tahoma"/>
            <family val="2"/>
          </rPr>
          <t>Thomas Holm:</t>
        </r>
        <r>
          <rPr>
            <sz val="9"/>
            <color indexed="81"/>
            <rFont val="Tahoma"/>
            <family val="2"/>
          </rPr>
          <t xml:space="preserve">
VH. Nat</t>
        </r>
      </text>
    </comment>
    <comment ref="J41" authorId="0" shapeId="0" xr:uid="{9D43CAED-7070-4B8C-B110-C61F5579501E}">
      <text>
        <r>
          <rPr>
            <b/>
            <sz val="9"/>
            <color indexed="81"/>
            <rFont val="Tahoma"/>
            <family val="2"/>
          </rPr>
          <t>Thomas Holm:</t>
        </r>
        <r>
          <rPr>
            <sz val="9"/>
            <color indexed="81"/>
            <rFont val="Tahoma"/>
            <family val="2"/>
          </rPr>
          <t xml:space="preserve">
VH. Nat</t>
        </r>
      </text>
    </comment>
    <comment ref="K41" authorId="0" shapeId="0" xr:uid="{5BBBF2F7-9DD1-4E18-ADBA-AA9C18C71E57}">
      <text>
        <r>
          <rPr>
            <b/>
            <sz val="9"/>
            <color indexed="81"/>
            <rFont val="Tahoma"/>
            <family val="2"/>
          </rPr>
          <t>Thomas Holm:</t>
        </r>
        <r>
          <rPr>
            <sz val="9"/>
            <color indexed="81"/>
            <rFont val="Tahoma"/>
            <family val="2"/>
          </rPr>
          <t xml:space="preserve">
VH. Nat</t>
        </r>
      </text>
    </comment>
    <comment ref="C42" authorId="7" shapeId="0" xr:uid="{00510365-9416-47F4-AD40-2AB4DDB42771}">
      <text>
        <r>
          <rPr>
            <b/>
            <sz val="9"/>
            <color indexed="81"/>
            <rFont val="Tahoma"/>
            <family val="2"/>
          </rPr>
          <t>Kim Holm Aabroe:</t>
        </r>
        <r>
          <rPr>
            <sz val="9"/>
            <color indexed="81"/>
            <rFont val="Tahoma"/>
            <family val="2"/>
          </rPr>
          <t xml:space="preserve">
21-vagt OA</t>
        </r>
      </text>
    </comment>
    <comment ref="P42" authorId="8" shapeId="0" xr:uid="{668736FE-5CB3-4A6A-9D1A-F97F18B64AB4}">
      <text>
        <r>
          <rPr>
            <b/>
            <sz val="9"/>
            <color indexed="81"/>
            <rFont val="Tahoma"/>
            <family val="2"/>
          </rPr>
          <t>Mathias Hartvig Morell Nielsen:</t>
        </r>
        <r>
          <rPr>
            <sz val="9"/>
            <color indexed="81"/>
            <rFont val="Tahoma"/>
            <family val="2"/>
          </rPr>
          <t xml:space="preserve">
Rentemestervej OA fra 20:30</t>
        </r>
      </text>
    </comment>
    <comment ref="V50" authorId="0" shapeId="0" xr:uid="{78B2B62E-BDB9-40A3-AAF7-60ABFFE23AD7}">
      <text>
        <r>
          <rPr>
            <b/>
            <sz val="9"/>
            <color indexed="81"/>
            <rFont val="Tahoma"/>
            <family val="2"/>
          </rPr>
          <t>Thomas Holm:</t>
        </r>
        <r>
          <rPr>
            <sz val="9"/>
            <color indexed="81"/>
            <rFont val="Tahoma"/>
            <family val="2"/>
          </rPr>
          <t xml:space="preserve">
Hospitalet</t>
        </r>
      </text>
    </comment>
    <comment ref="F62" authorId="2" shapeId="0" xr:uid="{BD6FBAF4-EB3B-4EC3-BAC0-680D79D74459}">
      <text>
        <r>
          <rPr>
            <b/>
            <sz val="9"/>
            <color indexed="81"/>
            <rFont val="Tahoma"/>
            <family val="2"/>
          </rPr>
          <t>Steen Hertin:</t>
        </r>
        <r>
          <rPr>
            <sz val="9"/>
            <color indexed="81"/>
            <rFont val="Tahoma"/>
            <family val="2"/>
          </rPr>
          <t xml:space="preserve">
Tingbjerg 13.45-18,45</t>
        </r>
      </text>
    </comment>
    <comment ref="G62" authorId="0" shapeId="0" xr:uid="{F9997354-CFDA-40F7-9869-2FFA3DBBE2A5}">
      <text>
        <r>
          <rPr>
            <b/>
            <sz val="9"/>
            <color indexed="81"/>
            <rFont val="Tahoma"/>
            <family val="2"/>
          </rPr>
          <t>Thomas Holm:</t>
        </r>
        <r>
          <rPr>
            <sz val="9"/>
            <color indexed="81"/>
            <rFont val="Tahoma"/>
            <family val="2"/>
          </rPr>
          <t xml:space="preserve">
Metro</t>
        </r>
      </text>
    </comment>
    <comment ref="H62" authorId="0" shapeId="0" xr:uid="{6D15590F-4606-4B81-BE6E-159B266060BC}">
      <text>
        <r>
          <rPr>
            <b/>
            <sz val="9"/>
            <color indexed="81"/>
            <rFont val="Tahoma"/>
            <family val="2"/>
          </rPr>
          <t>Thomas Holm:</t>
        </r>
        <r>
          <rPr>
            <sz val="9"/>
            <color indexed="81"/>
            <rFont val="Tahoma"/>
            <family val="2"/>
          </rPr>
          <t xml:space="preserve">
Metro</t>
        </r>
      </text>
    </comment>
    <comment ref="I62" authorId="0" shapeId="0" xr:uid="{389146CB-A838-4192-ACE0-B26D23383B57}">
      <text>
        <r>
          <rPr>
            <b/>
            <sz val="9"/>
            <color indexed="81"/>
            <rFont val="Tahoma"/>
            <family val="2"/>
          </rPr>
          <t>Thomas Holm:</t>
        </r>
        <r>
          <rPr>
            <sz val="9"/>
            <color indexed="81"/>
            <rFont val="Tahoma"/>
            <family val="2"/>
          </rPr>
          <t xml:space="preserve">
Metro</t>
        </r>
      </text>
    </comment>
    <comment ref="J62" authorId="0" shapeId="0" xr:uid="{33B4999D-93C4-4BFA-AC40-749F282BF206}">
      <text>
        <r>
          <rPr>
            <b/>
            <sz val="9"/>
            <color indexed="81"/>
            <rFont val="Tahoma"/>
            <family val="2"/>
          </rPr>
          <t>Thomas Holm:</t>
        </r>
        <r>
          <rPr>
            <sz val="9"/>
            <color indexed="81"/>
            <rFont val="Tahoma"/>
            <family val="2"/>
          </rPr>
          <t xml:space="preserve">
Metro</t>
        </r>
      </text>
    </comment>
    <comment ref="K62" authorId="0" shapeId="0" xr:uid="{D279B6A8-A4B8-467C-ADC9-A1126074E30B}">
      <text>
        <r>
          <rPr>
            <b/>
            <sz val="9"/>
            <color indexed="81"/>
            <rFont val="Tahoma"/>
            <family val="2"/>
          </rPr>
          <t>Thomas Holm:</t>
        </r>
        <r>
          <rPr>
            <sz val="9"/>
            <color indexed="81"/>
            <rFont val="Tahoma"/>
            <family val="2"/>
          </rPr>
          <t xml:space="preserve">
Metro</t>
        </r>
      </text>
    </comment>
    <comment ref="L62" authorId="0" shapeId="0" xr:uid="{D9E0A795-8EA7-4D0C-8564-90FAC572A3F5}">
      <text>
        <r>
          <rPr>
            <b/>
            <sz val="9"/>
            <color indexed="81"/>
            <rFont val="Tahoma"/>
            <family val="2"/>
          </rPr>
          <t>Thomas Holm:</t>
        </r>
        <r>
          <rPr>
            <sz val="9"/>
            <color indexed="81"/>
            <rFont val="Tahoma"/>
            <family val="2"/>
          </rPr>
          <t xml:space="preserve">
Metro</t>
        </r>
      </text>
    </comment>
    <comment ref="M62" authorId="0" shapeId="0" xr:uid="{5CDA0D63-E21E-428C-9990-9C00900429A3}">
      <text>
        <r>
          <rPr>
            <b/>
            <sz val="9"/>
            <color indexed="81"/>
            <rFont val="Tahoma"/>
            <family val="2"/>
          </rPr>
          <t>Thomas Holm:</t>
        </r>
        <r>
          <rPr>
            <sz val="9"/>
            <color indexed="81"/>
            <rFont val="Tahoma"/>
            <family val="2"/>
          </rPr>
          <t xml:space="preserve">
Metro</t>
        </r>
      </text>
    </comment>
    <comment ref="N62" authorId="6" shapeId="0" xr:uid="{6B1BDC74-736B-428E-974F-7FD79AFF68F6}">
      <text>
        <r>
          <rPr>
            <b/>
            <sz val="9"/>
            <color indexed="81"/>
            <rFont val="Tahoma"/>
            <family val="2"/>
          </rPr>
          <t>Steen Hertin-Sandkær:</t>
        </r>
        <r>
          <rPr>
            <sz val="9"/>
            <color indexed="81"/>
            <rFont val="Tahoma"/>
            <family val="2"/>
          </rPr>
          <t xml:space="preserve">
Metro 08-15 + K2 på OA</t>
        </r>
      </text>
    </comment>
    <comment ref="O62" authorId="6" shapeId="0" xr:uid="{7704B2CA-F470-46F3-A926-AC8AD1A7839E}">
      <text>
        <r>
          <rPr>
            <b/>
            <sz val="9"/>
            <color indexed="81"/>
            <rFont val="Tahoma"/>
            <family val="2"/>
          </rPr>
          <t>Steen Hertin-Sandkær:</t>
        </r>
        <r>
          <rPr>
            <sz val="9"/>
            <color indexed="81"/>
            <rFont val="Tahoma"/>
            <family val="2"/>
          </rPr>
          <t xml:space="preserve">
Metro 08-15 + K2 på OA</t>
        </r>
      </text>
    </comment>
    <comment ref="P62" authorId="6" shapeId="0" xr:uid="{4D529FE3-6FE0-4DBA-BFA1-21A9EFFEF7C3}">
      <text>
        <r>
          <rPr>
            <b/>
            <sz val="9"/>
            <color indexed="81"/>
            <rFont val="Tahoma"/>
            <family val="2"/>
          </rPr>
          <t>Steen Hertin-Sandkær:</t>
        </r>
        <r>
          <rPr>
            <sz val="9"/>
            <color indexed="81"/>
            <rFont val="Tahoma"/>
            <family val="2"/>
          </rPr>
          <t xml:space="preserve">
Metro 08-15 + K2 på OA</t>
        </r>
      </text>
    </comment>
    <comment ref="Q62" authorId="6" shapeId="0" xr:uid="{41408D38-B6B4-4EAA-AF6D-AF9A29B01D92}">
      <text>
        <r>
          <rPr>
            <b/>
            <sz val="9"/>
            <color indexed="81"/>
            <rFont val="Tahoma"/>
            <family val="2"/>
          </rPr>
          <t>Steen Hertin-Sandkær:</t>
        </r>
        <r>
          <rPr>
            <sz val="9"/>
            <color indexed="81"/>
            <rFont val="Tahoma"/>
            <family val="2"/>
          </rPr>
          <t xml:space="preserve">
Metro 08-15</t>
        </r>
      </text>
    </comment>
    <comment ref="R62" authorId="6" shapeId="0" xr:uid="{665AA863-BB9A-4A04-B0C7-A06E159CFEDB}">
      <text>
        <r>
          <rPr>
            <b/>
            <sz val="9"/>
            <color indexed="81"/>
            <rFont val="Tahoma"/>
            <family val="2"/>
          </rPr>
          <t>Steen Hertin-Sandkær:</t>
        </r>
        <r>
          <rPr>
            <sz val="9"/>
            <color indexed="81"/>
            <rFont val="Tahoma"/>
            <family val="2"/>
          </rPr>
          <t xml:space="preserve">
Metro 08-15 + K2 på OA</t>
        </r>
      </text>
    </comment>
    <comment ref="S62" authorId="6" shapeId="0" xr:uid="{D2D2103A-C5C1-40F5-940D-BB614483672E}">
      <text>
        <r>
          <rPr>
            <b/>
            <sz val="9"/>
            <color indexed="81"/>
            <rFont val="Tahoma"/>
            <family val="2"/>
          </rPr>
          <t>Steen Hertin-Sandkær:</t>
        </r>
        <r>
          <rPr>
            <sz val="9"/>
            <color indexed="81"/>
            <rFont val="Tahoma"/>
            <family val="2"/>
          </rPr>
          <t xml:space="preserve">
Metro 08-15</t>
        </r>
      </text>
    </comment>
    <comment ref="T62" authorId="6" shapeId="0" xr:uid="{3ED0EFDA-3276-442C-A43C-7E9E80091A82}">
      <text>
        <r>
          <rPr>
            <b/>
            <sz val="9"/>
            <color indexed="81"/>
            <rFont val="Tahoma"/>
            <family val="2"/>
          </rPr>
          <t>Steen Hertin-Sandkær:</t>
        </r>
        <r>
          <rPr>
            <sz val="9"/>
            <color indexed="81"/>
            <rFont val="Tahoma"/>
            <family val="2"/>
          </rPr>
          <t xml:space="preserve">
Metro 08-15</t>
        </r>
      </text>
    </comment>
    <comment ref="U62" authorId="6" shapeId="0" xr:uid="{E70CEEA8-F24F-4BB2-A885-09B99CB1EC67}">
      <text>
        <r>
          <rPr>
            <b/>
            <sz val="9"/>
            <color indexed="81"/>
            <rFont val="Tahoma"/>
            <family val="2"/>
          </rPr>
          <t>Steen Hertin-Sandkær:</t>
        </r>
        <r>
          <rPr>
            <sz val="9"/>
            <color indexed="81"/>
            <rFont val="Tahoma"/>
            <family val="2"/>
          </rPr>
          <t xml:space="preserve">
Metro 08-15</t>
        </r>
      </text>
    </comment>
    <comment ref="W62" authorId="2" shapeId="0" xr:uid="{3FB02748-F438-48DE-9F95-026F9AB8186A}">
      <text>
        <r>
          <rPr>
            <b/>
            <sz val="9"/>
            <color indexed="81"/>
            <rFont val="Tahoma"/>
            <family val="2"/>
          </rPr>
          <t>Steen Hertin:</t>
        </r>
        <r>
          <rPr>
            <sz val="9"/>
            <color indexed="81"/>
            <rFont val="Tahoma"/>
            <family val="2"/>
          </rPr>
          <t xml:space="preserve">
Metro 08-15</t>
        </r>
      </text>
    </comment>
    <comment ref="X62" authorId="6" shapeId="0" xr:uid="{C96F2CF3-0606-4D56-A8DE-790177957E09}">
      <text>
        <r>
          <rPr>
            <b/>
            <sz val="9"/>
            <color indexed="81"/>
            <rFont val="Tahoma"/>
            <family val="2"/>
          </rPr>
          <t>Steen Hertin-Sandkær:</t>
        </r>
        <r>
          <rPr>
            <sz val="9"/>
            <color indexed="81"/>
            <rFont val="Tahoma"/>
            <family val="2"/>
          </rPr>
          <t xml:space="preserve">
Metro 08-15</t>
        </r>
      </text>
    </comment>
    <comment ref="Y62" authorId="1" shapeId="0" xr:uid="{16A9B996-8492-430B-BFD8-FC62937E9835}">
      <text>
        <r>
          <rPr>
            <b/>
            <sz val="9"/>
            <color indexed="81"/>
            <rFont val="Tahoma"/>
            <family val="2"/>
          </rPr>
          <t>Marianne Rasmussen:</t>
        </r>
        <r>
          <rPr>
            <sz val="9"/>
            <color indexed="81"/>
            <rFont val="Tahoma"/>
            <family val="2"/>
          </rPr>
          <t xml:space="preserve">
Arrangement kl 8-14,15</t>
        </r>
      </text>
    </comment>
    <comment ref="Z62" authorId="6" shapeId="0" xr:uid="{32F32E68-52C2-46D0-B77F-2FA24F869178}">
      <text>
        <r>
          <rPr>
            <b/>
            <sz val="9"/>
            <color indexed="81"/>
            <rFont val="Tahoma"/>
            <family val="2"/>
          </rPr>
          <t>Steen Hertin-Sandkær:</t>
        </r>
        <r>
          <rPr>
            <sz val="9"/>
            <color indexed="81"/>
            <rFont val="Tahoma"/>
            <family val="2"/>
          </rPr>
          <t xml:space="preserve">
Metro 08-15</t>
        </r>
      </text>
    </comment>
    <comment ref="AA62" authorId="6" shapeId="0" xr:uid="{F1CA17DF-EC59-4077-A9ED-462220123890}">
      <text>
        <r>
          <rPr>
            <b/>
            <sz val="9"/>
            <color indexed="81"/>
            <rFont val="Tahoma"/>
            <family val="2"/>
          </rPr>
          <t>Steen Hertin-Sandkær:</t>
        </r>
        <r>
          <rPr>
            <sz val="9"/>
            <color indexed="81"/>
            <rFont val="Tahoma"/>
            <family val="2"/>
          </rPr>
          <t xml:space="preserve">
Metro 08-15</t>
        </r>
      </text>
    </comment>
    <comment ref="C63" authorId="6" shapeId="0" xr:uid="{BA8EA33B-5B9E-450A-8B83-F467271EE574}">
      <text>
        <r>
          <rPr>
            <b/>
            <sz val="9"/>
            <color indexed="81"/>
            <rFont val="Tahoma"/>
            <family val="2"/>
          </rPr>
          <t>Steen Hertin-Sandkær:</t>
        </r>
        <r>
          <rPr>
            <sz val="9"/>
            <color indexed="81"/>
            <rFont val="Tahoma"/>
            <family val="2"/>
          </rPr>
          <t xml:space="preserve">
Metro 08-15</t>
        </r>
      </text>
    </comment>
    <comment ref="D63" authorId="6" shapeId="0" xr:uid="{7E9EE66C-0573-4B2C-84A7-FECA9775A9BF}">
      <text>
        <r>
          <rPr>
            <b/>
            <sz val="9"/>
            <color indexed="81"/>
            <rFont val="Tahoma"/>
            <family val="2"/>
          </rPr>
          <t>Steen Hertin-Sandkær:</t>
        </r>
        <r>
          <rPr>
            <sz val="9"/>
            <color indexed="81"/>
            <rFont val="Tahoma"/>
            <family val="2"/>
          </rPr>
          <t xml:space="preserve">
Metro 08-15</t>
        </r>
      </text>
    </comment>
    <comment ref="AB63" authorId="6" shapeId="0" xr:uid="{D6A9726A-5AEF-4DD2-952C-87CF6211D04F}">
      <text>
        <r>
          <rPr>
            <b/>
            <sz val="9"/>
            <color indexed="81"/>
            <rFont val="Tahoma"/>
            <family val="2"/>
          </rPr>
          <t>Steen Hertin-Sandkær:</t>
        </r>
        <r>
          <rPr>
            <sz val="9"/>
            <color indexed="81"/>
            <rFont val="Tahoma"/>
            <family val="2"/>
          </rPr>
          <t xml:space="preserve">
Metro 08-15</t>
        </r>
      </text>
    </comment>
    <comment ref="AC63" authorId="6" shapeId="0" xr:uid="{EA2027E4-FA0B-4531-A7C6-E640DABCD283}">
      <text>
        <r>
          <rPr>
            <b/>
            <sz val="9"/>
            <color indexed="81"/>
            <rFont val="Tahoma"/>
            <family val="2"/>
          </rPr>
          <t>Steen Hertin-Sandkær:</t>
        </r>
        <r>
          <rPr>
            <sz val="9"/>
            <color indexed="81"/>
            <rFont val="Tahoma"/>
            <family val="2"/>
          </rPr>
          <t xml:space="preserve">
Metro 08-15</t>
        </r>
      </text>
    </comment>
    <comment ref="AD63" authorId="6" shapeId="0" xr:uid="{D503BBD1-8245-4F03-99AA-436D871DA5D6}">
      <text>
        <r>
          <rPr>
            <b/>
            <sz val="9"/>
            <color indexed="81"/>
            <rFont val="Tahoma"/>
            <family val="2"/>
          </rPr>
          <t>Steen Hertin-Sandkær:</t>
        </r>
        <r>
          <rPr>
            <sz val="9"/>
            <color indexed="81"/>
            <rFont val="Tahoma"/>
            <family val="2"/>
          </rPr>
          <t xml:space="preserve">
Metro 08-15</t>
        </r>
      </text>
    </comment>
    <comment ref="AE63" authorId="6" shapeId="0" xr:uid="{1AAD9F2E-BF92-471A-85EA-0109EAB5D83C}">
      <text>
        <r>
          <rPr>
            <b/>
            <sz val="9"/>
            <color indexed="81"/>
            <rFont val="Tahoma"/>
            <family val="2"/>
          </rPr>
          <t>Steen Hertin-Sandkær:</t>
        </r>
        <r>
          <rPr>
            <sz val="9"/>
            <color indexed="81"/>
            <rFont val="Tahoma"/>
            <family val="2"/>
          </rPr>
          <t xml:space="preserve">
Metro 08-15</t>
        </r>
      </text>
    </comment>
    <comment ref="AF63" authorId="6" shapeId="0" xr:uid="{30ED4D5D-BF36-49E7-99F3-A16913451516}">
      <text>
        <r>
          <rPr>
            <b/>
            <sz val="9"/>
            <color indexed="81"/>
            <rFont val="Tahoma"/>
            <family val="2"/>
          </rPr>
          <t>Steen Hertin-Sandkær:</t>
        </r>
        <r>
          <rPr>
            <sz val="9"/>
            <color indexed="81"/>
            <rFont val="Tahoma"/>
            <family val="2"/>
          </rPr>
          <t xml:space="preserve">
Metro 08-15</t>
        </r>
      </text>
    </comment>
    <comment ref="C64" authorId="2" shapeId="0" xr:uid="{8EEA4D01-7860-434C-B219-74219B14611A}">
      <text>
        <r>
          <rPr>
            <b/>
            <sz val="9"/>
            <color indexed="81"/>
            <rFont val="Tahoma"/>
            <family val="2"/>
          </rPr>
          <t>Steen Hertin:</t>
        </r>
        <r>
          <rPr>
            <sz val="9"/>
            <color indexed="81"/>
            <rFont val="Tahoma"/>
            <family val="2"/>
          </rPr>
          <t xml:space="preserve">
S2 på OA</t>
        </r>
      </text>
    </comment>
    <comment ref="D64" authorId="2" shapeId="0" xr:uid="{9D75458F-BAB5-43A1-B83C-5CB6BDD51C0A}">
      <text>
        <r>
          <rPr>
            <b/>
            <sz val="9"/>
            <color indexed="81"/>
            <rFont val="Tahoma"/>
            <family val="2"/>
          </rPr>
          <t>Steen Hertin:</t>
        </r>
        <r>
          <rPr>
            <sz val="9"/>
            <color indexed="81"/>
            <rFont val="Tahoma"/>
            <family val="2"/>
          </rPr>
          <t xml:space="preserve">
S2 på OA</t>
        </r>
      </text>
    </comment>
    <comment ref="G64" authorId="2" shapeId="0" xr:uid="{6D9DC198-2DA5-47B4-B34B-E5755A6735F0}">
      <text>
        <r>
          <rPr>
            <b/>
            <sz val="9"/>
            <color indexed="81"/>
            <rFont val="Tahoma"/>
            <family val="2"/>
          </rPr>
          <t>Steen Hertin:</t>
        </r>
        <r>
          <rPr>
            <sz val="9"/>
            <color indexed="81"/>
            <rFont val="Tahoma"/>
            <family val="2"/>
          </rPr>
          <t xml:space="preserve">
S2 på OA</t>
        </r>
      </text>
    </comment>
    <comment ref="H64" authorId="2" shapeId="0" xr:uid="{8A95ABDE-8AF3-4000-BDDB-F5BD33873A77}">
      <text>
        <r>
          <rPr>
            <b/>
            <sz val="9"/>
            <color indexed="81"/>
            <rFont val="Tahoma"/>
            <family val="2"/>
          </rPr>
          <t>Steen Hertin:</t>
        </r>
        <r>
          <rPr>
            <sz val="9"/>
            <color indexed="81"/>
            <rFont val="Tahoma"/>
            <family val="2"/>
          </rPr>
          <t xml:space="preserve">
S2 på OA</t>
        </r>
      </text>
    </comment>
    <comment ref="I64" authorId="9" shapeId="0" xr:uid="{53F24DD5-0423-482D-A459-70F4F1E9B9D3}">
      <text>
        <r>
          <rPr>
            <sz val="11"/>
            <color theme="1"/>
            <rFont val="Calibri"/>
            <family val="2"/>
            <scheme val="minor"/>
          </rPr>
          <t>Henrik Wolffbrandt Hansen:
Rentemestervej efter endt vagt
Tribune + 120 stole. 3 rækker stole på gulv - første række v/ højre metalpanel v indgangsdør. 4 stolerækker på tribune. Øverste niveau skal være uden stole (til teknik). Der skal laves midtergang på tribunen samt stolerækker på gulvet, så skuespillerne kan gå gennem. Tribunen kan pilles ned igen søndag d. 18. sep efter kl. 23. Ring evt til Henrik Sonne :)</t>
        </r>
      </text>
    </comment>
    <comment ref="K64" authorId="2" shapeId="0" xr:uid="{D328A420-B2A9-4A69-8DA8-FEEAD4275FE4}">
      <text>
        <r>
          <rPr>
            <b/>
            <sz val="9"/>
            <color indexed="81"/>
            <rFont val="Tahoma"/>
            <family val="2"/>
          </rPr>
          <t>Steen Hertin:</t>
        </r>
        <r>
          <rPr>
            <sz val="9"/>
            <color indexed="81"/>
            <rFont val="Tahoma"/>
            <family val="2"/>
          </rPr>
          <t xml:space="preserve">
S2 på OA</t>
        </r>
      </text>
    </comment>
    <comment ref="Q64" authorId="6" shapeId="0" xr:uid="{13D71066-D6E8-45C0-A55A-A5553720D7A2}">
      <text>
        <r>
          <rPr>
            <b/>
            <sz val="9"/>
            <color indexed="81"/>
            <rFont val="Tahoma"/>
            <family val="2"/>
          </rPr>
          <t>Steen Hertin-Sandkær:</t>
        </r>
        <r>
          <rPr>
            <sz val="9"/>
            <color indexed="81"/>
            <rFont val="Tahoma"/>
            <family val="2"/>
          </rPr>
          <t xml:space="preserve">
OA fra kl. 15.00-19.00 dække S2</t>
        </r>
      </text>
    </comment>
    <comment ref="S64" authorId="5" shapeId="0" xr:uid="{05B294A3-CCA2-4E31-A7D3-6BF1F20BB0F5}">
      <text>
        <r>
          <rPr>
            <b/>
            <sz val="9"/>
            <color indexed="81"/>
            <rFont val="Tahoma"/>
            <family val="2"/>
          </rPr>
          <t>Nick Lorentzen:</t>
        </r>
        <r>
          <rPr>
            <sz val="9"/>
            <color indexed="81"/>
            <rFont val="Tahoma"/>
            <family val="2"/>
          </rPr>
          <t xml:space="preserve">
Rentemestervej
Vagt Lørdag d. 17. sep. kl. 18.30-22</t>
        </r>
      </text>
    </comment>
    <comment ref="T64" authorId="9" shapeId="0" xr:uid="{A714C610-22B0-4C53-BA04-B05C81EF25F6}">
      <text>
        <r>
          <rPr>
            <sz val="11"/>
            <color theme="1"/>
            <rFont val="Calibri"/>
            <family val="2"/>
            <scheme val="minor"/>
          </rPr>
          <t>Møder som vagt kl. 18.30 - 23.00 derefter nedtagning med Frederik J.</t>
        </r>
      </text>
    </comment>
    <comment ref="V64" authorId="6" shapeId="0" xr:uid="{7A24BC74-1652-4947-BB9B-E37AAF0A2C33}">
      <text>
        <r>
          <rPr>
            <b/>
            <sz val="9"/>
            <color indexed="81"/>
            <rFont val="Tahoma"/>
            <family val="2"/>
          </rPr>
          <t>Steen Hertin-Sandkær:</t>
        </r>
        <r>
          <rPr>
            <sz val="9"/>
            <color indexed="81"/>
            <rFont val="Tahoma"/>
            <family val="2"/>
          </rPr>
          <t xml:space="preserve">
Metro 08-15</t>
        </r>
      </text>
    </comment>
    <comment ref="Y64" authorId="2" shapeId="0" xr:uid="{F83082AC-EB1A-4926-A268-A5F94DC1DA3F}">
      <text>
        <r>
          <rPr>
            <b/>
            <sz val="9"/>
            <color indexed="81"/>
            <rFont val="Tahoma"/>
            <family val="2"/>
          </rPr>
          <t>Steen Hertin:</t>
        </r>
        <r>
          <rPr>
            <sz val="9"/>
            <color indexed="81"/>
            <rFont val="Tahoma"/>
            <family val="2"/>
          </rPr>
          <t xml:space="preserve">
Metro 08-15 OA</t>
        </r>
      </text>
    </comment>
    <comment ref="AE64" authorId="2" shapeId="0" xr:uid="{AC782010-89BF-4125-9A1B-6A646CF9BB8A}">
      <text>
        <r>
          <rPr>
            <b/>
            <sz val="9"/>
            <color indexed="81"/>
            <rFont val="Tahoma"/>
            <family val="2"/>
          </rPr>
          <t>Steen Hertin:</t>
        </r>
        <r>
          <rPr>
            <sz val="9"/>
            <color indexed="81"/>
            <rFont val="Tahoma"/>
            <family val="2"/>
          </rPr>
          <t xml:space="preserve">
Møder kl. 16.00- 23.00 og hjælper på aftenvagt og Rentemestervej.Samt nedtagning</t>
        </r>
      </text>
    </comment>
    <comment ref="AF64" authorId="6" shapeId="0" xr:uid="{C8B9B452-A846-49E4-9E21-DB8D29843FB9}">
      <text>
        <r>
          <rPr>
            <b/>
            <sz val="9"/>
            <color indexed="81"/>
            <rFont val="Tahoma"/>
            <family val="2"/>
          </rPr>
          <t>Steen Hertin-Sandkær:</t>
        </r>
        <r>
          <rPr>
            <sz val="9"/>
            <color indexed="81"/>
            <rFont val="Tahoma"/>
            <family val="2"/>
          </rPr>
          <t xml:space="preserve">
Møder 10.30-17.30</t>
        </r>
      </text>
    </comment>
    <comment ref="D65" authorId="7" shapeId="0" xr:uid="{B9693429-3362-49E0-AEA2-E7ADC9AA0F9D}">
      <text>
        <r>
          <rPr>
            <b/>
            <sz val="9"/>
            <color indexed="81"/>
            <rFont val="Tahoma"/>
            <family val="2"/>
          </rPr>
          <t>Kim Holm Aabroe:</t>
        </r>
        <r>
          <rPr>
            <sz val="9"/>
            <color indexed="81"/>
            <rFont val="Tahoma"/>
            <family val="2"/>
          </rPr>
          <t xml:space="preserve">
thorvaldsens 16.00-19.00
OA</t>
        </r>
      </text>
    </comment>
    <comment ref="M65" authorId="2" shapeId="0" xr:uid="{8DC1B5AF-F74C-4E06-8B91-A0DADA664DEE}">
      <text>
        <r>
          <rPr>
            <b/>
            <sz val="9"/>
            <color indexed="81"/>
            <rFont val="Tahoma"/>
            <family val="2"/>
          </rPr>
          <t>Steen Hertin:</t>
        </r>
        <r>
          <rPr>
            <sz val="9"/>
            <color indexed="81"/>
            <rFont val="Tahoma"/>
            <family val="2"/>
          </rPr>
          <t xml:space="preserve">
Tingbjerg 13.45-18.15</t>
        </r>
      </text>
    </comment>
    <comment ref="C69" authorId="10" shapeId="0" xr:uid="{97641437-D92E-4BE1-9904-E5DA806EE504}">
      <text>
        <r>
          <rPr>
            <b/>
            <sz val="9"/>
            <color indexed="81"/>
            <rFont val="Tahoma"/>
            <family val="2"/>
          </rPr>
          <t>Rasmus Sørensen:</t>
        </r>
        <r>
          <rPr>
            <sz val="9"/>
            <color indexed="81"/>
            <rFont val="Tahoma"/>
            <family val="2"/>
          </rPr>
          <t xml:space="preserve">
kun Dagvagt</t>
        </r>
      </text>
    </comment>
    <comment ref="D69" authorId="10" shapeId="0" xr:uid="{C2D39C6E-5433-4CCF-92FC-C236CE0203C2}">
      <text>
        <r>
          <rPr>
            <b/>
            <sz val="9"/>
            <color indexed="81"/>
            <rFont val="Tahoma"/>
            <family val="2"/>
          </rPr>
          <t>Rasmus Sørensen:</t>
        </r>
        <r>
          <rPr>
            <sz val="9"/>
            <color indexed="81"/>
            <rFont val="Tahoma"/>
            <family val="2"/>
          </rPr>
          <t xml:space="preserve">
kun dagvagt</t>
        </r>
      </text>
    </comment>
    <comment ref="G69" authorId="10" shapeId="0" xr:uid="{DA2C66EB-8DB7-455A-A4ED-DADA5EB7A00E}">
      <text>
        <r>
          <rPr>
            <b/>
            <sz val="9"/>
            <color indexed="81"/>
            <rFont val="Tahoma"/>
            <family val="2"/>
          </rPr>
          <t>Rasmus Sørensen:</t>
        </r>
        <r>
          <rPr>
            <sz val="9"/>
            <color indexed="81"/>
            <rFont val="Tahoma"/>
            <family val="2"/>
          </rPr>
          <t xml:space="preserve">
kun dagvagt</t>
        </r>
      </text>
    </comment>
    <comment ref="H69" authorId="10" shapeId="0" xr:uid="{AF273176-F6D4-4B2E-AFE6-429F3E165261}">
      <text>
        <r>
          <rPr>
            <b/>
            <sz val="9"/>
            <color indexed="81"/>
            <rFont val="Tahoma"/>
            <family val="2"/>
          </rPr>
          <t>Rasmus Sørensen:</t>
        </r>
        <r>
          <rPr>
            <sz val="9"/>
            <color indexed="81"/>
            <rFont val="Tahoma"/>
            <family val="2"/>
          </rPr>
          <t xml:space="preserve">
kun dagvagt</t>
        </r>
      </text>
    </comment>
    <comment ref="I69" authorId="10" shapeId="0" xr:uid="{826C8207-BCE9-4F39-9F3A-385ED2B55A1D}">
      <text>
        <r>
          <rPr>
            <b/>
            <sz val="9"/>
            <color indexed="81"/>
            <rFont val="Tahoma"/>
            <family val="2"/>
          </rPr>
          <t>Rasmus Sørensen:</t>
        </r>
        <r>
          <rPr>
            <sz val="9"/>
            <color indexed="81"/>
            <rFont val="Tahoma"/>
            <family val="2"/>
          </rPr>
          <t xml:space="preserve">
kun dagvagt</t>
        </r>
      </text>
    </comment>
    <comment ref="N69" authorId="10" shapeId="0" xr:uid="{38BD8E89-CC23-4451-B700-7A46E56450FF}">
      <text>
        <r>
          <rPr>
            <b/>
            <sz val="9"/>
            <color indexed="81"/>
            <rFont val="Tahoma"/>
            <family val="2"/>
          </rPr>
          <t>Rasmus Sørensen:</t>
        </r>
        <r>
          <rPr>
            <sz val="9"/>
            <color indexed="81"/>
            <rFont val="Tahoma"/>
            <family val="2"/>
          </rPr>
          <t xml:space="preserve">
kun dagvagt</t>
        </r>
      </text>
    </comment>
    <comment ref="O69" authorId="10" shapeId="0" xr:uid="{66F33667-8B34-49A6-A543-BF7C8B105EBA}">
      <text>
        <r>
          <rPr>
            <b/>
            <sz val="9"/>
            <color indexed="81"/>
            <rFont val="Tahoma"/>
            <family val="2"/>
          </rPr>
          <t>Rasmus Sørensen:</t>
        </r>
        <r>
          <rPr>
            <sz val="9"/>
            <color indexed="81"/>
            <rFont val="Tahoma"/>
            <family val="2"/>
          </rPr>
          <t xml:space="preserve">
kun dagvagt</t>
        </r>
      </text>
    </comment>
    <comment ref="P69" authorId="10" shapeId="0" xr:uid="{AA3CD080-4816-4D7D-965D-C7E38C80A78E}">
      <text>
        <r>
          <rPr>
            <b/>
            <sz val="9"/>
            <color indexed="81"/>
            <rFont val="Tahoma"/>
            <family val="2"/>
          </rPr>
          <t>Rasmus Sørensen:</t>
        </r>
        <r>
          <rPr>
            <sz val="9"/>
            <color indexed="81"/>
            <rFont val="Tahoma"/>
            <family val="2"/>
          </rPr>
          <t xml:space="preserve">
kun dagvagt</t>
        </r>
      </text>
    </comment>
    <comment ref="Q69" authorId="10" shapeId="0" xr:uid="{EED64BC7-589A-41BE-BDC1-4328499E6D01}">
      <text>
        <r>
          <rPr>
            <b/>
            <sz val="9"/>
            <color indexed="81"/>
            <rFont val="Tahoma"/>
            <family val="2"/>
          </rPr>
          <t>Rasmus Sørensen:</t>
        </r>
        <r>
          <rPr>
            <sz val="9"/>
            <color indexed="81"/>
            <rFont val="Tahoma"/>
            <family val="2"/>
          </rPr>
          <t xml:space="preserve">
kun dagvagt</t>
        </r>
      </text>
    </comment>
    <comment ref="R69" authorId="10" shapeId="0" xr:uid="{00E88FAE-0730-410B-93C8-DA80DFC3228B}">
      <text>
        <r>
          <rPr>
            <b/>
            <sz val="9"/>
            <color indexed="81"/>
            <rFont val="Tahoma"/>
            <family val="2"/>
          </rPr>
          <t>Rasmus Sørensen:</t>
        </r>
        <r>
          <rPr>
            <sz val="9"/>
            <color indexed="81"/>
            <rFont val="Tahoma"/>
            <family val="2"/>
          </rPr>
          <t xml:space="preserve">
kun dagvagt</t>
        </r>
      </text>
    </comment>
    <comment ref="U69" authorId="10" shapeId="0" xr:uid="{4108C7F1-3BA8-4A65-89BF-2DC1AA7444C9}">
      <text>
        <r>
          <rPr>
            <b/>
            <sz val="9"/>
            <color indexed="81"/>
            <rFont val="Tahoma"/>
            <family val="2"/>
          </rPr>
          <t>Rasmus Sørensen:</t>
        </r>
        <r>
          <rPr>
            <sz val="9"/>
            <color indexed="81"/>
            <rFont val="Tahoma"/>
            <family val="2"/>
          </rPr>
          <t xml:space="preserve">
kun dagvagt</t>
        </r>
      </text>
    </comment>
    <comment ref="V69" authorId="10" shapeId="0" xr:uid="{6E265BFE-5FFC-4DA5-9051-1C4B64E5F040}">
      <text>
        <r>
          <rPr>
            <b/>
            <sz val="9"/>
            <color indexed="81"/>
            <rFont val="Tahoma"/>
            <family val="2"/>
          </rPr>
          <t>Rasmus Sørensen:</t>
        </r>
        <r>
          <rPr>
            <sz val="9"/>
            <color indexed="81"/>
            <rFont val="Tahoma"/>
            <family val="2"/>
          </rPr>
          <t xml:space="preserve">
kun dagvagt</t>
        </r>
      </text>
    </comment>
    <comment ref="W69" authorId="10" shapeId="0" xr:uid="{3526E3D4-B6AB-4B7B-9CF9-5290452757C9}">
      <text>
        <r>
          <rPr>
            <b/>
            <sz val="9"/>
            <color indexed="81"/>
            <rFont val="Tahoma"/>
            <family val="2"/>
          </rPr>
          <t>Rasmus Sørensen:</t>
        </r>
        <r>
          <rPr>
            <sz val="9"/>
            <color indexed="81"/>
            <rFont val="Tahoma"/>
            <family val="2"/>
          </rPr>
          <t xml:space="preserve">
kun dagvagt</t>
        </r>
      </text>
    </comment>
    <comment ref="X69" authorId="10" shapeId="0" xr:uid="{9276E199-3B8E-45FE-9860-6D4F1098482F}">
      <text>
        <r>
          <rPr>
            <b/>
            <sz val="9"/>
            <color indexed="81"/>
            <rFont val="Tahoma"/>
            <family val="2"/>
          </rPr>
          <t>Rasmus Sørensen:</t>
        </r>
        <r>
          <rPr>
            <sz val="9"/>
            <color indexed="81"/>
            <rFont val="Tahoma"/>
            <family val="2"/>
          </rPr>
          <t xml:space="preserve">
kun dagvagt</t>
        </r>
      </text>
    </comment>
    <comment ref="Y69" authorId="10" shapeId="0" xr:uid="{C2353C36-D299-41B6-AF5A-526B2816099E}">
      <text>
        <r>
          <rPr>
            <b/>
            <sz val="9"/>
            <color indexed="81"/>
            <rFont val="Tahoma"/>
            <family val="2"/>
          </rPr>
          <t>Rasmus Sørensen:</t>
        </r>
        <r>
          <rPr>
            <sz val="9"/>
            <color indexed="81"/>
            <rFont val="Tahoma"/>
            <family val="2"/>
          </rPr>
          <t xml:space="preserve">
kun dagvagt</t>
        </r>
      </text>
    </comment>
    <comment ref="AB69" authorId="10" shapeId="0" xr:uid="{2B824C08-CC3D-4F12-A83F-8923E82C71E9}">
      <text>
        <r>
          <rPr>
            <b/>
            <sz val="9"/>
            <color indexed="81"/>
            <rFont val="Tahoma"/>
            <family val="2"/>
          </rPr>
          <t>Rasmus Sørensen:</t>
        </r>
        <r>
          <rPr>
            <sz val="9"/>
            <color indexed="81"/>
            <rFont val="Tahoma"/>
            <family val="2"/>
          </rPr>
          <t xml:space="preserve">
kun dagvagt
Går kl 14.</t>
        </r>
      </text>
    </comment>
    <comment ref="AC69" authorId="10" shapeId="0" xr:uid="{9A0DFF11-1CD3-4FF9-BCD5-00DBCE0F1C9C}">
      <text>
        <r>
          <rPr>
            <b/>
            <sz val="9"/>
            <color indexed="81"/>
            <rFont val="Tahoma"/>
            <family val="2"/>
          </rPr>
          <t>Rasmus Sørensen:</t>
        </r>
        <r>
          <rPr>
            <sz val="9"/>
            <color indexed="81"/>
            <rFont val="Tahoma"/>
            <family val="2"/>
          </rPr>
          <t xml:space="preserve">
kun dagvagt</t>
        </r>
      </text>
    </comment>
    <comment ref="AD69" authorId="10" shapeId="0" xr:uid="{582224A0-E8C6-43E8-A804-9B3210054B42}">
      <text>
        <r>
          <rPr>
            <b/>
            <sz val="9"/>
            <color indexed="81"/>
            <rFont val="Tahoma"/>
            <family val="2"/>
          </rPr>
          <t>Rasmus Sørensen:</t>
        </r>
        <r>
          <rPr>
            <sz val="9"/>
            <color indexed="81"/>
            <rFont val="Tahoma"/>
            <family val="2"/>
          </rPr>
          <t xml:space="preserve">
kun dagvagt</t>
        </r>
      </text>
    </comment>
    <comment ref="AE69" authorId="10" shapeId="0" xr:uid="{549D46C7-268B-47FC-8E56-0437885FB71E}">
      <text>
        <r>
          <rPr>
            <b/>
            <sz val="9"/>
            <color indexed="81"/>
            <rFont val="Tahoma"/>
            <family val="2"/>
          </rPr>
          <t>Rasmus Sørensen:</t>
        </r>
        <r>
          <rPr>
            <sz val="9"/>
            <color indexed="81"/>
            <rFont val="Tahoma"/>
            <family val="2"/>
          </rPr>
          <t xml:space="preserve">
kun dagvagt</t>
        </r>
      </text>
    </comment>
    <comment ref="AF69" authorId="10" shapeId="0" xr:uid="{A6B9B29C-C68D-4994-A308-746B4D6C7B01}">
      <text>
        <r>
          <rPr>
            <b/>
            <sz val="9"/>
            <color indexed="81"/>
            <rFont val="Tahoma"/>
            <family val="2"/>
          </rPr>
          <t>Rasmus Sørensen:</t>
        </r>
        <r>
          <rPr>
            <sz val="9"/>
            <color indexed="81"/>
            <rFont val="Tahoma"/>
            <family val="2"/>
          </rPr>
          <t xml:space="preserve">
kun dagvagt</t>
        </r>
      </text>
    </comment>
    <comment ref="H70" authorId="11" shapeId="0" xr:uid="{978D18BC-8BBF-42D8-9CD3-9503D4AE926B}">
      <text>
        <r>
          <rPr>
            <b/>
            <sz val="9"/>
            <color indexed="81"/>
            <rFont val="Tahoma"/>
            <family val="2"/>
          </rPr>
          <t>Michael Bo Pedersen:</t>
        </r>
        <r>
          <rPr>
            <sz val="9"/>
            <color indexed="81"/>
            <rFont val="Tahoma"/>
            <family val="2"/>
          </rPr>
          <t xml:space="preserve">
11-vagt på OA</t>
        </r>
      </text>
    </comment>
    <comment ref="AF70" authorId="8" shapeId="0" xr:uid="{5AC49165-091E-45B6-80F4-076AD5A21926}">
      <text>
        <r>
          <rPr>
            <b/>
            <sz val="9"/>
            <color indexed="81"/>
            <rFont val="Tahoma"/>
            <family val="2"/>
          </rPr>
          <t>Mathias Hartvig Morell Nielsen:</t>
        </r>
        <r>
          <rPr>
            <sz val="9"/>
            <color indexed="81"/>
            <rFont val="Tahoma"/>
            <family val="2"/>
          </rPr>
          <t xml:space="preserve">
89-vagt OA</t>
        </r>
      </text>
    </comment>
    <comment ref="E72" authorId="7" shapeId="0" xr:uid="{0535C378-2286-4E0D-A0C6-B8769F09F6E1}">
      <text>
        <r>
          <rPr>
            <b/>
            <sz val="9"/>
            <color indexed="81"/>
            <rFont val="Tahoma"/>
            <family val="2"/>
          </rPr>
          <t>Kim Holm Aabroe:</t>
        </r>
        <r>
          <rPr>
            <sz val="9"/>
            <color indexed="81"/>
            <rFont val="Tahoma"/>
            <family val="2"/>
          </rPr>
          <t xml:space="preserve">
21-vagt OA</t>
        </r>
      </text>
    </comment>
    <comment ref="Y72" authorId="2" shapeId="0" xr:uid="{5B0934EC-5941-411E-AA65-C19ED283D79C}">
      <text>
        <r>
          <rPr>
            <b/>
            <sz val="9"/>
            <color indexed="81"/>
            <rFont val="Tahoma"/>
            <family val="2"/>
          </rPr>
          <t>Steen Hertin:</t>
        </r>
        <r>
          <rPr>
            <sz val="9"/>
            <color indexed="81"/>
            <rFont val="Tahoma"/>
            <family val="2"/>
          </rPr>
          <t xml:space="preserve">
N-vagt på OA.</t>
        </r>
      </text>
    </comment>
    <comment ref="D81" authorId="0" shapeId="0" xr:uid="{37262759-BAFF-493C-B255-A95C7845AAFA}">
      <text>
        <r>
          <rPr>
            <b/>
            <sz val="9"/>
            <color indexed="81"/>
            <rFont val="Tahoma"/>
            <family val="2"/>
          </rPr>
          <t>Thomas Holm:</t>
        </r>
        <r>
          <rPr>
            <sz val="9"/>
            <color indexed="81"/>
            <rFont val="Tahoma"/>
            <family val="2"/>
          </rPr>
          <t xml:space="preserve">
Thorvaldsens Museum fra 16.00 - 19.00</t>
        </r>
      </text>
    </comment>
    <comment ref="K81" authorId="5" shapeId="0" xr:uid="{03D71A7B-D9CA-4AED-8136-E3313BDFCC78}">
      <text>
        <r>
          <rPr>
            <b/>
            <sz val="9"/>
            <color indexed="81"/>
            <rFont val="Tahoma"/>
            <family val="2"/>
          </rPr>
          <t>Nick Lorentzen:</t>
        </r>
        <r>
          <rPr>
            <sz val="9"/>
            <color indexed="81"/>
            <rFont val="Tahoma"/>
            <family val="2"/>
          </rPr>
          <t xml:space="preserve">
OA Svanemøllehallen
16:00 - 23:00</t>
        </r>
      </text>
    </comment>
    <comment ref="L81" authorId="6" shapeId="0" xr:uid="{EB195888-B55D-4349-AD10-8AD6A93ACDA6}">
      <text>
        <r>
          <rPr>
            <b/>
            <sz val="9"/>
            <color indexed="81"/>
            <rFont val="Tahoma"/>
            <family val="2"/>
          </rPr>
          <t>Steen Hertin-Sandkær:</t>
        </r>
        <r>
          <rPr>
            <sz val="9"/>
            <color indexed="81"/>
            <rFont val="Tahoma"/>
            <family val="2"/>
          </rPr>
          <t xml:space="preserve">
OA fra 15.00-19.00</t>
        </r>
      </text>
    </comment>
    <comment ref="Q81" authorId="11" shapeId="0" xr:uid="{4F7A6D50-E4C2-473B-944C-F367639E10EE}">
      <text>
        <r>
          <rPr>
            <b/>
            <sz val="9"/>
            <color indexed="81"/>
            <rFont val="Tahoma"/>
            <family val="2"/>
          </rPr>
          <t>Michael Bo Pedersen:</t>
        </r>
        <r>
          <rPr>
            <sz val="9"/>
            <color indexed="81"/>
            <rFont val="Tahoma"/>
            <family val="2"/>
          </rPr>
          <t xml:space="preserve">
Bliver på Rentemestervej til Arr. Er slut</t>
        </r>
      </text>
    </comment>
    <comment ref="R81" authorId="11" shapeId="0" xr:uid="{8DE4AE8A-4C56-4CDB-8644-11F56C396384}">
      <text>
        <r>
          <rPr>
            <b/>
            <sz val="9"/>
            <color indexed="81"/>
            <rFont val="Tahoma"/>
            <family val="2"/>
          </rPr>
          <t>Michael Bo Pedersen:</t>
        </r>
        <r>
          <rPr>
            <sz val="9"/>
            <color indexed="81"/>
            <rFont val="Tahoma"/>
            <family val="2"/>
          </rPr>
          <t xml:space="preserve">
Bliver på Rentemestervej til Arr. Er slut</t>
        </r>
      </text>
    </comment>
    <comment ref="X81" authorId="5" shapeId="0" xr:uid="{D45DF9DD-6E67-4D7F-BC2C-1E76259FA4F1}">
      <text>
        <r>
          <rPr>
            <b/>
            <sz val="9"/>
            <color indexed="81"/>
            <rFont val="Tahoma"/>
            <family val="2"/>
          </rPr>
          <t>Nick Lorentzen:</t>
        </r>
        <r>
          <rPr>
            <sz val="9"/>
            <color indexed="81"/>
            <rFont val="Tahoma"/>
            <family val="2"/>
          </rPr>
          <t xml:space="preserve">
Merkur Hotel 
OA fra 16-18</t>
        </r>
      </text>
    </comment>
    <comment ref="Y81" authorId="6" shapeId="0" xr:uid="{75026017-E144-4DA6-920C-8A630F50499E}">
      <text>
        <r>
          <rPr>
            <b/>
            <sz val="9"/>
            <color indexed="81"/>
            <rFont val="Tahoma"/>
            <family val="2"/>
          </rPr>
          <t>Steen Hertin-Sandkær:</t>
        </r>
        <r>
          <rPr>
            <sz val="9"/>
            <color indexed="81"/>
            <rFont val="Tahoma"/>
            <family val="2"/>
          </rPr>
          <t xml:space="preserve">
8-vagt på OA.</t>
        </r>
      </text>
    </comment>
    <comment ref="D83" authorId="7" shapeId="0" xr:uid="{6A458DF7-5D8E-4A0D-A31B-403D2EF566CD}">
      <text>
        <r>
          <rPr>
            <b/>
            <sz val="9"/>
            <color indexed="81"/>
            <rFont val="Tahoma"/>
            <family val="2"/>
          </rPr>
          <t>Kim Holm Aabroe:</t>
        </r>
        <r>
          <rPr>
            <sz val="9"/>
            <color indexed="81"/>
            <rFont val="Tahoma"/>
            <family val="2"/>
          </rPr>
          <t xml:space="preserve">
21-vagt OA</t>
        </r>
      </text>
    </comment>
    <comment ref="G87" authorId="11" shapeId="0" xr:uid="{541A3C34-79BE-4DDD-8622-04A35D3F8A9A}">
      <text>
        <r>
          <rPr>
            <b/>
            <sz val="9"/>
            <color indexed="81"/>
            <rFont val="Tahoma"/>
            <family val="2"/>
          </rPr>
          <t>Michael Bo Pedersen:</t>
        </r>
        <r>
          <rPr>
            <sz val="9"/>
            <color indexed="81"/>
            <rFont val="Tahoma"/>
            <family val="2"/>
          </rPr>
          <t xml:space="preserve">
25-vagt på OA</t>
        </r>
      </text>
    </comment>
    <comment ref="H87" authorId="11" shapeId="0" xr:uid="{EBA37F81-BE7F-4082-8F79-ED4A39EE4F0B}">
      <text>
        <r>
          <rPr>
            <b/>
            <sz val="9"/>
            <color indexed="81"/>
            <rFont val="Tahoma"/>
            <family val="2"/>
          </rPr>
          <t>Michael Bo Pedersen:</t>
        </r>
        <r>
          <rPr>
            <sz val="9"/>
            <color indexed="81"/>
            <rFont val="Tahoma"/>
            <family val="2"/>
          </rPr>
          <t xml:space="preserve">
25-vagt på OA</t>
        </r>
      </text>
    </comment>
    <comment ref="R87" authorId="10" shapeId="0" xr:uid="{AA4DD8BA-4CDA-4F3D-AD63-EAB82F7F0EEA}">
      <text>
        <r>
          <rPr>
            <b/>
            <sz val="9"/>
            <color indexed="81"/>
            <rFont val="Tahoma"/>
            <family val="2"/>
          </rPr>
          <t>Rasmus Sørensen:</t>
        </r>
        <r>
          <rPr>
            <sz val="9"/>
            <color indexed="81"/>
            <rFont val="Tahoma"/>
            <family val="2"/>
          </rPr>
          <t xml:space="preserve">
Bellahøjhallen kl. 14-23:30</t>
        </r>
      </text>
    </comment>
    <comment ref="U87" authorId="2" shapeId="0" xr:uid="{558F127C-B73F-4115-9ACF-D9B826EDC2AD}">
      <text>
        <r>
          <rPr>
            <b/>
            <sz val="9"/>
            <color indexed="81"/>
            <rFont val="Tahoma"/>
            <family val="2"/>
          </rPr>
          <t>Steen Hertin:</t>
        </r>
        <r>
          <rPr>
            <sz val="9"/>
            <color indexed="81"/>
            <rFont val="Tahoma"/>
            <family val="2"/>
          </rPr>
          <t xml:space="preserve">
Møder kl. 09.00 - 16.30
Dække 99-vagt fra kl. 14.00 OA 16:30-17:30</t>
        </r>
      </text>
    </comment>
    <comment ref="F89" authorId="3" shapeId="0" xr:uid="{64E531E4-98AA-4E06-9B66-25F8E95EB905}">
      <text>
        <r>
          <rPr>
            <b/>
            <sz val="9"/>
            <color indexed="81"/>
            <rFont val="Tahoma"/>
            <family val="2"/>
          </rPr>
          <t>Nikolaj Langtin Pamhede:</t>
        </r>
        <r>
          <rPr>
            <sz val="9"/>
            <color indexed="81"/>
            <rFont val="Tahoma"/>
            <family val="2"/>
          </rPr>
          <t xml:space="preserve">
Oa Sjællandsgade 1 time</t>
        </r>
      </text>
    </comment>
    <comment ref="C106" authorId="9" shapeId="0" xr:uid="{5BAAC282-0665-4BF7-8FAE-0C010EB8B53C}">
      <text>
        <r>
          <rPr>
            <sz val="11"/>
            <color theme="1"/>
            <rFont val="Calibri"/>
            <family val="2"/>
            <scheme val="minor"/>
          </rPr>
          <t xml:space="preserve">Henrik Wolffbrandt Hansen:
Chauffør Rentemestervej kl. 15.00-20.00
</t>
        </r>
      </text>
    </comment>
    <comment ref="D106" authorId="9" shapeId="0" xr:uid="{5F1C23CF-DF79-4DB9-9F22-0AC7B7B40804}">
      <text>
        <r>
          <rPr>
            <sz val="11"/>
            <color theme="1"/>
            <rFont val="Calibri"/>
            <family val="2"/>
            <scheme val="minor"/>
          </rPr>
          <t>Henrik Wolffbrandt Hansen:
Chauffør Rentemestervej kl. 15.00-20.00</t>
        </r>
      </text>
    </comment>
    <comment ref="E106" authorId="9" shapeId="0" xr:uid="{DC12B4E6-D56F-49D9-91A2-4EB27B7B4334}">
      <text>
        <r>
          <rPr>
            <sz val="11"/>
            <color theme="1"/>
            <rFont val="Calibri"/>
            <family val="2"/>
            <scheme val="minor"/>
          </rPr>
          <t>Henrik Wolffbrandt Hansen:
Chauffør Rentemestervej kl. 13.00.20.30</t>
        </r>
      </text>
    </comment>
    <comment ref="F106" authorId="3" shapeId="0" xr:uid="{CAB09E3E-4EDB-474B-BA76-84B07059339A}">
      <text>
        <r>
          <rPr>
            <b/>
            <sz val="9"/>
            <color indexed="81"/>
            <rFont val="Tahoma"/>
            <family val="2"/>
          </rPr>
          <t>Nikolaj Langtin Pamhede:</t>
        </r>
        <r>
          <rPr>
            <sz val="9"/>
            <color indexed="81"/>
            <rFont val="Tahoma"/>
            <family val="2"/>
          </rPr>
          <t xml:space="preserve">
Oa fra 20 til 21.</t>
        </r>
      </text>
    </comment>
    <comment ref="I106" authorId="9" shapeId="0" xr:uid="{BE0CA444-D498-485C-94AC-E96F114D9FB7}">
      <text>
        <r>
          <rPr>
            <sz val="11"/>
            <color theme="1"/>
            <rFont val="Calibri"/>
            <family val="2"/>
            <scheme val="minor"/>
          </rPr>
          <t>Henrik Wolffbrandt Hansen:
Rentemestervej efter endt vagt på OA 15.00 - 21.00</t>
        </r>
      </text>
    </comment>
    <comment ref="Q106" authorId="6" shapeId="0" xr:uid="{9C0CDA70-3718-4471-9E80-3C1BC2373C9C}">
      <text>
        <r>
          <rPr>
            <b/>
            <sz val="9"/>
            <color indexed="81"/>
            <rFont val="Tahoma"/>
            <family val="2"/>
          </rPr>
          <t>Steen Hertin-Sandkær:</t>
        </r>
        <r>
          <rPr>
            <sz val="9"/>
            <color indexed="81"/>
            <rFont val="Tahoma"/>
            <family val="2"/>
          </rPr>
          <t xml:space="preserve">
OA kl. 19.00 - 22.00 dække S2</t>
        </r>
      </text>
    </comment>
    <comment ref="R106" authorId="6" shapeId="0" xr:uid="{3D62D329-B7A5-4244-92C6-1424C07A90CD}">
      <text>
        <r>
          <rPr>
            <b/>
            <sz val="9"/>
            <color indexed="81"/>
            <rFont val="Tahoma"/>
            <family val="2"/>
          </rPr>
          <t>Steen Hertin-Sandkær:</t>
        </r>
        <r>
          <rPr>
            <sz val="9"/>
            <color indexed="81"/>
            <rFont val="Tahoma"/>
            <family val="2"/>
          </rPr>
          <t xml:space="preserve">
OA kl. 20.00 - 22.00 dække S2</t>
        </r>
      </text>
    </comment>
    <comment ref="H107" authorId="2" shapeId="0" xr:uid="{24FEDD52-E6C5-44D9-8027-F959436D6EAB}">
      <text>
        <r>
          <rPr>
            <b/>
            <sz val="9"/>
            <color indexed="81"/>
            <rFont val="Tahoma"/>
            <family val="2"/>
          </rPr>
          <t>Steen Hertin:</t>
        </r>
        <r>
          <rPr>
            <sz val="9"/>
            <color indexed="81"/>
            <rFont val="Tahoma"/>
            <family val="2"/>
          </rPr>
          <t xml:space="preserve">
S2 på OA alle vagter oplæring.</t>
        </r>
      </text>
    </comment>
    <comment ref="N108" authorId="2" shapeId="0" xr:uid="{B65CFFE3-AB8E-453A-A8E3-ADD3E88FED25}">
      <text>
        <r>
          <rPr>
            <b/>
            <sz val="9"/>
            <color indexed="81"/>
            <rFont val="Tahoma"/>
            <family val="2"/>
          </rPr>
          <t>Steen Hertin:</t>
        </r>
        <r>
          <rPr>
            <sz val="9"/>
            <color indexed="81"/>
            <rFont val="Tahoma"/>
            <family val="2"/>
          </rPr>
          <t xml:space="preserve">
Starter på rådhuset kl. 09.00</t>
        </r>
      </text>
    </comment>
    <comment ref="N109" authorId="2" shapeId="0" xr:uid="{61007FFA-5D8F-4390-8F22-F343ACA291E2}">
      <text>
        <r>
          <rPr>
            <b/>
            <sz val="9"/>
            <color indexed="81"/>
            <rFont val="Tahoma"/>
            <family val="2"/>
          </rPr>
          <t>Steen Hertin:</t>
        </r>
        <r>
          <rPr>
            <sz val="9"/>
            <color indexed="81"/>
            <rFont val="Tahoma"/>
            <family val="2"/>
          </rPr>
          <t xml:space="preserve">
Starter på rådhuset kl. 09.00</t>
        </r>
      </text>
    </comment>
    <comment ref="C110" authorId="2" shapeId="0" xr:uid="{A2C19906-C922-4869-93DD-FD73DA811B55}">
      <text>
        <r>
          <rPr>
            <b/>
            <sz val="9"/>
            <color indexed="81"/>
            <rFont val="Tahoma"/>
            <family val="2"/>
          </rPr>
          <t>Steen Hertin:</t>
        </r>
        <r>
          <rPr>
            <sz val="9"/>
            <color indexed="81"/>
            <rFont val="Tahoma"/>
            <family val="2"/>
          </rPr>
          <t xml:space="preserve">
S2 på OA</t>
        </r>
      </text>
    </comment>
    <comment ref="D110" authorId="2" shapeId="0" xr:uid="{B4D230D2-4208-4220-8106-0E0710CB6206}">
      <text>
        <r>
          <rPr>
            <b/>
            <sz val="9"/>
            <color indexed="81"/>
            <rFont val="Tahoma"/>
            <family val="2"/>
          </rPr>
          <t>Steen Hertin:</t>
        </r>
        <r>
          <rPr>
            <sz val="9"/>
            <color indexed="81"/>
            <rFont val="Tahoma"/>
            <family val="2"/>
          </rPr>
          <t xml:space="preserve">
S2 på OA</t>
        </r>
      </text>
    </comment>
    <comment ref="G110" authorId="2" shapeId="0" xr:uid="{248D0785-F59A-49F8-9AF8-CB2536613C57}">
      <text>
        <r>
          <rPr>
            <b/>
            <sz val="9"/>
            <color indexed="81"/>
            <rFont val="Tahoma"/>
            <family val="2"/>
          </rPr>
          <t>Steen Hertin:</t>
        </r>
        <r>
          <rPr>
            <sz val="9"/>
            <color indexed="81"/>
            <rFont val="Tahoma"/>
            <family val="2"/>
          </rPr>
          <t xml:space="preserve">
S2 på OA</t>
        </r>
      </text>
    </comment>
    <comment ref="H110" authorId="2" shapeId="0" xr:uid="{23F8B1F5-448A-4583-BAED-CB43A445BE58}">
      <text>
        <r>
          <rPr>
            <b/>
            <sz val="9"/>
            <color indexed="81"/>
            <rFont val="Tahoma"/>
            <family val="2"/>
          </rPr>
          <t>Steen Hertin:</t>
        </r>
        <r>
          <rPr>
            <sz val="9"/>
            <color indexed="81"/>
            <rFont val="Tahoma"/>
            <family val="2"/>
          </rPr>
          <t xml:space="preserve">
S2 på OA</t>
        </r>
      </text>
    </comment>
    <comment ref="I110" authorId="9" shapeId="0" xr:uid="{B54B7009-AA04-495E-84B2-13E6B2B3168C}">
      <text>
        <r>
          <rPr>
            <sz val="11"/>
            <color theme="1"/>
            <rFont val="Calibri"/>
            <family val="2"/>
            <scheme val="minor"/>
          </rPr>
          <t>Henrik Wolffbrandt Hansen:
Rentemestervej efter endt vagt
Tribune + 120 stole. 3 rækker stole på gulv - første række v/ højre metalpanel v indgangsdør. 4 stolerækker på tribune. Øverste niveau skal være uden stole (til teknik). Der skal laves midtergang på tribunen samt stolerækker på gulvet, så skuespillerne kan gå gennem. Tribunen kan pilles ned igen søndag d. 18. sep efter kl. 23. Ring evt til Henrik Sonne :)</t>
        </r>
      </text>
    </comment>
    <comment ref="K110" authorId="2" shapeId="0" xr:uid="{5BFD38A8-B4C1-47AA-BEBF-40C0CE076874}">
      <text>
        <r>
          <rPr>
            <b/>
            <sz val="9"/>
            <color indexed="81"/>
            <rFont val="Tahoma"/>
            <family val="2"/>
          </rPr>
          <t>Steen Hertin:</t>
        </r>
        <r>
          <rPr>
            <sz val="9"/>
            <color indexed="81"/>
            <rFont val="Tahoma"/>
            <family val="2"/>
          </rPr>
          <t xml:space="preserve">
S2 på OA</t>
        </r>
      </text>
    </comment>
    <comment ref="Q110" authorId="6" shapeId="0" xr:uid="{EA5B546D-3E6C-454C-B556-C18A068FA52C}">
      <text>
        <r>
          <rPr>
            <b/>
            <sz val="9"/>
            <color indexed="81"/>
            <rFont val="Tahoma"/>
            <family val="2"/>
          </rPr>
          <t>Steen Hertin-Sandkær:</t>
        </r>
        <r>
          <rPr>
            <sz val="9"/>
            <color indexed="81"/>
            <rFont val="Tahoma"/>
            <family val="2"/>
          </rPr>
          <t xml:space="preserve">
OA fra kl. 15.00-19.00 dække S2</t>
        </r>
      </text>
    </comment>
    <comment ref="R110" authorId="6" shapeId="0" xr:uid="{1D4033DE-2C21-4A92-B0E6-C0FA23616CCD}">
      <text>
        <r>
          <rPr>
            <b/>
            <sz val="9"/>
            <color indexed="81"/>
            <rFont val="Tahoma"/>
            <family val="2"/>
          </rPr>
          <t>Steen Hertin-Sandkær:</t>
        </r>
        <r>
          <rPr>
            <sz val="9"/>
            <color indexed="81"/>
            <rFont val="Tahoma"/>
            <family val="2"/>
          </rPr>
          <t xml:space="preserve">
OA fra kl. 15.00-20.00 dække S2</t>
        </r>
      </text>
    </comment>
    <comment ref="S110" authorId="5" shapeId="0" xr:uid="{608D8625-E36A-4AE7-8EDD-A3594646FDBF}">
      <text>
        <r>
          <rPr>
            <b/>
            <sz val="9"/>
            <color indexed="81"/>
            <rFont val="Tahoma"/>
            <family val="2"/>
          </rPr>
          <t>Nick Lorentzen:</t>
        </r>
        <r>
          <rPr>
            <sz val="9"/>
            <color indexed="81"/>
            <rFont val="Tahoma"/>
            <family val="2"/>
          </rPr>
          <t xml:space="preserve">
Rentemestervej
Vagt Lørdag d. 17. sep. kl. 18.30-22</t>
        </r>
      </text>
    </comment>
    <comment ref="T110" authorId="9" shapeId="0" xr:uid="{FC544C5B-846F-4CA3-B19A-13823B9DC1F1}">
      <text>
        <r>
          <rPr>
            <sz val="11"/>
            <color theme="1"/>
            <rFont val="Calibri"/>
            <family val="2"/>
            <scheme val="minor"/>
          </rPr>
          <t>Møder som vagt kl. 18.30 - 23.00 derefter nedtagning med Frederik J.</t>
        </r>
      </text>
    </comment>
    <comment ref="V110" authorId="6" shapeId="0" xr:uid="{9E3F6384-FBA8-4340-9185-8FDFB922A851}">
      <text>
        <r>
          <rPr>
            <b/>
            <sz val="9"/>
            <color indexed="81"/>
            <rFont val="Tahoma"/>
            <family val="2"/>
          </rPr>
          <t>Steen Hertin-Sandkær:</t>
        </r>
        <r>
          <rPr>
            <sz val="9"/>
            <color indexed="81"/>
            <rFont val="Tahoma"/>
            <family val="2"/>
          </rPr>
          <t xml:space="preserve">
Metro 08-15</t>
        </r>
      </text>
    </comment>
    <comment ref="Y110" authorId="2" shapeId="0" xr:uid="{E5F8FFB7-E4A4-4082-9545-0001ADD686C4}">
      <text>
        <r>
          <rPr>
            <b/>
            <sz val="9"/>
            <color indexed="81"/>
            <rFont val="Tahoma"/>
            <family val="2"/>
          </rPr>
          <t>Steen Hertin:</t>
        </r>
        <r>
          <rPr>
            <sz val="9"/>
            <color indexed="81"/>
            <rFont val="Tahoma"/>
            <family val="2"/>
          </rPr>
          <t xml:space="preserve">
Metro 08-15 OA</t>
        </r>
      </text>
    </comment>
    <comment ref="AE110" authorId="2" shapeId="0" xr:uid="{00CB16B8-75D9-4718-9290-2A8DE05C281D}">
      <text>
        <r>
          <rPr>
            <b/>
            <sz val="9"/>
            <color indexed="81"/>
            <rFont val="Tahoma"/>
            <family val="2"/>
          </rPr>
          <t>Steen Hertin:</t>
        </r>
        <r>
          <rPr>
            <sz val="9"/>
            <color indexed="81"/>
            <rFont val="Tahoma"/>
            <family val="2"/>
          </rPr>
          <t xml:space="preserve">
Møder kl. 16.00- 23.00 og hjælper på aftenvagt og Rentemestervej.Samt nedtagning</t>
        </r>
      </text>
    </comment>
    <comment ref="AF110" authorId="6" shapeId="0" xr:uid="{E7AF3CC9-389F-4A16-85B2-B1B4AA659578}">
      <text>
        <r>
          <rPr>
            <b/>
            <sz val="9"/>
            <color indexed="81"/>
            <rFont val="Tahoma"/>
            <family val="2"/>
          </rPr>
          <t>Steen Hertin-Sandkær:</t>
        </r>
        <r>
          <rPr>
            <sz val="9"/>
            <color indexed="81"/>
            <rFont val="Tahoma"/>
            <family val="2"/>
          </rPr>
          <t xml:space="preserve">
Møder 10.30-17.30</t>
        </r>
      </text>
    </comment>
    <comment ref="G121" authorId="10" shapeId="0" xr:uid="{DA5A376F-F86B-4706-9D1D-175179F9F312}">
      <text>
        <r>
          <rPr>
            <b/>
            <sz val="9"/>
            <color indexed="81"/>
            <rFont val="Tahoma"/>
            <family val="2"/>
          </rPr>
          <t>Rasmus Sørensen:</t>
        </r>
        <r>
          <rPr>
            <sz val="9"/>
            <color indexed="81"/>
            <rFont val="Tahoma"/>
            <family val="2"/>
          </rPr>
          <t xml:space="preserve">
P-vagt</t>
        </r>
      </text>
    </comment>
    <comment ref="H121" authorId="10" shapeId="0" xr:uid="{5276CFF3-DE9C-49DB-B99E-1AAEF4716104}">
      <text>
        <r>
          <rPr>
            <b/>
            <sz val="9"/>
            <color indexed="81"/>
            <rFont val="Tahoma"/>
            <family val="2"/>
          </rPr>
          <t>Rasmus Sørensen:</t>
        </r>
        <r>
          <rPr>
            <sz val="9"/>
            <color indexed="81"/>
            <rFont val="Tahoma"/>
            <family val="2"/>
          </rPr>
          <t xml:space="preserve">
P-vagt</t>
        </r>
      </text>
    </comment>
    <comment ref="I121" authorId="10" shapeId="0" xr:uid="{9F6E6341-2843-4826-80F7-620C475F6976}">
      <text>
        <r>
          <rPr>
            <b/>
            <sz val="9"/>
            <color indexed="81"/>
            <rFont val="Tahoma"/>
            <family val="2"/>
          </rPr>
          <t>Rasmus Sørensen:</t>
        </r>
        <r>
          <rPr>
            <sz val="9"/>
            <color indexed="81"/>
            <rFont val="Tahoma"/>
            <family val="2"/>
          </rPr>
          <t xml:space="preserve">
P-vagt</t>
        </r>
      </text>
    </comment>
    <comment ref="J121" authorId="10" shapeId="0" xr:uid="{A8408F2D-32BD-4FAC-BB6D-2A455E5F5EE9}">
      <text>
        <r>
          <rPr>
            <b/>
            <sz val="9"/>
            <color indexed="81"/>
            <rFont val="Tahoma"/>
            <family val="2"/>
          </rPr>
          <t>Rasmus Sørensen:</t>
        </r>
        <r>
          <rPr>
            <sz val="9"/>
            <color indexed="81"/>
            <rFont val="Tahoma"/>
            <family val="2"/>
          </rPr>
          <t xml:space="preserve">
P-vagt</t>
        </r>
      </text>
    </comment>
    <comment ref="K121" authorId="10" shapeId="0" xr:uid="{C8C9471E-90F8-4B82-A596-6DE97AC7528D}">
      <text>
        <r>
          <rPr>
            <b/>
            <sz val="9"/>
            <color indexed="81"/>
            <rFont val="Tahoma"/>
            <family val="2"/>
          </rPr>
          <t>Rasmus Sørensen:</t>
        </r>
        <r>
          <rPr>
            <sz val="9"/>
            <color indexed="81"/>
            <rFont val="Tahoma"/>
            <family val="2"/>
          </rPr>
          <t xml:space="preserve">
P-vagt</t>
        </r>
      </text>
    </comment>
    <comment ref="L121" authorId="6" shapeId="0" xr:uid="{02E0CC17-689A-4F4C-8F85-A35AC23A5449}">
      <text>
        <r>
          <rPr>
            <b/>
            <sz val="9"/>
            <color indexed="81"/>
            <rFont val="Tahoma"/>
            <family val="2"/>
          </rPr>
          <t>Steen Hertin-Sandkær:</t>
        </r>
        <r>
          <rPr>
            <sz val="9"/>
            <color indexed="81"/>
            <rFont val="Tahoma"/>
            <family val="2"/>
          </rPr>
          <t xml:space="preserve">
Møder kl. 14.30</t>
        </r>
      </text>
    </comment>
    <comment ref="M121" authorId="6" shapeId="0" xr:uid="{2CED12C1-4218-458A-9E26-1EF53EEDA3B3}">
      <text>
        <r>
          <rPr>
            <b/>
            <sz val="9"/>
            <color indexed="81"/>
            <rFont val="Tahoma"/>
            <family val="2"/>
          </rPr>
          <t>Steen Hertin-Sandkær:</t>
        </r>
        <r>
          <rPr>
            <sz val="9"/>
            <color indexed="81"/>
            <rFont val="Tahoma"/>
            <family val="2"/>
          </rPr>
          <t xml:space="preserve">
Møder kl. 14.30</t>
        </r>
      </text>
    </comment>
    <comment ref="O121" authorId="7" shapeId="0" xr:uid="{C0CC2B60-E36E-4D11-87C5-30BD2036D443}">
      <text>
        <r>
          <rPr>
            <b/>
            <sz val="9"/>
            <color indexed="81"/>
            <rFont val="Tahoma"/>
            <family val="2"/>
          </rPr>
          <t>Kim Holm Aabroe:</t>
        </r>
        <r>
          <rPr>
            <sz val="9"/>
            <color indexed="81"/>
            <rFont val="Tahoma"/>
            <family val="2"/>
          </rPr>
          <t xml:space="preserve">
til læge 08.15-10.00 afløse som C-vagt kl. 10.30</t>
        </r>
      </text>
    </comment>
    <comment ref="G122" authorId="11" shapeId="0" xr:uid="{CEF4A8B3-D910-4134-9919-587981F62BC5}">
      <text>
        <r>
          <rPr>
            <b/>
            <sz val="9"/>
            <color indexed="81"/>
            <rFont val="Tahoma"/>
            <family val="2"/>
          </rPr>
          <t>Michael Bo Pedersen:</t>
        </r>
        <r>
          <rPr>
            <sz val="9"/>
            <color indexed="81"/>
            <rFont val="Tahoma"/>
            <family val="2"/>
          </rPr>
          <t xml:space="preserve">
11-vagt på OA</t>
        </r>
      </text>
    </comment>
    <comment ref="N122" authorId="7" shapeId="0" xr:uid="{FB1AD7EB-6C79-4EDF-BE0F-1240B1EFF2D1}">
      <text>
        <r>
          <rPr>
            <b/>
            <sz val="9"/>
            <color indexed="81"/>
            <rFont val="Tahoma"/>
            <family val="2"/>
          </rPr>
          <t>Kim Holm Aabroe:</t>
        </r>
        <r>
          <rPr>
            <sz val="9"/>
            <color indexed="81"/>
            <rFont val="Tahoma"/>
            <family val="2"/>
          </rPr>
          <t xml:space="preserve">
thorvaldsens museum
15.00-17.00
møder på RH kl. 11.00</t>
        </r>
      </text>
    </comment>
    <comment ref="T122" authorId="2" shapeId="0" xr:uid="{B2ED9ADB-65B3-440D-9636-13FD13AF3B66}">
      <text>
        <r>
          <rPr>
            <b/>
            <sz val="9"/>
            <color indexed="81"/>
            <rFont val="Tahoma"/>
            <family val="2"/>
          </rPr>
          <t>Steen Hertin:</t>
        </r>
        <r>
          <rPr>
            <sz val="9"/>
            <color indexed="81"/>
            <rFont val="Tahoma"/>
            <family val="2"/>
          </rPr>
          <t xml:space="preserve">
Tingbjerg 13.45-18.15</t>
        </r>
      </text>
    </comment>
    <comment ref="X122" authorId="6" shapeId="0" xr:uid="{EC3FDFD0-56D2-4144-9957-F89CD0577FC1}">
      <text>
        <r>
          <rPr>
            <b/>
            <sz val="9"/>
            <color indexed="81"/>
            <rFont val="Tahoma"/>
            <family val="2"/>
          </rPr>
          <t>Steen Hertin-Sandkær:</t>
        </r>
        <r>
          <rPr>
            <sz val="9"/>
            <color indexed="81"/>
            <rFont val="Tahoma"/>
            <family val="2"/>
          </rPr>
          <t xml:space="preserve">
Derefter b6-vagt på OA</t>
        </r>
      </text>
    </comment>
    <comment ref="Y122" authorId="1" shapeId="0" xr:uid="{4D55D330-5D1F-4062-9A43-6C4F8D07E197}">
      <text>
        <r>
          <rPr>
            <b/>
            <sz val="9"/>
            <color indexed="81"/>
            <rFont val="Tahoma"/>
            <family val="2"/>
          </rPr>
          <t>Marianne Rasmussen:</t>
        </r>
        <r>
          <rPr>
            <sz val="9"/>
            <color indexed="81"/>
            <rFont val="Tahoma"/>
            <family val="2"/>
          </rPr>
          <t xml:space="preserve">
Arrangement kl 8-14,15 derefter 6-vagt på OA.</t>
        </r>
      </text>
    </comment>
    <comment ref="AA122" authorId="2" shapeId="0" xr:uid="{EA940621-8523-44AA-9D06-B572446C1097}">
      <text>
        <r>
          <rPr>
            <b/>
            <sz val="9"/>
            <color indexed="81"/>
            <rFont val="Tahoma"/>
            <family val="2"/>
          </rPr>
          <t>Steen Hertin:</t>
        </r>
        <r>
          <rPr>
            <sz val="9"/>
            <color indexed="81"/>
            <rFont val="Tahoma"/>
            <family val="2"/>
          </rPr>
          <t xml:space="preserve">
Tingbjerg 13.45-18.15</t>
        </r>
      </text>
    </comment>
    <comment ref="AB122" authorId="8" shapeId="0" xr:uid="{2F351927-CE4E-4E80-8BC2-7288F872BB06}">
      <text>
        <r>
          <rPr>
            <b/>
            <sz val="9"/>
            <color indexed="81"/>
            <rFont val="Tahoma"/>
            <family val="2"/>
          </rPr>
          <t>Mathias Hartvig Morell Nielsen:</t>
        </r>
        <r>
          <rPr>
            <sz val="9"/>
            <color indexed="81"/>
            <rFont val="Tahoma"/>
            <family val="2"/>
          </rPr>
          <t xml:space="preserve">
C-vagt OA</t>
        </r>
      </text>
    </comment>
    <comment ref="L141" authorId="6" shapeId="0" xr:uid="{3F477CD1-DCB8-4266-AB2A-E7EBCB2DCD69}">
      <text>
        <r>
          <rPr>
            <b/>
            <sz val="9"/>
            <color indexed="81"/>
            <rFont val="Tahoma"/>
            <family val="2"/>
          </rPr>
          <t>Steen Hertin-Sandkær:</t>
        </r>
        <r>
          <rPr>
            <sz val="9"/>
            <color indexed="81"/>
            <rFont val="Tahoma"/>
            <family val="2"/>
          </rPr>
          <t xml:space="preserve">
Dronningens jubilæum 06.30 - 16.00</t>
        </r>
      </text>
    </comment>
    <comment ref="AF142" authorId="8" shapeId="0" xr:uid="{FBD63DEB-FA20-4C13-AA43-993ABC65A5EC}">
      <text>
        <r>
          <rPr>
            <b/>
            <sz val="9"/>
            <color indexed="81"/>
            <rFont val="Tahoma"/>
            <family val="2"/>
          </rPr>
          <t>Mathias Hartvig Morell Nielsen:</t>
        </r>
        <r>
          <rPr>
            <sz val="9"/>
            <color indexed="81"/>
            <rFont val="Tahoma"/>
            <family val="2"/>
          </rPr>
          <t xml:space="preserve">
Skal gå 12:45</t>
        </r>
      </text>
    </comment>
    <comment ref="N143" authorId="10" shapeId="0" xr:uid="{393105AA-71D2-42D3-9BF5-193FB90DFE51}">
      <text>
        <r>
          <rPr>
            <b/>
            <sz val="9"/>
            <color indexed="81"/>
            <rFont val="Tahoma"/>
            <family val="2"/>
          </rPr>
          <t>Rasmus Sørensen:</t>
        </r>
        <r>
          <rPr>
            <sz val="9"/>
            <color indexed="81"/>
            <rFont val="Tahoma"/>
            <family val="2"/>
          </rPr>
          <t xml:space="preserve">
rundvisning kl. 12</t>
        </r>
      </text>
    </comment>
    <comment ref="R143" authorId="6" shapeId="0" xr:uid="{E2E73449-829A-47AC-B02B-FE62682E19AE}">
      <text>
        <r>
          <rPr>
            <b/>
            <sz val="9"/>
            <color indexed="81"/>
            <rFont val="Tahoma"/>
            <family val="2"/>
          </rPr>
          <t>Steen Hertin-Sandkær:
Planlægning sommerfest</t>
        </r>
      </text>
    </comment>
    <comment ref="D145" authorId="0" shapeId="0" xr:uid="{60D808C6-EA96-47E1-88B3-35B48ABDE1EE}">
      <text>
        <r>
          <rPr>
            <b/>
            <sz val="9"/>
            <color indexed="81"/>
            <rFont val="Tahoma"/>
            <family val="2"/>
          </rPr>
          <t>Thomas Holm:</t>
        </r>
        <r>
          <rPr>
            <sz val="9"/>
            <color indexed="81"/>
            <rFont val="Tahoma"/>
            <family val="2"/>
          </rPr>
          <t xml:space="preserve">
Thorvaldsens Museum
16.00 - 19.00</t>
        </r>
      </text>
    </comment>
    <comment ref="J145" authorId="11" shapeId="0" xr:uid="{DBE1EE99-E88D-4D1A-BDFF-06A386DED053}">
      <text>
        <r>
          <rPr>
            <b/>
            <sz val="9"/>
            <color indexed="81"/>
            <rFont val="Tahoma"/>
            <family val="2"/>
          </rPr>
          <t>Michael Bo Pedersen:</t>
        </r>
        <r>
          <rPr>
            <sz val="9"/>
            <color indexed="81"/>
            <rFont val="Tahoma"/>
            <family val="2"/>
          </rPr>
          <t xml:space="preserve">
Til møde kl 11.15</t>
        </r>
      </text>
    </comment>
    <comment ref="P145" authorId="11" shapeId="0" xr:uid="{B7D61E6B-1150-40C9-A515-AD6B66A706E0}">
      <text>
        <r>
          <rPr>
            <b/>
            <sz val="9"/>
            <color indexed="81"/>
            <rFont val="Tahoma"/>
            <family val="2"/>
          </rPr>
          <t>Michael Bo Pedersen:</t>
        </r>
        <r>
          <rPr>
            <sz val="9"/>
            <color indexed="81"/>
            <rFont val="Tahoma"/>
            <family val="2"/>
          </rPr>
          <t xml:space="preserve">
Til møde fra kl. 11.00-12.30</t>
        </r>
      </text>
    </comment>
    <comment ref="R145" authorId="11" shapeId="0" xr:uid="{F42DBD14-66D9-4505-897F-20C27A682A13}">
      <text>
        <r>
          <rPr>
            <b/>
            <sz val="9"/>
            <color indexed="81"/>
            <rFont val="Tahoma"/>
            <family val="2"/>
          </rPr>
          <t>Michael Bo Pedersen:</t>
        </r>
        <r>
          <rPr>
            <sz val="9"/>
            <color indexed="81"/>
            <rFont val="Tahoma"/>
            <family val="2"/>
          </rPr>
          <t xml:space="preserve">
Til møde fra 09.00-10.00</t>
        </r>
      </text>
    </comment>
    <comment ref="U145" authorId="2" shapeId="0" xr:uid="{CDD075B7-4808-40E9-94E2-58B587A0E30C}">
      <text>
        <r>
          <rPr>
            <b/>
            <sz val="9"/>
            <color indexed="81"/>
            <rFont val="Tahoma"/>
            <family val="2"/>
          </rPr>
          <t>Steen Hertin:</t>
        </r>
        <r>
          <rPr>
            <sz val="9"/>
            <color indexed="81"/>
            <rFont val="Tahoma"/>
            <family val="2"/>
          </rPr>
          <t xml:space="preserve">
Hjælpe med omvisninger fra kl.14.15</t>
        </r>
      </text>
    </comment>
    <comment ref="Y145" authorId="1" shapeId="0" xr:uid="{6194AF03-07A6-4BA9-A4B8-E504F3CAF64D}">
      <text>
        <r>
          <rPr>
            <b/>
            <sz val="9"/>
            <color indexed="81"/>
            <rFont val="Tahoma"/>
            <family val="2"/>
          </rPr>
          <t>Marianne Rasmussen:</t>
        </r>
        <r>
          <rPr>
            <sz val="9"/>
            <color indexed="81"/>
            <rFont val="Tahoma"/>
            <family val="2"/>
          </rPr>
          <t xml:space="preserve">
Arrangement kl 8,15-14,15</t>
        </r>
      </text>
    </comment>
    <comment ref="AB145" authorId="2" shapeId="0" xr:uid="{F418F592-4F20-43EA-BACE-C6CD9E0C7D94}">
      <text>
        <r>
          <rPr>
            <b/>
            <sz val="9"/>
            <color indexed="81"/>
            <rFont val="Tahoma"/>
            <family val="2"/>
          </rPr>
          <t>Steen Hertin:</t>
        </r>
        <r>
          <rPr>
            <sz val="9"/>
            <color indexed="81"/>
            <rFont val="Tahoma"/>
            <family val="2"/>
          </rPr>
          <t xml:space="preserve">
Bellahøjhallen 14.45-23.30
Møde med RS kl 12</t>
        </r>
      </text>
    </comment>
    <comment ref="AC145" authorId="2" shapeId="0" xr:uid="{EB1DE8A7-6403-44D2-9F11-C9AC16D7477C}">
      <text>
        <r>
          <rPr>
            <b/>
            <sz val="9"/>
            <color indexed="81"/>
            <rFont val="Tahoma"/>
            <family val="2"/>
          </rPr>
          <t>Steen Hertin:</t>
        </r>
        <r>
          <rPr>
            <sz val="9"/>
            <color indexed="81"/>
            <rFont val="Tahoma"/>
            <family val="2"/>
          </rPr>
          <t xml:space="preserve">
Bellahøjhallen 14.45-23.30</t>
        </r>
      </text>
    </comment>
    <comment ref="AD145" authorId="2" shapeId="0" xr:uid="{19D62FAA-2411-4726-986E-AF7BA98083D6}">
      <text>
        <r>
          <rPr>
            <b/>
            <sz val="9"/>
            <color indexed="81"/>
            <rFont val="Tahoma"/>
            <family val="2"/>
          </rPr>
          <t>Steen Hertin:</t>
        </r>
        <r>
          <rPr>
            <sz val="9"/>
            <color indexed="81"/>
            <rFont val="Tahoma"/>
            <family val="2"/>
          </rPr>
          <t xml:space="preserve">
Bellahøjhallen 14.45-23.30</t>
        </r>
      </text>
    </comment>
    <comment ref="H174" authorId="4" shapeId="0" xr:uid="{EB5CC7FA-F676-4F78-BF6E-3482FC78B0F8}">
      <text>
        <r>
          <rPr>
            <b/>
            <sz val="9"/>
            <color indexed="81"/>
            <rFont val="Tahoma"/>
            <family val="2"/>
          </rPr>
          <t>marasm:</t>
        </r>
        <r>
          <rPr>
            <sz val="9"/>
            <color indexed="81"/>
            <rFont val="Tahoma"/>
            <family val="2"/>
          </rPr>
          <t xml:space="preserve">
AHF</t>
        </r>
      </text>
    </comment>
    <comment ref="I174" authorId="4" shapeId="0" xr:uid="{7BD6D232-32AB-472C-915D-7D72B1C13691}">
      <text>
        <r>
          <rPr>
            <b/>
            <sz val="9"/>
            <color indexed="81"/>
            <rFont val="Tahoma"/>
            <family val="2"/>
          </rPr>
          <t>marasm:</t>
        </r>
        <r>
          <rPr>
            <sz val="9"/>
            <color indexed="81"/>
            <rFont val="Tahoma"/>
            <family val="2"/>
          </rPr>
          <t xml:space="preserve">
AHF</t>
        </r>
      </text>
    </comment>
    <comment ref="K174" authorId="4" shapeId="0" xr:uid="{3FBBE830-9388-47CA-AC4F-494AD43BE451}">
      <text>
        <r>
          <rPr>
            <b/>
            <sz val="9"/>
            <color indexed="81"/>
            <rFont val="Tahoma"/>
            <family val="2"/>
          </rPr>
          <t>marasm:</t>
        </r>
        <r>
          <rPr>
            <sz val="9"/>
            <color indexed="81"/>
            <rFont val="Tahoma"/>
            <family val="2"/>
          </rPr>
          <t xml:space="preserve">
AHF</t>
        </r>
      </text>
    </comment>
    <comment ref="N174" authorId="4" shapeId="0" xr:uid="{EE6A2F4F-23EB-4940-9311-9394EDE0CBAA}">
      <text>
        <r>
          <rPr>
            <b/>
            <sz val="9"/>
            <color indexed="81"/>
            <rFont val="Tahoma"/>
            <family val="2"/>
          </rPr>
          <t>marasm:</t>
        </r>
        <r>
          <rPr>
            <sz val="9"/>
            <color indexed="81"/>
            <rFont val="Tahoma"/>
            <family val="2"/>
          </rPr>
          <t xml:space="preserve">
AHF</t>
        </r>
      </text>
    </comment>
    <comment ref="Q174" authorId="4" shapeId="0" xr:uid="{8403F739-2260-4601-B0A7-260C4291F10A}">
      <text>
        <r>
          <rPr>
            <b/>
            <sz val="9"/>
            <color indexed="81"/>
            <rFont val="Tahoma"/>
            <family val="2"/>
          </rPr>
          <t>marasm:</t>
        </r>
        <r>
          <rPr>
            <sz val="9"/>
            <color indexed="81"/>
            <rFont val="Tahoma"/>
            <family val="2"/>
          </rPr>
          <t xml:space="preserve">
AHF</t>
        </r>
      </text>
    </comment>
    <comment ref="R174" authorId="4" shapeId="0" xr:uid="{3BC7407A-39C4-400D-ADB1-E56559131625}">
      <text>
        <r>
          <rPr>
            <b/>
            <sz val="9"/>
            <color indexed="81"/>
            <rFont val="Tahoma"/>
            <family val="2"/>
          </rPr>
          <t>marasm:</t>
        </r>
        <r>
          <rPr>
            <sz val="9"/>
            <color indexed="81"/>
            <rFont val="Tahoma"/>
            <family val="2"/>
          </rPr>
          <t xml:space="preserve">
AHF</t>
        </r>
      </text>
    </comment>
    <comment ref="Y174" authorId="1" shapeId="0" xr:uid="{1EBD599F-961A-48F2-94F0-F6B4EAFC4DCD}">
      <text>
        <r>
          <rPr>
            <b/>
            <sz val="9"/>
            <color indexed="81"/>
            <rFont val="Tahoma"/>
            <family val="2"/>
          </rPr>
          <t>Marianne Rasmussen:</t>
        </r>
        <r>
          <rPr>
            <sz val="9"/>
            <color indexed="81"/>
            <rFont val="Tahoma"/>
            <family val="2"/>
          </rPr>
          <t xml:space="preserve">
AHF</t>
        </r>
      </text>
    </comment>
    <comment ref="AB174" authorId="4" shapeId="0" xr:uid="{E5E5B846-F1AE-423B-BB2E-2816A1941DB6}">
      <text>
        <r>
          <rPr>
            <b/>
            <sz val="9"/>
            <color indexed="81"/>
            <rFont val="Tahoma"/>
            <family val="2"/>
          </rPr>
          <t>marasm:</t>
        </r>
        <r>
          <rPr>
            <sz val="9"/>
            <color indexed="81"/>
            <rFont val="Tahoma"/>
            <family val="2"/>
          </rPr>
          <t xml:space="preserve">
AHF</t>
        </r>
      </text>
    </comment>
    <comment ref="AE174" authorId="4" shapeId="0" xr:uid="{8B788154-060A-4CAC-ABE4-740EAD0BF218}">
      <text>
        <r>
          <rPr>
            <b/>
            <sz val="9"/>
            <color indexed="81"/>
            <rFont val="Tahoma"/>
            <family val="2"/>
          </rPr>
          <t>marasm:</t>
        </r>
        <r>
          <rPr>
            <sz val="9"/>
            <color indexed="81"/>
            <rFont val="Tahoma"/>
            <family val="2"/>
          </rPr>
          <t xml:space="preserve">
AHF</t>
        </r>
      </text>
    </comment>
    <comment ref="AF174" authorId="4" shapeId="0" xr:uid="{A59438F6-DDAD-4A55-9989-210619A0AC21}">
      <text>
        <r>
          <rPr>
            <b/>
            <sz val="9"/>
            <color indexed="81"/>
            <rFont val="Tahoma"/>
            <family val="2"/>
          </rPr>
          <t>marasm:</t>
        </r>
        <r>
          <rPr>
            <sz val="9"/>
            <color indexed="81"/>
            <rFont val="Tahoma"/>
            <family val="2"/>
          </rPr>
          <t xml:space="preserve">
AHF</t>
        </r>
      </text>
    </comment>
    <comment ref="C201" authorId="1" shapeId="0" xr:uid="{33562D5D-2B68-48E3-9FEC-C24EE07CFE04}">
      <text>
        <r>
          <rPr>
            <b/>
            <sz val="9"/>
            <color indexed="81"/>
            <rFont val="Tahoma"/>
            <family val="2"/>
          </rPr>
          <t>Marianne Rasmussen:</t>
        </r>
        <r>
          <rPr>
            <sz val="9"/>
            <color indexed="81"/>
            <rFont val="Tahoma"/>
            <family val="2"/>
          </rPr>
          <t xml:space="preserve">
internflex aftalt med Flemming Dam</t>
        </r>
      </text>
    </comment>
    <comment ref="D201" authorId="1" shapeId="0" xr:uid="{2508C8A3-CB5B-4824-86F1-38D48B7D31E6}">
      <text>
        <r>
          <rPr>
            <b/>
            <sz val="9"/>
            <color indexed="81"/>
            <rFont val="Tahoma"/>
            <family val="2"/>
          </rPr>
          <t>Marianne Rasmussen:</t>
        </r>
        <r>
          <rPr>
            <sz val="9"/>
            <color indexed="81"/>
            <rFont val="Tahoma"/>
            <family val="2"/>
          </rPr>
          <t xml:space="preserve">
internflex aftalt med Flemming Dam</t>
        </r>
      </text>
    </comment>
    <comment ref="AB201" authorId="1" shapeId="0" xr:uid="{D78239B6-82CF-4FB4-8613-B5D420A366DF}">
      <text>
        <r>
          <rPr>
            <b/>
            <sz val="9"/>
            <color indexed="81"/>
            <rFont val="Tahoma"/>
            <family val="2"/>
          </rPr>
          <t>Marianne Rasmussen:</t>
        </r>
        <r>
          <rPr>
            <sz val="9"/>
            <color indexed="81"/>
            <rFont val="Tahoma"/>
            <family val="2"/>
          </rPr>
          <t xml:space="preserve">
internflex aftalt med Flemming Dam</t>
        </r>
      </text>
    </comment>
    <comment ref="AC201" authorId="1" shapeId="0" xr:uid="{B43C4EA6-A37C-4D6E-8DF2-8F7B990A1E85}">
      <text>
        <r>
          <rPr>
            <b/>
            <sz val="9"/>
            <color indexed="81"/>
            <rFont val="Tahoma"/>
            <family val="2"/>
          </rPr>
          <t>Marianne Rasmussen:</t>
        </r>
        <r>
          <rPr>
            <sz val="9"/>
            <color indexed="81"/>
            <rFont val="Tahoma"/>
            <family val="2"/>
          </rPr>
          <t xml:space="preserve">
internflex aftalt med Flemming Dam</t>
        </r>
      </text>
    </comment>
    <comment ref="G202" authorId="11" shapeId="0" xr:uid="{8753904F-32AD-4850-850D-4BACBF03E9B7}">
      <text>
        <r>
          <rPr>
            <b/>
            <sz val="9"/>
            <color indexed="81"/>
            <rFont val="Tahoma"/>
            <family val="2"/>
          </rPr>
          <t>Michael Bo Pedersen:</t>
        </r>
        <r>
          <rPr>
            <sz val="9"/>
            <color indexed="81"/>
            <rFont val="Tahoma"/>
            <family val="2"/>
          </rPr>
          <t xml:space="preserve">
Møde i byen</t>
        </r>
      </text>
    </comment>
    <comment ref="H202" authorId="11" shapeId="0" xr:uid="{23A1321B-47CA-4778-B6C6-7AD741CE5D8F}">
      <text>
        <r>
          <rPr>
            <b/>
            <sz val="9"/>
            <color indexed="81"/>
            <rFont val="Tahoma"/>
            <family val="2"/>
          </rPr>
          <t>Michael Bo Pedersen:</t>
        </r>
        <r>
          <rPr>
            <sz val="9"/>
            <color indexed="81"/>
            <rFont val="Tahoma"/>
            <family val="2"/>
          </rPr>
          <t xml:space="preserve">
Møde i byen</t>
        </r>
      </text>
    </comment>
    <comment ref="I202" authorId="11" shapeId="0" xr:uid="{16CEDB3B-15CE-43D6-9843-8FE2696FA5AA}">
      <text>
        <r>
          <rPr>
            <b/>
            <sz val="9"/>
            <color indexed="81"/>
            <rFont val="Tahoma"/>
            <family val="2"/>
          </rPr>
          <t>Michael Bo Pedersen:</t>
        </r>
        <r>
          <rPr>
            <sz val="9"/>
            <color indexed="81"/>
            <rFont val="Tahoma"/>
            <family val="2"/>
          </rPr>
          <t xml:space="preserve">
Møde i byen</t>
        </r>
      </text>
    </comment>
    <comment ref="J202" authorId="11" shapeId="0" xr:uid="{C7B6CC95-D0D9-4477-A726-DFA1C6BFFE04}">
      <text>
        <r>
          <rPr>
            <b/>
            <sz val="9"/>
            <color indexed="81"/>
            <rFont val="Tahoma"/>
            <family val="2"/>
          </rPr>
          <t>Michael Bo Pedersen:</t>
        </r>
        <r>
          <rPr>
            <sz val="9"/>
            <color indexed="81"/>
            <rFont val="Tahoma"/>
            <family val="2"/>
          </rPr>
          <t xml:space="preserve">
Møde i byen</t>
        </r>
      </text>
    </comment>
    <comment ref="O202" authorId="6" shapeId="0" xr:uid="{5CA34F1C-F7B3-497A-9651-C01677CEEBA8}">
      <text>
        <r>
          <rPr>
            <b/>
            <sz val="9"/>
            <color indexed="81"/>
            <rFont val="Tahoma"/>
            <family val="2"/>
          </rPr>
          <t>Steen Hertin-Sandkær:</t>
        </r>
        <r>
          <rPr>
            <sz val="9"/>
            <color indexed="81"/>
            <rFont val="Tahoma"/>
            <family val="2"/>
          </rPr>
          <t xml:space="preserve">
Afløsers kl. 11.30-15,00</t>
        </r>
      </text>
    </comment>
    <comment ref="P202" authorId="6" shapeId="0" xr:uid="{86E4E073-CA20-4524-83EF-6140D72B559B}">
      <text>
        <r>
          <rPr>
            <b/>
            <sz val="9"/>
            <color indexed="81"/>
            <rFont val="Tahoma"/>
            <family val="2"/>
          </rPr>
          <t>Steen Hertin-Sandkær:</t>
        </r>
        <r>
          <rPr>
            <sz val="9"/>
            <color indexed="81"/>
            <rFont val="Tahoma"/>
            <family val="2"/>
          </rPr>
          <t xml:space="preserve">
Afløses 08.30-12.00</t>
        </r>
      </text>
    </comment>
    <comment ref="Q202" authorId="6" shapeId="0" xr:uid="{77678832-2C41-40D7-A302-E707ACE85489}">
      <text>
        <r>
          <rPr>
            <b/>
            <sz val="9"/>
            <color indexed="81"/>
            <rFont val="Tahoma"/>
            <family val="2"/>
          </rPr>
          <t>Steen Hertin-Sandkær:</t>
        </r>
        <r>
          <rPr>
            <sz val="9"/>
            <color indexed="81"/>
            <rFont val="Tahoma"/>
            <family val="2"/>
          </rPr>
          <t xml:space="preserve">
afl. 13.00-16.30</t>
        </r>
      </text>
    </comment>
    <comment ref="W202" authorId="6" shapeId="0" xr:uid="{00A65ADA-FB1C-441A-9E26-67E1A6ED3E3C}">
      <text>
        <r>
          <rPr>
            <b/>
            <sz val="9"/>
            <color indexed="81"/>
            <rFont val="Tahoma"/>
            <family val="2"/>
          </rPr>
          <t>Steen Hertin-Sandkær:</t>
        </r>
        <r>
          <rPr>
            <sz val="9"/>
            <color indexed="81"/>
            <rFont val="Tahoma"/>
            <family val="2"/>
          </rPr>
          <t xml:space="preserve">
Afløses hele dagen</t>
        </r>
      </text>
    </comment>
    <comment ref="X202" authorId="6" shapeId="0" xr:uid="{A54FDBE9-754B-4997-8DE1-D09609082639}">
      <text>
        <r>
          <rPr>
            <b/>
            <sz val="9"/>
            <color indexed="81"/>
            <rFont val="Tahoma"/>
            <family val="2"/>
          </rPr>
          <t>Steen Hertin-Sandkær:</t>
        </r>
        <r>
          <rPr>
            <sz val="9"/>
            <color indexed="81"/>
            <rFont val="Tahoma"/>
            <family val="2"/>
          </rPr>
          <t xml:space="preserve">
Afløses hele dagen</t>
        </r>
      </text>
    </comment>
    <comment ref="Y202" authorId="6" shapeId="0" xr:uid="{DA2B74A2-250A-4DDE-8842-D43EBE815053}">
      <text>
        <r>
          <rPr>
            <b/>
            <sz val="9"/>
            <color indexed="81"/>
            <rFont val="Tahoma"/>
            <family val="2"/>
          </rPr>
          <t>Steen Hertin-Sandkær:</t>
        </r>
        <r>
          <rPr>
            <sz val="9"/>
            <color indexed="81"/>
            <rFont val="Tahoma"/>
            <family val="2"/>
          </rPr>
          <t xml:space="preserve">
Afløses hele dagen</t>
        </r>
      </text>
    </comment>
    <comment ref="AF202" authorId="6" shapeId="0" xr:uid="{4E4B9E24-FAA1-4276-9ABF-73A7C213363F}">
      <text>
        <r>
          <rPr>
            <b/>
            <sz val="9"/>
            <color indexed="81"/>
            <rFont val="Tahoma"/>
            <family val="2"/>
          </rPr>
          <t>Steen Hertin-Sandkær:</t>
        </r>
        <r>
          <rPr>
            <sz val="9"/>
            <color indexed="81"/>
            <rFont val="Tahoma"/>
            <family val="2"/>
          </rPr>
          <t xml:space="preserve">
Intern flexdag</t>
        </r>
      </text>
    </comment>
    <comment ref="J204" authorId="11" shapeId="0" xr:uid="{2753E7CC-900A-47CF-8155-313E48B68BD1}">
      <text>
        <r>
          <rPr>
            <b/>
            <sz val="9"/>
            <color indexed="81"/>
            <rFont val="Tahoma"/>
            <family val="2"/>
          </rPr>
          <t>Michael Bo Pedersen:</t>
        </r>
        <r>
          <rPr>
            <sz val="9"/>
            <color indexed="81"/>
            <rFont val="Tahoma"/>
            <family val="2"/>
          </rPr>
          <t xml:space="preserve">
Læge
08.30-11.00</t>
        </r>
      </text>
    </comment>
    <comment ref="AB212" authorId="6" shapeId="0" xr:uid="{536B5FA9-4A30-4568-A58F-62C7586013D0}">
      <text>
        <r>
          <rPr>
            <b/>
            <sz val="9"/>
            <color indexed="81"/>
            <rFont val="Tahoma"/>
            <family val="2"/>
          </rPr>
          <t>Steen Hertin-Sandkær:</t>
        </r>
        <r>
          <rPr>
            <sz val="9"/>
            <color indexed="81"/>
            <rFont val="Tahoma"/>
            <family val="2"/>
          </rPr>
          <t xml:space="preserve">
Møder 4 timer.</t>
        </r>
      </text>
    </comment>
    <comment ref="AD212" authorId="6" shapeId="0" xr:uid="{2BCCECFE-78FE-42D7-BF7F-24FAE90A7679}">
      <text>
        <r>
          <rPr>
            <b/>
            <sz val="9"/>
            <color indexed="81"/>
            <rFont val="Tahoma"/>
            <family val="2"/>
          </rPr>
          <t>Steen Hertin-Sandkær:</t>
        </r>
        <r>
          <rPr>
            <sz val="9"/>
            <color indexed="81"/>
            <rFont val="Tahoma"/>
            <family val="2"/>
          </rPr>
          <t xml:space="preserve">
Møder 4 timer.</t>
        </r>
      </text>
    </comment>
    <comment ref="E234" authorId="2" shapeId="0" xr:uid="{CDB310D8-A3E6-4DCF-BF9E-6491180B06A8}">
      <text>
        <r>
          <rPr>
            <b/>
            <sz val="9"/>
            <color indexed="81"/>
            <rFont val="Tahoma"/>
            <family val="2"/>
          </rPr>
          <t>Steen Hertin:</t>
        </r>
        <r>
          <rPr>
            <sz val="9"/>
            <color indexed="81"/>
            <rFont val="Tahoma"/>
            <family val="2"/>
          </rPr>
          <t xml:space="preserve">
Metro kl 08-15</t>
        </r>
      </text>
    </comment>
    <comment ref="F234" authorId="2" shapeId="0" xr:uid="{3B1A1517-6FA2-4459-A91B-341359F8DCFF}">
      <text>
        <r>
          <rPr>
            <b/>
            <sz val="9"/>
            <color indexed="81"/>
            <rFont val="Tahoma"/>
            <family val="2"/>
          </rPr>
          <t>Steen Hertin:</t>
        </r>
        <r>
          <rPr>
            <sz val="9"/>
            <color indexed="81"/>
            <rFont val="Tahoma"/>
            <family val="2"/>
          </rPr>
          <t xml:space="preserve">
Metro kl 08-15</t>
        </r>
      </text>
    </comment>
    <comment ref="H234" authorId="1" shapeId="0" xr:uid="{726A6FE4-7389-4E8A-A707-3B8DDD402660}">
      <text>
        <r>
          <rPr>
            <b/>
            <sz val="9"/>
            <color indexed="81"/>
            <rFont val="Tahoma"/>
            <family val="2"/>
          </rPr>
          <t>Marianne Rasmussen:</t>
        </r>
        <r>
          <rPr>
            <sz val="9"/>
            <color indexed="81"/>
            <rFont val="Tahoma"/>
            <family val="2"/>
          </rPr>
          <t xml:space="preserve">
 afs fra kl. 13,45-14,45</t>
        </r>
      </text>
    </comment>
    <comment ref="D294" authorId="1" shapeId="0" xr:uid="{3986629D-8275-4737-AF09-2BC405F349DC}">
      <text>
        <r>
          <rPr>
            <b/>
            <sz val="9"/>
            <color indexed="81"/>
            <rFont val="Tahoma"/>
            <family val="2"/>
          </rPr>
          <t>Marianne Rasmussen:</t>
        </r>
        <r>
          <rPr>
            <sz val="9"/>
            <color indexed="81"/>
            <rFont val="Tahoma"/>
            <family val="2"/>
          </rPr>
          <t xml:space="preserve">
- 3 timer afs</t>
        </r>
      </text>
    </comment>
    <comment ref="G294" authorId="1" shapeId="0" xr:uid="{A90B1814-4612-44E4-B69A-3317EEDCFCCD}">
      <text>
        <r>
          <rPr>
            <b/>
            <sz val="9"/>
            <color indexed="81"/>
            <rFont val="Tahoma"/>
            <family val="2"/>
          </rPr>
          <t>Marianne Rasmussen:</t>
        </r>
        <r>
          <rPr>
            <sz val="9"/>
            <color indexed="81"/>
            <rFont val="Tahoma"/>
            <family val="2"/>
          </rPr>
          <t xml:space="preserve">
-3 timer i afs</t>
        </r>
      </text>
    </comment>
    <comment ref="AB294" authorId="4" shapeId="0" xr:uid="{A7219704-14EC-4837-B1D0-F2F7D2A66E03}">
      <text>
        <r>
          <rPr>
            <b/>
            <sz val="9"/>
            <color indexed="81"/>
            <rFont val="Tahoma"/>
            <family val="2"/>
          </rPr>
          <t>marasm:</t>
        </r>
        <r>
          <rPr>
            <sz val="9"/>
            <color indexed="81"/>
            <rFont val="Tahoma"/>
            <family val="2"/>
          </rPr>
          <t xml:space="preserve">
- 4 Timer i afs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marasm</author>
    <author>Steen Hertin-Sandkær</author>
    <author>Thomas Holm</author>
    <author>Rasmus Sørensen</author>
    <author>Steen Hertin</author>
    <author>Nikolaj Langtin Pamhede</author>
    <author>Nick Lorentzen</author>
    <author>Michael Bo Pedersen</author>
    <author>Marianne Rasmussen</author>
    <author>Mathias Hartvig Morell Nielsen</author>
    <author>Kim Holm Aabroe</author>
  </authors>
  <commentList>
    <comment ref="F12" authorId="0" shapeId="0" xr:uid="{7E82E11B-1844-4A51-B593-052D3CE0C72D}">
      <text>
        <r>
          <rPr>
            <b/>
            <sz val="9"/>
            <color indexed="81"/>
            <rFont val="Tahoma"/>
            <family val="2"/>
          </rPr>
          <t>marasm:</t>
        </r>
        <r>
          <rPr>
            <sz val="9"/>
            <color indexed="81"/>
            <rFont val="Tahoma"/>
            <family val="2"/>
          </rPr>
          <t xml:space="preserve">
Jubilarfest</t>
        </r>
      </text>
    </comment>
    <comment ref="P12" authorId="0" shapeId="0" xr:uid="{AC9DFC36-8691-4C39-A6FD-7B3D44A5F41D}">
      <text>
        <r>
          <rPr>
            <b/>
            <sz val="9"/>
            <color indexed="81"/>
            <rFont val="Tahoma"/>
            <family val="2"/>
          </rPr>
          <t>marasm:</t>
        </r>
        <r>
          <rPr>
            <sz val="9"/>
            <color indexed="81"/>
            <rFont val="Tahoma"/>
            <family val="2"/>
          </rPr>
          <t xml:space="preserve">
Kulturnat</t>
        </r>
      </text>
    </comment>
    <comment ref="P14" authorId="0" shapeId="0" xr:uid="{15FAEB49-29E9-40A5-AEB4-728D8E821093}">
      <text>
        <r>
          <rPr>
            <b/>
            <sz val="9"/>
            <color indexed="81"/>
            <rFont val="Tahoma"/>
            <family val="2"/>
          </rPr>
          <t>marasm:</t>
        </r>
        <r>
          <rPr>
            <sz val="9"/>
            <color indexed="81"/>
            <rFont val="Tahoma"/>
            <family val="2"/>
          </rPr>
          <t xml:space="preserve">
Kulturnat</t>
        </r>
      </text>
    </comment>
    <comment ref="R17" authorId="1" shapeId="0" xr:uid="{121C2003-2FC9-4D34-BBA3-B827846D3A57}">
      <text>
        <r>
          <rPr>
            <b/>
            <sz val="9"/>
            <color indexed="81"/>
            <rFont val="Tahoma"/>
            <family val="2"/>
          </rPr>
          <t>Steen Hertin-Sandkær:</t>
        </r>
        <r>
          <rPr>
            <sz val="9"/>
            <color indexed="81"/>
            <rFont val="Tahoma"/>
            <family val="2"/>
          </rPr>
          <t xml:space="preserve">
OMLAGT Tjeneste...Fri pga kursus mandag.</t>
        </r>
      </text>
    </comment>
    <comment ref="S17" authorId="2" shapeId="0" xr:uid="{E7069A9B-1D6E-4423-849D-B2B03A375BA6}">
      <text>
        <r>
          <rPr>
            <b/>
            <sz val="9"/>
            <color indexed="81"/>
            <rFont val="Tahoma"/>
            <family val="2"/>
          </rPr>
          <t>Thomas Holm:</t>
        </r>
        <r>
          <rPr>
            <sz val="9"/>
            <color indexed="81"/>
            <rFont val="Tahoma"/>
            <family val="2"/>
          </rPr>
          <t xml:space="preserve">
Instruktør vedligehold
Førstehjælp</t>
        </r>
      </text>
    </comment>
    <comment ref="L20" authorId="3" shapeId="0" xr:uid="{C8220471-FEBE-4BB9-BBA1-4F3E598FED2F}">
      <text>
        <r>
          <rPr>
            <b/>
            <sz val="9"/>
            <color indexed="81"/>
            <rFont val="Tahoma"/>
            <family val="2"/>
          </rPr>
          <t>Rasmus Sørensen:</t>
        </r>
        <r>
          <rPr>
            <sz val="9"/>
            <color indexed="81"/>
            <rFont val="Tahoma"/>
            <family val="2"/>
          </rPr>
          <t xml:space="preserve">
ansættelse</t>
        </r>
      </text>
    </comment>
    <comment ref="M20" authorId="3" shapeId="0" xr:uid="{484ED2A0-ED68-405D-8A9D-079C4C1EBE5A}">
      <text>
        <r>
          <rPr>
            <b/>
            <sz val="9"/>
            <color indexed="81"/>
            <rFont val="Tahoma"/>
            <family val="2"/>
          </rPr>
          <t>Rasmus Sørensen:</t>
        </r>
        <r>
          <rPr>
            <sz val="9"/>
            <color indexed="81"/>
            <rFont val="Tahoma"/>
            <family val="2"/>
          </rPr>
          <t xml:space="preserve">
ansættelse</t>
        </r>
      </text>
    </comment>
    <comment ref="O20" authorId="3" shapeId="0" xr:uid="{FA1215B4-278E-4F26-978B-4F6DCFD29588}">
      <text>
        <r>
          <rPr>
            <b/>
            <sz val="9"/>
            <color indexed="81"/>
            <rFont val="Tahoma"/>
            <family val="2"/>
          </rPr>
          <t>Rasmus Sørensen:</t>
        </r>
        <r>
          <rPr>
            <sz val="9"/>
            <color indexed="81"/>
            <rFont val="Tahoma"/>
            <family val="2"/>
          </rPr>
          <t xml:space="preserve">
ansættelse</t>
        </r>
      </text>
    </comment>
    <comment ref="P20" authorId="0" shapeId="0" xr:uid="{691BB404-23B9-4B14-BD4C-1DE72DC9688B}">
      <text>
        <r>
          <rPr>
            <b/>
            <sz val="9"/>
            <color indexed="81"/>
            <rFont val="Tahoma"/>
            <family val="2"/>
          </rPr>
          <t>marasm:</t>
        </r>
        <r>
          <rPr>
            <sz val="9"/>
            <color indexed="81"/>
            <rFont val="Tahoma"/>
            <family val="2"/>
          </rPr>
          <t xml:space="preserve">
Kulturnat</t>
        </r>
      </text>
    </comment>
    <comment ref="S20" authorId="4" shapeId="0" xr:uid="{4EB041FD-C2E5-4AC5-805A-3F0836379335}">
      <text>
        <r>
          <rPr>
            <b/>
            <sz val="9"/>
            <color indexed="81"/>
            <rFont val="Tahoma"/>
            <family val="2"/>
          </rPr>
          <t>Steen Hertin:</t>
        </r>
        <r>
          <rPr>
            <sz val="9"/>
            <color indexed="81"/>
            <rFont val="Tahoma"/>
            <family val="2"/>
          </rPr>
          <t xml:space="preserve">
Arbejder bhjemmefra fra kl. 14.00</t>
        </r>
      </text>
    </comment>
    <comment ref="Y20" authorId="1" shapeId="0" xr:uid="{59856AA9-7774-462F-BB7A-CA06FC7D1202}">
      <text>
        <r>
          <rPr>
            <b/>
            <sz val="9"/>
            <color indexed="81"/>
            <rFont val="Tahoma"/>
            <family val="2"/>
          </rPr>
          <t>Steen Hertin-Sandkær:</t>
        </r>
        <r>
          <rPr>
            <sz val="9"/>
            <color indexed="81"/>
            <rFont val="Tahoma"/>
            <family val="2"/>
          </rPr>
          <t xml:space="preserve">
Metro 08-15</t>
        </r>
      </text>
    </comment>
    <comment ref="AB20" authorId="4" shapeId="0" xr:uid="{B1C71920-5EE6-4761-B0A3-124B059C84D4}">
      <text>
        <r>
          <rPr>
            <b/>
            <sz val="9"/>
            <color indexed="81"/>
            <rFont val="Tahoma"/>
            <family val="2"/>
          </rPr>
          <t>Steen Hertin:</t>
        </r>
        <r>
          <rPr>
            <sz val="9"/>
            <color indexed="81"/>
            <rFont val="Tahoma"/>
            <family val="2"/>
          </rPr>
          <t xml:space="preserve">
Møde med Sjællandsgade kl. 09.00 på Rådhuset.</t>
        </r>
      </text>
    </comment>
    <comment ref="F21" authorId="0" shapeId="0" xr:uid="{B7FE7DFD-51D0-41F7-92FC-C0C6BE1DEDAF}">
      <text>
        <r>
          <rPr>
            <b/>
            <sz val="9"/>
            <color indexed="81"/>
            <rFont val="Tahoma"/>
            <family val="2"/>
          </rPr>
          <t>marasm:</t>
        </r>
        <r>
          <rPr>
            <sz val="9"/>
            <color indexed="81"/>
            <rFont val="Tahoma"/>
            <family val="2"/>
          </rPr>
          <t xml:space="preserve">
Jubilarfest</t>
        </r>
      </text>
    </comment>
    <comment ref="J21" authorId="1" shapeId="0" xr:uid="{739B3C01-3A82-4434-B41D-ABA021BF0871}">
      <text>
        <r>
          <rPr>
            <b/>
            <sz val="9"/>
            <color indexed="81"/>
            <rFont val="Tahoma"/>
            <family val="2"/>
          </rPr>
          <t>Steen Hertin-Sandkær:</t>
        </r>
        <r>
          <rPr>
            <sz val="9"/>
            <color indexed="81"/>
            <rFont val="Tahoma"/>
            <family val="2"/>
          </rPr>
          <t xml:space="preserve">
Metro 08-15</t>
        </r>
      </text>
    </comment>
    <comment ref="K21" authorId="1" shapeId="0" xr:uid="{D8DA3D05-A9C4-4E98-9C49-AF68B644839A}">
      <text>
        <r>
          <rPr>
            <b/>
            <sz val="9"/>
            <color indexed="81"/>
            <rFont val="Tahoma"/>
            <family val="2"/>
          </rPr>
          <t>Steen Hertin-Sandkær:</t>
        </r>
        <r>
          <rPr>
            <sz val="9"/>
            <color indexed="81"/>
            <rFont val="Tahoma"/>
            <family val="2"/>
          </rPr>
          <t xml:space="preserve">
Metro 08-15</t>
        </r>
      </text>
    </comment>
    <comment ref="P21" authorId="0" shapeId="0" xr:uid="{33E263E1-7F31-488A-8029-9FCE781847D9}">
      <text>
        <r>
          <rPr>
            <b/>
            <sz val="9"/>
            <color indexed="81"/>
            <rFont val="Tahoma"/>
            <family val="2"/>
          </rPr>
          <t>marasm:</t>
        </r>
        <r>
          <rPr>
            <sz val="9"/>
            <color indexed="81"/>
            <rFont val="Tahoma"/>
            <family val="2"/>
          </rPr>
          <t xml:space="preserve">
Kulturnat</t>
        </r>
      </text>
    </comment>
    <comment ref="AB21" authorId="5" shapeId="0" xr:uid="{C8807108-EFAE-4E57-8C31-B669C5125625}">
      <text>
        <r>
          <rPr>
            <b/>
            <sz val="9"/>
            <color indexed="81"/>
            <rFont val="Tahoma"/>
            <family val="2"/>
          </rPr>
          <t>Nikolaj Langtin Pamhede:</t>
        </r>
        <r>
          <rPr>
            <sz val="9"/>
            <color indexed="81"/>
            <rFont val="Tahoma"/>
            <family val="2"/>
          </rPr>
          <t xml:space="preserve">
På Hospitalet kl: 9 til 11:30</t>
        </r>
      </text>
    </comment>
    <comment ref="AD21" authorId="4" shapeId="0" xr:uid="{689A485D-A829-48AA-8F27-B9459DB86419}">
      <text>
        <r>
          <rPr>
            <b/>
            <sz val="9"/>
            <color indexed="81"/>
            <rFont val="Tahoma"/>
            <family val="2"/>
          </rPr>
          <t>Steen Hertin:</t>
        </r>
        <r>
          <rPr>
            <sz val="9"/>
            <color indexed="81"/>
            <rFont val="Tahoma"/>
            <family val="2"/>
          </rPr>
          <t xml:space="preserve">
Kun dagvagt</t>
        </r>
      </text>
    </comment>
    <comment ref="AG21" authorId="3" shapeId="0" xr:uid="{C052482D-6F84-428B-8D0D-418F6A26BD4E}">
      <text>
        <r>
          <rPr>
            <b/>
            <sz val="9"/>
            <color indexed="81"/>
            <rFont val="Tahoma"/>
            <family val="2"/>
          </rPr>
          <t>Rasmus Sørensen:</t>
        </r>
        <r>
          <rPr>
            <sz val="9"/>
            <color indexed="81"/>
            <rFont val="Tahoma"/>
            <family val="2"/>
          </rPr>
          <t xml:space="preserve">
valgkælder</t>
        </r>
      </text>
    </comment>
    <comment ref="P24" authorId="0" shapeId="0" xr:uid="{EE564FDF-105B-4428-8DF0-29660EC569E1}">
      <text>
        <r>
          <rPr>
            <b/>
            <sz val="9"/>
            <color indexed="81"/>
            <rFont val="Tahoma"/>
            <family val="2"/>
          </rPr>
          <t>marasm:</t>
        </r>
        <r>
          <rPr>
            <sz val="9"/>
            <color indexed="81"/>
            <rFont val="Tahoma"/>
            <family val="2"/>
          </rPr>
          <t xml:space="preserve">
Kulturnat</t>
        </r>
      </text>
    </comment>
    <comment ref="S24" authorId="4" shapeId="0" xr:uid="{89C83522-C141-43CE-8346-E84E7816723F}">
      <text>
        <r>
          <rPr>
            <b/>
            <sz val="9"/>
            <color indexed="81"/>
            <rFont val="Tahoma"/>
            <family val="2"/>
          </rPr>
          <t>Steen Hertin:</t>
        </r>
        <r>
          <rPr>
            <sz val="9"/>
            <color indexed="81"/>
            <rFont val="Tahoma"/>
            <family val="2"/>
          </rPr>
          <t xml:space="preserve">
Møder 07-14</t>
        </r>
      </text>
    </comment>
    <comment ref="T24" authorId="4" shapeId="0" xr:uid="{4728B058-52F4-4670-8BBE-6B9451FD9E05}">
      <text>
        <r>
          <rPr>
            <b/>
            <sz val="9"/>
            <color indexed="81"/>
            <rFont val="Tahoma"/>
            <family val="2"/>
          </rPr>
          <t>Steen Hertin:</t>
        </r>
        <r>
          <rPr>
            <sz val="9"/>
            <color indexed="81"/>
            <rFont val="Tahoma"/>
            <family val="2"/>
          </rPr>
          <t xml:space="preserve">
Møder 07-14</t>
        </r>
      </text>
    </comment>
    <comment ref="U24" authorId="4" shapeId="0" xr:uid="{D556CE34-CB17-4C5B-A388-62A24E633F8D}">
      <text>
        <r>
          <rPr>
            <b/>
            <sz val="9"/>
            <color indexed="81"/>
            <rFont val="Tahoma"/>
            <family val="2"/>
          </rPr>
          <t>Steen Hertin:</t>
        </r>
        <r>
          <rPr>
            <sz val="9"/>
            <color indexed="81"/>
            <rFont val="Tahoma"/>
            <family val="2"/>
          </rPr>
          <t xml:space="preserve">
Møder 07-14</t>
        </r>
      </text>
    </comment>
    <comment ref="V24" authorId="4" shapeId="0" xr:uid="{C48F0492-BE5A-4E04-821F-2EBDC021153B}">
      <text>
        <r>
          <rPr>
            <b/>
            <sz val="9"/>
            <color indexed="81"/>
            <rFont val="Tahoma"/>
            <family val="2"/>
          </rPr>
          <t>Steen Hertin:</t>
        </r>
        <r>
          <rPr>
            <sz val="9"/>
            <color indexed="81"/>
            <rFont val="Tahoma"/>
            <family val="2"/>
          </rPr>
          <t xml:space="preserve">
Møder 07-14</t>
        </r>
      </text>
    </comment>
    <comment ref="W24" authorId="4" shapeId="0" xr:uid="{697E9C8B-B33E-4875-BFFF-0951DF1B9E46}">
      <text>
        <r>
          <rPr>
            <b/>
            <sz val="9"/>
            <color indexed="81"/>
            <rFont val="Tahoma"/>
            <family val="2"/>
          </rPr>
          <t>Steen Hertin:</t>
        </r>
        <r>
          <rPr>
            <sz val="9"/>
            <color indexed="81"/>
            <rFont val="Tahoma"/>
            <family val="2"/>
          </rPr>
          <t xml:space="preserve">
Møder 07-14 Går kl. 12.00</t>
        </r>
      </text>
    </comment>
    <comment ref="AA24" authorId="5" shapeId="0" xr:uid="{67234911-F04B-4C92-A99C-5EE80FA0AC53}">
      <text>
        <r>
          <rPr>
            <b/>
            <sz val="9"/>
            <color indexed="81"/>
            <rFont val="Tahoma"/>
            <family val="2"/>
          </rPr>
          <t>Nikolaj Langtin Pamhede:</t>
        </r>
        <r>
          <rPr>
            <sz val="9"/>
            <color indexed="81"/>
            <rFont val="Tahoma"/>
            <family val="2"/>
          </rPr>
          <t xml:space="preserve">
Oa fra 14 til 15</t>
        </r>
      </text>
    </comment>
    <comment ref="AB24" authorId="5" shapeId="0" xr:uid="{B2258D8D-50D4-40B6-95DF-FB4F398B6B67}">
      <text>
        <r>
          <rPr>
            <b/>
            <sz val="9"/>
            <color indexed="81"/>
            <rFont val="Tahoma"/>
            <family val="2"/>
          </rPr>
          <t>Nikolaj Langtin Pamhede:</t>
        </r>
        <r>
          <rPr>
            <sz val="9"/>
            <color indexed="81"/>
            <rFont val="Tahoma"/>
            <family val="2"/>
          </rPr>
          <t xml:space="preserve">
dækker 3 vagt fra 7:30 til ca 11.</t>
        </r>
      </text>
    </comment>
    <comment ref="P25" authorId="4" shapeId="0" xr:uid="{78A2DF3B-FC18-477D-8C92-5C978BB97F5C}">
      <text>
        <r>
          <rPr>
            <b/>
            <sz val="9"/>
            <color indexed="81"/>
            <rFont val="Tahoma"/>
            <family val="2"/>
          </rPr>
          <t>Steen Hertin:</t>
        </r>
        <r>
          <rPr>
            <sz val="9"/>
            <color indexed="81"/>
            <rFont val="Tahoma"/>
            <family val="2"/>
          </rPr>
          <t xml:space="preserve">
Dække U-vagt</t>
        </r>
      </text>
    </comment>
    <comment ref="S25" authorId="4" shapeId="0" xr:uid="{5FE3B56D-2C46-441F-8CAC-73C739451346}">
      <text>
        <r>
          <rPr>
            <b/>
            <sz val="9"/>
            <color indexed="81"/>
            <rFont val="Tahoma"/>
            <family val="2"/>
          </rPr>
          <t>Steen Hertin:</t>
        </r>
        <r>
          <rPr>
            <sz val="9"/>
            <color indexed="81"/>
            <rFont val="Tahoma"/>
            <family val="2"/>
          </rPr>
          <t xml:space="preserve">
Dække U-vagt</t>
        </r>
      </text>
    </comment>
    <comment ref="T25" authorId="4" shapeId="0" xr:uid="{D68BC78F-22B6-4C34-8E41-A93CFF9A94A0}">
      <text>
        <r>
          <rPr>
            <b/>
            <sz val="9"/>
            <color indexed="81"/>
            <rFont val="Tahoma"/>
            <family val="2"/>
          </rPr>
          <t>Steen Hertin:</t>
        </r>
        <r>
          <rPr>
            <sz val="9"/>
            <color indexed="81"/>
            <rFont val="Tahoma"/>
            <family val="2"/>
          </rPr>
          <t xml:space="preserve">
Dække U-vagt</t>
        </r>
      </text>
    </comment>
    <comment ref="U25" authorId="4" shapeId="0" xr:uid="{D69A2032-1BB4-4089-B751-29A41B3DA623}">
      <text>
        <r>
          <rPr>
            <b/>
            <sz val="9"/>
            <color indexed="81"/>
            <rFont val="Tahoma"/>
            <family val="2"/>
          </rPr>
          <t>Steen Hertin:</t>
        </r>
        <r>
          <rPr>
            <sz val="9"/>
            <color indexed="81"/>
            <rFont val="Tahoma"/>
            <family val="2"/>
          </rPr>
          <t xml:space="preserve">
Dække U-vagt</t>
        </r>
      </text>
    </comment>
    <comment ref="V25" authorId="4" shapeId="0" xr:uid="{92A4A3F8-99E7-428A-8976-0CA6428139CF}">
      <text>
        <r>
          <rPr>
            <b/>
            <sz val="9"/>
            <color indexed="81"/>
            <rFont val="Tahoma"/>
            <family val="2"/>
          </rPr>
          <t>Steen Hertin:</t>
        </r>
        <r>
          <rPr>
            <sz val="9"/>
            <color indexed="81"/>
            <rFont val="Tahoma"/>
            <family val="2"/>
          </rPr>
          <t xml:space="preserve">
Dække U-vagt</t>
        </r>
      </text>
    </comment>
    <comment ref="W25" authorId="4" shapeId="0" xr:uid="{34445C47-54FD-4C6E-8F47-0C21D565D2B4}">
      <text>
        <r>
          <rPr>
            <b/>
            <sz val="9"/>
            <color indexed="81"/>
            <rFont val="Tahoma"/>
            <family val="2"/>
          </rPr>
          <t>Steen Hertin:</t>
        </r>
        <r>
          <rPr>
            <sz val="9"/>
            <color indexed="81"/>
            <rFont val="Tahoma"/>
            <family val="2"/>
          </rPr>
          <t xml:space="preserve">
Dække U-vagt</t>
        </r>
      </text>
    </comment>
    <comment ref="P37" authorId="0" shapeId="0" xr:uid="{11D2D16E-55F9-4A54-BB3D-2D22B81FF1B5}">
      <text>
        <r>
          <rPr>
            <b/>
            <sz val="9"/>
            <color indexed="81"/>
            <rFont val="Tahoma"/>
            <family val="2"/>
          </rPr>
          <t>marasm:</t>
        </r>
        <r>
          <rPr>
            <sz val="9"/>
            <color indexed="81"/>
            <rFont val="Tahoma"/>
            <family val="2"/>
          </rPr>
          <t xml:space="preserve">
Kulturnat</t>
        </r>
      </text>
    </comment>
    <comment ref="P38" authorId="0" shapeId="0" xr:uid="{39AF25E1-825E-49B5-91D2-C75180304B56}">
      <text>
        <r>
          <rPr>
            <b/>
            <sz val="9"/>
            <color indexed="81"/>
            <rFont val="Tahoma"/>
            <family val="2"/>
          </rPr>
          <t>marasm:</t>
        </r>
        <r>
          <rPr>
            <sz val="9"/>
            <color indexed="81"/>
            <rFont val="Tahoma"/>
            <family val="2"/>
          </rPr>
          <t xml:space="preserve">
Kulturnat</t>
        </r>
      </text>
    </comment>
    <comment ref="W38" authorId="1" shapeId="0" xr:uid="{2C6C22F0-20A5-4A1C-9122-8121B8D8810D}">
      <text>
        <r>
          <rPr>
            <b/>
            <sz val="9"/>
            <color indexed="81"/>
            <rFont val="Tahoma"/>
            <family val="2"/>
          </rPr>
          <t>Steen Hertin-Sandkær:</t>
        </r>
        <r>
          <rPr>
            <sz val="9"/>
            <color indexed="81"/>
            <rFont val="Tahoma"/>
            <family val="2"/>
          </rPr>
          <t xml:space="preserve">
Møder som G-vagt</t>
        </r>
      </text>
    </comment>
    <comment ref="AF38" authorId="3" shapeId="0" xr:uid="{4A4C0803-FC63-4347-A754-08503CE82B38}">
      <text>
        <r>
          <rPr>
            <b/>
            <sz val="9"/>
            <color indexed="81"/>
            <rFont val="Tahoma"/>
            <family val="2"/>
          </rPr>
          <t>Rasmus Sørensen:</t>
        </r>
        <r>
          <rPr>
            <sz val="9"/>
            <color indexed="81"/>
            <rFont val="Tahoma"/>
            <family val="2"/>
          </rPr>
          <t xml:space="preserve">
svanemøllehallen kl. 17:30-07:00</t>
        </r>
      </text>
    </comment>
    <comment ref="AG38" authorId="3" shapeId="0" xr:uid="{A0908E5C-D628-4C21-B86A-5FD9F286B005}">
      <text>
        <r>
          <rPr>
            <b/>
            <sz val="9"/>
            <color indexed="81"/>
            <rFont val="Tahoma"/>
            <family val="2"/>
          </rPr>
          <t>Rasmus Sørensen:</t>
        </r>
        <r>
          <rPr>
            <sz val="9"/>
            <color indexed="81"/>
            <rFont val="Tahoma"/>
            <family val="2"/>
          </rPr>
          <t xml:space="preserve">
svanemøllehallen kl. 18:00-04:00</t>
        </r>
      </text>
    </comment>
    <comment ref="L41" authorId="4" shapeId="0" xr:uid="{F8DDA446-69F6-468A-A91F-34D59F5B262C}">
      <text>
        <r>
          <rPr>
            <b/>
            <sz val="9"/>
            <color indexed="81"/>
            <rFont val="Tahoma"/>
            <family val="2"/>
          </rPr>
          <t>Steen Hertin:</t>
        </r>
        <r>
          <rPr>
            <sz val="9"/>
            <color indexed="81"/>
            <rFont val="Tahoma"/>
            <family val="2"/>
          </rPr>
          <t xml:space="preserve">
Vagthavende nat på OA.</t>
        </r>
      </text>
    </comment>
    <comment ref="M41" authorId="4" shapeId="0" xr:uid="{957E2F0F-CB16-466C-A0CB-12B81D6990BE}">
      <text>
        <r>
          <rPr>
            <b/>
            <sz val="9"/>
            <color indexed="81"/>
            <rFont val="Tahoma"/>
            <family val="2"/>
          </rPr>
          <t>Steen Hertin:</t>
        </r>
        <r>
          <rPr>
            <sz val="9"/>
            <color indexed="81"/>
            <rFont val="Tahoma"/>
            <family val="2"/>
          </rPr>
          <t xml:space="preserve">
Vagthavende nat</t>
        </r>
      </text>
    </comment>
    <comment ref="N41" authorId="4" shapeId="0" xr:uid="{4A4DB8A0-A42B-4D14-83AF-C17CE093E0A8}">
      <text>
        <r>
          <rPr>
            <b/>
            <sz val="9"/>
            <color indexed="81"/>
            <rFont val="Tahoma"/>
            <family val="2"/>
          </rPr>
          <t>Steen Hertin:</t>
        </r>
        <r>
          <rPr>
            <sz val="9"/>
            <color indexed="81"/>
            <rFont val="Tahoma"/>
            <family val="2"/>
          </rPr>
          <t xml:space="preserve">
Vagthavende nat</t>
        </r>
      </text>
    </comment>
    <comment ref="O41" authorId="4" shapeId="0" xr:uid="{B4AC941B-6F69-441C-8230-1A01F4676AE2}">
      <text>
        <r>
          <rPr>
            <b/>
            <sz val="9"/>
            <color indexed="81"/>
            <rFont val="Tahoma"/>
            <family val="2"/>
          </rPr>
          <t>Steen Hertin:</t>
        </r>
        <r>
          <rPr>
            <sz val="9"/>
            <color indexed="81"/>
            <rFont val="Tahoma"/>
            <family val="2"/>
          </rPr>
          <t xml:space="preserve">
Vagthavende nat</t>
        </r>
      </text>
    </comment>
    <comment ref="P41" authorId="4" shapeId="0" xr:uid="{F8AD78F4-8356-46E0-AC8D-824224D30BD4}">
      <text>
        <r>
          <rPr>
            <b/>
            <sz val="9"/>
            <color indexed="81"/>
            <rFont val="Tahoma"/>
            <family val="2"/>
          </rPr>
          <t>Steen Hertin:</t>
        </r>
        <r>
          <rPr>
            <sz val="9"/>
            <color indexed="81"/>
            <rFont val="Tahoma"/>
            <family val="2"/>
          </rPr>
          <t xml:space="preserve">
Møder ikke pga nattevagt</t>
        </r>
      </text>
    </comment>
    <comment ref="P46" authorId="0" shapeId="0" xr:uid="{513CECC1-96CC-4658-A4C3-241FBF26F3DD}">
      <text>
        <r>
          <rPr>
            <b/>
            <sz val="9"/>
            <color indexed="81"/>
            <rFont val="Tahoma"/>
            <family val="2"/>
          </rPr>
          <t>marasm:</t>
        </r>
        <r>
          <rPr>
            <sz val="9"/>
            <color indexed="81"/>
            <rFont val="Tahoma"/>
            <family val="2"/>
          </rPr>
          <t xml:space="preserve">
Kulturnat</t>
        </r>
      </text>
    </comment>
    <comment ref="W46" authorId="1" shapeId="0" xr:uid="{C44C59F6-FE4E-4FAE-8105-892772A3646E}">
      <text>
        <r>
          <rPr>
            <b/>
            <sz val="9"/>
            <color indexed="81"/>
            <rFont val="Tahoma"/>
            <family val="2"/>
          </rPr>
          <t>Steen Hertin-Sandkær:</t>
        </r>
        <r>
          <rPr>
            <sz val="9"/>
            <color indexed="81"/>
            <rFont val="Tahoma"/>
            <family val="2"/>
          </rPr>
          <t xml:space="preserve">
10-vagt på OA</t>
        </r>
      </text>
    </comment>
    <comment ref="X46" authorId="1" shapeId="0" xr:uid="{14C19747-6B5E-46CC-8277-517F5810E0C8}">
      <text>
        <r>
          <rPr>
            <b/>
            <sz val="9"/>
            <color indexed="81"/>
            <rFont val="Tahoma"/>
            <family val="2"/>
          </rPr>
          <t>Steen Hertin-Sandkær:</t>
        </r>
        <r>
          <rPr>
            <sz val="9"/>
            <color indexed="81"/>
            <rFont val="Tahoma"/>
            <family val="2"/>
          </rPr>
          <t xml:space="preserve">
B2  på OA</t>
        </r>
      </text>
    </comment>
    <comment ref="Y46" authorId="1" shapeId="0" xr:uid="{DFB6A14D-DF13-420C-8F14-91C2A4BBC5C1}">
      <text>
        <r>
          <rPr>
            <b/>
            <sz val="9"/>
            <color indexed="81"/>
            <rFont val="Tahoma"/>
            <family val="2"/>
          </rPr>
          <t>Steen Hertin-Sandkær:</t>
        </r>
        <r>
          <rPr>
            <sz val="9"/>
            <color indexed="81"/>
            <rFont val="Tahoma"/>
            <family val="2"/>
          </rPr>
          <t xml:space="preserve">
B2  på OA</t>
        </r>
      </text>
    </comment>
    <comment ref="AB46" authorId="1" shapeId="0" xr:uid="{38F3149F-2AEA-40EB-8A60-93D558C9720C}">
      <text>
        <r>
          <rPr>
            <b/>
            <sz val="9"/>
            <color indexed="81"/>
            <rFont val="Tahoma"/>
            <family val="2"/>
          </rPr>
          <t>Steen Hertin-Sandkær:</t>
        </r>
        <r>
          <rPr>
            <sz val="9"/>
            <color indexed="81"/>
            <rFont val="Tahoma"/>
            <family val="2"/>
          </rPr>
          <t xml:space="preserve">
S3 på OA</t>
        </r>
      </text>
    </comment>
    <comment ref="W48" authorId="1" shapeId="0" xr:uid="{E70BEDC9-013B-42AC-9EA3-F80ADBB0660C}">
      <text>
        <r>
          <rPr>
            <b/>
            <sz val="9"/>
            <color indexed="81"/>
            <rFont val="Tahoma"/>
            <family val="2"/>
          </rPr>
          <t>Steen Hertin-Sandkær:</t>
        </r>
        <r>
          <rPr>
            <sz val="9"/>
            <color indexed="81"/>
            <rFont val="Tahoma"/>
            <family val="2"/>
          </rPr>
          <t xml:space="preserve">
1-vagt på OA</t>
        </r>
      </text>
    </comment>
    <comment ref="AB51" authorId="5" shapeId="0" xr:uid="{BC630998-9A9F-40F7-8D0A-298F5568F5D4}">
      <text>
        <r>
          <rPr>
            <b/>
            <sz val="9"/>
            <color indexed="81"/>
            <rFont val="Tahoma"/>
            <family val="2"/>
          </rPr>
          <t>Nikolaj Langtin Pamhede:</t>
        </r>
        <r>
          <rPr>
            <sz val="9"/>
            <color indexed="81"/>
            <rFont val="Tahoma"/>
            <family val="2"/>
          </rPr>
          <t xml:space="preserve">
møder på griffen til Flemming dam kommer tilbage ca: 11:30</t>
        </r>
      </text>
    </comment>
    <comment ref="V61" authorId="4" shapeId="0" xr:uid="{2787CDA7-585B-4F0A-B436-6BD97E3F53E2}">
      <text>
        <r>
          <rPr>
            <b/>
            <sz val="9"/>
            <color indexed="81"/>
            <rFont val="Tahoma"/>
            <family val="2"/>
          </rPr>
          <t>Steen Hertin:</t>
        </r>
        <r>
          <rPr>
            <sz val="9"/>
            <color indexed="81"/>
            <rFont val="Tahoma"/>
            <family val="2"/>
          </rPr>
          <t xml:space="preserve">
3-vagt på oa</t>
        </r>
      </text>
    </comment>
    <comment ref="W61" authorId="4" shapeId="0" xr:uid="{8F332632-97AF-413C-8FE7-A0BA16D55EE5}">
      <text>
        <r>
          <rPr>
            <b/>
            <sz val="9"/>
            <color indexed="81"/>
            <rFont val="Tahoma"/>
            <family val="2"/>
          </rPr>
          <t>Steen Hertin:</t>
        </r>
        <r>
          <rPr>
            <sz val="9"/>
            <color indexed="81"/>
            <rFont val="Tahoma"/>
            <family val="2"/>
          </rPr>
          <t xml:space="preserve">
3-vagt på oa</t>
        </r>
      </text>
    </comment>
    <comment ref="AA61" authorId="6" shapeId="0" xr:uid="{F127E5E4-A54D-4400-A771-81259614297A}">
      <text>
        <r>
          <rPr>
            <b/>
            <sz val="9"/>
            <color indexed="81"/>
            <rFont val="Tahoma"/>
            <family val="2"/>
          </rPr>
          <t>Nick Lorentzen:</t>
        </r>
        <r>
          <rPr>
            <sz val="9"/>
            <color indexed="81"/>
            <rFont val="Tahoma"/>
            <family val="2"/>
          </rPr>
          <t xml:space="preserve">
25 vagt OA</t>
        </r>
      </text>
    </comment>
    <comment ref="E62" authorId="1" shapeId="0" xr:uid="{967F33DF-6CC8-4687-BCAB-D540D7CB2B0E}">
      <text>
        <r>
          <rPr>
            <b/>
            <sz val="9"/>
            <color indexed="81"/>
            <rFont val="Tahoma"/>
            <family val="2"/>
          </rPr>
          <t>Steen Hertin-Sandkær:</t>
        </r>
        <r>
          <rPr>
            <sz val="9"/>
            <color indexed="81"/>
            <rFont val="Tahoma"/>
            <family val="2"/>
          </rPr>
          <t xml:space="preserve">
Metro 08-15</t>
        </r>
      </text>
    </comment>
    <comment ref="F62" authorId="1" shapeId="0" xr:uid="{072ABB52-9604-416F-8B8C-26FC88ABB916}">
      <text>
        <r>
          <rPr>
            <b/>
            <sz val="9"/>
            <color indexed="81"/>
            <rFont val="Tahoma"/>
            <family val="2"/>
          </rPr>
          <t>Steen Hertin-Sandkær:</t>
        </r>
        <r>
          <rPr>
            <sz val="9"/>
            <color indexed="81"/>
            <rFont val="Tahoma"/>
            <family val="2"/>
          </rPr>
          <t xml:space="preserve">
Metro 08-15+
Jubilarfest på oa</t>
        </r>
      </text>
    </comment>
    <comment ref="G62" authorId="1" shapeId="0" xr:uid="{B2AC608E-123F-4B4D-9410-4B8ABB8B5221}">
      <text>
        <r>
          <rPr>
            <b/>
            <sz val="9"/>
            <color indexed="81"/>
            <rFont val="Tahoma"/>
            <family val="2"/>
          </rPr>
          <t>Steen Hertin-Sandkær:</t>
        </r>
        <r>
          <rPr>
            <sz val="9"/>
            <color indexed="81"/>
            <rFont val="Tahoma"/>
            <family val="2"/>
          </rPr>
          <t xml:space="preserve">
Metro 08-15</t>
        </r>
      </text>
    </comment>
    <comment ref="H62" authorId="1" shapeId="0" xr:uid="{F80E8E94-4E6E-41FA-A6C1-14FAB0894BEC}">
      <text>
        <r>
          <rPr>
            <b/>
            <sz val="9"/>
            <color indexed="81"/>
            <rFont val="Tahoma"/>
            <family val="2"/>
          </rPr>
          <t>Steen Hertin-Sandkær:</t>
        </r>
        <r>
          <rPr>
            <sz val="9"/>
            <color indexed="81"/>
            <rFont val="Tahoma"/>
            <family val="2"/>
          </rPr>
          <t xml:space="preserve">
Metro 08-15</t>
        </r>
      </text>
    </comment>
    <comment ref="I62" authorId="1" shapeId="0" xr:uid="{A2B305D0-6DA6-4E3E-8B6D-C133048891FB}">
      <text>
        <r>
          <rPr>
            <b/>
            <sz val="9"/>
            <color indexed="81"/>
            <rFont val="Tahoma"/>
            <family val="2"/>
          </rPr>
          <t>Steen Hertin-Sandkær:</t>
        </r>
        <r>
          <rPr>
            <sz val="9"/>
            <color indexed="81"/>
            <rFont val="Tahoma"/>
            <family val="2"/>
          </rPr>
          <t xml:space="preserve">
Metro 08-15</t>
        </r>
      </text>
    </comment>
    <comment ref="J62" authorId="1" shapeId="0" xr:uid="{25FC0D09-E977-43DB-83CE-079E06EF0076}">
      <text>
        <r>
          <rPr>
            <b/>
            <sz val="9"/>
            <color indexed="81"/>
            <rFont val="Tahoma"/>
            <family val="2"/>
          </rPr>
          <t>Steen Hertin-Sandkær:</t>
        </r>
        <r>
          <rPr>
            <sz val="9"/>
            <color indexed="81"/>
            <rFont val="Tahoma"/>
            <family val="2"/>
          </rPr>
          <t xml:space="preserve">
Metro 08-15 OA</t>
        </r>
      </text>
    </comment>
    <comment ref="K62" authorId="1" shapeId="0" xr:uid="{BA7B18A9-E924-48E1-BDF5-C6F3608ABBFE}">
      <text>
        <r>
          <rPr>
            <b/>
            <sz val="9"/>
            <color indexed="81"/>
            <rFont val="Tahoma"/>
            <family val="2"/>
          </rPr>
          <t>Steen Hertin-Sandkær:</t>
        </r>
        <r>
          <rPr>
            <sz val="9"/>
            <color indexed="81"/>
            <rFont val="Tahoma"/>
            <family val="2"/>
          </rPr>
          <t xml:space="preserve">
Metro 08-15 OA</t>
        </r>
      </text>
    </comment>
    <comment ref="M62" authorId="7" shapeId="0" xr:uid="{EA247B26-DFCB-475C-ADF7-9513214B4E66}">
      <text>
        <r>
          <rPr>
            <b/>
            <sz val="9"/>
            <color indexed="81"/>
            <rFont val="Tahoma"/>
            <family val="2"/>
          </rPr>
          <t>Michael Bo Pedersen:</t>
        </r>
        <r>
          <rPr>
            <sz val="9"/>
            <color indexed="81"/>
            <rFont val="Tahoma"/>
            <family val="2"/>
          </rPr>
          <t xml:space="preserve">
Rentemestervej fra kl 22.00 på oa</t>
        </r>
      </text>
    </comment>
    <comment ref="O62" authorId="8" shapeId="0" xr:uid="{FC37DBB7-56E6-4C1F-9D1B-393022E2E90F}">
      <text>
        <r>
          <rPr>
            <b/>
            <sz val="9"/>
            <color indexed="81"/>
            <rFont val="Tahoma"/>
            <family val="2"/>
          </rPr>
          <t>Marianne Rasmussen:</t>
        </r>
        <r>
          <rPr>
            <sz val="9"/>
            <color indexed="81"/>
            <rFont val="Tahoma"/>
            <family val="2"/>
          </rPr>
          <t xml:space="preserve">
BR-Møde møder Kl 16 til 23,45</t>
        </r>
      </text>
    </comment>
    <comment ref="P62" authorId="0" shapeId="0" xr:uid="{8E1836C1-4A92-44D1-8229-3EC60B7F16C7}">
      <text>
        <r>
          <rPr>
            <b/>
            <sz val="9"/>
            <color indexed="81"/>
            <rFont val="Tahoma"/>
            <family val="2"/>
          </rPr>
          <t>marasm:</t>
        </r>
        <r>
          <rPr>
            <sz val="9"/>
            <color indexed="81"/>
            <rFont val="Tahoma"/>
            <family val="2"/>
          </rPr>
          <t xml:space="preserve">
Kulturnat 16-23,45 derefter OA</t>
        </r>
      </text>
    </comment>
    <comment ref="Q62" authorId="1" shapeId="0" xr:uid="{EE568FA2-C093-487A-877D-6D5E16994B9B}">
      <text>
        <r>
          <rPr>
            <b/>
            <sz val="9"/>
            <color indexed="81"/>
            <rFont val="Tahoma"/>
            <family val="2"/>
          </rPr>
          <t>Steen Hertin-Sandkær:</t>
        </r>
        <r>
          <rPr>
            <sz val="9"/>
            <color indexed="81"/>
            <rFont val="Tahoma"/>
            <family val="2"/>
          </rPr>
          <t xml:space="preserve">
Metro 08-15</t>
        </r>
      </text>
    </comment>
    <comment ref="R62" authorId="1" shapeId="0" xr:uid="{8D8D91EE-E137-46D8-9186-7D4BC3ECCDF4}">
      <text>
        <r>
          <rPr>
            <b/>
            <sz val="9"/>
            <color indexed="81"/>
            <rFont val="Tahoma"/>
            <family val="2"/>
          </rPr>
          <t>Steen Hertin-Sandkær:</t>
        </r>
        <r>
          <rPr>
            <sz val="9"/>
            <color indexed="81"/>
            <rFont val="Tahoma"/>
            <family val="2"/>
          </rPr>
          <t xml:space="preserve">
Metro 08-15</t>
        </r>
      </text>
    </comment>
    <comment ref="X62" authorId="1" shapeId="0" xr:uid="{2258D528-6BAA-4263-9534-ECCC91463D46}">
      <text>
        <r>
          <rPr>
            <b/>
            <sz val="9"/>
            <color indexed="81"/>
            <rFont val="Tahoma"/>
            <family val="2"/>
          </rPr>
          <t>Steen Hertin-Sandkær:</t>
        </r>
        <r>
          <rPr>
            <sz val="9"/>
            <color indexed="81"/>
            <rFont val="Tahoma"/>
            <family val="2"/>
          </rPr>
          <t xml:space="preserve">
Metro 08-15</t>
        </r>
      </text>
    </comment>
    <comment ref="L63" authorId="1" shapeId="0" xr:uid="{19F10369-9967-4481-A30F-7A1F3D209CC2}">
      <text>
        <r>
          <rPr>
            <b/>
            <sz val="9"/>
            <color indexed="81"/>
            <rFont val="Tahoma"/>
            <family val="2"/>
          </rPr>
          <t>Steen Hertin-Sandkær:</t>
        </r>
        <r>
          <rPr>
            <sz val="9"/>
            <color indexed="81"/>
            <rFont val="Tahoma"/>
            <family val="2"/>
          </rPr>
          <t xml:space="preserve">
Metro 08-15</t>
        </r>
      </text>
    </comment>
    <comment ref="M63" authorId="1" shapeId="0" xr:uid="{BBA6BE8B-3E53-4793-BE18-CDAED10E8018}">
      <text>
        <r>
          <rPr>
            <b/>
            <sz val="9"/>
            <color indexed="81"/>
            <rFont val="Tahoma"/>
            <family val="2"/>
          </rPr>
          <t>Steen Hertin-Sandkær:</t>
        </r>
        <r>
          <rPr>
            <sz val="9"/>
            <color indexed="81"/>
            <rFont val="Tahoma"/>
            <family val="2"/>
          </rPr>
          <t xml:space="preserve">
Metro 08-15</t>
        </r>
      </text>
    </comment>
    <comment ref="N63" authorId="1" shapeId="0" xr:uid="{CEB1BE97-659B-4979-A912-7E84CD58DA2D}">
      <text>
        <r>
          <rPr>
            <b/>
            <sz val="9"/>
            <color indexed="81"/>
            <rFont val="Tahoma"/>
            <family val="2"/>
          </rPr>
          <t>Steen Hertin-Sandkær:</t>
        </r>
        <r>
          <rPr>
            <sz val="9"/>
            <color indexed="81"/>
            <rFont val="Tahoma"/>
            <family val="2"/>
          </rPr>
          <t xml:space="preserve">
Metro 08-15</t>
        </r>
      </text>
    </comment>
    <comment ref="O63" authorId="1" shapeId="0" xr:uid="{6399A113-C489-4A79-BF5F-FA9E1E2674B3}">
      <text>
        <r>
          <rPr>
            <b/>
            <sz val="9"/>
            <color indexed="81"/>
            <rFont val="Tahoma"/>
            <family val="2"/>
          </rPr>
          <t>Steen Hertin-Sandkær:</t>
        </r>
        <r>
          <rPr>
            <sz val="9"/>
            <color indexed="81"/>
            <rFont val="Tahoma"/>
            <family val="2"/>
          </rPr>
          <t xml:space="preserve">
Metro 08-15</t>
        </r>
      </text>
    </comment>
    <comment ref="P63" authorId="1" shapeId="0" xr:uid="{13335428-94FE-4B67-93FC-B6D0E0444EF6}">
      <text>
        <r>
          <rPr>
            <b/>
            <sz val="9"/>
            <color indexed="81"/>
            <rFont val="Tahoma"/>
            <family val="2"/>
          </rPr>
          <t>Steen Hertin-Sandkær:</t>
        </r>
        <r>
          <rPr>
            <sz val="9"/>
            <color indexed="81"/>
            <rFont val="Tahoma"/>
            <family val="2"/>
          </rPr>
          <t xml:space="preserve">
Metro 08-15</t>
        </r>
      </text>
    </comment>
    <comment ref="S63" authorId="1" shapeId="0" xr:uid="{9E80D9CA-BEEE-4C18-96C9-17E5E645765E}">
      <text>
        <r>
          <rPr>
            <b/>
            <sz val="9"/>
            <color indexed="81"/>
            <rFont val="Tahoma"/>
            <family val="2"/>
          </rPr>
          <t>Steen Hertin-Sandkær:</t>
        </r>
        <r>
          <rPr>
            <sz val="9"/>
            <color indexed="81"/>
            <rFont val="Tahoma"/>
            <family val="2"/>
          </rPr>
          <t xml:space="preserve">
Metro 08-15</t>
        </r>
      </text>
    </comment>
    <comment ref="T63" authorId="1" shapeId="0" xr:uid="{8B9CA6FE-D8B6-4D19-840F-CADA033D1FC2}">
      <text>
        <r>
          <rPr>
            <b/>
            <sz val="9"/>
            <color indexed="81"/>
            <rFont val="Tahoma"/>
            <family val="2"/>
          </rPr>
          <t>Steen Hertin-Sandkær:</t>
        </r>
        <r>
          <rPr>
            <sz val="9"/>
            <color indexed="81"/>
            <rFont val="Tahoma"/>
            <family val="2"/>
          </rPr>
          <t xml:space="preserve">
Metro 08-15</t>
        </r>
      </text>
    </comment>
    <comment ref="U63" authorId="1" shapeId="0" xr:uid="{1B00E98D-F2BC-4578-B61B-B9ACA28F1309}">
      <text>
        <r>
          <rPr>
            <b/>
            <sz val="9"/>
            <color indexed="81"/>
            <rFont val="Tahoma"/>
            <family val="2"/>
          </rPr>
          <t>Steen Hertin-Sandkær:</t>
        </r>
        <r>
          <rPr>
            <sz val="9"/>
            <color indexed="81"/>
            <rFont val="Tahoma"/>
            <family val="2"/>
          </rPr>
          <t xml:space="preserve">
Metro 08-15</t>
        </r>
      </text>
    </comment>
    <comment ref="V63" authorId="1" shapeId="0" xr:uid="{C941F838-59B5-4082-BFA7-16BC52E44F6F}">
      <text>
        <r>
          <rPr>
            <b/>
            <sz val="9"/>
            <color indexed="81"/>
            <rFont val="Tahoma"/>
            <family val="2"/>
          </rPr>
          <t>Steen Hertin-Sandkær:</t>
        </r>
        <r>
          <rPr>
            <sz val="9"/>
            <color indexed="81"/>
            <rFont val="Tahoma"/>
            <family val="2"/>
          </rPr>
          <t xml:space="preserve">
Metro 08-15</t>
        </r>
      </text>
    </comment>
    <comment ref="W63" authorId="1" shapeId="0" xr:uid="{096BAE2F-4BBE-40C2-8A57-59AAB800B915}">
      <text>
        <r>
          <rPr>
            <b/>
            <sz val="9"/>
            <color indexed="81"/>
            <rFont val="Tahoma"/>
            <family val="2"/>
          </rPr>
          <t>Steen Hertin-Sandkær:</t>
        </r>
        <r>
          <rPr>
            <sz val="9"/>
            <color indexed="81"/>
            <rFont val="Tahoma"/>
            <family val="2"/>
          </rPr>
          <t xml:space="preserve">
Metro 08-15</t>
        </r>
      </text>
    </comment>
    <comment ref="Y63" authorId="4" shapeId="0" xr:uid="{69EBAFC5-C143-4179-8ADF-219180098097}">
      <text>
        <r>
          <rPr>
            <b/>
            <sz val="9"/>
            <color indexed="81"/>
            <rFont val="Tahoma"/>
            <family val="2"/>
          </rPr>
          <t>Steen Hertin:</t>
        </r>
        <r>
          <rPr>
            <sz val="9"/>
            <color indexed="81"/>
            <rFont val="Tahoma"/>
            <family val="2"/>
          </rPr>
          <t xml:space="preserve">
Tingbjerg 13.45-18,45</t>
        </r>
      </text>
    </comment>
    <comment ref="C64" authorId="1" shapeId="0" xr:uid="{DA171B22-A0CD-439B-8AF6-CA2BA9A2B757}">
      <text>
        <r>
          <rPr>
            <b/>
            <sz val="9"/>
            <color indexed="81"/>
            <rFont val="Tahoma"/>
            <family val="2"/>
          </rPr>
          <t>Steen Hertin-Sandkær:</t>
        </r>
        <r>
          <rPr>
            <sz val="9"/>
            <color indexed="81"/>
            <rFont val="Tahoma"/>
            <family val="2"/>
          </rPr>
          <t xml:space="preserve">
Metro 08-15</t>
        </r>
      </text>
    </comment>
    <comment ref="D64" authorId="1" shapeId="0" xr:uid="{6E655C92-D78D-411C-992C-C003DC131B6F}">
      <text>
        <r>
          <rPr>
            <b/>
            <sz val="9"/>
            <color indexed="81"/>
            <rFont val="Tahoma"/>
            <family val="2"/>
          </rPr>
          <t>Steen Hertin-Sandkær:</t>
        </r>
        <r>
          <rPr>
            <sz val="9"/>
            <color indexed="81"/>
            <rFont val="Tahoma"/>
            <family val="2"/>
          </rPr>
          <t xml:space="preserve">
Metro 08-15</t>
        </r>
      </text>
    </comment>
    <comment ref="E64" authorId="7" shapeId="0" xr:uid="{44690474-EAE6-4F08-A315-EE088CABBA87}">
      <text>
        <r>
          <rPr>
            <b/>
            <sz val="9"/>
            <color indexed="81"/>
            <rFont val="Tahoma"/>
            <family val="2"/>
          </rPr>
          <t>Michael Bo Pedersen:</t>
        </r>
        <r>
          <rPr>
            <sz val="9"/>
            <color indexed="81"/>
            <rFont val="Tahoma"/>
            <family val="2"/>
          </rPr>
          <t xml:space="preserve">
S1</t>
        </r>
      </text>
    </comment>
    <comment ref="G64" authorId="4" shapeId="0" xr:uid="{901FD45A-377B-40E4-A672-D4BFDDEC54C9}">
      <text>
        <r>
          <rPr>
            <b/>
            <sz val="9"/>
            <color indexed="81"/>
            <rFont val="Tahoma"/>
            <family val="2"/>
          </rPr>
          <t>Steen Hertin:</t>
        </r>
        <r>
          <rPr>
            <sz val="9"/>
            <color indexed="81"/>
            <rFont val="Tahoma"/>
            <family val="2"/>
          </rPr>
          <t xml:space="preserve">
Sjællandsgade 08-16</t>
        </r>
      </text>
    </comment>
    <comment ref="H64" authorId="4" shapeId="0" xr:uid="{A2FC9138-2F47-474D-A2C2-DE4ED36937A7}">
      <text>
        <r>
          <rPr>
            <b/>
            <sz val="9"/>
            <color indexed="81"/>
            <rFont val="Tahoma"/>
            <family val="2"/>
          </rPr>
          <t>Steen Hertin:</t>
        </r>
        <r>
          <rPr>
            <sz val="9"/>
            <color indexed="81"/>
            <rFont val="Tahoma"/>
            <family val="2"/>
          </rPr>
          <t xml:space="preserve">
Sjællandsgade 08-16</t>
        </r>
      </text>
    </comment>
    <comment ref="I64" authorId="4" shapeId="0" xr:uid="{F006529A-986A-4462-A439-59DC2CC8AC08}">
      <text>
        <r>
          <rPr>
            <b/>
            <sz val="9"/>
            <color indexed="81"/>
            <rFont val="Tahoma"/>
            <family val="2"/>
          </rPr>
          <t>Steen Hertin:</t>
        </r>
        <r>
          <rPr>
            <sz val="9"/>
            <color indexed="81"/>
            <rFont val="Tahoma"/>
            <family val="2"/>
          </rPr>
          <t xml:space="preserve">
Sjællandsgade 08-16</t>
        </r>
      </text>
    </comment>
    <comment ref="M64" authorId="4" shapeId="0" xr:uid="{7FCAEEE4-D7BC-4902-91B0-47CD36C572EB}">
      <text>
        <r>
          <rPr>
            <b/>
            <sz val="9"/>
            <color indexed="81"/>
            <rFont val="Tahoma"/>
            <family val="2"/>
          </rPr>
          <t>Steen Hertin:</t>
        </r>
        <r>
          <rPr>
            <sz val="9"/>
            <color indexed="81"/>
            <rFont val="Tahoma"/>
            <family val="2"/>
          </rPr>
          <t xml:space="preserve">
Sjællandsgade 15-22
Rentemestervej 22-?
Har brug for en makker</t>
        </r>
      </text>
    </comment>
    <comment ref="U64" authorId="4" shapeId="0" xr:uid="{F99D5AB7-6B4C-46BF-AD8C-E90202291D85}">
      <text>
        <r>
          <rPr>
            <b/>
            <sz val="9"/>
            <color indexed="81"/>
            <rFont val="Tahoma"/>
            <family val="2"/>
          </rPr>
          <t>Steen Hertin:</t>
        </r>
        <r>
          <rPr>
            <sz val="9"/>
            <color indexed="81"/>
            <rFont val="Tahoma"/>
            <family val="2"/>
          </rPr>
          <t xml:space="preserve">
Sjællandsgade 08-16</t>
        </r>
      </text>
    </comment>
    <comment ref="V64" authorId="4" shapeId="0" xr:uid="{9F4742A2-088E-4C7B-95A8-0542770CDE4D}">
      <text>
        <r>
          <rPr>
            <b/>
            <sz val="9"/>
            <color indexed="81"/>
            <rFont val="Tahoma"/>
            <family val="2"/>
          </rPr>
          <t>Steen Hertin:</t>
        </r>
        <r>
          <rPr>
            <sz val="9"/>
            <color indexed="81"/>
            <rFont val="Tahoma"/>
            <family val="2"/>
          </rPr>
          <t xml:space="preserve">
Sjællandsgade 08-16</t>
        </r>
      </text>
    </comment>
    <comment ref="W64" authorId="4" shapeId="0" xr:uid="{B6D7E602-AB8D-4B44-813F-FC157A1F5065}">
      <text>
        <r>
          <rPr>
            <b/>
            <sz val="9"/>
            <color indexed="81"/>
            <rFont val="Tahoma"/>
            <family val="2"/>
          </rPr>
          <t>Steen Hertin:</t>
        </r>
        <r>
          <rPr>
            <sz val="9"/>
            <color indexed="81"/>
            <rFont val="Tahoma"/>
            <family val="2"/>
          </rPr>
          <t xml:space="preserve">
Sjællandsgade 08-16</t>
        </r>
      </text>
    </comment>
    <comment ref="AB64" authorId="4" shapeId="0" xr:uid="{D0AE3AE7-7D12-4BB3-A2AE-1EB6C65E15AF}">
      <text>
        <r>
          <rPr>
            <b/>
            <sz val="9"/>
            <color indexed="81"/>
            <rFont val="Tahoma"/>
            <family val="2"/>
          </rPr>
          <t>Steen Hertin:</t>
        </r>
        <r>
          <rPr>
            <sz val="9"/>
            <color indexed="81"/>
            <rFont val="Tahoma"/>
            <family val="2"/>
          </rPr>
          <t xml:space="preserve">
Fællesmøde på Rådhuset kl. 09.00</t>
        </r>
      </text>
    </comment>
    <comment ref="W67" authorId="7" shapeId="0" xr:uid="{BDEC03FE-EAC4-42B0-836C-965990945581}">
      <text>
        <r>
          <rPr>
            <b/>
            <sz val="9"/>
            <color indexed="81"/>
            <rFont val="Tahoma"/>
            <family val="2"/>
          </rPr>
          <t>Michael Bo Pedersen:</t>
        </r>
        <r>
          <rPr>
            <sz val="9"/>
            <color indexed="81"/>
            <rFont val="Tahoma"/>
            <family val="2"/>
          </rPr>
          <t xml:space="preserve">
9-vagt på OA</t>
        </r>
      </text>
    </comment>
    <comment ref="X67" authorId="7" shapeId="0" xr:uid="{662ED798-74EE-4B06-9597-8EEC1119DA4B}">
      <text>
        <r>
          <rPr>
            <b/>
            <sz val="9"/>
            <color indexed="81"/>
            <rFont val="Tahoma"/>
            <family val="2"/>
          </rPr>
          <t>Michael Bo Pedersen:</t>
        </r>
        <r>
          <rPr>
            <sz val="9"/>
            <color indexed="81"/>
            <rFont val="Tahoma"/>
            <family val="2"/>
          </rPr>
          <t xml:space="preserve">
B1 på OA</t>
        </r>
      </text>
    </comment>
    <comment ref="Y67" authorId="7" shapeId="0" xr:uid="{379E9C9F-95A7-4DFD-B181-410C0DA087B5}">
      <text>
        <r>
          <rPr>
            <b/>
            <sz val="9"/>
            <color indexed="81"/>
            <rFont val="Tahoma"/>
            <family val="2"/>
          </rPr>
          <t>Michael Bo Pedersen:</t>
        </r>
        <r>
          <rPr>
            <sz val="9"/>
            <color indexed="81"/>
            <rFont val="Tahoma"/>
            <family val="2"/>
          </rPr>
          <t xml:space="preserve">
B2 på OA</t>
        </r>
      </text>
    </comment>
    <comment ref="D68" authorId="4" shapeId="0" xr:uid="{E6CE56AB-3983-46D6-9867-130D897EDF70}">
      <text>
        <r>
          <rPr>
            <b/>
            <sz val="9"/>
            <color indexed="81"/>
            <rFont val="Tahoma"/>
            <family val="2"/>
          </rPr>
          <t>Steen Hertin:</t>
        </r>
        <r>
          <rPr>
            <sz val="9"/>
            <color indexed="81"/>
            <rFont val="Tahoma"/>
            <family val="2"/>
          </rPr>
          <t xml:space="preserve">
Tingbjerg 13.45-18,45</t>
        </r>
      </text>
    </comment>
    <comment ref="L68" authorId="8" shapeId="0" xr:uid="{A6A662B5-A679-4EA1-86A6-A4277B0DCC54}">
      <text>
        <r>
          <rPr>
            <b/>
            <sz val="9"/>
            <color indexed="81"/>
            <rFont val="Tahoma"/>
            <family val="2"/>
          </rPr>
          <t>Marianne Rasmussen:</t>
        </r>
        <r>
          <rPr>
            <sz val="9"/>
            <color indexed="81"/>
            <rFont val="Tahoma"/>
            <family val="2"/>
          </rPr>
          <t xml:space="preserve">
Møder kl 11 til 17 på Arrangement 
25 vagt på OA</t>
        </r>
      </text>
    </comment>
    <comment ref="P68" authorId="0" shapeId="0" xr:uid="{13C45E13-62E0-4C0C-B455-9103DF36BB2E}">
      <text>
        <r>
          <rPr>
            <b/>
            <sz val="9"/>
            <color indexed="81"/>
            <rFont val="Tahoma"/>
            <family val="2"/>
          </rPr>
          <t>marasm:</t>
        </r>
        <r>
          <rPr>
            <sz val="9"/>
            <color indexed="81"/>
            <rFont val="Tahoma"/>
            <family val="2"/>
          </rPr>
          <t xml:space="preserve">
Kulturnat 16-23,45 derefter OA</t>
        </r>
      </text>
    </comment>
    <comment ref="AA69" authorId="5" shapeId="0" xr:uid="{EF409C63-FF94-4DBD-92F8-C78E5F2FB432}">
      <text>
        <r>
          <rPr>
            <b/>
            <sz val="9"/>
            <color indexed="81"/>
            <rFont val="Tahoma"/>
            <family val="2"/>
          </rPr>
          <t>Nikolaj Langtin Pamhede:</t>
        </r>
        <r>
          <rPr>
            <sz val="9"/>
            <color indexed="81"/>
            <rFont val="Tahoma"/>
            <family val="2"/>
          </rPr>
          <t xml:space="preserve">
L vagt </t>
        </r>
      </text>
    </comment>
    <comment ref="AB69" authorId="5" shapeId="0" xr:uid="{C5A31257-68E2-4165-8FB5-4A0692982E42}">
      <text>
        <r>
          <rPr>
            <b/>
            <sz val="9"/>
            <color indexed="81"/>
            <rFont val="Tahoma"/>
            <family val="2"/>
          </rPr>
          <t>Nikolaj Langtin Pamhede:</t>
        </r>
        <r>
          <rPr>
            <sz val="9"/>
            <color indexed="81"/>
            <rFont val="Tahoma"/>
            <family val="2"/>
          </rPr>
          <t xml:space="preserve">
L vagt OA</t>
        </r>
      </text>
    </comment>
    <comment ref="AC69" authorId="7" shapeId="0" xr:uid="{F95A5B5B-B364-4DB5-93A0-0FF2F9BE4F7B}">
      <text>
        <r>
          <rPr>
            <b/>
            <sz val="9"/>
            <color indexed="81"/>
            <rFont val="Tahoma"/>
            <family val="2"/>
          </rPr>
          <t>Michael Bo Pedersen:</t>
        </r>
        <r>
          <rPr>
            <sz val="9"/>
            <color indexed="81"/>
            <rFont val="Tahoma"/>
            <family val="2"/>
          </rPr>
          <t xml:space="preserve">
Møder kl. 17.00</t>
        </r>
      </text>
    </comment>
    <comment ref="AF69" authorId="4" shapeId="0" xr:uid="{818762DA-8164-4829-89E3-996BB588CD02}">
      <text>
        <r>
          <rPr>
            <b/>
            <sz val="9"/>
            <color indexed="81"/>
            <rFont val="Tahoma"/>
            <family val="2"/>
          </rPr>
          <t>Steen Hertin:</t>
        </r>
        <r>
          <rPr>
            <sz val="9"/>
            <color indexed="81"/>
            <rFont val="Tahoma"/>
            <family val="2"/>
          </rPr>
          <t xml:space="preserve">
Tingbjerg 13.45-18,45</t>
        </r>
      </text>
    </comment>
    <comment ref="E70" authorId="4" shapeId="0" xr:uid="{6836BDBB-5DB9-4118-A02B-A649AB9014A4}">
      <text>
        <r>
          <rPr>
            <b/>
            <sz val="9"/>
            <color indexed="81"/>
            <rFont val="Tahoma"/>
            <family val="2"/>
          </rPr>
          <t>Steen Hertin:</t>
        </r>
        <r>
          <rPr>
            <sz val="9"/>
            <color indexed="81"/>
            <rFont val="Tahoma"/>
            <family val="2"/>
          </rPr>
          <t xml:space="preserve">
Møder 16,15-23,30 og læres op i de lokationer Keld ikke kan.</t>
        </r>
      </text>
    </comment>
    <comment ref="F70" authorId="4" shapeId="0" xr:uid="{C93F70AD-9291-417B-A075-A09D83C2D350}">
      <text>
        <r>
          <rPr>
            <b/>
            <sz val="9"/>
            <color indexed="81"/>
            <rFont val="Tahoma"/>
            <family val="2"/>
          </rPr>
          <t>Steen Hertin:</t>
        </r>
        <r>
          <rPr>
            <sz val="9"/>
            <color indexed="81"/>
            <rFont val="Tahoma"/>
            <family val="2"/>
          </rPr>
          <t xml:space="preserve">
Møder 16,15-23,30 og læres op i de lokationer Keld ikke kan.</t>
        </r>
      </text>
    </comment>
    <comment ref="G70" authorId="4" shapeId="0" xr:uid="{5715B1C2-1441-4163-A847-10177FB4CD1D}">
      <text>
        <r>
          <rPr>
            <b/>
            <sz val="9"/>
            <color indexed="81"/>
            <rFont val="Tahoma"/>
            <family val="2"/>
          </rPr>
          <t>Steen Hertin:</t>
        </r>
        <r>
          <rPr>
            <sz val="9"/>
            <color indexed="81"/>
            <rFont val="Tahoma"/>
            <family val="2"/>
          </rPr>
          <t xml:space="preserve">
Møder 16,15-23,30 og læres op i de lokationer Keld ikke kan.</t>
        </r>
      </text>
    </comment>
    <comment ref="H70" authorId="4" shapeId="0" xr:uid="{B1969C15-0E54-41E1-9C3E-1C33187862D9}">
      <text>
        <r>
          <rPr>
            <b/>
            <sz val="9"/>
            <color indexed="81"/>
            <rFont val="Tahoma"/>
            <family val="2"/>
          </rPr>
          <t>Steen Hertin:</t>
        </r>
        <r>
          <rPr>
            <sz val="9"/>
            <color indexed="81"/>
            <rFont val="Tahoma"/>
            <family val="2"/>
          </rPr>
          <t xml:space="preserve">
Møder 16,15-23,30 og læres op i de lokationer Keld ikke kan.</t>
        </r>
      </text>
    </comment>
    <comment ref="V70" authorId="7" shapeId="0" xr:uid="{E0F4D00A-9523-4C74-AE02-FD9795F3D572}">
      <text>
        <r>
          <rPr>
            <b/>
            <sz val="9"/>
            <color indexed="81"/>
            <rFont val="Tahoma"/>
            <family val="2"/>
          </rPr>
          <t>Michael Bo Pedersen:</t>
        </r>
        <r>
          <rPr>
            <sz val="9"/>
            <color indexed="81"/>
            <rFont val="Tahoma"/>
            <family val="2"/>
          </rPr>
          <t xml:space="preserve">
10-vagt på OA</t>
        </r>
      </text>
    </comment>
    <comment ref="Y71" authorId="6" shapeId="0" xr:uid="{40C96F57-F531-4AE4-80C7-79DD72BA345E}">
      <text>
        <r>
          <rPr>
            <b/>
            <sz val="9"/>
            <color indexed="81"/>
            <rFont val="Tahoma"/>
            <family val="2"/>
          </rPr>
          <t>Nick Lorentzen:</t>
        </r>
        <r>
          <rPr>
            <sz val="9"/>
            <color indexed="81"/>
            <rFont val="Tahoma"/>
            <family val="2"/>
          </rPr>
          <t xml:space="preserve">
OA Ryparkens Idrætsanlæg
16:00 - 20:00 ?</t>
        </r>
      </text>
    </comment>
    <comment ref="AB71" authorId="1" shapeId="0" xr:uid="{08BB7D12-F618-4A6A-86F0-7A88B1D8E085}">
      <text>
        <r>
          <rPr>
            <b/>
            <sz val="9"/>
            <color indexed="81"/>
            <rFont val="Tahoma"/>
            <family val="2"/>
          </rPr>
          <t>Steen Hertin-Sandkær:</t>
        </r>
        <r>
          <rPr>
            <sz val="9"/>
            <color indexed="81"/>
            <rFont val="Tahoma"/>
            <family val="2"/>
          </rPr>
          <t xml:space="preserve">
Kursus kl. 09 med Sjællandsgade-</t>
        </r>
      </text>
    </comment>
    <comment ref="P72" authorId="6" shapeId="0" xr:uid="{90D6D49A-018A-475A-9FE6-C4C9FDF8607B}">
      <text>
        <r>
          <rPr>
            <b/>
            <sz val="9"/>
            <color indexed="81"/>
            <rFont val="Tahoma"/>
            <family val="2"/>
          </rPr>
          <t>Nick Lorentzen:</t>
        </r>
        <r>
          <rPr>
            <sz val="9"/>
            <color indexed="81"/>
            <rFont val="Tahoma"/>
            <family val="2"/>
          </rPr>
          <t xml:space="preserve">
Kulturnat oa fra
13:15</t>
        </r>
      </text>
    </comment>
    <comment ref="L81" authorId="3" shapeId="0" xr:uid="{FDD99161-D6EB-4FE3-90CB-1351BD931864}">
      <text>
        <r>
          <rPr>
            <b/>
            <sz val="9"/>
            <color indexed="81"/>
            <rFont val="Tahoma"/>
            <family val="2"/>
          </rPr>
          <t>Rasmus Sørensen:</t>
        </r>
        <r>
          <rPr>
            <sz val="9"/>
            <color indexed="81"/>
            <rFont val="Tahoma"/>
            <family val="2"/>
          </rPr>
          <t xml:space="preserve">
møde kl. 10:30</t>
        </r>
      </text>
    </comment>
    <comment ref="M81" authorId="7" shapeId="0" xr:uid="{398B7BD6-ECE5-46FA-8BFE-FC57A3BC861F}">
      <text>
        <r>
          <rPr>
            <b/>
            <sz val="9"/>
            <color indexed="81"/>
            <rFont val="Tahoma"/>
            <family val="2"/>
          </rPr>
          <t>Michael Bo Pedersen:</t>
        </r>
        <r>
          <rPr>
            <sz val="9"/>
            <color indexed="81"/>
            <rFont val="Tahoma"/>
            <family val="2"/>
          </rPr>
          <t xml:space="preserve">
Afløse på Svanevej </t>
        </r>
      </text>
    </comment>
    <comment ref="P81" authorId="8" shapeId="0" xr:uid="{02DDAD4F-6D20-4255-8E23-AE062F07C669}">
      <text>
        <r>
          <rPr>
            <b/>
            <sz val="9"/>
            <color indexed="81"/>
            <rFont val="Tahoma"/>
            <family val="2"/>
          </rPr>
          <t>Marianne Rasmussen:</t>
        </r>
        <r>
          <rPr>
            <sz val="9"/>
            <color indexed="81"/>
            <rFont val="Tahoma"/>
            <family val="2"/>
          </rPr>
          <t xml:space="preserve">
Kulturnat 16-23,45 derefter OA</t>
        </r>
      </text>
    </comment>
    <comment ref="U81" authorId="1" shapeId="0" xr:uid="{7F57B9E2-64F7-4B82-A905-81E03CE78E87}">
      <text>
        <r>
          <rPr>
            <b/>
            <sz val="9"/>
            <color indexed="81"/>
            <rFont val="Tahoma"/>
            <family val="2"/>
          </rPr>
          <t>Steen Hertin-Sandkær:</t>
        </r>
        <r>
          <rPr>
            <sz val="9"/>
            <color indexed="81"/>
            <rFont val="Tahoma"/>
            <family val="2"/>
          </rPr>
          <t xml:space="preserve">
10-vagt på OA</t>
        </r>
      </text>
    </comment>
    <comment ref="O82" authorId="3" shapeId="0" xr:uid="{844DD5AC-248E-400B-847F-48385F17E5DE}">
      <text>
        <r>
          <rPr>
            <b/>
            <sz val="9"/>
            <color indexed="81"/>
            <rFont val="Tahoma"/>
            <family val="2"/>
          </rPr>
          <t>Rasmus Sørensen:</t>
        </r>
        <r>
          <rPr>
            <sz val="9"/>
            <color indexed="81"/>
            <rFont val="Tahoma"/>
            <family val="2"/>
          </rPr>
          <t xml:space="preserve">
møde kl. 13:30</t>
        </r>
      </text>
    </comment>
    <comment ref="AC82" authorId="4" shapeId="0" xr:uid="{1036A8B5-CF7E-4E1E-AC7A-D6CD668A59F5}">
      <text>
        <r>
          <rPr>
            <b/>
            <sz val="9"/>
            <color indexed="81"/>
            <rFont val="Tahoma"/>
            <family val="2"/>
          </rPr>
          <t>Steen Hertin:</t>
        </r>
        <r>
          <rPr>
            <sz val="9"/>
            <color indexed="81"/>
            <rFont val="Tahoma"/>
            <family val="2"/>
          </rPr>
          <t xml:space="preserve">
Møder som (/25 vagt når han er færdig i Svaendborggade.</t>
        </r>
      </text>
    </comment>
    <comment ref="H85" authorId="4" shapeId="0" xr:uid="{2FE51C52-3BA7-40F7-BF5F-E3F0F71798F1}">
      <text>
        <r>
          <rPr>
            <b/>
            <sz val="9"/>
            <color indexed="81"/>
            <rFont val="Tahoma"/>
            <family val="2"/>
          </rPr>
          <t>Steen Hertin:</t>
        </r>
        <r>
          <rPr>
            <sz val="9"/>
            <color indexed="81"/>
            <rFont val="Tahoma"/>
            <family val="2"/>
          </rPr>
          <t xml:space="preserve">
Møder 16,15-23,30 og læres op i de lokationer Keld ikke kan.</t>
        </r>
      </text>
    </comment>
    <comment ref="L85" authorId="3" shapeId="0" xr:uid="{03AA3464-0819-4F1C-9AEE-BA15B24CC33D}">
      <text>
        <r>
          <rPr>
            <b/>
            <sz val="9"/>
            <color indexed="81"/>
            <rFont val="Tahoma"/>
            <family val="2"/>
          </rPr>
          <t>Rasmus Sørensen:</t>
        </r>
        <r>
          <rPr>
            <sz val="9"/>
            <color indexed="81"/>
            <rFont val="Tahoma"/>
            <family val="2"/>
          </rPr>
          <t xml:space="preserve">
møde kl. 12:30</t>
        </r>
      </text>
    </comment>
    <comment ref="O85" authorId="6" shapeId="0" xr:uid="{A58BD54F-2331-442D-AC4B-E5A963BE6F29}">
      <text>
        <r>
          <rPr>
            <b/>
            <sz val="9"/>
            <color indexed="81"/>
            <rFont val="Tahoma"/>
            <family val="2"/>
          </rPr>
          <t>Nick Lorentzen:</t>
        </r>
        <r>
          <rPr>
            <sz val="9"/>
            <color indexed="81"/>
            <rFont val="Tahoma"/>
            <family val="2"/>
          </rPr>
          <t xml:space="preserve">
Skal i retten og vidne kl. 14:15. Ringer til vagthavende hvis det trækker ud.</t>
        </r>
      </text>
    </comment>
    <comment ref="U85" authorId="4" shapeId="0" xr:uid="{75B1CA58-75C0-48C6-982B-313D9EFBBB0C}">
      <text>
        <r>
          <rPr>
            <b/>
            <sz val="9"/>
            <color indexed="81"/>
            <rFont val="Tahoma"/>
            <family val="2"/>
          </rPr>
          <t>Steen Hertin:</t>
        </r>
        <r>
          <rPr>
            <sz val="9"/>
            <color indexed="81"/>
            <rFont val="Tahoma"/>
            <family val="2"/>
          </rPr>
          <t xml:space="preserve">
G-vagt på OA</t>
        </r>
      </text>
    </comment>
    <comment ref="V85" authorId="4" shapeId="0" xr:uid="{590594DB-A5D3-4067-88D5-0709CDBB2CBF}">
      <text>
        <r>
          <rPr>
            <b/>
            <sz val="9"/>
            <color indexed="81"/>
            <rFont val="Tahoma"/>
            <family val="2"/>
          </rPr>
          <t>Steen Hertin:</t>
        </r>
        <r>
          <rPr>
            <sz val="9"/>
            <color indexed="81"/>
            <rFont val="Tahoma"/>
            <family val="2"/>
          </rPr>
          <t xml:space="preserve">
G-vagt på OA</t>
        </r>
      </text>
    </comment>
    <comment ref="Z85" authorId="5" shapeId="0" xr:uid="{AB0DF31F-2332-4D81-9B22-9743C7DD601F}">
      <text>
        <r>
          <rPr>
            <b/>
            <sz val="9"/>
            <color indexed="81"/>
            <rFont val="Tahoma"/>
            <family val="2"/>
          </rPr>
          <t>Nikolaj Langtin Pamhede:</t>
        </r>
        <r>
          <rPr>
            <sz val="9"/>
            <color indexed="81"/>
            <rFont val="Tahoma"/>
            <family val="2"/>
          </rPr>
          <t xml:space="preserve">
25 vagt oa</t>
        </r>
      </text>
    </comment>
    <comment ref="M86" authorId="3" shapeId="0" xr:uid="{9084E3A8-028F-420B-91D5-79DEEDDA02C0}">
      <text>
        <r>
          <rPr>
            <b/>
            <sz val="9"/>
            <color indexed="81"/>
            <rFont val="Tahoma"/>
            <family val="2"/>
          </rPr>
          <t>Rasmus Sørensen:</t>
        </r>
        <r>
          <rPr>
            <sz val="9"/>
            <color indexed="81"/>
            <rFont val="Tahoma"/>
            <family val="2"/>
          </rPr>
          <t xml:space="preserve">
møde kl. 14:30 på RH - afløses 13:45</t>
        </r>
      </text>
    </comment>
    <comment ref="W87" authorId="1" shapeId="0" xr:uid="{5FD32D66-F1D3-435A-9E45-F75EB278AD6C}">
      <text>
        <r>
          <rPr>
            <b/>
            <sz val="9"/>
            <color indexed="81"/>
            <rFont val="Tahoma"/>
            <family val="2"/>
          </rPr>
          <t>Steen Hertin-Sandkær:</t>
        </r>
        <r>
          <rPr>
            <sz val="9"/>
            <color indexed="81"/>
            <rFont val="Tahoma"/>
            <family val="2"/>
          </rPr>
          <t xml:space="preserve">
Metro kl. 08-15</t>
        </r>
      </text>
    </comment>
    <comment ref="Z87" authorId="1" shapeId="0" xr:uid="{1BB71331-A24B-4329-AE00-0B7491C7CC94}">
      <text>
        <r>
          <rPr>
            <b/>
            <sz val="9"/>
            <color indexed="81"/>
            <rFont val="Tahoma"/>
            <family val="2"/>
          </rPr>
          <t>Steen Hertin-Sandkær:</t>
        </r>
        <r>
          <rPr>
            <sz val="9"/>
            <color indexed="81"/>
            <rFont val="Tahoma"/>
            <family val="2"/>
          </rPr>
          <t xml:space="preserve">
Metro kl. 08-15</t>
        </r>
      </text>
    </comment>
    <comment ref="AA87" authorId="1" shapeId="0" xr:uid="{CF282159-D1DE-4C5A-9DE9-71806EA07506}">
      <text>
        <r>
          <rPr>
            <b/>
            <sz val="9"/>
            <color indexed="81"/>
            <rFont val="Tahoma"/>
            <family val="2"/>
          </rPr>
          <t>Steen Hertin-Sandkær:</t>
        </r>
        <r>
          <rPr>
            <sz val="9"/>
            <color indexed="81"/>
            <rFont val="Tahoma"/>
            <family val="2"/>
          </rPr>
          <t xml:space="preserve">
Metro kl. 08-15</t>
        </r>
      </text>
    </comment>
    <comment ref="AB87" authorId="1" shapeId="0" xr:uid="{B9268DC3-B4F0-47E9-8A2A-67979E3FFAD3}">
      <text>
        <r>
          <rPr>
            <b/>
            <sz val="9"/>
            <color indexed="81"/>
            <rFont val="Tahoma"/>
            <family val="2"/>
          </rPr>
          <t>Steen Hertin-Sandkær:</t>
        </r>
        <r>
          <rPr>
            <sz val="9"/>
            <color indexed="81"/>
            <rFont val="Tahoma"/>
            <family val="2"/>
          </rPr>
          <t xml:space="preserve">
Metro kl. 08-15</t>
        </r>
      </text>
    </comment>
    <comment ref="AC87" authorId="1" shapeId="0" xr:uid="{6D4ED266-C767-4F8F-9096-829D43AA031C}">
      <text>
        <r>
          <rPr>
            <b/>
            <sz val="9"/>
            <color indexed="81"/>
            <rFont val="Tahoma"/>
            <family val="2"/>
          </rPr>
          <t>Steen Hertin-Sandkær:</t>
        </r>
        <r>
          <rPr>
            <sz val="9"/>
            <color indexed="81"/>
            <rFont val="Tahoma"/>
            <family val="2"/>
          </rPr>
          <t xml:space="preserve">
Metro kl. 08-15</t>
        </r>
      </text>
    </comment>
    <comment ref="AD87" authorId="1" shapeId="0" xr:uid="{2B9F49A3-C834-4586-B745-79F6148DAE18}">
      <text>
        <r>
          <rPr>
            <b/>
            <sz val="9"/>
            <color indexed="81"/>
            <rFont val="Tahoma"/>
            <family val="2"/>
          </rPr>
          <t>Steen Hertin-Sandkær:</t>
        </r>
        <r>
          <rPr>
            <sz val="9"/>
            <color indexed="81"/>
            <rFont val="Tahoma"/>
            <family val="2"/>
          </rPr>
          <t xml:space="preserve">
Metro kl. 08-15</t>
        </r>
      </text>
    </comment>
    <comment ref="AG87" authorId="1" shapeId="0" xr:uid="{5749E394-240B-466B-8142-7BA889690EFA}">
      <text>
        <r>
          <rPr>
            <b/>
            <sz val="9"/>
            <color indexed="81"/>
            <rFont val="Tahoma"/>
            <family val="2"/>
          </rPr>
          <t>Steen Hertin-Sandkær:</t>
        </r>
        <r>
          <rPr>
            <sz val="9"/>
            <color indexed="81"/>
            <rFont val="Tahoma"/>
            <family val="2"/>
          </rPr>
          <t xml:space="preserve">
Metro kl. 08-15</t>
        </r>
      </text>
    </comment>
    <comment ref="V103" authorId="1" shapeId="0" xr:uid="{5B54BC91-F9D5-45B5-ACB2-809AAEB84BB0}">
      <text>
        <r>
          <rPr>
            <b/>
            <sz val="9"/>
            <color indexed="81"/>
            <rFont val="Tahoma"/>
            <family val="2"/>
          </rPr>
          <t>Steen Hertin-Sandkær:</t>
        </r>
        <r>
          <rPr>
            <sz val="9"/>
            <color indexed="81"/>
            <rFont val="Tahoma"/>
            <family val="2"/>
          </rPr>
          <t xml:space="preserve">
69-vagt på OA</t>
        </r>
      </text>
    </comment>
    <comment ref="Z103" authorId="4" shapeId="0" xr:uid="{3D0D3A1F-94D4-4368-BAB1-319ABA6B85B2}">
      <text>
        <r>
          <rPr>
            <b/>
            <sz val="9"/>
            <color indexed="81"/>
            <rFont val="Tahoma"/>
            <family val="2"/>
          </rPr>
          <t>Steen Hertin:</t>
        </r>
        <r>
          <rPr>
            <sz val="9"/>
            <color indexed="81"/>
            <rFont val="Tahoma"/>
            <family val="2"/>
          </rPr>
          <t xml:space="preserve">
S1 på OA fra kl. 09.00</t>
        </r>
      </text>
    </comment>
    <comment ref="AA103" authorId="4" shapeId="0" xr:uid="{EB08656D-7A86-435F-A31A-F8F6E7862598}">
      <text>
        <r>
          <rPr>
            <b/>
            <sz val="9"/>
            <color indexed="81"/>
            <rFont val="Tahoma"/>
            <family val="2"/>
          </rPr>
          <t>Steen Hertin:</t>
        </r>
        <r>
          <rPr>
            <sz val="9"/>
            <color indexed="81"/>
            <rFont val="Tahoma"/>
            <family val="2"/>
          </rPr>
          <t xml:space="preserve">
S1 på OA</t>
        </r>
      </text>
    </comment>
    <comment ref="AB103" authorId="4" shapeId="0" xr:uid="{B0363296-55BA-44E5-B433-8543AB94C78A}">
      <text>
        <r>
          <rPr>
            <b/>
            <sz val="9"/>
            <color indexed="81"/>
            <rFont val="Tahoma"/>
            <family val="2"/>
          </rPr>
          <t>Steen Hertin:</t>
        </r>
        <r>
          <rPr>
            <sz val="9"/>
            <color indexed="81"/>
            <rFont val="Tahoma"/>
            <family val="2"/>
          </rPr>
          <t xml:space="preserve">
Fællesmøde på Rådhuset kl. 09.00</t>
        </r>
      </text>
    </comment>
    <comment ref="AG103" authorId="4" shapeId="0" xr:uid="{D551350C-5899-49FB-8CD4-0300805052A2}">
      <text>
        <r>
          <rPr>
            <b/>
            <sz val="9"/>
            <color indexed="81"/>
            <rFont val="Tahoma"/>
            <family val="2"/>
          </rPr>
          <t>Steen Hertin:</t>
        </r>
        <r>
          <rPr>
            <sz val="9"/>
            <color indexed="81"/>
            <rFont val="Tahoma"/>
            <family val="2"/>
          </rPr>
          <t xml:space="preserve">
S3 på OA</t>
        </r>
      </text>
    </comment>
    <comment ref="F104" authorId="9" shapeId="0" xr:uid="{2F21BA44-95B2-49A2-ADCC-3867A5E14F0E}">
      <text>
        <r>
          <rPr>
            <b/>
            <sz val="9"/>
            <color indexed="81"/>
            <rFont val="Tahoma"/>
            <family val="2"/>
          </rPr>
          <t>Mathias Hartvig Morell Nielsen:</t>
        </r>
        <r>
          <rPr>
            <sz val="9"/>
            <color indexed="81"/>
            <rFont val="Tahoma"/>
            <family val="2"/>
          </rPr>
          <t xml:space="preserve">
S1 OA</t>
        </r>
      </text>
    </comment>
    <comment ref="L104" authorId="6" shapeId="0" xr:uid="{B3F5937E-4E35-4236-8356-6DD9B3B31123}">
      <text>
        <r>
          <rPr>
            <b/>
            <sz val="9"/>
            <color indexed="81"/>
            <rFont val="Tahoma"/>
            <family val="2"/>
          </rPr>
          <t>Nick Lorentzen:</t>
        </r>
        <r>
          <rPr>
            <sz val="9"/>
            <color indexed="81"/>
            <rFont val="Tahoma"/>
            <family val="2"/>
          </rPr>
          <t xml:space="preserve">
Rentemestervej fra 15:00 - 17:00 opsætning</t>
        </r>
      </text>
    </comment>
    <comment ref="AB104" authorId="4" shapeId="0" xr:uid="{4165C2A7-2465-4373-BCE4-932FDE887E3B}">
      <text>
        <r>
          <rPr>
            <b/>
            <sz val="9"/>
            <color indexed="81"/>
            <rFont val="Tahoma"/>
            <family val="2"/>
          </rPr>
          <t>Steen Hertin:</t>
        </r>
        <r>
          <rPr>
            <sz val="9"/>
            <color indexed="81"/>
            <rFont val="Tahoma"/>
            <family val="2"/>
          </rPr>
          <t xml:space="preserve">
Fællesmøde på Rådhuset kl. 09.00</t>
        </r>
      </text>
    </comment>
    <comment ref="AC104" authorId="4" shapeId="0" xr:uid="{2CA4BBC5-B8F8-48E4-AD7B-C746D3ED3459}">
      <text>
        <r>
          <rPr>
            <b/>
            <sz val="9"/>
            <color indexed="81"/>
            <rFont val="Tahoma"/>
            <family val="2"/>
          </rPr>
          <t>Steen Hertin:</t>
        </r>
        <r>
          <rPr>
            <sz val="9"/>
            <color indexed="81"/>
            <rFont val="Tahoma"/>
            <family val="2"/>
          </rPr>
          <t xml:space="preserve">
S1 på OA</t>
        </r>
      </text>
    </comment>
    <comment ref="AD104" authorId="4" shapeId="0" xr:uid="{95333623-61EA-4988-B667-0E9C9AB69370}">
      <text>
        <r>
          <rPr>
            <b/>
            <sz val="9"/>
            <color indexed="81"/>
            <rFont val="Tahoma"/>
            <family val="2"/>
          </rPr>
          <t>Steen Hertin:</t>
        </r>
        <r>
          <rPr>
            <sz val="9"/>
            <color indexed="81"/>
            <rFont val="Tahoma"/>
            <family val="2"/>
          </rPr>
          <t xml:space="preserve">
S1 på OA</t>
        </r>
      </text>
    </comment>
    <comment ref="AE104" authorId="4" shapeId="0" xr:uid="{7360CECC-9613-4D81-A2C0-BD76B380E957}">
      <text>
        <r>
          <rPr>
            <b/>
            <sz val="9"/>
            <color indexed="81"/>
            <rFont val="Tahoma"/>
            <family val="2"/>
          </rPr>
          <t>Steen Hertin:</t>
        </r>
        <r>
          <rPr>
            <sz val="9"/>
            <color indexed="81"/>
            <rFont val="Tahoma"/>
            <family val="2"/>
          </rPr>
          <t xml:space="preserve">
Metro 08-15</t>
        </r>
      </text>
    </comment>
    <comment ref="AF104" authorId="4" shapeId="0" xr:uid="{F02F9B66-877B-4D9D-A1D8-E7E25CC06C45}">
      <text>
        <r>
          <rPr>
            <b/>
            <sz val="9"/>
            <color indexed="81"/>
            <rFont val="Tahoma"/>
            <family val="2"/>
          </rPr>
          <t>Steen Hertin:</t>
        </r>
        <r>
          <rPr>
            <sz val="9"/>
            <color indexed="81"/>
            <rFont val="Tahoma"/>
            <family val="2"/>
          </rPr>
          <t xml:space="preserve">
Metro 08-15</t>
        </r>
      </text>
    </comment>
    <comment ref="AA105" authorId="5" shapeId="0" xr:uid="{89E7C476-3E9B-4626-94A5-CD41AFB20FCD}">
      <text>
        <r>
          <rPr>
            <b/>
            <sz val="9"/>
            <color indexed="81"/>
            <rFont val="Tahoma"/>
            <family val="2"/>
          </rPr>
          <t>Nikolaj Langtin Pamhede:</t>
        </r>
        <r>
          <rPr>
            <sz val="9"/>
            <color indexed="81"/>
            <rFont val="Tahoma"/>
            <family val="2"/>
          </rPr>
          <t xml:space="preserve">
Møder på rådhuset 8-15</t>
        </r>
      </text>
    </comment>
    <comment ref="T106" authorId="4" shapeId="0" xr:uid="{FB3D8D81-1CBE-49A2-AA3B-DBD70C5B64BE}">
      <text>
        <r>
          <rPr>
            <b/>
            <sz val="9"/>
            <color indexed="81"/>
            <rFont val="Tahoma"/>
            <family val="2"/>
          </rPr>
          <t>Steen Hertin:</t>
        </r>
        <r>
          <rPr>
            <sz val="9"/>
            <color indexed="81"/>
            <rFont val="Tahoma"/>
            <family val="2"/>
          </rPr>
          <t xml:space="preserve">
Rådhuset </t>
        </r>
      </text>
    </comment>
    <comment ref="U106" authorId="4" shapeId="0" xr:uid="{5D48DA41-FD86-43F4-B4F5-917E04EE3846}">
      <text>
        <r>
          <rPr>
            <b/>
            <sz val="9"/>
            <color indexed="81"/>
            <rFont val="Tahoma"/>
            <family val="2"/>
          </rPr>
          <t>Steen Hertin:</t>
        </r>
        <r>
          <rPr>
            <sz val="9"/>
            <color indexed="81"/>
            <rFont val="Tahoma"/>
            <family val="2"/>
          </rPr>
          <t xml:space="preserve">
AHF</t>
        </r>
      </text>
    </comment>
    <comment ref="V106" authorId="4" shapeId="0" xr:uid="{8B176C43-DD74-4FBB-BC09-DD0466248B05}">
      <text>
        <r>
          <rPr>
            <b/>
            <sz val="9"/>
            <color indexed="81"/>
            <rFont val="Tahoma"/>
            <family val="2"/>
          </rPr>
          <t>Steen Hertin:</t>
        </r>
        <r>
          <rPr>
            <sz val="9"/>
            <color indexed="81"/>
            <rFont val="Tahoma"/>
            <family val="2"/>
          </rPr>
          <t xml:space="preserve">
AHF</t>
        </r>
      </text>
    </comment>
    <comment ref="W106" authorId="4" shapeId="0" xr:uid="{39BC5FA3-7DF2-4EED-B1AB-AA46E33EE566}">
      <text>
        <r>
          <rPr>
            <b/>
            <sz val="9"/>
            <color indexed="81"/>
            <rFont val="Tahoma"/>
            <family val="2"/>
          </rPr>
          <t>Steen Hertin:</t>
        </r>
        <r>
          <rPr>
            <sz val="9"/>
            <color indexed="81"/>
            <rFont val="Tahoma"/>
            <family val="2"/>
          </rPr>
          <t xml:space="preserve">
AHF</t>
        </r>
      </text>
    </comment>
    <comment ref="Z106" authorId="1" shapeId="0" xr:uid="{ED22890B-6D45-465F-B065-3C0B687353F2}">
      <text>
        <r>
          <rPr>
            <b/>
            <sz val="9"/>
            <color indexed="81"/>
            <rFont val="Tahoma"/>
            <family val="2"/>
          </rPr>
          <t>Steen Hertin-Sandkær:</t>
        </r>
        <r>
          <rPr>
            <sz val="9"/>
            <color indexed="81"/>
            <rFont val="Tahoma"/>
            <family val="2"/>
          </rPr>
          <t xml:space="preserve">
Metro 08-15</t>
        </r>
      </text>
    </comment>
    <comment ref="AA106" authorId="1" shapeId="0" xr:uid="{8A502CB4-C81B-4718-9846-AFD330722C31}">
      <text>
        <r>
          <rPr>
            <b/>
            <sz val="9"/>
            <color indexed="81"/>
            <rFont val="Tahoma"/>
            <family val="2"/>
          </rPr>
          <t>Steen Hertin-Sandkær:</t>
        </r>
        <r>
          <rPr>
            <sz val="9"/>
            <color indexed="81"/>
            <rFont val="Tahoma"/>
            <family val="2"/>
          </rPr>
          <t xml:space="preserve">
Metro 08-15</t>
        </r>
      </text>
    </comment>
    <comment ref="AB106" authorId="1" shapeId="0" xr:uid="{BA17ED3B-27C8-428C-9EAA-57BA634954AF}">
      <text>
        <r>
          <rPr>
            <b/>
            <sz val="9"/>
            <color indexed="81"/>
            <rFont val="Tahoma"/>
            <family val="2"/>
          </rPr>
          <t>Steen Hertin-Sandkær:</t>
        </r>
        <r>
          <rPr>
            <sz val="9"/>
            <color indexed="81"/>
            <rFont val="Tahoma"/>
            <family val="2"/>
          </rPr>
          <t xml:space="preserve">
Metro 08-15</t>
        </r>
      </text>
    </comment>
    <comment ref="AC106" authorId="1" shapeId="0" xr:uid="{F43F9B64-207D-48B5-A7CD-52376F1C6ABD}">
      <text>
        <r>
          <rPr>
            <b/>
            <sz val="9"/>
            <color indexed="81"/>
            <rFont val="Tahoma"/>
            <family val="2"/>
          </rPr>
          <t>Steen Hertin-Sandkær:</t>
        </r>
        <r>
          <rPr>
            <sz val="9"/>
            <color indexed="81"/>
            <rFont val="Tahoma"/>
            <family val="2"/>
          </rPr>
          <t xml:space="preserve">
Metro 08-15</t>
        </r>
      </text>
    </comment>
    <comment ref="AD106" authorId="1" shapeId="0" xr:uid="{33D45650-CFD7-4068-A6B1-A7EA7E46CE5E}">
      <text>
        <r>
          <rPr>
            <b/>
            <sz val="9"/>
            <color indexed="81"/>
            <rFont val="Tahoma"/>
            <family val="2"/>
          </rPr>
          <t>Steen Hertin-Sandkær:</t>
        </r>
        <r>
          <rPr>
            <sz val="9"/>
            <color indexed="81"/>
            <rFont val="Tahoma"/>
            <family val="2"/>
          </rPr>
          <t xml:space="preserve">
Metro 08-15</t>
        </r>
      </text>
    </comment>
    <comment ref="AG106" authorId="1" shapeId="0" xr:uid="{D831097C-008A-414F-AD30-106A35BA4A19}">
      <text>
        <r>
          <rPr>
            <b/>
            <sz val="9"/>
            <color indexed="81"/>
            <rFont val="Tahoma"/>
            <family val="2"/>
          </rPr>
          <t>Steen Hertin-Sandkær:</t>
        </r>
        <r>
          <rPr>
            <sz val="9"/>
            <color indexed="81"/>
            <rFont val="Tahoma"/>
            <family val="2"/>
          </rPr>
          <t xml:space="preserve">
Metro 08-15</t>
        </r>
      </text>
    </comment>
    <comment ref="U107" authorId="4" shapeId="0" xr:uid="{091C1887-8417-4C78-89AF-3A081F235B0F}">
      <text>
        <r>
          <rPr>
            <b/>
            <sz val="9"/>
            <color indexed="81"/>
            <rFont val="Tahoma"/>
            <family val="2"/>
          </rPr>
          <t>Steen Hertin:</t>
        </r>
        <r>
          <rPr>
            <sz val="9"/>
            <color indexed="81"/>
            <rFont val="Tahoma"/>
            <family val="2"/>
          </rPr>
          <t xml:space="preserve">
S1 på OA.</t>
        </r>
      </text>
    </comment>
    <comment ref="V107" authorId="4" shapeId="0" xr:uid="{E34367F6-4289-4D43-9845-E99404AABED5}">
      <text>
        <r>
          <rPr>
            <b/>
            <sz val="9"/>
            <color indexed="81"/>
            <rFont val="Tahoma"/>
            <family val="2"/>
          </rPr>
          <t>Steen Hertin:</t>
        </r>
        <r>
          <rPr>
            <sz val="9"/>
            <color indexed="81"/>
            <rFont val="Tahoma"/>
            <family val="2"/>
          </rPr>
          <t xml:space="preserve">
S1 på OA.</t>
        </r>
      </text>
    </comment>
    <comment ref="W107" authorId="4" shapeId="0" xr:uid="{6A3DB029-62EC-48E8-98E8-6056524A783E}">
      <text>
        <r>
          <rPr>
            <b/>
            <sz val="9"/>
            <color indexed="81"/>
            <rFont val="Tahoma"/>
            <family val="2"/>
          </rPr>
          <t>Steen Hertin:</t>
        </r>
        <r>
          <rPr>
            <sz val="9"/>
            <color indexed="81"/>
            <rFont val="Tahoma"/>
            <family val="2"/>
          </rPr>
          <t xml:space="preserve">
S1 på OA.</t>
        </r>
      </text>
    </comment>
    <comment ref="AB107" authorId="4" shapeId="0" xr:uid="{DAF12D8F-A584-4F19-A3D3-112893A2644F}">
      <text>
        <r>
          <rPr>
            <b/>
            <sz val="9"/>
            <color indexed="81"/>
            <rFont val="Tahoma"/>
            <family val="2"/>
          </rPr>
          <t>Steen Hertin:</t>
        </r>
        <r>
          <rPr>
            <sz val="9"/>
            <color indexed="81"/>
            <rFont val="Tahoma"/>
            <family val="2"/>
          </rPr>
          <t xml:space="preserve">
Fællesmøde på Rådhuset kl. 09.00</t>
        </r>
      </text>
    </comment>
    <comment ref="S119" authorId="4" shapeId="0" xr:uid="{FA30BEB5-9D51-4856-A318-A4ED59F16694}">
      <text>
        <r>
          <rPr>
            <b/>
            <sz val="9"/>
            <color indexed="81"/>
            <rFont val="Tahoma"/>
            <family val="2"/>
          </rPr>
          <t>Steen Hertin:</t>
        </r>
        <r>
          <rPr>
            <sz val="9"/>
            <color indexed="81"/>
            <rFont val="Tahoma"/>
            <family val="2"/>
          </rPr>
          <t xml:space="preserve">
C-vagt på OA</t>
        </r>
      </text>
    </comment>
    <comment ref="T119" authorId="4" shapeId="0" xr:uid="{018B5D67-4A3E-4362-BD21-B91977C94F31}">
      <text>
        <r>
          <rPr>
            <b/>
            <sz val="9"/>
            <color indexed="81"/>
            <rFont val="Tahoma"/>
            <family val="2"/>
          </rPr>
          <t>Steen Hertin:</t>
        </r>
        <r>
          <rPr>
            <sz val="9"/>
            <color indexed="81"/>
            <rFont val="Tahoma"/>
            <family val="2"/>
          </rPr>
          <t xml:space="preserve">
C-vagt på OA</t>
        </r>
      </text>
    </comment>
    <comment ref="V119" authorId="4" shapeId="0" xr:uid="{F201E7F7-92B3-4B17-AD61-84FF2F5571FC}">
      <text>
        <r>
          <rPr>
            <b/>
            <sz val="9"/>
            <color indexed="81"/>
            <rFont val="Tahoma"/>
            <family val="2"/>
          </rPr>
          <t>Steen Hertin:</t>
        </r>
        <r>
          <rPr>
            <sz val="9"/>
            <color indexed="81"/>
            <rFont val="Tahoma"/>
            <family val="2"/>
          </rPr>
          <t xml:space="preserve">
N-vagt på OA</t>
        </r>
      </text>
    </comment>
    <comment ref="W119" authorId="4" shapeId="0" xr:uid="{0B5E4D4E-C923-4704-A5BE-39C0335BAAF7}">
      <text>
        <r>
          <rPr>
            <b/>
            <sz val="9"/>
            <color indexed="81"/>
            <rFont val="Tahoma"/>
            <family val="2"/>
          </rPr>
          <t>Steen Hertin:</t>
        </r>
        <r>
          <rPr>
            <sz val="9"/>
            <color indexed="81"/>
            <rFont val="Tahoma"/>
            <family val="2"/>
          </rPr>
          <t xml:space="preserve">
N-vagt på OA</t>
        </r>
      </text>
    </comment>
    <comment ref="AB119" authorId="5" shapeId="0" xr:uid="{F47484B2-0724-48DF-8D46-1A920FB4EB4A}">
      <text>
        <r>
          <rPr>
            <b/>
            <sz val="9"/>
            <color indexed="81"/>
            <rFont val="Tahoma"/>
            <family val="2"/>
          </rPr>
          <t>Nikolaj Langtin Pamhede:</t>
        </r>
        <r>
          <rPr>
            <sz val="9"/>
            <color indexed="81"/>
            <rFont val="Tahoma"/>
            <family val="2"/>
          </rPr>
          <t xml:space="preserve">
S1 vagt + 25-vagt
</t>
        </r>
      </text>
    </comment>
    <comment ref="AG119" authorId="9" shapeId="0" xr:uid="{74899598-75BF-4199-ABEF-8C78E01DB163}">
      <text>
        <r>
          <rPr>
            <b/>
            <sz val="9"/>
            <color indexed="81"/>
            <rFont val="Tahoma"/>
            <family val="2"/>
          </rPr>
          <t>Mathias Hartvig Morell Nielsen:</t>
        </r>
        <r>
          <rPr>
            <sz val="9"/>
            <color indexed="81"/>
            <rFont val="Tahoma"/>
            <family val="2"/>
          </rPr>
          <t xml:space="preserve">
Bliver til bryllupper er færdige</t>
        </r>
      </text>
    </comment>
    <comment ref="K120" authorId="4" shapeId="0" xr:uid="{ECA3572D-E641-477D-9BC0-BC3C4998C63E}">
      <text>
        <r>
          <rPr>
            <b/>
            <sz val="9"/>
            <color indexed="81"/>
            <rFont val="Tahoma"/>
            <family val="2"/>
          </rPr>
          <t>Steen Hertin:</t>
        </r>
        <r>
          <rPr>
            <sz val="9"/>
            <color indexed="81"/>
            <rFont val="Tahoma"/>
            <family val="2"/>
          </rPr>
          <t xml:space="preserve">
Tingbjerg 13.45-18,45</t>
        </r>
      </text>
    </comment>
    <comment ref="L120" authorId="8" shapeId="0" xr:uid="{DD480439-EDC3-4D8D-9714-9CDCB0EEAA02}">
      <text>
        <r>
          <rPr>
            <b/>
            <sz val="9"/>
            <color indexed="81"/>
            <rFont val="Tahoma"/>
            <family val="2"/>
          </rPr>
          <t>Marianne Rasmussen:</t>
        </r>
        <r>
          <rPr>
            <sz val="9"/>
            <color indexed="81"/>
            <rFont val="Tahoma"/>
            <family val="2"/>
          </rPr>
          <t xml:space="preserve">
Møder på Rådhuse til arrangement fra kl 9-16,30</t>
        </r>
      </text>
    </comment>
    <comment ref="P120" authorId="0" shapeId="0" xr:uid="{CFD10CBD-3AD0-4656-A27E-C4AA99A9ED44}">
      <text>
        <r>
          <rPr>
            <b/>
            <sz val="9"/>
            <color indexed="81"/>
            <rFont val="Tahoma"/>
            <family val="2"/>
          </rPr>
          <t>marasm:</t>
        </r>
        <r>
          <rPr>
            <sz val="9"/>
            <color indexed="81"/>
            <rFont val="Tahoma"/>
            <family val="2"/>
          </rPr>
          <t xml:space="preserve">
Kulturnat</t>
        </r>
      </text>
    </comment>
    <comment ref="R120" authorId="4" shapeId="0" xr:uid="{50BBFCB3-77E5-418F-8DD6-3E502723DDF8}">
      <text>
        <r>
          <rPr>
            <b/>
            <sz val="9"/>
            <color indexed="81"/>
            <rFont val="Tahoma"/>
            <family val="2"/>
          </rPr>
          <t>Steen Hertin:</t>
        </r>
        <r>
          <rPr>
            <sz val="9"/>
            <color indexed="81"/>
            <rFont val="Tahoma"/>
            <family val="2"/>
          </rPr>
          <t xml:space="preserve">
Tingbjerg 13.45-18,45</t>
        </r>
      </text>
    </comment>
    <comment ref="Z120" authorId="4" shapeId="0" xr:uid="{852D187F-ADCE-49AF-AD4A-260AF3F647FE}">
      <text>
        <r>
          <rPr>
            <b/>
            <sz val="9"/>
            <color indexed="81"/>
            <rFont val="Tahoma"/>
            <family val="2"/>
          </rPr>
          <t>Steen Hertin:</t>
        </r>
        <r>
          <rPr>
            <sz val="9"/>
            <color indexed="81"/>
            <rFont val="Tahoma"/>
            <family val="2"/>
          </rPr>
          <t xml:space="preserve">
N-vagt på OA</t>
        </r>
      </text>
    </comment>
    <comment ref="AA120" authorId="4" shapeId="0" xr:uid="{9BF65E79-F3C1-4DC9-97ED-46CF99A0D941}">
      <text>
        <r>
          <rPr>
            <b/>
            <sz val="9"/>
            <color indexed="81"/>
            <rFont val="Tahoma"/>
            <family val="2"/>
          </rPr>
          <t>Steen Hertin:</t>
        </r>
        <r>
          <rPr>
            <sz val="9"/>
            <color indexed="81"/>
            <rFont val="Tahoma"/>
            <family val="2"/>
          </rPr>
          <t xml:space="preserve">
N-vagt på OA</t>
        </r>
      </text>
    </comment>
    <comment ref="AB120" authorId="4" shapeId="0" xr:uid="{CB9F518C-088B-48E4-9979-E5FFE4208D3D}">
      <text>
        <r>
          <rPr>
            <b/>
            <sz val="9"/>
            <color indexed="81"/>
            <rFont val="Tahoma"/>
            <family val="2"/>
          </rPr>
          <t>Steen Hertin:</t>
        </r>
        <r>
          <rPr>
            <sz val="9"/>
            <color indexed="81"/>
            <rFont val="Tahoma"/>
            <family val="2"/>
          </rPr>
          <t xml:space="preserve">
N-vagt på OA</t>
        </r>
      </text>
    </comment>
    <comment ref="AC120" authorId="4" shapeId="0" xr:uid="{712D409D-E1BC-44E2-97BD-24145CC63B4B}">
      <text>
        <r>
          <rPr>
            <b/>
            <sz val="9"/>
            <color indexed="81"/>
            <rFont val="Tahoma"/>
            <family val="2"/>
          </rPr>
          <t>Steen Hertin:</t>
        </r>
        <r>
          <rPr>
            <sz val="9"/>
            <color indexed="81"/>
            <rFont val="Tahoma"/>
            <family val="2"/>
          </rPr>
          <t xml:space="preserve">
N-vagt på OA</t>
        </r>
      </text>
    </comment>
    <comment ref="P127" authorId="0" shapeId="0" xr:uid="{8AC5D84C-DF81-41AD-9C8E-F0F50202261B}">
      <text>
        <r>
          <rPr>
            <b/>
            <sz val="9"/>
            <color indexed="81"/>
            <rFont val="Tahoma"/>
            <family val="2"/>
          </rPr>
          <t>marasm:</t>
        </r>
        <r>
          <rPr>
            <sz val="9"/>
            <color indexed="81"/>
            <rFont val="Tahoma"/>
            <family val="2"/>
          </rPr>
          <t xml:space="preserve">
Kulturnat</t>
        </r>
      </text>
    </comment>
    <comment ref="P139" authorId="0" shapeId="0" xr:uid="{5A495FF7-BB33-44F4-93AD-68325C8C1049}">
      <text>
        <r>
          <rPr>
            <b/>
            <sz val="9"/>
            <color indexed="81"/>
            <rFont val="Tahoma"/>
            <family val="2"/>
          </rPr>
          <t>marasm:</t>
        </r>
        <r>
          <rPr>
            <sz val="9"/>
            <color indexed="81"/>
            <rFont val="Tahoma"/>
            <family val="2"/>
          </rPr>
          <t xml:space="preserve">
Kulturnat</t>
        </r>
      </text>
    </comment>
    <comment ref="S139" authorId="4" shapeId="0" xr:uid="{C5D2604A-D7EF-4150-BC4C-99FE0A3EBA47}">
      <text>
        <r>
          <rPr>
            <b/>
            <sz val="9"/>
            <color indexed="81"/>
            <rFont val="Tahoma"/>
            <family val="2"/>
          </rPr>
          <t>Steen Hertin:</t>
        </r>
        <r>
          <rPr>
            <sz val="9"/>
            <color indexed="81"/>
            <rFont val="Tahoma"/>
            <family val="2"/>
          </rPr>
          <t xml:space="preserve">
Møder senere..</t>
        </r>
      </text>
    </comment>
    <comment ref="P140" authorId="0" shapeId="0" xr:uid="{5B141949-FB97-41B5-8834-AA2C3CAD9186}">
      <text>
        <r>
          <rPr>
            <b/>
            <sz val="9"/>
            <color indexed="81"/>
            <rFont val="Tahoma"/>
            <family val="2"/>
          </rPr>
          <t>marasm:</t>
        </r>
        <r>
          <rPr>
            <sz val="9"/>
            <color indexed="81"/>
            <rFont val="Tahoma"/>
            <family val="2"/>
          </rPr>
          <t xml:space="preserve">
Kulturnat</t>
        </r>
      </text>
    </comment>
    <comment ref="E141" authorId="1" shapeId="0" xr:uid="{5A258CE5-8943-4D4D-94BD-4E5A65C496A7}">
      <text>
        <r>
          <rPr>
            <b/>
            <sz val="9"/>
            <color indexed="81"/>
            <rFont val="Tahoma"/>
            <family val="2"/>
          </rPr>
          <t>Steen Hertin-Sandkær:</t>
        </r>
        <r>
          <rPr>
            <sz val="9"/>
            <color indexed="81"/>
            <rFont val="Tahoma"/>
            <family val="2"/>
          </rPr>
          <t xml:space="preserve">
Går kl. 14.00</t>
        </r>
      </text>
    </comment>
    <comment ref="H141" authorId="1" shapeId="0" xr:uid="{3F9A00E2-04CD-48B0-87F0-EFF9D6D60196}">
      <text>
        <r>
          <rPr>
            <b/>
            <sz val="9"/>
            <color indexed="81"/>
            <rFont val="Tahoma"/>
            <family val="2"/>
          </rPr>
          <t>Steen Hertin-Sandkær:</t>
        </r>
        <r>
          <rPr>
            <sz val="9"/>
            <color indexed="81"/>
            <rFont val="Tahoma"/>
            <family val="2"/>
          </rPr>
          <t xml:space="preserve">
Rundvisning kl. 16.00 internt</t>
        </r>
      </text>
    </comment>
    <comment ref="P141" authorId="0" shapeId="0" xr:uid="{ED818AC5-8DFF-4099-817F-E14A8354DEB5}">
      <text>
        <r>
          <rPr>
            <b/>
            <sz val="9"/>
            <color indexed="81"/>
            <rFont val="Tahoma"/>
            <family val="2"/>
          </rPr>
          <t>marasm:</t>
        </r>
        <r>
          <rPr>
            <sz val="9"/>
            <color indexed="81"/>
            <rFont val="Tahoma"/>
            <family val="2"/>
          </rPr>
          <t xml:space="preserve">
Kulturnat</t>
        </r>
      </text>
    </comment>
    <comment ref="S141" authorId="3" shapeId="0" xr:uid="{A0F69BF0-6397-4D57-AA3E-6A0B145ABF2B}">
      <text>
        <r>
          <rPr>
            <b/>
            <sz val="9"/>
            <color indexed="81"/>
            <rFont val="Tahoma"/>
            <family val="2"/>
          </rPr>
          <t>Rasmus Sørensen:</t>
        </r>
        <r>
          <rPr>
            <sz val="9"/>
            <color indexed="81"/>
            <rFont val="Tahoma"/>
            <family val="2"/>
          </rPr>
          <t xml:space="preserve">
rundviser</t>
        </r>
      </text>
    </comment>
    <comment ref="V141" authorId="3" shapeId="0" xr:uid="{960F6BEE-6C14-4DA6-832F-42F47CE7602F}">
      <text>
        <r>
          <rPr>
            <b/>
            <sz val="9"/>
            <color indexed="81"/>
            <rFont val="Tahoma"/>
            <family val="2"/>
          </rPr>
          <t>Rasmus Sørensen:</t>
        </r>
        <r>
          <rPr>
            <sz val="9"/>
            <color indexed="81"/>
            <rFont val="Tahoma"/>
            <family val="2"/>
          </rPr>
          <t xml:space="preserve">
rundviser</t>
        </r>
      </text>
    </comment>
    <comment ref="AC141" authorId="3" shapeId="0" xr:uid="{25806494-B8B1-4F49-B88D-B20FBA174C13}">
      <text>
        <r>
          <rPr>
            <b/>
            <sz val="9"/>
            <color indexed="81"/>
            <rFont val="Tahoma"/>
            <family val="2"/>
          </rPr>
          <t>Rasmus Sørensen:
fremlæggelse kl. 11:30</t>
        </r>
      </text>
    </comment>
    <comment ref="P142" authorId="0" shapeId="0" xr:uid="{8F8924A2-7854-4CF6-9B6B-0DC2991683B0}">
      <text>
        <r>
          <rPr>
            <b/>
            <sz val="9"/>
            <color indexed="81"/>
            <rFont val="Tahoma"/>
            <family val="2"/>
          </rPr>
          <t>marasm:</t>
        </r>
        <r>
          <rPr>
            <sz val="9"/>
            <color indexed="81"/>
            <rFont val="Tahoma"/>
            <family val="2"/>
          </rPr>
          <t xml:space="preserve">
Kulturnat</t>
        </r>
      </text>
    </comment>
    <comment ref="C143" authorId="4" shapeId="0" xr:uid="{69B704F6-0B33-4970-BF63-E96E3D2B3659}">
      <text>
        <r>
          <rPr>
            <b/>
            <sz val="9"/>
            <color indexed="81"/>
            <rFont val="Tahoma"/>
            <family val="2"/>
          </rPr>
          <t>Steen Hertin:</t>
        </r>
        <r>
          <rPr>
            <sz val="9"/>
            <color indexed="81"/>
            <rFont val="Tahoma"/>
            <family val="2"/>
          </rPr>
          <t xml:space="preserve">
Bellahøjhallen 14.30-23.30</t>
        </r>
      </text>
    </comment>
    <comment ref="D143" authorId="4" shapeId="0" xr:uid="{E7B57C78-E9BA-4CF9-8297-9D82BE7787DE}">
      <text>
        <r>
          <rPr>
            <b/>
            <sz val="9"/>
            <color indexed="81"/>
            <rFont val="Tahoma"/>
            <family val="2"/>
          </rPr>
          <t>Steen Hertin:</t>
        </r>
        <r>
          <rPr>
            <sz val="9"/>
            <color indexed="81"/>
            <rFont val="Tahoma"/>
            <family val="2"/>
          </rPr>
          <t xml:space="preserve">
Bellahøjhallen 14.30-23.30</t>
        </r>
      </text>
    </comment>
    <comment ref="N143" authorId="10" shapeId="0" xr:uid="{1A2D3F4B-A12D-4385-AF16-BD9A11B70AAC}">
      <text>
        <r>
          <rPr>
            <b/>
            <sz val="9"/>
            <color indexed="81"/>
            <rFont val="Tahoma"/>
            <family val="2"/>
          </rPr>
          <t>Kim Holm Aabroe:</t>
        </r>
        <r>
          <rPr>
            <sz val="9"/>
            <color indexed="81"/>
            <rFont val="Tahoma"/>
            <family val="2"/>
          </rPr>
          <t xml:space="preserve">
AMR 10.30-11.30</t>
        </r>
      </text>
    </comment>
    <comment ref="P143" authorId="0" shapeId="0" xr:uid="{51BC09BB-8E67-4309-A2FA-FBDE7D52DB7E}">
      <text>
        <r>
          <rPr>
            <b/>
            <sz val="9"/>
            <color indexed="81"/>
            <rFont val="Tahoma"/>
            <family val="2"/>
          </rPr>
          <t>marasm:</t>
        </r>
        <r>
          <rPr>
            <sz val="9"/>
            <color indexed="81"/>
            <rFont val="Tahoma"/>
            <family val="2"/>
          </rPr>
          <t xml:space="preserve">
Kulturnat
AMR 08:30-11:00</t>
        </r>
      </text>
    </comment>
    <comment ref="AC143" authorId="1" shapeId="0" xr:uid="{E0DCB014-4D9B-44F7-A8E2-B4627001CE74}">
      <text>
        <r>
          <rPr>
            <b/>
            <sz val="9"/>
            <color indexed="81"/>
            <rFont val="Tahoma"/>
            <family val="2"/>
          </rPr>
          <t>Steen Hertin-Sandkær:</t>
        </r>
        <r>
          <rPr>
            <sz val="9"/>
            <color indexed="81"/>
            <rFont val="Tahoma"/>
            <family val="2"/>
          </rPr>
          <t xml:space="preserve">
Går kl. 15.00</t>
        </r>
      </text>
    </comment>
    <comment ref="E172" authorId="0" shapeId="0" xr:uid="{70E14558-3AFF-44DF-B022-8215EC3F3D27}">
      <text>
        <r>
          <rPr>
            <b/>
            <sz val="9"/>
            <color indexed="81"/>
            <rFont val="Tahoma"/>
            <family val="2"/>
          </rPr>
          <t>marasm:</t>
        </r>
        <r>
          <rPr>
            <sz val="9"/>
            <color indexed="81"/>
            <rFont val="Tahoma"/>
            <family val="2"/>
          </rPr>
          <t xml:space="preserve">
AHF</t>
        </r>
      </text>
    </comment>
    <comment ref="G172" authorId="8" shapeId="0" xr:uid="{E6B298E0-384F-4DF3-A85F-A14FE845B2B4}">
      <text>
        <r>
          <rPr>
            <b/>
            <sz val="9"/>
            <color indexed="81"/>
            <rFont val="Tahoma"/>
            <family val="2"/>
          </rPr>
          <t>Marianne Rasmussen:</t>
        </r>
        <r>
          <rPr>
            <sz val="9"/>
            <color indexed="81"/>
            <rFont val="Tahoma"/>
            <family val="2"/>
          </rPr>
          <t xml:space="preserve">
AHF</t>
        </r>
      </text>
    </comment>
    <comment ref="I172" authorId="0" shapeId="0" xr:uid="{4F0071C3-D3BC-4B38-9161-69BC82CE32D5}">
      <text>
        <r>
          <rPr>
            <b/>
            <sz val="9"/>
            <color indexed="81"/>
            <rFont val="Tahoma"/>
            <family val="2"/>
          </rPr>
          <t>marasm:</t>
        </r>
        <r>
          <rPr>
            <sz val="9"/>
            <color indexed="81"/>
            <rFont val="Tahoma"/>
            <family val="2"/>
          </rPr>
          <t xml:space="preserve">
AHF</t>
        </r>
      </text>
    </comment>
    <comment ref="M172" authorId="8" shapeId="0" xr:uid="{2D83FA09-3C20-4418-8555-2307E7F2B463}">
      <text>
        <r>
          <rPr>
            <b/>
            <sz val="9"/>
            <color indexed="81"/>
            <rFont val="Tahoma"/>
            <family val="2"/>
          </rPr>
          <t>Marianne Rasmussen:</t>
        </r>
        <r>
          <rPr>
            <sz val="9"/>
            <color indexed="81"/>
            <rFont val="Tahoma"/>
            <family val="2"/>
          </rPr>
          <t xml:space="preserve">
AHF</t>
        </r>
      </text>
    </comment>
    <comment ref="P172" authorId="0" shapeId="0" xr:uid="{BBC21D47-2368-455A-9B1E-7FA398705723}">
      <text>
        <r>
          <rPr>
            <b/>
            <sz val="9"/>
            <color indexed="81"/>
            <rFont val="Tahoma"/>
            <family val="2"/>
          </rPr>
          <t>marasm:</t>
        </r>
        <r>
          <rPr>
            <sz val="9"/>
            <color indexed="81"/>
            <rFont val="Tahoma"/>
            <family val="2"/>
          </rPr>
          <t xml:space="preserve">
Kulturnat</t>
        </r>
      </text>
    </comment>
    <comment ref="Z172" authorId="0" shapeId="0" xr:uid="{9D419978-12E7-4A4A-96AF-F6EC5FB86B81}">
      <text>
        <r>
          <rPr>
            <b/>
            <sz val="9"/>
            <color indexed="81"/>
            <rFont val="Tahoma"/>
            <family val="2"/>
          </rPr>
          <t>marasm:</t>
        </r>
        <r>
          <rPr>
            <sz val="9"/>
            <color indexed="81"/>
            <rFont val="Tahoma"/>
            <family val="2"/>
          </rPr>
          <t xml:space="preserve">
AHF</t>
        </r>
      </text>
    </comment>
    <comment ref="P173" authorId="0" shapeId="0" xr:uid="{594381CC-5A6B-4C3E-B48A-2344E590360E}">
      <text>
        <r>
          <rPr>
            <b/>
            <sz val="9"/>
            <color indexed="81"/>
            <rFont val="Tahoma"/>
            <family val="2"/>
          </rPr>
          <t>marasm:</t>
        </r>
        <r>
          <rPr>
            <sz val="9"/>
            <color indexed="81"/>
            <rFont val="Tahoma"/>
            <family val="2"/>
          </rPr>
          <t xml:space="preserve">
Kulturnat</t>
        </r>
      </text>
    </comment>
    <comment ref="P174" authorId="0" shapeId="0" xr:uid="{9635ECD8-D7B7-4BF6-8222-B7C7D3069D8C}">
      <text>
        <r>
          <rPr>
            <b/>
            <sz val="9"/>
            <color indexed="81"/>
            <rFont val="Tahoma"/>
            <family val="2"/>
          </rPr>
          <t>marasm:</t>
        </r>
        <r>
          <rPr>
            <sz val="9"/>
            <color indexed="81"/>
            <rFont val="Tahoma"/>
            <family val="2"/>
          </rPr>
          <t xml:space="preserve">
Kulturnat</t>
        </r>
      </text>
    </comment>
    <comment ref="P177" authorId="0" shapeId="0" xr:uid="{8D921906-EA91-4D47-A92C-AAF3FA985EB1}">
      <text>
        <r>
          <rPr>
            <b/>
            <sz val="9"/>
            <color indexed="81"/>
            <rFont val="Tahoma"/>
            <family val="2"/>
          </rPr>
          <t>marasm:</t>
        </r>
        <r>
          <rPr>
            <sz val="9"/>
            <color indexed="81"/>
            <rFont val="Tahoma"/>
            <family val="2"/>
          </rPr>
          <t xml:space="preserve">
Kulturnat</t>
        </r>
      </text>
    </comment>
    <comment ref="P199" authorId="0" shapeId="0" xr:uid="{99E41077-46BA-4A60-9E8F-95604C78CBB7}">
      <text>
        <r>
          <rPr>
            <b/>
            <sz val="9"/>
            <color indexed="81"/>
            <rFont val="Tahoma"/>
            <family val="2"/>
          </rPr>
          <t>marasm:</t>
        </r>
        <r>
          <rPr>
            <sz val="9"/>
            <color indexed="81"/>
            <rFont val="Tahoma"/>
            <family val="2"/>
          </rPr>
          <t xml:space="preserve">
Kulturnat</t>
        </r>
      </text>
    </comment>
    <comment ref="E200" authorId="1" shapeId="0" xr:uid="{3380A3F4-8D77-4CD8-9D5B-80C52C7780F1}">
      <text>
        <r>
          <rPr>
            <b/>
            <sz val="9"/>
            <color indexed="81"/>
            <rFont val="Tahoma"/>
            <family val="2"/>
          </rPr>
          <t>Steen Hertin-Sandkær:</t>
        </r>
        <r>
          <rPr>
            <sz val="9"/>
            <color indexed="81"/>
            <rFont val="Tahoma"/>
            <family val="2"/>
          </rPr>
          <t xml:space="preserve">
Intern flexdag</t>
        </r>
      </text>
    </comment>
    <comment ref="L200" authorId="3" shapeId="0" xr:uid="{35504354-3CCA-4C1D-B9C6-827887666A9F}">
      <text>
        <r>
          <rPr>
            <b/>
            <sz val="9"/>
            <color indexed="81"/>
            <rFont val="Tahoma"/>
            <family val="2"/>
          </rPr>
          <t>Rasmus Sørensen:</t>
        </r>
        <r>
          <rPr>
            <sz val="9"/>
            <color indexed="81"/>
            <rFont val="Tahoma"/>
            <family val="2"/>
          </rPr>
          <t xml:space="preserve">
rådhuset</t>
        </r>
      </text>
    </comment>
    <comment ref="M200" authorId="3" shapeId="0" xr:uid="{C9D60D9F-8C1E-44A3-B7F0-6273174FB9BA}">
      <text>
        <r>
          <rPr>
            <b/>
            <sz val="9"/>
            <color indexed="81"/>
            <rFont val="Tahoma"/>
            <family val="2"/>
          </rPr>
          <t>Rasmus Sørensen:</t>
        </r>
        <r>
          <rPr>
            <sz val="9"/>
            <color indexed="81"/>
            <rFont val="Tahoma"/>
            <family val="2"/>
          </rPr>
          <t xml:space="preserve">
rådhuset</t>
        </r>
      </text>
    </comment>
    <comment ref="O200" authorId="3" shapeId="0" xr:uid="{770E0982-35B8-4677-953E-44EC356BC20D}">
      <text>
        <r>
          <rPr>
            <b/>
            <sz val="9"/>
            <color indexed="81"/>
            <rFont val="Tahoma"/>
            <family val="2"/>
          </rPr>
          <t>Rasmus Sørensen:</t>
        </r>
        <r>
          <rPr>
            <sz val="9"/>
            <color indexed="81"/>
            <rFont val="Tahoma"/>
            <family val="2"/>
          </rPr>
          <t xml:space="preserve">
Rådhuset </t>
        </r>
      </text>
    </comment>
    <comment ref="P200" authorId="0" shapeId="0" xr:uid="{0C244750-47B4-44E4-9DF3-742E749D2F88}">
      <text>
        <r>
          <rPr>
            <b/>
            <sz val="9"/>
            <color indexed="81"/>
            <rFont val="Tahoma"/>
            <family val="2"/>
          </rPr>
          <t>marasm:</t>
        </r>
        <r>
          <rPr>
            <sz val="9"/>
            <color indexed="81"/>
            <rFont val="Tahoma"/>
            <family val="2"/>
          </rPr>
          <t xml:space="preserve">
Kulturnat</t>
        </r>
      </text>
    </comment>
    <comment ref="AB200" authorId="1" shapeId="0" xr:uid="{1D1143AF-0E14-4FDD-A2ED-E865E8F167F4}">
      <text>
        <r>
          <rPr>
            <b/>
            <sz val="9"/>
            <color indexed="81"/>
            <rFont val="Tahoma"/>
            <family val="2"/>
          </rPr>
          <t>Steen Hertin-Sandkær:</t>
        </r>
        <r>
          <rPr>
            <sz val="9"/>
            <color indexed="81"/>
            <rFont val="Tahoma"/>
            <family val="2"/>
          </rPr>
          <t xml:space="preserve">
Møde på Rådhusaet kl. 09.00</t>
        </r>
      </text>
    </comment>
    <comment ref="P201" authorId="0" shapeId="0" xr:uid="{31E15E90-9F8B-48CD-BBC6-1CC49B9E5112}">
      <text>
        <r>
          <rPr>
            <b/>
            <sz val="9"/>
            <color indexed="81"/>
            <rFont val="Tahoma"/>
            <family val="2"/>
          </rPr>
          <t>marasm:</t>
        </r>
        <r>
          <rPr>
            <sz val="9"/>
            <color indexed="81"/>
            <rFont val="Tahoma"/>
            <family val="2"/>
          </rPr>
          <t xml:space="preserve">
Kulturnat</t>
        </r>
      </text>
    </comment>
    <comment ref="AD201" authorId="4" shapeId="0" xr:uid="{DDF5DA7F-BF85-44FA-98F9-FFFA761A328D}">
      <text>
        <r>
          <rPr>
            <b/>
            <sz val="9"/>
            <color indexed="81"/>
            <rFont val="Tahoma"/>
            <family val="2"/>
          </rPr>
          <t>Steen Hertin:</t>
        </r>
        <r>
          <rPr>
            <sz val="9"/>
            <color indexed="81"/>
            <rFont val="Tahoma"/>
            <family val="2"/>
          </rPr>
          <t xml:space="preserve">
Intern flex.</t>
        </r>
      </text>
    </comment>
    <comment ref="P207" authorId="0" shapeId="0" xr:uid="{758C3243-939F-433C-A172-C86B85B83DBD}">
      <text>
        <r>
          <rPr>
            <b/>
            <sz val="9"/>
            <color indexed="81"/>
            <rFont val="Tahoma"/>
            <family val="2"/>
          </rPr>
          <t>marasm:</t>
        </r>
        <r>
          <rPr>
            <sz val="9"/>
            <color indexed="81"/>
            <rFont val="Tahoma"/>
            <family val="2"/>
          </rPr>
          <t xml:space="preserve">
Kulturnat</t>
        </r>
      </text>
    </comment>
    <comment ref="E210" authorId="1" shapeId="0" xr:uid="{88D71959-B91C-4B3F-8BF9-16C2E295F61C}">
      <text>
        <r>
          <rPr>
            <b/>
            <sz val="9"/>
            <color indexed="81"/>
            <rFont val="Tahoma"/>
            <family val="2"/>
          </rPr>
          <t>Steen Hertin-Sandkær:</t>
        </r>
        <r>
          <rPr>
            <sz val="9"/>
            <color indexed="81"/>
            <rFont val="Tahoma"/>
            <family val="2"/>
          </rPr>
          <t xml:space="preserve">
Møder 4 timer.</t>
        </r>
      </text>
    </comment>
    <comment ref="G210" authorId="1" shapeId="0" xr:uid="{A3D9C085-E39C-48A0-BB14-1336D41A8A13}">
      <text>
        <r>
          <rPr>
            <b/>
            <sz val="9"/>
            <color indexed="81"/>
            <rFont val="Tahoma"/>
            <family val="2"/>
          </rPr>
          <t>Steen Hertin-Sandkær:</t>
        </r>
        <r>
          <rPr>
            <sz val="9"/>
            <color indexed="81"/>
            <rFont val="Tahoma"/>
            <family val="2"/>
          </rPr>
          <t xml:space="preserve">
Møder 4 timer.</t>
        </r>
      </text>
    </comment>
    <comment ref="N210" authorId="1" shapeId="0" xr:uid="{DCC011A5-5341-42F1-86C7-B82B947DC1D4}">
      <text>
        <r>
          <rPr>
            <b/>
            <sz val="9"/>
            <color indexed="81"/>
            <rFont val="Tahoma"/>
            <family val="2"/>
          </rPr>
          <t>Steen Hertin-Sandkær:</t>
        </r>
        <r>
          <rPr>
            <sz val="9"/>
            <color indexed="81"/>
            <rFont val="Tahoma"/>
            <family val="2"/>
          </rPr>
          <t xml:space="preserve">
Møder 4 timer.</t>
        </r>
      </text>
    </comment>
    <comment ref="P231" authorId="0" shapeId="0" xr:uid="{60A700D9-A9DC-4C20-8688-0200F28D8AFB}">
      <text>
        <r>
          <rPr>
            <b/>
            <sz val="9"/>
            <color indexed="81"/>
            <rFont val="Tahoma"/>
            <family val="2"/>
          </rPr>
          <t>marasm:</t>
        </r>
        <r>
          <rPr>
            <sz val="9"/>
            <color indexed="81"/>
            <rFont val="Tahoma"/>
            <family val="2"/>
          </rPr>
          <t xml:space="preserve">
Kulturnat</t>
        </r>
      </text>
    </comment>
    <comment ref="P233" authorId="0" shapeId="0" xr:uid="{9C9E7205-6155-4BB7-A99B-592EAD7904B4}">
      <text>
        <r>
          <rPr>
            <b/>
            <sz val="9"/>
            <color indexed="81"/>
            <rFont val="Tahoma"/>
            <family val="2"/>
          </rPr>
          <t>marasm:</t>
        </r>
        <r>
          <rPr>
            <sz val="9"/>
            <color indexed="81"/>
            <rFont val="Tahoma"/>
            <family val="2"/>
          </rPr>
          <t xml:space="preserve">
Kulturnat</t>
        </r>
      </text>
    </comment>
    <comment ref="P235" authorId="0" shapeId="0" xr:uid="{FCD89899-AF26-4238-BEDE-D251F73EC6C2}">
      <text>
        <r>
          <rPr>
            <b/>
            <sz val="9"/>
            <color indexed="81"/>
            <rFont val="Tahoma"/>
            <family val="2"/>
          </rPr>
          <t>marasm:</t>
        </r>
        <r>
          <rPr>
            <sz val="9"/>
            <color indexed="81"/>
            <rFont val="Tahoma"/>
            <family val="2"/>
          </rPr>
          <t xml:space="preserve">
Kulturnat</t>
        </r>
      </text>
    </comment>
    <comment ref="P236" authorId="0" shapeId="0" xr:uid="{D9F73004-5833-4194-9215-85FB33B531CE}">
      <text>
        <r>
          <rPr>
            <b/>
            <sz val="9"/>
            <color indexed="81"/>
            <rFont val="Tahoma"/>
            <family val="2"/>
          </rPr>
          <t>marasm:</t>
        </r>
        <r>
          <rPr>
            <sz val="9"/>
            <color indexed="81"/>
            <rFont val="Tahoma"/>
            <family val="2"/>
          </rPr>
          <t xml:space="preserve">
Kulturnat</t>
        </r>
      </text>
    </comment>
    <comment ref="V277" authorId="4" shapeId="0" xr:uid="{4D87F026-1933-4D91-8352-AEB3E5806F4D}">
      <text>
        <r>
          <rPr>
            <b/>
            <sz val="9"/>
            <color indexed="81"/>
            <rFont val="Tahoma"/>
            <family val="2"/>
          </rPr>
          <t>Steen Hertin:</t>
        </r>
        <r>
          <rPr>
            <sz val="9"/>
            <color indexed="81"/>
            <rFont val="Tahoma"/>
            <family val="2"/>
          </rPr>
          <t xml:space="preserve">
Svanemøllehallen 15.00-23.30</t>
        </r>
      </text>
    </comment>
    <comment ref="H292" authorId="0" shapeId="0" xr:uid="{9C3594D0-06A1-4EAF-8B92-6EC4ADE02EDE}">
      <text>
        <r>
          <rPr>
            <b/>
            <sz val="9"/>
            <color indexed="81"/>
            <rFont val="Tahoma"/>
            <family val="2"/>
          </rPr>
          <t>marasm:</t>
        </r>
        <r>
          <rPr>
            <sz val="9"/>
            <color indexed="81"/>
            <rFont val="Tahoma"/>
            <family val="2"/>
          </rPr>
          <t xml:space="preserve">
- 3 timer i afs</t>
        </r>
      </text>
    </comment>
    <comment ref="S292" authorId="8" shapeId="0" xr:uid="{79954F49-B7F1-4153-AD07-36CEC87BA010}">
      <text>
        <r>
          <rPr>
            <b/>
            <sz val="9"/>
            <color indexed="81"/>
            <rFont val="Tahoma"/>
            <family val="2"/>
          </rPr>
          <t>Marianne Rasmussen:</t>
        </r>
        <r>
          <rPr>
            <sz val="9"/>
            <color indexed="81"/>
            <rFont val="Tahoma"/>
            <family val="2"/>
          </rPr>
          <t xml:space="preserve">
- 2,5 Time afs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marasm</author>
    <author>Thomas Holm</author>
    <author>Steen Hertin</author>
    <author>Steen Hertin-Sandkær</author>
    <author>Rasmus Sørensen</author>
    <author>Mathias Hartvig Morell Nielsen</author>
    <author>Marianne Rasmussen</author>
    <author>Kim Holm Aabroe</author>
    <author>Michael Bo Pedersen</author>
    <author>Nikolaj Langtin Pamhede</author>
  </authors>
  <commentList>
    <comment ref="C12" authorId="0" shapeId="0" xr:uid="{6F1F98E5-7BFD-4B53-94CA-24B8A3410D46}">
      <text>
        <r>
          <rPr>
            <b/>
            <sz val="9"/>
            <color indexed="81"/>
            <rFont val="Tahoma"/>
            <family val="2"/>
          </rPr>
          <t>marasm:</t>
        </r>
        <r>
          <rPr>
            <sz val="9"/>
            <color indexed="81"/>
            <rFont val="Tahoma"/>
            <family val="2"/>
          </rPr>
          <t xml:space="preserve">
Fintælling</t>
        </r>
      </text>
    </comment>
    <comment ref="D12" authorId="0" shapeId="0" xr:uid="{F38FD575-7CBA-49BE-A003-74B82EF8003E}">
      <text>
        <r>
          <rPr>
            <b/>
            <sz val="9"/>
            <color indexed="81"/>
            <rFont val="Tahoma"/>
            <family val="2"/>
          </rPr>
          <t>marasm:</t>
        </r>
        <r>
          <rPr>
            <sz val="9"/>
            <color indexed="81"/>
            <rFont val="Tahoma"/>
            <family val="2"/>
          </rPr>
          <t xml:space="preserve">
Fintælling</t>
        </r>
      </text>
    </comment>
    <comment ref="H12" authorId="0" shapeId="0" xr:uid="{E7005880-5DB9-4B84-B26B-60EA9630BD67}">
      <text>
        <r>
          <rPr>
            <b/>
            <sz val="9"/>
            <color indexed="81"/>
            <rFont val="Tahoma"/>
            <family val="2"/>
          </rPr>
          <t>marasm:</t>
        </r>
        <r>
          <rPr>
            <sz val="9"/>
            <color indexed="81"/>
            <rFont val="Tahoma"/>
            <family val="2"/>
          </rPr>
          <t xml:space="preserve">
Åbenhus 9-16</t>
        </r>
      </text>
    </comment>
    <comment ref="N12" authorId="1" shapeId="0" xr:uid="{75268949-F48B-4E66-BA34-50B1C62F9179}">
      <text>
        <r>
          <rPr>
            <b/>
            <sz val="9"/>
            <color indexed="81"/>
            <rFont val="Tahoma"/>
            <family val="2"/>
          </rPr>
          <t>Thomas Holm:</t>
        </r>
        <r>
          <rPr>
            <sz val="9"/>
            <color indexed="81"/>
            <rFont val="Tahoma"/>
            <family val="2"/>
          </rPr>
          <t xml:space="preserve">
Dronningens Jubilæum
07.00-</t>
        </r>
      </text>
    </comment>
    <comment ref="J14" authorId="2" shapeId="0" xr:uid="{1C6BC379-D90B-4515-85B4-DF63E29EBDD1}">
      <text>
        <r>
          <rPr>
            <b/>
            <sz val="9"/>
            <color indexed="81"/>
            <rFont val="Tahoma"/>
            <family val="2"/>
          </rPr>
          <t>Steen Hertin:</t>
        </r>
        <r>
          <rPr>
            <sz val="9"/>
            <color indexed="81"/>
            <rFont val="Tahoma"/>
            <family val="2"/>
          </rPr>
          <t xml:space="preserve">
KAS
2-vagt til kl. 19:30</t>
        </r>
      </text>
    </comment>
    <comment ref="K14" authorId="2" shapeId="0" xr:uid="{59C83F46-25E3-400F-9D3D-1CBAD6B3EFA2}">
      <text>
        <r>
          <rPr>
            <b/>
            <sz val="9"/>
            <color indexed="81"/>
            <rFont val="Tahoma"/>
            <family val="2"/>
          </rPr>
          <t>Steen Hertin:</t>
        </r>
        <r>
          <rPr>
            <sz val="9"/>
            <color indexed="81"/>
            <rFont val="Tahoma"/>
            <family val="2"/>
          </rPr>
          <t xml:space="preserve">
KAS
2-vagt til 19:00</t>
        </r>
      </text>
    </comment>
    <comment ref="L14" authorId="2" shapeId="0" xr:uid="{032569A9-007E-4353-ABF6-8ECBAE2CB0BF}">
      <text>
        <r>
          <rPr>
            <b/>
            <sz val="9"/>
            <color indexed="81"/>
            <rFont val="Tahoma"/>
            <family val="2"/>
          </rPr>
          <t>Steen Hertin:</t>
        </r>
        <r>
          <rPr>
            <sz val="9"/>
            <color indexed="81"/>
            <rFont val="Tahoma"/>
            <family val="2"/>
          </rPr>
          <t xml:space="preserve">
KAS</t>
        </r>
      </text>
    </comment>
    <comment ref="Y14" authorId="3" shapeId="0" xr:uid="{C2AFBBAF-4470-4806-84BA-A58DB7442CE4}">
      <text>
        <r>
          <rPr>
            <b/>
            <sz val="9"/>
            <color indexed="81"/>
            <rFont val="Tahoma"/>
            <family val="2"/>
          </rPr>
          <t>Steen Hertin-Sandkær:</t>
        </r>
        <r>
          <rPr>
            <sz val="9"/>
            <color indexed="81"/>
            <rFont val="Tahoma"/>
            <family val="2"/>
          </rPr>
          <t xml:space="preserve">
Natholdet fejer om morgenen.</t>
        </r>
      </text>
    </comment>
    <comment ref="Z14" authorId="3" shapeId="0" xr:uid="{1DB30B83-BB16-4CDE-943C-BF970B8F62E0}">
      <text>
        <r>
          <rPr>
            <b/>
            <sz val="9"/>
            <color indexed="81"/>
            <rFont val="Tahoma"/>
            <family val="2"/>
          </rPr>
          <t>Steen Hertin-Sandkær:</t>
        </r>
        <r>
          <rPr>
            <sz val="9"/>
            <color indexed="81"/>
            <rFont val="Tahoma"/>
            <family val="2"/>
          </rPr>
          <t xml:space="preserve">
Natholdet fejer om morgenen.</t>
        </r>
      </text>
    </comment>
    <comment ref="AA14" authorId="3" shapeId="0" xr:uid="{54587D2E-9322-40F2-BF68-E1F869CA5CC7}">
      <text>
        <r>
          <rPr>
            <b/>
            <sz val="9"/>
            <color indexed="81"/>
            <rFont val="Tahoma"/>
            <family val="2"/>
          </rPr>
          <t>Steen Hertin-Sandkær:</t>
        </r>
        <r>
          <rPr>
            <sz val="9"/>
            <color indexed="81"/>
            <rFont val="Tahoma"/>
            <family val="2"/>
          </rPr>
          <t xml:space="preserve">
Natholdet fejer om morgenen.</t>
        </r>
      </text>
    </comment>
    <comment ref="I15" authorId="4" shapeId="0" xr:uid="{4957A4F9-341E-472B-AADD-132585B92CA8}">
      <text>
        <r>
          <rPr>
            <b/>
            <sz val="9"/>
            <color indexed="81"/>
            <rFont val="Tahoma"/>
            <family val="2"/>
          </rPr>
          <t>Rasmus Sørensen:</t>
        </r>
        <r>
          <rPr>
            <sz val="9"/>
            <color indexed="81"/>
            <rFont val="Tahoma"/>
            <family val="2"/>
          </rPr>
          <t xml:space="preserve">
omlagt tjeneste til brikker </t>
        </r>
      </text>
    </comment>
    <comment ref="J15" authorId="4" shapeId="0" xr:uid="{E13006AF-A523-4852-AC76-B997A02AB702}">
      <text>
        <r>
          <rPr>
            <b/>
            <sz val="9"/>
            <color indexed="81"/>
            <rFont val="Tahoma"/>
            <family val="2"/>
          </rPr>
          <t>Rasmus Sørensen:</t>
        </r>
        <r>
          <rPr>
            <sz val="9"/>
            <color indexed="81"/>
            <rFont val="Tahoma"/>
            <family val="2"/>
          </rPr>
          <t xml:space="preserve">
omlagt tjeneste til brikker </t>
        </r>
      </text>
    </comment>
    <comment ref="K15" authorId="4" shapeId="0" xr:uid="{175D65B2-E3A1-466E-BCB9-81D3940EF6BD}">
      <text>
        <r>
          <rPr>
            <b/>
            <sz val="9"/>
            <color indexed="81"/>
            <rFont val="Tahoma"/>
            <family val="2"/>
          </rPr>
          <t>Rasmus Sørensen:</t>
        </r>
        <r>
          <rPr>
            <sz val="9"/>
            <color indexed="81"/>
            <rFont val="Tahoma"/>
            <family val="2"/>
          </rPr>
          <t xml:space="preserve">
omlagt tjeneste til brikker </t>
        </r>
      </text>
    </comment>
    <comment ref="P15" authorId="4" shapeId="0" xr:uid="{D9AFC588-DC59-49CC-A2AC-F510F928347A}">
      <text>
        <r>
          <rPr>
            <b/>
            <sz val="9"/>
            <color indexed="81"/>
            <rFont val="Tahoma"/>
            <family val="2"/>
          </rPr>
          <t>Rasmus Sørensen:</t>
        </r>
        <r>
          <rPr>
            <sz val="9"/>
            <color indexed="81"/>
            <rFont val="Tahoma"/>
            <family val="2"/>
          </rPr>
          <t xml:space="preserve">
omlagt tjeneste - brikker</t>
        </r>
      </text>
    </comment>
    <comment ref="Q15" authorId="4" shapeId="0" xr:uid="{CC455437-114F-4A24-B668-DD162A7F0AAB}">
      <text>
        <r>
          <rPr>
            <b/>
            <sz val="9"/>
            <color indexed="81"/>
            <rFont val="Tahoma"/>
            <family val="2"/>
          </rPr>
          <t>Rasmus Sørensen:</t>
        </r>
        <r>
          <rPr>
            <sz val="9"/>
            <color indexed="81"/>
            <rFont val="Tahoma"/>
            <family val="2"/>
          </rPr>
          <t xml:space="preserve">
omlagt tjeneste - brikker</t>
        </r>
      </text>
    </comment>
    <comment ref="S15" authorId="4" shapeId="0" xr:uid="{DEDC8812-A007-4695-A414-BC50018FD361}">
      <text>
        <r>
          <rPr>
            <b/>
            <sz val="9"/>
            <color indexed="81"/>
            <rFont val="Tahoma"/>
            <family val="2"/>
          </rPr>
          <t>Rasmus Sørensen:</t>
        </r>
        <r>
          <rPr>
            <sz val="9"/>
            <color indexed="81"/>
            <rFont val="Tahoma"/>
            <family val="2"/>
          </rPr>
          <t xml:space="preserve">
omlagt tjeneste - brikker</t>
        </r>
      </text>
    </comment>
    <comment ref="T15" authorId="4" shapeId="0" xr:uid="{A78EEE9D-27E8-4FFF-BC76-AB444E7153CD}">
      <text>
        <r>
          <rPr>
            <b/>
            <sz val="9"/>
            <color indexed="81"/>
            <rFont val="Tahoma"/>
            <family val="2"/>
          </rPr>
          <t>Rasmus Sørensen:</t>
        </r>
        <r>
          <rPr>
            <sz val="9"/>
            <color indexed="81"/>
            <rFont val="Tahoma"/>
            <family val="2"/>
          </rPr>
          <t xml:space="preserve">
omlagt tjeneste - brikker</t>
        </r>
      </text>
    </comment>
    <comment ref="E17" authorId="1" shapeId="0" xr:uid="{75248AA0-8CDD-45D6-A4FB-7B991AFA7C8E}">
      <text>
        <r>
          <rPr>
            <b/>
            <sz val="9"/>
            <color indexed="81"/>
            <rFont val="Tahoma"/>
            <family val="2"/>
          </rPr>
          <t>Thomas Holm:</t>
        </r>
        <r>
          <rPr>
            <sz val="9"/>
            <color indexed="81"/>
            <rFont val="Tahoma"/>
            <family val="2"/>
          </rPr>
          <t xml:space="preserve">
Møde med Acela 
mm.</t>
        </r>
      </text>
    </comment>
    <comment ref="I17" authorId="1" shapeId="0" xr:uid="{5D36E5D9-9307-41A8-B79A-5A284426AEC8}">
      <text>
        <r>
          <rPr>
            <b/>
            <sz val="9"/>
            <color indexed="81"/>
            <rFont val="Tahoma"/>
            <family val="2"/>
          </rPr>
          <t>Thomas Holm:</t>
        </r>
        <r>
          <rPr>
            <sz val="9"/>
            <color indexed="81"/>
            <rFont val="Tahoma"/>
            <family val="2"/>
          </rPr>
          <t xml:space="preserve">
Gennemgang med PET og kongehuset</t>
        </r>
      </text>
    </comment>
    <comment ref="K17" authorId="1" shapeId="0" xr:uid="{6967C566-3536-4843-95F4-38D8327D258E}">
      <text>
        <r>
          <rPr>
            <b/>
            <sz val="9"/>
            <color indexed="81"/>
            <rFont val="Tahoma"/>
            <family val="2"/>
          </rPr>
          <t>Thomas Holm:</t>
        </r>
        <r>
          <rPr>
            <sz val="9"/>
            <color indexed="81"/>
            <rFont val="Tahoma"/>
            <family val="2"/>
          </rPr>
          <t xml:space="preserve">
Møde med Acela</t>
        </r>
      </text>
    </comment>
    <comment ref="M17" authorId="1" shapeId="0" xr:uid="{07A6B0D5-52B4-4EB9-BF43-9B3D49E035A4}">
      <text>
        <r>
          <rPr>
            <b/>
            <sz val="9"/>
            <color indexed="81"/>
            <rFont val="Tahoma"/>
            <family val="2"/>
          </rPr>
          <t>Thomas Holm:</t>
        </r>
        <r>
          <rPr>
            <sz val="9"/>
            <color indexed="81"/>
            <rFont val="Tahoma"/>
            <family val="2"/>
          </rPr>
          <t xml:space="preserve">
GRUS</t>
        </r>
      </text>
    </comment>
    <comment ref="N17" authorId="1" shapeId="0" xr:uid="{D669B965-212A-4A7E-B784-DAE960726D7C}">
      <text>
        <r>
          <rPr>
            <b/>
            <sz val="9"/>
            <color indexed="81"/>
            <rFont val="Tahoma"/>
            <family val="2"/>
          </rPr>
          <t>Thomas Holm:</t>
        </r>
        <r>
          <rPr>
            <sz val="9"/>
            <color indexed="81"/>
            <rFont val="Tahoma"/>
            <family val="2"/>
          </rPr>
          <t xml:space="preserve">
Dronningens Jubilæum
06.30- </t>
        </r>
      </text>
    </comment>
    <comment ref="X17" authorId="1" shapeId="0" xr:uid="{671D38EA-C6CD-44CE-9AA2-129784080896}">
      <text>
        <r>
          <rPr>
            <b/>
            <sz val="9"/>
            <color indexed="81"/>
            <rFont val="Tahoma"/>
            <family val="2"/>
          </rPr>
          <t>Thomas Holm:</t>
        </r>
        <r>
          <rPr>
            <sz val="9"/>
            <color indexed="81"/>
            <rFont val="Tahoma"/>
            <family val="2"/>
          </rPr>
          <t xml:space="preserve">
HBR netværksmøde</t>
        </r>
      </text>
    </comment>
    <comment ref="D20" authorId="0" shapeId="0" xr:uid="{A0731EF4-910B-4940-9F3F-52F9182B50DD}">
      <text>
        <r>
          <rPr>
            <b/>
            <sz val="9"/>
            <color indexed="81"/>
            <rFont val="Tahoma"/>
            <family val="2"/>
          </rPr>
          <t>marasm:</t>
        </r>
        <r>
          <rPr>
            <sz val="9"/>
            <color indexed="81"/>
            <rFont val="Tahoma"/>
            <family val="2"/>
          </rPr>
          <t xml:space="preserve">
Fintælling</t>
        </r>
      </text>
    </comment>
    <comment ref="H20" authorId="0" shapeId="0" xr:uid="{F3CF07B0-D4A6-4A5A-84B4-E7A9E086960E}">
      <text>
        <r>
          <rPr>
            <b/>
            <sz val="9"/>
            <color indexed="81"/>
            <rFont val="Tahoma"/>
            <family val="2"/>
          </rPr>
          <t>marasm:</t>
        </r>
        <r>
          <rPr>
            <sz val="9"/>
            <color indexed="81"/>
            <rFont val="Tahoma"/>
            <family val="2"/>
          </rPr>
          <t xml:space="preserve">
Åbenhus 9-16</t>
        </r>
      </text>
    </comment>
    <comment ref="N20" authorId="1" shapeId="0" xr:uid="{5300A22C-CE35-4456-A990-C768E868BC06}">
      <text>
        <r>
          <rPr>
            <b/>
            <sz val="9"/>
            <color indexed="81"/>
            <rFont val="Tahoma"/>
            <family val="2"/>
          </rPr>
          <t>Thomas Holm:</t>
        </r>
        <r>
          <rPr>
            <sz val="9"/>
            <color indexed="81"/>
            <rFont val="Tahoma"/>
            <family val="2"/>
          </rPr>
          <t xml:space="preserve">
Dronningens Jubilæum
09.00- </t>
        </r>
      </text>
    </comment>
    <comment ref="V20" authorId="3" shapeId="0" xr:uid="{521E8304-3A15-4C14-8430-3F035C91821C}">
      <text>
        <r>
          <rPr>
            <b/>
            <sz val="9"/>
            <color indexed="81"/>
            <rFont val="Tahoma"/>
            <family val="2"/>
          </rPr>
          <t>Steen Hertin-Sandkær:</t>
        </r>
        <r>
          <rPr>
            <sz val="9"/>
            <color indexed="81"/>
            <rFont val="Tahoma"/>
            <family val="2"/>
          </rPr>
          <t xml:space="preserve">
Metro 08-15</t>
        </r>
      </text>
    </comment>
    <comment ref="C21" authorId="4" shapeId="0" xr:uid="{680F06A7-BF76-4A5D-8257-4073066C04CD}">
      <text>
        <r>
          <rPr>
            <b/>
            <sz val="9"/>
            <color indexed="81"/>
            <rFont val="Tahoma"/>
            <family val="2"/>
          </rPr>
          <t>Rasmus Sørensen:</t>
        </r>
        <r>
          <rPr>
            <sz val="9"/>
            <color indexed="81"/>
            <rFont val="Tahoma"/>
            <family val="2"/>
          </rPr>
          <t xml:space="preserve">
Fintælling</t>
        </r>
      </text>
    </comment>
    <comment ref="D21" authorId="0" shapeId="0" xr:uid="{5DB27847-E3BD-4C19-A226-47E6797F076F}">
      <text>
        <r>
          <rPr>
            <b/>
            <sz val="9"/>
            <color indexed="81"/>
            <rFont val="Tahoma"/>
            <family val="2"/>
          </rPr>
          <t>marasm:</t>
        </r>
        <r>
          <rPr>
            <sz val="9"/>
            <color indexed="81"/>
            <rFont val="Tahoma"/>
            <family val="2"/>
          </rPr>
          <t xml:space="preserve">
Fintælling</t>
        </r>
      </text>
    </comment>
    <comment ref="J21" authorId="5" shapeId="0" xr:uid="{DE291D28-AC69-4662-98C2-A0C4B3238FF8}">
      <text>
        <r>
          <rPr>
            <b/>
            <sz val="9"/>
            <color indexed="81"/>
            <rFont val="Tahoma"/>
            <family val="2"/>
          </rPr>
          <t>Mathias :Hartvig Morell Nielsen:</t>
        </r>
        <r>
          <rPr>
            <sz val="9"/>
            <color indexed="81"/>
            <rFont val="Tahoma"/>
            <family val="2"/>
          </rPr>
          <t xml:space="preserve">
Møder kl. 19:30</t>
        </r>
      </text>
    </comment>
    <comment ref="K21" authorId="5" shapeId="0" xr:uid="{5C9AB2F9-1266-4835-963A-1F82C1A2CF63}">
      <text>
        <r>
          <rPr>
            <b/>
            <sz val="9"/>
            <color indexed="81"/>
            <rFont val="Tahoma"/>
            <family val="2"/>
          </rPr>
          <t>Mathias Hartvig Morell Nielsen:</t>
        </r>
        <r>
          <rPr>
            <sz val="9"/>
            <color indexed="81"/>
            <rFont val="Tahoma"/>
            <family val="2"/>
          </rPr>
          <t xml:space="preserve">
Møder kl. 19.00</t>
        </r>
      </text>
    </comment>
    <comment ref="C22" authorId="0" shapeId="0" xr:uid="{1A77A59A-CEDA-4877-9073-78B2E5CD3C94}">
      <text>
        <r>
          <rPr>
            <b/>
            <sz val="9"/>
            <color indexed="81"/>
            <rFont val="Tahoma"/>
            <family val="2"/>
          </rPr>
          <t>marasm:</t>
        </r>
        <r>
          <rPr>
            <sz val="9"/>
            <color indexed="81"/>
            <rFont val="Tahoma"/>
            <family val="2"/>
          </rPr>
          <t xml:space="preserve">
Fintælling + halvt bud i Hal C.</t>
        </r>
      </text>
    </comment>
    <comment ref="D22" authorId="0" shapeId="0" xr:uid="{F4591EDF-71D7-4C83-8755-237B9A7105B2}">
      <text>
        <r>
          <rPr>
            <b/>
            <sz val="9"/>
            <color indexed="81"/>
            <rFont val="Tahoma"/>
            <family val="2"/>
          </rPr>
          <t>marasm:</t>
        </r>
        <r>
          <rPr>
            <sz val="9"/>
            <color indexed="81"/>
            <rFont val="Tahoma"/>
            <family val="2"/>
          </rPr>
          <t xml:space="preserve">
Fintælling</t>
        </r>
      </text>
    </comment>
    <comment ref="H22" authorId="0" shapeId="0" xr:uid="{94D84F93-BEBC-4D8B-876E-8BE778AB47BC}">
      <text>
        <r>
          <rPr>
            <b/>
            <sz val="9"/>
            <color indexed="81"/>
            <rFont val="Tahoma"/>
            <family val="2"/>
          </rPr>
          <t>marasm:</t>
        </r>
        <r>
          <rPr>
            <sz val="9"/>
            <color indexed="81"/>
            <rFont val="Tahoma"/>
            <family val="2"/>
          </rPr>
          <t xml:space="preserve">
Åbenhus 9-16</t>
        </r>
      </text>
    </comment>
    <comment ref="X22" authorId="0" shapeId="0" xr:uid="{D4A60C59-197F-4391-A84B-DBB9B50C10B3}">
      <text>
        <r>
          <rPr>
            <b/>
            <sz val="9"/>
            <color indexed="81"/>
            <rFont val="Tahoma"/>
            <family val="2"/>
          </rPr>
          <t>marasm:</t>
        </r>
        <r>
          <rPr>
            <sz val="9"/>
            <color indexed="81"/>
            <rFont val="Tahoma"/>
            <family val="2"/>
          </rPr>
          <t xml:space="preserve">
TMF juletræ kl.13-20,45
</t>
        </r>
      </text>
    </comment>
    <comment ref="C24" authorId="0" shapeId="0" xr:uid="{28E20BAD-2C1E-4FED-8C32-B96D7D680A82}">
      <text>
        <r>
          <rPr>
            <b/>
            <sz val="9"/>
            <color indexed="81"/>
            <rFont val="Tahoma"/>
            <family val="2"/>
          </rPr>
          <t>marasm:</t>
        </r>
        <r>
          <rPr>
            <sz val="9"/>
            <color indexed="81"/>
            <rFont val="Tahoma"/>
            <family val="2"/>
          </rPr>
          <t xml:space="preserve">
1 Bud</t>
        </r>
      </text>
    </comment>
    <comment ref="D24" authorId="0" shapeId="0" xr:uid="{9918B80F-DD97-4305-9273-C2835A6B0CDC}">
      <text>
        <r>
          <rPr>
            <b/>
            <sz val="9"/>
            <color indexed="81"/>
            <rFont val="Tahoma"/>
            <family val="2"/>
          </rPr>
          <t>marasm:</t>
        </r>
        <r>
          <rPr>
            <sz val="9"/>
            <color indexed="81"/>
            <rFont val="Tahoma"/>
            <family val="2"/>
          </rPr>
          <t xml:space="preserve">
Fintælling</t>
        </r>
      </text>
    </comment>
    <comment ref="AE25" authorId="2" shapeId="0" xr:uid="{56578ABD-1A25-479F-A870-B114F9C03713}">
      <text>
        <r>
          <rPr>
            <b/>
            <sz val="9"/>
            <color indexed="81"/>
            <rFont val="Tahoma"/>
            <family val="2"/>
          </rPr>
          <t>Steen Hertin:</t>
        </r>
        <r>
          <rPr>
            <sz val="9"/>
            <color indexed="81"/>
            <rFont val="Tahoma"/>
            <family val="2"/>
          </rPr>
          <t xml:space="preserve">
Hjølpe med tårntur kl. 14.00</t>
        </r>
      </text>
    </comment>
    <comment ref="C26" authorId="5" shapeId="0" xr:uid="{A045D0DE-EC21-43BC-BD73-537DD0F32C27}">
      <text>
        <r>
          <rPr>
            <b/>
            <sz val="9"/>
            <color indexed="81"/>
            <rFont val="Tahoma"/>
            <family val="2"/>
          </rPr>
          <t>Mathias Hartvig Morell Nielsen:</t>
        </r>
        <r>
          <rPr>
            <sz val="9"/>
            <color indexed="81"/>
            <rFont val="Tahoma"/>
            <family val="2"/>
          </rPr>
          <t xml:space="preserve">
Vagt skal blive på rentemestervej til 21.30</t>
        </r>
      </text>
    </comment>
    <comment ref="AF26" authorId="5" shapeId="0" xr:uid="{68BCE7A9-F742-4CC1-A2D0-3DA21ED9C33C}">
      <text>
        <r>
          <rPr>
            <b/>
            <sz val="9"/>
            <color indexed="81"/>
            <rFont val="Tahoma"/>
            <family val="2"/>
          </rPr>
          <t>Mathias Hartvig Morell Nielsen:</t>
        </r>
        <r>
          <rPr>
            <sz val="9"/>
            <color indexed="81"/>
            <rFont val="Tahoma"/>
            <family val="2"/>
          </rPr>
          <t xml:space="preserve">
Vagt skal blive på rentemestervej til 22.15</t>
        </r>
      </text>
    </comment>
    <comment ref="C37" authorId="3" shapeId="0" xr:uid="{5720703C-44E4-4ECF-9ABB-3724EC14D6C5}">
      <text>
        <r>
          <rPr>
            <b/>
            <sz val="9"/>
            <color indexed="81"/>
            <rFont val="Tahoma"/>
            <family val="2"/>
          </rPr>
          <t>Steen Hertin-Sandkær:</t>
        </r>
        <r>
          <rPr>
            <sz val="9"/>
            <color indexed="81"/>
            <rFont val="Tahoma"/>
            <family val="2"/>
          </rPr>
          <t xml:space="preserve">
Valgsted Hal C. 1. bud</t>
        </r>
      </text>
    </comment>
    <comment ref="D37" authorId="0" shapeId="0" xr:uid="{57F25BF1-A2FD-45AA-B415-5D00DC0A8463}">
      <text>
        <r>
          <rPr>
            <b/>
            <sz val="9"/>
            <color indexed="81"/>
            <rFont val="Tahoma"/>
            <family val="2"/>
          </rPr>
          <t>marasm:</t>
        </r>
        <r>
          <rPr>
            <sz val="9"/>
            <color indexed="81"/>
            <rFont val="Tahoma"/>
            <family val="2"/>
          </rPr>
          <t xml:space="preserve">
Fintælling</t>
        </r>
      </text>
    </comment>
    <comment ref="C38" authorId="0" shapeId="0" xr:uid="{E8ABC1E8-62CB-4298-A888-9ABE28F5A536}">
      <text>
        <r>
          <rPr>
            <b/>
            <sz val="9"/>
            <color indexed="81"/>
            <rFont val="Tahoma"/>
            <family val="2"/>
          </rPr>
          <t>marasm:</t>
        </r>
        <r>
          <rPr>
            <sz val="9"/>
            <color indexed="81"/>
            <rFont val="Tahoma"/>
            <family val="2"/>
          </rPr>
          <t xml:space="preserve">
Fintælling</t>
        </r>
      </text>
    </comment>
    <comment ref="D38" authorId="0" shapeId="0" xr:uid="{203A6413-1395-4F1B-AB1D-206A48124A9F}">
      <text>
        <r>
          <rPr>
            <b/>
            <sz val="9"/>
            <color indexed="81"/>
            <rFont val="Tahoma"/>
            <family val="2"/>
          </rPr>
          <t>marasm:</t>
        </r>
        <r>
          <rPr>
            <sz val="9"/>
            <color indexed="81"/>
            <rFont val="Tahoma"/>
            <family val="2"/>
          </rPr>
          <t xml:space="preserve">
Fintælling</t>
        </r>
      </text>
    </comment>
    <comment ref="N38" authorId="1" shapeId="0" xr:uid="{EEA0497A-EE38-4C2C-8F05-D01303CE3A40}">
      <text>
        <r>
          <rPr>
            <b/>
            <sz val="9"/>
            <color indexed="81"/>
            <rFont val="Tahoma"/>
            <family val="2"/>
          </rPr>
          <t>Thomas Holm:</t>
        </r>
        <r>
          <rPr>
            <sz val="9"/>
            <color indexed="81"/>
            <rFont val="Tahoma"/>
            <family val="2"/>
          </rPr>
          <t xml:space="preserve">
Dronningens Jubilæum
08.30- </t>
        </r>
      </text>
    </comment>
    <comment ref="C46" authorId="3" shapeId="0" xr:uid="{B46B4C76-9885-4168-92AB-794B109F7458}">
      <text>
        <r>
          <rPr>
            <b/>
            <sz val="9"/>
            <color indexed="81"/>
            <rFont val="Tahoma"/>
            <family val="2"/>
          </rPr>
          <t>Steen Hertin-Sandkær:</t>
        </r>
        <r>
          <rPr>
            <sz val="9"/>
            <color indexed="81"/>
            <rFont val="Tahoma"/>
            <family val="2"/>
          </rPr>
          <t xml:space="preserve">
1 bud Tingbjerg skole.</t>
        </r>
      </text>
    </comment>
    <comment ref="AC46" authorId="6" shapeId="0" xr:uid="{F888EB20-C4B0-4F3D-AB8D-3FA96922ACE7}">
      <text>
        <r>
          <rPr>
            <b/>
            <sz val="9"/>
            <color indexed="81"/>
            <rFont val="Tahoma"/>
            <family val="2"/>
          </rPr>
          <t>Marianne Rasmussen:</t>
        </r>
        <r>
          <rPr>
            <sz val="9"/>
            <color indexed="81"/>
            <rFont val="Tahoma"/>
            <family val="2"/>
          </rPr>
          <t xml:space="preserve">
Rundvisning på OA</t>
        </r>
      </text>
    </comment>
    <comment ref="N49" authorId="7" shapeId="0" xr:uid="{3531C864-5F52-485B-9A8A-F098F55236C5}">
      <text>
        <r>
          <rPr>
            <b/>
            <sz val="9"/>
            <color indexed="81"/>
            <rFont val="Tahoma"/>
            <family val="2"/>
          </rPr>
          <t>Kim Holm Aabroe:</t>
        </r>
        <r>
          <rPr>
            <sz val="9"/>
            <color indexed="81"/>
            <rFont val="Tahoma"/>
            <family val="2"/>
          </rPr>
          <t xml:space="preserve">
oa fra 07.00-08.45</t>
        </r>
      </text>
    </comment>
    <comment ref="H61" authorId="0" shapeId="0" xr:uid="{0D723AE4-F375-4C19-90A5-A12DB2B48981}">
      <text>
        <r>
          <rPr>
            <b/>
            <sz val="9"/>
            <color indexed="81"/>
            <rFont val="Tahoma"/>
            <family val="2"/>
          </rPr>
          <t>marasm:</t>
        </r>
        <r>
          <rPr>
            <sz val="9"/>
            <color indexed="81"/>
            <rFont val="Tahoma"/>
            <family val="2"/>
          </rPr>
          <t xml:space="preserve">
Åbenhus 9-16 derefter KA-vagt  alt på OA.</t>
        </r>
      </text>
    </comment>
    <comment ref="N61" authorId="1" shapeId="0" xr:uid="{E6EFE828-977F-4150-A46B-7980E3D23377}">
      <text>
        <r>
          <rPr>
            <b/>
            <sz val="9"/>
            <color indexed="81"/>
            <rFont val="Tahoma"/>
            <family val="2"/>
          </rPr>
          <t>Thomas Holm:</t>
        </r>
        <r>
          <rPr>
            <sz val="9"/>
            <color indexed="81"/>
            <rFont val="Tahoma"/>
            <family val="2"/>
          </rPr>
          <t xml:space="preserve">
Dronningens Jubilæum
08.30- </t>
        </r>
      </text>
    </comment>
    <comment ref="N62" authorId="1" shapeId="0" xr:uid="{50D30E1D-593A-43AC-A0A6-380465D2F314}">
      <text>
        <r>
          <rPr>
            <b/>
            <sz val="9"/>
            <color indexed="81"/>
            <rFont val="Tahoma"/>
            <family val="2"/>
          </rPr>
          <t>Thomas Holm:</t>
        </r>
        <r>
          <rPr>
            <sz val="9"/>
            <color indexed="81"/>
            <rFont val="Tahoma"/>
            <family val="2"/>
          </rPr>
          <t xml:space="preserve">
Dronningens Jubilæum
09.00- 16.30</t>
        </r>
      </text>
    </comment>
    <comment ref="P62" authorId="2" shapeId="0" xr:uid="{5FA3A810-1343-4C83-89B7-A0A5B71B6529}">
      <text>
        <r>
          <rPr>
            <b/>
            <sz val="9"/>
            <color indexed="81"/>
            <rFont val="Tahoma"/>
            <family val="2"/>
          </rPr>
          <t>Steen Hertin:</t>
        </r>
        <r>
          <rPr>
            <sz val="9"/>
            <color indexed="81"/>
            <rFont val="Tahoma"/>
            <family val="2"/>
          </rPr>
          <t xml:space="preserve">
S1 på OA</t>
        </r>
      </text>
    </comment>
    <comment ref="Q62" authorId="2" shapeId="0" xr:uid="{5350A048-FC77-4845-AD56-AF628E4E7965}">
      <text>
        <r>
          <rPr>
            <b/>
            <sz val="9"/>
            <color indexed="81"/>
            <rFont val="Tahoma"/>
            <family val="2"/>
          </rPr>
          <t>Steen Hertin:</t>
        </r>
        <r>
          <rPr>
            <sz val="9"/>
            <color indexed="81"/>
            <rFont val="Tahoma"/>
            <family val="2"/>
          </rPr>
          <t xml:space="preserve">
S1 på OA</t>
        </r>
      </text>
    </comment>
    <comment ref="R62" authorId="2" shapeId="0" xr:uid="{06AC269E-669C-4313-A91B-959B5145EF60}">
      <text>
        <r>
          <rPr>
            <b/>
            <sz val="9"/>
            <color indexed="81"/>
            <rFont val="Tahoma"/>
            <family val="2"/>
          </rPr>
          <t>Steen Hertin:</t>
        </r>
        <r>
          <rPr>
            <sz val="9"/>
            <color indexed="81"/>
            <rFont val="Tahoma"/>
            <family val="2"/>
          </rPr>
          <t xml:space="preserve">
S1 på OA</t>
        </r>
      </text>
    </comment>
    <comment ref="S62" authorId="2" shapeId="0" xr:uid="{3DBB1EC8-9B5C-4F81-B81E-86F922CBD60A}">
      <text>
        <r>
          <rPr>
            <b/>
            <sz val="9"/>
            <color indexed="81"/>
            <rFont val="Tahoma"/>
            <family val="2"/>
          </rPr>
          <t>Steen Hertin:</t>
        </r>
        <r>
          <rPr>
            <sz val="9"/>
            <color indexed="81"/>
            <rFont val="Tahoma"/>
            <family val="2"/>
          </rPr>
          <t xml:space="preserve">
S1 på OA</t>
        </r>
      </text>
    </comment>
    <comment ref="T62" authorId="2" shapeId="0" xr:uid="{1BD4AD59-4B25-400D-9B19-7CE04D1DA246}">
      <text>
        <r>
          <rPr>
            <b/>
            <sz val="9"/>
            <color indexed="81"/>
            <rFont val="Tahoma"/>
            <family val="2"/>
          </rPr>
          <t>Steen Hertin:</t>
        </r>
        <r>
          <rPr>
            <sz val="9"/>
            <color indexed="81"/>
            <rFont val="Tahoma"/>
            <family val="2"/>
          </rPr>
          <t xml:space="preserve">
S1 på OA</t>
        </r>
      </text>
    </comment>
    <comment ref="U62" authorId="3" shapeId="0" xr:uid="{FB1D14A5-9608-4622-8A75-9081C6ADA388}">
      <text>
        <r>
          <rPr>
            <b/>
            <sz val="9"/>
            <color indexed="81"/>
            <rFont val="Tahoma"/>
            <family val="2"/>
          </rPr>
          <t>Steen Hertin-Sandkær:</t>
        </r>
        <r>
          <rPr>
            <sz val="9"/>
            <color indexed="81"/>
            <rFont val="Tahoma"/>
            <family val="2"/>
          </rPr>
          <t xml:space="preserve">
Metro 08-15</t>
        </r>
      </text>
    </comment>
    <comment ref="W62" authorId="3" shapeId="0" xr:uid="{5AE6075B-21F5-44C7-B915-5A25DFC4EF99}">
      <text>
        <r>
          <rPr>
            <b/>
            <sz val="9"/>
            <color indexed="81"/>
            <rFont val="Tahoma"/>
            <family val="2"/>
          </rPr>
          <t>Steen Hertin-Sandkær:</t>
        </r>
        <r>
          <rPr>
            <sz val="9"/>
            <color indexed="81"/>
            <rFont val="Tahoma"/>
            <family val="2"/>
          </rPr>
          <t xml:space="preserve">
Metro 08-15 på OA</t>
        </r>
      </text>
    </comment>
    <comment ref="X62" authorId="3" shapeId="0" xr:uid="{942EB969-BC09-4CD3-862F-B8E0BEFB2DDE}">
      <text>
        <r>
          <rPr>
            <b/>
            <sz val="9"/>
            <color indexed="81"/>
            <rFont val="Tahoma"/>
            <family val="2"/>
          </rPr>
          <t>Steen Hertin-Sandkær:</t>
        </r>
        <r>
          <rPr>
            <sz val="9"/>
            <color indexed="81"/>
            <rFont val="Tahoma"/>
            <family val="2"/>
          </rPr>
          <t xml:space="preserve">
Metro 08-15 på OA</t>
        </r>
      </text>
    </comment>
    <comment ref="Y62" authorId="3" shapeId="0" xr:uid="{A93F3059-4066-436F-9CAA-F6A712FAE8F0}">
      <text>
        <r>
          <rPr>
            <b/>
            <sz val="9"/>
            <color indexed="81"/>
            <rFont val="Tahoma"/>
            <family val="2"/>
          </rPr>
          <t>Steen Hertin-Sandkær:</t>
        </r>
        <r>
          <rPr>
            <sz val="9"/>
            <color indexed="81"/>
            <rFont val="Tahoma"/>
            <family val="2"/>
          </rPr>
          <t xml:space="preserve">
Metro 08-15 på OA</t>
        </r>
      </text>
    </comment>
    <comment ref="Z62" authorId="3" shapeId="0" xr:uid="{71FFA647-E9F8-41C3-8A01-55606DDD5F7F}">
      <text>
        <r>
          <rPr>
            <b/>
            <sz val="9"/>
            <color indexed="81"/>
            <rFont val="Tahoma"/>
            <family val="2"/>
          </rPr>
          <t>Steen Hertin-Sandkær:</t>
        </r>
        <r>
          <rPr>
            <sz val="9"/>
            <color indexed="81"/>
            <rFont val="Tahoma"/>
            <family val="2"/>
          </rPr>
          <t xml:space="preserve">
Metro 08-15 på OA</t>
        </r>
      </text>
    </comment>
    <comment ref="AA62" authorId="3" shapeId="0" xr:uid="{CFDCCD98-6DE7-4B66-9C40-B85E6CB7A435}">
      <text>
        <r>
          <rPr>
            <b/>
            <sz val="9"/>
            <color indexed="81"/>
            <rFont val="Tahoma"/>
            <family val="2"/>
          </rPr>
          <t>Steen Hertin-Sandkær:</t>
        </r>
        <r>
          <rPr>
            <sz val="9"/>
            <color indexed="81"/>
            <rFont val="Tahoma"/>
            <family val="2"/>
          </rPr>
          <t xml:space="preserve">
Metro 08-15 på OA</t>
        </r>
      </text>
    </comment>
    <comment ref="AB62" authorId="3" shapeId="0" xr:uid="{6A9DD070-5770-4CEF-AF1B-03E370457563}">
      <text>
        <r>
          <rPr>
            <b/>
            <sz val="9"/>
            <color indexed="81"/>
            <rFont val="Tahoma"/>
            <family val="2"/>
          </rPr>
          <t>Steen Hertin-Sandkær:</t>
        </r>
        <r>
          <rPr>
            <sz val="9"/>
            <color indexed="81"/>
            <rFont val="Tahoma"/>
            <family val="2"/>
          </rPr>
          <t xml:space="preserve">
Metro 08-15</t>
        </r>
      </text>
    </comment>
    <comment ref="D63" authorId="3" shapeId="0" xr:uid="{03B8E568-424A-403B-B5BF-90F39CC6576F}">
      <text>
        <r>
          <rPr>
            <b/>
            <sz val="9"/>
            <color indexed="81"/>
            <rFont val="Tahoma"/>
            <family val="2"/>
          </rPr>
          <t>Steen Hertin-Sandkær:S3 på OA</t>
        </r>
      </text>
    </comment>
    <comment ref="F63" authorId="3" shapeId="0" xr:uid="{5C124E99-6182-4E9B-87B5-90548CF3BA91}">
      <text>
        <r>
          <rPr>
            <b/>
            <sz val="9"/>
            <color indexed="81"/>
            <rFont val="Tahoma"/>
            <family val="2"/>
          </rPr>
          <t>Steen Hertin-Sandkær:S3 på OA</t>
        </r>
      </text>
    </comment>
    <comment ref="H63" authorId="0" shapeId="0" xr:uid="{BA81D557-E971-401E-BD0D-E65DF59F6788}">
      <text>
        <r>
          <rPr>
            <b/>
            <sz val="9"/>
            <color indexed="81"/>
            <rFont val="Tahoma"/>
            <family val="2"/>
          </rPr>
          <t>marasm:</t>
        </r>
        <r>
          <rPr>
            <sz val="9"/>
            <color indexed="81"/>
            <rFont val="Tahoma"/>
            <family val="2"/>
          </rPr>
          <t xml:space="preserve">
Åbenhus 9-16</t>
        </r>
      </text>
    </comment>
    <comment ref="N63" authorId="3" shapeId="0" xr:uid="{8B036D70-D26F-4E35-863B-A077A1F28C98}">
      <text>
        <r>
          <rPr>
            <b/>
            <sz val="9"/>
            <color indexed="81"/>
            <rFont val="Tahoma"/>
            <family val="2"/>
          </rPr>
          <t>Steen Hertin-Sandkær:</t>
        </r>
        <r>
          <rPr>
            <sz val="9"/>
            <color indexed="81"/>
            <rFont val="Tahoma"/>
            <family val="2"/>
          </rPr>
          <t xml:space="preserve">
S5 på OA.</t>
        </r>
      </text>
    </comment>
    <comment ref="O63" authorId="3" shapeId="0" xr:uid="{B1A0CCD4-0566-4F34-ACCB-410BF92AB74E}">
      <text>
        <r>
          <rPr>
            <b/>
            <sz val="9"/>
            <color indexed="81"/>
            <rFont val="Tahoma"/>
            <family val="2"/>
          </rPr>
          <t>Steen Hertin-Sandkær:</t>
        </r>
        <r>
          <rPr>
            <sz val="9"/>
            <color indexed="81"/>
            <rFont val="Tahoma"/>
            <family val="2"/>
          </rPr>
          <t xml:space="preserve">
S5 på OA.</t>
        </r>
      </text>
    </comment>
    <comment ref="Q63" authorId="3" shapeId="0" xr:uid="{153DCA8B-B747-4C2A-AE05-2E94C097B1AA}">
      <text>
        <r>
          <rPr>
            <b/>
            <sz val="9"/>
            <color indexed="81"/>
            <rFont val="Tahoma"/>
            <family val="2"/>
          </rPr>
          <t>Steen Hertin-Sandkær:</t>
        </r>
        <r>
          <rPr>
            <sz val="9"/>
            <color indexed="81"/>
            <rFont val="Tahoma"/>
            <family val="2"/>
          </rPr>
          <t xml:space="preserve">
Metor 08-15 på OA.</t>
        </r>
      </text>
    </comment>
    <comment ref="T63" authorId="3" shapeId="0" xr:uid="{469A6081-5021-44B9-8FCE-17F8674C5634}">
      <text>
        <r>
          <rPr>
            <b/>
            <sz val="9"/>
            <color indexed="81"/>
            <rFont val="Tahoma"/>
            <family val="2"/>
          </rPr>
          <t>Steen Hertin-Sandkær:</t>
        </r>
        <r>
          <rPr>
            <sz val="9"/>
            <color indexed="81"/>
            <rFont val="Tahoma"/>
            <family val="2"/>
          </rPr>
          <t xml:space="preserve">
Metro 08-15 på OA.</t>
        </r>
      </text>
    </comment>
    <comment ref="AC63" authorId="3" shapeId="0" xr:uid="{A1CE2799-9AB0-43FD-998C-9F1B77312EAD}">
      <text>
        <r>
          <rPr>
            <b/>
            <sz val="9"/>
            <color indexed="81"/>
            <rFont val="Tahoma"/>
            <family val="2"/>
          </rPr>
          <t>Steen Hertin-Sandkær:</t>
        </r>
        <r>
          <rPr>
            <sz val="9"/>
            <color indexed="81"/>
            <rFont val="Tahoma"/>
            <family val="2"/>
          </rPr>
          <t xml:space="preserve">
Metro 08-15</t>
        </r>
      </text>
    </comment>
    <comment ref="AD63" authorId="2" shapeId="0" xr:uid="{4387BED3-56AA-44D8-9DA0-A3CF7D75DACD}">
      <text>
        <r>
          <rPr>
            <b/>
            <sz val="9"/>
            <color indexed="81"/>
            <rFont val="Tahoma"/>
            <family val="2"/>
          </rPr>
          <t>Steen Hertin:</t>
        </r>
        <r>
          <rPr>
            <sz val="9"/>
            <color indexed="81"/>
            <rFont val="Tahoma"/>
            <family val="2"/>
          </rPr>
          <t xml:space="preserve">
Metro kl. 08-15 på OA</t>
        </r>
      </text>
    </comment>
    <comment ref="C64" authorId="3" shapeId="0" xr:uid="{9908FD5C-52A5-4429-8F35-B3F8CDEC6DCC}">
      <text>
        <r>
          <rPr>
            <b/>
            <sz val="9"/>
            <color indexed="81"/>
            <rFont val="Tahoma"/>
            <family val="2"/>
          </rPr>
          <t>Steen Hertin-Sandkær:</t>
        </r>
        <r>
          <rPr>
            <sz val="9"/>
            <color indexed="81"/>
            <rFont val="Tahoma"/>
            <family val="2"/>
          </rPr>
          <t xml:space="preserve">
Metro kl. 10.00-15.00 på OA.</t>
        </r>
      </text>
    </comment>
    <comment ref="E64" authorId="3" shapeId="0" xr:uid="{3CF417A9-3728-4D00-92F3-55107F25FF7A}">
      <text>
        <r>
          <rPr>
            <b/>
            <sz val="9"/>
            <color indexed="81"/>
            <rFont val="Tahoma"/>
            <family val="2"/>
          </rPr>
          <t>Steen Hertin-Sandkær:</t>
        </r>
        <r>
          <rPr>
            <sz val="9"/>
            <color indexed="81"/>
            <rFont val="Tahoma"/>
            <family val="2"/>
          </rPr>
          <t xml:space="preserve">
Metro kl. 08.00-15.00 på OA.</t>
        </r>
      </text>
    </comment>
    <comment ref="H64" authorId="8" shapeId="0" xr:uid="{5E76984D-1DCA-4213-9BA3-CFC002BA0477}">
      <text>
        <r>
          <rPr>
            <b/>
            <sz val="9"/>
            <color indexed="81"/>
            <rFont val="Tahoma"/>
            <family val="2"/>
          </rPr>
          <t>Michael Bo Pedersen:</t>
        </r>
        <r>
          <rPr>
            <sz val="9"/>
            <color indexed="81"/>
            <rFont val="Tahoma"/>
            <family val="2"/>
          </rPr>
          <t xml:space="preserve">
Rentemestervej til kl 01.30 på OA</t>
        </r>
      </text>
    </comment>
    <comment ref="S64" authorId="3" shapeId="0" xr:uid="{4338FD97-B07D-4A03-804D-E2117589F410}">
      <text>
        <r>
          <rPr>
            <b/>
            <sz val="9"/>
            <color indexed="81"/>
            <rFont val="Tahoma"/>
            <family val="2"/>
          </rPr>
          <t>Steen Hertin-Sandkær:</t>
        </r>
        <r>
          <rPr>
            <sz val="9"/>
            <color indexed="81"/>
            <rFont val="Tahoma"/>
            <family val="2"/>
          </rPr>
          <t xml:space="preserve">
Metro 08-15 på OA</t>
        </r>
      </text>
    </comment>
    <comment ref="C66" authorId="4" shapeId="0" xr:uid="{45FE9D23-7574-4330-8A2E-609CCC3E967C}">
      <text>
        <r>
          <rPr>
            <b/>
            <sz val="9"/>
            <color indexed="81"/>
            <rFont val="Tahoma"/>
            <family val="2"/>
          </rPr>
          <t>Rasmus Sørensen:</t>
        </r>
        <r>
          <rPr>
            <sz val="9"/>
            <color indexed="81"/>
            <rFont val="Tahoma"/>
            <family val="2"/>
          </rPr>
          <t xml:space="preserve">
valg fra kl. 18</t>
        </r>
      </text>
    </comment>
    <comment ref="D66" authorId="4" shapeId="0" xr:uid="{0AE3D54D-076D-448B-BB03-22A6138FE5B5}">
      <text>
        <r>
          <rPr>
            <b/>
            <sz val="9"/>
            <color indexed="81"/>
            <rFont val="Tahoma"/>
            <family val="2"/>
          </rPr>
          <t>Rasmus Sørensen:</t>
        </r>
        <r>
          <rPr>
            <sz val="9"/>
            <color indexed="81"/>
            <rFont val="Tahoma"/>
            <family val="2"/>
          </rPr>
          <t xml:space="preserve">
Fintælling</t>
        </r>
      </text>
    </comment>
    <comment ref="H66" authorId="0" shapeId="0" xr:uid="{B6B69EB6-12FB-4B94-BC33-26ED107F30CB}">
      <text>
        <r>
          <rPr>
            <b/>
            <sz val="9"/>
            <color indexed="81"/>
            <rFont val="Tahoma"/>
            <family val="2"/>
          </rPr>
          <t>marasm:</t>
        </r>
        <r>
          <rPr>
            <sz val="9"/>
            <color indexed="81"/>
            <rFont val="Tahoma"/>
            <family val="2"/>
          </rPr>
          <t xml:space="preserve">
Åbenhus 9-16</t>
        </r>
      </text>
    </comment>
    <comment ref="N66" authorId="1" shapeId="0" xr:uid="{25FD6A6B-6F60-4A84-BCB7-4ADC20B01C94}">
      <text>
        <r>
          <rPr>
            <b/>
            <sz val="9"/>
            <color indexed="81"/>
            <rFont val="Tahoma"/>
            <family val="2"/>
          </rPr>
          <t>Thomas Holm:</t>
        </r>
        <r>
          <rPr>
            <sz val="9"/>
            <color indexed="81"/>
            <rFont val="Tahoma"/>
            <family val="2"/>
          </rPr>
          <t xml:space="preserve">
Dronningens Jubilæum
09.00- </t>
        </r>
      </text>
    </comment>
    <comment ref="N67" authorId="1" shapeId="0" xr:uid="{BDF54034-6D0A-411C-9739-422717B307B7}">
      <text>
        <r>
          <rPr>
            <b/>
            <sz val="9"/>
            <color indexed="81"/>
            <rFont val="Tahoma"/>
            <family val="2"/>
          </rPr>
          <t>Thomas Holm:</t>
        </r>
        <r>
          <rPr>
            <sz val="9"/>
            <color indexed="81"/>
            <rFont val="Tahoma"/>
            <family val="2"/>
          </rPr>
          <t xml:space="preserve">
Dronningens Jubilæum
09.00- </t>
        </r>
      </text>
    </comment>
    <comment ref="AB67" authorId="2" shapeId="0" xr:uid="{3F36EA90-39FB-45D0-9DD9-52534527B3F8}">
      <text>
        <r>
          <rPr>
            <b/>
            <sz val="9"/>
            <color indexed="81"/>
            <rFont val="Tahoma"/>
            <family val="2"/>
          </rPr>
          <t>Steen Hertin:</t>
        </r>
        <r>
          <rPr>
            <sz val="9"/>
            <color indexed="81"/>
            <rFont val="Tahoma"/>
            <family val="2"/>
          </rPr>
          <t xml:space="preserve">
Bliver til kl. 17.00  på OA og hjælper i forbindelse med Tingbjerg bib</t>
        </r>
      </text>
    </comment>
    <comment ref="X68" authorId="9" shapeId="0" xr:uid="{307F3AEE-02A0-429A-BFAE-C1C3124E5790}">
      <text>
        <r>
          <rPr>
            <b/>
            <sz val="9"/>
            <color indexed="81"/>
            <rFont val="Tahoma"/>
            <family val="2"/>
          </rPr>
          <t>Nikolaj Langtin Pamhede:</t>
        </r>
        <r>
          <rPr>
            <sz val="9"/>
            <color indexed="81"/>
            <rFont val="Tahoma"/>
            <family val="2"/>
          </rPr>
          <t xml:space="preserve">
L på oa</t>
        </r>
      </text>
    </comment>
    <comment ref="Y68" authorId="9" shapeId="0" xr:uid="{87700133-E72B-4C51-9630-4842C4A60107}">
      <text>
        <r>
          <rPr>
            <b/>
            <sz val="9"/>
            <color indexed="81"/>
            <rFont val="Tahoma"/>
            <family val="2"/>
          </rPr>
          <t>Nikolaj Langtin Pamhede:</t>
        </r>
        <r>
          <rPr>
            <sz val="9"/>
            <color indexed="81"/>
            <rFont val="Tahoma"/>
            <family val="2"/>
          </rPr>
          <t xml:space="preserve">
L på oa</t>
        </r>
      </text>
    </comment>
    <comment ref="Z68" authorId="2" shapeId="0" xr:uid="{BAAF59F3-4EEB-46DF-BDD4-3033692A572D}">
      <text>
        <r>
          <rPr>
            <b/>
            <sz val="9"/>
            <color indexed="81"/>
            <rFont val="Tahoma"/>
            <family val="2"/>
          </rPr>
          <t>Steen Hertin:</t>
        </r>
        <r>
          <rPr>
            <sz val="9"/>
            <color indexed="81"/>
            <rFont val="Tahoma"/>
            <family val="2"/>
          </rPr>
          <t xml:space="preserve">
E-vagt på OA</t>
        </r>
      </text>
    </comment>
    <comment ref="AA68" authorId="9" shapeId="0" xr:uid="{A1AB205B-10A6-4788-9C91-75BB2805CC69}">
      <text>
        <r>
          <rPr>
            <b/>
            <sz val="9"/>
            <color indexed="81"/>
            <rFont val="Tahoma"/>
            <family val="2"/>
          </rPr>
          <t>Nikolaj Langtin Pamhede:</t>
        </r>
        <r>
          <rPr>
            <sz val="9"/>
            <color indexed="81"/>
            <rFont val="Tahoma"/>
            <family val="2"/>
          </rPr>
          <t xml:space="preserve">
i2 på oa</t>
        </r>
      </text>
    </comment>
    <comment ref="AE68" authorId="2" shapeId="0" xr:uid="{2F266E39-2577-4ADF-8C59-C4C113DB57BA}">
      <text>
        <r>
          <rPr>
            <b/>
            <sz val="9"/>
            <color indexed="81"/>
            <rFont val="Tahoma"/>
            <family val="2"/>
          </rPr>
          <t>Steen Hertin:</t>
        </r>
        <r>
          <rPr>
            <sz val="9"/>
            <color indexed="81"/>
            <rFont val="Tahoma"/>
            <family val="2"/>
          </rPr>
          <t xml:space="preserve">
Metro 08-15</t>
        </r>
      </text>
    </comment>
    <comment ref="AF68" authorId="2" shapeId="0" xr:uid="{7622272D-2C6D-4504-9D20-F2A673D180D8}">
      <text>
        <r>
          <rPr>
            <b/>
            <sz val="9"/>
            <color indexed="81"/>
            <rFont val="Tahoma"/>
            <family val="2"/>
          </rPr>
          <t>Steen Hertin:</t>
        </r>
        <r>
          <rPr>
            <sz val="9"/>
            <color indexed="81"/>
            <rFont val="Tahoma"/>
            <family val="2"/>
          </rPr>
          <t xml:space="preserve">
Metro 08-15</t>
        </r>
      </text>
    </comment>
    <comment ref="C69" authorId="3" shapeId="0" xr:uid="{B969A53B-560E-4FD8-A91F-5745FF4842DC}">
      <text>
        <r>
          <rPr>
            <b/>
            <sz val="9"/>
            <color indexed="81"/>
            <rFont val="Tahoma"/>
            <family val="2"/>
          </rPr>
          <t>Steen Hertin-Sandkær:</t>
        </r>
        <r>
          <rPr>
            <sz val="9"/>
            <color indexed="81"/>
            <rFont val="Tahoma"/>
            <family val="2"/>
          </rPr>
          <t xml:space="preserve">
L-vagt på OA.</t>
        </r>
      </text>
    </comment>
    <comment ref="D69" authorId="3" shapeId="0" xr:uid="{8443BAE1-B1EB-45FE-89F4-E7A549C64C99}">
      <text>
        <r>
          <rPr>
            <b/>
            <sz val="9"/>
            <color indexed="81"/>
            <rFont val="Tahoma"/>
            <family val="2"/>
          </rPr>
          <t>Steen Hertin-Sandkær:</t>
        </r>
        <r>
          <rPr>
            <sz val="9"/>
            <color indexed="81"/>
            <rFont val="Tahoma"/>
            <family val="2"/>
          </rPr>
          <t xml:space="preserve">
L-vagt på OA.</t>
        </r>
      </text>
    </comment>
    <comment ref="E69" authorId="3" shapeId="0" xr:uid="{BAF843B9-DA14-4C35-80E6-513F75B22C07}">
      <text>
        <r>
          <rPr>
            <b/>
            <sz val="9"/>
            <color indexed="81"/>
            <rFont val="Tahoma"/>
            <family val="2"/>
          </rPr>
          <t>Steen Hertin-Sandkær:</t>
        </r>
        <r>
          <rPr>
            <sz val="9"/>
            <color indexed="81"/>
            <rFont val="Tahoma"/>
            <family val="2"/>
          </rPr>
          <t xml:space="preserve">
L-vagt på OA.</t>
        </r>
      </text>
    </comment>
    <comment ref="H69" authorId="2" shapeId="0" xr:uid="{EA1934A9-3B36-47F2-A95B-E9F44F44A577}">
      <text>
        <r>
          <rPr>
            <b/>
            <sz val="9"/>
            <color indexed="81"/>
            <rFont val="Tahoma"/>
            <family val="2"/>
          </rPr>
          <t>Steen Hertin:</t>
        </r>
        <r>
          <rPr>
            <sz val="9"/>
            <color indexed="81"/>
            <rFont val="Tahoma"/>
            <family val="2"/>
          </rPr>
          <t xml:space="preserve">
Tingbjerg 13.45-18,45</t>
        </r>
      </text>
    </comment>
    <comment ref="N69" authorId="1" shapeId="0" xr:uid="{4BD09FA9-9D40-4682-AB96-490519CD4290}">
      <text>
        <r>
          <rPr>
            <b/>
            <sz val="9"/>
            <color indexed="81"/>
            <rFont val="Tahoma"/>
            <family val="2"/>
          </rPr>
          <t>Thomas Holm:</t>
        </r>
        <r>
          <rPr>
            <sz val="9"/>
            <color indexed="81"/>
            <rFont val="Tahoma"/>
            <family val="2"/>
          </rPr>
          <t xml:space="preserve">
Dronningens Jubilæum
08.30- </t>
        </r>
      </text>
    </comment>
    <comment ref="AC70" authorId="2" shapeId="0" xr:uid="{371047C9-1411-4E38-8369-2CE083F45B1A}">
      <text>
        <r>
          <rPr>
            <b/>
            <sz val="9"/>
            <color indexed="81"/>
            <rFont val="Tahoma"/>
            <family val="2"/>
          </rPr>
          <t>Steen Hertin:</t>
        </r>
        <r>
          <rPr>
            <sz val="9"/>
            <color indexed="81"/>
            <rFont val="Tahoma"/>
            <family val="2"/>
          </rPr>
          <t xml:space="preserve">
Tingbjerg 13.45-18,45</t>
        </r>
      </text>
    </comment>
    <comment ref="H71" authorId="0" shapeId="0" xr:uid="{857AEEC3-E984-4F01-8520-A76BBB4CDB58}">
      <text>
        <r>
          <rPr>
            <b/>
            <sz val="9"/>
            <color indexed="81"/>
            <rFont val="Tahoma"/>
            <family val="2"/>
          </rPr>
          <t>marasm:</t>
        </r>
        <r>
          <rPr>
            <sz val="9"/>
            <color indexed="81"/>
            <rFont val="Tahoma"/>
            <family val="2"/>
          </rPr>
          <t xml:space="preserve">
Åben hus 9,30-16</t>
        </r>
      </text>
    </comment>
    <comment ref="J71" authorId="3" shapeId="0" xr:uid="{3F3D75F5-B4CD-4737-AF20-3026F6062D3F}">
      <text>
        <r>
          <rPr>
            <b/>
            <sz val="9"/>
            <color indexed="81"/>
            <rFont val="Tahoma"/>
            <family val="2"/>
          </rPr>
          <t>Steen Hertin-Sandkær:</t>
        </r>
        <r>
          <rPr>
            <sz val="9"/>
            <color indexed="81"/>
            <rFont val="Tahoma"/>
            <family val="2"/>
          </rPr>
          <t xml:space="preserve">
Metro 08-15</t>
        </r>
      </text>
    </comment>
    <comment ref="K71" authorId="3" shapeId="0" xr:uid="{248A48E0-D23A-4717-9EDF-A93DB788C519}">
      <text>
        <r>
          <rPr>
            <b/>
            <sz val="9"/>
            <color indexed="81"/>
            <rFont val="Tahoma"/>
            <family val="2"/>
          </rPr>
          <t>Steen Hertin-Sandkær:</t>
        </r>
        <r>
          <rPr>
            <sz val="9"/>
            <color indexed="81"/>
            <rFont val="Tahoma"/>
            <family val="2"/>
          </rPr>
          <t xml:space="preserve">
Metro 08-15</t>
        </r>
      </text>
    </comment>
    <comment ref="N71" authorId="1" shapeId="0" xr:uid="{31712291-1C92-4461-BFC3-4A06B74DEFDE}">
      <text>
        <r>
          <rPr>
            <b/>
            <sz val="9"/>
            <color indexed="81"/>
            <rFont val="Tahoma"/>
            <family val="2"/>
          </rPr>
          <t>Thomas Holm:</t>
        </r>
        <r>
          <rPr>
            <sz val="9"/>
            <color indexed="81"/>
            <rFont val="Tahoma"/>
            <family val="2"/>
          </rPr>
          <t xml:space="preserve">
Dronningens Jubilæum
09.00- 16.30</t>
        </r>
      </text>
    </comment>
    <comment ref="AD71" authorId="8" shapeId="0" xr:uid="{99A4FEC6-A5B7-4F64-AA8B-8C1A69583300}">
      <text>
        <r>
          <rPr>
            <b/>
            <sz val="9"/>
            <color indexed="81"/>
            <rFont val="Tahoma"/>
            <family val="2"/>
          </rPr>
          <t>Michael Bo Pedersen:</t>
        </r>
        <r>
          <rPr>
            <sz val="9"/>
            <color indexed="81"/>
            <rFont val="Tahoma"/>
            <family val="2"/>
          </rPr>
          <t xml:space="preserve">
L-vagt</t>
        </r>
      </text>
    </comment>
    <comment ref="H72" authorId="0" shapeId="0" xr:uid="{136EED70-A86E-4FD0-9C0C-E4AB965B155E}">
      <text>
        <r>
          <rPr>
            <b/>
            <sz val="9"/>
            <color indexed="81"/>
            <rFont val="Tahoma"/>
            <family val="2"/>
          </rPr>
          <t>marasm:</t>
        </r>
        <r>
          <rPr>
            <sz val="9"/>
            <color indexed="81"/>
            <rFont val="Tahoma"/>
            <family val="2"/>
          </rPr>
          <t xml:space="preserve">
Åbenhus 9-16</t>
        </r>
      </text>
    </comment>
    <comment ref="N72" authorId="1" shapeId="0" xr:uid="{D82FBFB0-971F-443C-94FA-0E55EFDA3D39}">
      <text>
        <r>
          <rPr>
            <b/>
            <sz val="9"/>
            <color indexed="81"/>
            <rFont val="Tahoma"/>
            <family val="2"/>
          </rPr>
          <t>Thomas Holm:</t>
        </r>
        <r>
          <rPr>
            <sz val="9"/>
            <color indexed="81"/>
            <rFont val="Tahoma"/>
            <family val="2"/>
          </rPr>
          <t xml:space="preserve">
Dronningens Jubilæum
08.30</t>
        </r>
      </text>
    </comment>
    <comment ref="O72" authorId="2" shapeId="0" xr:uid="{DBB78ADC-78E1-4008-8DD8-823F9D829758}">
      <text>
        <r>
          <rPr>
            <b/>
            <sz val="9"/>
            <color indexed="81"/>
            <rFont val="Tahoma"/>
            <family val="2"/>
          </rPr>
          <t>Steen Hertin:</t>
        </r>
        <r>
          <rPr>
            <sz val="9"/>
            <color indexed="81"/>
            <rFont val="Tahoma"/>
            <family val="2"/>
          </rPr>
          <t xml:space="preserve">
Tingbjerg 13.45-18,45</t>
        </r>
      </text>
    </comment>
    <comment ref="U72" authorId="3" shapeId="0" xr:uid="{BE5203A3-A129-47D7-9C04-D68B97AE1C49}">
      <text>
        <r>
          <rPr>
            <b/>
            <sz val="9"/>
            <color indexed="81"/>
            <rFont val="Tahoma"/>
            <family val="2"/>
          </rPr>
          <t>Steen Hertin-Sandkær:</t>
        </r>
        <r>
          <rPr>
            <sz val="9"/>
            <color indexed="81"/>
            <rFont val="Tahoma"/>
            <family val="2"/>
          </rPr>
          <t xml:space="preserve">
Bellahøjhallen 15,30-23,30</t>
        </r>
      </text>
    </comment>
    <comment ref="W72" authorId="9" shapeId="0" xr:uid="{502BC7A0-236E-4C3B-8786-96EA59F9BB21}">
      <text>
        <r>
          <rPr>
            <b/>
            <sz val="9"/>
            <color indexed="81"/>
            <rFont val="Tahoma"/>
            <family val="2"/>
          </rPr>
          <t>Nikolaj Langtin Pamhede:</t>
        </r>
        <r>
          <rPr>
            <sz val="9"/>
            <color indexed="81"/>
            <rFont val="Tahoma"/>
            <family val="2"/>
          </rPr>
          <t xml:space="preserve">
K2 på oa</t>
        </r>
      </text>
    </comment>
    <comment ref="AB72" authorId="3" shapeId="0" xr:uid="{70133069-EC93-499D-8F1B-7CBDFE1D4B79}">
      <text>
        <r>
          <rPr>
            <b/>
            <sz val="9"/>
            <color indexed="81"/>
            <rFont val="Tahoma"/>
            <family val="2"/>
          </rPr>
          <t>Steen Hertin-Sandkær:</t>
        </r>
        <r>
          <rPr>
            <sz val="9"/>
            <color indexed="81"/>
            <rFont val="Tahoma"/>
            <family val="2"/>
          </rPr>
          <t xml:space="preserve">
Bellahøjhallen 14,30-23,30</t>
        </r>
      </text>
    </comment>
    <comment ref="AC72" authorId="3" shapeId="0" xr:uid="{7074BF04-B523-4CF6-9FA7-BDDA65654E62}">
      <text>
        <r>
          <rPr>
            <b/>
            <sz val="9"/>
            <color indexed="81"/>
            <rFont val="Tahoma"/>
            <family val="2"/>
          </rPr>
          <t>Steen Hertin-Sandkær:</t>
        </r>
        <r>
          <rPr>
            <sz val="9"/>
            <color indexed="81"/>
            <rFont val="Tahoma"/>
            <family val="2"/>
          </rPr>
          <t xml:space="preserve">
Bellahøjhallen 14,30-23,30</t>
        </r>
      </text>
    </comment>
    <comment ref="AD72" authorId="9" shapeId="0" xr:uid="{75062C5F-AF33-4D04-9147-A9660884BA6D}">
      <text>
        <r>
          <rPr>
            <b/>
            <sz val="9"/>
            <color indexed="81"/>
            <rFont val="Tahoma"/>
            <family val="2"/>
          </rPr>
          <t>Nikolaj Langtin Pamhede:</t>
        </r>
        <r>
          <rPr>
            <sz val="9"/>
            <color indexed="81"/>
            <rFont val="Tahoma"/>
            <family val="2"/>
          </rPr>
          <t xml:space="preserve">
3 vagt på oa</t>
        </r>
      </text>
    </comment>
    <comment ref="AF72" authorId="3" shapeId="0" xr:uid="{749CCB92-BEEA-439B-8454-B2E400D02CC6}">
      <text>
        <r>
          <rPr>
            <b/>
            <sz val="9"/>
            <color indexed="81"/>
            <rFont val="Tahoma"/>
            <family val="2"/>
          </rPr>
          <t>Steen Hertin-Sandkær:</t>
        </r>
        <r>
          <rPr>
            <sz val="9"/>
            <color indexed="81"/>
            <rFont val="Tahoma"/>
            <family val="2"/>
          </rPr>
          <t xml:space="preserve">
Kun dagvagt.</t>
        </r>
      </text>
    </comment>
    <comment ref="H73" authorId="0" shapeId="0" xr:uid="{F2F92207-74FF-45C7-B511-96FC9706002D}">
      <text>
        <r>
          <rPr>
            <b/>
            <sz val="9"/>
            <color indexed="81"/>
            <rFont val="Tahoma"/>
            <family val="2"/>
          </rPr>
          <t>marasm:</t>
        </r>
        <r>
          <rPr>
            <sz val="9"/>
            <color indexed="81"/>
            <rFont val="Tahoma"/>
            <family val="2"/>
          </rPr>
          <t xml:space="preserve">
Åbenhus 9-16</t>
        </r>
      </text>
    </comment>
    <comment ref="D74" authorId="0" shapeId="0" xr:uid="{91EC9334-1345-41A3-8DBE-F1868426C392}">
      <text>
        <r>
          <rPr>
            <b/>
            <sz val="9"/>
            <color indexed="81"/>
            <rFont val="Tahoma"/>
            <family val="2"/>
          </rPr>
          <t>marasm:</t>
        </r>
        <r>
          <rPr>
            <sz val="9"/>
            <color indexed="81"/>
            <rFont val="Tahoma"/>
            <family val="2"/>
          </rPr>
          <t xml:space="preserve">
Fintælling
10-16 oa derefter</t>
        </r>
      </text>
    </comment>
    <comment ref="V74" authorId="2" shapeId="0" xr:uid="{3C4BFA15-016D-4018-9AFC-F90FA248E31D}">
      <text>
        <r>
          <rPr>
            <b/>
            <sz val="9"/>
            <color indexed="81"/>
            <rFont val="Tahoma"/>
            <family val="2"/>
          </rPr>
          <t>Steen Hertin:</t>
        </r>
        <r>
          <rPr>
            <sz val="9"/>
            <color indexed="81"/>
            <rFont val="Tahoma"/>
            <family val="2"/>
          </rPr>
          <t xml:space="preserve">
Tingbjerg 13.45-18,45</t>
        </r>
      </text>
    </comment>
    <comment ref="N75" authorId="1" shapeId="0" xr:uid="{C3012D08-1585-45F1-A5C5-D264B77FF699}">
      <text>
        <r>
          <rPr>
            <b/>
            <sz val="9"/>
            <color indexed="81"/>
            <rFont val="Tahoma"/>
            <family val="2"/>
          </rPr>
          <t>Thomas Holm:</t>
        </r>
        <r>
          <rPr>
            <sz val="9"/>
            <color indexed="81"/>
            <rFont val="Tahoma"/>
            <family val="2"/>
          </rPr>
          <t xml:space="preserve">
Dronningens Jubilæum
08.30- 16.00</t>
        </r>
      </text>
    </comment>
    <comment ref="C77" authorId="3" shapeId="0" xr:uid="{E4709DBD-1575-4352-8BDF-BD6C041F77AF}">
      <text>
        <r>
          <rPr>
            <b/>
            <sz val="9"/>
            <color indexed="81"/>
            <rFont val="Tahoma"/>
            <family val="2"/>
          </rPr>
          <t>Steen Hertin-Sandkær:</t>
        </r>
        <r>
          <rPr>
            <sz val="9"/>
            <color indexed="81"/>
            <rFont val="Tahoma"/>
            <family val="2"/>
          </rPr>
          <t xml:space="preserve">
Møder kl. 09.00</t>
        </r>
      </text>
    </comment>
    <comment ref="H77" authorId="0" shapeId="0" xr:uid="{3416B4F3-D373-4FD2-9302-0F92B87D3621}">
      <text>
        <r>
          <rPr>
            <b/>
            <sz val="9"/>
            <color indexed="81"/>
            <rFont val="Tahoma"/>
            <family val="2"/>
          </rPr>
          <t>marasm:</t>
        </r>
        <r>
          <rPr>
            <sz val="9"/>
            <color indexed="81"/>
            <rFont val="Tahoma"/>
            <family val="2"/>
          </rPr>
          <t xml:space="preserve">
Åbenhus 9-16</t>
        </r>
      </text>
    </comment>
    <comment ref="C78" authorId="3" shapeId="0" xr:uid="{681D668F-43B6-4BF1-9AFD-8B4A6D1678F1}">
      <text>
        <r>
          <rPr>
            <b/>
            <sz val="9"/>
            <color indexed="81"/>
            <rFont val="Tahoma"/>
            <family val="2"/>
          </rPr>
          <t>Steen Hertin-Sandkær:</t>
        </r>
        <r>
          <rPr>
            <sz val="9"/>
            <color indexed="81"/>
            <rFont val="Tahoma"/>
            <family val="2"/>
          </rPr>
          <t xml:space="preserve">
Møder kl. 09.00</t>
        </r>
      </text>
    </comment>
    <comment ref="H78" authorId="0" shapeId="0" xr:uid="{F23E1EBC-2EE5-4443-B75C-B48C85874952}">
      <text>
        <r>
          <rPr>
            <b/>
            <sz val="9"/>
            <color indexed="81"/>
            <rFont val="Tahoma"/>
            <family val="2"/>
          </rPr>
          <t>marasm:</t>
        </r>
        <r>
          <rPr>
            <sz val="9"/>
            <color indexed="81"/>
            <rFont val="Tahoma"/>
            <family val="2"/>
          </rPr>
          <t xml:space="preserve">
Åbenhus 9-16</t>
        </r>
      </text>
    </comment>
    <comment ref="N78" authorId="1" shapeId="0" xr:uid="{AE1F7A8E-2E8D-47FD-AD04-D9F5B3467D9E}">
      <text>
        <r>
          <rPr>
            <b/>
            <sz val="9"/>
            <color indexed="81"/>
            <rFont val="Tahoma"/>
            <family val="2"/>
          </rPr>
          <t>Thomas Holm:</t>
        </r>
        <r>
          <rPr>
            <sz val="9"/>
            <color indexed="81"/>
            <rFont val="Tahoma"/>
            <family val="2"/>
          </rPr>
          <t xml:space="preserve">
Dronningens Jubilæum
09.00- 16.00</t>
        </r>
      </text>
    </comment>
    <comment ref="P78" authorId="8" shapeId="0" xr:uid="{53081758-BA41-472E-9D9D-A41ABA80A6BD}">
      <text>
        <r>
          <rPr>
            <b/>
            <sz val="9"/>
            <color indexed="81"/>
            <rFont val="Tahoma"/>
            <family val="2"/>
          </rPr>
          <t>Michael Bo Pedersen:</t>
        </r>
        <r>
          <rPr>
            <sz val="9"/>
            <color indexed="81"/>
            <rFont val="Tahoma"/>
            <family val="2"/>
          </rPr>
          <t xml:space="preserve">
21-vagt på OA
fra kl. 23.00</t>
        </r>
      </text>
    </comment>
    <comment ref="C80" authorId="3" shapeId="0" xr:uid="{42929527-3E10-44C4-8918-E9D41235E4E9}">
      <text>
        <r>
          <rPr>
            <b/>
            <sz val="9"/>
            <color indexed="81"/>
            <rFont val="Tahoma"/>
            <family val="2"/>
          </rPr>
          <t>Steen Hertin-Sandkær:</t>
        </r>
        <r>
          <rPr>
            <sz val="9"/>
            <color indexed="81"/>
            <rFont val="Tahoma"/>
            <family val="2"/>
          </rPr>
          <t xml:space="preserve">
Møder kl. 09.00</t>
        </r>
      </text>
    </comment>
    <comment ref="L80" authorId="3" shapeId="0" xr:uid="{AEEFCBAD-A213-497B-ACCA-A76A8DA5E090}">
      <text>
        <r>
          <rPr>
            <b/>
            <sz val="9"/>
            <color indexed="81"/>
            <rFont val="Tahoma"/>
            <family val="2"/>
          </rPr>
          <t>Steen Hertin-Sandkær:</t>
        </r>
        <r>
          <rPr>
            <sz val="9"/>
            <color indexed="81"/>
            <rFont val="Tahoma"/>
            <family val="2"/>
          </rPr>
          <t xml:space="preserve">
Rundviser kl. 10.00 - 16.00</t>
        </r>
      </text>
    </comment>
    <comment ref="N80" authorId="1" shapeId="0" xr:uid="{0F67231D-51D2-4E9F-B019-C0111C6835CF}">
      <text>
        <r>
          <rPr>
            <b/>
            <sz val="9"/>
            <color indexed="81"/>
            <rFont val="Tahoma"/>
            <family val="2"/>
          </rPr>
          <t>Thomas Holm:</t>
        </r>
        <r>
          <rPr>
            <sz val="9"/>
            <color indexed="81"/>
            <rFont val="Tahoma"/>
            <family val="2"/>
          </rPr>
          <t xml:space="preserve">
Dronningens Jubilæum
09.00- 15.30</t>
        </r>
      </text>
    </comment>
    <comment ref="Z80" authorId="9" shapeId="0" xr:uid="{F376F96F-DD26-4996-BCA9-9298FA8883F5}">
      <text>
        <r>
          <rPr>
            <b/>
            <sz val="9"/>
            <color indexed="81"/>
            <rFont val="Tahoma"/>
            <family val="2"/>
          </rPr>
          <t>Nikolaj Langtin Pamhede:</t>
        </r>
        <r>
          <rPr>
            <sz val="9"/>
            <color indexed="81"/>
            <rFont val="Tahoma"/>
            <family val="2"/>
          </rPr>
          <t xml:space="preserve">
Oa fra 14-17:30</t>
        </r>
      </text>
    </comment>
    <comment ref="D83" authorId="3" shapeId="0" xr:uid="{1242658B-006F-425F-8970-DBAE96A8F0F2}">
      <text>
        <r>
          <rPr>
            <b/>
            <sz val="9"/>
            <color indexed="81"/>
            <rFont val="Tahoma"/>
            <family val="2"/>
          </rPr>
          <t>Steen Hertin-Sandkær:</t>
        </r>
        <r>
          <rPr>
            <sz val="9"/>
            <color indexed="81"/>
            <rFont val="Tahoma"/>
            <family val="2"/>
          </rPr>
          <t xml:space="preserve">
Metro 08-15</t>
        </r>
      </text>
    </comment>
    <comment ref="F83" authorId="3" shapeId="0" xr:uid="{E4547EA7-EC9D-4C0B-983F-D4E5237C4873}">
      <text>
        <r>
          <rPr>
            <b/>
            <sz val="9"/>
            <color indexed="81"/>
            <rFont val="Tahoma"/>
            <family val="2"/>
          </rPr>
          <t>Steen Hertin-Sandkær:</t>
        </r>
        <r>
          <rPr>
            <sz val="9"/>
            <color indexed="81"/>
            <rFont val="Tahoma"/>
            <family val="2"/>
          </rPr>
          <t xml:space="preserve">
Metro 08-15</t>
        </r>
      </text>
    </comment>
    <comment ref="G83" authorId="3" shapeId="0" xr:uid="{A26C0C15-BB4D-445F-91F0-58D490854DFF}">
      <text>
        <r>
          <rPr>
            <b/>
            <sz val="9"/>
            <color indexed="81"/>
            <rFont val="Tahoma"/>
            <family val="2"/>
          </rPr>
          <t>Steen Hertin-Sandkær:</t>
        </r>
        <r>
          <rPr>
            <sz val="9"/>
            <color indexed="81"/>
            <rFont val="Tahoma"/>
            <family val="2"/>
          </rPr>
          <t xml:space="preserve">
Metro 08-15</t>
        </r>
      </text>
    </comment>
    <comment ref="H83" authorId="3" shapeId="0" xr:uid="{B510D902-CD5F-4A93-954F-89FBDC507775}">
      <text>
        <r>
          <rPr>
            <b/>
            <sz val="9"/>
            <color indexed="81"/>
            <rFont val="Tahoma"/>
            <family val="2"/>
          </rPr>
          <t>Steen Hertin-Sandkær:</t>
        </r>
        <r>
          <rPr>
            <sz val="9"/>
            <color indexed="81"/>
            <rFont val="Tahoma"/>
            <family val="2"/>
          </rPr>
          <t xml:space="preserve">
Metro 08-15</t>
        </r>
      </text>
    </comment>
    <comment ref="I83" authorId="3" shapeId="0" xr:uid="{741C1490-F25D-4D27-B3CE-307C9F8D3BF1}">
      <text>
        <r>
          <rPr>
            <b/>
            <sz val="9"/>
            <color indexed="81"/>
            <rFont val="Tahoma"/>
            <family val="2"/>
          </rPr>
          <t>Steen Hertin-Sandkær:</t>
        </r>
        <r>
          <rPr>
            <sz val="9"/>
            <color indexed="81"/>
            <rFont val="Tahoma"/>
            <family val="2"/>
          </rPr>
          <t xml:space="preserve">
Metro 08-15</t>
        </r>
      </text>
    </comment>
    <comment ref="L83" authorId="3" shapeId="0" xr:uid="{A201AD7E-E4E7-4E55-83E4-74F30DC4F833}">
      <text>
        <r>
          <rPr>
            <b/>
            <sz val="9"/>
            <color indexed="81"/>
            <rFont val="Tahoma"/>
            <family val="2"/>
          </rPr>
          <t>Steen Hertin-Sandkær:</t>
        </r>
        <r>
          <rPr>
            <sz val="9"/>
            <color indexed="81"/>
            <rFont val="Tahoma"/>
            <family val="2"/>
          </rPr>
          <t xml:space="preserve">
Metro 08-15</t>
        </r>
      </text>
    </comment>
    <comment ref="M83" authorId="3" shapeId="0" xr:uid="{A8D3A66D-95EA-41B2-A9B7-B0D089849C12}">
      <text>
        <r>
          <rPr>
            <b/>
            <sz val="9"/>
            <color indexed="81"/>
            <rFont val="Tahoma"/>
            <family val="2"/>
          </rPr>
          <t>Steen Hertin-Sandkær:</t>
        </r>
        <r>
          <rPr>
            <sz val="9"/>
            <color indexed="81"/>
            <rFont val="Tahoma"/>
            <family val="2"/>
          </rPr>
          <t xml:space="preserve">
Metro 08-15</t>
        </r>
      </text>
    </comment>
    <comment ref="N83" authorId="3" shapeId="0" xr:uid="{BB899CFF-6B22-4A88-9614-9EC70480342F}">
      <text>
        <r>
          <rPr>
            <b/>
            <sz val="9"/>
            <color indexed="81"/>
            <rFont val="Tahoma"/>
            <family val="2"/>
          </rPr>
          <t>Steen Hertin-Sandkær:</t>
        </r>
        <r>
          <rPr>
            <sz val="9"/>
            <color indexed="81"/>
            <rFont val="Tahoma"/>
            <family val="2"/>
          </rPr>
          <t xml:space="preserve">
Metro 08-15</t>
        </r>
      </text>
    </comment>
    <comment ref="O83" authorId="3" shapeId="0" xr:uid="{531DE42E-D2DC-476C-9786-5C6973A11999}">
      <text>
        <r>
          <rPr>
            <b/>
            <sz val="9"/>
            <color indexed="81"/>
            <rFont val="Tahoma"/>
            <family val="2"/>
          </rPr>
          <t>Steen Hertin-Sandkær:</t>
        </r>
        <r>
          <rPr>
            <sz val="9"/>
            <color indexed="81"/>
            <rFont val="Tahoma"/>
            <family val="2"/>
          </rPr>
          <t xml:space="preserve">
Metro 08-15</t>
        </r>
      </text>
    </comment>
    <comment ref="P83" authorId="3" shapeId="0" xr:uid="{03CC87D6-C6EF-4CF3-B489-EA6C4A2F3DED}">
      <text>
        <r>
          <rPr>
            <b/>
            <sz val="9"/>
            <color indexed="81"/>
            <rFont val="Tahoma"/>
            <family val="2"/>
          </rPr>
          <t>Steen Hertin-Sandkær:</t>
        </r>
        <r>
          <rPr>
            <sz val="9"/>
            <color indexed="81"/>
            <rFont val="Tahoma"/>
            <family val="2"/>
          </rPr>
          <t xml:space="preserve">
Metro 08-15</t>
        </r>
      </text>
    </comment>
    <comment ref="R83" authorId="3" shapeId="0" xr:uid="{134F4DB6-D09A-4AAF-B69B-10953C5EB690}">
      <text>
        <r>
          <rPr>
            <b/>
            <sz val="9"/>
            <color indexed="81"/>
            <rFont val="Tahoma"/>
            <family val="2"/>
          </rPr>
          <t>Steen Hertin-Sandkær:</t>
        </r>
        <r>
          <rPr>
            <sz val="9"/>
            <color indexed="81"/>
            <rFont val="Tahoma"/>
            <family val="2"/>
          </rPr>
          <t xml:space="preserve">
Metro 08-15</t>
        </r>
      </text>
    </comment>
    <comment ref="G101" authorId="3" shapeId="0" xr:uid="{363E0A69-FC2C-403F-A4B9-34FAE8A0F563}">
      <text>
        <r>
          <rPr>
            <b/>
            <sz val="9"/>
            <color indexed="81"/>
            <rFont val="Tahoma"/>
            <family val="2"/>
          </rPr>
          <t>Steen Hertin-Sandkær:</t>
        </r>
        <r>
          <rPr>
            <sz val="9"/>
            <color indexed="81"/>
            <rFont val="Tahoma"/>
            <family val="2"/>
          </rPr>
          <t xml:space="preserve">
S5 på OA</t>
        </r>
      </text>
    </comment>
    <comment ref="H101" authorId="3" shapeId="0" xr:uid="{125482EB-1AD7-4420-9A1F-814F3C5900EE}">
      <text>
        <r>
          <rPr>
            <b/>
            <sz val="9"/>
            <color indexed="81"/>
            <rFont val="Tahoma"/>
            <family val="2"/>
          </rPr>
          <t>Steen Hertin-Sandkær:</t>
        </r>
        <r>
          <rPr>
            <sz val="9"/>
            <color indexed="81"/>
            <rFont val="Tahoma"/>
            <family val="2"/>
          </rPr>
          <t xml:space="preserve">
S5 på OA</t>
        </r>
      </text>
    </comment>
    <comment ref="H102" authorId="8" shapeId="0" xr:uid="{7B066620-4C51-4896-8B1B-0040C1B30360}">
      <text>
        <r>
          <rPr>
            <b/>
            <sz val="9"/>
            <color indexed="81"/>
            <rFont val="Tahoma"/>
            <family val="2"/>
          </rPr>
          <t>Michael Bo Pedersen:</t>
        </r>
        <r>
          <rPr>
            <sz val="9"/>
            <color indexed="81"/>
            <rFont val="Tahoma"/>
            <family val="2"/>
          </rPr>
          <t xml:space="preserve">
OA rentemestervej fra 19.45 - 01.30</t>
        </r>
      </text>
    </comment>
    <comment ref="C105" authorId="2" shapeId="0" xr:uid="{9322216A-56F4-4281-891F-EF1ECAB68FED}">
      <text>
        <r>
          <rPr>
            <b/>
            <sz val="9"/>
            <color indexed="81"/>
            <rFont val="Tahoma"/>
            <family val="2"/>
          </rPr>
          <t>Steen Hertin:</t>
        </r>
        <r>
          <rPr>
            <sz val="9"/>
            <color indexed="81"/>
            <rFont val="Tahoma"/>
            <family val="2"/>
          </rPr>
          <t xml:space="preserve">
S3 på OA</t>
        </r>
      </text>
    </comment>
    <comment ref="E105" authorId="2" shapeId="0" xr:uid="{4EC35303-8169-4B63-A7D7-823BFE42E567}">
      <text>
        <r>
          <rPr>
            <b/>
            <sz val="9"/>
            <color indexed="81"/>
            <rFont val="Tahoma"/>
            <family val="2"/>
          </rPr>
          <t>Steen Hertin:</t>
        </r>
        <r>
          <rPr>
            <sz val="9"/>
            <color indexed="81"/>
            <rFont val="Tahoma"/>
            <family val="2"/>
          </rPr>
          <t xml:space="preserve">
S3 på OA</t>
        </r>
      </text>
    </comment>
    <comment ref="J105" authorId="5" shapeId="0" xr:uid="{24098270-0884-48C9-96B3-E57DBDAFD877}">
      <text>
        <r>
          <rPr>
            <b/>
            <sz val="9"/>
            <color indexed="81"/>
            <rFont val="Tahoma"/>
            <family val="2"/>
          </rPr>
          <t>Mathias Hartvig Morell Nielsen:</t>
        </r>
        <r>
          <rPr>
            <sz val="9"/>
            <color indexed="81"/>
            <rFont val="Tahoma"/>
            <family val="2"/>
          </rPr>
          <t xml:space="preserve">
S3 på OA</t>
        </r>
      </text>
    </comment>
    <comment ref="N117" authorId="1" shapeId="0" xr:uid="{34CF882F-F73A-460E-9A46-C1D4CC7C1CAB}">
      <text>
        <r>
          <rPr>
            <b/>
            <sz val="9"/>
            <color indexed="81"/>
            <rFont val="Tahoma"/>
            <family val="2"/>
          </rPr>
          <t>Thomas Holm:</t>
        </r>
        <r>
          <rPr>
            <sz val="9"/>
            <color indexed="81"/>
            <rFont val="Tahoma"/>
            <family val="2"/>
          </rPr>
          <t xml:space="preserve">
Dronningens Jubilæum
08.30- </t>
        </r>
      </text>
    </comment>
    <comment ref="Y117" authorId="2" shapeId="0" xr:uid="{B8C33B4A-B129-4B61-BBDA-39390E4BBEEB}">
      <text>
        <r>
          <rPr>
            <b/>
            <sz val="9"/>
            <color indexed="81"/>
            <rFont val="Tahoma"/>
            <family val="2"/>
          </rPr>
          <t>Steen Hertin:</t>
        </r>
        <r>
          <rPr>
            <sz val="9"/>
            <color indexed="81"/>
            <rFont val="Tahoma"/>
            <family val="2"/>
          </rPr>
          <t xml:space="preserve">
E-vagt på OA</t>
        </r>
      </text>
    </comment>
    <comment ref="AF117" authorId="3" shapeId="0" xr:uid="{02F615A6-FEAF-4C4B-AB9F-6398F0BE5218}">
      <text>
        <r>
          <rPr>
            <b/>
            <sz val="9"/>
            <color indexed="81"/>
            <rFont val="Tahoma"/>
            <family val="2"/>
          </rPr>
          <t>Steen Hertin-Sandkær:</t>
        </r>
        <r>
          <rPr>
            <sz val="9"/>
            <color indexed="81"/>
            <rFont val="Tahoma"/>
            <family val="2"/>
          </rPr>
          <t xml:space="preserve">
Møder først kl. 11.15</t>
        </r>
      </text>
    </comment>
    <comment ref="C118" authorId="5" shapeId="0" xr:uid="{B145EE67-AAE7-4C0C-B0B8-AB0B2D2BAAF2}">
      <text>
        <r>
          <rPr>
            <b/>
            <sz val="9"/>
            <color indexed="81"/>
            <rFont val="Tahoma"/>
            <family val="2"/>
          </rPr>
          <t>Mathias Hartvig Morell Nielsen:</t>
        </r>
        <r>
          <rPr>
            <sz val="9"/>
            <color indexed="81"/>
            <rFont val="Tahoma"/>
            <family val="2"/>
          </rPr>
          <t xml:space="preserve">
G-vagt OA</t>
        </r>
      </text>
    </comment>
    <comment ref="D118" authorId="5" shapeId="0" xr:uid="{B87EBB42-89E1-491E-9A9D-11F94E47442D}">
      <text>
        <r>
          <rPr>
            <b/>
            <sz val="9"/>
            <color indexed="81"/>
            <rFont val="Tahoma"/>
            <family val="2"/>
          </rPr>
          <t>Mathias Hartvig Morell Nielsen:</t>
        </r>
        <r>
          <rPr>
            <sz val="9"/>
            <color indexed="81"/>
            <rFont val="Tahoma"/>
            <family val="2"/>
          </rPr>
          <t xml:space="preserve">
G-vagt OA</t>
        </r>
      </text>
    </comment>
    <comment ref="E118" authorId="5" shapeId="0" xr:uid="{19122203-3C5D-49F4-B45A-8B63CE0B7460}">
      <text>
        <r>
          <rPr>
            <b/>
            <sz val="9"/>
            <color indexed="81"/>
            <rFont val="Tahoma"/>
            <family val="2"/>
          </rPr>
          <t>Mathias Hartvig Morell Nielsen:</t>
        </r>
        <r>
          <rPr>
            <sz val="9"/>
            <color indexed="81"/>
            <rFont val="Tahoma"/>
            <family val="2"/>
          </rPr>
          <t xml:space="preserve">
G-vagt OA</t>
        </r>
      </text>
    </comment>
    <comment ref="F118" authorId="5" shapeId="0" xr:uid="{8C806AF6-3BAD-49D6-8D97-3F4E98920606}">
      <text>
        <r>
          <rPr>
            <b/>
            <sz val="9"/>
            <color indexed="81"/>
            <rFont val="Tahoma"/>
            <family val="2"/>
          </rPr>
          <t>Mathias Hartvig Morell Nielsen:</t>
        </r>
        <r>
          <rPr>
            <sz val="9"/>
            <color indexed="81"/>
            <rFont val="Tahoma"/>
            <family val="2"/>
          </rPr>
          <t xml:space="preserve">
G-vagt OA</t>
        </r>
      </text>
    </comment>
    <comment ref="H118" authorId="0" shapeId="0" xr:uid="{FC18FEA4-74E7-4D2F-BFF3-2D9D3D01225F}">
      <text>
        <r>
          <rPr>
            <b/>
            <sz val="9"/>
            <color indexed="81"/>
            <rFont val="Tahoma"/>
            <family val="2"/>
          </rPr>
          <t>marasm:</t>
        </r>
        <r>
          <rPr>
            <sz val="9"/>
            <color indexed="81"/>
            <rFont val="Tahoma"/>
            <family val="2"/>
          </rPr>
          <t xml:space="preserve">
Åbenhus 9-16</t>
        </r>
      </text>
    </comment>
    <comment ref="N118" authorId="1" shapeId="0" xr:uid="{E8C09058-0BEC-4D0E-9AC7-19BFBC9A696C}">
      <text>
        <r>
          <rPr>
            <b/>
            <sz val="9"/>
            <color indexed="81"/>
            <rFont val="Tahoma"/>
            <family val="2"/>
          </rPr>
          <t>Thomas Holm:</t>
        </r>
        <r>
          <rPr>
            <sz val="9"/>
            <color indexed="81"/>
            <rFont val="Tahoma"/>
            <family val="2"/>
          </rPr>
          <t xml:space="preserve">
Dronningens Jubilæum
08.30- </t>
        </r>
      </text>
    </comment>
    <comment ref="AD118" authorId="9" shapeId="0" xr:uid="{DD9F8E0D-C413-4043-BA16-D823286E984D}">
      <text>
        <r>
          <rPr>
            <b/>
            <sz val="9"/>
            <color indexed="81"/>
            <rFont val="Tahoma"/>
            <family val="2"/>
          </rPr>
          <t>Nikolaj Langtin Pamhede:</t>
        </r>
        <r>
          <rPr>
            <sz val="9"/>
            <color indexed="81"/>
            <rFont val="Tahoma"/>
            <family val="2"/>
          </rPr>
          <t xml:space="preserve">
N vagt på oa</t>
        </r>
      </text>
    </comment>
    <comment ref="AF118" authorId="2" shapeId="0" xr:uid="{776462AB-BB39-4834-8381-1B8F8CE78CB2}">
      <text>
        <r>
          <rPr>
            <b/>
            <sz val="9"/>
            <color indexed="81"/>
            <rFont val="Tahoma"/>
            <family val="2"/>
          </rPr>
          <t>Steen Hertin:</t>
        </r>
        <r>
          <rPr>
            <sz val="9"/>
            <color indexed="81"/>
            <rFont val="Tahoma"/>
            <family val="2"/>
          </rPr>
          <t xml:space="preserve">
Nørrebro bibliotek 15.30 - 20.15</t>
        </r>
      </text>
    </comment>
    <comment ref="M125" authorId="1" shapeId="0" xr:uid="{2698C721-BA18-40D2-A2F7-BE9F7457FC3A}">
      <text>
        <r>
          <rPr>
            <b/>
            <sz val="9"/>
            <color indexed="81"/>
            <rFont val="Tahoma"/>
            <family val="2"/>
          </rPr>
          <t>Thomas Holm:</t>
        </r>
        <r>
          <rPr>
            <sz val="9"/>
            <color indexed="81"/>
            <rFont val="Tahoma"/>
            <family val="2"/>
          </rPr>
          <t xml:space="preserve">
GRUS</t>
        </r>
      </text>
    </comment>
    <comment ref="N125" authorId="1" shapeId="0" xr:uid="{F6693D5C-270F-4986-B5CC-7E290A06EDE0}">
      <text>
        <r>
          <rPr>
            <b/>
            <sz val="9"/>
            <color indexed="81"/>
            <rFont val="Tahoma"/>
            <family val="2"/>
          </rPr>
          <t>Thomas Holm:</t>
        </r>
        <r>
          <rPr>
            <sz val="9"/>
            <color indexed="81"/>
            <rFont val="Tahoma"/>
            <family val="2"/>
          </rPr>
          <t xml:space="preserve">
Dronningens Jubilæum
07.00- </t>
        </r>
      </text>
    </comment>
    <comment ref="M137" authorId="1" shapeId="0" xr:uid="{DE1DF6DB-37AC-422F-A988-3BADD8F48350}">
      <text>
        <r>
          <rPr>
            <b/>
            <sz val="9"/>
            <color indexed="81"/>
            <rFont val="Tahoma"/>
            <family val="2"/>
          </rPr>
          <t>Thomas Holm:</t>
        </r>
        <r>
          <rPr>
            <sz val="9"/>
            <color indexed="81"/>
            <rFont val="Tahoma"/>
            <family val="2"/>
          </rPr>
          <t xml:space="preserve">
GRUS</t>
        </r>
      </text>
    </comment>
    <comment ref="N137" authorId="1" shapeId="0" xr:uid="{02CF0CFB-2A99-4B62-A87C-5DC2D758CB31}">
      <text>
        <r>
          <rPr>
            <b/>
            <sz val="9"/>
            <color indexed="81"/>
            <rFont val="Tahoma"/>
            <family val="2"/>
          </rPr>
          <t>Thomas Holm:</t>
        </r>
        <r>
          <rPr>
            <sz val="9"/>
            <color indexed="81"/>
            <rFont val="Tahoma"/>
            <family val="2"/>
          </rPr>
          <t xml:space="preserve">
Dronningens Jubilæum
07.00- </t>
        </r>
      </text>
    </comment>
    <comment ref="AE137" authorId="9" shapeId="0" xr:uid="{F9BDBF31-A8F7-4CC4-AFEA-CBF086B39DE3}">
      <text>
        <r>
          <rPr>
            <b/>
            <sz val="9"/>
            <color indexed="81"/>
            <rFont val="Tahoma"/>
            <family val="2"/>
          </rPr>
          <t>Nikolaj Langtin Pamhede:</t>
        </r>
        <r>
          <rPr>
            <sz val="9"/>
            <color indexed="81"/>
            <rFont val="Tahoma"/>
            <family val="2"/>
          </rPr>
          <t xml:space="preserve">
til lægen kommer først  kl. 11</t>
        </r>
      </text>
    </comment>
    <comment ref="H138" authorId="0" shapeId="0" xr:uid="{01D04936-5CFD-413F-BACB-5863AABE17CA}">
      <text>
        <r>
          <rPr>
            <b/>
            <sz val="9"/>
            <color indexed="81"/>
            <rFont val="Tahoma"/>
            <family val="2"/>
          </rPr>
          <t>marasm:</t>
        </r>
        <r>
          <rPr>
            <sz val="9"/>
            <color indexed="81"/>
            <rFont val="Tahoma"/>
            <family val="2"/>
          </rPr>
          <t xml:space="preserve">
Åbenhus 9-16</t>
        </r>
      </text>
    </comment>
    <comment ref="I138" authorId="5" shapeId="0" xr:uid="{69B20496-85C0-434A-85FB-119C6E57FD7A}">
      <text>
        <r>
          <rPr>
            <b/>
            <sz val="9"/>
            <color indexed="81"/>
            <rFont val="Tahoma"/>
            <family val="2"/>
          </rPr>
          <t>Mathias Hartvig Morell Nielsen:</t>
        </r>
        <r>
          <rPr>
            <sz val="9"/>
            <color indexed="81"/>
            <rFont val="Tahoma"/>
            <family val="2"/>
          </rPr>
          <t xml:space="preserve">
Skal gå kl. 15.00</t>
        </r>
      </text>
    </comment>
    <comment ref="M138" authorId="1" shapeId="0" xr:uid="{61AF9D71-D8EB-417C-8E4B-F2B4DBA3DAAD}">
      <text>
        <r>
          <rPr>
            <b/>
            <sz val="9"/>
            <color indexed="81"/>
            <rFont val="Tahoma"/>
            <family val="2"/>
          </rPr>
          <t>Thomas Holm:</t>
        </r>
        <r>
          <rPr>
            <sz val="9"/>
            <color indexed="81"/>
            <rFont val="Tahoma"/>
            <family val="2"/>
          </rPr>
          <t xml:space="preserve">
GRUS</t>
        </r>
      </text>
    </comment>
    <comment ref="N138" authorId="1" shapeId="0" xr:uid="{6A02473E-12C8-4ACB-BCCF-E2C447376171}">
      <text>
        <r>
          <rPr>
            <b/>
            <sz val="9"/>
            <color indexed="81"/>
            <rFont val="Tahoma"/>
            <family val="2"/>
          </rPr>
          <t>Thomas Holm:</t>
        </r>
        <r>
          <rPr>
            <sz val="9"/>
            <color indexed="81"/>
            <rFont val="Tahoma"/>
            <family val="2"/>
          </rPr>
          <t xml:space="preserve">
Dronningens Jubilæum
09.00- </t>
        </r>
      </text>
    </comment>
    <comment ref="H139" authorId="0" shapeId="0" xr:uid="{7720A284-C207-4DA7-AB8F-FCA903046A18}">
      <text>
        <r>
          <rPr>
            <b/>
            <sz val="9"/>
            <color indexed="81"/>
            <rFont val="Tahoma"/>
            <family val="2"/>
          </rPr>
          <t>marasm:</t>
        </r>
        <r>
          <rPr>
            <sz val="9"/>
            <color indexed="81"/>
            <rFont val="Tahoma"/>
            <family val="2"/>
          </rPr>
          <t xml:space="preserve">
Åbenhus 9-16</t>
        </r>
      </text>
    </comment>
    <comment ref="M139" authorId="1" shapeId="0" xr:uid="{77F5E464-E162-4593-8954-59B5C3ECB739}">
      <text>
        <r>
          <rPr>
            <b/>
            <sz val="9"/>
            <color indexed="81"/>
            <rFont val="Tahoma"/>
            <family val="2"/>
          </rPr>
          <t>Thomas Holm:</t>
        </r>
        <r>
          <rPr>
            <sz val="9"/>
            <color indexed="81"/>
            <rFont val="Tahoma"/>
            <family val="2"/>
          </rPr>
          <t xml:space="preserve">
GRUS</t>
        </r>
      </text>
    </comment>
    <comment ref="N139" authorId="1" shapeId="0" xr:uid="{73CB8656-65D9-49B5-8BEE-92D21530C392}">
      <text>
        <r>
          <rPr>
            <b/>
            <sz val="9"/>
            <color indexed="81"/>
            <rFont val="Tahoma"/>
            <family val="2"/>
          </rPr>
          <t>Thomas Holm:</t>
        </r>
        <r>
          <rPr>
            <sz val="9"/>
            <color indexed="81"/>
            <rFont val="Tahoma"/>
            <family val="2"/>
          </rPr>
          <t xml:space="preserve">
Dronningens Jubilæum
07.00- </t>
        </r>
      </text>
    </comment>
    <comment ref="T139" authorId="3" shapeId="0" xr:uid="{276354AE-E677-4B1B-A716-B965DF555555}">
      <text>
        <r>
          <rPr>
            <b/>
            <sz val="9"/>
            <color indexed="81"/>
            <rFont val="Tahoma"/>
            <family val="2"/>
          </rPr>
          <t>Steen Hertin-Sandkær:</t>
        </r>
        <r>
          <rPr>
            <sz val="9"/>
            <color indexed="81"/>
            <rFont val="Tahoma"/>
            <family val="2"/>
          </rPr>
          <t xml:space="preserve">
Omviser</t>
        </r>
      </text>
    </comment>
    <comment ref="AA139" authorId="3" shapeId="0" xr:uid="{B5C7DC87-05C9-49BE-8551-09EF847F5400}">
      <text>
        <r>
          <rPr>
            <b/>
            <sz val="9"/>
            <color indexed="81"/>
            <rFont val="Tahoma"/>
            <family val="2"/>
          </rPr>
          <t>Steen Hertin-Sandkær:</t>
        </r>
        <r>
          <rPr>
            <sz val="9"/>
            <color indexed="81"/>
            <rFont val="Tahoma"/>
            <family val="2"/>
          </rPr>
          <t xml:space="preserve">
Klargøring julefrokost</t>
        </r>
      </text>
    </comment>
    <comment ref="AF139" authorId="2" shapeId="0" xr:uid="{E0444C83-10FF-4065-8273-08C06F1B5123}">
      <text>
        <r>
          <rPr>
            <b/>
            <sz val="9"/>
            <color indexed="81"/>
            <rFont val="Tahoma"/>
            <family val="2"/>
          </rPr>
          <t>Steen Hertin:</t>
        </r>
        <r>
          <rPr>
            <sz val="9"/>
            <color indexed="81"/>
            <rFont val="Tahoma"/>
            <family val="2"/>
          </rPr>
          <t xml:space="preserve">
Rundviser</t>
        </r>
      </text>
    </comment>
    <comment ref="H140" authorId="0" shapeId="0" xr:uid="{52915450-1FA4-4047-B846-DFCD706D6C9A}">
      <text>
        <r>
          <rPr>
            <b/>
            <sz val="9"/>
            <color indexed="81"/>
            <rFont val="Tahoma"/>
            <family val="2"/>
          </rPr>
          <t>marasm:</t>
        </r>
        <r>
          <rPr>
            <sz val="9"/>
            <color indexed="81"/>
            <rFont val="Tahoma"/>
            <family val="2"/>
          </rPr>
          <t xml:space="preserve">
Åbenhus 9-16</t>
        </r>
      </text>
    </comment>
    <comment ref="M140" authorId="1" shapeId="0" xr:uid="{063469A9-200B-444D-8994-3CC76BAC654C}">
      <text>
        <r>
          <rPr>
            <b/>
            <sz val="9"/>
            <color indexed="81"/>
            <rFont val="Tahoma"/>
            <family val="2"/>
          </rPr>
          <t>Thomas Holm:</t>
        </r>
        <r>
          <rPr>
            <sz val="9"/>
            <color indexed="81"/>
            <rFont val="Tahoma"/>
            <family val="2"/>
          </rPr>
          <t xml:space="preserve">
GRUS</t>
        </r>
      </text>
    </comment>
    <comment ref="N140" authorId="1" shapeId="0" xr:uid="{CB75DBC3-269A-4FE1-814C-96D5162EE575}">
      <text>
        <r>
          <rPr>
            <b/>
            <sz val="9"/>
            <color indexed="81"/>
            <rFont val="Tahoma"/>
            <family val="2"/>
          </rPr>
          <t>Thomas Holm:</t>
        </r>
        <r>
          <rPr>
            <sz val="9"/>
            <color indexed="81"/>
            <rFont val="Tahoma"/>
            <family val="2"/>
          </rPr>
          <t xml:space="preserve">
Dronningens Jubilæum
09.00- </t>
        </r>
      </text>
    </comment>
    <comment ref="H141" authorId="0" shapeId="0" xr:uid="{DC1F4DB1-089E-43D6-9216-6E09EBF5C2C7}">
      <text>
        <r>
          <rPr>
            <b/>
            <sz val="9"/>
            <color indexed="81"/>
            <rFont val="Tahoma"/>
            <family val="2"/>
          </rPr>
          <t>marasm:</t>
        </r>
        <r>
          <rPr>
            <sz val="9"/>
            <color indexed="81"/>
            <rFont val="Tahoma"/>
            <family val="2"/>
          </rPr>
          <t xml:space="preserve">
Åbenhus 9-16</t>
        </r>
      </text>
    </comment>
    <comment ref="K141" authorId="5" shapeId="0" xr:uid="{8A4D3F02-A585-4FEC-868E-CBC9F7187366}">
      <text>
        <r>
          <rPr>
            <b/>
            <sz val="9"/>
            <color indexed="81"/>
            <rFont val="Tahoma"/>
            <family val="2"/>
          </rPr>
          <t>Mathias Hartvig Morell Nielsen:</t>
        </r>
        <r>
          <rPr>
            <sz val="9"/>
            <color indexed="81"/>
            <rFont val="Tahoma"/>
            <family val="2"/>
          </rPr>
          <t xml:space="preserve">
Møde 08:00-09:20</t>
        </r>
      </text>
    </comment>
    <comment ref="M141" authorId="1" shapeId="0" xr:uid="{AAC477CA-90F4-46F6-9840-E7157C1CAA15}">
      <text>
        <r>
          <rPr>
            <b/>
            <sz val="9"/>
            <color indexed="81"/>
            <rFont val="Tahoma"/>
            <family val="2"/>
          </rPr>
          <t>Thomas Holm:</t>
        </r>
        <r>
          <rPr>
            <sz val="9"/>
            <color indexed="81"/>
            <rFont val="Tahoma"/>
            <family val="2"/>
          </rPr>
          <t xml:space="preserve">
GRUS</t>
        </r>
      </text>
    </comment>
    <comment ref="N141" authorId="1" shapeId="0" xr:uid="{6DD7A7BE-6969-4C86-89AC-3A027CD13299}">
      <text>
        <r>
          <rPr>
            <b/>
            <sz val="9"/>
            <color indexed="81"/>
            <rFont val="Tahoma"/>
            <family val="2"/>
          </rPr>
          <t>Thomas Holm:</t>
        </r>
        <r>
          <rPr>
            <sz val="9"/>
            <color indexed="81"/>
            <rFont val="Tahoma"/>
            <family val="2"/>
          </rPr>
          <t xml:space="preserve">
Dronningens Jubilæum
08.30- </t>
        </r>
      </text>
    </comment>
    <comment ref="W141" authorId="3" shapeId="0" xr:uid="{4345DDBF-E0B4-4C09-BA6E-43B705527D06}">
      <text>
        <r>
          <rPr>
            <b/>
            <sz val="9"/>
            <color indexed="81"/>
            <rFont val="Tahoma"/>
            <family val="2"/>
          </rPr>
          <t>Steen Hertin-Sandkær:</t>
        </r>
        <r>
          <rPr>
            <sz val="9"/>
            <color indexed="81"/>
            <rFont val="Tahoma"/>
            <family val="2"/>
          </rPr>
          <t xml:space="preserve">
Rundviser</t>
        </r>
      </text>
    </comment>
    <comment ref="X141" authorId="7" shapeId="0" xr:uid="{4AFCE68A-FD4A-487A-84CA-4F31740A7C8C}">
      <text>
        <r>
          <rPr>
            <b/>
            <sz val="9"/>
            <color indexed="81"/>
            <rFont val="Tahoma"/>
            <family val="2"/>
          </rPr>
          <t>Kim Holm Aabroe:</t>
        </r>
        <r>
          <rPr>
            <sz val="9"/>
            <color indexed="81"/>
            <rFont val="Tahoma"/>
            <family val="2"/>
          </rPr>
          <t xml:space="preserve">
amr 11.00-12.30</t>
        </r>
      </text>
    </comment>
    <comment ref="AA141" authorId="9" shapeId="0" xr:uid="{CB258588-9FC1-403A-8A71-5C827B21140A}">
      <text>
        <r>
          <rPr>
            <b/>
            <sz val="9"/>
            <color indexed="81"/>
            <rFont val="Tahoma"/>
            <family val="2"/>
          </rPr>
          <t>Nikolaj Langtin Pamhede:</t>
        </r>
        <r>
          <rPr>
            <sz val="9"/>
            <color indexed="81"/>
            <rFont val="Tahoma"/>
            <family val="2"/>
          </rPr>
          <t xml:space="preserve">
Møde 8:30-10:00</t>
        </r>
      </text>
    </comment>
    <comment ref="AB141" authorId="2" shapeId="0" xr:uid="{DEC350B5-1196-410E-A4D6-FAAE095B024B}">
      <text>
        <r>
          <rPr>
            <b/>
            <sz val="9"/>
            <color indexed="81"/>
            <rFont val="Tahoma"/>
            <family val="2"/>
          </rPr>
          <t>Steen Hertin:</t>
        </r>
        <r>
          <rPr>
            <sz val="9"/>
            <color indexed="81"/>
            <rFont val="Tahoma"/>
            <family val="2"/>
          </rPr>
          <t xml:space="preserve">
R3</t>
        </r>
      </text>
    </comment>
    <comment ref="C170" authorId="0" shapeId="0" xr:uid="{92048C40-68C8-4572-B869-992843B0C7B2}">
      <text>
        <r>
          <rPr>
            <b/>
            <sz val="9"/>
            <color indexed="81"/>
            <rFont val="Tahoma"/>
            <family val="2"/>
          </rPr>
          <t>marasm:</t>
        </r>
        <r>
          <rPr>
            <sz val="9"/>
            <color indexed="81"/>
            <rFont val="Tahoma"/>
            <family val="2"/>
          </rPr>
          <t xml:space="preserve">
Fintælling</t>
        </r>
      </text>
    </comment>
    <comment ref="D170" authorId="0" shapeId="0" xr:uid="{661186C5-2717-42BE-804C-491B24ADBC6E}">
      <text>
        <r>
          <rPr>
            <b/>
            <sz val="9"/>
            <color indexed="81"/>
            <rFont val="Tahoma"/>
            <family val="2"/>
          </rPr>
          <t>marasm:</t>
        </r>
        <r>
          <rPr>
            <sz val="9"/>
            <color indexed="81"/>
            <rFont val="Tahoma"/>
            <family val="2"/>
          </rPr>
          <t xml:space="preserve">
Fintælling</t>
        </r>
      </text>
    </comment>
    <comment ref="F170" authorId="0" shapeId="0" xr:uid="{84113981-0B80-405E-8973-707A9888897A}">
      <text>
        <r>
          <rPr>
            <b/>
            <sz val="9"/>
            <color indexed="81"/>
            <rFont val="Tahoma"/>
            <family val="2"/>
          </rPr>
          <t>marasm:</t>
        </r>
        <r>
          <rPr>
            <sz val="9"/>
            <color indexed="81"/>
            <rFont val="Tahoma"/>
            <family val="2"/>
          </rPr>
          <t xml:space="preserve">
AHF</t>
        </r>
      </text>
    </comment>
    <comment ref="H170" authorId="0" shapeId="0" xr:uid="{1E13781A-D4B8-445C-98AD-8BA5411EFAE5}">
      <text>
        <r>
          <rPr>
            <b/>
            <sz val="9"/>
            <color indexed="81"/>
            <rFont val="Tahoma"/>
            <family val="2"/>
          </rPr>
          <t>marasm:</t>
        </r>
        <r>
          <rPr>
            <sz val="9"/>
            <color indexed="81"/>
            <rFont val="Tahoma"/>
            <family val="2"/>
          </rPr>
          <t xml:space="preserve">
Åbenhus 9-16</t>
        </r>
      </text>
    </comment>
    <comment ref="I170" authorId="0" shapeId="0" xr:uid="{3B2E326D-CC8D-417F-8749-DD0EF253F21E}">
      <text>
        <r>
          <rPr>
            <b/>
            <sz val="9"/>
            <color indexed="81"/>
            <rFont val="Tahoma"/>
            <family val="2"/>
          </rPr>
          <t>marasm:</t>
        </r>
        <r>
          <rPr>
            <sz val="9"/>
            <color indexed="81"/>
            <rFont val="Tahoma"/>
            <family val="2"/>
          </rPr>
          <t xml:space="preserve">
AHF</t>
        </r>
      </text>
    </comment>
    <comment ref="L170" authorId="6" shapeId="0" xr:uid="{7827D007-0702-4C7F-A507-D2B24D36ABBB}">
      <text>
        <r>
          <rPr>
            <b/>
            <sz val="9"/>
            <color indexed="81"/>
            <rFont val="Tahoma"/>
            <family val="2"/>
          </rPr>
          <t>Marianne Rasmussen:</t>
        </r>
        <r>
          <rPr>
            <sz val="9"/>
            <color indexed="81"/>
            <rFont val="Tahoma"/>
            <family val="2"/>
          </rPr>
          <t xml:space="preserve">
AHF</t>
        </r>
      </text>
    </comment>
    <comment ref="P170" authorId="6" shapeId="0" xr:uid="{4E1C06C6-8C16-4DC0-90CF-254CE9D4BCAF}">
      <text>
        <r>
          <rPr>
            <b/>
            <sz val="9"/>
            <color indexed="81"/>
            <rFont val="Tahoma"/>
            <family val="2"/>
          </rPr>
          <t>Marianne Rasmussen:</t>
        </r>
        <r>
          <rPr>
            <sz val="9"/>
            <color indexed="81"/>
            <rFont val="Tahoma"/>
            <family val="2"/>
          </rPr>
          <t xml:space="preserve">
træk 7,20 Fe resten 0,40 afs</t>
        </r>
      </text>
    </comment>
    <comment ref="Q170" authorId="0" shapeId="0" xr:uid="{8044BBF6-0865-491F-9712-3967AD7635A7}">
      <text>
        <r>
          <rPr>
            <b/>
            <sz val="9"/>
            <color indexed="81"/>
            <rFont val="Tahoma"/>
            <family val="2"/>
          </rPr>
          <t>marasm:</t>
        </r>
        <r>
          <rPr>
            <sz val="9"/>
            <color indexed="81"/>
            <rFont val="Tahoma"/>
            <family val="2"/>
          </rPr>
          <t xml:space="preserve">
AHF</t>
        </r>
      </text>
    </comment>
    <comment ref="S170" authorId="6" shapeId="0" xr:uid="{276F89C8-82AE-4BCF-ADDF-C6BA93075337}">
      <text>
        <r>
          <rPr>
            <b/>
            <sz val="9"/>
            <color indexed="81"/>
            <rFont val="Tahoma"/>
            <family val="2"/>
          </rPr>
          <t>Marianne Rasmussen:</t>
        </r>
        <r>
          <rPr>
            <sz val="9"/>
            <color indexed="81"/>
            <rFont val="Tahoma"/>
            <family val="2"/>
          </rPr>
          <t xml:space="preserve">
AHF</t>
        </r>
      </text>
    </comment>
    <comment ref="W170" authorId="0" shapeId="0" xr:uid="{0BCDA31C-A2C4-42EB-9864-EB5D428B62BD}">
      <text>
        <r>
          <rPr>
            <b/>
            <sz val="9"/>
            <color indexed="81"/>
            <rFont val="Tahoma"/>
            <family val="2"/>
          </rPr>
          <t>marasm:</t>
        </r>
        <r>
          <rPr>
            <sz val="9"/>
            <color indexed="81"/>
            <rFont val="Tahoma"/>
            <family val="2"/>
          </rPr>
          <t xml:space="preserve">
AHF</t>
        </r>
      </text>
    </comment>
    <comment ref="Y170" authorId="0" shapeId="0" xr:uid="{25960125-CA68-43AA-ADEB-23428A8D0196}">
      <text>
        <r>
          <rPr>
            <b/>
            <sz val="9"/>
            <color indexed="81"/>
            <rFont val="Tahoma"/>
            <family val="2"/>
          </rPr>
          <t>marasm:</t>
        </r>
        <r>
          <rPr>
            <sz val="9"/>
            <color indexed="81"/>
            <rFont val="Tahoma"/>
            <family val="2"/>
          </rPr>
          <t xml:space="preserve">
AHF</t>
        </r>
      </text>
    </comment>
    <comment ref="AA170" authorId="0" shapeId="0" xr:uid="{D358C6F5-EB48-4295-8E4C-5F7260FD89D6}">
      <text>
        <r>
          <rPr>
            <b/>
            <sz val="9"/>
            <color indexed="81"/>
            <rFont val="Tahoma"/>
            <family val="2"/>
          </rPr>
          <t>marasm:</t>
        </r>
        <r>
          <rPr>
            <sz val="9"/>
            <color indexed="81"/>
            <rFont val="Tahoma"/>
            <family val="2"/>
          </rPr>
          <t xml:space="preserve">
AHF</t>
        </r>
      </text>
    </comment>
    <comment ref="AD170" authorId="0" shapeId="0" xr:uid="{932735CD-99E8-43AD-9536-F293D96A2ADD}">
      <text>
        <r>
          <rPr>
            <b/>
            <sz val="9"/>
            <color indexed="81"/>
            <rFont val="Tahoma"/>
            <family val="2"/>
          </rPr>
          <t>marasm:</t>
        </r>
        <r>
          <rPr>
            <sz val="9"/>
            <color indexed="81"/>
            <rFont val="Tahoma"/>
            <family val="2"/>
          </rPr>
          <t xml:space="preserve">
AHF</t>
        </r>
      </text>
    </comment>
    <comment ref="H171" authorId="0" shapeId="0" xr:uid="{A599BE37-3038-4A98-ABF1-8A331F59286A}">
      <text>
        <r>
          <rPr>
            <b/>
            <sz val="9"/>
            <color indexed="81"/>
            <rFont val="Tahoma"/>
            <family val="2"/>
          </rPr>
          <t>marasm:</t>
        </r>
        <r>
          <rPr>
            <sz val="9"/>
            <color indexed="81"/>
            <rFont val="Tahoma"/>
            <family val="2"/>
          </rPr>
          <t xml:space="preserve">
Åbenhus 9-16</t>
        </r>
      </text>
    </comment>
    <comment ref="AA171" authorId="2" shapeId="0" xr:uid="{60AB8DC2-A078-4782-9447-4600F7E26F7C}">
      <text>
        <r>
          <rPr>
            <b/>
            <sz val="9"/>
            <color indexed="81"/>
            <rFont val="Tahoma"/>
            <family val="2"/>
          </rPr>
          <t>Steen Hertin:</t>
        </r>
        <r>
          <rPr>
            <sz val="9"/>
            <color indexed="81"/>
            <rFont val="Tahoma"/>
            <family val="2"/>
          </rPr>
          <t xml:space="preserve">
R2 på OA</t>
        </r>
      </text>
    </comment>
    <comment ref="AB171" authorId="6" shapeId="0" xr:uid="{0BF86B70-9BCE-46EA-94B4-D28DAB6F8611}">
      <text>
        <r>
          <rPr>
            <b/>
            <sz val="9"/>
            <color indexed="81"/>
            <rFont val="Tahoma"/>
            <family val="2"/>
          </rPr>
          <t>Marianne Rasmussen:</t>
        </r>
        <r>
          <rPr>
            <sz val="9"/>
            <color indexed="81"/>
            <rFont val="Tahoma"/>
            <family val="2"/>
          </rPr>
          <t xml:space="preserve">
Rundvisning på OA</t>
        </r>
      </text>
    </comment>
    <comment ref="AC171" authorId="6" shapeId="0" xr:uid="{23E08DFC-9E52-473C-B0FD-C5F98C9B5796}">
      <text>
        <r>
          <rPr>
            <b/>
            <sz val="9"/>
            <color indexed="81"/>
            <rFont val="Tahoma"/>
            <family val="2"/>
          </rPr>
          <t>Marianne Rasmussen:</t>
        </r>
        <r>
          <rPr>
            <sz val="9"/>
            <color indexed="81"/>
            <rFont val="Tahoma"/>
            <family val="2"/>
          </rPr>
          <t xml:space="preserve">
Rundvisning på OA</t>
        </r>
      </text>
    </comment>
    <comment ref="C175" authorId="0" shapeId="0" xr:uid="{1CB7FD80-A2F5-4487-8E06-83452D1F3249}">
      <text>
        <r>
          <rPr>
            <b/>
            <sz val="9"/>
            <color indexed="81"/>
            <rFont val="Tahoma"/>
            <family val="2"/>
          </rPr>
          <t>marasm:</t>
        </r>
        <r>
          <rPr>
            <sz val="9"/>
            <color indexed="81"/>
            <rFont val="Tahoma"/>
            <family val="2"/>
          </rPr>
          <t xml:space="preserve">
Fintælling</t>
        </r>
      </text>
    </comment>
    <comment ref="D175" authorId="0" shapeId="0" xr:uid="{0D0191D9-1762-42B7-93BE-B177DAB2A575}">
      <text>
        <r>
          <rPr>
            <b/>
            <sz val="9"/>
            <color indexed="81"/>
            <rFont val="Tahoma"/>
            <family val="2"/>
          </rPr>
          <t>marasm:</t>
        </r>
        <r>
          <rPr>
            <sz val="9"/>
            <color indexed="81"/>
            <rFont val="Tahoma"/>
            <family val="2"/>
          </rPr>
          <t xml:space="preserve">
Fintælling</t>
        </r>
      </text>
    </comment>
    <comment ref="H175" authorId="0" shapeId="0" xr:uid="{A7F7E4B6-5884-4AC9-9B96-C8B2C8398D0D}">
      <text>
        <r>
          <rPr>
            <b/>
            <sz val="9"/>
            <color indexed="81"/>
            <rFont val="Tahoma"/>
            <family val="2"/>
          </rPr>
          <t>marasm:</t>
        </r>
        <r>
          <rPr>
            <sz val="9"/>
            <color indexed="81"/>
            <rFont val="Tahoma"/>
            <family val="2"/>
          </rPr>
          <t xml:space="preserve">
Åbenhus 9-16</t>
        </r>
      </text>
    </comment>
    <comment ref="C197" authorId="3" shapeId="0" xr:uid="{73E52FAE-88C1-4C33-9355-5973FE27FE92}">
      <text>
        <r>
          <rPr>
            <b/>
            <sz val="9"/>
            <color indexed="81"/>
            <rFont val="Tahoma"/>
            <family val="2"/>
          </rPr>
          <t>Steen Hertin-Sandkær:</t>
        </r>
        <r>
          <rPr>
            <sz val="9"/>
            <color indexed="81"/>
            <rFont val="Tahoma"/>
            <family val="2"/>
          </rPr>
          <t xml:space="preserve">
Halvt bud</t>
        </r>
      </text>
    </comment>
    <comment ref="C198" authorId="3" shapeId="0" xr:uid="{73FBA415-DB0A-4FB9-B7E3-61B09966D3BF}">
      <text>
        <r>
          <rPr>
            <b/>
            <sz val="9"/>
            <color indexed="81"/>
            <rFont val="Tahoma"/>
            <family val="2"/>
          </rPr>
          <t>Steen Hertin-Sandkær:</t>
        </r>
        <r>
          <rPr>
            <sz val="9"/>
            <color indexed="81"/>
            <rFont val="Tahoma"/>
            <family val="2"/>
          </rPr>
          <t xml:space="preserve">
Valgsted</t>
        </r>
      </text>
    </comment>
    <comment ref="D198" authorId="0" shapeId="0" xr:uid="{F9F3FB1F-B401-43D5-A4CC-C84970B22A7B}">
      <text>
        <r>
          <rPr>
            <b/>
            <sz val="9"/>
            <color indexed="81"/>
            <rFont val="Tahoma"/>
            <family val="2"/>
          </rPr>
          <t>marasm:</t>
        </r>
        <r>
          <rPr>
            <sz val="9"/>
            <color indexed="81"/>
            <rFont val="Tahoma"/>
            <family val="2"/>
          </rPr>
          <t xml:space="preserve">
Fintælling</t>
        </r>
      </text>
    </comment>
    <comment ref="H198" authorId="0" shapeId="0" xr:uid="{C8938BCC-ED0B-48CE-B0E7-65E6034118C6}">
      <text>
        <r>
          <rPr>
            <b/>
            <sz val="9"/>
            <color indexed="81"/>
            <rFont val="Tahoma"/>
            <family val="2"/>
          </rPr>
          <t>marasm:</t>
        </r>
        <r>
          <rPr>
            <sz val="9"/>
            <color indexed="81"/>
            <rFont val="Tahoma"/>
            <family val="2"/>
          </rPr>
          <t xml:space="preserve">
Åbenhus 9-16</t>
        </r>
      </text>
    </comment>
    <comment ref="AE198" authorId="2" shapeId="0" xr:uid="{503B5AE3-29B1-4A5D-BD6A-5B6C99AD39A4}">
      <text>
        <r>
          <rPr>
            <b/>
            <sz val="9"/>
            <color indexed="81"/>
            <rFont val="Tahoma"/>
            <family val="2"/>
          </rPr>
          <t>Steen Hertin:</t>
        </r>
        <r>
          <rPr>
            <sz val="9"/>
            <color indexed="81"/>
            <rFont val="Tahoma"/>
            <family val="2"/>
          </rPr>
          <t xml:space="preserve">
Runderer Nørrebro bibliotek 2 x 30 min fra kl. 09.00 - 15.00</t>
        </r>
      </text>
    </comment>
    <comment ref="AF198" authorId="2" shapeId="0" xr:uid="{4A8FC036-5412-4D26-88DF-A71D1D93D6F4}">
      <text>
        <r>
          <rPr>
            <b/>
            <sz val="9"/>
            <color indexed="81"/>
            <rFont val="Tahoma"/>
            <family val="2"/>
          </rPr>
          <t>Steen Hertin:</t>
        </r>
        <r>
          <rPr>
            <sz val="9"/>
            <color indexed="81"/>
            <rFont val="Tahoma"/>
            <family val="2"/>
          </rPr>
          <t xml:space="preserve">
Runderer Nørrebro bibliotek 2 x 30 min fra kl. 09.00 - 15.00</t>
        </r>
      </text>
    </comment>
    <comment ref="C199" authorId="3" shapeId="0" xr:uid="{D5309738-79EF-4B31-B28D-1CD3BA69724B}">
      <text>
        <r>
          <rPr>
            <b/>
            <sz val="9"/>
            <color indexed="81"/>
            <rFont val="Tahoma"/>
            <family val="2"/>
          </rPr>
          <t>Steen Hertin-Sandkær:
halvt bud Kirsebærhaven skole</t>
        </r>
      </text>
    </comment>
    <comment ref="H199" authorId="0" shapeId="0" xr:uid="{B46BD234-0C4D-4A78-A3BB-E0172D3E2AE5}">
      <text>
        <r>
          <rPr>
            <b/>
            <sz val="9"/>
            <color indexed="81"/>
            <rFont val="Tahoma"/>
            <family val="2"/>
          </rPr>
          <t>marasm:</t>
        </r>
        <r>
          <rPr>
            <sz val="9"/>
            <color indexed="81"/>
            <rFont val="Tahoma"/>
            <family val="2"/>
          </rPr>
          <t xml:space="preserve">
Åbenhus 9-16</t>
        </r>
      </text>
    </comment>
    <comment ref="T210" authorId="2" shapeId="0" xr:uid="{460C538E-90E2-40B3-8B65-612BEA5136AF}">
      <text>
        <r>
          <rPr>
            <b/>
            <sz val="9"/>
            <color indexed="81"/>
            <rFont val="Tahoma"/>
            <family val="2"/>
          </rPr>
          <t>Steen Hertin:</t>
        </r>
        <r>
          <rPr>
            <sz val="9"/>
            <color indexed="81"/>
            <rFont val="Tahoma"/>
            <family val="2"/>
          </rPr>
          <t xml:space="preserve">
AHF</t>
        </r>
      </text>
    </comment>
    <comment ref="H275" authorId="0" shapeId="0" xr:uid="{008E69B3-42E1-46E5-8E29-A9C931971068}">
      <text>
        <r>
          <rPr>
            <b/>
            <sz val="9"/>
            <color indexed="81"/>
            <rFont val="Tahoma"/>
            <family val="2"/>
          </rPr>
          <t>marasm:</t>
        </r>
        <r>
          <rPr>
            <sz val="9"/>
            <color indexed="81"/>
            <rFont val="Tahoma"/>
            <family val="2"/>
          </rPr>
          <t xml:space="preserve">
Åbenhus 9-16</t>
        </r>
      </text>
    </comment>
    <comment ref="F290" authorId="0" shapeId="0" xr:uid="{76840F53-3EA3-407A-BA78-0DA116AC0049}">
      <text>
        <r>
          <rPr>
            <b/>
            <sz val="9"/>
            <color indexed="81"/>
            <rFont val="Tahoma"/>
            <family val="2"/>
          </rPr>
          <t>marasm:</t>
        </r>
        <r>
          <rPr>
            <sz val="9"/>
            <color indexed="81"/>
            <rFont val="Tahoma"/>
            <family val="2"/>
          </rPr>
          <t xml:space="preserve">
- 3 timer afs</t>
        </r>
      </text>
    </comment>
    <comment ref="J290" authorId="0" shapeId="0" xr:uid="{45C171D5-6F63-44A0-8C0B-8779C02F2EFD}">
      <text>
        <r>
          <rPr>
            <b/>
            <sz val="9"/>
            <color indexed="81"/>
            <rFont val="Tahoma"/>
            <family val="2"/>
          </rPr>
          <t>marasm:</t>
        </r>
        <r>
          <rPr>
            <sz val="9"/>
            <color indexed="81"/>
            <rFont val="Tahoma"/>
            <family val="2"/>
          </rPr>
          <t xml:space="preserve">
- 5 timer afs</t>
        </r>
      </text>
    </comment>
    <comment ref="S290" authorId="6" shapeId="0" xr:uid="{7AF2DB5B-9FAD-42BD-8C5D-0B7F10E05AC3}">
      <text>
        <r>
          <rPr>
            <b/>
            <sz val="9"/>
            <color indexed="81"/>
            <rFont val="Tahoma"/>
            <family val="2"/>
          </rPr>
          <t>Marianne Rasmussen:</t>
        </r>
        <r>
          <rPr>
            <sz val="9"/>
            <color indexed="81"/>
            <rFont val="Tahoma"/>
            <family val="2"/>
          </rPr>
          <t xml:space="preserve">
- 3 Timer afs</t>
        </r>
      </text>
    </comment>
    <comment ref="W290" authorId="6" shapeId="0" xr:uid="{242C7185-92EC-4299-A35E-140E091A49E0}">
      <text>
        <r>
          <rPr>
            <b/>
            <sz val="9"/>
            <color indexed="81"/>
            <rFont val="Tahoma"/>
            <family val="2"/>
          </rPr>
          <t>Marianne Rasmussen:</t>
        </r>
        <r>
          <rPr>
            <sz val="9"/>
            <color indexed="81"/>
            <rFont val="Tahoma"/>
            <family val="2"/>
          </rPr>
          <t xml:space="preserve">
-2 timer afs</t>
        </r>
      </text>
    </comment>
    <comment ref="AE290" authorId="0" shapeId="0" xr:uid="{103F11C0-7140-4095-AFCF-A197C6921348}">
      <text>
        <r>
          <rPr>
            <b/>
            <sz val="9"/>
            <color indexed="81"/>
            <rFont val="Tahoma"/>
            <family val="2"/>
          </rPr>
          <t>marasm:</t>
        </r>
        <r>
          <rPr>
            <sz val="9"/>
            <color indexed="81"/>
            <rFont val="Tahoma"/>
            <family val="2"/>
          </rPr>
          <t xml:space="preserve">
- 2 timer i afs</t>
        </r>
      </text>
    </comment>
    <comment ref="F291" authorId="0" shapeId="0" xr:uid="{6CF8BC0E-1BC0-4B72-8A04-B9CE711CD946}">
      <text>
        <r>
          <rPr>
            <b/>
            <sz val="9"/>
            <color indexed="81"/>
            <rFont val="Tahoma"/>
            <family val="2"/>
          </rPr>
          <t>marasm:</t>
        </r>
        <r>
          <rPr>
            <sz val="9"/>
            <color indexed="81"/>
            <rFont val="Tahoma"/>
            <family val="2"/>
          </rPr>
          <t xml:space="preserve">
- 2 timer afs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Marianne Rasmussen</author>
    <author>Steen Hertin-Sandkær</author>
    <author>Thomas Holm</author>
    <author>Steen Hertin</author>
    <author>Michael Bo Pedersen</author>
    <author>Nick Lorentzen</author>
    <author>Nikolaj Langtin Pamhede</author>
    <author>Kim Holm Aabroe</author>
    <author>Rasmus Sørensen</author>
    <author>Mathias Hartvig Morell Nielsen</author>
    <author>Mathias Nielsen</author>
    <author>marasm</author>
  </authors>
  <commentList>
    <comment ref="W12" authorId="0" shapeId="0" xr:uid="{9926569F-CDEC-4E74-9AC0-98D6699E753C}">
      <text>
        <r>
          <rPr>
            <b/>
            <sz val="9"/>
            <color indexed="81"/>
            <rFont val="Tahoma"/>
            <family val="2"/>
          </rPr>
          <t>Marianne Rasmussen:</t>
        </r>
        <r>
          <rPr>
            <sz val="9"/>
            <color indexed="81"/>
            <rFont val="Tahoma"/>
            <family val="2"/>
          </rPr>
          <t xml:space="preserve">
Afs fra kl 11</t>
        </r>
      </text>
    </comment>
    <comment ref="AC14" authorId="1" shapeId="0" xr:uid="{8C2A6CD8-4ECB-4645-B241-FAB5270A9CF5}">
      <text>
        <r>
          <rPr>
            <b/>
            <sz val="9"/>
            <color indexed="81"/>
            <rFont val="Tahoma"/>
            <family val="2"/>
          </rPr>
          <t>Steen Hertin-Sandkær:</t>
        </r>
        <r>
          <rPr>
            <sz val="9"/>
            <color indexed="81"/>
            <rFont val="Tahoma"/>
            <family val="2"/>
          </rPr>
          <t xml:space="preserve">
Feje for Johnny</t>
        </r>
      </text>
    </comment>
    <comment ref="AD14" authorId="1" shapeId="0" xr:uid="{C250746D-D195-48C5-B135-E51758F7A395}">
      <text>
        <r>
          <rPr>
            <b/>
            <sz val="9"/>
            <color indexed="81"/>
            <rFont val="Tahoma"/>
            <family val="2"/>
          </rPr>
          <t>Steen Hertin-Sandkær:</t>
        </r>
        <r>
          <rPr>
            <sz val="9"/>
            <color indexed="81"/>
            <rFont val="Tahoma"/>
            <family val="2"/>
          </rPr>
          <t xml:space="preserve">
Feje for Johnny</t>
        </r>
      </text>
    </comment>
    <comment ref="AD17" authorId="2" shapeId="0" xr:uid="{8A253031-0FB2-4B1B-9753-5D5A6CA71562}">
      <text>
        <r>
          <rPr>
            <b/>
            <sz val="9"/>
            <color indexed="81"/>
            <rFont val="Tahoma"/>
            <family val="2"/>
          </rPr>
          <t>Thomas Holm:</t>
        </r>
        <r>
          <rPr>
            <sz val="9"/>
            <color indexed="81"/>
            <rFont val="Tahoma"/>
            <family val="2"/>
          </rPr>
          <t xml:space="preserve">
Møde HBR</t>
        </r>
      </text>
    </comment>
    <comment ref="C20" authorId="3" shapeId="0" xr:uid="{3591D961-B329-4174-AC76-1BB448889383}">
      <text>
        <r>
          <rPr>
            <b/>
            <sz val="9"/>
            <color indexed="81"/>
            <rFont val="Tahoma"/>
            <family val="2"/>
          </rPr>
          <t>Steen Hertin:</t>
        </r>
        <r>
          <rPr>
            <sz val="9"/>
            <color indexed="81"/>
            <rFont val="Tahoma"/>
            <family val="2"/>
          </rPr>
          <t xml:space="preserve">
Hjælpe med at afløse sociale viceværter + Stormgade 18 kl. 15.30 - 21.00</t>
        </r>
      </text>
    </comment>
    <comment ref="I20" authorId="3" shapeId="0" xr:uid="{07A6A324-E126-460D-A166-355CB9C54F13}">
      <text>
        <r>
          <rPr>
            <b/>
            <sz val="9"/>
            <color indexed="81"/>
            <rFont val="Tahoma"/>
            <family val="2"/>
          </rPr>
          <t>Steen Hertin:</t>
        </r>
        <r>
          <rPr>
            <sz val="9"/>
            <color indexed="81"/>
            <rFont val="Tahoma"/>
            <family val="2"/>
          </rPr>
          <t xml:space="preserve">
Salih Lyongade kl. 12.00</t>
        </r>
      </text>
    </comment>
    <comment ref="X20" authorId="3" shapeId="0" xr:uid="{2CC5DA06-77FB-40EC-9EDE-E27197023EF4}">
      <text>
        <r>
          <rPr>
            <b/>
            <sz val="9"/>
            <color indexed="81"/>
            <rFont val="Tahoma"/>
            <family val="2"/>
          </rPr>
          <t>Steen Hertin:</t>
        </r>
        <r>
          <rPr>
            <sz val="9"/>
            <color indexed="81"/>
            <rFont val="Tahoma"/>
            <family val="2"/>
          </rPr>
          <t xml:space="preserve">
2-vagt på OA</t>
        </r>
      </text>
    </comment>
    <comment ref="Y20" authorId="3" shapeId="0" xr:uid="{0493F16A-7E77-4A11-A93E-2DE9CD608890}">
      <text>
        <r>
          <rPr>
            <b/>
            <sz val="9"/>
            <color indexed="81"/>
            <rFont val="Tahoma"/>
            <family val="2"/>
          </rPr>
          <t>Steen Hertin:</t>
        </r>
        <r>
          <rPr>
            <sz val="9"/>
            <color indexed="81"/>
            <rFont val="Tahoma"/>
            <family val="2"/>
          </rPr>
          <t xml:space="preserve">
2-vagt på OA</t>
        </r>
      </text>
    </comment>
    <comment ref="AG20" authorId="3" shapeId="0" xr:uid="{E5BB4D8B-C0E2-43A0-9146-70071B4F3428}">
      <text>
        <r>
          <rPr>
            <b/>
            <sz val="9"/>
            <color indexed="81"/>
            <rFont val="Tahoma"/>
            <family val="2"/>
          </rPr>
          <t>Steen Hertin:</t>
        </r>
        <r>
          <rPr>
            <sz val="9"/>
            <color indexed="81"/>
            <rFont val="Tahoma"/>
            <family val="2"/>
          </rPr>
          <t xml:space="preserve">
Ukraine hoteller 16.00 - 04.00</t>
        </r>
      </text>
    </comment>
    <comment ref="C21" authorId="0" shapeId="0" xr:uid="{0A7BA117-79C5-45CD-84B2-BCD77E2D59C6}">
      <text>
        <r>
          <rPr>
            <b/>
            <sz val="9"/>
            <color indexed="81"/>
            <rFont val="Tahoma"/>
            <family val="2"/>
          </rPr>
          <t>Marianne Rasmussen:</t>
        </r>
        <r>
          <rPr>
            <sz val="9"/>
            <color indexed="81"/>
            <rFont val="Tahoma"/>
            <family val="2"/>
          </rPr>
          <t xml:space="preserve">
BR- møde 
møder kl 15-22,45</t>
        </r>
      </text>
    </comment>
    <comment ref="D25" authorId="3" shapeId="0" xr:uid="{5CBAD9CE-9DB7-4044-BF97-85B5126B9CDA}">
      <text>
        <r>
          <rPr>
            <b/>
            <sz val="9"/>
            <color indexed="81"/>
            <rFont val="Tahoma"/>
            <family val="2"/>
          </rPr>
          <t>Steen Hertin:</t>
        </r>
        <r>
          <rPr>
            <sz val="9"/>
            <color indexed="81"/>
            <rFont val="Tahoma"/>
            <family val="2"/>
          </rPr>
          <t xml:space="preserve">
Rundviser fra kl. 10.00 + tårntur kl. 11.00</t>
        </r>
      </text>
    </comment>
    <comment ref="F25" authorId="2" shapeId="0" xr:uid="{96DAC8E2-6F06-4C99-90C7-5AED507C635A}">
      <text>
        <r>
          <rPr>
            <b/>
            <sz val="9"/>
            <color indexed="81"/>
            <rFont val="Tahoma"/>
            <family val="2"/>
          </rPr>
          <t>Thomas Holm:</t>
        </r>
        <r>
          <rPr>
            <sz val="9"/>
            <color indexed="81"/>
            <rFont val="Tahoma"/>
            <family val="2"/>
          </rPr>
          <t xml:space="preserve">
Rentemestervej
Vagt skal blive til 17.30</t>
        </r>
      </text>
    </comment>
    <comment ref="Q25" authorId="3" shapeId="0" xr:uid="{E0E01EBB-1B36-414C-9FFE-FAD4B5512588}">
      <text>
        <r>
          <rPr>
            <b/>
            <sz val="9"/>
            <color indexed="81"/>
            <rFont val="Tahoma"/>
            <family val="2"/>
          </rPr>
          <t>Steen Hertin:</t>
        </r>
        <r>
          <rPr>
            <sz val="9"/>
            <color indexed="81"/>
            <rFont val="Tahoma"/>
            <family val="2"/>
          </rPr>
          <t xml:space="preserve">
Vagten på Rentemestervej skal blive til kl. 21.00</t>
        </r>
      </text>
    </comment>
    <comment ref="T25" authorId="3" shapeId="0" xr:uid="{61F24301-C261-4F7B-871A-F4CAA34A2DB7}">
      <text>
        <r>
          <rPr>
            <b/>
            <sz val="9"/>
            <color indexed="81"/>
            <rFont val="Tahoma"/>
            <family val="2"/>
          </rPr>
          <t>Steen Hertin:</t>
        </r>
        <r>
          <rPr>
            <sz val="9"/>
            <color indexed="81"/>
            <rFont val="Tahoma"/>
            <family val="2"/>
          </rPr>
          <t xml:space="preserve">
Vagten på Rentemestervej skal blive til kl. 17.30</t>
        </r>
      </text>
    </comment>
    <comment ref="K26" authorId="3" shapeId="0" xr:uid="{83AC214F-A89C-4260-AE1D-5E86310B0CAE}">
      <text>
        <r>
          <rPr>
            <b/>
            <sz val="9"/>
            <color indexed="81"/>
            <rFont val="Tahoma"/>
            <family val="2"/>
          </rPr>
          <t>Steen Hertin:</t>
        </r>
        <r>
          <rPr>
            <sz val="9"/>
            <color indexed="81"/>
            <rFont val="Tahoma"/>
            <family val="2"/>
          </rPr>
          <t xml:space="preserve">
Tårntur kl. 10.00</t>
        </r>
      </text>
    </comment>
    <comment ref="N28" authorId="3" shapeId="0" xr:uid="{88684625-3CDE-4DE8-BB1A-AFFC4E1188A9}">
      <text>
        <r>
          <rPr>
            <b/>
            <sz val="9"/>
            <color indexed="81"/>
            <rFont val="Tahoma"/>
            <family val="2"/>
          </rPr>
          <t>Steen Hertin:</t>
        </r>
        <r>
          <rPr>
            <sz val="9"/>
            <color indexed="81"/>
            <rFont val="Tahoma"/>
            <family val="2"/>
          </rPr>
          <t xml:space="preserve">
Tårntur kl. 14.00 + rundvisning kl. 15.00</t>
        </r>
      </text>
    </comment>
    <comment ref="O28" authorId="3" shapeId="0" xr:uid="{1D61BA2F-99E8-415B-AC8E-D9CD4876E5DA}">
      <text>
        <r>
          <rPr>
            <b/>
            <sz val="9"/>
            <color indexed="81"/>
            <rFont val="Tahoma"/>
            <family val="2"/>
          </rPr>
          <t>Steen Hertin:</t>
        </r>
        <r>
          <rPr>
            <sz val="9"/>
            <color indexed="81"/>
            <rFont val="Tahoma"/>
            <family val="2"/>
          </rPr>
          <t xml:space="preserve">
Rundvisning kl. 15.00</t>
        </r>
      </text>
    </comment>
    <comment ref="U37" authorId="4" shapeId="0" xr:uid="{21209CE4-13C3-4717-9699-0149D498BE3F}">
      <text>
        <r>
          <rPr>
            <b/>
            <sz val="9"/>
            <color indexed="81"/>
            <rFont val="Tahoma"/>
            <family val="2"/>
          </rPr>
          <t>Michael Bo Pedersen:</t>
        </r>
        <r>
          <rPr>
            <sz val="9"/>
            <color indexed="81"/>
            <rFont val="Tahoma"/>
            <family val="2"/>
          </rPr>
          <t xml:space="preserve">
G-vagt på OA</t>
        </r>
      </text>
    </comment>
    <comment ref="V37" authorId="1" shapeId="0" xr:uid="{A377EB74-2AC0-4292-8560-F4F79A071DE5}">
      <text>
        <r>
          <rPr>
            <b/>
            <sz val="9"/>
            <color indexed="81"/>
            <rFont val="Tahoma"/>
            <family val="2"/>
          </rPr>
          <t>Steen Hertin-Sandkær:</t>
        </r>
        <r>
          <rPr>
            <sz val="9"/>
            <color indexed="81"/>
            <rFont val="Tahoma"/>
            <family val="2"/>
          </rPr>
          <t xml:space="preserve">
5-vagt på OA</t>
        </r>
      </text>
    </comment>
    <comment ref="W37" authorId="1" shapeId="0" xr:uid="{E20B8B4E-7BF7-4F3E-901A-2354D76D9F38}">
      <text>
        <r>
          <rPr>
            <b/>
            <sz val="9"/>
            <color indexed="81"/>
            <rFont val="Tahoma"/>
            <family val="2"/>
          </rPr>
          <t>Steen Hertin-Sandkær:</t>
        </r>
        <r>
          <rPr>
            <sz val="9"/>
            <color indexed="81"/>
            <rFont val="Tahoma"/>
            <family val="2"/>
          </rPr>
          <t xml:space="preserve">
5-vagt på OA</t>
        </r>
      </text>
    </comment>
    <comment ref="X37" authorId="1" shapeId="0" xr:uid="{8F15D008-3EDC-44E3-B88A-BD05CEBF188C}">
      <text>
        <r>
          <rPr>
            <b/>
            <sz val="9"/>
            <color indexed="81"/>
            <rFont val="Tahoma"/>
            <family val="2"/>
          </rPr>
          <t>Steen Hertin-Sandkær:</t>
        </r>
        <r>
          <rPr>
            <sz val="9"/>
            <color indexed="81"/>
            <rFont val="Tahoma"/>
            <family val="2"/>
          </rPr>
          <t xml:space="preserve">
5-vagt på OA</t>
        </r>
      </text>
    </comment>
    <comment ref="Y37" authorId="1" shapeId="0" xr:uid="{20B15E3C-632E-4295-8C47-0506BB10BCB6}">
      <text>
        <r>
          <rPr>
            <b/>
            <sz val="9"/>
            <color indexed="81"/>
            <rFont val="Tahoma"/>
            <family val="2"/>
          </rPr>
          <t>Steen Hertin-Sandkær:</t>
        </r>
        <r>
          <rPr>
            <sz val="9"/>
            <color indexed="81"/>
            <rFont val="Tahoma"/>
            <family val="2"/>
          </rPr>
          <t xml:space="preserve">
5-vagt på OA</t>
        </r>
      </text>
    </comment>
    <comment ref="AD37" authorId="3" shapeId="0" xr:uid="{193A02F0-17CA-49EB-8F4A-A67051516A93}">
      <text>
        <r>
          <rPr>
            <b/>
            <sz val="9"/>
            <color indexed="81"/>
            <rFont val="Tahoma"/>
            <family val="2"/>
          </rPr>
          <t>Steen Hertin:</t>
        </r>
        <r>
          <rPr>
            <sz val="9"/>
            <color indexed="81"/>
            <rFont val="Tahoma"/>
            <family val="2"/>
          </rPr>
          <t xml:space="preserve">
Biblioteksvagt kl. 12.00-16.30 på OA</t>
        </r>
      </text>
    </comment>
    <comment ref="AE37" authorId="5" shapeId="0" xr:uid="{718FECDA-6194-4EFE-B796-75670359A2DE}">
      <text>
        <r>
          <rPr>
            <b/>
            <sz val="9"/>
            <color indexed="81"/>
            <rFont val="Tahoma"/>
            <family val="2"/>
          </rPr>
          <t>Nick Lorentzen:</t>
        </r>
        <r>
          <rPr>
            <sz val="9"/>
            <color indexed="81"/>
            <rFont val="Tahoma"/>
            <family val="2"/>
          </rPr>
          <t xml:space="preserve">
99 vagt</t>
        </r>
      </text>
    </comment>
    <comment ref="H38" authorId="3" shapeId="0" xr:uid="{5C067458-9199-4C9F-8B7B-D62B4779AA5E}">
      <text>
        <r>
          <rPr>
            <b/>
            <sz val="9"/>
            <color indexed="81"/>
            <rFont val="Tahoma"/>
            <family val="2"/>
          </rPr>
          <t>Steen Hertin:</t>
        </r>
        <r>
          <rPr>
            <sz val="9"/>
            <color indexed="81"/>
            <rFont val="Tahoma"/>
            <family val="2"/>
          </rPr>
          <t xml:space="preserve">
3-vagt på OA</t>
        </r>
      </text>
    </comment>
    <comment ref="N38" authorId="6" shapeId="0" xr:uid="{F8ADBDDE-F860-4942-BDA5-944AC0563063}">
      <text>
        <r>
          <rPr>
            <b/>
            <sz val="9"/>
            <color indexed="81"/>
            <rFont val="Tahoma"/>
            <family val="2"/>
          </rPr>
          <t>Nikolaj Langtin Pamhede:</t>
        </r>
        <r>
          <rPr>
            <sz val="9"/>
            <color indexed="81"/>
            <rFont val="Tahoma"/>
            <family val="2"/>
          </rPr>
          <t xml:space="preserve">
1 vagt på oa</t>
        </r>
      </text>
    </comment>
    <comment ref="O38" authorId="6" shapeId="0" xr:uid="{E6F2E3E8-C3A6-4919-856C-64B0F1401F83}">
      <text>
        <r>
          <rPr>
            <b/>
            <sz val="9"/>
            <color indexed="81"/>
            <rFont val="Tahoma"/>
            <family val="2"/>
          </rPr>
          <t>Nikolaj Langtin Pamhede:</t>
        </r>
        <r>
          <rPr>
            <sz val="9"/>
            <color indexed="81"/>
            <rFont val="Tahoma"/>
            <family val="2"/>
          </rPr>
          <t xml:space="preserve">
1 vagt på oa</t>
        </r>
      </text>
    </comment>
    <comment ref="P38" authorId="6" shapeId="0" xr:uid="{67E57866-462B-462C-A5E3-1FFA77B2E96C}">
      <text>
        <r>
          <rPr>
            <b/>
            <sz val="9"/>
            <color indexed="81"/>
            <rFont val="Tahoma"/>
            <family val="2"/>
          </rPr>
          <t>Nikolaj Langtin Pamhede:</t>
        </r>
        <r>
          <rPr>
            <sz val="9"/>
            <color indexed="81"/>
            <rFont val="Tahoma"/>
            <family val="2"/>
          </rPr>
          <t xml:space="preserve">
1 vagt på oa</t>
        </r>
      </text>
    </comment>
    <comment ref="Q38" authorId="6" shapeId="0" xr:uid="{DA7D5585-AF92-4839-9D23-DA0E7318612C}">
      <text>
        <r>
          <rPr>
            <b/>
            <sz val="9"/>
            <color indexed="81"/>
            <rFont val="Tahoma"/>
            <family val="2"/>
          </rPr>
          <t>Nikolaj Langtin Pamhede:</t>
        </r>
        <r>
          <rPr>
            <sz val="9"/>
            <color indexed="81"/>
            <rFont val="Tahoma"/>
            <family val="2"/>
          </rPr>
          <t xml:space="preserve">
1 vagt på oa</t>
        </r>
      </text>
    </comment>
    <comment ref="R38" authorId="6" shapeId="0" xr:uid="{DEA1C84A-B11F-4D43-AEB5-280878F17EE9}">
      <text>
        <r>
          <rPr>
            <b/>
            <sz val="9"/>
            <color indexed="81"/>
            <rFont val="Tahoma"/>
            <family val="2"/>
          </rPr>
          <t>Nikolaj Langtin Pamhede:</t>
        </r>
        <r>
          <rPr>
            <sz val="9"/>
            <color indexed="81"/>
            <rFont val="Tahoma"/>
            <family val="2"/>
          </rPr>
          <t xml:space="preserve">
1 vagt på oa</t>
        </r>
      </text>
    </comment>
    <comment ref="AC39" authorId="4" shapeId="0" xr:uid="{7F2DFD08-C18E-4A9F-8E64-3E8A165E010C}">
      <text>
        <r>
          <rPr>
            <b/>
            <sz val="9"/>
            <color indexed="81"/>
            <rFont val="Tahoma"/>
            <family val="2"/>
          </rPr>
          <t>Michael Bo Pedersen:</t>
        </r>
        <r>
          <rPr>
            <sz val="9"/>
            <color indexed="81"/>
            <rFont val="Tahoma"/>
            <family val="2"/>
          </rPr>
          <t xml:space="preserve">
Til Lægen</t>
        </r>
      </text>
    </comment>
    <comment ref="AE39" authorId="1" shapeId="0" xr:uid="{06DBC0E4-FB87-44FA-BC0E-9E891FE182B2}">
      <text>
        <r>
          <rPr>
            <b/>
            <sz val="9"/>
            <color indexed="81"/>
            <rFont val="Tahoma"/>
            <family val="2"/>
          </rPr>
          <t>Steen Hertin-Sandkær:</t>
        </r>
        <r>
          <rPr>
            <sz val="9"/>
            <color indexed="81"/>
            <rFont val="Tahoma"/>
            <family val="2"/>
          </rPr>
          <t xml:space="preserve">
Feje for Johnny</t>
        </r>
      </text>
    </comment>
    <comment ref="AF39" authorId="1" shapeId="0" xr:uid="{CDD4A59E-9B1A-45BA-9627-AB12C1EE2B44}">
      <text>
        <r>
          <rPr>
            <b/>
            <sz val="9"/>
            <color indexed="81"/>
            <rFont val="Tahoma"/>
            <family val="2"/>
          </rPr>
          <t>Steen Hertin-Sandkær:</t>
        </r>
        <r>
          <rPr>
            <sz val="9"/>
            <color indexed="81"/>
            <rFont val="Tahoma"/>
            <family val="2"/>
          </rPr>
          <t xml:space="preserve">
Feje for Johnny</t>
        </r>
      </text>
    </comment>
    <comment ref="P44" authorId="1" shapeId="0" xr:uid="{86EF1B6B-03DC-4BE7-A5B4-5CCC55D8BB74}">
      <text>
        <r>
          <rPr>
            <b/>
            <sz val="9"/>
            <color indexed="81"/>
            <rFont val="Tahoma"/>
            <family val="2"/>
          </rPr>
          <t>Steen Hertin-Sandkær:</t>
        </r>
        <r>
          <rPr>
            <sz val="9"/>
            <color indexed="81"/>
            <rFont val="Tahoma"/>
            <family val="2"/>
          </rPr>
          <t xml:space="preserve">
GKL 09.00 - 14.00</t>
        </r>
      </text>
    </comment>
    <comment ref="Q44" authorId="1" shapeId="0" xr:uid="{8D5CF7DA-FCCC-4051-91E1-D0C8A84442BF}">
      <text>
        <r>
          <rPr>
            <b/>
            <sz val="9"/>
            <color indexed="81"/>
            <rFont val="Tahoma"/>
            <family val="2"/>
          </rPr>
          <t>Steen Hertin-Sandkær:</t>
        </r>
        <r>
          <rPr>
            <sz val="9"/>
            <color indexed="81"/>
            <rFont val="Tahoma"/>
            <family val="2"/>
          </rPr>
          <t xml:space="preserve">
GKL 09.00 - 14.00</t>
        </r>
      </text>
    </comment>
    <comment ref="R44" authorId="1" shapeId="0" xr:uid="{0EC764A3-48B1-4878-8718-1BA05BD79C21}">
      <text>
        <r>
          <rPr>
            <b/>
            <sz val="9"/>
            <color indexed="81"/>
            <rFont val="Tahoma"/>
            <family val="2"/>
          </rPr>
          <t>Steen Hertin-Sandkær:</t>
        </r>
        <r>
          <rPr>
            <sz val="9"/>
            <color indexed="81"/>
            <rFont val="Tahoma"/>
            <family val="2"/>
          </rPr>
          <t xml:space="preserve">
GKL 08-30-14.00</t>
        </r>
      </text>
    </comment>
    <comment ref="C46" authorId="3" shapeId="0" xr:uid="{0FB7477C-CAF0-418E-B6CC-BB1AB260047E}">
      <text>
        <r>
          <rPr>
            <b/>
            <sz val="9"/>
            <color indexed="81"/>
            <rFont val="Tahoma"/>
            <family val="2"/>
          </rPr>
          <t>Steen Hertin:</t>
        </r>
        <r>
          <rPr>
            <sz val="9"/>
            <color indexed="81"/>
            <rFont val="Tahoma"/>
            <family val="2"/>
          </rPr>
          <t xml:space="preserve">
Stormgade 18 kl. 15:30 på OA.</t>
        </r>
      </text>
    </comment>
    <comment ref="E46" authorId="3" shapeId="0" xr:uid="{3A08BD7C-A825-4D3A-B717-989B874D723B}">
      <text>
        <r>
          <rPr>
            <b/>
            <sz val="9"/>
            <color indexed="81"/>
            <rFont val="Tahoma"/>
            <family val="2"/>
          </rPr>
          <t>Steen Hertin:</t>
        </r>
        <r>
          <rPr>
            <sz val="9"/>
            <color indexed="81"/>
            <rFont val="Tahoma"/>
            <family val="2"/>
          </rPr>
          <t xml:space="preserve">
Rundviser kl. 09.00 - 17.00 på OA</t>
        </r>
      </text>
    </comment>
    <comment ref="M46" authorId="3" shapeId="0" xr:uid="{DBE223FE-783E-46CE-A19D-EE954320028A}">
      <text>
        <r>
          <rPr>
            <b/>
            <sz val="9"/>
            <color indexed="81"/>
            <rFont val="Tahoma"/>
            <family val="2"/>
          </rPr>
          <t>Steen Hertin:</t>
        </r>
        <r>
          <rPr>
            <sz val="9"/>
            <color indexed="81"/>
            <rFont val="Tahoma"/>
            <family val="2"/>
          </rPr>
          <t xml:space="preserve">
Rundvisninger kl. 10.00 - 14.00</t>
        </r>
      </text>
    </comment>
    <comment ref="X46" authorId="4" shapeId="0" xr:uid="{73621456-101E-4B7A-8DDB-0C216436F2B0}">
      <text>
        <r>
          <rPr>
            <b/>
            <sz val="9"/>
            <color indexed="81"/>
            <rFont val="Tahoma"/>
            <family val="2"/>
          </rPr>
          <t>Michael Bo Pedersen:</t>
        </r>
        <r>
          <rPr>
            <sz val="9"/>
            <color indexed="81"/>
            <rFont val="Tahoma"/>
            <family val="2"/>
          </rPr>
          <t xml:space="preserve">
Biblioteks vagt. 15:00-20:30 OA</t>
        </r>
      </text>
    </comment>
    <comment ref="K48" authorId="3" shapeId="0" xr:uid="{CC132AF6-61C1-4B03-8B0F-0715640F610D}">
      <text>
        <r>
          <rPr>
            <b/>
            <sz val="9"/>
            <color indexed="81"/>
            <rFont val="Tahoma"/>
            <family val="2"/>
          </rPr>
          <t>Steen Hertin:</t>
        </r>
        <r>
          <rPr>
            <sz val="9"/>
            <color indexed="81"/>
            <rFont val="Tahoma"/>
            <family val="2"/>
          </rPr>
          <t xml:space="preserve">
Fuglebakken fra kl. 16.00 til slut..</t>
        </r>
      </text>
    </comment>
    <comment ref="AB48" authorId="7" shapeId="0" xr:uid="{BB59F6D6-4406-4B9F-A5B9-6A3349E366D2}">
      <text>
        <r>
          <rPr>
            <b/>
            <sz val="9"/>
            <color indexed="81"/>
            <rFont val="Tahoma"/>
            <family val="2"/>
          </rPr>
          <t>Kim Holm Aabroe:</t>
        </r>
        <r>
          <rPr>
            <sz val="9"/>
            <color indexed="81"/>
            <rFont val="Tahoma"/>
            <family val="2"/>
          </rPr>
          <t xml:space="preserve">
1-vagt OA</t>
        </r>
      </text>
    </comment>
    <comment ref="AC48" authorId="4" shapeId="0" xr:uid="{C00CE1B1-2992-47E5-BC2E-F89C2BC90DD4}">
      <text>
        <r>
          <rPr>
            <b/>
            <sz val="9"/>
            <color indexed="81"/>
            <rFont val="Tahoma"/>
            <family val="2"/>
          </rPr>
          <t>Michael Bo Pedersen:</t>
        </r>
        <r>
          <rPr>
            <sz val="9"/>
            <color indexed="81"/>
            <rFont val="Tahoma"/>
            <family val="2"/>
          </rPr>
          <t xml:space="preserve">
I2 på OA</t>
        </r>
      </text>
    </comment>
    <comment ref="AE48" authorId="5" shapeId="0" xr:uid="{6CCFD663-F2F3-46EE-B395-F8FD4ED9AEEB}">
      <text>
        <r>
          <rPr>
            <b/>
            <sz val="9"/>
            <color indexed="81"/>
            <rFont val="Tahoma"/>
            <family val="2"/>
          </rPr>
          <t>Nick Lorentzen:</t>
        </r>
        <r>
          <rPr>
            <sz val="9"/>
            <color indexed="81"/>
            <rFont val="Tahoma"/>
            <family val="2"/>
          </rPr>
          <t xml:space="preserve">
I2</t>
        </r>
      </text>
    </comment>
    <comment ref="AF48" authorId="4" shapeId="0" xr:uid="{413AF84A-1617-4D90-B76E-597B46DD7F09}">
      <text>
        <r>
          <rPr>
            <b/>
            <sz val="9"/>
            <color indexed="81"/>
            <rFont val="Tahoma"/>
            <family val="2"/>
          </rPr>
          <t>Michael Bo Pedersen:</t>
        </r>
        <r>
          <rPr>
            <sz val="9"/>
            <color indexed="81"/>
            <rFont val="Tahoma"/>
            <family val="2"/>
          </rPr>
          <t xml:space="preserve">
I2 på OA</t>
        </r>
      </text>
    </comment>
    <comment ref="M61" authorId="3" shapeId="0" xr:uid="{EB5D5C64-691E-4155-A948-CB1F48C36D30}">
      <text>
        <r>
          <rPr>
            <b/>
            <sz val="9"/>
            <color indexed="81"/>
            <rFont val="Tahoma"/>
            <family val="2"/>
          </rPr>
          <t>Steen Hertin:</t>
        </r>
        <r>
          <rPr>
            <sz val="9"/>
            <color indexed="81"/>
            <rFont val="Tahoma"/>
            <family val="2"/>
          </rPr>
          <t xml:space="preserve">
Tingbjerg 13.45-18,45</t>
        </r>
      </text>
    </comment>
    <comment ref="U61" authorId="1" shapeId="0" xr:uid="{59B7D904-7338-41EA-BCB2-0535B4553BB2}">
      <text>
        <r>
          <rPr>
            <b/>
            <sz val="9"/>
            <color indexed="81"/>
            <rFont val="Tahoma"/>
            <family val="2"/>
          </rPr>
          <t>Steen Hertin-Sandkær:</t>
        </r>
        <r>
          <rPr>
            <sz val="9"/>
            <color indexed="81"/>
            <rFont val="Tahoma"/>
            <family val="2"/>
          </rPr>
          <t xml:space="preserve">
5-vagt på OA</t>
        </r>
      </text>
    </comment>
    <comment ref="C62" authorId="3" shapeId="0" xr:uid="{DA54A3B7-AB59-4F45-9848-FA3B7F4D8FA8}">
      <text>
        <r>
          <rPr>
            <b/>
            <sz val="9"/>
            <color indexed="81"/>
            <rFont val="Tahoma"/>
            <family val="2"/>
          </rPr>
          <t>Steen Hertin:</t>
        </r>
        <r>
          <rPr>
            <sz val="9"/>
            <color indexed="81"/>
            <rFont val="Tahoma"/>
            <family val="2"/>
          </rPr>
          <t xml:space="preserve">
Metro kl. 08-15 på OA</t>
        </r>
      </text>
    </comment>
    <comment ref="D62" authorId="3" shapeId="0" xr:uid="{E6CF6B36-52EE-45F0-9F15-2C2472EF3950}">
      <text>
        <r>
          <rPr>
            <b/>
            <sz val="9"/>
            <color indexed="81"/>
            <rFont val="Tahoma"/>
            <family val="2"/>
          </rPr>
          <t>Steen Hertin:</t>
        </r>
        <r>
          <rPr>
            <sz val="9"/>
            <color indexed="81"/>
            <rFont val="Tahoma"/>
            <family val="2"/>
          </rPr>
          <t xml:space="preserve">
Metro kl. 08-15 på OA</t>
        </r>
      </text>
    </comment>
    <comment ref="F62" authorId="3" shapeId="0" xr:uid="{47642EA8-4B19-4F02-8B4D-8E32C935F2D9}">
      <text>
        <r>
          <rPr>
            <b/>
            <sz val="9"/>
            <color indexed="81"/>
            <rFont val="Tahoma"/>
            <family val="2"/>
          </rPr>
          <t>Steen Hertin:</t>
        </r>
        <r>
          <rPr>
            <sz val="9"/>
            <color indexed="81"/>
            <rFont val="Tahoma"/>
            <family val="2"/>
          </rPr>
          <t xml:space="preserve">
Metro 08-15</t>
        </r>
      </text>
    </comment>
    <comment ref="G62" authorId="3" shapeId="0" xr:uid="{89D01ED1-EA45-4EB8-917F-CF1E11C53203}">
      <text>
        <r>
          <rPr>
            <b/>
            <sz val="9"/>
            <color indexed="81"/>
            <rFont val="Tahoma"/>
            <family val="2"/>
          </rPr>
          <t>Steen Hertin:</t>
        </r>
        <r>
          <rPr>
            <sz val="9"/>
            <color indexed="81"/>
            <rFont val="Tahoma"/>
            <family val="2"/>
          </rPr>
          <t xml:space="preserve">
Metro 08-15 på OA</t>
        </r>
      </text>
    </comment>
    <comment ref="H62" authorId="3" shapeId="0" xr:uid="{64B4A9EB-22E7-4BFF-BC91-08D9B310A2D9}">
      <text>
        <r>
          <rPr>
            <b/>
            <sz val="9"/>
            <color indexed="81"/>
            <rFont val="Tahoma"/>
            <family val="2"/>
          </rPr>
          <t>Steen Hertin:</t>
        </r>
        <r>
          <rPr>
            <sz val="9"/>
            <color indexed="81"/>
            <rFont val="Tahoma"/>
            <family val="2"/>
          </rPr>
          <t xml:space="preserve">
Metro 08-15 på OA</t>
        </r>
      </text>
    </comment>
    <comment ref="I62" authorId="3" shapeId="0" xr:uid="{A5159438-25CF-4C63-B8CF-88672F69B9B8}">
      <text>
        <r>
          <rPr>
            <b/>
            <sz val="9"/>
            <color indexed="81"/>
            <rFont val="Tahoma"/>
            <family val="2"/>
          </rPr>
          <t>Steen Hertin:</t>
        </r>
        <r>
          <rPr>
            <sz val="9"/>
            <color indexed="81"/>
            <rFont val="Tahoma"/>
            <family val="2"/>
          </rPr>
          <t xml:space="preserve">
Metro 08-15 på OA</t>
        </r>
      </text>
    </comment>
    <comment ref="N62" authorId="1" shapeId="0" xr:uid="{213CFC10-09A5-4FC4-A883-6E459FFF625B}">
      <text>
        <r>
          <rPr>
            <b/>
            <sz val="9"/>
            <color indexed="81"/>
            <rFont val="Tahoma"/>
            <family val="2"/>
          </rPr>
          <t>Steen Hertin-Sandkær:</t>
        </r>
        <r>
          <rPr>
            <sz val="9"/>
            <color indexed="81"/>
            <rFont val="Tahoma"/>
            <family val="2"/>
          </rPr>
          <t xml:space="preserve">
L-vagt6 på OA</t>
        </r>
      </text>
    </comment>
    <comment ref="O62" authorId="1" shapeId="0" xr:uid="{E72DA281-882C-43D6-9565-5E29CC029E63}">
      <text>
        <r>
          <rPr>
            <b/>
            <sz val="9"/>
            <color indexed="81"/>
            <rFont val="Tahoma"/>
            <family val="2"/>
          </rPr>
          <t>Steen Hertin-Sandkær:</t>
        </r>
        <r>
          <rPr>
            <sz val="9"/>
            <color indexed="81"/>
            <rFont val="Tahoma"/>
            <family val="2"/>
          </rPr>
          <t xml:space="preserve">
L-vagt6 på OA</t>
        </r>
      </text>
    </comment>
    <comment ref="P62" authorId="1" shapeId="0" xr:uid="{C108B54A-3EC4-42B3-9B62-8CB975AFE6D7}">
      <text>
        <r>
          <rPr>
            <b/>
            <sz val="9"/>
            <color indexed="81"/>
            <rFont val="Tahoma"/>
            <family val="2"/>
          </rPr>
          <t>Steen Hertin-Sandkær:</t>
        </r>
        <r>
          <rPr>
            <sz val="9"/>
            <color indexed="81"/>
            <rFont val="Tahoma"/>
            <family val="2"/>
          </rPr>
          <t xml:space="preserve">
L-vagt6 på OA</t>
        </r>
      </text>
    </comment>
    <comment ref="Q62" authorId="1" shapeId="0" xr:uid="{05090799-0848-4006-A285-77EE4762CBFC}">
      <text>
        <r>
          <rPr>
            <b/>
            <sz val="9"/>
            <color indexed="81"/>
            <rFont val="Tahoma"/>
            <family val="2"/>
          </rPr>
          <t>Steen Hertin-Sandkær:</t>
        </r>
        <r>
          <rPr>
            <sz val="9"/>
            <color indexed="81"/>
            <rFont val="Tahoma"/>
            <family val="2"/>
          </rPr>
          <t xml:space="preserve">
L-vagt6 på OA</t>
        </r>
      </text>
    </comment>
    <comment ref="R62" authorId="1" shapeId="0" xr:uid="{FA1E92BE-5EDF-41D7-9955-9C3E1446EDBB}">
      <text>
        <r>
          <rPr>
            <b/>
            <sz val="9"/>
            <color indexed="81"/>
            <rFont val="Tahoma"/>
            <family val="2"/>
          </rPr>
          <t>Steen Hertin-Sandkær:</t>
        </r>
        <r>
          <rPr>
            <sz val="9"/>
            <color indexed="81"/>
            <rFont val="Tahoma"/>
            <family val="2"/>
          </rPr>
          <t xml:space="preserve">
L-vagt6 på OA</t>
        </r>
      </text>
    </comment>
    <comment ref="U62" authorId="3" shapeId="0" xr:uid="{DD30C607-87A2-460D-8B0B-D29C4829033D}">
      <text>
        <r>
          <rPr>
            <b/>
            <sz val="9"/>
            <color indexed="81"/>
            <rFont val="Tahoma"/>
            <family val="2"/>
          </rPr>
          <t>Steen Hertin:</t>
        </r>
        <r>
          <rPr>
            <sz val="9"/>
            <color indexed="81"/>
            <rFont val="Tahoma"/>
            <family val="2"/>
          </rPr>
          <t xml:space="preserve">
L-vagt på OA.</t>
        </r>
      </text>
    </comment>
    <comment ref="V62" authorId="3" shapeId="0" xr:uid="{D6FC157E-C1CD-4CA5-8280-B8D7853695AF}">
      <text>
        <r>
          <rPr>
            <b/>
            <sz val="9"/>
            <color indexed="81"/>
            <rFont val="Tahoma"/>
            <family val="2"/>
          </rPr>
          <t>Steen Hertin:</t>
        </r>
        <r>
          <rPr>
            <sz val="9"/>
            <color indexed="81"/>
            <rFont val="Tahoma"/>
            <family val="2"/>
          </rPr>
          <t xml:space="preserve">
L-vagt på OA.</t>
        </r>
      </text>
    </comment>
    <comment ref="W62" authorId="3" shapeId="0" xr:uid="{BF77378E-89DF-47EE-AEE1-862E0D0AE22D}">
      <text>
        <r>
          <rPr>
            <b/>
            <sz val="9"/>
            <color indexed="81"/>
            <rFont val="Tahoma"/>
            <family val="2"/>
          </rPr>
          <t>Steen Hertin:</t>
        </r>
        <r>
          <rPr>
            <sz val="9"/>
            <color indexed="81"/>
            <rFont val="Tahoma"/>
            <family val="2"/>
          </rPr>
          <t xml:space="preserve">
L-vagt på OA.</t>
        </r>
      </text>
    </comment>
    <comment ref="X62" authorId="3" shapeId="0" xr:uid="{0D210626-EF10-4BAF-92B9-6C2B274E355C}">
      <text>
        <r>
          <rPr>
            <b/>
            <sz val="9"/>
            <color indexed="81"/>
            <rFont val="Tahoma"/>
            <family val="2"/>
          </rPr>
          <t>Steen Hertin:</t>
        </r>
        <r>
          <rPr>
            <sz val="9"/>
            <color indexed="81"/>
            <rFont val="Tahoma"/>
            <family val="2"/>
          </rPr>
          <t xml:space="preserve">
L-vagt på OA.</t>
        </r>
      </text>
    </comment>
    <comment ref="Y62" authorId="3" shapeId="0" xr:uid="{9210DD2B-B756-4250-81CC-E8348F56F7A2}">
      <text>
        <r>
          <rPr>
            <b/>
            <sz val="9"/>
            <color indexed="81"/>
            <rFont val="Tahoma"/>
            <family val="2"/>
          </rPr>
          <t>Steen Hertin:</t>
        </r>
        <r>
          <rPr>
            <sz val="9"/>
            <color indexed="81"/>
            <rFont val="Tahoma"/>
            <family val="2"/>
          </rPr>
          <t xml:space="preserve">
L-vagt på OA.</t>
        </r>
      </text>
    </comment>
    <comment ref="S63" authorId="3" shapeId="0" xr:uid="{07D1EF4E-132C-46C4-8F3F-4448C3DE9AA5}">
      <text>
        <r>
          <rPr>
            <b/>
            <sz val="9"/>
            <color indexed="81"/>
            <rFont val="Tahoma"/>
            <family val="2"/>
          </rPr>
          <t>Steen Hertin:</t>
        </r>
        <r>
          <rPr>
            <sz val="9"/>
            <color indexed="81"/>
            <rFont val="Tahoma"/>
            <family val="2"/>
          </rPr>
          <t xml:space="preserve">
22-vagt på OA</t>
        </r>
      </text>
    </comment>
    <comment ref="T63" authorId="3" shapeId="0" xr:uid="{DA50C146-731F-4C9A-AAF3-B90B41B08A4A}">
      <text>
        <r>
          <rPr>
            <b/>
            <sz val="9"/>
            <color indexed="81"/>
            <rFont val="Tahoma"/>
            <family val="2"/>
          </rPr>
          <t>Steen Hertin:</t>
        </r>
        <r>
          <rPr>
            <sz val="9"/>
            <color indexed="81"/>
            <rFont val="Tahoma"/>
            <family val="2"/>
          </rPr>
          <t xml:space="preserve">
22-vagt på OA</t>
        </r>
      </text>
    </comment>
    <comment ref="AC63" authorId="3" shapeId="0" xr:uid="{EFEEC0DD-F4C6-4368-86BB-92A017C5E9B1}">
      <text>
        <r>
          <rPr>
            <b/>
            <sz val="9"/>
            <color indexed="81"/>
            <rFont val="Tahoma"/>
            <family val="2"/>
          </rPr>
          <t>Steen Hertin:</t>
        </r>
        <r>
          <rPr>
            <sz val="9"/>
            <color indexed="81"/>
            <rFont val="Tahoma"/>
            <family val="2"/>
          </rPr>
          <t xml:space="preserve">
Biblioteker 12.00 - 20.30</t>
        </r>
      </text>
    </comment>
    <comment ref="AE63" authorId="3" shapeId="0" xr:uid="{15875CDD-A69B-4B7A-ADC4-D77BABA1248B}">
      <text>
        <r>
          <rPr>
            <b/>
            <sz val="9"/>
            <color indexed="81"/>
            <rFont val="Tahoma"/>
            <family val="2"/>
          </rPr>
          <t>Steen Hertin:</t>
        </r>
        <r>
          <rPr>
            <sz val="9"/>
            <color indexed="81"/>
            <rFont val="Tahoma"/>
            <family val="2"/>
          </rPr>
          <t xml:space="preserve">
Biblioteker 12.00 - 20.30</t>
        </r>
      </text>
    </comment>
    <comment ref="AF63" authorId="3" shapeId="0" xr:uid="{47765126-1E5F-43BF-A34C-175AE33B977E}">
      <text>
        <r>
          <rPr>
            <b/>
            <sz val="9"/>
            <color indexed="81"/>
            <rFont val="Tahoma"/>
            <family val="2"/>
          </rPr>
          <t>Steen Hertin:</t>
        </r>
        <r>
          <rPr>
            <sz val="9"/>
            <color indexed="81"/>
            <rFont val="Tahoma"/>
            <family val="2"/>
          </rPr>
          <t xml:space="preserve">
Biblioteker 12.00 - 20.30</t>
        </r>
      </text>
    </comment>
    <comment ref="C64" authorId="3" shapeId="0" xr:uid="{5CA34B83-ED45-4E57-B98E-FBBD7B4F50B4}">
      <text>
        <r>
          <rPr>
            <b/>
            <sz val="9"/>
            <color indexed="81"/>
            <rFont val="Tahoma"/>
            <family val="2"/>
          </rPr>
          <t>Steen Hertin:</t>
        </r>
        <r>
          <rPr>
            <sz val="9"/>
            <color indexed="81"/>
            <rFont val="Tahoma"/>
            <family val="2"/>
          </rPr>
          <t xml:space="preserve">
Afløse Sociale viceværter kl. 08.00 - 19.00 OA fra kl. 16.00
rentemestervej til 23.00</t>
        </r>
      </text>
    </comment>
    <comment ref="E64" authorId="3" shapeId="0" xr:uid="{E6B47146-C9FF-484A-8944-FAF57EBE3DE2}">
      <text>
        <r>
          <rPr>
            <b/>
            <sz val="9"/>
            <color indexed="81"/>
            <rFont val="Tahoma"/>
            <family val="2"/>
          </rPr>
          <t>Steen Hertin:</t>
        </r>
        <r>
          <rPr>
            <sz val="9"/>
            <color indexed="81"/>
            <rFont val="Tahoma"/>
            <family val="2"/>
          </rPr>
          <t xml:space="preserve">
Metro 08-15</t>
        </r>
      </text>
    </comment>
    <comment ref="W64" authorId="6" shapeId="0" xr:uid="{3D91EE1F-4280-4E1E-912E-158EBA60A65A}">
      <text>
        <r>
          <rPr>
            <b/>
            <sz val="9"/>
            <color indexed="81"/>
            <rFont val="Tahoma"/>
            <family val="2"/>
          </rPr>
          <t>Nikolaj Langtin Pamhede:</t>
        </r>
        <r>
          <rPr>
            <sz val="9"/>
            <color indexed="81"/>
            <rFont val="Tahoma"/>
            <family val="2"/>
          </rPr>
          <t xml:space="preserve">
Biblioteks vagt. 15:00-20:30 OA</t>
        </r>
      </text>
    </comment>
    <comment ref="Y64" authorId="6" shapeId="0" xr:uid="{6E6F7953-C144-4705-8106-F45709006014}">
      <text>
        <r>
          <rPr>
            <b/>
            <sz val="9"/>
            <color indexed="81"/>
            <rFont val="Tahoma"/>
            <family val="2"/>
          </rPr>
          <t>Nikolaj Langtin Pamhede:</t>
        </r>
        <r>
          <rPr>
            <sz val="9"/>
            <color indexed="81"/>
            <rFont val="Tahoma"/>
            <family val="2"/>
          </rPr>
          <t xml:space="preserve">
Biblioteks vagt. 15:00-20:30 OA</t>
        </r>
      </text>
    </comment>
    <comment ref="AD64" authorId="3" shapeId="0" xr:uid="{DDDBC04D-1B96-46BD-BF00-7E45FD9B20FE}">
      <text>
        <r>
          <rPr>
            <b/>
            <sz val="9"/>
            <color indexed="81"/>
            <rFont val="Tahoma"/>
            <family val="2"/>
          </rPr>
          <t>Steen Hertin:</t>
        </r>
        <r>
          <rPr>
            <sz val="9"/>
            <color indexed="81"/>
            <rFont val="Tahoma"/>
            <family val="2"/>
          </rPr>
          <t xml:space="preserve">
Biblioteksvagt fra kl. 16:30 på OA</t>
        </r>
      </text>
    </comment>
    <comment ref="AG64" authorId="3" shapeId="0" xr:uid="{7E0C2D77-AF69-4A65-9DD3-B7DA622AC74C}">
      <text>
        <r>
          <rPr>
            <b/>
            <sz val="9"/>
            <color indexed="81"/>
            <rFont val="Tahoma"/>
            <family val="2"/>
          </rPr>
          <t>Steen Hertin:</t>
        </r>
        <r>
          <rPr>
            <sz val="9"/>
            <color indexed="81"/>
            <rFont val="Tahoma"/>
            <family val="2"/>
          </rPr>
          <t xml:space="preserve">
Ukraine hoteller 16.00 - 04.00</t>
        </r>
      </text>
    </comment>
    <comment ref="C68" authorId="3" shapeId="0" xr:uid="{C7301C16-14C6-4C7A-8A22-8F6C77F3CF43}">
      <text>
        <r>
          <rPr>
            <b/>
            <sz val="9"/>
            <color indexed="81"/>
            <rFont val="Tahoma"/>
            <family val="2"/>
          </rPr>
          <t>Steen Hertin:</t>
        </r>
        <r>
          <rPr>
            <sz val="9"/>
            <color indexed="81"/>
            <rFont val="Tahoma"/>
            <family val="2"/>
          </rPr>
          <t xml:space="preserve">
Afløse Sociale viceværter kl. 08.00 - 21.00 OA fra kl. 16.00</t>
        </r>
      </text>
    </comment>
    <comment ref="D68" authorId="6" shapeId="0" xr:uid="{9145422F-9C93-4486-9A51-C497F1300858}">
      <text>
        <r>
          <rPr>
            <b/>
            <sz val="9"/>
            <color indexed="81"/>
            <rFont val="Tahoma"/>
            <family val="2"/>
          </rPr>
          <t>Nikolaj Langtin Pamhede:</t>
        </r>
        <r>
          <rPr>
            <sz val="9"/>
            <color indexed="81"/>
            <rFont val="Tahoma"/>
            <family val="2"/>
          </rPr>
          <t xml:space="preserve">
Oa 14 til 15</t>
        </r>
      </text>
    </comment>
    <comment ref="G68" authorId="3" shapeId="0" xr:uid="{F8912ED8-B185-44EA-9A21-C0855EA82FDF}">
      <text>
        <r>
          <rPr>
            <b/>
            <sz val="9"/>
            <color indexed="81"/>
            <rFont val="Tahoma"/>
            <family val="2"/>
          </rPr>
          <t>Steen Hertin:</t>
        </r>
        <r>
          <rPr>
            <sz val="9"/>
            <color indexed="81"/>
            <rFont val="Tahoma"/>
            <family val="2"/>
          </rPr>
          <t xml:space="preserve">
Nørrebro bibliotek kl. 14.00-20,15
OA Svendborggade </t>
        </r>
      </text>
    </comment>
    <comment ref="J68" authorId="3" shapeId="0" xr:uid="{3B54BA8E-D892-41C9-9DB3-4A32D69498CC}">
      <text>
        <r>
          <rPr>
            <b/>
            <sz val="9"/>
            <color indexed="81"/>
            <rFont val="Tahoma"/>
            <family val="2"/>
          </rPr>
          <t>Steen Hertin:</t>
        </r>
        <r>
          <rPr>
            <sz val="9"/>
            <color indexed="81"/>
            <rFont val="Tahoma"/>
            <family val="2"/>
          </rPr>
          <t xml:space="preserve">
Nørrebro bibliotek kl. 14.00-20,15</t>
        </r>
      </text>
    </comment>
    <comment ref="K68" authorId="3" shapeId="0" xr:uid="{86485139-38DA-468B-B253-BB395AF74DC0}">
      <text>
        <r>
          <rPr>
            <b/>
            <sz val="9"/>
            <color indexed="81"/>
            <rFont val="Tahoma"/>
            <family val="2"/>
          </rPr>
          <t>Steen Hertin:</t>
        </r>
        <r>
          <rPr>
            <sz val="9"/>
            <color indexed="81"/>
            <rFont val="Tahoma"/>
            <family val="2"/>
          </rPr>
          <t xml:space="preserve">
Nørrebro bibliotek kl. 14.00-20,15</t>
        </r>
      </text>
    </comment>
    <comment ref="N68" authorId="3" shapeId="0" xr:uid="{1C4C5022-7CC6-4D79-9D8B-E5F32D598BDF}">
      <text>
        <r>
          <rPr>
            <b/>
            <sz val="9"/>
            <color indexed="81"/>
            <rFont val="Tahoma"/>
            <family val="2"/>
          </rPr>
          <t>Steen Hertin:</t>
        </r>
        <r>
          <rPr>
            <sz val="9"/>
            <color indexed="81"/>
            <rFont val="Tahoma"/>
            <family val="2"/>
          </rPr>
          <t xml:space="preserve">
Nørrebro bibliotek kl. 14.00-20,15  + S-vagt alt OA</t>
        </r>
      </text>
    </comment>
    <comment ref="O68" authorId="3" shapeId="0" xr:uid="{D7DF453A-7CF3-46B5-8F66-7A2686BDC830}">
      <text>
        <r>
          <rPr>
            <b/>
            <sz val="9"/>
            <color indexed="81"/>
            <rFont val="Tahoma"/>
            <family val="2"/>
          </rPr>
          <t>Steen Hertin:</t>
        </r>
        <r>
          <rPr>
            <sz val="9"/>
            <color indexed="81"/>
            <rFont val="Tahoma"/>
            <family val="2"/>
          </rPr>
          <t xml:space="preserve">
Nørrebro bibliotek kl. 14.00-20,15  + S-vagt alt OA</t>
        </r>
      </text>
    </comment>
    <comment ref="P68" authorId="3" shapeId="0" xr:uid="{6D932BD0-B050-4DC1-B197-EE867B0F4642}">
      <text>
        <r>
          <rPr>
            <b/>
            <sz val="9"/>
            <color indexed="81"/>
            <rFont val="Tahoma"/>
            <family val="2"/>
          </rPr>
          <t>Steen Hertin:</t>
        </r>
        <r>
          <rPr>
            <sz val="9"/>
            <color indexed="81"/>
            <rFont val="Tahoma"/>
            <family val="2"/>
          </rPr>
          <t xml:space="preserve">
Nørrebro bibliotek kl. 14.00-20,15  + S-vagt alt OA</t>
        </r>
      </text>
    </comment>
    <comment ref="Q68" authorId="3" shapeId="0" xr:uid="{576AB1B6-685C-4691-ADCF-A0CE44A3644B}">
      <text>
        <r>
          <rPr>
            <b/>
            <sz val="9"/>
            <color indexed="81"/>
            <rFont val="Tahoma"/>
            <family val="2"/>
          </rPr>
          <t>Steen Hertin:</t>
        </r>
        <r>
          <rPr>
            <sz val="9"/>
            <color indexed="81"/>
            <rFont val="Tahoma"/>
            <family val="2"/>
          </rPr>
          <t xml:space="preserve">
Nørrebro bibliotek kl. 14.00-20,15 </t>
        </r>
      </text>
    </comment>
    <comment ref="R68" authorId="3" shapeId="0" xr:uid="{81A6BAB8-73F3-4A97-AB5F-6021C07F2B13}">
      <text>
        <r>
          <rPr>
            <b/>
            <sz val="9"/>
            <color indexed="81"/>
            <rFont val="Tahoma"/>
            <family val="2"/>
          </rPr>
          <t>Steen Hertin:</t>
        </r>
        <r>
          <rPr>
            <sz val="9"/>
            <color indexed="81"/>
            <rFont val="Tahoma"/>
            <family val="2"/>
          </rPr>
          <t xml:space="preserve">
08.15-13.15 som ekstra vagt.</t>
        </r>
      </text>
    </comment>
    <comment ref="U68" authorId="3" shapeId="0" xr:uid="{1E5F2B87-5FE9-4C1B-AA4B-D27537E0D1C6}">
      <text>
        <r>
          <rPr>
            <b/>
            <sz val="9"/>
            <color indexed="81"/>
            <rFont val="Tahoma"/>
            <family val="2"/>
          </rPr>
          <t>Steen Hertin:</t>
        </r>
        <r>
          <rPr>
            <sz val="9"/>
            <color indexed="81"/>
            <rFont val="Tahoma"/>
            <family val="2"/>
          </rPr>
          <t xml:space="preserve">
Nørrebro bibliotek kl. 14.00-20,15</t>
        </r>
      </text>
    </comment>
    <comment ref="V68" authorId="3" shapeId="0" xr:uid="{42115CF2-E811-4A8E-B087-8469311C6D10}">
      <text>
        <r>
          <rPr>
            <b/>
            <sz val="9"/>
            <color indexed="81"/>
            <rFont val="Tahoma"/>
            <family val="2"/>
          </rPr>
          <t>Steen Hertin:</t>
        </r>
        <r>
          <rPr>
            <sz val="9"/>
            <color indexed="81"/>
            <rFont val="Tahoma"/>
            <family val="2"/>
          </rPr>
          <t xml:space="preserve">
Nørrebro bibliotek kl. 14.00-20,15</t>
        </r>
      </text>
    </comment>
    <comment ref="W68" authorId="3" shapeId="0" xr:uid="{5116AD89-87FF-4D2F-863F-D1110A4D7941}">
      <text>
        <r>
          <rPr>
            <b/>
            <sz val="9"/>
            <color indexed="81"/>
            <rFont val="Tahoma"/>
            <family val="2"/>
          </rPr>
          <t>Steen Hertin:</t>
        </r>
        <r>
          <rPr>
            <sz val="9"/>
            <color indexed="81"/>
            <rFont val="Tahoma"/>
            <family val="2"/>
          </rPr>
          <t xml:space="preserve">
Nørrebro bibliotek kl. 14.00-20,15</t>
        </r>
      </text>
    </comment>
    <comment ref="X68" authorId="3" shapeId="0" xr:uid="{DDE32662-9002-4836-A277-7202C37D6689}">
      <text>
        <r>
          <rPr>
            <b/>
            <sz val="9"/>
            <color indexed="81"/>
            <rFont val="Tahoma"/>
            <family val="2"/>
          </rPr>
          <t>Steen Hertin:</t>
        </r>
        <r>
          <rPr>
            <sz val="9"/>
            <color indexed="81"/>
            <rFont val="Tahoma"/>
            <family val="2"/>
          </rPr>
          <t xml:space="preserve">
Nørrebro bibliotek kl. 14.00-20,15</t>
        </r>
      </text>
    </comment>
    <comment ref="AC68" authorId="3" shapeId="0" xr:uid="{CB22E65C-D198-44DE-AAF8-6FF0436DADCA}">
      <text>
        <r>
          <rPr>
            <b/>
            <sz val="9"/>
            <color indexed="81"/>
            <rFont val="Tahoma"/>
            <family val="2"/>
          </rPr>
          <t>Steen Hertin:</t>
        </r>
        <r>
          <rPr>
            <sz val="9"/>
            <color indexed="81"/>
            <rFont val="Tahoma"/>
            <family val="2"/>
          </rPr>
          <t xml:space="preserve">
Nørrebro bibliotek kl. 14.00-20,15</t>
        </r>
      </text>
    </comment>
    <comment ref="AD68" authorId="3" shapeId="0" xr:uid="{3FB46FD6-D082-494E-9A47-829CD44824E7}">
      <text>
        <r>
          <rPr>
            <b/>
            <sz val="9"/>
            <color indexed="81"/>
            <rFont val="Tahoma"/>
            <family val="2"/>
          </rPr>
          <t>Steen Hertin:</t>
        </r>
        <r>
          <rPr>
            <sz val="9"/>
            <color indexed="81"/>
            <rFont val="Tahoma"/>
            <family val="2"/>
          </rPr>
          <t xml:space="preserve">
Nørrebro bibliotek kl. 14.00-20,15</t>
        </r>
      </text>
    </comment>
    <comment ref="AE68" authorId="3" shapeId="0" xr:uid="{1016D598-C89F-4635-BEB1-84830BD59A78}">
      <text>
        <r>
          <rPr>
            <b/>
            <sz val="9"/>
            <color indexed="81"/>
            <rFont val="Tahoma"/>
            <family val="2"/>
          </rPr>
          <t>Steen Hertin:</t>
        </r>
        <r>
          <rPr>
            <sz val="9"/>
            <color indexed="81"/>
            <rFont val="Tahoma"/>
            <family val="2"/>
          </rPr>
          <t xml:space="preserve">
Nørrebro bibliotek kl. 14.00-20,15</t>
        </r>
      </text>
    </comment>
    <comment ref="AF68" authorId="3" shapeId="0" xr:uid="{0754D31C-829C-4EA0-989C-BFE97396D9B5}">
      <text>
        <r>
          <rPr>
            <b/>
            <sz val="9"/>
            <color indexed="81"/>
            <rFont val="Tahoma"/>
            <family val="2"/>
          </rPr>
          <t>Steen Hertin:</t>
        </r>
        <r>
          <rPr>
            <sz val="9"/>
            <color indexed="81"/>
            <rFont val="Tahoma"/>
            <family val="2"/>
          </rPr>
          <t xml:space="preserve">
Nørrebro bibliotek kl. 14.00-20,15</t>
        </r>
      </text>
    </comment>
    <comment ref="D69" authorId="7" shapeId="0" xr:uid="{C1723E65-1661-48AF-AFC5-5C5D63038FD6}">
      <text>
        <r>
          <rPr>
            <b/>
            <sz val="9"/>
            <color indexed="81"/>
            <rFont val="Tahoma"/>
            <family val="2"/>
          </rPr>
          <t>Kim Holm Aabroe:</t>
        </r>
        <r>
          <rPr>
            <sz val="9"/>
            <color indexed="81"/>
            <rFont val="Tahoma"/>
            <family val="2"/>
          </rPr>
          <t xml:space="preserve">
møder kl 09.30</t>
        </r>
      </text>
    </comment>
    <comment ref="Y69" authorId="3" shapeId="0" xr:uid="{B0816DD9-D979-4501-B22B-205EBDFABAE1}">
      <text>
        <r>
          <rPr>
            <b/>
            <sz val="9"/>
            <color indexed="81"/>
            <rFont val="Tahoma"/>
            <family val="2"/>
          </rPr>
          <t>Steen Hertin:</t>
        </r>
        <r>
          <rPr>
            <sz val="9"/>
            <color indexed="81"/>
            <rFont val="Tahoma"/>
            <family val="2"/>
          </rPr>
          <t xml:space="preserve">
i2 på OA</t>
        </r>
      </text>
    </comment>
    <comment ref="AG69" authorId="4" shapeId="0" xr:uid="{5A052697-04DA-45D4-8DDE-31228CD65979}">
      <text>
        <r>
          <rPr>
            <b/>
            <sz val="9"/>
            <color indexed="81"/>
            <rFont val="Tahoma"/>
            <family val="2"/>
          </rPr>
          <t>Michael Bo Pedersen:</t>
        </r>
        <r>
          <rPr>
            <sz val="9"/>
            <color indexed="81"/>
            <rFont val="Tahoma"/>
            <family val="2"/>
          </rPr>
          <t xml:space="preserve">
Sjællandsgade fra kl. 11.00-17.45</t>
        </r>
      </text>
    </comment>
    <comment ref="C71" authorId="3" shapeId="0" xr:uid="{A3904679-CB4E-4AC8-81F3-3540D6BAC59A}">
      <text>
        <r>
          <rPr>
            <b/>
            <sz val="9"/>
            <color indexed="81"/>
            <rFont val="Tahoma"/>
            <family val="2"/>
          </rPr>
          <t>Steen Hertin:</t>
        </r>
        <r>
          <rPr>
            <sz val="9"/>
            <color indexed="81"/>
            <rFont val="Tahoma"/>
            <family val="2"/>
          </rPr>
          <t xml:space="preserve">
Afløse Sociale viceværter på Ottiliavej 3 kl. 08.00-21.00 OA fra kl. 16.00</t>
        </r>
      </text>
    </comment>
    <comment ref="D71" authorId="1" shapeId="0" xr:uid="{87E38A60-C63D-497B-964C-B1E23C7F4A27}">
      <text>
        <r>
          <rPr>
            <b/>
            <sz val="9"/>
            <color indexed="81"/>
            <rFont val="Tahoma"/>
            <family val="2"/>
          </rPr>
          <t>Steen Hertin-Sandkær:</t>
        </r>
        <r>
          <rPr>
            <sz val="9"/>
            <color indexed="81"/>
            <rFont val="Tahoma"/>
            <family val="2"/>
          </rPr>
          <t xml:space="preserve">
Bellahøjhallen kl. 14.00 - 23.30</t>
        </r>
      </text>
    </comment>
    <comment ref="R71" authorId="3" shapeId="0" xr:uid="{94281B7B-8EDE-4D04-82F1-983A262C2121}">
      <text>
        <r>
          <rPr>
            <b/>
            <sz val="9"/>
            <color indexed="81"/>
            <rFont val="Tahoma"/>
            <family val="2"/>
          </rPr>
          <t>Steen Hertin:</t>
        </r>
        <r>
          <rPr>
            <sz val="9"/>
            <color indexed="81"/>
            <rFont val="Tahoma"/>
            <family val="2"/>
          </rPr>
          <t xml:space="preserve">
N-vasgt på OA</t>
        </r>
      </text>
    </comment>
    <comment ref="C72" authorId="3" shapeId="0" xr:uid="{98A63A1D-A5E5-427A-A013-F986B2E32B16}">
      <text>
        <r>
          <rPr>
            <b/>
            <sz val="9"/>
            <color indexed="81"/>
            <rFont val="Tahoma"/>
            <family val="2"/>
          </rPr>
          <t>Steen Hertin:</t>
        </r>
        <r>
          <rPr>
            <sz val="9"/>
            <color indexed="81"/>
            <rFont val="Tahoma"/>
            <family val="2"/>
          </rPr>
          <t xml:space="preserve">
Kun dagvagt</t>
        </r>
      </text>
    </comment>
    <comment ref="D72" authorId="3" shapeId="0" xr:uid="{1714A736-D7D6-45D5-9C0A-CA7B55E2AA37}">
      <text>
        <r>
          <rPr>
            <b/>
            <sz val="9"/>
            <color indexed="81"/>
            <rFont val="Tahoma"/>
            <family val="2"/>
          </rPr>
          <t>Steen Hertin:</t>
        </r>
        <r>
          <rPr>
            <sz val="9"/>
            <color indexed="81"/>
            <rFont val="Tahoma"/>
            <family val="2"/>
          </rPr>
          <t xml:space="preserve">
Kun dagvagt</t>
        </r>
      </text>
    </comment>
    <comment ref="F72" authorId="3" shapeId="0" xr:uid="{B79A2F82-C2EB-4116-92CC-7CD0DCDF681E}">
      <text>
        <r>
          <rPr>
            <b/>
            <sz val="9"/>
            <color indexed="81"/>
            <rFont val="Tahoma"/>
            <family val="2"/>
          </rPr>
          <t>Steen Hertin:</t>
        </r>
        <r>
          <rPr>
            <sz val="9"/>
            <color indexed="81"/>
            <rFont val="Tahoma"/>
            <family val="2"/>
          </rPr>
          <t xml:space="preserve">
Tingbjerg 13.45-18,45</t>
        </r>
      </text>
    </comment>
    <comment ref="G72" authorId="1" shapeId="0" xr:uid="{E0898B50-01E6-4B7D-8573-3C1F8F314E1D}">
      <text>
        <r>
          <rPr>
            <b/>
            <sz val="9"/>
            <color indexed="81"/>
            <rFont val="Tahoma"/>
            <family val="2"/>
          </rPr>
          <t>Steen Hertin-Sandkær:</t>
        </r>
        <r>
          <rPr>
            <sz val="9"/>
            <color indexed="81"/>
            <rFont val="Tahoma"/>
            <family val="2"/>
          </rPr>
          <t xml:space="preserve">
L-vagt på OA.</t>
        </r>
      </text>
    </comment>
    <comment ref="N72" authorId="3" shapeId="0" xr:uid="{57684353-986F-4D73-A328-94354CC55C0D}">
      <text>
        <r>
          <rPr>
            <b/>
            <sz val="9"/>
            <color indexed="81"/>
            <rFont val="Tahoma"/>
            <family val="2"/>
          </rPr>
          <t>Steen Hertin:</t>
        </r>
        <r>
          <rPr>
            <sz val="9"/>
            <color indexed="81"/>
            <rFont val="Tahoma"/>
            <family val="2"/>
          </rPr>
          <t xml:space="preserve">
25-vagt på OA</t>
        </r>
      </text>
    </comment>
    <comment ref="O72" authorId="3" shapeId="0" xr:uid="{5CCF434C-F402-4251-BA43-AC6670A2CCC1}">
      <text>
        <r>
          <rPr>
            <b/>
            <sz val="9"/>
            <color indexed="81"/>
            <rFont val="Tahoma"/>
            <family val="2"/>
          </rPr>
          <t>Steen Hertin:</t>
        </r>
        <r>
          <rPr>
            <sz val="9"/>
            <color indexed="81"/>
            <rFont val="Tahoma"/>
            <family val="2"/>
          </rPr>
          <t xml:space="preserve">
25-vagt på OA</t>
        </r>
      </text>
    </comment>
    <comment ref="P72" authorId="3" shapeId="0" xr:uid="{1B690872-EFE4-4A4D-AE66-3A18B0ACB11F}">
      <text>
        <r>
          <rPr>
            <b/>
            <sz val="9"/>
            <color indexed="81"/>
            <rFont val="Tahoma"/>
            <family val="2"/>
          </rPr>
          <t>Steen Hertin:</t>
        </r>
        <r>
          <rPr>
            <sz val="9"/>
            <color indexed="81"/>
            <rFont val="Tahoma"/>
            <family val="2"/>
          </rPr>
          <t xml:space="preserve">
25-vagt på OA</t>
        </r>
      </text>
    </comment>
    <comment ref="Q72" authorId="3" shapeId="0" xr:uid="{35F9CAC0-4A9B-40C9-BC3F-C82AD52328B6}">
      <text>
        <r>
          <rPr>
            <b/>
            <sz val="9"/>
            <color indexed="81"/>
            <rFont val="Tahoma"/>
            <family val="2"/>
          </rPr>
          <t>Steen Hertin:</t>
        </r>
        <r>
          <rPr>
            <sz val="9"/>
            <color indexed="81"/>
            <rFont val="Tahoma"/>
            <family val="2"/>
          </rPr>
          <t xml:space="preserve">
25-vagt på OA + 4-vagt på OA</t>
        </r>
      </text>
    </comment>
    <comment ref="R72" authorId="5" shapeId="0" xr:uid="{B98D9D63-1F1C-468A-8DE7-EDF5FD56EF1B}">
      <text>
        <r>
          <rPr>
            <b/>
            <sz val="9"/>
            <color indexed="81"/>
            <rFont val="Tahoma"/>
            <family val="2"/>
          </rPr>
          <t>Nick Lorentzen:</t>
        </r>
        <r>
          <rPr>
            <sz val="9"/>
            <color indexed="81"/>
            <rFont val="Tahoma"/>
            <family val="2"/>
          </rPr>
          <t xml:space="preserve">
89 vagt OA</t>
        </r>
      </text>
    </comment>
    <comment ref="AG72" authorId="3" shapeId="0" xr:uid="{5687DC81-5EEC-4266-B075-0289666D0607}">
      <text>
        <r>
          <rPr>
            <b/>
            <sz val="9"/>
            <color indexed="81"/>
            <rFont val="Tahoma"/>
            <family val="2"/>
          </rPr>
          <t>Steen Hertin:</t>
        </r>
        <r>
          <rPr>
            <sz val="9"/>
            <color indexed="81"/>
            <rFont val="Tahoma"/>
            <family val="2"/>
          </rPr>
          <t xml:space="preserve">
på vagt fra 23.00-02.00</t>
        </r>
      </text>
    </comment>
    <comment ref="C73" authorId="8" shapeId="0" xr:uid="{BAB3C526-6DFE-42B0-8096-29257BF485A8}">
      <text>
        <r>
          <rPr>
            <b/>
            <sz val="9"/>
            <color indexed="81"/>
            <rFont val="Tahoma"/>
            <family val="2"/>
          </rPr>
          <t>Rasmus Sørensen:</t>
        </r>
        <r>
          <rPr>
            <sz val="9"/>
            <color indexed="81"/>
            <rFont val="Tahoma"/>
            <family val="2"/>
          </rPr>
          <t xml:space="preserve">
møde kl. 9</t>
        </r>
      </text>
    </comment>
    <comment ref="I73" authorId="3" shapeId="0" xr:uid="{59F39780-FF42-425E-95C9-B64FF86BD9C1}">
      <text>
        <r>
          <rPr>
            <b/>
            <sz val="9"/>
            <color indexed="81"/>
            <rFont val="Tahoma"/>
            <family val="2"/>
          </rPr>
          <t>Steen Hertin:</t>
        </r>
        <r>
          <rPr>
            <sz val="9"/>
            <color indexed="81"/>
            <rFont val="Tahoma"/>
            <family val="2"/>
          </rPr>
          <t xml:space="preserve">
Lyongade kl. 12.00</t>
        </r>
      </text>
    </comment>
    <comment ref="P73" authorId="0" shapeId="0" xr:uid="{DEFF6FE9-48FD-4A18-AF4A-347A0C31C32F}">
      <text>
        <r>
          <rPr>
            <b/>
            <sz val="9"/>
            <color indexed="81"/>
            <rFont val="Tahoma"/>
            <family val="2"/>
          </rPr>
          <t>Marianne Rasmussen:</t>
        </r>
        <r>
          <rPr>
            <sz val="9"/>
            <color indexed="81"/>
            <rFont val="Tahoma"/>
            <family val="2"/>
          </rPr>
          <t xml:space="preserve">
Arrangement på OA 09,30-16</t>
        </r>
      </text>
    </comment>
    <comment ref="S73" authorId="3" shapeId="0" xr:uid="{90BBDF46-73EF-404E-9048-098A22585662}">
      <text>
        <r>
          <rPr>
            <b/>
            <sz val="9"/>
            <color indexed="81"/>
            <rFont val="Tahoma"/>
            <family val="2"/>
          </rPr>
          <t>Steen Hertin:</t>
        </r>
        <r>
          <rPr>
            <sz val="9"/>
            <color indexed="81"/>
            <rFont val="Tahoma"/>
            <family val="2"/>
          </rPr>
          <t xml:space="preserve">
Nørrebro bibliotek kl. 14.00-20,15</t>
        </r>
      </text>
    </comment>
    <comment ref="T73" authorId="3" shapeId="0" xr:uid="{F5F861E7-383D-4011-9D61-EAA403B90D6D}">
      <text>
        <r>
          <rPr>
            <b/>
            <sz val="9"/>
            <color indexed="81"/>
            <rFont val="Tahoma"/>
            <family val="2"/>
          </rPr>
          <t>Steen H.
Rentemestervej 8.15-17.30</t>
        </r>
      </text>
    </comment>
    <comment ref="O74" authorId="1" shapeId="0" xr:uid="{4A1110C5-8AE1-42ED-9597-70754D506420}">
      <text>
        <r>
          <rPr>
            <b/>
            <sz val="9"/>
            <color indexed="81"/>
            <rFont val="Tahoma"/>
            <family val="2"/>
          </rPr>
          <t>Steen Hertin-Sandkær:</t>
        </r>
        <r>
          <rPr>
            <sz val="9"/>
            <color indexed="81"/>
            <rFont val="Tahoma"/>
            <family val="2"/>
          </rPr>
          <t xml:space="preserve">
L-vagt fra kl. 12.00 - 15.45</t>
        </r>
      </text>
    </comment>
    <comment ref="Q74" authorId="9" shapeId="0" xr:uid="{CDC5916D-A16A-454C-B7FC-C4F7312E7003}">
      <text>
        <r>
          <rPr>
            <b/>
            <sz val="9"/>
            <color indexed="81"/>
            <rFont val="Tahoma"/>
            <family val="2"/>
          </rPr>
          <t>Mathias Hartvig Morell Nielsen:</t>
        </r>
        <r>
          <rPr>
            <sz val="9"/>
            <color indexed="81"/>
            <rFont val="Tahoma"/>
            <family val="2"/>
          </rPr>
          <t xml:space="preserve">
6-vagt</t>
        </r>
      </text>
    </comment>
    <comment ref="T74" authorId="3" shapeId="0" xr:uid="{036A4197-64CA-4E4E-B9B8-6E52DB8562B6}">
      <text>
        <r>
          <rPr>
            <sz val="9"/>
            <rFont val="Arial"/>
            <family val="2"/>
          </rPr>
          <t xml:space="preserve">Steen Hertin:
Tingbjerg 13.45-18,45 + tager 26-vagtens trækninger.
Headr blev færdig kl 20:00 så 1 times OA skal noteres
</t>
        </r>
      </text>
    </comment>
    <comment ref="L75" authorId="3" shapeId="0" xr:uid="{E8D8B001-F7E0-418E-93A3-91899DFBEED1}">
      <text>
        <r>
          <rPr>
            <b/>
            <sz val="9"/>
            <color indexed="81"/>
            <rFont val="Tahoma"/>
            <family val="2"/>
          </rPr>
          <t>Steen Hertin:</t>
        </r>
        <r>
          <rPr>
            <sz val="9"/>
            <color indexed="81"/>
            <rFont val="Tahoma"/>
            <family val="2"/>
          </rPr>
          <t xml:space="preserve">
Nørrebro bibliotek kl. 14.00-20,15</t>
        </r>
      </text>
    </comment>
    <comment ref="M75" authorId="3" shapeId="0" xr:uid="{0AB4D2E3-435F-4C37-9491-D8178473158B}">
      <text>
        <r>
          <rPr>
            <b/>
            <sz val="9"/>
            <color indexed="81"/>
            <rFont val="Tahoma"/>
            <family val="2"/>
          </rPr>
          <t>Steen Hertin:</t>
        </r>
        <r>
          <rPr>
            <sz val="9"/>
            <color indexed="81"/>
            <rFont val="Tahoma"/>
            <family val="2"/>
          </rPr>
          <t xml:space="preserve">
Nørrebro bibliotek kl. 14.00-20,15</t>
        </r>
      </text>
    </comment>
    <comment ref="R75" authorId="3" shapeId="0" xr:uid="{0AA3002F-0FB6-4D70-8ED1-197B2E6D9A6D}">
      <text>
        <r>
          <rPr>
            <b/>
            <sz val="9"/>
            <color indexed="81"/>
            <rFont val="Tahoma"/>
            <family val="2"/>
          </rPr>
          <t>Steen Hertin:</t>
        </r>
        <r>
          <rPr>
            <sz val="9"/>
            <color indexed="81"/>
            <rFont val="Tahoma"/>
            <family val="2"/>
          </rPr>
          <t xml:space="preserve">
26-vagt på OA.</t>
        </r>
      </text>
    </comment>
    <comment ref="W75" authorId="4" shapeId="0" xr:uid="{2852CA03-AD8A-4258-B15B-7AF100CB94CA}">
      <text>
        <r>
          <rPr>
            <b/>
            <sz val="9"/>
            <color indexed="81"/>
            <rFont val="Tahoma"/>
            <family val="2"/>
          </rPr>
          <t>Michael Bo Pedersen:</t>
        </r>
        <r>
          <rPr>
            <sz val="9"/>
            <color indexed="81"/>
            <rFont val="Tahoma"/>
            <family val="2"/>
          </rPr>
          <t xml:space="preserve">
I1 på OA</t>
        </r>
      </text>
    </comment>
    <comment ref="X75" authorId="4" shapeId="0" xr:uid="{E99A9F13-D0D1-4C8E-96B9-DA9B136F3363}">
      <text>
        <r>
          <rPr>
            <b/>
            <sz val="9"/>
            <color indexed="81"/>
            <rFont val="Tahoma"/>
            <family val="2"/>
          </rPr>
          <t>Michael Bo Pedersen:</t>
        </r>
        <r>
          <rPr>
            <sz val="9"/>
            <color indexed="81"/>
            <rFont val="Tahoma"/>
            <family val="2"/>
          </rPr>
          <t xml:space="preserve">
I1 på OA</t>
        </r>
      </text>
    </comment>
    <comment ref="X77" authorId="4" shapeId="0" xr:uid="{84DB2A6F-89E8-4B62-B643-5FEDAF96C6FB}">
      <text>
        <r>
          <rPr>
            <b/>
            <sz val="9"/>
            <color indexed="81"/>
            <rFont val="Tahoma"/>
            <family val="2"/>
          </rPr>
          <t>Michael Bo Pedersen:</t>
        </r>
        <r>
          <rPr>
            <sz val="9"/>
            <color indexed="81"/>
            <rFont val="Tahoma"/>
            <family val="2"/>
          </rPr>
          <t xml:space="preserve">
O-vagt på Oa fra 10.30-18.45</t>
        </r>
      </text>
    </comment>
    <comment ref="H78" authorId="3" shapeId="0" xr:uid="{683D1164-7DA1-4EAC-A140-51826F599A70}">
      <text>
        <r>
          <rPr>
            <b/>
            <sz val="9"/>
            <color indexed="81"/>
            <rFont val="Tahoma"/>
            <family val="2"/>
          </rPr>
          <t>Steen Hertin:</t>
        </r>
        <r>
          <rPr>
            <sz val="9"/>
            <color indexed="81"/>
            <rFont val="Tahoma"/>
            <family val="2"/>
          </rPr>
          <t xml:space="preserve">
C-vagt på OA.</t>
        </r>
      </text>
    </comment>
    <comment ref="P78" authorId="1" shapeId="0" xr:uid="{FE46D9AE-104C-4966-8F61-CD6938B82B19}">
      <text>
        <r>
          <rPr>
            <b/>
            <sz val="9"/>
            <color indexed="81"/>
            <rFont val="Tahoma"/>
            <family val="2"/>
          </rPr>
          <t>Steen Hertin-Sandkær:</t>
        </r>
        <r>
          <rPr>
            <sz val="9"/>
            <color indexed="81"/>
            <rFont val="Tahoma"/>
            <family val="2"/>
          </rPr>
          <t xml:space="preserve">
Arrangement kl. 09.00 - 16.00</t>
        </r>
      </text>
    </comment>
    <comment ref="AE78" authorId="3" shapeId="0" xr:uid="{2A0176D0-43EC-43C1-90C4-51082596B8FF}">
      <text>
        <r>
          <rPr>
            <b/>
            <sz val="9"/>
            <color indexed="81"/>
            <rFont val="Tahoma"/>
            <family val="2"/>
          </rPr>
          <t>Steen Hertin:</t>
        </r>
        <r>
          <rPr>
            <sz val="9"/>
            <color indexed="81"/>
            <rFont val="Tahoma"/>
            <family val="2"/>
          </rPr>
          <t xml:space="preserve">
Skal lige runde den sociale døgnvagt og se hvad det er for noget</t>
        </r>
      </text>
    </comment>
    <comment ref="AF78" authorId="3" shapeId="0" xr:uid="{C27D5862-3E7B-43CA-90EE-E18610D1DF53}">
      <text>
        <r>
          <rPr>
            <b/>
            <sz val="9"/>
            <color indexed="81"/>
            <rFont val="Tahoma"/>
            <family val="2"/>
          </rPr>
          <t>Steen Hertin:</t>
        </r>
        <r>
          <rPr>
            <sz val="9"/>
            <color indexed="81"/>
            <rFont val="Tahoma"/>
            <family val="2"/>
          </rPr>
          <t xml:space="preserve">
Sociale døgnvagt 08.15 - 13.15</t>
        </r>
      </text>
    </comment>
    <comment ref="AG78" authorId="3" shapeId="0" xr:uid="{F7DE1969-CF7F-4E1B-8FDF-278A8605D1EB}">
      <text>
        <r>
          <rPr>
            <b/>
            <sz val="9"/>
            <color indexed="81"/>
            <rFont val="Tahoma"/>
            <family val="2"/>
          </rPr>
          <t>Steen Hertin:</t>
        </r>
        <r>
          <rPr>
            <sz val="9"/>
            <color indexed="81"/>
            <rFont val="Tahoma"/>
            <family val="2"/>
          </rPr>
          <t xml:space="preserve">
Sjællandsgade 07-00 - 11.30</t>
        </r>
      </text>
    </comment>
    <comment ref="R79" authorId="3" shapeId="0" xr:uid="{254EDA99-3C40-44F4-91C1-9A1891E703E1}">
      <text>
        <r>
          <rPr>
            <b/>
            <sz val="9"/>
            <color indexed="81"/>
            <rFont val="Tahoma"/>
            <family val="2"/>
          </rPr>
          <t>Steen Hertin:</t>
        </r>
        <r>
          <rPr>
            <sz val="9"/>
            <color indexed="81"/>
            <rFont val="Tahoma"/>
            <family val="2"/>
          </rPr>
          <t xml:space="preserve">
6-vagt på OA</t>
        </r>
      </text>
    </comment>
    <comment ref="AC85" authorId="3" shapeId="0" xr:uid="{05CCEBCC-3E9F-4361-AC26-07ABBC8D9505}">
      <text>
        <r>
          <rPr>
            <b/>
            <sz val="9"/>
            <color indexed="81"/>
            <rFont val="Tahoma"/>
            <family val="2"/>
          </rPr>
          <t>Steen Hertin:</t>
        </r>
        <r>
          <rPr>
            <sz val="9"/>
            <color indexed="81"/>
            <rFont val="Tahoma"/>
            <family val="2"/>
          </rPr>
          <t xml:space="preserve">
9-vagt på OA</t>
        </r>
      </text>
    </comment>
    <comment ref="AD85" authorId="3" shapeId="0" xr:uid="{B11504A1-DEAB-4E06-A7CA-C6404D1CE425}">
      <text>
        <r>
          <rPr>
            <b/>
            <sz val="9"/>
            <color indexed="81"/>
            <rFont val="Tahoma"/>
            <family val="2"/>
          </rPr>
          <t>Steen Hertin:</t>
        </r>
        <r>
          <rPr>
            <sz val="9"/>
            <color indexed="81"/>
            <rFont val="Tahoma"/>
            <family val="2"/>
          </rPr>
          <t xml:space="preserve">
9-vagt på OA</t>
        </r>
      </text>
    </comment>
    <comment ref="AC107" authorId="3" shapeId="0" xr:uid="{9909680C-1823-4E7F-8ECC-347E589DA82A}">
      <text>
        <r>
          <rPr>
            <b/>
            <sz val="9"/>
            <color indexed="81"/>
            <rFont val="Tahoma"/>
            <family val="2"/>
          </rPr>
          <t>Steen Hertin:</t>
        </r>
        <r>
          <rPr>
            <sz val="9"/>
            <color indexed="81"/>
            <rFont val="Tahoma"/>
            <family val="2"/>
          </rPr>
          <t xml:space="preserve">
S2 på OA</t>
        </r>
      </text>
    </comment>
    <comment ref="AD107" authorId="3" shapeId="0" xr:uid="{37A51B91-13DC-481A-A507-EF7FF1D954C9}">
      <text>
        <r>
          <rPr>
            <b/>
            <sz val="9"/>
            <color indexed="81"/>
            <rFont val="Tahoma"/>
            <family val="2"/>
          </rPr>
          <t>Steen Hertin:</t>
        </r>
        <r>
          <rPr>
            <sz val="9"/>
            <color indexed="81"/>
            <rFont val="Tahoma"/>
            <family val="2"/>
          </rPr>
          <t xml:space="preserve">
S2 på OA</t>
        </r>
      </text>
    </comment>
    <comment ref="AE107" authorId="3" shapeId="0" xr:uid="{7E1328D2-79D9-4629-90FB-D31A0BD52608}">
      <text>
        <r>
          <rPr>
            <b/>
            <sz val="9"/>
            <color indexed="81"/>
            <rFont val="Tahoma"/>
            <family val="2"/>
          </rPr>
          <t>Steen Hertin:</t>
        </r>
        <r>
          <rPr>
            <sz val="9"/>
            <color indexed="81"/>
            <rFont val="Tahoma"/>
            <family val="2"/>
          </rPr>
          <t xml:space="preserve">
S2 på OA</t>
        </r>
      </text>
    </comment>
    <comment ref="AF107" authorId="3" shapeId="0" xr:uid="{C06641BC-4AC6-45FC-910C-317DAD33F7CE}">
      <text>
        <r>
          <rPr>
            <b/>
            <sz val="9"/>
            <color indexed="81"/>
            <rFont val="Tahoma"/>
            <family val="2"/>
          </rPr>
          <t>Steen Hertin:</t>
        </r>
        <r>
          <rPr>
            <sz val="9"/>
            <color indexed="81"/>
            <rFont val="Tahoma"/>
            <family val="2"/>
          </rPr>
          <t xml:space="preserve">
S2 på OA</t>
        </r>
      </text>
    </comment>
    <comment ref="K108" authorId="9" shapeId="0" xr:uid="{1317BA79-8051-4101-B5C0-4CD37A04D89C}">
      <text>
        <r>
          <rPr>
            <b/>
            <sz val="9"/>
            <color indexed="81"/>
            <rFont val="Tahoma"/>
            <family val="2"/>
          </rPr>
          <t>Mathias Hartvig Morell Nielsen:</t>
        </r>
        <r>
          <rPr>
            <sz val="9"/>
            <color indexed="81"/>
            <rFont val="Tahoma"/>
            <family val="2"/>
          </rPr>
          <t xml:space="preserve">
OA S3 </t>
        </r>
      </text>
    </comment>
    <comment ref="L108" authorId="4" shapeId="0" xr:uid="{17B61B46-E0B2-4506-9458-2EAB7343E60C}">
      <text>
        <r>
          <rPr>
            <b/>
            <sz val="9"/>
            <color indexed="81"/>
            <rFont val="Tahoma"/>
            <family val="2"/>
          </rPr>
          <t>Michael Bo Pedersen:</t>
        </r>
        <r>
          <rPr>
            <sz val="9"/>
            <color indexed="81"/>
            <rFont val="Tahoma"/>
            <family val="2"/>
          </rPr>
          <t xml:space="preserve">
S5 på OA</t>
        </r>
      </text>
    </comment>
    <comment ref="AB108" authorId="3" shapeId="0" xr:uid="{0590434D-12DB-49FB-BBE6-FDDF3D98519A}">
      <text>
        <r>
          <rPr>
            <b/>
            <sz val="9"/>
            <color indexed="81"/>
            <rFont val="Tahoma"/>
            <family val="2"/>
          </rPr>
          <t>Steen Hertin:</t>
        </r>
        <r>
          <rPr>
            <sz val="9"/>
            <color indexed="81"/>
            <rFont val="Tahoma"/>
            <family val="2"/>
          </rPr>
          <t xml:space="preserve">
Internbyt med Ruhat</t>
        </r>
      </text>
    </comment>
    <comment ref="AG108" authorId="1" shapeId="0" xr:uid="{AAF84363-3D02-4610-98EF-68670C93E032}">
      <text>
        <r>
          <rPr>
            <b/>
            <sz val="9"/>
            <color indexed="81"/>
            <rFont val="Tahoma"/>
            <family val="2"/>
          </rPr>
          <t>Steen Hertin-Sandkær:</t>
        </r>
        <r>
          <rPr>
            <sz val="9"/>
            <color indexed="81"/>
            <rFont val="Tahoma"/>
            <family val="2"/>
          </rPr>
          <t xml:space="preserve">
Byttet med Ruhat</t>
        </r>
      </text>
    </comment>
    <comment ref="Q111" authorId="3" shapeId="0" xr:uid="{8E18C0B9-099F-4D5D-96C8-9057396D4546}">
      <text>
        <r>
          <rPr>
            <b/>
            <sz val="9"/>
            <color indexed="81"/>
            <rFont val="Tahoma"/>
            <family val="2"/>
          </rPr>
          <t>Steen Hertin:</t>
        </r>
        <r>
          <rPr>
            <sz val="9"/>
            <color indexed="81"/>
            <rFont val="Tahoma"/>
            <family val="2"/>
          </rPr>
          <t xml:space="preserve">
Ekstravagt til Lyongade.fra 12,30</t>
        </r>
      </text>
    </comment>
    <comment ref="R111" authorId="3" shapeId="0" xr:uid="{D9056473-E698-471B-B796-A9BF1CC4BF10}">
      <text>
        <r>
          <rPr>
            <b/>
            <sz val="9"/>
            <color indexed="81"/>
            <rFont val="Tahoma"/>
            <family val="2"/>
          </rPr>
          <t>Steen Hertin:</t>
        </r>
        <r>
          <rPr>
            <sz val="9"/>
            <color indexed="81"/>
            <rFont val="Tahoma"/>
            <family val="2"/>
          </rPr>
          <t xml:space="preserve">
+ Nørrebnro biblioytek 08.15 - 20.15</t>
        </r>
      </text>
    </comment>
    <comment ref="U111" authorId="4" shapeId="0" xr:uid="{74FEA786-04A6-496C-9FBC-8F34F3995AF3}">
      <text>
        <r>
          <rPr>
            <b/>
            <sz val="9"/>
            <color indexed="81"/>
            <rFont val="Tahoma"/>
            <family val="2"/>
          </rPr>
          <t>Michael Bo Pedersen:</t>
        </r>
        <r>
          <rPr>
            <sz val="9"/>
            <color indexed="81"/>
            <rFont val="Tahoma"/>
            <family val="2"/>
          </rPr>
          <t xml:space="preserve">
D-vagt på OA</t>
        </r>
      </text>
    </comment>
    <comment ref="AF111" authorId="3" shapeId="0" xr:uid="{619BB5D6-8F43-45CD-8488-8EA33531CEE7}">
      <text>
        <r>
          <rPr>
            <b/>
            <sz val="9"/>
            <color indexed="81"/>
            <rFont val="Tahoma"/>
            <family val="2"/>
          </rPr>
          <t>Steen Hertin:</t>
        </r>
        <r>
          <rPr>
            <sz val="9"/>
            <color indexed="81"/>
            <rFont val="Tahoma"/>
            <family val="2"/>
          </rPr>
          <t xml:space="preserve">
S3 på OA</t>
        </r>
      </text>
    </comment>
    <comment ref="V123" authorId="1" shapeId="0" xr:uid="{E0115E47-271B-4728-A26A-6A4C59124B80}">
      <text>
        <r>
          <rPr>
            <b/>
            <sz val="9"/>
            <color indexed="81"/>
            <rFont val="Tahoma"/>
            <family val="2"/>
          </rPr>
          <t>Steen Hertin-Sandkær:</t>
        </r>
        <r>
          <rPr>
            <sz val="9"/>
            <color indexed="81"/>
            <rFont val="Tahoma"/>
            <family val="2"/>
          </rPr>
          <t xml:space="preserve">
69-vagt på OA</t>
        </r>
      </text>
    </comment>
    <comment ref="W123" authorId="1" shapeId="0" xr:uid="{D8E0A9AD-34E3-4320-AAF9-616733CA6317}">
      <text>
        <r>
          <rPr>
            <b/>
            <sz val="9"/>
            <color indexed="81"/>
            <rFont val="Tahoma"/>
            <family val="2"/>
          </rPr>
          <t>Steen Hertin-Sandkær:</t>
        </r>
        <r>
          <rPr>
            <sz val="9"/>
            <color indexed="81"/>
            <rFont val="Tahoma"/>
            <family val="2"/>
          </rPr>
          <t xml:space="preserve">
69-vagt på OA</t>
        </r>
      </text>
    </comment>
    <comment ref="Y123" authorId="3" shapeId="0" xr:uid="{32078FD3-52F4-4EA1-AADC-26C721EA6D3A}">
      <text>
        <r>
          <rPr>
            <b/>
            <sz val="9"/>
            <color indexed="81"/>
            <rFont val="Tahoma"/>
            <family val="2"/>
          </rPr>
          <t>Steen Hertin:</t>
        </r>
        <r>
          <rPr>
            <sz val="9"/>
            <color indexed="81"/>
            <rFont val="Tahoma"/>
            <family val="2"/>
          </rPr>
          <t xml:space="preserve">
Nørrebro bibliotek kl. 14.00-20,15</t>
        </r>
      </text>
    </comment>
    <comment ref="AD123" authorId="3" shapeId="0" xr:uid="{6FEED46B-A16F-42F3-9005-F197589DF9ED}">
      <text>
        <r>
          <rPr>
            <b/>
            <sz val="9"/>
            <color indexed="81"/>
            <rFont val="Tahoma"/>
            <family val="2"/>
          </rPr>
          <t>Steen Hertin:</t>
        </r>
        <r>
          <rPr>
            <sz val="9"/>
            <color indexed="81"/>
            <rFont val="Tahoma"/>
            <family val="2"/>
          </rPr>
          <t xml:space="preserve">
Svanmøllehalen 15.00 - 23.30</t>
        </r>
      </text>
    </comment>
    <comment ref="AF123" authorId="5" shapeId="0" xr:uid="{766795A0-A112-4A48-BC26-1CB4DEDD05CA}">
      <text>
        <r>
          <rPr>
            <b/>
            <sz val="9"/>
            <color indexed="81"/>
            <rFont val="Tahoma"/>
            <family val="2"/>
          </rPr>
          <t>Nick Lorentzen:</t>
        </r>
        <r>
          <rPr>
            <sz val="9"/>
            <color indexed="81"/>
            <rFont val="Tahoma"/>
            <family val="2"/>
          </rPr>
          <t xml:space="preserve">
25 vagt</t>
        </r>
      </text>
    </comment>
    <comment ref="C124" authorId="3" shapeId="0" xr:uid="{6AB89EC2-A915-4ADE-83BC-CE70BF571743}">
      <text>
        <r>
          <rPr>
            <b/>
            <sz val="9"/>
            <color indexed="81"/>
            <rFont val="Tahoma"/>
            <family val="2"/>
          </rPr>
          <t>Steen Hertin:</t>
        </r>
        <r>
          <rPr>
            <sz val="9"/>
            <color indexed="81"/>
            <rFont val="Tahoma"/>
            <family val="2"/>
          </rPr>
          <t xml:space="preserve">
Nørrebro bibliotek 15.30 - 20.15</t>
        </r>
      </text>
    </comment>
    <comment ref="D124" authorId="3" shapeId="0" xr:uid="{9A007F24-2606-47E2-87A7-D62AA66EC4C5}">
      <text>
        <r>
          <rPr>
            <b/>
            <sz val="9"/>
            <color indexed="81"/>
            <rFont val="Tahoma"/>
            <family val="2"/>
          </rPr>
          <t>Steen Hertin:</t>
        </r>
        <r>
          <rPr>
            <sz val="9"/>
            <color indexed="81"/>
            <rFont val="Tahoma"/>
            <family val="2"/>
          </rPr>
          <t xml:space="preserve">
Nørrebro bibliotek 15.30 - 20.15</t>
        </r>
      </text>
    </comment>
    <comment ref="E124" authorId="3" shapeId="0" xr:uid="{0C3D7F6A-999D-4EF0-854B-AB5DBC3EF28C}">
      <text>
        <r>
          <rPr>
            <b/>
            <sz val="9"/>
            <color indexed="81"/>
            <rFont val="Tahoma"/>
            <family val="2"/>
          </rPr>
          <t>Steen Hertin:</t>
        </r>
        <r>
          <rPr>
            <sz val="9"/>
            <color indexed="81"/>
            <rFont val="Tahoma"/>
            <family val="2"/>
          </rPr>
          <t xml:space="preserve">
Nørrebro bibliotek 14.00 - 20.15</t>
        </r>
      </text>
    </comment>
    <comment ref="F124" authorId="3" shapeId="0" xr:uid="{C5CFD6FA-3FFD-42C6-951D-9A6195E1F45A}">
      <text>
        <r>
          <rPr>
            <b/>
            <sz val="9"/>
            <color indexed="81"/>
            <rFont val="Tahoma"/>
            <family val="2"/>
          </rPr>
          <t>Steen Hertin:</t>
        </r>
        <r>
          <rPr>
            <sz val="9"/>
            <color indexed="81"/>
            <rFont val="Tahoma"/>
            <family val="2"/>
          </rPr>
          <t xml:space="preserve">
Nørrebro bibliotek 14.00 - 20.15</t>
        </r>
      </text>
    </comment>
    <comment ref="I124" authorId="3" shapeId="0" xr:uid="{D873B228-26B3-42BD-8D8C-907DC74E23D5}">
      <text>
        <r>
          <rPr>
            <b/>
            <sz val="9"/>
            <color indexed="81"/>
            <rFont val="Tahoma"/>
            <family val="2"/>
          </rPr>
          <t>Steen Hertin:</t>
        </r>
        <r>
          <rPr>
            <sz val="9"/>
            <color indexed="81"/>
            <rFont val="Tahoma"/>
            <family val="2"/>
          </rPr>
          <t xml:space="preserve">
Nørrebro bibliotek kl. 14.00-20,15 omlagt btjeneste</t>
        </r>
      </text>
    </comment>
    <comment ref="K124" authorId="3" shapeId="0" xr:uid="{6D07E318-6524-4AED-9FB2-34BB70F88E29}">
      <text>
        <r>
          <rPr>
            <b/>
            <sz val="9"/>
            <color indexed="81"/>
            <rFont val="Tahoma"/>
            <family val="2"/>
          </rPr>
          <t>Steen Hertin:</t>
        </r>
        <r>
          <rPr>
            <sz val="9"/>
            <color indexed="81"/>
            <rFont val="Tahoma"/>
            <family val="2"/>
          </rPr>
          <t xml:space="preserve">
Fuglebakken fra kl. 16.00 til slut..</t>
        </r>
      </text>
    </comment>
    <comment ref="T124" authorId="3" shapeId="0" xr:uid="{0521B298-9240-4CB8-94D8-63DA8C14A934}">
      <text>
        <r>
          <rPr>
            <b/>
            <sz val="9"/>
            <color indexed="81"/>
            <rFont val="Tahoma"/>
            <family val="2"/>
          </rPr>
          <t>Steen Hertin:</t>
        </r>
        <r>
          <rPr>
            <sz val="9"/>
            <color indexed="81"/>
            <rFont val="Tahoma"/>
            <family val="2"/>
          </rPr>
          <t xml:space="preserve">
Nørrebro bibliotek kl. 14.00-20,15</t>
        </r>
      </text>
    </comment>
    <comment ref="U124" authorId="10" shapeId="0" xr:uid="{2846F936-AE3D-48AC-A101-EBB822B048BD}">
      <text>
        <r>
          <rPr>
            <b/>
            <sz val="9"/>
            <color indexed="81"/>
            <rFont val="Tahoma"/>
            <family val="2"/>
          </rPr>
          <t>Mathias Nielsen:</t>
        </r>
        <r>
          <rPr>
            <sz val="9"/>
            <color indexed="81"/>
            <rFont val="Tahoma"/>
            <family val="2"/>
          </rPr>
          <t xml:space="preserve">
N-vagt OA</t>
        </r>
      </text>
    </comment>
    <comment ref="N145" authorId="8" shapeId="0" xr:uid="{8A8BFE67-2263-48D1-94EE-4CC74B62A831}">
      <text>
        <r>
          <rPr>
            <b/>
            <sz val="9"/>
            <color indexed="81"/>
            <rFont val="Tahoma"/>
            <family val="2"/>
          </rPr>
          <t>Rasmus Sørensen:</t>
        </r>
        <r>
          <rPr>
            <sz val="9"/>
            <color indexed="81"/>
            <rFont val="Tahoma"/>
            <family val="2"/>
          </rPr>
          <t xml:space="preserve">
rundvisning for zbc kl. 12</t>
        </r>
      </text>
    </comment>
    <comment ref="O145" authorId="1" shapeId="0" xr:uid="{0B09E69A-7854-4D1E-9B32-20B2898DE280}">
      <text>
        <r>
          <rPr>
            <b/>
            <sz val="9"/>
            <color indexed="81"/>
            <rFont val="Tahoma"/>
            <family val="2"/>
          </rPr>
          <t>Steen Hertin-Sandkær:</t>
        </r>
        <r>
          <rPr>
            <sz val="9"/>
            <color indexed="81"/>
            <rFont val="Tahoma"/>
            <family val="2"/>
          </rPr>
          <t xml:space="preserve">
6-vagt på OA.</t>
        </r>
      </text>
    </comment>
    <comment ref="P146" authorId="1" shapeId="0" xr:uid="{E3ED332A-2DD4-405C-8D56-42F730598A1A}">
      <text>
        <r>
          <rPr>
            <b/>
            <sz val="9"/>
            <color indexed="81"/>
            <rFont val="Tahoma"/>
            <family val="2"/>
          </rPr>
          <t>Steen Hertin-Sandkær:</t>
        </r>
        <r>
          <rPr>
            <sz val="9"/>
            <color indexed="81"/>
            <rFont val="Tahoma"/>
            <family val="2"/>
          </rPr>
          <t xml:space="preserve">
6-vagt på OA.</t>
        </r>
      </text>
    </comment>
    <comment ref="G147" authorId="8" shapeId="0" xr:uid="{CA5096A9-A713-4F5A-82FB-67B359533F39}">
      <text>
        <r>
          <rPr>
            <b/>
            <sz val="9"/>
            <color indexed="81"/>
            <rFont val="Tahoma"/>
            <family val="2"/>
          </rPr>
          <t>Rasmus Sørensen:</t>
        </r>
        <r>
          <rPr>
            <sz val="9"/>
            <color indexed="81"/>
            <rFont val="Tahoma"/>
            <family val="2"/>
          </rPr>
          <t xml:space="preserve">
rundvisning kl. 12</t>
        </r>
      </text>
    </comment>
    <comment ref="K147" authorId="6" shapeId="0" xr:uid="{A25453E6-A6C1-46FA-80F5-9C0667279462}">
      <text>
        <r>
          <rPr>
            <b/>
            <sz val="9"/>
            <color indexed="81"/>
            <rFont val="Tahoma"/>
            <family val="2"/>
          </rPr>
          <t>Nikolaj Langtin Pamhede:</t>
        </r>
        <r>
          <rPr>
            <sz val="9"/>
            <color indexed="81"/>
            <rFont val="Tahoma"/>
            <family val="2"/>
          </rPr>
          <t xml:space="preserve">
Rundvisning fra 12:30-14:00</t>
        </r>
      </text>
    </comment>
    <comment ref="Q147" authorId="3" shapeId="0" xr:uid="{C6C24EA7-7C44-4456-A7F4-044BA09C356D}">
      <text>
        <r>
          <rPr>
            <b/>
            <sz val="9"/>
            <color indexed="81"/>
            <rFont val="Tahoma"/>
            <family val="2"/>
          </rPr>
          <t>Steen Hertin:</t>
        </r>
        <r>
          <rPr>
            <sz val="9"/>
            <color indexed="81"/>
            <rFont val="Tahoma"/>
            <family val="2"/>
          </rPr>
          <t xml:space="preserve">
AMF kl. 11.00-12.30</t>
        </r>
      </text>
    </comment>
    <comment ref="R147" authorId="3" shapeId="0" xr:uid="{D881F650-3E77-498B-A60A-E0AF33A89277}">
      <text>
        <r>
          <rPr>
            <b/>
            <sz val="9"/>
            <color indexed="81"/>
            <rFont val="Tahoma"/>
            <family val="2"/>
          </rPr>
          <t>Steen Hertin:</t>
        </r>
        <r>
          <rPr>
            <sz val="9"/>
            <color indexed="81"/>
            <rFont val="Tahoma"/>
            <family val="2"/>
          </rPr>
          <t xml:space="preserve">
Rundviser snak med Kristoffer</t>
        </r>
      </text>
    </comment>
    <comment ref="S147" authorId="3" shapeId="0" xr:uid="{5D24D850-78D1-4028-B013-60A957904A3E}">
      <text>
        <r>
          <rPr>
            <b/>
            <sz val="9"/>
            <color indexed="81"/>
            <rFont val="Tahoma"/>
            <family val="2"/>
          </rPr>
          <t>Steen Hertin:</t>
        </r>
        <r>
          <rPr>
            <sz val="9"/>
            <color indexed="81"/>
            <rFont val="Tahoma"/>
            <family val="2"/>
          </rPr>
          <t xml:space="preserve">
Bellahøjhallen 08-15</t>
        </r>
      </text>
    </comment>
    <comment ref="T147" authorId="3" shapeId="0" xr:uid="{4C4EED79-F26C-4CEE-B1DB-2447DA7026F7}">
      <text>
        <r>
          <rPr>
            <b/>
            <sz val="9"/>
            <color indexed="81"/>
            <rFont val="Tahoma"/>
            <family val="2"/>
          </rPr>
          <t>Steen Hertin:</t>
        </r>
        <r>
          <rPr>
            <sz val="9"/>
            <color indexed="81"/>
            <rFont val="Tahoma"/>
            <family val="2"/>
          </rPr>
          <t xml:space="preserve">
Bellahøjhallen 08-15</t>
        </r>
      </text>
    </comment>
    <comment ref="AC147" authorId="3" shapeId="0" xr:uid="{F96805BA-B8D7-48FF-A195-C63B5939AD59}">
      <text>
        <r>
          <rPr>
            <b/>
            <sz val="9"/>
            <color indexed="81"/>
            <rFont val="Tahoma"/>
            <family val="2"/>
          </rPr>
          <t>Steen Hertin:</t>
        </r>
        <r>
          <rPr>
            <sz val="9"/>
            <color indexed="81"/>
            <rFont val="Tahoma"/>
            <family val="2"/>
          </rPr>
          <t xml:space="preserve">
Bellahøjhallen 14.30-23.30 oa fra kl 16.00. Går fra Rådhuset </t>
        </r>
      </text>
    </comment>
    <comment ref="AD147" authorId="3" shapeId="0" xr:uid="{454ABAC1-BD12-4145-BD8F-BD66B70F4ABF}">
      <text>
        <r>
          <rPr>
            <b/>
            <sz val="9"/>
            <color indexed="81"/>
            <rFont val="Tahoma"/>
            <family val="2"/>
          </rPr>
          <t>Steen Hertin:</t>
        </r>
        <r>
          <rPr>
            <sz val="9"/>
            <color indexed="81"/>
            <rFont val="Tahoma"/>
            <family val="2"/>
          </rPr>
          <t xml:space="preserve">
Bellahøjhallen 14.30-23.30 oa fra kl 16.00. Går fra Rådhuset </t>
        </r>
      </text>
    </comment>
    <comment ref="AE147" authorId="3" shapeId="0" xr:uid="{2B0374EB-E7E1-4598-9E9A-6B29B3A51445}">
      <text>
        <r>
          <rPr>
            <b/>
            <sz val="9"/>
            <color indexed="81"/>
            <rFont val="Tahoma"/>
            <family val="2"/>
          </rPr>
          <t>Steen Hertin:</t>
        </r>
        <r>
          <rPr>
            <sz val="9"/>
            <color indexed="81"/>
            <rFont val="Tahoma"/>
            <family val="2"/>
          </rPr>
          <t xml:space="preserve">
Bellahøjhallen 14.30-23.30 oa fra kl 16.00. Går fra Rådhuset </t>
        </r>
      </text>
    </comment>
    <comment ref="AF147" authorId="3" shapeId="0" xr:uid="{B54E6BD1-9B8A-44C3-80C4-235427F64064}">
      <text>
        <r>
          <rPr>
            <b/>
            <sz val="9"/>
            <color indexed="81"/>
            <rFont val="Tahoma"/>
            <family val="2"/>
          </rPr>
          <t>Steen Hertin:</t>
        </r>
        <r>
          <rPr>
            <sz val="9"/>
            <color indexed="81"/>
            <rFont val="Tahoma"/>
            <family val="2"/>
          </rPr>
          <t xml:space="preserve">
Bellahøjhallen 14.30-23.30 oa fra kl 16.00. Går fra Rådhuset </t>
        </r>
      </text>
    </comment>
    <comment ref="N160" authorId="1" shapeId="0" xr:uid="{128498B0-7E9B-4B63-83AF-2081E88F4D08}">
      <text>
        <r>
          <rPr>
            <b/>
            <sz val="9"/>
            <color indexed="81"/>
            <rFont val="Tahoma"/>
            <family val="2"/>
          </rPr>
          <t>Steen Hertin-Sandkær:</t>
        </r>
        <r>
          <rPr>
            <sz val="9"/>
            <color indexed="81"/>
            <rFont val="Tahoma"/>
            <family val="2"/>
          </rPr>
          <t xml:space="preserve">
22-vagt på OA</t>
        </r>
      </text>
    </comment>
    <comment ref="O160" authorId="1" shapeId="0" xr:uid="{2C6C83B4-1530-4661-B1DC-A9C8CD0C78D2}">
      <text>
        <r>
          <rPr>
            <b/>
            <sz val="9"/>
            <color indexed="81"/>
            <rFont val="Tahoma"/>
            <family val="2"/>
          </rPr>
          <t>Steen Hertin-Sandkær:</t>
        </r>
        <r>
          <rPr>
            <sz val="9"/>
            <color indexed="81"/>
            <rFont val="Tahoma"/>
            <family val="2"/>
          </rPr>
          <t xml:space="preserve">
22-vagt på OA</t>
        </r>
      </text>
    </comment>
    <comment ref="D176" authorId="11" shapeId="0" xr:uid="{BCA8D764-FAB1-488F-BA98-CBD6FEA6AD44}">
      <text>
        <r>
          <rPr>
            <b/>
            <sz val="9"/>
            <color indexed="81"/>
            <rFont val="Tahoma"/>
            <family val="2"/>
          </rPr>
          <t>marasm:</t>
        </r>
        <r>
          <rPr>
            <sz val="9"/>
            <color indexed="81"/>
            <rFont val="Tahoma"/>
            <family val="2"/>
          </rPr>
          <t xml:space="preserve">
</t>
        </r>
      </text>
    </comment>
    <comment ref="G176" authorId="11" shapeId="0" xr:uid="{691E714F-377B-4A1A-B5C4-90658E92744A}">
      <text>
        <r>
          <rPr>
            <b/>
            <sz val="9"/>
            <color indexed="81"/>
            <rFont val="Tahoma"/>
            <family val="2"/>
          </rPr>
          <t>marasm:</t>
        </r>
        <r>
          <rPr>
            <sz val="9"/>
            <color indexed="81"/>
            <rFont val="Tahoma"/>
            <family val="2"/>
          </rPr>
          <t xml:space="preserve">
AHF</t>
        </r>
      </text>
    </comment>
    <comment ref="K176" authorId="11" shapeId="0" xr:uid="{6DA10F2C-9AEF-4591-B1E8-B719D024B5D1}">
      <text>
        <r>
          <rPr>
            <b/>
            <sz val="9"/>
            <color indexed="81"/>
            <rFont val="Tahoma"/>
            <family val="2"/>
          </rPr>
          <t>marasm:</t>
        </r>
        <r>
          <rPr>
            <sz val="9"/>
            <color indexed="81"/>
            <rFont val="Tahoma"/>
            <family val="2"/>
          </rPr>
          <t xml:space="preserve">
AHF</t>
        </r>
      </text>
    </comment>
    <comment ref="N176" authorId="11" shapeId="0" xr:uid="{CD61F6D4-E10D-4BBB-8BEA-088DA4F28B66}">
      <text>
        <r>
          <rPr>
            <b/>
            <sz val="9"/>
            <color indexed="81"/>
            <rFont val="Tahoma"/>
            <family val="2"/>
          </rPr>
          <t>marasm:</t>
        </r>
        <r>
          <rPr>
            <sz val="9"/>
            <color indexed="81"/>
            <rFont val="Tahoma"/>
            <family val="2"/>
          </rPr>
          <t xml:space="preserve">
AHF</t>
        </r>
      </text>
    </comment>
    <comment ref="O176" authorId="11" shapeId="0" xr:uid="{C4F519E4-7948-4579-B061-80B84DA93D96}">
      <text>
        <r>
          <rPr>
            <b/>
            <sz val="9"/>
            <color indexed="81"/>
            <rFont val="Tahoma"/>
            <family val="2"/>
          </rPr>
          <t>marasm:</t>
        </r>
        <r>
          <rPr>
            <sz val="9"/>
            <color indexed="81"/>
            <rFont val="Tahoma"/>
            <family val="2"/>
          </rPr>
          <t xml:space="preserve">
AHF</t>
        </r>
      </text>
    </comment>
    <comment ref="P176" authorId="11" shapeId="0" xr:uid="{F62AAA8B-45F6-42EF-B831-F4C4585AD3BD}">
      <text>
        <r>
          <rPr>
            <b/>
            <sz val="9"/>
            <color indexed="81"/>
            <rFont val="Tahoma"/>
            <family val="2"/>
          </rPr>
          <t>marasm:</t>
        </r>
        <r>
          <rPr>
            <sz val="9"/>
            <color indexed="81"/>
            <rFont val="Tahoma"/>
            <family val="2"/>
          </rPr>
          <t xml:space="preserve">
AHF</t>
        </r>
      </text>
    </comment>
    <comment ref="R176" authorId="11" shapeId="0" xr:uid="{52CC411F-0C51-4056-8660-097FA1505E02}">
      <text>
        <r>
          <rPr>
            <b/>
            <sz val="9"/>
            <color indexed="81"/>
            <rFont val="Tahoma"/>
            <family val="2"/>
          </rPr>
          <t>marasm:</t>
        </r>
        <r>
          <rPr>
            <sz val="9"/>
            <color indexed="81"/>
            <rFont val="Tahoma"/>
            <family val="2"/>
          </rPr>
          <t xml:space="preserve">
AHF</t>
        </r>
      </text>
    </comment>
    <comment ref="U176" authorId="11" shapeId="0" xr:uid="{F4B03BD6-0425-46F8-9B59-0FFE130C00AE}">
      <text>
        <r>
          <rPr>
            <b/>
            <sz val="9"/>
            <color indexed="81"/>
            <rFont val="Tahoma"/>
            <family val="2"/>
          </rPr>
          <t>marasm:</t>
        </r>
        <r>
          <rPr>
            <sz val="9"/>
            <color indexed="81"/>
            <rFont val="Tahoma"/>
            <family val="2"/>
          </rPr>
          <t xml:space="preserve">
AHF</t>
        </r>
      </text>
    </comment>
    <comment ref="V176" authorId="11" shapeId="0" xr:uid="{F2716D6E-5DEF-46C9-9612-EA55084CFB91}">
      <text>
        <r>
          <rPr>
            <b/>
            <sz val="9"/>
            <color indexed="81"/>
            <rFont val="Tahoma"/>
            <family val="2"/>
          </rPr>
          <t>marasm:</t>
        </r>
        <r>
          <rPr>
            <sz val="9"/>
            <color indexed="81"/>
            <rFont val="Tahoma"/>
            <family val="2"/>
          </rPr>
          <t xml:space="preserve">
AHF</t>
        </r>
      </text>
    </comment>
    <comment ref="M177" authorId="3" shapeId="0" xr:uid="{20B63F31-2BBA-4165-A10B-6AD3727D9A99}">
      <text>
        <r>
          <rPr>
            <b/>
            <sz val="9"/>
            <color indexed="81"/>
            <rFont val="Tahoma"/>
            <family val="2"/>
          </rPr>
          <t>Steen Hertin:</t>
        </r>
        <r>
          <rPr>
            <sz val="9"/>
            <color indexed="81"/>
            <rFont val="Tahoma"/>
            <family val="2"/>
          </rPr>
          <t xml:space="preserve">
Rundvisninger kl. 10.00 - 14.00</t>
        </r>
      </text>
    </comment>
    <comment ref="S177" authorId="3" shapeId="0" xr:uid="{41F1643D-EBEB-491E-9B51-EB579C3B1688}">
      <text>
        <r>
          <rPr>
            <b/>
            <sz val="9"/>
            <color indexed="81"/>
            <rFont val="Tahoma"/>
            <family val="2"/>
          </rPr>
          <t>Steen Hertin:</t>
        </r>
        <r>
          <rPr>
            <sz val="9"/>
            <color indexed="81"/>
            <rFont val="Tahoma"/>
            <family val="2"/>
          </rPr>
          <t xml:space="preserve">
Rundviser</t>
        </r>
      </text>
    </comment>
    <comment ref="E178" authorId="0" shapeId="0" xr:uid="{3212F274-654E-40D0-AA5A-B6483B9CEB8D}">
      <text>
        <r>
          <rPr>
            <b/>
            <sz val="9"/>
            <color indexed="81"/>
            <rFont val="Tahoma"/>
            <family val="2"/>
          </rPr>
          <t>Marianne Rasmussen:</t>
        </r>
        <r>
          <rPr>
            <sz val="9"/>
            <color indexed="81"/>
            <rFont val="Tahoma"/>
            <family val="2"/>
          </rPr>
          <t xml:space="preserve">
Flemming tager vagten på oa</t>
        </r>
      </text>
    </comment>
    <comment ref="G203" authorId="3" shapeId="0" xr:uid="{5847DA1E-D5C3-40AB-BE74-16627E435F52}">
      <text>
        <r>
          <rPr>
            <b/>
            <sz val="9"/>
            <color indexed="81"/>
            <rFont val="Tahoma"/>
            <family val="2"/>
          </rPr>
          <t>Steen Hertin:</t>
        </r>
        <r>
          <rPr>
            <sz val="9"/>
            <color indexed="81"/>
            <rFont val="Tahoma"/>
            <family val="2"/>
          </rPr>
          <t xml:space="preserve">
Runderer Nørrebro bibliotek 2 x 30 min fra kl. 09.00 - 15.00</t>
        </r>
      </text>
    </comment>
    <comment ref="H203" authorId="3" shapeId="0" xr:uid="{C7687A9E-4041-4A0B-99FC-5076E3A4C7DD}">
      <text>
        <r>
          <rPr>
            <b/>
            <sz val="9"/>
            <color indexed="81"/>
            <rFont val="Tahoma"/>
            <family val="2"/>
          </rPr>
          <t>Steen Hertin:</t>
        </r>
        <r>
          <rPr>
            <sz val="9"/>
            <color indexed="81"/>
            <rFont val="Tahoma"/>
            <family val="2"/>
          </rPr>
          <t xml:space="preserve">
Runderer Nørrebro bibliotek 2 x 30 min fra kl. 09.00 - 15.00</t>
        </r>
      </text>
    </comment>
    <comment ref="I203" authorId="3" shapeId="0" xr:uid="{1A1672A9-0020-4E43-A92E-DEA3C1CDB498}">
      <text>
        <r>
          <rPr>
            <b/>
            <sz val="9"/>
            <color indexed="81"/>
            <rFont val="Tahoma"/>
            <family val="2"/>
          </rPr>
          <t>Steen Hertin:</t>
        </r>
        <r>
          <rPr>
            <sz val="9"/>
            <color indexed="81"/>
            <rFont val="Tahoma"/>
            <family val="2"/>
          </rPr>
          <t xml:space="preserve">
Runderer Nørrebro bibliotek 2 x 30 min fra kl. 09.00 - 15.00</t>
        </r>
      </text>
    </comment>
    <comment ref="J203" authorId="3" shapeId="0" xr:uid="{FF4F00E7-B66D-48BC-A027-128290240BCB}">
      <text>
        <r>
          <rPr>
            <b/>
            <sz val="9"/>
            <color indexed="81"/>
            <rFont val="Tahoma"/>
            <family val="2"/>
          </rPr>
          <t>Steen Hertin:</t>
        </r>
        <r>
          <rPr>
            <sz val="9"/>
            <color indexed="81"/>
            <rFont val="Tahoma"/>
            <family val="2"/>
          </rPr>
          <t xml:space="preserve">
Runderer Nørrebro bibliotek 2 x 30 min fra kl. 09.00 - 15.00</t>
        </r>
      </text>
    </comment>
    <comment ref="K203" authorId="3" shapeId="0" xr:uid="{476101D5-D7CA-47DD-ABA9-FF18D98FF41A}">
      <text>
        <r>
          <rPr>
            <b/>
            <sz val="9"/>
            <color indexed="81"/>
            <rFont val="Tahoma"/>
            <family val="2"/>
          </rPr>
          <t>Steen Hertin:</t>
        </r>
        <r>
          <rPr>
            <sz val="9"/>
            <color indexed="81"/>
            <rFont val="Tahoma"/>
            <family val="2"/>
          </rPr>
          <t xml:space="preserve">
Runderer Nørrebro bibliotek 2 x 30 min fra kl. 09.00 - 15.00</t>
        </r>
      </text>
    </comment>
    <comment ref="C204" authorId="3" shapeId="0" xr:uid="{6B11116E-B113-4E1A-A7A5-603BBABEEB17}">
      <text>
        <r>
          <rPr>
            <b/>
            <sz val="9"/>
            <color indexed="81"/>
            <rFont val="Tahoma"/>
            <family val="2"/>
          </rPr>
          <t>Steen Hertin:</t>
        </r>
        <r>
          <rPr>
            <sz val="9"/>
            <color indexed="81"/>
            <rFont val="Tahoma"/>
            <family val="2"/>
          </rPr>
          <t xml:space="preserve">
Runderer Nørrebro bibliotek 2 x 30 min fra kl. 09.00 - 15.00</t>
        </r>
      </text>
    </comment>
    <comment ref="D204" authorId="3" shapeId="0" xr:uid="{AE708E61-91F2-4707-9932-FCB8221F40E3}">
      <text>
        <r>
          <rPr>
            <b/>
            <sz val="9"/>
            <color indexed="81"/>
            <rFont val="Tahoma"/>
            <family val="2"/>
          </rPr>
          <t>Steen Hertin:</t>
        </r>
        <r>
          <rPr>
            <sz val="9"/>
            <color indexed="81"/>
            <rFont val="Tahoma"/>
            <family val="2"/>
          </rPr>
          <t xml:space="preserve">
Runderer Nørrebro bibliotek 2 x 30 min fra kl. 09.00 - 15.00</t>
        </r>
      </text>
    </comment>
    <comment ref="G204" authorId="3" shapeId="0" xr:uid="{D58364A0-7C3B-4C62-BD29-F73760F5EDB2}">
      <text>
        <r>
          <rPr>
            <b/>
            <sz val="9"/>
            <color indexed="81"/>
            <rFont val="Tahoma"/>
            <family val="2"/>
          </rPr>
          <t>Steen Hertin:</t>
        </r>
        <r>
          <rPr>
            <sz val="9"/>
            <color indexed="81"/>
            <rFont val="Tahoma"/>
            <family val="2"/>
          </rPr>
          <t xml:space="preserve">
Runderer Nørrebro bibliotek 2 x 30 min fra kl. 09.00 - 15.00</t>
        </r>
      </text>
    </comment>
    <comment ref="H204" authorId="3" shapeId="0" xr:uid="{1E3F30BF-8C03-4CCB-BD91-D7D588043721}">
      <text>
        <r>
          <rPr>
            <b/>
            <sz val="9"/>
            <color indexed="81"/>
            <rFont val="Tahoma"/>
            <family val="2"/>
          </rPr>
          <t>Steen Hertin:</t>
        </r>
        <r>
          <rPr>
            <sz val="9"/>
            <color indexed="81"/>
            <rFont val="Tahoma"/>
            <family val="2"/>
          </rPr>
          <t xml:space="preserve">
Runderer Nørrebro bibliotek 2 x 30 min fra kl. 09.00 - 15.00</t>
        </r>
      </text>
    </comment>
    <comment ref="I204" authorId="3" shapeId="0" xr:uid="{6379508B-C917-4221-91A7-05093B3666B1}">
      <text>
        <r>
          <rPr>
            <b/>
            <sz val="9"/>
            <color indexed="81"/>
            <rFont val="Tahoma"/>
            <family val="2"/>
          </rPr>
          <t>Steen Hertin:</t>
        </r>
        <r>
          <rPr>
            <sz val="9"/>
            <color indexed="81"/>
            <rFont val="Tahoma"/>
            <family val="2"/>
          </rPr>
          <t xml:space="preserve">
Runderer Nørrebro bibliotek 2 x 30 min fra kl. 09.00 - 15.00</t>
        </r>
      </text>
    </comment>
    <comment ref="J204" authorId="3" shapeId="0" xr:uid="{B50B50D5-E620-4411-B59E-9ADECB844BCB}">
      <text>
        <r>
          <rPr>
            <b/>
            <sz val="9"/>
            <color indexed="81"/>
            <rFont val="Tahoma"/>
            <family val="2"/>
          </rPr>
          <t>Steen Hertin:</t>
        </r>
        <r>
          <rPr>
            <sz val="9"/>
            <color indexed="81"/>
            <rFont val="Tahoma"/>
            <family val="2"/>
          </rPr>
          <t xml:space="preserve">
Runderer Nørrebro bibliotek 2 x 30 min fra kl. 09.00 - 15.00</t>
        </r>
      </text>
    </comment>
    <comment ref="K204" authorId="3" shapeId="0" xr:uid="{8A4A7B2C-1623-4D86-BCF4-B3999D40AB08}">
      <text>
        <r>
          <rPr>
            <b/>
            <sz val="9"/>
            <color indexed="81"/>
            <rFont val="Tahoma"/>
            <family val="2"/>
          </rPr>
          <t>Steen Hertin:</t>
        </r>
        <r>
          <rPr>
            <sz val="9"/>
            <color indexed="81"/>
            <rFont val="Tahoma"/>
            <family val="2"/>
          </rPr>
          <t xml:space="preserve">
Runderer Nørrebro bibliotek 2 x 30 min fra kl. 09.00 - 15.00</t>
        </r>
      </text>
    </comment>
    <comment ref="AD204" authorId="3" shapeId="0" xr:uid="{CB2FAB54-E259-411A-8F7F-E308FCFF9187}">
      <text>
        <r>
          <rPr>
            <b/>
            <sz val="9"/>
            <color indexed="81"/>
            <rFont val="Tahoma"/>
            <family val="2"/>
          </rPr>
          <t>Steen Hertin:</t>
        </r>
        <r>
          <rPr>
            <sz val="9"/>
            <color indexed="81"/>
            <rFont val="Tahoma"/>
            <family val="2"/>
          </rPr>
          <t xml:space="preserve">
Svanmøllehalen 15.00 - 23.30</t>
        </r>
      </text>
    </comment>
    <comment ref="AC205" authorId="3" shapeId="0" xr:uid="{5FA6A3DC-BA2C-486F-9E47-E90CE0097417}">
      <text>
        <r>
          <rPr>
            <b/>
            <sz val="9"/>
            <color indexed="81"/>
            <rFont val="Tahoma"/>
            <family val="2"/>
          </rPr>
          <t>Steen Hertin:</t>
        </r>
        <r>
          <rPr>
            <sz val="9"/>
            <color indexed="81"/>
            <rFont val="Tahoma"/>
            <family val="2"/>
          </rPr>
          <t xml:space="preserve">
Svanmøllehalen 15.00 - 23.30</t>
        </r>
      </text>
    </comment>
    <comment ref="AC207" authorId="3" shapeId="0" xr:uid="{A23D851C-8DD5-4B3B-9CD9-F816DCF67CF3}">
      <text>
        <r>
          <rPr>
            <b/>
            <sz val="9"/>
            <color indexed="81"/>
            <rFont val="Tahoma"/>
            <family val="2"/>
          </rPr>
          <t>Steen Hertin:</t>
        </r>
        <r>
          <rPr>
            <sz val="9"/>
            <color indexed="81"/>
            <rFont val="Tahoma"/>
            <family val="2"/>
          </rPr>
          <t xml:space="preserve">
Sociale døgnvagt 08.15 - 15.40</t>
        </r>
      </text>
    </comment>
    <comment ref="AD207" authorId="3" shapeId="0" xr:uid="{14A68EC4-606E-4630-86DF-F353069F1FB7}">
      <text>
        <r>
          <rPr>
            <b/>
            <sz val="9"/>
            <color indexed="81"/>
            <rFont val="Tahoma"/>
            <family val="2"/>
          </rPr>
          <t>Steen Hertin:</t>
        </r>
        <r>
          <rPr>
            <sz val="9"/>
            <color indexed="81"/>
            <rFont val="Tahoma"/>
            <family val="2"/>
          </rPr>
          <t xml:space="preserve">
Sociale døgnvagt 08.15 - 15.40</t>
        </r>
      </text>
    </comment>
    <comment ref="AE207" authorId="3" shapeId="0" xr:uid="{B804D0AC-4169-45E9-9719-893338E2D7A5}">
      <text>
        <r>
          <rPr>
            <b/>
            <sz val="9"/>
            <color indexed="81"/>
            <rFont val="Tahoma"/>
            <family val="2"/>
          </rPr>
          <t>Steen Hertin:</t>
        </r>
        <r>
          <rPr>
            <sz val="9"/>
            <color indexed="81"/>
            <rFont val="Tahoma"/>
            <family val="2"/>
          </rPr>
          <t xml:space="preserve">
Sociale døgnvagt 08.30 - 18.15</t>
        </r>
      </text>
    </comment>
    <comment ref="O211" authorId="1" shapeId="0" xr:uid="{35D9AD8E-DF64-4CD9-B925-462DD352C2D4}">
      <text>
        <r>
          <rPr>
            <b/>
            <sz val="9"/>
            <color indexed="81"/>
            <rFont val="Tahoma"/>
            <family val="2"/>
          </rPr>
          <t>Steen Hertin-Sandkær:</t>
        </r>
        <r>
          <rPr>
            <sz val="9"/>
            <color indexed="81"/>
            <rFont val="Tahoma"/>
            <family val="2"/>
          </rPr>
          <t xml:space="preserve">
Går kl. 12.00</t>
        </r>
      </text>
    </comment>
    <comment ref="H241" authorId="0" shapeId="0" xr:uid="{F1D4B9F2-6E05-4B5B-9ECD-96236EE9EC1B}">
      <text>
        <r>
          <rPr>
            <b/>
            <sz val="9"/>
            <color indexed="81"/>
            <rFont val="Tahoma"/>
            <family val="2"/>
          </rPr>
          <t>Marianne Rasmussen:</t>
        </r>
        <r>
          <rPr>
            <sz val="9"/>
            <color indexed="81"/>
            <rFont val="Tahoma"/>
            <family val="2"/>
          </rPr>
          <t xml:space="preserve">
- 1,5 time afs
 12,15-13,45</t>
        </r>
      </text>
    </comment>
    <comment ref="R293" authorId="0" shapeId="0" xr:uid="{C56DB522-CD60-4B39-B736-B3069A0CF5A5}">
      <text>
        <r>
          <rPr>
            <b/>
            <sz val="9"/>
            <color indexed="81"/>
            <rFont val="Tahoma"/>
            <family val="2"/>
          </rPr>
          <t>Marianne Rasmussen:</t>
        </r>
        <r>
          <rPr>
            <sz val="9"/>
            <color indexed="81"/>
            <rFont val="Tahoma"/>
            <family val="2"/>
          </rPr>
          <t xml:space="preserve">
- 2 timer i afs</t>
        </r>
      </text>
    </comment>
    <comment ref="K297" authorId="0" shapeId="0" xr:uid="{8C9F0F24-5CE3-4929-AF10-E4985870CC05}">
      <text>
        <r>
          <rPr>
            <b/>
            <sz val="9"/>
            <color indexed="81"/>
            <rFont val="Tahoma"/>
            <family val="2"/>
          </rPr>
          <t>Marianne Rasmussen:</t>
        </r>
        <r>
          <rPr>
            <sz val="9"/>
            <color indexed="81"/>
            <rFont val="Tahoma"/>
            <family val="2"/>
          </rPr>
          <t xml:space="preserve">
- 2 timer afs</t>
        </r>
      </text>
    </comment>
    <comment ref="R298" authorId="0" shapeId="0" xr:uid="{672EA328-5767-4DDA-B453-EDF4CA276664}">
      <text>
        <r>
          <rPr>
            <b/>
            <sz val="9"/>
            <color indexed="81"/>
            <rFont val="Tahoma"/>
            <family val="2"/>
          </rPr>
          <t>Marianne Rasmussen:</t>
        </r>
        <r>
          <rPr>
            <sz val="9"/>
            <color indexed="81"/>
            <rFont val="Tahoma"/>
            <family val="2"/>
          </rPr>
          <t xml:space="preserve">
- 2 timer afs</t>
        </r>
      </text>
    </comment>
    <comment ref="K300" authorId="11" shapeId="0" xr:uid="{701B26C1-66A4-4468-BCD1-100CD5CB5FD8}">
      <text>
        <r>
          <rPr>
            <b/>
            <sz val="9"/>
            <color indexed="81"/>
            <rFont val="Tahoma"/>
            <family val="2"/>
          </rPr>
          <t>marasm:</t>
        </r>
        <r>
          <rPr>
            <sz val="9"/>
            <color indexed="81"/>
            <rFont val="Tahoma"/>
            <family val="2"/>
          </rPr>
          <t xml:space="preserve">
- 2 timer i afs.</t>
        </r>
      </text>
    </comment>
    <comment ref="J301" authorId="0" shapeId="0" xr:uid="{2301EBAB-22D2-48B2-A178-2E5A6EFBD843}">
      <text>
        <r>
          <rPr>
            <b/>
            <sz val="9"/>
            <color indexed="81"/>
            <rFont val="Tahoma"/>
            <family val="2"/>
          </rPr>
          <t>Marianne Rasmussen:</t>
        </r>
        <r>
          <rPr>
            <sz val="9"/>
            <color indexed="81"/>
            <rFont val="Tahoma"/>
            <family val="2"/>
          </rPr>
          <t xml:space="preserve">
- 3 FF Timer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marasm</author>
    <author>Rasmus Sørensen</author>
    <author>Thomas Holm</author>
    <author>Steen Hertin</author>
    <author>Michael Bo Pedersen</author>
    <author>Marianne Rasmussen</author>
    <author>Nikolaj Langtin Pamhede</author>
    <author>Mathias Hartvig Morell Nielsen</author>
    <author>Kim Holm Aabroe</author>
    <author>Nick Lorentzen</author>
    <author>Steen Hertin-Sandkær</author>
  </authors>
  <commentList>
    <comment ref="L14" authorId="0" shapeId="0" xr:uid="{79993289-6242-4911-B99F-9A5D678D8055}">
      <text>
        <r>
          <rPr>
            <b/>
            <sz val="9"/>
            <color indexed="81"/>
            <rFont val="Tahoma"/>
            <family val="2"/>
          </rPr>
          <t>marasm:</t>
        </r>
        <r>
          <rPr>
            <sz val="9"/>
            <color indexed="81"/>
            <rFont val="Tahoma"/>
            <family val="2"/>
          </rPr>
          <t xml:space="preserve">
Møde med Marianne hele dagen</t>
        </r>
      </text>
    </comment>
    <comment ref="M14" authorId="1" shapeId="0" xr:uid="{31D83FDA-60BF-4D39-AEB8-3BF1703A6488}">
      <text>
        <r>
          <rPr>
            <b/>
            <sz val="9"/>
            <color indexed="81"/>
            <rFont val="Tahoma"/>
            <family val="2"/>
          </rPr>
          <t>Rasmus Sørensen:</t>
        </r>
        <r>
          <rPr>
            <sz val="9"/>
            <color indexed="81"/>
            <rFont val="Tahoma"/>
            <family val="2"/>
          </rPr>
          <t xml:space="preserve">
kursus</t>
        </r>
      </text>
    </comment>
    <comment ref="AA14" authorId="1" shapeId="0" xr:uid="{2662BE8F-5083-4A51-AC56-2D699DF3EF86}">
      <text>
        <r>
          <rPr>
            <b/>
            <sz val="9"/>
            <color indexed="81"/>
            <rFont val="Tahoma"/>
            <family val="2"/>
          </rPr>
          <t>Rasmus Sørensen:</t>
        </r>
        <r>
          <rPr>
            <sz val="9"/>
            <color indexed="81"/>
            <rFont val="Tahoma"/>
            <family val="2"/>
          </rPr>
          <t xml:space="preserve">
kursus kl. 12-14:30</t>
        </r>
      </text>
    </comment>
    <comment ref="D15" authorId="2" shapeId="0" xr:uid="{CABF21F6-769A-4FA9-A6B6-F543C43A15F6}">
      <text>
        <r>
          <rPr>
            <b/>
            <sz val="9"/>
            <color indexed="81"/>
            <rFont val="Tahoma"/>
            <family val="2"/>
          </rPr>
          <t>Thomas Holm:</t>
        </r>
        <r>
          <rPr>
            <sz val="9"/>
            <color indexed="81"/>
            <rFont val="Tahoma"/>
            <family val="2"/>
          </rPr>
          <t xml:space="preserve">
2-vagt</t>
        </r>
      </text>
    </comment>
    <comment ref="AA15" authorId="1" shapeId="0" xr:uid="{7D20ECA5-93DA-439C-9A62-33F0AD5E222C}">
      <text>
        <r>
          <rPr>
            <b/>
            <sz val="9"/>
            <color indexed="81"/>
            <rFont val="Tahoma"/>
            <family val="2"/>
          </rPr>
          <t>Rasmus Sørensen:</t>
        </r>
        <r>
          <rPr>
            <sz val="9"/>
            <color indexed="81"/>
            <rFont val="Tahoma"/>
            <family val="2"/>
          </rPr>
          <t xml:space="preserve">
kursus kl. 12-14:30</t>
        </r>
      </text>
    </comment>
    <comment ref="N17" authorId="3" shapeId="0" xr:uid="{9B0F5662-F630-4D71-90F5-260E9D0B382F}">
      <text>
        <r>
          <rPr>
            <b/>
            <sz val="9"/>
            <color indexed="81"/>
            <rFont val="Tahoma"/>
            <family val="2"/>
          </rPr>
          <t>Steen Hertin:</t>
        </r>
        <r>
          <rPr>
            <sz val="9"/>
            <color indexed="81"/>
            <rFont val="Tahoma"/>
            <family val="2"/>
          </rPr>
          <t xml:space="preserve">
Rundering af bygninger</t>
        </r>
      </text>
    </comment>
    <comment ref="AA18" authorId="1" shapeId="0" xr:uid="{0BFBDEB6-89DA-494C-BEA5-F2BA0D420ACF}">
      <text>
        <r>
          <rPr>
            <b/>
            <sz val="9"/>
            <color indexed="81"/>
            <rFont val="Tahoma"/>
            <family val="2"/>
          </rPr>
          <t>Rasmus Sørensen:
kursus kl.12-14:30</t>
        </r>
      </text>
    </comment>
    <comment ref="J20" authorId="3" shapeId="0" xr:uid="{5A99988A-7BEB-43CA-8931-F76C2FAEE58A}">
      <text>
        <r>
          <rPr>
            <b/>
            <sz val="9"/>
            <color indexed="81"/>
            <rFont val="Tahoma"/>
            <family val="2"/>
          </rPr>
          <t>Steen Hertin:</t>
        </r>
        <r>
          <rPr>
            <sz val="9"/>
            <color indexed="81"/>
            <rFont val="Tahoma"/>
            <family val="2"/>
          </rPr>
          <t xml:space="preserve">
Vagthavende 06:30 - 13.00</t>
        </r>
      </text>
    </comment>
    <comment ref="Y20" authorId="4" shapeId="0" xr:uid="{910BC930-5886-46B5-B4D0-48E0673CFC20}">
      <text>
        <r>
          <rPr>
            <b/>
            <sz val="9"/>
            <color indexed="81"/>
            <rFont val="Tahoma"/>
            <family val="2"/>
          </rPr>
          <t>Michael Bo Pedersen:</t>
        </r>
        <r>
          <rPr>
            <sz val="9"/>
            <color indexed="81"/>
            <rFont val="Tahoma"/>
            <family val="2"/>
          </rPr>
          <t xml:space="preserve">
AHF</t>
        </r>
      </text>
    </comment>
    <comment ref="AA20" authorId="1" shapeId="0" xr:uid="{982267A0-D641-4681-9422-CDF520733810}">
      <text>
        <r>
          <rPr>
            <b/>
            <sz val="9"/>
            <color indexed="81"/>
            <rFont val="Tahoma"/>
            <family val="2"/>
          </rPr>
          <t>Rasmus Sørensen:</t>
        </r>
        <r>
          <rPr>
            <sz val="9"/>
            <color indexed="81"/>
            <rFont val="Tahoma"/>
            <family val="2"/>
          </rPr>
          <t xml:space="preserve">
kursus kl 12-14:30</t>
        </r>
      </text>
    </comment>
    <comment ref="AC20" authorId="4" shapeId="0" xr:uid="{6DB68F10-5D21-4579-820E-D2A4AFFA010F}">
      <text>
        <r>
          <rPr>
            <b/>
            <sz val="9"/>
            <color indexed="81"/>
            <rFont val="Tahoma"/>
            <family val="2"/>
          </rPr>
          <t>Michael Bo Pedersen:</t>
        </r>
        <r>
          <rPr>
            <sz val="9"/>
            <color indexed="81"/>
            <rFont val="Tahoma"/>
            <family val="2"/>
          </rPr>
          <t xml:space="preserve">
AHF</t>
        </r>
      </text>
    </comment>
    <comment ref="K21" authorId="1" shapeId="0" xr:uid="{92D23AED-0E49-42FF-B835-A2390AE29357}">
      <text>
        <r>
          <rPr>
            <b/>
            <sz val="9"/>
            <color indexed="81"/>
            <rFont val="Tahoma"/>
            <family val="2"/>
          </rPr>
          <t>Rasmus Sørensen:</t>
        </r>
        <r>
          <rPr>
            <sz val="9"/>
            <color indexed="81"/>
            <rFont val="Tahoma"/>
            <family val="2"/>
          </rPr>
          <t xml:space="preserve">
arrrangement Hallen 14:30-2000</t>
        </r>
      </text>
    </comment>
    <comment ref="S21" authorId="5" shapeId="0" xr:uid="{56113372-2273-4F26-86FA-D4769819C7DA}">
      <text>
        <r>
          <rPr>
            <b/>
            <sz val="9"/>
            <color indexed="81"/>
            <rFont val="Tahoma"/>
            <family val="2"/>
          </rPr>
          <t>Marianne Rasmussen:</t>
        </r>
        <r>
          <rPr>
            <sz val="9"/>
            <color indexed="81"/>
            <rFont val="Tahoma"/>
            <family val="2"/>
          </rPr>
          <t xml:space="preserve">
Arrangement Kl. 8-16</t>
        </r>
      </text>
    </comment>
    <comment ref="AA21" authorId="1" shapeId="0" xr:uid="{D27C0296-1713-44A1-B2BB-66C4C2B782A1}">
      <text>
        <r>
          <rPr>
            <b/>
            <sz val="9"/>
            <color indexed="81"/>
            <rFont val="Tahoma"/>
            <family val="2"/>
          </rPr>
          <t>Rasmus Sørensen:</t>
        </r>
        <r>
          <rPr>
            <sz val="9"/>
            <color indexed="81"/>
            <rFont val="Tahoma"/>
            <family val="2"/>
          </rPr>
          <t xml:space="preserve">
kursus kl 12-14:30</t>
        </r>
      </text>
    </comment>
    <comment ref="AF21" authorId="0" shapeId="0" xr:uid="{0E10CA15-C6DD-4424-85F3-A6F7DA235CEE}">
      <text>
        <r>
          <rPr>
            <b/>
            <sz val="9"/>
            <color indexed="81"/>
            <rFont val="Tahoma"/>
            <family val="2"/>
          </rPr>
          <t>marasm:</t>
        </r>
        <r>
          <rPr>
            <sz val="9"/>
            <color indexed="81"/>
            <rFont val="Tahoma"/>
            <family val="2"/>
          </rPr>
          <t xml:space="preserve">
Arrangemet </t>
        </r>
      </text>
    </comment>
    <comment ref="AG21" authorId="6" shapeId="0" xr:uid="{04CBFFF7-B615-4BA3-90E6-C83AA4176080}">
      <text>
        <r>
          <rPr>
            <b/>
            <sz val="9"/>
            <color indexed="81"/>
            <rFont val="Tahoma"/>
            <family val="2"/>
          </rPr>
          <t>Nikolaj Langtin Pamhede:</t>
        </r>
        <r>
          <rPr>
            <sz val="9"/>
            <color indexed="81"/>
            <rFont val="Tahoma"/>
            <family val="2"/>
          </rPr>
          <t xml:space="preserve">
Kan tidligst møde 10:30</t>
        </r>
      </text>
    </comment>
    <comment ref="AA22" authorId="1" shapeId="0" xr:uid="{3E4C99C2-4B57-4FEF-9515-BBED7AC2313E}">
      <text>
        <r>
          <rPr>
            <b/>
            <sz val="9"/>
            <color indexed="81"/>
            <rFont val="Tahoma"/>
            <family val="2"/>
          </rPr>
          <t>Rasmus Sørensen:</t>
        </r>
        <r>
          <rPr>
            <sz val="9"/>
            <color indexed="81"/>
            <rFont val="Tahoma"/>
            <family val="2"/>
          </rPr>
          <t xml:space="preserve">
kursus kl. 12-14:30</t>
        </r>
      </text>
    </comment>
    <comment ref="N24" authorId="7" shapeId="0" xr:uid="{EE97DE9E-DE31-43DE-8954-A21EAD20D3FB}">
      <text>
        <r>
          <rPr>
            <b/>
            <sz val="9"/>
            <color indexed="81"/>
            <rFont val="Tahoma"/>
            <family val="2"/>
          </rPr>
          <t>Mathias Hartvig Morell Nielsen:</t>
        </r>
        <r>
          <rPr>
            <sz val="9"/>
            <color indexed="81"/>
            <rFont val="Tahoma"/>
            <family val="2"/>
          </rPr>
          <t xml:space="preserve">
Afspadsering fra kl. 11:45</t>
        </r>
      </text>
    </comment>
    <comment ref="N25" authorId="6" shapeId="0" xr:uid="{E4B368F2-B110-40CF-AACD-9D96DF6E86F3}">
      <text>
        <r>
          <rPr>
            <b/>
            <sz val="9"/>
            <color indexed="81"/>
            <rFont val="Tahoma"/>
            <family val="2"/>
          </rPr>
          <t>Nikolaj Langtin Pamhede:</t>
        </r>
        <r>
          <rPr>
            <sz val="9"/>
            <color indexed="81"/>
            <rFont val="Tahoma"/>
            <family val="2"/>
          </rPr>
          <t xml:space="preserve">
Vagten skal blive på Rentmestervej til kl 21.</t>
        </r>
      </text>
    </comment>
    <comment ref="U25" authorId="3" shapeId="0" xr:uid="{4B348FD6-5F03-4C67-B5B7-5A4F9EF23CCE}">
      <text>
        <r>
          <rPr>
            <b/>
            <sz val="9"/>
            <color indexed="81"/>
            <rFont val="Tahoma"/>
            <family val="2"/>
          </rPr>
          <t>Steen Hertin:</t>
        </r>
        <r>
          <rPr>
            <sz val="9"/>
            <color indexed="81"/>
            <rFont val="Tahoma"/>
            <family val="2"/>
          </rPr>
          <t xml:space="preserve">
Vagten på Rentemestervej skal blive til kl. 22.30</t>
        </r>
      </text>
    </comment>
    <comment ref="Y25" authorId="3" shapeId="0" xr:uid="{73BD7FA4-AF47-4C98-B967-47113669E633}">
      <text>
        <r>
          <rPr>
            <b/>
            <sz val="9"/>
            <color indexed="81"/>
            <rFont val="Tahoma"/>
            <family val="2"/>
          </rPr>
          <t>Steen Hertin:</t>
        </r>
        <r>
          <rPr>
            <sz val="9"/>
            <color indexed="81"/>
            <rFont val="Tahoma"/>
            <family val="2"/>
          </rPr>
          <t xml:space="preserve">
Vagten på Rentemestervej skal blive til kl. 21.15</t>
        </r>
      </text>
    </comment>
    <comment ref="Z25" authorId="3" shapeId="0" xr:uid="{09092C03-7550-4C1E-9E0A-C2FD434D3054}">
      <text>
        <r>
          <rPr>
            <b/>
            <sz val="9"/>
            <color indexed="81"/>
            <rFont val="Tahoma"/>
            <family val="2"/>
          </rPr>
          <t>Steen Hertin:</t>
        </r>
        <r>
          <rPr>
            <sz val="9"/>
            <color indexed="81"/>
            <rFont val="Tahoma"/>
            <family val="2"/>
          </rPr>
          <t xml:space="preserve">
Dække Hjemløseenheden
Rentemestervej til 21.00</t>
        </r>
      </text>
    </comment>
    <comment ref="AA25" authorId="3" shapeId="0" xr:uid="{3A8F9DF3-0063-448D-BDF8-6C2B91CA1AE6}">
      <text>
        <r>
          <rPr>
            <b/>
            <sz val="9"/>
            <color indexed="81"/>
            <rFont val="Tahoma"/>
            <family val="2"/>
          </rPr>
          <t>Steen Hertin:</t>
        </r>
        <r>
          <rPr>
            <sz val="9"/>
            <color indexed="81"/>
            <rFont val="Tahoma"/>
            <family val="2"/>
          </rPr>
          <t xml:space="preserve">
Vagten på Rentemestervej skal blive til kl. 22.00</t>
        </r>
      </text>
    </comment>
    <comment ref="AF37" authorId="3" shapeId="0" xr:uid="{0BB223C6-C722-4D76-9A00-89B2808CB6DF}">
      <text>
        <r>
          <rPr>
            <b/>
            <sz val="9"/>
            <color indexed="81"/>
            <rFont val="Tahoma"/>
            <family val="2"/>
          </rPr>
          <t>Steen Hertin:</t>
        </r>
        <r>
          <rPr>
            <sz val="9"/>
            <color indexed="81"/>
            <rFont val="Tahoma"/>
            <family val="2"/>
          </rPr>
          <t xml:space="preserve">
Dække Nørrebro bibliotek kl. 14.00 - 15.30</t>
        </r>
      </text>
    </comment>
    <comment ref="AG37" authorId="3" shapeId="0" xr:uid="{E53D7551-66B3-4B11-B83C-C80272D2DA90}">
      <text>
        <r>
          <rPr>
            <b/>
            <sz val="9"/>
            <color indexed="81"/>
            <rFont val="Tahoma"/>
            <family val="2"/>
          </rPr>
          <t>Steen Hertin:</t>
        </r>
        <r>
          <rPr>
            <sz val="9"/>
            <color indexed="81"/>
            <rFont val="Tahoma"/>
            <family val="2"/>
          </rPr>
          <t xml:space="preserve">
Dække Nørrebro bibliotek kl. 14.00 - 15.30</t>
        </r>
      </text>
    </comment>
    <comment ref="H38" authorId="8" shapeId="0" xr:uid="{7C2CE9B3-C5A0-4A47-A4FF-690E619C41DC}">
      <text>
        <r>
          <rPr>
            <b/>
            <sz val="9"/>
            <color indexed="81"/>
            <rFont val="Tahoma"/>
            <family val="2"/>
          </rPr>
          <t>Kim Holm Aabroe:</t>
        </r>
        <r>
          <rPr>
            <sz val="9"/>
            <color indexed="81"/>
            <rFont val="Tahoma"/>
            <family val="2"/>
          </rPr>
          <t xml:space="preserve">
26-vagt OA
møder senere</t>
        </r>
      </text>
    </comment>
    <comment ref="Y41" authorId="4" shapeId="0" xr:uid="{08DC69FD-73B4-42E9-B6BB-9CEFFC78A3AE}">
      <text>
        <r>
          <rPr>
            <b/>
            <sz val="9"/>
            <color indexed="81"/>
            <rFont val="Tahoma"/>
            <family val="2"/>
          </rPr>
          <t>Michael Bo Pedersen:</t>
        </r>
        <r>
          <rPr>
            <sz val="9"/>
            <color indexed="81"/>
            <rFont val="Tahoma"/>
            <family val="2"/>
          </rPr>
          <t xml:space="preserve">
AFS fra kl09.30</t>
        </r>
      </text>
    </comment>
    <comment ref="AC42" authorId="8" shapeId="0" xr:uid="{446DA33D-6405-494F-AE2C-4223384481AE}">
      <text>
        <r>
          <rPr>
            <b/>
            <sz val="9"/>
            <color indexed="81"/>
            <rFont val="Tahoma"/>
            <family val="2"/>
          </rPr>
          <t>Kim Holm Aabroe:</t>
        </r>
        <r>
          <rPr>
            <sz val="9"/>
            <color indexed="81"/>
            <rFont val="Tahoma"/>
            <family val="2"/>
          </rPr>
          <t xml:space="preserve">
21-vagt OA</t>
        </r>
      </text>
    </comment>
    <comment ref="K43" authorId="1" shapeId="0" xr:uid="{DB957D8F-777B-455A-9D67-AA0B2F02230C}">
      <text>
        <r>
          <rPr>
            <b/>
            <sz val="9"/>
            <color indexed="81"/>
            <rFont val="Tahoma"/>
            <family val="2"/>
          </rPr>
          <t>Rasmus Sørensen:</t>
        </r>
        <r>
          <rPr>
            <sz val="9"/>
            <color indexed="81"/>
            <rFont val="Tahoma"/>
            <family val="2"/>
          </rPr>
          <t xml:space="preserve">
dagvagt kl. 8-12</t>
        </r>
      </text>
    </comment>
    <comment ref="M43" authorId="1" shapeId="0" xr:uid="{B553608E-BA4A-4E44-8408-DD87EABC53AC}">
      <text>
        <r>
          <rPr>
            <b/>
            <sz val="9"/>
            <color indexed="81"/>
            <rFont val="Tahoma"/>
            <family val="2"/>
          </rPr>
          <t>Rasmus Sørensen:</t>
        </r>
        <r>
          <rPr>
            <sz val="9"/>
            <color indexed="81"/>
            <rFont val="Tahoma"/>
            <family val="2"/>
          </rPr>
          <t xml:space="preserve">
dagvagt kl. 8-12</t>
        </r>
      </text>
    </comment>
    <comment ref="O43" authorId="1" shapeId="0" xr:uid="{446F63F2-A121-4DB5-B6A6-D82109DE32A3}">
      <text>
        <r>
          <rPr>
            <b/>
            <sz val="9"/>
            <color indexed="81"/>
            <rFont val="Tahoma"/>
            <family val="2"/>
          </rPr>
          <t>Rasmus Sørensen:</t>
        </r>
        <r>
          <rPr>
            <sz val="9"/>
            <color indexed="81"/>
            <rFont val="Tahoma"/>
            <family val="2"/>
          </rPr>
          <t xml:space="preserve">
dagvagt kl. 8-12</t>
        </r>
      </text>
    </comment>
    <comment ref="R43" authorId="1" shapeId="0" xr:uid="{06D065FF-0B96-4190-8D39-73A9B3D8C9A2}">
      <text>
        <r>
          <rPr>
            <b/>
            <sz val="9"/>
            <color indexed="81"/>
            <rFont val="Tahoma"/>
            <family val="2"/>
          </rPr>
          <t>Rasmus Sørensen:</t>
        </r>
        <r>
          <rPr>
            <sz val="9"/>
            <color indexed="81"/>
            <rFont val="Tahoma"/>
            <family val="2"/>
          </rPr>
          <t xml:space="preserve">
dagvagt kl. 8-14</t>
        </r>
      </text>
    </comment>
    <comment ref="T43" authorId="1" shapeId="0" xr:uid="{99849ACE-61BF-4C24-81CC-26016E9B7D70}">
      <text>
        <r>
          <rPr>
            <b/>
            <sz val="9"/>
            <color indexed="81"/>
            <rFont val="Tahoma"/>
            <family val="2"/>
          </rPr>
          <t>Rasmus Sørensen:</t>
        </r>
        <r>
          <rPr>
            <sz val="9"/>
            <color indexed="81"/>
            <rFont val="Tahoma"/>
            <family val="2"/>
          </rPr>
          <t xml:space="preserve">
dagvagt kl. 8-14</t>
        </r>
      </text>
    </comment>
    <comment ref="V43" authorId="1" shapeId="0" xr:uid="{2457572E-2D5B-41F5-BB4F-1915BFD2638D}">
      <text>
        <r>
          <rPr>
            <b/>
            <sz val="9"/>
            <color indexed="81"/>
            <rFont val="Tahoma"/>
            <family val="2"/>
          </rPr>
          <t>Rasmus Sørensen:</t>
        </r>
        <r>
          <rPr>
            <sz val="9"/>
            <color indexed="81"/>
            <rFont val="Tahoma"/>
            <family val="2"/>
          </rPr>
          <t xml:space="preserve">
dagvagt kl. 08.15-13.15</t>
        </r>
      </text>
    </comment>
    <comment ref="Y43" authorId="1" shapeId="0" xr:uid="{BA661C6A-F211-418C-B850-FF86815E1E83}">
      <text>
        <r>
          <rPr>
            <b/>
            <sz val="9"/>
            <color indexed="81"/>
            <rFont val="Tahoma"/>
            <family val="2"/>
          </rPr>
          <t>Rasmus Sørensen:</t>
        </r>
        <r>
          <rPr>
            <sz val="9"/>
            <color indexed="81"/>
            <rFont val="Tahoma"/>
            <family val="2"/>
          </rPr>
          <t xml:space="preserve">
dagvagt kl. 8-14</t>
        </r>
      </text>
    </comment>
    <comment ref="Z43" authorId="1" shapeId="0" xr:uid="{58A81821-6643-48C6-8039-F984049E7819}">
      <text>
        <r>
          <rPr>
            <b/>
            <sz val="9"/>
            <color indexed="81"/>
            <rFont val="Tahoma"/>
            <family val="2"/>
          </rPr>
          <t>Rasmus Sørensen:</t>
        </r>
        <r>
          <rPr>
            <sz val="9"/>
            <color indexed="81"/>
            <rFont val="Tahoma"/>
            <family val="2"/>
          </rPr>
          <t xml:space="preserve">
dagvagt kl. 8-14</t>
        </r>
      </text>
    </comment>
    <comment ref="AB43" authorId="1" shapeId="0" xr:uid="{7EA621AF-3148-494E-A45E-E5E2F282162A}">
      <text>
        <r>
          <rPr>
            <b/>
            <sz val="9"/>
            <color indexed="81"/>
            <rFont val="Tahoma"/>
            <family val="2"/>
          </rPr>
          <t>Rasmus Sørensen:</t>
        </r>
        <r>
          <rPr>
            <sz val="9"/>
            <color indexed="81"/>
            <rFont val="Tahoma"/>
            <family val="2"/>
          </rPr>
          <t xml:space="preserve">
dagvagt kl. 8-14</t>
        </r>
      </text>
    </comment>
    <comment ref="AC43" authorId="1" shapeId="0" xr:uid="{02DE38AA-FDA4-44B3-AB01-D85A39F7A516}">
      <text>
        <r>
          <rPr>
            <b/>
            <sz val="9"/>
            <color indexed="81"/>
            <rFont val="Tahoma"/>
            <family val="2"/>
          </rPr>
          <t>Rasmus Sørensen:</t>
        </r>
        <r>
          <rPr>
            <sz val="9"/>
            <color indexed="81"/>
            <rFont val="Tahoma"/>
            <family val="2"/>
          </rPr>
          <t xml:space="preserve">
dagvagt kl. 8-14</t>
        </r>
      </text>
    </comment>
    <comment ref="Y46" authorId="9" shapeId="0" xr:uid="{0B1FFD3D-9693-49A5-80AD-A420BBC7BAAA}">
      <text>
        <r>
          <rPr>
            <b/>
            <sz val="9"/>
            <color indexed="81"/>
            <rFont val="Tahoma"/>
            <family val="2"/>
          </rPr>
          <t>Nick Lorentzen:</t>
        </r>
        <r>
          <rPr>
            <sz val="9"/>
            <color indexed="81"/>
            <rFont val="Tahoma"/>
            <family val="2"/>
          </rPr>
          <t xml:space="preserve">
22-vagt</t>
        </r>
      </text>
    </comment>
    <comment ref="Z46" authorId="9" shapeId="0" xr:uid="{7A81AFD2-EE09-4471-A5AE-8B432B6B309F}">
      <text>
        <r>
          <rPr>
            <b/>
            <sz val="9"/>
            <color indexed="81"/>
            <rFont val="Tahoma"/>
            <family val="2"/>
          </rPr>
          <t>Nick Lorentzen:</t>
        </r>
        <r>
          <rPr>
            <sz val="9"/>
            <color indexed="81"/>
            <rFont val="Tahoma"/>
            <family val="2"/>
          </rPr>
          <t xml:space="preserve">
22 vagt</t>
        </r>
      </text>
    </comment>
    <comment ref="AA46" authorId="9" shapeId="0" xr:uid="{3AC6CC3D-B2F3-47BD-91B4-1A613679457C}">
      <text>
        <r>
          <rPr>
            <b/>
            <sz val="9"/>
            <color indexed="81"/>
            <rFont val="Tahoma"/>
            <family val="2"/>
          </rPr>
          <t>Nick Lorentzen:</t>
        </r>
        <r>
          <rPr>
            <sz val="9"/>
            <color indexed="81"/>
            <rFont val="Tahoma"/>
            <family val="2"/>
          </rPr>
          <t xml:space="preserve">
22 vagt</t>
        </r>
      </text>
    </comment>
    <comment ref="AB46" authorId="9" shapeId="0" xr:uid="{59C7B555-7A47-4448-844A-58AC769536C5}">
      <text>
        <r>
          <rPr>
            <b/>
            <sz val="9"/>
            <color indexed="81"/>
            <rFont val="Tahoma"/>
            <family val="2"/>
          </rPr>
          <t>Nick Lorentzen:</t>
        </r>
        <r>
          <rPr>
            <sz val="9"/>
            <color indexed="81"/>
            <rFont val="Tahoma"/>
            <family val="2"/>
          </rPr>
          <t xml:space="preserve">
22 vagt</t>
        </r>
      </text>
    </comment>
    <comment ref="D62" authorId="2" shapeId="0" xr:uid="{D86FC134-3A14-4603-8542-775BCC7866F4}">
      <text>
        <r>
          <rPr>
            <b/>
            <sz val="9"/>
            <color indexed="81"/>
            <rFont val="Tahoma"/>
            <family val="2"/>
          </rPr>
          <t>Thomas Holm:</t>
        </r>
        <r>
          <rPr>
            <sz val="9"/>
            <color indexed="81"/>
            <rFont val="Tahoma"/>
            <family val="2"/>
          </rPr>
          <t xml:space="preserve">
Nørrebro bibliotek kl. 14.00-20,15</t>
        </r>
      </text>
    </comment>
    <comment ref="E62" authorId="10" shapeId="0" xr:uid="{5C396ADD-4462-4A6E-AD71-BCDEE132D7DE}">
      <text>
        <r>
          <rPr>
            <b/>
            <sz val="9"/>
            <color indexed="81"/>
            <rFont val="Tahoma"/>
            <family val="2"/>
          </rPr>
          <t>Steen Hertin-Sandkær:</t>
        </r>
        <r>
          <rPr>
            <sz val="9"/>
            <color indexed="81"/>
            <rFont val="Tahoma"/>
            <family val="2"/>
          </rPr>
          <t xml:space="preserve">
K2-vagt til kl21 der efter 6 vagt oa
</t>
        </r>
      </text>
    </comment>
    <comment ref="F62" authorId="2" shapeId="0" xr:uid="{E50EA50E-5F13-473F-8197-7241F3CBBC26}">
      <text>
        <r>
          <rPr>
            <b/>
            <sz val="9"/>
            <color indexed="81"/>
            <rFont val="Tahoma"/>
            <family val="2"/>
          </rPr>
          <t>Thomas Holm:</t>
        </r>
        <r>
          <rPr>
            <sz val="9"/>
            <color indexed="81"/>
            <rFont val="Tahoma"/>
            <family val="2"/>
          </rPr>
          <t xml:space="preserve">
26-Vagt OA</t>
        </r>
      </text>
    </comment>
    <comment ref="G62" authorId="2" shapeId="0" xr:uid="{3A109115-8245-4279-AABB-020F87E9AC86}">
      <text>
        <r>
          <rPr>
            <b/>
            <sz val="9"/>
            <color indexed="81"/>
            <rFont val="Tahoma"/>
            <family val="2"/>
          </rPr>
          <t>Thomas Holm:</t>
        </r>
        <r>
          <rPr>
            <sz val="9"/>
            <color indexed="81"/>
            <rFont val="Tahoma"/>
            <family val="2"/>
          </rPr>
          <t xml:space="preserve">
26-Vagt OA</t>
        </r>
      </text>
    </comment>
    <comment ref="U62" authorId="8" shapeId="0" xr:uid="{3CD08576-E287-440B-9727-41DDE4FE966D}">
      <text>
        <r>
          <rPr>
            <b/>
            <sz val="9"/>
            <color indexed="81"/>
            <rFont val="Tahoma"/>
            <family val="2"/>
          </rPr>
          <t>Kim Holm Aabroe:</t>
        </r>
        <r>
          <rPr>
            <sz val="9"/>
            <color indexed="81"/>
            <rFont val="Tahoma"/>
            <family val="2"/>
          </rPr>
          <t xml:space="preserve">
møder på griffen kl. 13.00</t>
        </r>
      </text>
    </comment>
    <comment ref="Y62" authorId="3" shapeId="0" xr:uid="{60470A99-B84D-4A6B-9FB2-9DD1B13CA9ED}">
      <text>
        <r>
          <rPr>
            <b/>
            <sz val="9"/>
            <color indexed="81"/>
            <rFont val="Tahoma"/>
            <family val="2"/>
          </rPr>
          <t>Steen Hertin:</t>
        </r>
        <r>
          <rPr>
            <sz val="9"/>
            <color indexed="81"/>
            <rFont val="Tahoma"/>
            <family val="2"/>
          </rPr>
          <t xml:space="preserve">
Nørrebro bibliotek kl. 14.00-20,15</t>
        </r>
      </text>
    </comment>
    <comment ref="Z62" authorId="3" shapeId="0" xr:uid="{53AAED42-8A7F-46BC-9EE0-BCE8E8B30172}">
      <text>
        <r>
          <rPr>
            <b/>
            <sz val="9"/>
            <color indexed="81"/>
            <rFont val="Tahoma"/>
            <family val="2"/>
          </rPr>
          <t>Steen Hertin:</t>
        </r>
        <r>
          <rPr>
            <sz val="9"/>
            <color indexed="81"/>
            <rFont val="Tahoma"/>
            <family val="2"/>
          </rPr>
          <t xml:space="preserve">
Nørrebro bibliotek kl. 14.00-20,15</t>
        </r>
      </text>
    </comment>
    <comment ref="AA62" authorId="3" shapeId="0" xr:uid="{BF778FF8-4C15-4D8F-B73E-4CF0D8617636}">
      <text>
        <r>
          <rPr>
            <b/>
            <sz val="9"/>
            <color indexed="81"/>
            <rFont val="Tahoma"/>
            <family val="2"/>
          </rPr>
          <t>Steen Hertin:</t>
        </r>
        <r>
          <rPr>
            <sz val="9"/>
            <color indexed="81"/>
            <rFont val="Tahoma"/>
            <family val="2"/>
          </rPr>
          <t xml:space="preserve">
Nørrebro bibliotek kl. 14.00-20,15</t>
        </r>
      </text>
    </comment>
    <comment ref="AB62" authorId="3" shapeId="0" xr:uid="{D289184C-7A7B-4C9A-919D-CB0BB61D7EE1}">
      <text>
        <r>
          <rPr>
            <b/>
            <sz val="9"/>
            <color indexed="81"/>
            <rFont val="Tahoma"/>
            <family val="2"/>
          </rPr>
          <t>Steen Hertin:</t>
        </r>
        <r>
          <rPr>
            <sz val="9"/>
            <color indexed="81"/>
            <rFont val="Tahoma"/>
            <family val="2"/>
          </rPr>
          <t xml:space="preserve">
Nørrebro bibliotek kl. 14.00-20,15</t>
        </r>
      </text>
    </comment>
    <comment ref="AC62" authorId="3" shapeId="0" xr:uid="{47011E8F-2D00-44C8-B77F-E19D612F0FB5}">
      <text>
        <r>
          <rPr>
            <b/>
            <sz val="9"/>
            <color indexed="81"/>
            <rFont val="Tahoma"/>
            <family val="2"/>
          </rPr>
          <t>Steen Hertin:</t>
        </r>
        <r>
          <rPr>
            <sz val="9"/>
            <color indexed="81"/>
            <rFont val="Tahoma"/>
            <family val="2"/>
          </rPr>
          <t xml:space="preserve">
Nørrebro bibliotek kl. 14.00-20,15</t>
        </r>
      </text>
    </comment>
    <comment ref="AD62" authorId="3" shapeId="0" xr:uid="{76AD7108-FBEF-4853-9531-B9864AE305E4}">
      <text>
        <r>
          <rPr>
            <b/>
            <sz val="9"/>
            <color indexed="81"/>
            <rFont val="Tahoma"/>
            <family val="2"/>
          </rPr>
          <t>Steen Hertin:</t>
        </r>
        <r>
          <rPr>
            <sz val="9"/>
            <color indexed="81"/>
            <rFont val="Tahoma"/>
            <family val="2"/>
          </rPr>
          <t xml:space="preserve">
Nørrebro bibliotek kl. 11.00-20,15 OA kl. 11.00 -14.00 pga. under 72 timrs varsel om ændring.</t>
        </r>
      </text>
    </comment>
    <comment ref="AE62" authorId="3" shapeId="0" xr:uid="{89D0D1D2-DB65-47D9-B5A0-37E4E0465B3D}">
      <text>
        <r>
          <rPr>
            <b/>
            <sz val="9"/>
            <color indexed="81"/>
            <rFont val="Tahoma"/>
            <family val="2"/>
          </rPr>
          <t>Steen Hertin:</t>
        </r>
        <r>
          <rPr>
            <sz val="9"/>
            <color indexed="81"/>
            <rFont val="Tahoma"/>
            <family val="2"/>
          </rPr>
          <t xml:space="preserve">
Nørrebro bibliotek kl. 11.00-20,15</t>
        </r>
      </text>
    </comment>
    <comment ref="T63" authorId="10" shapeId="0" xr:uid="{E3CB8982-E970-4204-ACE8-E90F1B984D31}">
      <text>
        <r>
          <rPr>
            <b/>
            <sz val="9"/>
            <color indexed="81"/>
            <rFont val="Tahoma"/>
            <family val="2"/>
          </rPr>
          <t>Steen Hertin-Sandkær:</t>
        </r>
        <r>
          <rPr>
            <sz val="9"/>
            <color indexed="81"/>
            <rFont val="Tahoma"/>
            <family val="2"/>
          </rPr>
          <t xml:space="preserve">
Går kl. 13.30</t>
        </r>
      </text>
    </comment>
    <comment ref="Z63" authorId="8" shapeId="0" xr:uid="{0A61F9F2-48E1-41A4-9584-4F84D9E4DE57}">
      <text>
        <r>
          <rPr>
            <b/>
            <sz val="9"/>
            <color indexed="81"/>
            <rFont val="Tahoma"/>
            <family val="2"/>
          </rPr>
          <t>Kim Holm Aabroe:</t>
        </r>
        <r>
          <rPr>
            <sz val="9"/>
            <color indexed="81"/>
            <rFont val="Tahoma"/>
            <family val="2"/>
          </rPr>
          <t xml:space="preserve">
OA 1 time</t>
        </r>
      </text>
    </comment>
    <comment ref="E68" authorId="6" shapeId="0" xr:uid="{B017893F-3186-43F0-9B83-3036BD26368A}">
      <text>
        <r>
          <rPr>
            <b/>
            <sz val="9"/>
            <color indexed="81"/>
            <rFont val="Tahoma"/>
            <family val="2"/>
          </rPr>
          <t>Nikolaj Langtin Pamhede:</t>
        </r>
        <r>
          <rPr>
            <sz val="9"/>
            <color indexed="81"/>
            <rFont val="Tahoma"/>
            <family val="2"/>
          </rPr>
          <t xml:space="preserve">
Nørrebro Bib fra 15 til 20.</t>
        </r>
      </text>
    </comment>
    <comment ref="I68" authorId="6" shapeId="0" xr:uid="{4EFADC1B-3798-4528-9045-B0AD5D64E153}">
      <text>
        <r>
          <rPr>
            <b/>
            <sz val="9"/>
            <color indexed="81"/>
            <rFont val="Tahoma"/>
            <family val="2"/>
          </rPr>
          <t>Nikolaj Langtin Pamhede:</t>
        </r>
        <r>
          <rPr>
            <sz val="9"/>
            <color indexed="81"/>
            <rFont val="Tahoma"/>
            <family val="2"/>
          </rPr>
          <t xml:space="preserve">
Blågårds Bibliotek 11-14 på oa</t>
        </r>
      </text>
    </comment>
    <comment ref="P68" authorId="3" shapeId="0" xr:uid="{7BFBBCB3-AE27-43F9-8395-8239E6864FC0}">
      <text>
        <r>
          <rPr>
            <b/>
            <sz val="9"/>
            <color indexed="81"/>
            <rFont val="Tahoma"/>
            <family val="2"/>
          </rPr>
          <t>Steen Hertin:</t>
        </r>
        <r>
          <rPr>
            <sz val="9"/>
            <color indexed="81"/>
            <rFont val="Tahoma"/>
            <family val="2"/>
          </rPr>
          <t xml:space="preserve">
Nørrebro bibliotek kl. 14.00-20,15</t>
        </r>
      </text>
    </comment>
    <comment ref="Q68" authorId="3" shapeId="0" xr:uid="{424DCB2C-EC8C-4BE9-BE39-A8A9DA466669}">
      <text>
        <r>
          <rPr>
            <b/>
            <sz val="9"/>
            <color indexed="81"/>
            <rFont val="Tahoma"/>
            <family val="2"/>
          </rPr>
          <t>Steen Hertin:</t>
        </r>
        <r>
          <rPr>
            <sz val="9"/>
            <color indexed="81"/>
            <rFont val="Tahoma"/>
            <family val="2"/>
          </rPr>
          <t xml:space="preserve">
Nørrebro bibliotek kl. 14.00-20,15</t>
        </r>
      </text>
    </comment>
    <comment ref="R68" authorId="3" shapeId="0" xr:uid="{3B627DA3-B2E8-468F-B06B-4808B0540B6B}">
      <text>
        <r>
          <rPr>
            <b/>
            <sz val="9"/>
            <color indexed="81"/>
            <rFont val="Tahoma"/>
            <family val="2"/>
          </rPr>
          <t>Steen Hertin:</t>
        </r>
        <r>
          <rPr>
            <sz val="9"/>
            <color indexed="81"/>
            <rFont val="Tahoma"/>
            <family val="2"/>
          </rPr>
          <t xml:space="preserve">
Nørrebro bibliotek kl. 14.00-20,15</t>
        </r>
      </text>
    </comment>
    <comment ref="S68" authorId="3" shapeId="0" xr:uid="{52FC7C01-8B14-4207-92CD-7592578966DA}">
      <text>
        <r>
          <rPr>
            <b/>
            <sz val="9"/>
            <color indexed="81"/>
            <rFont val="Tahoma"/>
            <family val="2"/>
          </rPr>
          <t>Steen Hertin:</t>
        </r>
        <r>
          <rPr>
            <sz val="9"/>
            <color indexed="81"/>
            <rFont val="Tahoma"/>
            <family val="2"/>
          </rPr>
          <t xml:space="preserve">
Nørrebro bibliotek kl. 14.00-20,15</t>
        </r>
      </text>
    </comment>
    <comment ref="T68" authorId="3" shapeId="0" xr:uid="{FCB04DE7-08EE-4EAF-8C6B-487ECE972918}">
      <text>
        <r>
          <rPr>
            <b/>
            <sz val="9"/>
            <color indexed="81"/>
            <rFont val="Tahoma"/>
            <family val="2"/>
          </rPr>
          <t>Steen Hertin:</t>
        </r>
        <r>
          <rPr>
            <sz val="9"/>
            <color indexed="81"/>
            <rFont val="Tahoma"/>
            <family val="2"/>
          </rPr>
          <t xml:space="preserve">
Nørrebro bibliotek kl. 14.00-20,15</t>
        </r>
      </text>
    </comment>
    <comment ref="U68" authorId="3" shapeId="0" xr:uid="{2B7FD154-EB05-46DF-B3D1-0742874569EF}">
      <text>
        <r>
          <rPr>
            <b/>
            <sz val="9"/>
            <color indexed="81"/>
            <rFont val="Tahoma"/>
            <family val="2"/>
          </rPr>
          <t>Steen Hertin:</t>
        </r>
        <r>
          <rPr>
            <sz val="9"/>
            <color indexed="81"/>
            <rFont val="Tahoma"/>
            <family val="2"/>
          </rPr>
          <t xml:space="preserve">
Nørrebro bibliotek kl. 14.00-20,15</t>
        </r>
      </text>
    </comment>
    <comment ref="V68" authorId="3" shapeId="0" xr:uid="{88D7685A-8A65-4593-B71E-C4602DB91B3A}">
      <text>
        <r>
          <rPr>
            <b/>
            <sz val="9"/>
            <color indexed="81"/>
            <rFont val="Tahoma"/>
            <family val="2"/>
          </rPr>
          <t>Steen Hertin:</t>
        </r>
        <r>
          <rPr>
            <sz val="9"/>
            <color indexed="81"/>
            <rFont val="Tahoma"/>
            <family val="2"/>
          </rPr>
          <t xml:space="preserve">
Nørrebro bibliotek kl. 14.00-20,15</t>
        </r>
      </text>
    </comment>
    <comment ref="AB68" authorId="10" shapeId="0" xr:uid="{7D43AD92-D0D3-4553-9DF1-BBC544B3B12A}">
      <text>
        <r>
          <rPr>
            <b/>
            <sz val="9"/>
            <color indexed="81"/>
            <rFont val="Tahoma"/>
            <family val="2"/>
          </rPr>
          <t>Steen Hertin-Sandkær:</t>
        </r>
        <r>
          <rPr>
            <sz val="9"/>
            <color indexed="81"/>
            <rFont val="Tahoma"/>
            <family val="2"/>
          </rPr>
          <t xml:space="preserve">
Handicap centeret 12.45-17.00 OA til start af 26-vagt.</t>
        </r>
      </text>
    </comment>
    <comment ref="AC68" authorId="10" shapeId="0" xr:uid="{A2E28AE5-F0C3-4C70-B577-3242E62472D2}">
      <text>
        <r>
          <rPr>
            <b/>
            <sz val="9"/>
            <color indexed="81"/>
            <rFont val="Tahoma"/>
            <family val="2"/>
          </rPr>
          <t>Steen Hertin-Sandkær:</t>
        </r>
        <r>
          <rPr>
            <sz val="9"/>
            <color indexed="81"/>
            <rFont val="Tahoma"/>
            <family val="2"/>
          </rPr>
          <t xml:space="preserve">
Handicap centeret 09 .00 13.00 OA.</t>
        </r>
      </text>
    </comment>
    <comment ref="AF68" authorId="3" shapeId="0" xr:uid="{DE02136C-4B86-4095-99AE-18E6F1EF6319}">
      <text>
        <r>
          <rPr>
            <b/>
            <sz val="9"/>
            <color indexed="81"/>
            <rFont val="Tahoma"/>
            <family val="2"/>
          </rPr>
          <t>Steen Hertin:</t>
        </r>
        <r>
          <rPr>
            <sz val="9"/>
            <color indexed="81"/>
            <rFont val="Tahoma"/>
            <family val="2"/>
          </rPr>
          <t xml:space="preserve">
Nørrebro bibliotek kl. 14.00-20,15
09.00 - 14. 00 på OA Handicapcenteret.</t>
        </r>
      </text>
    </comment>
    <comment ref="AG68" authorId="3" shapeId="0" xr:uid="{4DED8FBB-ABB0-4F5E-A6EB-EDCFB1A4AA12}">
      <text>
        <r>
          <rPr>
            <b/>
            <sz val="9"/>
            <color indexed="81"/>
            <rFont val="Tahoma"/>
            <family val="2"/>
          </rPr>
          <t>Steen Hertin:</t>
        </r>
        <r>
          <rPr>
            <sz val="9"/>
            <color indexed="81"/>
            <rFont val="Tahoma"/>
            <family val="2"/>
          </rPr>
          <t xml:space="preserve">
Nørrebro bibliotek kl. 14.00-20,15
09.00 - 14. 00 på OA Handicapcenteret.</t>
        </r>
      </text>
    </comment>
    <comment ref="H69" authorId="6" shapeId="0" xr:uid="{A860FB0E-8CB0-478A-A1E7-09D44560B102}">
      <text>
        <r>
          <rPr>
            <b/>
            <sz val="9"/>
            <color indexed="81"/>
            <rFont val="Tahoma"/>
            <family val="2"/>
          </rPr>
          <t>Nikolaj Langtin Pamhede:</t>
        </r>
        <r>
          <rPr>
            <sz val="9"/>
            <color indexed="81"/>
            <rFont val="Tahoma"/>
            <family val="2"/>
          </rPr>
          <t xml:space="preserve">
Møder på Blågård bibliotek 14-17</t>
        </r>
      </text>
    </comment>
    <comment ref="O69" authorId="10" shapeId="0" xr:uid="{2AD4E906-2D43-49B0-810A-EE7C3F18EC3C}">
      <text>
        <r>
          <rPr>
            <b/>
            <sz val="9"/>
            <color indexed="81"/>
            <rFont val="Tahoma"/>
            <family val="2"/>
          </rPr>
          <t>Steen Hertin-Sandkær:</t>
        </r>
        <r>
          <rPr>
            <sz val="9"/>
            <color indexed="81"/>
            <rFont val="Tahoma"/>
            <family val="2"/>
          </rPr>
          <t xml:space="preserve">
N-vagt skal ikke dækkes.</t>
        </r>
      </text>
    </comment>
    <comment ref="Y69" authorId="10" shapeId="0" xr:uid="{90FF22FE-A3C2-4970-AA34-F99891C967B9}">
      <text>
        <r>
          <rPr>
            <b/>
            <sz val="9"/>
            <color indexed="81"/>
            <rFont val="Tahoma"/>
            <family val="2"/>
          </rPr>
          <t>Steen Hertin-Sandkær:</t>
        </r>
        <r>
          <rPr>
            <sz val="9"/>
            <color indexed="81"/>
            <rFont val="Tahoma"/>
            <family val="2"/>
          </rPr>
          <t xml:space="preserve">
Blågården 13.00-18.00</t>
        </r>
      </text>
    </comment>
    <comment ref="Z69" authorId="10" shapeId="0" xr:uid="{2379B051-B21A-4ABD-98F9-FAE29FE0F96D}">
      <text>
        <r>
          <rPr>
            <b/>
            <sz val="9"/>
            <color indexed="81"/>
            <rFont val="Tahoma"/>
            <family val="2"/>
          </rPr>
          <t>Steen Hertin-Sandkær:</t>
        </r>
        <r>
          <rPr>
            <sz val="9"/>
            <color indexed="81"/>
            <rFont val="Tahoma"/>
            <family val="2"/>
          </rPr>
          <t xml:space="preserve">
Blågården 13.00-18.00</t>
        </r>
      </text>
    </comment>
    <comment ref="AA69" authorId="10" shapeId="0" xr:uid="{A6B373E5-B0A3-4717-AE03-6AD9946D10EE}">
      <text>
        <r>
          <rPr>
            <b/>
            <sz val="9"/>
            <color indexed="81"/>
            <rFont val="Tahoma"/>
            <family val="2"/>
          </rPr>
          <t>Steen Hertin-Sandkær:</t>
        </r>
        <r>
          <rPr>
            <sz val="9"/>
            <color indexed="81"/>
            <rFont val="Tahoma"/>
            <family val="2"/>
          </rPr>
          <t xml:space="preserve">
Blågården 13.00-18.00</t>
        </r>
      </text>
    </comment>
    <comment ref="AB69" authorId="10" shapeId="0" xr:uid="{059D46C5-9A8B-4543-8D35-12F7764409AD}">
      <text>
        <r>
          <rPr>
            <b/>
            <sz val="9"/>
            <color indexed="81"/>
            <rFont val="Tahoma"/>
            <family val="2"/>
          </rPr>
          <t>Steen Hertin-Sandkær:</t>
        </r>
        <r>
          <rPr>
            <sz val="9"/>
            <color indexed="81"/>
            <rFont val="Tahoma"/>
            <family val="2"/>
          </rPr>
          <t xml:space="preserve">
Blågården 13.00-18.00</t>
        </r>
      </text>
    </comment>
    <comment ref="AC69" authorId="10" shapeId="0" xr:uid="{9627367F-DD06-4B1D-8347-7C5C9B630DD1}">
      <text>
        <r>
          <rPr>
            <b/>
            <sz val="9"/>
            <color indexed="81"/>
            <rFont val="Tahoma"/>
            <family val="2"/>
          </rPr>
          <t>Steen Hertin-Sandkær:</t>
        </r>
        <r>
          <rPr>
            <sz val="9"/>
            <color indexed="81"/>
            <rFont val="Tahoma"/>
            <family val="2"/>
          </rPr>
          <t xml:space="preserve">
Blågården 13.00-18.00</t>
        </r>
      </text>
    </comment>
    <comment ref="AD69" authorId="10" shapeId="0" xr:uid="{0091EC1E-6543-40BE-BCEB-BA0FDA2D5FF3}">
      <text>
        <r>
          <rPr>
            <b/>
            <sz val="9"/>
            <color indexed="81"/>
            <rFont val="Tahoma"/>
            <family val="2"/>
          </rPr>
          <t>Steen Hertin-Sandkær:</t>
        </r>
        <r>
          <rPr>
            <sz val="9"/>
            <color indexed="81"/>
            <rFont val="Tahoma"/>
            <family val="2"/>
          </rPr>
          <t xml:space="preserve">
Blågården 11.00 - 15.00</t>
        </r>
      </text>
    </comment>
    <comment ref="AF69" authorId="10" shapeId="0" xr:uid="{D7D420D7-DE0B-4AEC-9444-478DB76ED81B}">
      <text>
        <r>
          <rPr>
            <b/>
            <sz val="9"/>
            <color indexed="81"/>
            <rFont val="Tahoma"/>
            <family val="2"/>
          </rPr>
          <t>Steen Hertin-Sandkær:</t>
        </r>
        <r>
          <rPr>
            <sz val="9"/>
            <color indexed="81"/>
            <rFont val="Tahoma"/>
            <family val="2"/>
          </rPr>
          <t xml:space="preserve">
Blågården 13.00-18.00</t>
        </r>
      </text>
    </comment>
    <comment ref="AG69" authorId="10" shapeId="0" xr:uid="{3E112DBF-9820-4143-9BE5-FBFA8A5348DE}">
      <text>
        <r>
          <rPr>
            <b/>
            <sz val="9"/>
            <color indexed="81"/>
            <rFont val="Tahoma"/>
            <family val="2"/>
          </rPr>
          <t>Steen Hertin-Sandkær:</t>
        </r>
        <r>
          <rPr>
            <sz val="9"/>
            <color indexed="81"/>
            <rFont val="Tahoma"/>
            <family val="2"/>
          </rPr>
          <t xml:space="preserve">
Blågården 13.00-18.00</t>
        </r>
      </text>
    </comment>
    <comment ref="J70" authorId="3" shapeId="0" xr:uid="{24D95442-0C58-4DF3-9F30-EC3E4ABFC577}">
      <text>
        <r>
          <rPr>
            <b/>
            <sz val="9"/>
            <color indexed="81"/>
            <rFont val="Tahoma"/>
            <family val="2"/>
          </rPr>
          <t>Steen Hertin:</t>
        </r>
        <r>
          <rPr>
            <sz val="9"/>
            <color indexed="81"/>
            <rFont val="Tahoma"/>
            <family val="2"/>
          </rPr>
          <t xml:space="preserve">
Tingbjerg 13.45-18,45</t>
        </r>
      </text>
    </comment>
    <comment ref="K70" authorId="3" shapeId="0" xr:uid="{D16CCE6C-5FE0-4172-91E2-53EDA13D545D}">
      <text>
        <r>
          <rPr>
            <b/>
            <sz val="9"/>
            <color indexed="81"/>
            <rFont val="Tahoma"/>
            <family val="2"/>
          </rPr>
          <t>Steen Hertin:</t>
        </r>
        <r>
          <rPr>
            <sz val="9"/>
            <color indexed="81"/>
            <rFont val="Tahoma"/>
            <family val="2"/>
          </rPr>
          <t xml:space="preserve">
Nørrebro bibliotek kl. 14.00-20,15</t>
        </r>
      </text>
    </comment>
    <comment ref="L70" authorId="3" shapeId="0" xr:uid="{739E4DD1-6A95-40A4-B78C-A824284DFFD6}">
      <text>
        <r>
          <rPr>
            <b/>
            <sz val="9"/>
            <color indexed="81"/>
            <rFont val="Tahoma"/>
            <family val="2"/>
          </rPr>
          <t>Steen Hertin:</t>
        </r>
        <r>
          <rPr>
            <sz val="9"/>
            <color indexed="81"/>
            <rFont val="Tahoma"/>
            <family val="2"/>
          </rPr>
          <t xml:space="preserve">
Nørrebro bibliotek kl. 14.00-20,15</t>
        </r>
      </text>
    </comment>
    <comment ref="M70" authorId="3" shapeId="0" xr:uid="{E60B21D3-69D0-4B95-BFAA-61600D5F9C08}">
      <text>
        <r>
          <rPr>
            <b/>
            <sz val="9"/>
            <color indexed="81"/>
            <rFont val="Tahoma"/>
            <family val="2"/>
          </rPr>
          <t>Steen Hertin:</t>
        </r>
        <r>
          <rPr>
            <sz val="9"/>
            <color indexed="81"/>
            <rFont val="Tahoma"/>
            <family val="2"/>
          </rPr>
          <t xml:space="preserve">
Nørrebro bibliotek kl. 14.00-20,15</t>
        </r>
      </text>
    </comment>
    <comment ref="N70" authorId="3" shapeId="0" xr:uid="{36CFB8DA-D09F-4FD0-9BA7-7E49A213A3AF}">
      <text>
        <r>
          <rPr>
            <b/>
            <sz val="9"/>
            <color indexed="81"/>
            <rFont val="Tahoma"/>
            <family val="2"/>
          </rPr>
          <t>Steen Hertin:</t>
        </r>
        <r>
          <rPr>
            <sz val="9"/>
            <color indexed="81"/>
            <rFont val="Tahoma"/>
            <family val="2"/>
          </rPr>
          <t xml:space="preserve">
Nørrebro bibliotek kl. 14.00-20,15</t>
        </r>
      </text>
    </comment>
    <comment ref="O70" authorId="3" shapeId="0" xr:uid="{1DA174D0-AAEC-4373-A72D-CE343611D89D}">
      <text>
        <r>
          <rPr>
            <b/>
            <sz val="9"/>
            <color indexed="81"/>
            <rFont val="Tahoma"/>
            <family val="2"/>
          </rPr>
          <t>Steen Hertin:</t>
        </r>
        <r>
          <rPr>
            <sz val="9"/>
            <color indexed="81"/>
            <rFont val="Tahoma"/>
            <family val="2"/>
          </rPr>
          <t xml:space="preserve">
Nørrebro bibliotek kl. 14.00-20,15</t>
        </r>
      </text>
    </comment>
    <comment ref="Q70" authorId="3" shapeId="0" xr:uid="{0A41E7D3-5BC9-486D-9A62-E02A02F8EE34}">
      <text>
        <r>
          <rPr>
            <b/>
            <sz val="9"/>
            <color indexed="81"/>
            <rFont val="Tahoma"/>
            <family val="2"/>
          </rPr>
          <t>Steen Hertin:</t>
        </r>
        <r>
          <rPr>
            <sz val="9"/>
            <color indexed="81"/>
            <rFont val="Tahoma"/>
            <family val="2"/>
          </rPr>
          <t xml:space="preserve">
Tingbjerg 13.45-18,45</t>
        </r>
      </text>
    </comment>
    <comment ref="D72" authorId="3" shapeId="0" xr:uid="{98E27440-9A96-496C-9CAA-07C8B7679B17}">
      <text>
        <r>
          <rPr>
            <b/>
            <sz val="9"/>
            <color indexed="81"/>
            <rFont val="Tahoma"/>
            <family val="2"/>
          </rPr>
          <t>Steen Hertin:</t>
        </r>
        <r>
          <rPr>
            <sz val="9"/>
            <color indexed="81"/>
            <rFont val="Tahoma"/>
            <family val="2"/>
          </rPr>
          <t xml:space="preserve">
Nørrebro bibliotek kl. 14.00-20,15</t>
        </r>
      </text>
    </comment>
    <comment ref="E72" authorId="3" shapeId="0" xr:uid="{9761CF14-270B-486E-AF66-886BAB339BFF}">
      <text>
        <r>
          <rPr>
            <b/>
            <sz val="9"/>
            <color indexed="81"/>
            <rFont val="Tahoma"/>
            <family val="2"/>
          </rPr>
          <t>Steen Hertin:</t>
        </r>
        <r>
          <rPr>
            <sz val="9"/>
            <color indexed="81"/>
            <rFont val="Tahoma"/>
            <family val="2"/>
          </rPr>
          <t xml:space="preserve">
Nørrebro bibliotek kl. 14.00-20,15</t>
        </r>
      </text>
    </comment>
    <comment ref="F72" authorId="3" shapeId="0" xr:uid="{F7C95495-D767-44FC-9EA8-520AE3EB3519}">
      <text>
        <r>
          <rPr>
            <b/>
            <sz val="9"/>
            <color indexed="81"/>
            <rFont val="Tahoma"/>
            <family val="2"/>
          </rPr>
          <t>Steen Hertin:</t>
        </r>
        <r>
          <rPr>
            <sz val="9"/>
            <color indexed="81"/>
            <rFont val="Tahoma"/>
            <family val="2"/>
          </rPr>
          <t xml:space="preserve">
Nørrebro bibliotek kl. 14.00-20,15</t>
        </r>
      </text>
    </comment>
    <comment ref="G72" authorId="3" shapeId="0" xr:uid="{EB20FBAA-8F95-4ABA-B41A-FBB23F2979C2}">
      <text>
        <r>
          <rPr>
            <b/>
            <sz val="9"/>
            <color indexed="81"/>
            <rFont val="Tahoma"/>
            <family val="2"/>
          </rPr>
          <t>Steen Hertin:</t>
        </r>
        <r>
          <rPr>
            <sz val="9"/>
            <color indexed="81"/>
            <rFont val="Tahoma"/>
            <family val="2"/>
          </rPr>
          <t xml:space="preserve">
Nørrebro bibliotek kl. 14.00-20,15</t>
        </r>
      </text>
    </comment>
    <comment ref="H72" authorId="3" shapeId="0" xr:uid="{4DD7AFB2-37B0-44EF-A283-AB12C11EC57B}">
      <text>
        <r>
          <rPr>
            <b/>
            <sz val="9"/>
            <color indexed="81"/>
            <rFont val="Tahoma"/>
            <family val="2"/>
          </rPr>
          <t>Steen Hertin:</t>
        </r>
        <r>
          <rPr>
            <sz val="9"/>
            <color indexed="81"/>
            <rFont val="Tahoma"/>
            <family val="2"/>
          </rPr>
          <t xml:space="preserve">
Nørrebro bibliotek kl. 14.00-20,15</t>
        </r>
      </text>
    </comment>
    <comment ref="W72" authorId="3" shapeId="0" xr:uid="{F8511937-9E3A-47F9-8ADF-F7CF3A6E3370}">
      <text>
        <r>
          <rPr>
            <b/>
            <sz val="9"/>
            <color indexed="81"/>
            <rFont val="Tahoma"/>
            <family val="2"/>
          </rPr>
          <t>Steen Hertin:</t>
        </r>
        <r>
          <rPr>
            <sz val="9"/>
            <color indexed="81"/>
            <rFont val="Tahoma"/>
            <family val="2"/>
          </rPr>
          <t xml:space="preserve">
Nørrebro bibliotek kl. 14.00-20,15</t>
        </r>
      </text>
    </comment>
    <comment ref="X72" authorId="3" shapeId="0" xr:uid="{3F8CD90D-30C4-4225-A0B6-8A82ED17F68A}">
      <text>
        <r>
          <rPr>
            <b/>
            <sz val="9"/>
            <color indexed="81"/>
            <rFont val="Tahoma"/>
            <family val="2"/>
          </rPr>
          <t>Steen Hertin:</t>
        </r>
        <r>
          <rPr>
            <sz val="9"/>
            <color indexed="81"/>
            <rFont val="Tahoma"/>
            <family val="2"/>
          </rPr>
          <t xml:space="preserve">
Nørrebro bibliotek kl. 14.00-20,15</t>
        </r>
      </text>
    </comment>
    <comment ref="AD72" authorId="10" shapeId="0" xr:uid="{3E139AAA-0E40-434D-BD9D-17E7B738D538}">
      <text>
        <r>
          <rPr>
            <b/>
            <sz val="9"/>
            <color indexed="81"/>
            <rFont val="Tahoma"/>
            <family val="2"/>
          </rPr>
          <t>Steen Hertin-Sandkær:</t>
        </r>
        <r>
          <rPr>
            <sz val="9"/>
            <color indexed="81"/>
            <rFont val="Tahoma"/>
            <family val="2"/>
          </rPr>
          <t xml:space="preserve">
22-vagt oa.</t>
        </r>
      </text>
    </comment>
    <comment ref="I73" authorId="3" shapeId="0" xr:uid="{619073B5-AB96-4E2C-89C0-FE8F46BCB111}">
      <text>
        <r>
          <rPr>
            <b/>
            <sz val="9"/>
            <color indexed="81"/>
            <rFont val="Tahoma"/>
            <family val="2"/>
          </rPr>
          <t>Steen Hertin:</t>
        </r>
        <r>
          <rPr>
            <sz val="9"/>
            <color indexed="81"/>
            <rFont val="Tahoma"/>
            <family val="2"/>
          </rPr>
          <t xml:space="preserve">
Nørrebro bibliotek kl. 14.00-20,15</t>
        </r>
      </text>
    </comment>
    <comment ref="J73" authorId="3" shapeId="0" xr:uid="{15DBC5F1-4F27-4478-AAD6-D7962D0B5D5C}">
      <text>
        <r>
          <rPr>
            <b/>
            <sz val="9"/>
            <color indexed="81"/>
            <rFont val="Tahoma"/>
            <family val="2"/>
          </rPr>
          <t>Steen Hertin:</t>
        </r>
        <r>
          <rPr>
            <sz val="9"/>
            <color indexed="81"/>
            <rFont val="Tahoma"/>
            <family val="2"/>
          </rPr>
          <t xml:space="preserve">
Nørrebro bibliotek kl. 14.00-20,15</t>
        </r>
      </text>
    </comment>
    <comment ref="K73" authorId="10" shapeId="0" xr:uid="{27402BCA-BC9C-4A69-A56F-C4CF321B1AA8}">
      <text>
        <r>
          <rPr>
            <b/>
            <sz val="9"/>
            <color indexed="81"/>
            <rFont val="Tahoma"/>
            <family val="2"/>
          </rPr>
          <t>Steen Hertin-Sandkær:</t>
        </r>
        <r>
          <rPr>
            <sz val="9"/>
            <color indexed="81"/>
            <rFont val="Tahoma"/>
            <family val="2"/>
          </rPr>
          <t xml:space="preserve">
Blågården 14.00-17.00</t>
        </r>
      </text>
    </comment>
    <comment ref="L73" authorId="10" shapeId="0" xr:uid="{D81BF4B4-2B21-4141-843A-6714DFC562F2}">
      <text>
        <r>
          <rPr>
            <b/>
            <sz val="9"/>
            <color indexed="81"/>
            <rFont val="Tahoma"/>
            <family val="2"/>
          </rPr>
          <t>Steen Hertin-Sandkær:</t>
        </r>
        <r>
          <rPr>
            <sz val="9"/>
            <color indexed="81"/>
            <rFont val="Tahoma"/>
            <family val="2"/>
          </rPr>
          <t xml:space="preserve">
Blågården 14.00-17.00</t>
        </r>
      </text>
    </comment>
    <comment ref="M73" authorId="10" shapeId="0" xr:uid="{31A8ED18-53A9-46D6-8BE0-1BD1DB91DCAE}">
      <text>
        <r>
          <rPr>
            <b/>
            <sz val="9"/>
            <color indexed="81"/>
            <rFont val="Tahoma"/>
            <family val="2"/>
          </rPr>
          <t>Steen Hertin-Sandkær:</t>
        </r>
        <r>
          <rPr>
            <sz val="9"/>
            <color indexed="81"/>
            <rFont val="Tahoma"/>
            <family val="2"/>
          </rPr>
          <t xml:space="preserve">
Blågården 14.00-17.00</t>
        </r>
      </text>
    </comment>
    <comment ref="N73" authorId="10" shapeId="0" xr:uid="{A6B68CC4-087C-4B5A-AD55-9CAC275C959C}">
      <text>
        <r>
          <rPr>
            <b/>
            <sz val="9"/>
            <color indexed="81"/>
            <rFont val="Tahoma"/>
            <family val="2"/>
          </rPr>
          <t>Steen Hertin-Sandkær:</t>
        </r>
        <r>
          <rPr>
            <sz val="9"/>
            <color indexed="81"/>
            <rFont val="Tahoma"/>
            <family val="2"/>
          </rPr>
          <t xml:space="preserve">
Blågården 14.00-17.00</t>
        </r>
      </text>
    </comment>
    <comment ref="O73" authorId="10" shapeId="0" xr:uid="{0E16EDDA-E269-413E-86C2-8F9D1BA4C4DA}">
      <text>
        <r>
          <rPr>
            <b/>
            <sz val="9"/>
            <color indexed="81"/>
            <rFont val="Tahoma"/>
            <family val="2"/>
          </rPr>
          <t>Steen Hertin-Sandkær:</t>
        </r>
        <r>
          <rPr>
            <sz val="9"/>
            <color indexed="81"/>
            <rFont val="Tahoma"/>
            <family val="2"/>
          </rPr>
          <t xml:space="preserve">
Blågården 14.00-17.00</t>
        </r>
      </text>
    </comment>
    <comment ref="S73" authorId="10" shapeId="0" xr:uid="{7280D752-66A1-4E15-998F-039690F5A0AC}">
      <text>
        <r>
          <rPr>
            <b/>
            <sz val="9"/>
            <color indexed="81"/>
            <rFont val="Tahoma"/>
            <family val="2"/>
          </rPr>
          <t>Steen Hertin-Sandkær:</t>
        </r>
        <r>
          <rPr>
            <sz val="9"/>
            <color indexed="81"/>
            <rFont val="Tahoma"/>
            <family val="2"/>
          </rPr>
          <t xml:space="preserve">
Blågården 14.00-18.00</t>
        </r>
      </text>
    </comment>
    <comment ref="T73" authorId="10" shapeId="0" xr:uid="{1244BA02-B563-4BAF-AF90-72BEFD7EE62E}">
      <text>
        <r>
          <rPr>
            <b/>
            <sz val="9"/>
            <color indexed="81"/>
            <rFont val="Tahoma"/>
            <family val="2"/>
          </rPr>
          <t>Steen Hertin-Sandkær:</t>
        </r>
        <r>
          <rPr>
            <sz val="9"/>
            <color indexed="81"/>
            <rFont val="Tahoma"/>
            <family val="2"/>
          </rPr>
          <t xml:space="preserve">
Blågården 14.00-18.00</t>
        </r>
      </text>
    </comment>
    <comment ref="U73" authorId="10" shapeId="0" xr:uid="{DE3CDEFE-962F-4C74-9326-2897DEEDFDD1}">
      <text>
        <r>
          <rPr>
            <b/>
            <sz val="9"/>
            <color indexed="81"/>
            <rFont val="Tahoma"/>
            <family val="2"/>
          </rPr>
          <t>Steen Hertin-Sandkær:</t>
        </r>
        <r>
          <rPr>
            <sz val="9"/>
            <color indexed="81"/>
            <rFont val="Tahoma"/>
            <family val="2"/>
          </rPr>
          <t xml:space="preserve">
Blågården 14.00-18.00</t>
        </r>
      </text>
    </comment>
    <comment ref="V73" authorId="10" shapeId="0" xr:uid="{317BDA93-E39B-4195-9061-2AA9BD55E91F}">
      <text>
        <r>
          <rPr>
            <b/>
            <sz val="9"/>
            <color indexed="81"/>
            <rFont val="Tahoma"/>
            <family val="2"/>
          </rPr>
          <t>Steen Hertin-Sandkær:</t>
        </r>
        <r>
          <rPr>
            <sz val="9"/>
            <color indexed="81"/>
            <rFont val="Tahoma"/>
            <family val="2"/>
          </rPr>
          <t xml:space="preserve">
Blågården 14.00-18.00</t>
        </r>
      </text>
    </comment>
    <comment ref="W73" authorId="10" shapeId="0" xr:uid="{54BA6F71-6F95-4C7B-9B43-E9BAC3BE3444}">
      <text>
        <r>
          <rPr>
            <b/>
            <sz val="9"/>
            <color indexed="81"/>
            <rFont val="Tahoma"/>
            <family val="2"/>
          </rPr>
          <t>Steen Hertin-Sandkær:</t>
        </r>
        <r>
          <rPr>
            <sz val="9"/>
            <color indexed="81"/>
            <rFont val="Tahoma"/>
            <family val="2"/>
          </rPr>
          <t xml:space="preserve">
Blågården 11.00-15.00</t>
        </r>
      </text>
    </comment>
    <comment ref="R75" authorId="2" shapeId="0" xr:uid="{7ED78F68-F797-4C0E-8714-EF76B7F593C3}">
      <text>
        <r>
          <rPr>
            <b/>
            <sz val="9"/>
            <color indexed="81"/>
            <rFont val="Tahoma"/>
            <family val="2"/>
          </rPr>
          <t>Thomas Holm:</t>
        </r>
        <r>
          <rPr>
            <sz val="9"/>
            <color indexed="81"/>
            <rFont val="Tahoma"/>
            <family val="2"/>
          </rPr>
          <t xml:space="preserve">
26-vagt OA
Skal afløses, så han kan nå bibl. kl. 17.00.</t>
        </r>
      </text>
    </comment>
    <comment ref="AA75" authorId="10" shapeId="0" xr:uid="{B28E0BD1-A792-4CB9-9855-C20F65B0DFB8}">
      <text>
        <r>
          <rPr>
            <b/>
            <sz val="9"/>
            <color indexed="81"/>
            <rFont val="Tahoma"/>
            <family val="2"/>
          </rPr>
          <t>Steen Hertin-Sandkær:</t>
        </r>
        <r>
          <rPr>
            <sz val="9"/>
            <color indexed="81"/>
            <rFont val="Tahoma"/>
            <family val="2"/>
          </rPr>
          <t xml:space="preserve">
C-vagt på OA.</t>
        </r>
      </text>
    </comment>
    <comment ref="AE75" authorId="3" shapeId="0" xr:uid="{3F4FB0F1-74CF-48BF-8950-A6639FA1067F}">
      <text>
        <r>
          <rPr>
            <b/>
            <sz val="9"/>
            <color indexed="81"/>
            <rFont val="Tahoma"/>
            <family val="2"/>
          </rPr>
          <t>Steen Hertin:</t>
        </r>
        <r>
          <rPr>
            <sz val="9"/>
            <color indexed="81"/>
            <rFont val="Tahoma"/>
            <family val="2"/>
          </rPr>
          <t xml:space="preserve">
Tingbjerg 13.45-18,45</t>
        </r>
      </text>
    </comment>
    <comment ref="Q76" authorId="3" shapeId="0" xr:uid="{2332F658-0F7D-4E3A-AFE0-FCBFF9D39246}">
      <text>
        <r>
          <rPr>
            <b/>
            <sz val="9"/>
            <color indexed="81"/>
            <rFont val="Tahoma"/>
            <family val="2"/>
          </rPr>
          <t>Steen Hertin:</t>
        </r>
        <r>
          <rPr>
            <sz val="9"/>
            <color indexed="81"/>
            <rFont val="Tahoma"/>
            <family val="2"/>
          </rPr>
          <t xml:space="preserve">
Tingbjerg 13.45-18,45</t>
        </r>
      </text>
    </comment>
    <comment ref="V76" authorId="8" shapeId="0" xr:uid="{EBFE843D-4224-4052-A351-BFE38DEA481D}">
      <text>
        <r>
          <rPr>
            <b/>
            <sz val="9"/>
            <color indexed="81"/>
            <rFont val="Tahoma"/>
            <family val="2"/>
          </rPr>
          <t>Kim Holm Aabroe:</t>
        </r>
        <r>
          <rPr>
            <sz val="9"/>
            <color indexed="81"/>
            <rFont val="Tahoma"/>
            <family val="2"/>
          </rPr>
          <t xml:space="preserve">
blågårdens bibliotek 14.00-18.00 OA</t>
        </r>
      </text>
    </comment>
    <comment ref="X76" authorId="3" shapeId="0" xr:uid="{CD655AC4-C8AD-4CE4-AE9E-7D3208AC6ADE}">
      <text>
        <r>
          <rPr>
            <b/>
            <sz val="9"/>
            <color indexed="81"/>
            <rFont val="Tahoma"/>
            <family val="2"/>
          </rPr>
          <t>Steen Hertin:</t>
        </r>
        <r>
          <rPr>
            <sz val="9"/>
            <color indexed="81"/>
            <rFont val="Tahoma"/>
            <family val="2"/>
          </rPr>
          <t xml:space="preserve">
Tingbjerg 13.45-18,45</t>
        </r>
      </text>
    </comment>
    <comment ref="F77" authorId="6" shapeId="0" xr:uid="{10EE0E8A-D2F6-44EB-A23F-5BF23650CE2C}">
      <text>
        <r>
          <rPr>
            <b/>
            <sz val="9"/>
            <color indexed="81"/>
            <rFont val="Tahoma"/>
            <family val="2"/>
          </rPr>
          <t>Nikolaj Langtin Pamhede:</t>
        </r>
        <r>
          <rPr>
            <sz val="9"/>
            <color indexed="81"/>
            <rFont val="Tahoma"/>
            <family val="2"/>
          </rPr>
          <t xml:space="preserve">
Nørrebor bib oa
14-20:15</t>
        </r>
      </text>
    </comment>
    <comment ref="G77" authorId="2" shapeId="0" xr:uid="{F8DF49E5-0AA6-42A5-9127-C8A09780458B}">
      <text>
        <r>
          <rPr>
            <b/>
            <sz val="9"/>
            <color indexed="81"/>
            <rFont val="Tahoma"/>
            <family val="2"/>
          </rPr>
          <t>Thomas Holm:</t>
        </r>
        <r>
          <rPr>
            <sz val="9"/>
            <color indexed="81"/>
            <rFont val="Tahoma"/>
            <family val="2"/>
          </rPr>
          <t xml:space="preserve">
Går kl. 12.00</t>
        </r>
      </text>
    </comment>
    <comment ref="S77" authorId="3" shapeId="0" xr:uid="{2BC84AB5-54D1-4DDB-A29B-C294F14AE885}">
      <text>
        <r>
          <rPr>
            <b/>
            <sz val="9"/>
            <color indexed="81"/>
            <rFont val="Tahoma"/>
            <family val="2"/>
          </rPr>
          <t>Steen Hertin:</t>
        </r>
        <r>
          <rPr>
            <sz val="9"/>
            <color indexed="81"/>
            <rFont val="Tahoma"/>
            <family val="2"/>
          </rPr>
          <t xml:space="preserve">
M-vagt på OA ogK2 oplæring</t>
        </r>
      </text>
    </comment>
    <comment ref="W77" authorId="3" shapeId="0" xr:uid="{EA058C0E-7CEC-4052-A5DD-256703174D2D}">
      <text>
        <r>
          <rPr>
            <b/>
            <sz val="9"/>
            <color indexed="81"/>
            <rFont val="Tahoma"/>
            <family val="2"/>
          </rPr>
          <t>Steen Hertin:</t>
        </r>
        <r>
          <rPr>
            <sz val="9"/>
            <color indexed="81"/>
            <rFont val="Tahoma"/>
            <family val="2"/>
          </rPr>
          <t xml:space="preserve">
Møder på Blågården kl. 11.00 - 15.00 derefter KA oplæring.
11.00 - 13.30 er OA</t>
        </r>
      </text>
    </comment>
    <comment ref="H79" authorId="6" shapeId="0" xr:uid="{069449BB-4168-449B-8047-001089BB7BDA}">
      <text>
        <r>
          <rPr>
            <b/>
            <sz val="9"/>
            <color indexed="81"/>
            <rFont val="Tahoma"/>
            <family val="2"/>
          </rPr>
          <t>Nikolaj Langtin Pamhede:</t>
        </r>
        <r>
          <rPr>
            <sz val="9"/>
            <color indexed="81"/>
            <rFont val="Tahoma"/>
            <family val="2"/>
          </rPr>
          <t xml:space="preserve">
Møder kl 14-16 på oa for at dækker for 25vagt</t>
        </r>
      </text>
    </comment>
    <comment ref="E80" authorId="10" shapeId="0" xr:uid="{366DCDA3-AB5A-4E9F-9BAB-C7A949152922}">
      <text>
        <r>
          <rPr>
            <b/>
            <sz val="9"/>
            <color indexed="81"/>
            <rFont val="Tahoma"/>
            <family val="2"/>
          </rPr>
          <t>Steen Hertin-Sandkær:</t>
        </r>
        <r>
          <rPr>
            <sz val="9"/>
            <color indexed="81"/>
            <rFont val="Tahoma"/>
            <family val="2"/>
          </rPr>
          <t xml:space="preserve">
Møder kl. 08.00</t>
        </r>
      </text>
    </comment>
    <comment ref="G80" authorId="2" shapeId="0" xr:uid="{99F7EC2A-8434-4CBF-BB34-00E93DC581C9}">
      <text>
        <r>
          <rPr>
            <b/>
            <sz val="9"/>
            <color indexed="81"/>
            <rFont val="Tahoma"/>
            <family val="2"/>
          </rPr>
          <t>Thomas Holm:</t>
        </r>
        <r>
          <rPr>
            <sz val="9"/>
            <color indexed="81"/>
            <rFont val="Tahoma"/>
            <family val="2"/>
          </rPr>
          <t xml:space="preserve">
L-vagt fra kl. 13.00</t>
        </r>
      </text>
    </comment>
    <comment ref="K80" authorId="1" shapeId="0" xr:uid="{D996055B-FCF3-4BA2-ACDD-C41CB6F127A8}">
      <text>
        <r>
          <rPr>
            <b/>
            <sz val="9"/>
            <color indexed="81"/>
            <rFont val="Tahoma"/>
            <family val="2"/>
          </rPr>
          <t>Rasmus Sørensen:</t>
        </r>
        <r>
          <rPr>
            <sz val="9"/>
            <color indexed="81"/>
            <rFont val="Tahoma"/>
            <family val="2"/>
          </rPr>
          <t xml:space="preserve">
arrrangement Hallen 14:30-2000</t>
        </r>
      </text>
    </comment>
    <comment ref="T84" authorId="3" shapeId="0" xr:uid="{A996165E-46CC-4B61-8F92-7757E44F6609}">
      <text>
        <r>
          <rPr>
            <b/>
            <sz val="9"/>
            <color indexed="81"/>
            <rFont val="Tahoma"/>
            <family val="2"/>
          </rPr>
          <t>Steen Hertin:</t>
        </r>
        <r>
          <rPr>
            <sz val="9"/>
            <color indexed="81"/>
            <rFont val="Tahoma"/>
            <family val="2"/>
          </rPr>
          <t xml:space="preserve">
Møder kl. 10.00 Kim tager imod.</t>
        </r>
      </text>
    </comment>
    <comment ref="Z93" authorId="6" shapeId="0" xr:uid="{7A267FA8-7EBE-443C-93D0-2946E0B11B08}">
      <text>
        <r>
          <rPr>
            <b/>
            <sz val="9"/>
            <color indexed="81"/>
            <rFont val="Tahoma"/>
            <family val="2"/>
          </rPr>
          <t>Nikolaj Langtin Pamhede:</t>
        </r>
        <r>
          <rPr>
            <sz val="9"/>
            <color indexed="81"/>
            <rFont val="Tahoma"/>
            <family val="2"/>
          </rPr>
          <t xml:space="preserve">
Skole</t>
        </r>
      </text>
    </comment>
    <comment ref="AG93" authorId="6" shapeId="0" xr:uid="{DB76EAE8-48A6-4B22-A72E-D6DCE32FF719}">
      <text>
        <r>
          <rPr>
            <b/>
            <sz val="9"/>
            <color indexed="81"/>
            <rFont val="Tahoma"/>
            <family val="2"/>
          </rPr>
          <t>Nikolaj Langtin Pamhede:</t>
        </r>
        <r>
          <rPr>
            <sz val="9"/>
            <color indexed="81"/>
            <rFont val="Tahoma"/>
            <family val="2"/>
          </rPr>
          <t xml:space="preserve">
Skole</t>
        </r>
      </text>
    </comment>
    <comment ref="T108" authorId="3" shapeId="0" xr:uid="{AA55124D-B77E-4F91-B329-DC4DFDCD464B}">
      <text>
        <r>
          <rPr>
            <b/>
            <sz val="9"/>
            <color indexed="81"/>
            <rFont val="Tahoma"/>
            <family val="2"/>
          </rPr>
          <t>Steen Hertin:</t>
        </r>
        <r>
          <rPr>
            <sz val="9"/>
            <color indexed="81"/>
            <rFont val="Tahoma"/>
            <family val="2"/>
          </rPr>
          <t xml:space="preserve">
Møder kl. 13.30</t>
        </r>
      </text>
    </comment>
    <comment ref="AD108" authorId="4" shapeId="0" xr:uid="{8DFDD4F7-EA97-40B2-AF91-68FE98939875}">
      <text>
        <r>
          <rPr>
            <b/>
            <sz val="9"/>
            <color indexed="81"/>
            <rFont val="Tahoma"/>
            <family val="2"/>
          </rPr>
          <t>Michael Bo Pedersen:</t>
        </r>
        <r>
          <rPr>
            <sz val="9"/>
            <color indexed="81"/>
            <rFont val="Tahoma"/>
            <family val="2"/>
          </rPr>
          <t xml:space="preserve">
S5 for Ruhat</t>
        </r>
      </text>
    </comment>
    <comment ref="F111" authorId="6" shapeId="0" xr:uid="{9028D8DD-013E-4A5B-937F-C237AC45C9A5}">
      <text>
        <r>
          <rPr>
            <b/>
            <sz val="9"/>
            <color indexed="81"/>
            <rFont val="Tahoma"/>
            <family val="2"/>
          </rPr>
          <t>Nikolaj Langtin Pamhede:</t>
        </r>
        <r>
          <rPr>
            <sz val="9"/>
            <color indexed="81"/>
            <rFont val="Tahoma"/>
            <family val="2"/>
          </rPr>
          <t xml:space="preserve">
s2 Oa</t>
        </r>
      </text>
    </comment>
    <comment ref="R111" authorId="2" shapeId="0" xr:uid="{968EE32A-A682-466E-9EF8-80A5D6D839BE}">
      <text>
        <r>
          <rPr>
            <b/>
            <sz val="9"/>
            <color indexed="81"/>
            <rFont val="Tahoma"/>
            <family val="2"/>
          </rPr>
          <t>Thomas Holm:</t>
        </r>
        <r>
          <rPr>
            <sz val="9"/>
            <color indexed="81"/>
            <rFont val="Tahoma"/>
            <family val="2"/>
          </rPr>
          <t xml:space="preserve">
Blågården 14.00-18.00</t>
        </r>
      </text>
    </comment>
    <comment ref="S111" authorId="3" shapeId="0" xr:uid="{4AA4DE56-857C-4347-9F53-722F9B8F9E31}">
      <text>
        <r>
          <rPr>
            <b/>
            <sz val="9"/>
            <color indexed="81"/>
            <rFont val="Tahoma"/>
            <family val="2"/>
          </rPr>
          <t>Steen Hertin:</t>
        </r>
        <r>
          <rPr>
            <sz val="9"/>
            <color indexed="81"/>
            <rFont val="Tahoma"/>
            <family val="2"/>
          </rPr>
          <t xml:space="preserve">
N-vagt på OA</t>
        </r>
      </text>
    </comment>
    <comment ref="P123" authorId="10" shapeId="0" xr:uid="{C2264797-48F7-45FC-A3B7-1836906F2F63}">
      <text>
        <r>
          <rPr>
            <b/>
            <sz val="9"/>
            <color indexed="81"/>
            <rFont val="Tahoma"/>
            <family val="2"/>
          </rPr>
          <t>Steen Hertin-Sandkær:</t>
        </r>
        <r>
          <rPr>
            <sz val="9"/>
            <color indexed="81"/>
            <rFont val="Tahoma"/>
            <family val="2"/>
          </rPr>
          <t xml:space="preserve">
Blågårdens bibliotek 11-00 - 14.00 OA fra 11.00-13.30</t>
        </r>
      </text>
    </comment>
    <comment ref="G124" authorId="2" shapeId="0" xr:uid="{622B6D3E-06B1-4450-AFAD-0492766A7014}">
      <text>
        <r>
          <rPr>
            <b/>
            <sz val="9"/>
            <color indexed="81"/>
            <rFont val="Tahoma"/>
            <family val="2"/>
          </rPr>
          <t>Thomas Holm:</t>
        </r>
        <r>
          <rPr>
            <sz val="9"/>
            <color indexed="81"/>
            <rFont val="Tahoma"/>
            <family val="2"/>
          </rPr>
          <t xml:space="preserve">
Nørrebro bibl. 14.00 - 20.15</t>
        </r>
      </text>
    </comment>
    <comment ref="H124" authorId="2" shapeId="0" xr:uid="{A9A6101A-37EB-4560-A6FB-93AF62D405FB}">
      <text>
        <r>
          <rPr>
            <b/>
            <sz val="9"/>
            <color indexed="81"/>
            <rFont val="Tahoma"/>
            <family val="2"/>
          </rPr>
          <t>Thomas Holm:</t>
        </r>
        <r>
          <rPr>
            <sz val="9"/>
            <color indexed="81"/>
            <rFont val="Tahoma"/>
            <family val="2"/>
          </rPr>
          <t xml:space="preserve">
Nørrebro bibl. 14.00-20.15</t>
        </r>
      </text>
    </comment>
    <comment ref="AF124" authorId="10" shapeId="0" xr:uid="{3BE8BF32-CE1D-471F-A96F-52A8F1948D6E}">
      <text>
        <r>
          <rPr>
            <b/>
            <sz val="9"/>
            <color indexed="81"/>
            <rFont val="Tahoma"/>
            <family val="2"/>
          </rPr>
          <t>Steen Hertin-Sandkær:</t>
        </r>
        <r>
          <rPr>
            <sz val="9"/>
            <color indexed="81"/>
            <rFont val="Tahoma"/>
            <family val="2"/>
          </rPr>
          <t xml:space="preserve">
Nørrebro bibliootek 14.00-15.30</t>
        </r>
      </text>
    </comment>
    <comment ref="AG124" authorId="10" shapeId="0" xr:uid="{08E732F8-3F98-4CB5-A9C4-1855B19B208D}">
      <text>
        <r>
          <rPr>
            <b/>
            <sz val="9"/>
            <color indexed="81"/>
            <rFont val="Tahoma"/>
            <family val="2"/>
          </rPr>
          <t>Steen Hertin-Sandkær:</t>
        </r>
        <r>
          <rPr>
            <sz val="9"/>
            <color indexed="81"/>
            <rFont val="Tahoma"/>
            <family val="2"/>
          </rPr>
          <t xml:space="preserve">
Nørrebro bibliootek 14.00-15.30</t>
        </r>
      </text>
    </comment>
    <comment ref="E146" authorId="6" shapeId="0" xr:uid="{3FF477C3-B18B-46E7-9BD6-69A4312F281C}">
      <text>
        <r>
          <rPr>
            <b/>
            <sz val="9"/>
            <color indexed="81"/>
            <rFont val="Tahoma"/>
            <family val="2"/>
          </rPr>
          <t>Nikolaj Langtin Pamhede:</t>
        </r>
        <r>
          <rPr>
            <sz val="9"/>
            <color indexed="81"/>
            <rFont val="Tahoma"/>
            <family val="2"/>
          </rPr>
          <t xml:space="preserve">
Oa 6 vagt til kl 21</t>
        </r>
      </text>
    </comment>
    <comment ref="F146" authorId="10" shapeId="0" xr:uid="{CAD3A3D8-88FC-4517-8BE2-D0A9F4F96DB2}">
      <text>
        <r>
          <rPr>
            <b/>
            <sz val="9"/>
            <color indexed="81"/>
            <rFont val="Tahoma"/>
            <family val="2"/>
          </rPr>
          <t>Steen Hertin-Sandkær:</t>
        </r>
        <r>
          <rPr>
            <sz val="9"/>
            <color indexed="81"/>
            <rFont val="Tahoma"/>
            <family val="2"/>
          </rPr>
          <t xml:space="preserve">
6-vagt OA</t>
        </r>
      </text>
    </comment>
    <comment ref="I147" authorId="3" shapeId="0" xr:uid="{2E8D2EA9-C88E-4C4F-8F6B-46823FB96CD1}">
      <text>
        <r>
          <rPr>
            <b/>
            <sz val="9"/>
            <color indexed="81"/>
            <rFont val="Tahoma"/>
            <family val="2"/>
          </rPr>
          <t>Steen Hertin:</t>
        </r>
        <r>
          <rPr>
            <sz val="9"/>
            <color indexed="81"/>
            <rFont val="Tahoma"/>
            <family val="2"/>
          </rPr>
          <t xml:space="preserve">
Bellahøjhallen 14.30-22.30</t>
        </r>
      </text>
    </comment>
    <comment ref="J147" authorId="3" shapeId="0" xr:uid="{337D0DEA-B787-4C1A-BE61-A48133D06D16}">
      <text>
        <r>
          <rPr>
            <b/>
            <sz val="9"/>
            <color indexed="81"/>
            <rFont val="Tahoma"/>
            <family val="2"/>
          </rPr>
          <t>Steen Hertin:</t>
        </r>
        <r>
          <rPr>
            <sz val="9"/>
            <color indexed="81"/>
            <rFont val="Tahoma"/>
            <family val="2"/>
          </rPr>
          <t xml:space="preserve">
Bellahøjhallen 14.30-22.30</t>
        </r>
      </text>
    </comment>
    <comment ref="V147" authorId="10" shapeId="0" xr:uid="{90708F75-8F7E-4C2E-A3A4-9F1402891AE8}">
      <text>
        <r>
          <rPr>
            <b/>
            <sz val="9"/>
            <color indexed="81"/>
            <rFont val="Tahoma"/>
            <family val="2"/>
          </rPr>
          <t>Steen Hertin-Sandkær:</t>
        </r>
        <r>
          <rPr>
            <sz val="9"/>
            <color indexed="81"/>
            <rFont val="Tahoma"/>
            <family val="2"/>
          </rPr>
          <t xml:space="preserve">
Bellahøjhallen 14.00 - 23.30
</t>
        </r>
      </text>
    </comment>
    <comment ref="AA147" authorId="8" shapeId="0" xr:uid="{94E6A497-CC9F-49B3-9989-EA09078C8F67}">
      <text>
        <r>
          <rPr>
            <b/>
            <sz val="9"/>
            <color indexed="81"/>
            <rFont val="Tahoma"/>
            <family val="2"/>
          </rPr>
          <t>Kim Holm Aabroe:</t>
        </r>
        <r>
          <rPr>
            <sz val="9"/>
            <color indexed="81"/>
            <rFont val="Tahoma"/>
            <family val="2"/>
          </rPr>
          <t xml:space="preserve">
11.00-13.00
AMR</t>
        </r>
      </text>
    </comment>
    <comment ref="D160" authorId="10" shapeId="0" xr:uid="{FDCFC057-E94E-4289-A21E-D36FA4199B8A}">
      <text>
        <r>
          <rPr>
            <b/>
            <sz val="9"/>
            <color indexed="81"/>
            <rFont val="Tahoma"/>
            <family val="2"/>
          </rPr>
          <t>Steen Hertin-Sandkær:</t>
        </r>
        <r>
          <rPr>
            <sz val="9"/>
            <color indexed="81"/>
            <rFont val="Tahoma"/>
            <family val="2"/>
          </rPr>
          <t xml:space="preserve">
Vil gerne have fri hele ugen.</t>
        </r>
      </text>
    </comment>
    <comment ref="F176" authorId="0" shapeId="0" xr:uid="{0A8FE7DD-2E1E-44E0-943F-9121D6881139}">
      <text>
        <r>
          <rPr>
            <b/>
            <sz val="9"/>
            <color indexed="81"/>
            <rFont val="Tahoma"/>
            <family val="2"/>
          </rPr>
          <t>marasm:</t>
        </r>
        <r>
          <rPr>
            <sz val="9"/>
            <color indexed="81"/>
            <rFont val="Tahoma"/>
            <family val="2"/>
          </rPr>
          <t xml:space="preserve">
AHF</t>
        </r>
      </text>
    </comment>
    <comment ref="H176" authorId="0" shapeId="0" xr:uid="{0604BE31-4B48-40E9-BDCB-56E535D10F74}">
      <text>
        <r>
          <rPr>
            <b/>
            <sz val="9"/>
            <color indexed="81"/>
            <rFont val="Tahoma"/>
            <family val="2"/>
          </rPr>
          <t>marasm:</t>
        </r>
        <r>
          <rPr>
            <sz val="9"/>
            <color indexed="81"/>
            <rFont val="Tahoma"/>
            <family val="2"/>
          </rPr>
          <t xml:space="preserve">
AHF</t>
        </r>
      </text>
    </comment>
    <comment ref="K176" authorId="0" shapeId="0" xr:uid="{E08D6082-45F6-479C-B5AC-787963D9CA35}">
      <text>
        <r>
          <rPr>
            <b/>
            <sz val="9"/>
            <color indexed="81"/>
            <rFont val="Tahoma"/>
            <family val="2"/>
          </rPr>
          <t>marasm:</t>
        </r>
        <r>
          <rPr>
            <sz val="9"/>
            <color indexed="81"/>
            <rFont val="Tahoma"/>
            <family val="2"/>
          </rPr>
          <t xml:space="preserve">
AHF</t>
        </r>
      </text>
    </comment>
    <comment ref="M176" authorId="0" shapeId="0" xr:uid="{D72628FA-6FF7-4CC5-9785-C41FBD0D23C2}">
      <text>
        <r>
          <rPr>
            <b/>
            <sz val="9"/>
            <color indexed="81"/>
            <rFont val="Tahoma"/>
            <family val="2"/>
          </rPr>
          <t>marasm:</t>
        </r>
        <r>
          <rPr>
            <sz val="9"/>
            <color indexed="81"/>
            <rFont val="Tahoma"/>
            <family val="2"/>
          </rPr>
          <t xml:space="preserve">
AHF</t>
        </r>
      </text>
    </comment>
    <comment ref="N176" authorId="5" shapeId="0" xr:uid="{EC0F83EC-A48E-4186-B587-BD933FDAC431}">
      <text>
        <r>
          <rPr>
            <b/>
            <sz val="9"/>
            <color indexed="81"/>
            <rFont val="Tahoma"/>
            <family val="2"/>
          </rPr>
          <t>Marianne Rasmussen:</t>
        </r>
        <r>
          <rPr>
            <sz val="9"/>
            <color indexed="81"/>
            <rFont val="Tahoma"/>
            <family val="2"/>
          </rPr>
          <t xml:space="preserve">
AHF</t>
        </r>
      </text>
    </comment>
    <comment ref="O176" authorId="0" shapeId="0" xr:uid="{AC8BABD2-E06F-4144-BBA2-85C425478CC4}">
      <text>
        <r>
          <rPr>
            <b/>
            <sz val="9"/>
            <color indexed="81"/>
            <rFont val="Tahoma"/>
            <family val="2"/>
          </rPr>
          <t>marasm:</t>
        </r>
        <r>
          <rPr>
            <sz val="9"/>
            <color indexed="81"/>
            <rFont val="Tahoma"/>
            <family val="2"/>
          </rPr>
          <t xml:space="preserve">
AHF</t>
        </r>
      </text>
    </comment>
    <comment ref="T176" authorId="0" shapeId="0" xr:uid="{AB7927D6-A20D-4DDF-852D-F6FE5DC55B59}">
      <text>
        <r>
          <rPr>
            <b/>
            <sz val="9"/>
            <color indexed="81"/>
            <rFont val="Tahoma"/>
            <family val="2"/>
          </rPr>
          <t>marasm:</t>
        </r>
        <r>
          <rPr>
            <sz val="9"/>
            <color indexed="81"/>
            <rFont val="Tahoma"/>
            <family val="2"/>
          </rPr>
          <t xml:space="preserve">
AHF</t>
        </r>
      </text>
    </comment>
    <comment ref="U176" authorId="0" shapeId="0" xr:uid="{394F81D2-2155-4298-9C41-D11FE82C51BD}">
      <text>
        <r>
          <rPr>
            <b/>
            <sz val="9"/>
            <color indexed="81"/>
            <rFont val="Tahoma"/>
            <family val="2"/>
          </rPr>
          <t>marasm:</t>
        </r>
        <r>
          <rPr>
            <sz val="9"/>
            <color indexed="81"/>
            <rFont val="Tahoma"/>
            <family val="2"/>
          </rPr>
          <t xml:space="preserve">
AHF</t>
        </r>
      </text>
    </comment>
    <comment ref="V176" authorId="0" shapeId="0" xr:uid="{34155C47-DEB6-4833-90BF-B8BDF905EDBA}">
      <text>
        <r>
          <rPr>
            <b/>
            <sz val="9"/>
            <color indexed="81"/>
            <rFont val="Tahoma"/>
            <family val="2"/>
          </rPr>
          <t>marasm:</t>
        </r>
        <r>
          <rPr>
            <sz val="9"/>
            <color indexed="81"/>
            <rFont val="Tahoma"/>
            <family val="2"/>
          </rPr>
          <t xml:space="preserve">
AHF</t>
        </r>
      </text>
    </comment>
    <comment ref="Y176" authorId="0" shapeId="0" xr:uid="{5585EB2A-EB21-4B49-9072-EF80C04EE9F4}">
      <text>
        <r>
          <rPr>
            <b/>
            <sz val="9"/>
            <color indexed="81"/>
            <rFont val="Tahoma"/>
            <family val="2"/>
          </rPr>
          <t>marasm:</t>
        </r>
        <r>
          <rPr>
            <sz val="9"/>
            <color indexed="81"/>
            <rFont val="Tahoma"/>
            <family val="2"/>
          </rPr>
          <t xml:space="preserve">
AHF</t>
        </r>
      </text>
    </comment>
    <comment ref="AB176" authorId="0" shapeId="0" xr:uid="{85E74DAE-DF8A-4250-B0D8-6CBAF408ED9A}">
      <text>
        <r>
          <rPr>
            <b/>
            <sz val="9"/>
            <color indexed="81"/>
            <rFont val="Tahoma"/>
            <family val="2"/>
          </rPr>
          <t>marasm:</t>
        </r>
        <r>
          <rPr>
            <sz val="9"/>
            <color indexed="81"/>
            <rFont val="Tahoma"/>
            <family val="2"/>
          </rPr>
          <t xml:space="preserve">
AHF</t>
        </r>
      </text>
    </comment>
    <comment ref="AF176" authorId="0" shapeId="0" xr:uid="{A21EBD7D-5D3B-420D-B4BC-A264690760CF}">
      <text>
        <r>
          <rPr>
            <b/>
            <sz val="9"/>
            <color indexed="81"/>
            <rFont val="Tahoma"/>
            <family val="2"/>
          </rPr>
          <t>marasm:</t>
        </r>
        <r>
          <rPr>
            <sz val="9"/>
            <color indexed="81"/>
            <rFont val="Tahoma"/>
            <family val="2"/>
          </rPr>
          <t xml:space="preserve">
AHF</t>
        </r>
      </text>
    </comment>
    <comment ref="AC204" authorId="1" shapeId="0" xr:uid="{774AE711-137D-4D8C-8439-45C1325FF7C2}">
      <text>
        <r>
          <rPr>
            <b/>
            <sz val="9"/>
            <color indexed="81"/>
            <rFont val="Tahoma"/>
            <family val="2"/>
          </rPr>
          <t>Rasmus Sørensen:</t>
        </r>
        <r>
          <rPr>
            <sz val="9"/>
            <color indexed="81"/>
            <rFont val="Tahoma"/>
            <family val="2"/>
          </rPr>
          <t xml:space="preserve">
Rådhuset 
</t>
        </r>
      </text>
    </comment>
    <comment ref="AB232" authorId="0" shapeId="0" xr:uid="{811EAB68-DAEB-407C-B581-997FF726D661}">
      <text>
        <r>
          <rPr>
            <b/>
            <sz val="9"/>
            <color indexed="81"/>
            <rFont val="Tahoma"/>
            <family val="2"/>
          </rPr>
          <t>marasm:</t>
        </r>
        <r>
          <rPr>
            <sz val="9"/>
            <color indexed="81"/>
            <rFont val="Tahoma"/>
            <family val="2"/>
          </rPr>
          <t xml:space="preserve">
- 2,15 afs.</t>
        </r>
      </text>
    </comment>
    <comment ref="Z234" authorId="0" shapeId="0" xr:uid="{75E89F46-1BDF-4B90-9213-844D5C590B19}">
      <text>
        <r>
          <rPr>
            <b/>
            <sz val="9"/>
            <color indexed="81"/>
            <rFont val="Tahoma"/>
            <family val="2"/>
          </rPr>
          <t>marasm:</t>
        </r>
        <r>
          <rPr>
            <sz val="9"/>
            <color indexed="81"/>
            <rFont val="Tahoma"/>
            <family val="2"/>
          </rPr>
          <t xml:space="preserve">
- 2,45 timer afs</t>
        </r>
      </text>
    </comment>
    <comment ref="N237" authorId="0" shapeId="0" xr:uid="{14112A9C-9071-41BA-9D05-98F35456C1BD}">
      <text>
        <r>
          <rPr>
            <b/>
            <sz val="9"/>
            <color indexed="81"/>
            <rFont val="Tahoma"/>
            <family val="2"/>
          </rPr>
          <t>marasm:</t>
        </r>
        <r>
          <rPr>
            <sz val="9"/>
            <color indexed="81"/>
            <rFont val="Tahoma"/>
            <family val="2"/>
          </rPr>
          <t xml:space="preserve">
- 2 timer afs 11,45-13,45</t>
        </r>
      </text>
    </comment>
    <comment ref="L291" authorId="5" shapeId="0" xr:uid="{ACC6E7C1-2B5E-4018-8AD7-467C2A80CB3B}">
      <text>
        <r>
          <rPr>
            <b/>
            <sz val="9"/>
            <color indexed="81"/>
            <rFont val="Tahoma"/>
            <family val="2"/>
          </rPr>
          <t>Marianne Rasmussen:</t>
        </r>
        <r>
          <rPr>
            <sz val="9"/>
            <color indexed="81"/>
            <rFont val="Tahoma"/>
            <family val="2"/>
          </rPr>
          <t xml:space="preserve">
- 3,5 timer i afs</t>
        </r>
      </text>
    </comment>
    <comment ref="AC294" authorId="5" shapeId="0" xr:uid="{A92107AA-DE6B-401F-84C6-9416CFA52B72}">
      <text>
        <r>
          <rPr>
            <b/>
            <sz val="9"/>
            <color indexed="81"/>
            <rFont val="Tahoma"/>
            <family val="2"/>
          </rPr>
          <t>Marianne Rasmussen:</t>
        </r>
        <r>
          <rPr>
            <sz val="9"/>
            <color indexed="81"/>
            <rFont val="Tahoma"/>
            <family val="2"/>
          </rPr>
          <t xml:space="preserve">
- 1,5 timer i afs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Thomas Holm</author>
    <author>Steen Hertin-Sandkær</author>
    <author>Steen Hertin</author>
    <author>marasm</author>
    <author>Mathias Hartvig Morell Nielsen</author>
    <author>Nick Lorentzen</author>
    <author>Nikolaj Langtin Pamhede</author>
    <author>Michael Bo Pedersen</author>
  </authors>
  <commentList>
    <comment ref="D17" authorId="0" shapeId="0" xr:uid="{2C961ECA-935C-4244-BF0E-9688784A82CE}">
      <text>
        <r>
          <rPr>
            <b/>
            <sz val="9"/>
            <color indexed="81"/>
            <rFont val="Tahoma"/>
            <family val="2"/>
          </rPr>
          <t>Thomas Holm:</t>
        </r>
        <r>
          <rPr>
            <sz val="9"/>
            <color indexed="81"/>
            <rFont val="Tahoma"/>
            <family val="2"/>
          </rPr>
          <t xml:space="preserve">
Møde i byen mm.
</t>
        </r>
      </text>
    </comment>
    <comment ref="R17" authorId="0" shapeId="0" xr:uid="{07384E97-D2A9-4F4A-AF1F-48F693DF170E}">
      <text>
        <r>
          <rPr>
            <b/>
            <sz val="9"/>
            <color indexed="81"/>
            <rFont val="Tahoma"/>
            <family val="2"/>
          </rPr>
          <t>Thomas Holm:</t>
        </r>
        <r>
          <rPr>
            <sz val="9"/>
            <color indexed="81"/>
            <rFont val="Tahoma"/>
            <family val="2"/>
          </rPr>
          <t xml:space="preserve">
Møde i byen mm.</t>
        </r>
      </text>
    </comment>
    <comment ref="K20" authorId="1" shapeId="0" xr:uid="{6A02F42C-A690-4D7E-9C25-88E53925C5A7}">
      <text>
        <r>
          <rPr>
            <b/>
            <sz val="9"/>
            <color indexed="81"/>
            <rFont val="Tahoma"/>
            <family val="2"/>
          </rPr>
          <t>Steen Hertin-Sandkær:</t>
        </r>
        <r>
          <rPr>
            <sz val="9"/>
            <color indexed="81"/>
            <rFont val="Tahoma"/>
            <family val="2"/>
          </rPr>
          <t xml:space="preserve">
Kursus Sjællandsgade 14.30-15.30</t>
        </r>
      </text>
    </comment>
    <comment ref="L20" authorId="2" shapeId="0" xr:uid="{53FA94F8-808D-4082-B62B-2E0389E5E3FD}">
      <text>
        <r>
          <rPr>
            <b/>
            <sz val="9"/>
            <color indexed="81"/>
            <rFont val="Tahoma"/>
            <family val="2"/>
          </rPr>
          <t>Steen Hertin:</t>
        </r>
        <r>
          <rPr>
            <sz val="9"/>
            <color indexed="81"/>
            <rFont val="Tahoma"/>
            <family val="2"/>
          </rPr>
          <t xml:space="preserve">
AHF</t>
        </r>
      </text>
    </comment>
    <comment ref="E21" authorId="3" shapeId="0" xr:uid="{B48070CE-E680-4CE0-BDD6-E4003F5239AF}">
      <text>
        <r>
          <rPr>
            <b/>
            <sz val="9"/>
            <color indexed="81"/>
            <rFont val="Tahoma"/>
            <family val="2"/>
          </rPr>
          <t>marasm:</t>
        </r>
        <r>
          <rPr>
            <sz val="9"/>
            <color indexed="81"/>
            <rFont val="Tahoma"/>
            <family val="2"/>
          </rPr>
          <t xml:space="preserve">
Arrangement</t>
        </r>
      </text>
    </comment>
    <comment ref="O24" authorId="4" shapeId="0" xr:uid="{996FF38E-7CF6-4601-AD37-ED1E86A90C94}">
      <text>
        <r>
          <rPr>
            <b/>
            <sz val="9"/>
            <color indexed="81"/>
            <rFont val="Tahoma"/>
            <family val="2"/>
          </rPr>
          <t>Mathias Hartvig Morell Nielsen:</t>
        </r>
        <r>
          <rPr>
            <sz val="9"/>
            <color indexed="81"/>
            <rFont val="Tahoma"/>
            <family val="2"/>
          </rPr>
          <t xml:space="preserve">
OA som 3-vagt</t>
        </r>
      </text>
    </comment>
    <comment ref="M25" authorId="5" shapeId="0" xr:uid="{2903228A-7F1C-487D-B9C1-867C38D60DA4}">
      <text>
        <r>
          <rPr>
            <b/>
            <sz val="9"/>
            <color indexed="81"/>
            <rFont val="Tahoma"/>
            <family val="2"/>
          </rPr>
          <t>Nick Lorentzen:</t>
        </r>
        <r>
          <rPr>
            <sz val="9"/>
            <color indexed="81"/>
            <rFont val="Tahoma"/>
            <family val="2"/>
          </rPr>
          <t xml:space="preserve">
D. 11. februar er der et arrangement i SALEN på BIBLIOTEKET Rentemestervej til kl. 22.15.
Kunne I sende en vagt til at rundere og sætte alarm omkring kl. 22.30?
</t>
        </r>
      </text>
    </comment>
    <comment ref="W25" authorId="1" shapeId="0" xr:uid="{64C7F5C5-695C-4A84-91BE-0DFCA8F4696D}">
      <text>
        <r>
          <rPr>
            <b/>
            <sz val="9"/>
            <color indexed="81"/>
            <rFont val="Tahoma"/>
            <family val="2"/>
          </rPr>
          <t>Steen Hertin-Sandkær:</t>
        </r>
        <r>
          <rPr>
            <sz val="9"/>
            <color indexed="81"/>
            <rFont val="Tahoma"/>
            <family val="2"/>
          </rPr>
          <t xml:space="preserve">
Feje Johnny</t>
        </r>
      </text>
    </comment>
    <comment ref="R26" authorId="1" shapeId="0" xr:uid="{8484EB43-9BC5-44B4-812D-3FAD71474470}">
      <text>
        <r>
          <rPr>
            <b/>
            <sz val="9"/>
            <color indexed="81"/>
            <rFont val="Tahoma"/>
            <family val="2"/>
          </rPr>
          <t>Steen Hertin-Sandkær:</t>
        </r>
        <r>
          <rPr>
            <sz val="9"/>
            <color indexed="81"/>
            <rFont val="Tahoma"/>
            <family val="2"/>
          </rPr>
          <t xml:space="preserve">
Feje Johnny</t>
        </r>
      </text>
    </comment>
    <comment ref="S26" authorId="1" shapeId="0" xr:uid="{F4D466AE-63D3-4793-BBDD-28794D37FC7D}">
      <text>
        <r>
          <rPr>
            <b/>
            <sz val="9"/>
            <color indexed="81"/>
            <rFont val="Tahoma"/>
            <family val="2"/>
          </rPr>
          <t>Steen Hertin-Sandkær:</t>
        </r>
        <r>
          <rPr>
            <sz val="9"/>
            <color indexed="81"/>
            <rFont val="Tahoma"/>
            <family val="2"/>
          </rPr>
          <t xml:space="preserve">
Feje Johnny</t>
        </r>
      </text>
    </comment>
    <comment ref="W27" authorId="4" shapeId="0" xr:uid="{1616B957-C8B0-44B0-8A5F-C96947B37FFB}">
      <text>
        <r>
          <rPr>
            <b/>
            <sz val="9"/>
            <color indexed="81"/>
            <rFont val="Tahoma"/>
            <family val="2"/>
          </rPr>
          <t>Mathias Hartvig Morell Nielsen:</t>
        </r>
        <r>
          <rPr>
            <sz val="9"/>
            <color indexed="81"/>
            <rFont val="Tahoma"/>
            <family val="2"/>
          </rPr>
          <t xml:space="preserve">
Rentemestervej til 21.15</t>
        </r>
      </text>
    </comment>
    <comment ref="Y27" authorId="4" shapeId="0" xr:uid="{B117E109-FB05-4852-975E-DB249B5A0510}">
      <text>
        <r>
          <rPr>
            <b/>
            <sz val="9"/>
            <color indexed="81"/>
            <rFont val="Tahoma"/>
            <family val="2"/>
          </rPr>
          <t>Mathias Hartvig Morell Nielsen:</t>
        </r>
        <r>
          <rPr>
            <sz val="9"/>
            <color indexed="81"/>
            <rFont val="Tahoma"/>
            <family val="2"/>
          </rPr>
          <t xml:space="preserve">
Rentemestervej til 21.00</t>
        </r>
      </text>
    </comment>
    <comment ref="C37" authorId="6" shapeId="0" xr:uid="{86283223-A054-4D1D-BA04-6CD56E0BB18B}">
      <text>
        <r>
          <rPr>
            <b/>
            <sz val="9"/>
            <color indexed="81"/>
            <rFont val="Tahoma"/>
            <family val="2"/>
          </rPr>
          <t>Nikolaj Langtin Pamhede:</t>
        </r>
        <r>
          <rPr>
            <sz val="9"/>
            <color indexed="81"/>
            <rFont val="Tahoma"/>
            <family val="2"/>
          </rPr>
          <t xml:space="preserve">
Nørrebro bibliotek kl. 14.00-20,15 på oa</t>
        </r>
      </text>
    </comment>
    <comment ref="G37" authorId="2" shapeId="0" xr:uid="{8D388465-57D8-4B96-BEF4-E8A7785CCE4F}">
      <text>
        <r>
          <rPr>
            <b/>
            <sz val="9"/>
            <color indexed="81"/>
            <rFont val="Tahoma"/>
            <family val="2"/>
          </rPr>
          <t>Steen Hertin:</t>
        </r>
        <r>
          <rPr>
            <sz val="9"/>
            <color indexed="81"/>
            <rFont val="Tahoma"/>
            <family val="2"/>
          </rPr>
          <t xml:space="preserve">
Tingbjerg 13.45-18,45 + Kødnyen </t>
        </r>
      </text>
    </comment>
    <comment ref="V38" authorId="0" shapeId="0" xr:uid="{B4202CF6-09D1-403B-B50B-651FAB31DF64}">
      <text>
        <r>
          <rPr>
            <b/>
            <sz val="9"/>
            <color indexed="81"/>
            <rFont val="Tahoma"/>
            <family val="2"/>
          </rPr>
          <t>Thomas Holm:</t>
        </r>
        <r>
          <rPr>
            <sz val="9"/>
            <color indexed="81"/>
            <rFont val="Tahoma"/>
            <family val="2"/>
          </rPr>
          <t xml:space="preserve">
Lyongade OA</t>
        </r>
      </text>
    </comment>
    <comment ref="W38" authorId="5" shapeId="0" xr:uid="{CB5F804E-B40D-402E-B970-E440D0CFB110}">
      <text>
        <r>
          <rPr>
            <b/>
            <sz val="9"/>
            <color indexed="81"/>
            <rFont val="Tahoma"/>
            <family val="2"/>
          </rPr>
          <t>Nick Lorentzen:</t>
        </r>
        <r>
          <rPr>
            <sz val="9"/>
            <color indexed="81"/>
            <rFont val="Tahoma"/>
            <family val="2"/>
          </rPr>
          <t xml:space="preserve">
69 vagt OA </t>
        </r>
      </text>
    </comment>
    <comment ref="H46" authorId="2" shapeId="0" xr:uid="{0AB00B25-379A-4763-8D25-667B2995FD79}">
      <text>
        <r>
          <rPr>
            <b/>
            <sz val="9"/>
            <color indexed="81"/>
            <rFont val="Tahoma"/>
            <family val="2"/>
          </rPr>
          <t>Steen Hertin:</t>
        </r>
        <r>
          <rPr>
            <sz val="9"/>
            <color indexed="81"/>
            <rFont val="Tahoma"/>
            <family val="2"/>
          </rPr>
          <t xml:space="preserve">
22-vagt på OA</t>
        </r>
      </text>
    </comment>
    <comment ref="I46" authorId="2" shapeId="0" xr:uid="{7D9586B0-AF9C-4E98-BFA0-D5D2374B5139}">
      <text>
        <r>
          <rPr>
            <b/>
            <sz val="9"/>
            <color indexed="81"/>
            <rFont val="Tahoma"/>
            <family val="2"/>
          </rPr>
          <t>Steen Hertin:</t>
        </r>
        <r>
          <rPr>
            <sz val="9"/>
            <color indexed="81"/>
            <rFont val="Tahoma"/>
            <family val="2"/>
          </rPr>
          <t xml:space="preserve">
22-vagt på OA</t>
        </r>
      </text>
    </comment>
    <comment ref="J46" authorId="2" shapeId="0" xr:uid="{FEE0FAC2-1053-4BB7-9F76-22F985805D85}">
      <text>
        <r>
          <rPr>
            <b/>
            <sz val="9"/>
            <color indexed="81"/>
            <rFont val="Tahoma"/>
            <family val="2"/>
          </rPr>
          <t>Steen Hertin:</t>
        </r>
        <r>
          <rPr>
            <sz val="9"/>
            <color indexed="81"/>
            <rFont val="Tahoma"/>
            <family val="2"/>
          </rPr>
          <t xml:space="preserve">
22-vagt på OA</t>
        </r>
      </text>
    </comment>
    <comment ref="K46" authorId="2" shapeId="0" xr:uid="{0BAA6CE1-293E-46AD-AF3C-3AC7A4F55231}">
      <text>
        <r>
          <rPr>
            <b/>
            <sz val="9"/>
            <color indexed="81"/>
            <rFont val="Tahoma"/>
            <family val="2"/>
          </rPr>
          <t>Steen Hertin:</t>
        </r>
        <r>
          <rPr>
            <sz val="9"/>
            <color indexed="81"/>
            <rFont val="Tahoma"/>
            <family val="2"/>
          </rPr>
          <t xml:space="preserve">
22-vagt på OA</t>
        </r>
      </text>
    </comment>
    <comment ref="L46" authorId="2" shapeId="0" xr:uid="{F0CEAA62-83E1-40E1-B24B-0F21D34AC33B}">
      <text>
        <r>
          <rPr>
            <b/>
            <sz val="9"/>
            <color indexed="81"/>
            <rFont val="Tahoma"/>
            <family val="2"/>
          </rPr>
          <t>Steen Hertin:</t>
        </r>
        <r>
          <rPr>
            <sz val="9"/>
            <color indexed="81"/>
            <rFont val="Tahoma"/>
            <family val="2"/>
          </rPr>
          <t xml:space="preserve">
22-vagt på OA</t>
        </r>
      </text>
    </comment>
    <comment ref="P48" authorId="0" shapeId="0" xr:uid="{9D15D2E2-2367-4A79-B48A-410A2673B44A}">
      <text>
        <r>
          <rPr>
            <b/>
            <sz val="9"/>
            <color indexed="81"/>
            <rFont val="Tahoma"/>
            <family val="2"/>
          </rPr>
          <t>Thomas Holm:</t>
        </r>
        <r>
          <rPr>
            <sz val="9"/>
            <color indexed="81"/>
            <rFont val="Tahoma"/>
            <family val="2"/>
          </rPr>
          <t xml:space="preserve">
Aftenvagt grundet manglende 25-vagt</t>
        </r>
      </text>
    </comment>
    <comment ref="AC48" authorId="1" shapeId="0" xr:uid="{F55AE9AD-FE40-4C03-878F-9F6FA15E8AC6}">
      <text>
        <r>
          <rPr>
            <b/>
            <sz val="9"/>
            <color indexed="81"/>
            <rFont val="Tahoma"/>
            <family val="2"/>
          </rPr>
          <t>Steen Hertin-Sandkær:</t>
        </r>
        <r>
          <rPr>
            <sz val="9"/>
            <color indexed="81"/>
            <rFont val="Tahoma"/>
            <family val="2"/>
          </rPr>
          <t xml:space="preserve">
Fejer for johnny.</t>
        </r>
      </text>
    </comment>
    <comment ref="AD48" authorId="1" shapeId="0" xr:uid="{B8D3FB1B-22F8-4C81-8746-39B900017B2E}">
      <text>
        <r>
          <rPr>
            <b/>
            <sz val="9"/>
            <color indexed="81"/>
            <rFont val="Tahoma"/>
            <family val="2"/>
          </rPr>
          <t>Steen Hertin-Sandkær:</t>
        </r>
        <r>
          <rPr>
            <sz val="9"/>
            <color indexed="81"/>
            <rFont val="Tahoma"/>
            <family val="2"/>
          </rPr>
          <t xml:space="preserve">
Fejer for johnny.</t>
        </r>
      </text>
    </comment>
    <comment ref="Q61" authorId="4" shapeId="0" xr:uid="{1C410146-81B0-48F6-8896-D9D1A0CBD66B}">
      <text>
        <r>
          <rPr>
            <b/>
            <sz val="9"/>
            <color indexed="81"/>
            <rFont val="Tahoma"/>
            <family val="2"/>
          </rPr>
          <t>Mathias Hartvig Morell Nielsen:</t>
        </r>
        <r>
          <rPr>
            <sz val="9"/>
            <color indexed="81"/>
            <rFont val="Tahoma"/>
            <family val="2"/>
          </rPr>
          <t xml:space="preserve">
25 vagt oa</t>
        </r>
      </text>
    </comment>
    <comment ref="R61" authorId="4" shapeId="0" xr:uid="{37501FC4-15D4-4CED-89C4-432A9F8E5EC3}">
      <text>
        <r>
          <rPr>
            <b/>
            <sz val="9"/>
            <color indexed="81"/>
            <rFont val="Tahoma"/>
            <family val="2"/>
          </rPr>
          <t>Mathias Hartvig Morell Nielsen:</t>
        </r>
        <r>
          <rPr>
            <sz val="9"/>
            <color indexed="81"/>
            <rFont val="Tahoma"/>
            <family val="2"/>
          </rPr>
          <t xml:space="preserve">
25 vagt oa</t>
        </r>
      </text>
    </comment>
    <comment ref="AC61" authorId="1" shapeId="0" xr:uid="{8C7F13DA-19A7-42B0-AD50-45054EDE7160}">
      <text>
        <r>
          <rPr>
            <b/>
            <sz val="9"/>
            <color indexed="81"/>
            <rFont val="Tahoma"/>
            <family val="2"/>
          </rPr>
          <t>Steen Hertin-Sandkær:</t>
        </r>
        <r>
          <rPr>
            <sz val="9"/>
            <color indexed="81"/>
            <rFont val="Tahoma"/>
            <family val="2"/>
          </rPr>
          <t xml:space="preserve">
Gå bag Jannie</t>
        </r>
      </text>
    </comment>
    <comment ref="AD61" authorId="1" shapeId="0" xr:uid="{A9F7330B-8403-434F-8667-D9B6C88CC49F}">
      <text>
        <r>
          <rPr>
            <b/>
            <sz val="9"/>
            <color indexed="81"/>
            <rFont val="Tahoma"/>
            <family val="2"/>
          </rPr>
          <t>Steen Hertin-Sandkær:</t>
        </r>
        <r>
          <rPr>
            <sz val="9"/>
            <color indexed="81"/>
            <rFont val="Tahoma"/>
            <family val="2"/>
          </rPr>
          <t xml:space="preserve">
Gå bag Jannie</t>
        </r>
      </text>
    </comment>
    <comment ref="C62" authorId="1" shapeId="0" xr:uid="{2557CB68-DBC4-403E-AF3C-CFE996D8D165}">
      <text>
        <r>
          <rPr>
            <b/>
            <sz val="9"/>
            <color indexed="81"/>
            <rFont val="Tahoma"/>
            <family val="2"/>
          </rPr>
          <t>Steen Hertin-Sandkær
Handicapcenter 09.00-15.00</t>
        </r>
      </text>
    </comment>
    <comment ref="D62" authorId="1" shapeId="0" xr:uid="{CBB31065-8C06-4D48-B396-C57FB3CDD5ED}">
      <text>
        <r>
          <rPr>
            <b/>
            <sz val="9"/>
            <color indexed="81"/>
            <rFont val="Tahoma"/>
            <family val="2"/>
          </rPr>
          <t>Steen Hertin-Sandkær
Handicapcenter 13,00 - 18.00</t>
        </r>
      </text>
    </comment>
    <comment ref="N63" authorId="2" shapeId="0" xr:uid="{5701FC32-5171-4B2B-8CFD-0701B70A82E3}">
      <text>
        <r>
          <rPr>
            <b/>
            <sz val="9"/>
            <color indexed="81"/>
            <rFont val="Tahoma"/>
            <family val="2"/>
          </rPr>
          <t>Steen Hertin:</t>
        </r>
        <r>
          <rPr>
            <sz val="9"/>
            <color indexed="81"/>
            <rFont val="Tahoma"/>
            <family val="2"/>
          </rPr>
          <t xml:space="preserve">
Tingbjerg 13.45-18,45</t>
        </r>
      </text>
    </comment>
    <comment ref="H64" authorId="2" shapeId="0" xr:uid="{46F9FD13-CC9D-495B-990C-0983FFE887CF}">
      <text>
        <r>
          <rPr>
            <b/>
            <sz val="9"/>
            <color indexed="81"/>
            <rFont val="Tahoma"/>
            <family val="2"/>
          </rPr>
          <t>Steen Hertin:</t>
        </r>
        <r>
          <rPr>
            <sz val="9"/>
            <color indexed="81"/>
            <rFont val="Tahoma"/>
            <family val="2"/>
          </rPr>
          <t xml:space="preserve">
Rentemestervej</t>
        </r>
      </text>
    </comment>
    <comment ref="K64" authorId="1" shapeId="0" xr:uid="{48900194-5DEA-4D65-AD36-1B0AA548C8B4}">
      <text>
        <r>
          <rPr>
            <b/>
            <sz val="9"/>
            <color indexed="81"/>
            <rFont val="Tahoma"/>
            <family val="2"/>
          </rPr>
          <t>Steen Hertin-Sandkær:</t>
        </r>
        <r>
          <rPr>
            <sz val="9"/>
            <color indexed="81"/>
            <rFont val="Tahoma"/>
            <family val="2"/>
          </rPr>
          <t xml:space="preserve">
Kursus Sjællandsgade 14.30-15.30</t>
        </r>
      </text>
    </comment>
    <comment ref="C68" authorId="2" shapeId="0" xr:uid="{233E3582-8336-4F00-A18D-824E0255C022}">
      <text>
        <r>
          <rPr>
            <b/>
            <sz val="9"/>
            <color indexed="81"/>
            <rFont val="Tahoma"/>
            <family val="2"/>
          </rPr>
          <t>Steen Hertin:</t>
        </r>
        <r>
          <rPr>
            <sz val="9"/>
            <color indexed="81"/>
            <rFont val="Tahoma"/>
            <family val="2"/>
          </rPr>
          <t xml:space="preserve">
Nørrebro bibliotek kl. 14.00-20,15</t>
        </r>
      </text>
    </comment>
    <comment ref="D68" authorId="2" shapeId="0" xr:uid="{6CDE77C4-5B34-41C2-B530-74A6EBC3525D}">
      <text>
        <r>
          <rPr>
            <b/>
            <sz val="9"/>
            <color indexed="81"/>
            <rFont val="Tahoma"/>
            <family val="2"/>
          </rPr>
          <t>Steen Hertin:</t>
        </r>
        <r>
          <rPr>
            <sz val="9"/>
            <color indexed="81"/>
            <rFont val="Tahoma"/>
            <family val="2"/>
          </rPr>
          <t xml:space="preserve">
Nørrebro bibliotek kl. 14.00-20,15</t>
        </r>
      </text>
    </comment>
    <comment ref="E68" authorId="2" shapeId="0" xr:uid="{4F0A7A41-E098-40FA-8420-B2B28BA497B0}">
      <text>
        <r>
          <rPr>
            <b/>
            <sz val="9"/>
            <color indexed="81"/>
            <rFont val="Tahoma"/>
            <family val="2"/>
          </rPr>
          <t>Steen Hertin:</t>
        </r>
        <r>
          <rPr>
            <sz val="9"/>
            <color indexed="81"/>
            <rFont val="Tahoma"/>
            <family val="2"/>
          </rPr>
          <t xml:space="preserve">
Nørrebro bibliotek kl. 14.00-20,15</t>
        </r>
      </text>
    </comment>
    <comment ref="F68" authorId="2" shapeId="0" xr:uid="{BF60FD4A-8488-48C4-9E78-24DE2FA75A63}">
      <text>
        <r>
          <rPr>
            <b/>
            <sz val="9"/>
            <color indexed="81"/>
            <rFont val="Tahoma"/>
            <family val="2"/>
          </rPr>
          <t>Steen Hertin:</t>
        </r>
        <r>
          <rPr>
            <sz val="9"/>
            <color indexed="81"/>
            <rFont val="Tahoma"/>
            <family val="2"/>
          </rPr>
          <t xml:space="preserve">
Nørrebro bibliotek kl. 14.00-20,15</t>
        </r>
      </text>
    </comment>
    <comment ref="G68" authorId="2" shapeId="0" xr:uid="{508962A7-1F17-4561-AE45-453FDB4A9F70}">
      <text>
        <r>
          <rPr>
            <b/>
            <sz val="9"/>
            <color indexed="81"/>
            <rFont val="Tahoma"/>
            <family val="2"/>
          </rPr>
          <t>Steen Hertin:</t>
        </r>
        <r>
          <rPr>
            <sz val="9"/>
            <color indexed="81"/>
            <rFont val="Tahoma"/>
            <family val="2"/>
          </rPr>
          <t xml:space="preserve">
Nørrebro bibliotek kl. 14.00-20,15</t>
        </r>
      </text>
    </comment>
    <comment ref="H68" authorId="1" shapeId="0" xr:uid="{4EE9A6D0-33FD-43CB-A52B-A13C3DFAC2C7}">
      <text>
        <r>
          <rPr>
            <b/>
            <sz val="9"/>
            <color indexed="81"/>
            <rFont val="Tahoma"/>
            <family val="2"/>
          </rPr>
          <t>Steen Hertin-Sandkær
Handicapcenter 09,00 - 15.00</t>
        </r>
      </text>
    </comment>
    <comment ref="I68" authorId="1" shapeId="0" xr:uid="{D2027105-743F-4F64-A255-02C955723F49}">
      <text>
        <r>
          <rPr>
            <b/>
            <sz val="9"/>
            <color indexed="81"/>
            <rFont val="Tahoma"/>
            <family val="2"/>
          </rPr>
          <t>Steen Hertin-Sandkær
Handicapcenter 09,00 - 15.00</t>
        </r>
      </text>
    </comment>
    <comment ref="J68" authorId="1" shapeId="0" xr:uid="{887B808A-F14F-4862-8436-B2A57D9D8CA8}">
      <text>
        <r>
          <rPr>
            <b/>
            <sz val="9"/>
            <color indexed="81"/>
            <rFont val="Tahoma"/>
            <family val="2"/>
          </rPr>
          <t>Steen Hertin-Sandkær
Handicapcenter 09,00 - 15.00</t>
        </r>
      </text>
    </comment>
    <comment ref="K68" authorId="1" shapeId="0" xr:uid="{9E49993E-5338-4613-A67A-59249C5E18C8}">
      <text>
        <r>
          <rPr>
            <b/>
            <sz val="9"/>
            <color indexed="81"/>
            <rFont val="Tahoma"/>
            <family val="2"/>
          </rPr>
          <t>Steen Hertin-Sandkær
Handicapcenter 13,00 - 17.00</t>
        </r>
      </text>
    </comment>
    <comment ref="L68" authorId="1" shapeId="0" xr:uid="{97DB5752-3EDE-4019-91C4-749C20D9B20B}">
      <text>
        <r>
          <rPr>
            <b/>
            <sz val="9"/>
            <color indexed="81"/>
            <rFont val="Tahoma"/>
            <family val="2"/>
          </rPr>
          <t>Steen Hertin-Sandkær
Handicapcenter 09,00 - 13.00</t>
        </r>
      </text>
    </comment>
    <comment ref="O68" authorId="2" shapeId="0" xr:uid="{0C8F44FC-29D9-423C-83EF-E8748C1604D5}">
      <text>
        <r>
          <rPr>
            <b/>
            <sz val="9"/>
            <color indexed="81"/>
            <rFont val="Tahoma"/>
            <family val="2"/>
          </rPr>
          <t>Steen Hertin:</t>
        </r>
        <r>
          <rPr>
            <sz val="9"/>
            <color indexed="81"/>
            <rFont val="Tahoma"/>
            <family val="2"/>
          </rPr>
          <t xml:space="preserve">
Nørrebro bibliotek kl. 14.00-20,15</t>
        </r>
      </text>
    </comment>
    <comment ref="P68" authorId="2" shapeId="0" xr:uid="{2ACF9973-313D-4C86-A63C-5E6E6776738C}">
      <text>
        <r>
          <rPr>
            <b/>
            <sz val="9"/>
            <color indexed="81"/>
            <rFont val="Tahoma"/>
            <family val="2"/>
          </rPr>
          <t>Steen Hertin:</t>
        </r>
        <r>
          <rPr>
            <sz val="9"/>
            <color indexed="81"/>
            <rFont val="Tahoma"/>
            <family val="2"/>
          </rPr>
          <t xml:space="preserve">
Nørrebro bibliotek kl. 14.00-20,15</t>
        </r>
      </text>
    </comment>
    <comment ref="Q68" authorId="2" shapeId="0" xr:uid="{9770DD17-57D8-41EC-84CF-19D1A677E48C}">
      <text>
        <r>
          <rPr>
            <b/>
            <sz val="9"/>
            <color indexed="81"/>
            <rFont val="Tahoma"/>
            <family val="2"/>
          </rPr>
          <t>Steen Hertin:</t>
        </r>
        <r>
          <rPr>
            <sz val="9"/>
            <color indexed="81"/>
            <rFont val="Tahoma"/>
            <family val="2"/>
          </rPr>
          <t xml:space="preserve">
Nørrebro bibliotek kl. 14.00-20,15</t>
        </r>
      </text>
    </comment>
    <comment ref="R68" authorId="2" shapeId="0" xr:uid="{93612521-70A5-46C3-A6ED-2E49899E7041}">
      <text>
        <r>
          <rPr>
            <b/>
            <sz val="9"/>
            <color indexed="81"/>
            <rFont val="Tahoma"/>
            <family val="2"/>
          </rPr>
          <t>Steen Hertin:</t>
        </r>
        <r>
          <rPr>
            <sz val="9"/>
            <color indexed="81"/>
            <rFont val="Tahoma"/>
            <family val="2"/>
          </rPr>
          <t xml:space="preserve">
Nørrebro bibliotek kl. 14.00-20,15</t>
        </r>
      </text>
    </comment>
    <comment ref="S68" authorId="2" shapeId="0" xr:uid="{A0B491AB-0CCB-40EA-A308-8FC7B5776D38}">
      <text>
        <r>
          <rPr>
            <b/>
            <sz val="9"/>
            <color indexed="81"/>
            <rFont val="Tahoma"/>
            <family val="2"/>
          </rPr>
          <t>Steen Hertin:</t>
        </r>
        <r>
          <rPr>
            <sz val="9"/>
            <color indexed="81"/>
            <rFont val="Tahoma"/>
            <family val="2"/>
          </rPr>
          <t xml:space="preserve">
Nørrebro bibliotek kl. 14.00-20,15</t>
        </r>
      </text>
    </comment>
    <comment ref="T68" authorId="2" shapeId="0" xr:uid="{9E922AFE-8B38-4671-A5FB-2B5C535659EA}">
      <text>
        <r>
          <rPr>
            <b/>
            <sz val="9"/>
            <color indexed="81"/>
            <rFont val="Tahoma"/>
            <family val="2"/>
          </rPr>
          <t>Steen Hertin:</t>
        </r>
        <r>
          <rPr>
            <sz val="9"/>
            <color indexed="81"/>
            <rFont val="Tahoma"/>
            <family val="2"/>
          </rPr>
          <t xml:space="preserve">
Nørrebro bibliotek kl. 11.00-20,15</t>
        </r>
      </text>
    </comment>
    <comment ref="U68" authorId="2" shapeId="0" xr:uid="{EE776A0C-190C-4CE0-8617-94ACEF9CB8A7}">
      <text>
        <r>
          <rPr>
            <b/>
            <sz val="9"/>
            <color indexed="81"/>
            <rFont val="Tahoma"/>
            <family val="2"/>
          </rPr>
          <t>Steen Hertin:</t>
        </r>
        <r>
          <rPr>
            <sz val="9"/>
            <color indexed="81"/>
            <rFont val="Tahoma"/>
            <family val="2"/>
          </rPr>
          <t xml:space="preserve">
Nørrebro bibliotek kl. 14.00-20,15</t>
        </r>
      </text>
    </comment>
    <comment ref="AC68" authorId="2" shapeId="0" xr:uid="{4B67C6ED-5AC4-4DF7-8289-FFC0D47503BB}">
      <text>
        <r>
          <rPr>
            <b/>
            <sz val="9"/>
            <color indexed="81"/>
            <rFont val="Tahoma"/>
            <family val="2"/>
          </rPr>
          <t>Steen Hertin:</t>
        </r>
        <r>
          <rPr>
            <sz val="9"/>
            <color indexed="81"/>
            <rFont val="Tahoma"/>
            <family val="2"/>
          </rPr>
          <t xml:space="preserve">
Nørrebro bibliotek kl. 14.00-20,15</t>
        </r>
      </text>
    </comment>
    <comment ref="AD68" authorId="2" shapeId="0" xr:uid="{CAADC6F6-DCF3-4C54-81C9-6C8BDD398104}">
      <text>
        <r>
          <rPr>
            <b/>
            <sz val="9"/>
            <color indexed="81"/>
            <rFont val="Tahoma"/>
            <family val="2"/>
          </rPr>
          <t>Steen Hertin:</t>
        </r>
        <r>
          <rPr>
            <sz val="9"/>
            <color indexed="81"/>
            <rFont val="Tahoma"/>
            <family val="2"/>
          </rPr>
          <t xml:space="preserve">
Nørrebro bibliotek kl. 14.00-20,15</t>
        </r>
      </text>
    </comment>
    <comment ref="C69" authorId="1" shapeId="0" xr:uid="{447868F1-BB5D-4626-B92F-FFF88DCA6C30}">
      <text>
        <r>
          <rPr>
            <b/>
            <sz val="9"/>
            <color indexed="81"/>
            <rFont val="Tahoma"/>
            <family val="2"/>
          </rPr>
          <t>Steen Hertin-Sandkær:</t>
        </r>
        <r>
          <rPr>
            <sz val="9"/>
            <color indexed="81"/>
            <rFont val="Tahoma"/>
            <family val="2"/>
          </rPr>
          <t xml:space="preserve">
Blågården 13.00-18.00</t>
        </r>
      </text>
    </comment>
    <comment ref="D69" authorId="1" shapeId="0" xr:uid="{32A0AE9E-62A5-41EA-B9A6-D2659848500F}">
      <text>
        <r>
          <rPr>
            <b/>
            <sz val="9"/>
            <color indexed="81"/>
            <rFont val="Tahoma"/>
            <family val="2"/>
          </rPr>
          <t>Steen Hertin-Sandkær:</t>
        </r>
        <r>
          <rPr>
            <sz val="9"/>
            <color indexed="81"/>
            <rFont val="Tahoma"/>
            <family val="2"/>
          </rPr>
          <t xml:space="preserve">
Blågården 13.00-18.00</t>
        </r>
      </text>
    </comment>
    <comment ref="E69" authorId="1" shapeId="0" xr:uid="{1BC0E7B9-B295-442B-896C-36675BA1850A}">
      <text>
        <r>
          <rPr>
            <b/>
            <sz val="9"/>
            <color indexed="81"/>
            <rFont val="Tahoma"/>
            <family val="2"/>
          </rPr>
          <t>Steen Hertin-Sandkær:</t>
        </r>
        <r>
          <rPr>
            <sz val="9"/>
            <color indexed="81"/>
            <rFont val="Tahoma"/>
            <family val="2"/>
          </rPr>
          <t xml:space="preserve">
Blågården 13.00-18.00</t>
        </r>
      </text>
    </comment>
    <comment ref="F69" authorId="1" shapeId="0" xr:uid="{515B3D1E-730E-49B0-ADDE-D0E3BEC57257}">
      <text>
        <r>
          <rPr>
            <b/>
            <sz val="9"/>
            <color indexed="81"/>
            <rFont val="Tahoma"/>
            <family val="2"/>
          </rPr>
          <t>Steen Hertin-Sandkær:</t>
        </r>
        <r>
          <rPr>
            <sz val="9"/>
            <color indexed="81"/>
            <rFont val="Tahoma"/>
            <family val="2"/>
          </rPr>
          <t xml:space="preserve">
Blågården 11.00 - 15.00</t>
        </r>
      </text>
    </comment>
    <comment ref="H69" authorId="1" shapeId="0" xr:uid="{FEDDEE13-8E4E-4797-9AF8-A1FF95197195}">
      <text>
        <r>
          <rPr>
            <b/>
            <sz val="9"/>
            <color indexed="81"/>
            <rFont val="Tahoma"/>
            <family val="2"/>
          </rPr>
          <t>Steen Hertin-Sandkær:</t>
        </r>
        <r>
          <rPr>
            <sz val="9"/>
            <color indexed="81"/>
            <rFont val="Tahoma"/>
            <family val="2"/>
          </rPr>
          <t xml:space="preserve">
Blågården 13.00-18.00</t>
        </r>
      </text>
    </comment>
    <comment ref="I69" authorId="1" shapeId="0" xr:uid="{DC66A88A-4C9E-49BB-A144-B75B14CE0885}">
      <text>
        <r>
          <rPr>
            <b/>
            <sz val="9"/>
            <color indexed="81"/>
            <rFont val="Tahoma"/>
            <family val="2"/>
          </rPr>
          <t>Steen Hertin-Sandkær:</t>
        </r>
        <r>
          <rPr>
            <sz val="9"/>
            <color indexed="81"/>
            <rFont val="Tahoma"/>
            <family val="2"/>
          </rPr>
          <t xml:space="preserve">
Blågården 13.00-18.00</t>
        </r>
      </text>
    </comment>
    <comment ref="J69" authorId="1" shapeId="0" xr:uid="{2F13D2E3-E6C3-45A4-92BC-88BB5E3000A3}">
      <text>
        <r>
          <rPr>
            <b/>
            <sz val="9"/>
            <color indexed="81"/>
            <rFont val="Tahoma"/>
            <family val="2"/>
          </rPr>
          <t>Steen Hertin-Sandkær:</t>
        </r>
        <r>
          <rPr>
            <sz val="9"/>
            <color indexed="81"/>
            <rFont val="Tahoma"/>
            <family val="2"/>
          </rPr>
          <t xml:space="preserve">
Blågården 13.00-18.00</t>
        </r>
      </text>
    </comment>
    <comment ref="K69" authorId="1" shapeId="0" xr:uid="{9B39B206-18FB-47F3-BEBC-76C0DC2353FF}">
      <text>
        <r>
          <rPr>
            <b/>
            <sz val="9"/>
            <color indexed="81"/>
            <rFont val="Tahoma"/>
            <family val="2"/>
          </rPr>
          <t>Steen Hertin-Sandkær:</t>
        </r>
        <r>
          <rPr>
            <sz val="9"/>
            <color indexed="81"/>
            <rFont val="Tahoma"/>
            <family val="2"/>
          </rPr>
          <t xml:space="preserve">
Blågården 13.00-18.00</t>
        </r>
      </text>
    </comment>
    <comment ref="L69" authorId="1" shapeId="0" xr:uid="{29121C19-0972-434C-BB1B-3F24713B0C3B}">
      <text>
        <r>
          <rPr>
            <b/>
            <sz val="9"/>
            <color indexed="81"/>
            <rFont val="Tahoma"/>
            <family val="2"/>
          </rPr>
          <t>Steen Hertin-Sandkær:</t>
        </r>
        <r>
          <rPr>
            <sz val="9"/>
            <color indexed="81"/>
            <rFont val="Tahoma"/>
            <family val="2"/>
          </rPr>
          <t xml:space="preserve">
Blågården 13.00-18.00</t>
        </r>
      </text>
    </comment>
    <comment ref="O69" authorId="1" shapeId="0" xr:uid="{719BC063-DE6E-4D08-9BD0-2D45BE136F9D}">
      <text>
        <r>
          <rPr>
            <b/>
            <sz val="9"/>
            <color indexed="81"/>
            <rFont val="Tahoma"/>
            <family val="2"/>
          </rPr>
          <t>Steen Hertin-Sandkær:</t>
        </r>
        <r>
          <rPr>
            <sz val="9"/>
            <color indexed="81"/>
            <rFont val="Tahoma"/>
            <family val="2"/>
          </rPr>
          <t xml:space="preserve">
Blågården 13.00-20.00</t>
        </r>
      </text>
    </comment>
    <comment ref="P69" authorId="1" shapeId="0" xr:uid="{1EF2711C-1FC4-4D49-A917-E6EF76744D97}">
      <text>
        <r>
          <rPr>
            <b/>
            <sz val="9"/>
            <color indexed="81"/>
            <rFont val="Tahoma"/>
            <family val="2"/>
          </rPr>
          <t>Steen Hertin-Sandkær:</t>
        </r>
        <r>
          <rPr>
            <sz val="9"/>
            <color indexed="81"/>
            <rFont val="Tahoma"/>
            <family val="2"/>
          </rPr>
          <t xml:space="preserve">
Blågården 13.00-20.00</t>
        </r>
      </text>
    </comment>
    <comment ref="Q69" authorId="1" shapeId="0" xr:uid="{72A36E73-656B-4C9C-8048-8216D2AA22B1}">
      <text>
        <r>
          <rPr>
            <b/>
            <sz val="9"/>
            <color indexed="81"/>
            <rFont val="Tahoma"/>
            <family val="2"/>
          </rPr>
          <t>Steen Hertin-Sandkær:</t>
        </r>
        <r>
          <rPr>
            <sz val="9"/>
            <color indexed="81"/>
            <rFont val="Tahoma"/>
            <family val="2"/>
          </rPr>
          <t xml:space="preserve">
Blågården 13.00-20.00</t>
        </r>
      </text>
    </comment>
    <comment ref="R69" authorId="1" shapeId="0" xr:uid="{042FAED3-CF84-40BF-9FF9-67B3A6C67CC1}">
      <text>
        <r>
          <rPr>
            <b/>
            <sz val="9"/>
            <color indexed="81"/>
            <rFont val="Tahoma"/>
            <family val="2"/>
          </rPr>
          <t>Steen Hertin-Sandkær:</t>
        </r>
        <r>
          <rPr>
            <sz val="9"/>
            <color indexed="81"/>
            <rFont val="Tahoma"/>
            <family val="2"/>
          </rPr>
          <t xml:space="preserve">
Blågården 13.00-20.00</t>
        </r>
      </text>
    </comment>
    <comment ref="S69" authorId="1" shapeId="0" xr:uid="{98BD8A89-7C19-406B-B06F-8659AFEBFD91}">
      <text>
        <r>
          <rPr>
            <b/>
            <sz val="9"/>
            <color indexed="81"/>
            <rFont val="Tahoma"/>
            <family val="2"/>
          </rPr>
          <t>Steen Hertin-Sandkær:</t>
        </r>
        <r>
          <rPr>
            <sz val="9"/>
            <color indexed="81"/>
            <rFont val="Tahoma"/>
            <family val="2"/>
          </rPr>
          <t xml:space="preserve">
Blågården 13.00-20.00</t>
        </r>
      </text>
    </comment>
    <comment ref="V69" authorId="1" shapeId="0" xr:uid="{CBF30D3B-D5C2-49EC-A43F-28EB409111AC}">
      <text>
        <r>
          <rPr>
            <b/>
            <sz val="9"/>
            <color indexed="81"/>
            <rFont val="Tahoma"/>
            <family val="2"/>
          </rPr>
          <t>Steen Hertin-Sandkær:</t>
        </r>
        <r>
          <rPr>
            <sz val="9"/>
            <color indexed="81"/>
            <rFont val="Tahoma"/>
            <family val="2"/>
          </rPr>
          <t xml:space="preserve">
Blågården 13.00-18.00</t>
        </r>
      </text>
    </comment>
    <comment ref="W69" authorId="1" shapeId="0" xr:uid="{4180A627-6487-4E69-8D10-57F3D38BB5E7}">
      <text>
        <r>
          <rPr>
            <b/>
            <sz val="9"/>
            <color indexed="81"/>
            <rFont val="Tahoma"/>
            <family val="2"/>
          </rPr>
          <t>Steen Hertin-Sandkær:</t>
        </r>
        <r>
          <rPr>
            <sz val="9"/>
            <color indexed="81"/>
            <rFont val="Tahoma"/>
            <family val="2"/>
          </rPr>
          <t xml:space="preserve">
Blågården 13.00-18.00</t>
        </r>
      </text>
    </comment>
    <comment ref="X69" authorId="1" shapeId="0" xr:uid="{7B015E9C-90D8-49BD-BFAB-1AD22FE9436D}">
      <text>
        <r>
          <rPr>
            <b/>
            <sz val="9"/>
            <color indexed="81"/>
            <rFont val="Tahoma"/>
            <family val="2"/>
          </rPr>
          <t>Steen Hertin-Sandkær:</t>
        </r>
        <r>
          <rPr>
            <sz val="9"/>
            <color indexed="81"/>
            <rFont val="Tahoma"/>
            <family val="2"/>
          </rPr>
          <t xml:space="preserve">
Blågården 13.00-18.00</t>
        </r>
      </text>
    </comment>
    <comment ref="Y69" authorId="1" shapeId="0" xr:uid="{33792666-7CE6-44F2-A23C-6D6933536A52}">
      <text>
        <r>
          <rPr>
            <b/>
            <sz val="9"/>
            <color indexed="81"/>
            <rFont val="Tahoma"/>
            <family val="2"/>
          </rPr>
          <t>Steen Hertin-Sandkær:</t>
        </r>
        <r>
          <rPr>
            <sz val="9"/>
            <color indexed="81"/>
            <rFont val="Tahoma"/>
            <family val="2"/>
          </rPr>
          <t xml:space="preserve">
Blågården 13.00-18.00</t>
        </r>
      </text>
    </comment>
    <comment ref="Z69" authorId="1" shapeId="0" xr:uid="{9DE9AC5C-0124-4D3F-814B-D8F2629B8D30}">
      <text>
        <r>
          <rPr>
            <b/>
            <sz val="9"/>
            <color indexed="81"/>
            <rFont val="Tahoma"/>
            <family val="2"/>
          </rPr>
          <t>Steen Hertin-Sandkær:</t>
        </r>
        <r>
          <rPr>
            <sz val="9"/>
            <color indexed="81"/>
            <rFont val="Tahoma"/>
            <family val="2"/>
          </rPr>
          <t xml:space="preserve">
Blågården 13.00-18.00</t>
        </r>
      </text>
    </comment>
    <comment ref="AC69" authorId="1" shapeId="0" xr:uid="{02EA9D28-3C9C-4290-BCB6-4F66A21B2D0C}">
      <text>
        <r>
          <rPr>
            <b/>
            <sz val="9"/>
            <color indexed="81"/>
            <rFont val="Tahoma"/>
            <family val="2"/>
          </rPr>
          <t>Steen Hertin-Sandkær:</t>
        </r>
        <r>
          <rPr>
            <sz val="9"/>
            <color indexed="81"/>
            <rFont val="Tahoma"/>
            <family val="2"/>
          </rPr>
          <t xml:space="preserve">
Blågården 13.00-18.00</t>
        </r>
      </text>
    </comment>
    <comment ref="AD69" authorId="1" shapeId="0" xr:uid="{C1ABF2CD-079C-4EC1-AD60-D8084B05242F}">
      <text>
        <r>
          <rPr>
            <b/>
            <sz val="9"/>
            <color indexed="81"/>
            <rFont val="Tahoma"/>
            <family val="2"/>
          </rPr>
          <t>Steen Hertin-Sandkær:</t>
        </r>
        <r>
          <rPr>
            <sz val="9"/>
            <color indexed="81"/>
            <rFont val="Tahoma"/>
            <family val="2"/>
          </rPr>
          <t xml:space="preserve">
Blågården 13.00-18.00</t>
        </r>
      </text>
    </comment>
    <comment ref="F70" authorId="2" shapeId="0" xr:uid="{DC145193-B48A-4389-8A57-A9B8C3E915D3}">
      <text>
        <r>
          <rPr>
            <b/>
            <sz val="9"/>
            <color indexed="81"/>
            <rFont val="Tahoma"/>
            <family val="2"/>
          </rPr>
          <t>Steen Hertin:</t>
        </r>
        <r>
          <rPr>
            <sz val="9"/>
            <color indexed="81"/>
            <rFont val="Tahoma"/>
            <family val="2"/>
          </rPr>
          <t xml:space="preserve">
Nørrebro bibliotek kl. 11.00-20,15</t>
        </r>
      </text>
    </comment>
    <comment ref="G70" authorId="2" shapeId="0" xr:uid="{09072C89-2AC5-44C2-A9F2-1CE718E142D8}">
      <text>
        <r>
          <rPr>
            <b/>
            <sz val="9"/>
            <color indexed="81"/>
            <rFont val="Tahoma"/>
            <family val="2"/>
          </rPr>
          <t>Steen Hertin:</t>
        </r>
        <r>
          <rPr>
            <sz val="9"/>
            <color indexed="81"/>
            <rFont val="Tahoma"/>
            <family val="2"/>
          </rPr>
          <t xml:space="preserve">
Nørrebro bibliotek kl. 14.00-20,15</t>
        </r>
      </text>
    </comment>
    <comment ref="K70" authorId="1" shapeId="0" xr:uid="{A07F11A6-CAF7-4269-96FB-B6950EBCDD2A}">
      <text>
        <r>
          <rPr>
            <b/>
            <sz val="9"/>
            <color indexed="81"/>
            <rFont val="Tahoma"/>
            <family val="2"/>
          </rPr>
          <t>Steen Hertin-Sandkær:</t>
        </r>
        <r>
          <rPr>
            <sz val="9"/>
            <color indexed="81"/>
            <rFont val="Tahoma"/>
            <family val="2"/>
          </rPr>
          <t xml:space="preserve">
Dækker Blågårdens bibliotek kl. 14.00-18.00</t>
        </r>
      </text>
    </comment>
    <comment ref="AB70" authorId="2" shapeId="0" xr:uid="{10130821-3E0E-40C3-9822-CD02E2993B37}">
      <text>
        <r>
          <rPr>
            <b/>
            <sz val="9"/>
            <color indexed="81"/>
            <rFont val="Tahoma"/>
            <family val="2"/>
          </rPr>
          <t>Steen Hertin:</t>
        </r>
        <r>
          <rPr>
            <sz val="9"/>
            <color indexed="81"/>
            <rFont val="Tahoma"/>
            <family val="2"/>
          </rPr>
          <t xml:space="preserve">
Tingbjerg 13.45-18,45</t>
        </r>
      </text>
    </comment>
    <comment ref="AD70" authorId="2" shapeId="0" xr:uid="{0F8D2907-7E21-42A3-BC8F-4581A5CD21B5}">
      <text>
        <r>
          <rPr>
            <b/>
            <sz val="9"/>
            <color indexed="81"/>
            <rFont val="Tahoma"/>
            <family val="2"/>
          </rPr>
          <t>Steen Hertin:</t>
        </r>
        <r>
          <rPr>
            <sz val="9"/>
            <color indexed="81"/>
            <rFont val="Tahoma"/>
            <family val="2"/>
          </rPr>
          <t xml:space="preserve">
På hospital kl. 14,00</t>
        </r>
      </text>
    </comment>
    <comment ref="M71" authorId="5" shapeId="0" xr:uid="{BD5EFD13-1A09-431E-BBB2-3A840A0DCB65}">
      <text>
        <r>
          <rPr>
            <b/>
            <sz val="9"/>
            <color indexed="81"/>
            <rFont val="Tahoma"/>
            <family val="2"/>
          </rPr>
          <t>Nick Lorentzen:</t>
        </r>
        <r>
          <rPr>
            <sz val="9"/>
            <color indexed="81"/>
            <rFont val="Tahoma"/>
            <family val="2"/>
          </rPr>
          <t xml:space="preserve">
B1 OA</t>
        </r>
      </text>
    </comment>
    <comment ref="D72" authorId="1" shapeId="0" xr:uid="{7FC49E74-3DE8-4F65-8B2E-395412CFE4BE}">
      <text>
        <r>
          <rPr>
            <b/>
            <sz val="9"/>
            <color indexed="81"/>
            <rFont val="Tahoma"/>
            <family val="2"/>
          </rPr>
          <t>Steen Hertin-Sandkær:</t>
        </r>
        <r>
          <rPr>
            <sz val="9"/>
            <color indexed="81"/>
            <rFont val="Tahoma"/>
            <family val="2"/>
          </rPr>
          <t xml:space="preserve">
Møder kl 11,00 - 17.30
Brandvagt på Thorvaldsens kl. 15.30 - 17.00</t>
        </r>
      </text>
    </comment>
    <comment ref="L72" authorId="5" shapeId="0" xr:uid="{D612C92C-107B-4C55-B2B8-25812FD71E44}">
      <text>
        <r>
          <rPr>
            <b/>
            <sz val="9"/>
            <color indexed="81"/>
            <rFont val="Tahoma"/>
            <family val="2"/>
          </rPr>
          <t>Nick Lorentzen:</t>
        </r>
        <r>
          <rPr>
            <sz val="9"/>
            <color indexed="81"/>
            <rFont val="Tahoma"/>
            <family val="2"/>
          </rPr>
          <t xml:space="preserve">
11 OA</t>
        </r>
      </text>
    </comment>
    <comment ref="M72" authorId="5" shapeId="0" xr:uid="{021D0562-0E48-4B6A-9D93-14B0A4392148}">
      <text>
        <r>
          <rPr>
            <b/>
            <sz val="9"/>
            <color indexed="81"/>
            <rFont val="Tahoma"/>
            <family val="2"/>
          </rPr>
          <t>Nick Lorentzen:</t>
        </r>
        <r>
          <rPr>
            <sz val="9"/>
            <color indexed="81"/>
            <rFont val="Tahoma"/>
            <family val="2"/>
          </rPr>
          <t xml:space="preserve">
B3 OA</t>
        </r>
      </text>
    </comment>
    <comment ref="O72" authorId="6" shapeId="0" xr:uid="{A0E0FECB-24B4-43C8-B20C-48837C83AF26}">
      <text>
        <r>
          <rPr>
            <b/>
            <sz val="9"/>
            <color indexed="81"/>
            <rFont val="Tahoma"/>
            <family val="2"/>
          </rPr>
          <t>Nikolaj Langtin Pamhede:</t>
        </r>
        <r>
          <rPr>
            <sz val="9"/>
            <color indexed="81"/>
            <rFont val="Tahoma"/>
            <family val="2"/>
          </rPr>
          <t xml:space="preserve">
Møder 17:30</t>
        </r>
      </text>
    </comment>
    <comment ref="H73" authorId="2" shapeId="0" xr:uid="{20A5FAF0-DC4B-4F17-96EC-71FD08930C44}">
      <text>
        <r>
          <rPr>
            <b/>
            <sz val="9"/>
            <color indexed="81"/>
            <rFont val="Tahoma"/>
            <family val="2"/>
          </rPr>
          <t>Steen Hertin:</t>
        </r>
        <r>
          <rPr>
            <sz val="9"/>
            <color indexed="81"/>
            <rFont val="Tahoma"/>
            <family val="2"/>
          </rPr>
          <t xml:space="preserve">
Nørrebro bibliotek kl. 14.00-20,15</t>
        </r>
      </text>
    </comment>
    <comment ref="I73" authorId="2" shapeId="0" xr:uid="{7F2C2B86-0757-4051-AB39-0945C28591A9}">
      <text>
        <r>
          <rPr>
            <b/>
            <sz val="9"/>
            <color indexed="81"/>
            <rFont val="Tahoma"/>
            <family val="2"/>
          </rPr>
          <t>Steen Hertin:</t>
        </r>
        <r>
          <rPr>
            <sz val="9"/>
            <color indexed="81"/>
            <rFont val="Tahoma"/>
            <family val="2"/>
          </rPr>
          <t xml:space="preserve">
Nørrebro bibliotek kl. 14.00-20,15</t>
        </r>
      </text>
    </comment>
    <comment ref="J73" authorId="2" shapeId="0" xr:uid="{3B02FB84-B004-4F2B-AC91-A7CF78786E00}">
      <text>
        <r>
          <rPr>
            <b/>
            <sz val="9"/>
            <color indexed="81"/>
            <rFont val="Tahoma"/>
            <family val="2"/>
          </rPr>
          <t>Steen Hertin:</t>
        </r>
        <r>
          <rPr>
            <sz val="9"/>
            <color indexed="81"/>
            <rFont val="Tahoma"/>
            <family val="2"/>
          </rPr>
          <t xml:space="preserve">
Nørrebro bibliotek kl. 14.00-20,15</t>
        </r>
      </text>
    </comment>
    <comment ref="K73" authorId="2" shapeId="0" xr:uid="{882F1C7E-75AC-45E0-8FD5-497F5D83C1D0}">
      <text>
        <r>
          <rPr>
            <b/>
            <sz val="9"/>
            <color indexed="81"/>
            <rFont val="Tahoma"/>
            <family val="2"/>
          </rPr>
          <t>Steen Hertin:</t>
        </r>
        <r>
          <rPr>
            <sz val="9"/>
            <color indexed="81"/>
            <rFont val="Tahoma"/>
            <family val="2"/>
          </rPr>
          <t xml:space="preserve">
Nørrebro bibliotek kl. 14.00-20,15</t>
        </r>
      </text>
    </comment>
    <comment ref="L73" authorId="2" shapeId="0" xr:uid="{4E40F66C-137B-4B03-BFC4-CFFDCF73746E}">
      <text>
        <r>
          <rPr>
            <b/>
            <sz val="9"/>
            <color indexed="81"/>
            <rFont val="Tahoma"/>
            <family val="2"/>
          </rPr>
          <t>Steen Hertin:</t>
        </r>
        <r>
          <rPr>
            <sz val="9"/>
            <color indexed="81"/>
            <rFont val="Tahoma"/>
            <family val="2"/>
          </rPr>
          <t xml:space="preserve">
Nørrebro bibliotek kl. 14.00-20,15</t>
        </r>
      </text>
    </comment>
    <comment ref="M73" authorId="2" shapeId="0" xr:uid="{BC25BD6A-1566-4BFE-A1CE-8813D091207F}">
      <text>
        <r>
          <rPr>
            <b/>
            <sz val="9"/>
            <color indexed="81"/>
            <rFont val="Tahoma"/>
            <family val="2"/>
          </rPr>
          <t>Steen Hertin:</t>
        </r>
        <r>
          <rPr>
            <sz val="9"/>
            <color indexed="81"/>
            <rFont val="Tahoma"/>
            <family val="2"/>
          </rPr>
          <t xml:space="preserve">
Nørrebro bibliotek kl. 11.00-20,15</t>
        </r>
      </text>
    </comment>
    <comment ref="N73" authorId="2" shapeId="0" xr:uid="{16F7FC05-89C1-4D93-AB79-B71F00960F3F}">
      <text>
        <r>
          <rPr>
            <b/>
            <sz val="9"/>
            <color indexed="81"/>
            <rFont val="Tahoma"/>
            <family val="2"/>
          </rPr>
          <t>Steen Hertin:</t>
        </r>
        <r>
          <rPr>
            <sz val="9"/>
            <color indexed="81"/>
            <rFont val="Tahoma"/>
            <family val="2"/>
          </rPr>
          <t xml:space="preserve">
Nørrebro bibliotek kl. 14.00-20,15</t>
        </r>
      </text>
    </comment>
    <comment ref="V73" authorId="2" shapeId="0" xr:uid="{4B950CF6-50CF-44B5-A6F0-343DB2193043}">
      <text>
        <r>
          <rPr>
            <b/>
            <sz val="9"/>
            <color indexed="81"/>
            <rFont val="Tahoma"/>
            <family val="2"/>
          </rPr>
          <t>Steen Hertin:</t>
        </r>
        <r>
          <rPr>
            <sz val="9"/>
            <color indexed="81"/>
            <rFont val="Tahoma"/>
            <family val="2"/>
          </rPr>
          <t xml:space="preserve">
Nørrebro bibliotek kl. 14.00-20,15</t>
        </r>
      </text>
    </comment>
    <comment ref="W73" authorId="2" shapeId="0" xr:uid="{BC7D893A-B265-4239-BF5B-FA0DA509422A}">
      <text>
        <r>
          <rPr>
            <b/>
            <sz val="9"/>
            <color indexed="81"/>
            <rFont val="Tahoma"/>
            <family val="2"/>
          </rPr>
          <t>Steen Hertin:</t>
        </r>
        <r>
          <rPr>
            <sz val="9"/>
            <color indexed="81"/>
            <rFont val="Tahoma"/>
            <family val="2"/>
          </rPr>
          <t xml:space="preserve">
Nørrebro bibliotek kl. 14.00-20,15</t>
        </r>
      </text>
    </comment>
    <comment ref="X73" authorId="2" shapeId="0" xr:uid="{2D855192-C349-4B45-93BA-8A05D05497AD}">
      <text>
        <r>
          <rPr>
            <b/>
            <sz val="9"/>
            <color indexed="81"/>
            <rFont val="Tahoma"/>
            <family val="2"/>
          </rPr>
          <t>Steen Hertin:</t>
        </r>
        <r>
          <rPr>
            <sz val="9"/>
            <color indexed="81"/>
            <rFont val="Tahoma"/>
            <family val="2"/>
          </rPr>
          <t xml:space="preserve">
Nørrebro bibliotek kl. 14.00-20,15</t>
        </r>
      </text>
    </comment>
    <comment ref="Y73" authorId="2" shapeId="0" xr:uid="{B25E484B-2CB5-4DC4-AD6A-FFBF15D93993}">
      <text>
        <r>
          <rPr>
            <b/>
            <sz val="9"/>
            <color indexed="81"/>
            <rFont val="Tahoma"/>
            <family val="2"/>
          </rPr>
          <t>Steen Hertin:</t>
        </r>
        <r>
          <rPr>
            <sz val="9"/>
            <color indexed="81"/>
            <rFont val="Tahoma"/>
            <family val="2"/>
          </rPr>
          <t xml:space="preserve">
Nørrebro bibliotek kl. 14.00-20,15</t>
        </r>
      </text>
    </comment>
    <comment ref="Z73" authorId="2" shapeId="0" xr:uid="{AC319C31-2574-4E5B-9B58-0AC98473ABE3}">
      <text>
        <r>
          <rPr>
            <b/>
            <sz val="9"/>
            <color indexed="81"/>
            <rFont val="Tahoma"/>
            <family val="2"/>
          </rPr>
          <t>Steen Hertin:</t>
        </r>
        <r>
          <rPr>
            <sz val="9"/>
            <color indexed="81"/>
            <rFont val="Tahoma"/>
            <family val="2"/>
          </rPr>
          <t xml:space="preserve">
Nørrebro bibliotek kl. 14.00-20,15</t>
        </r>
      </text>
    </comment>
    <comment ref="AA73" authorId="2" shapeId="0" xr:uid="{D9327A59-3182-48C1-B38F-7DEE4F21BA76}">
      <text>
        <r>
          <rPr>
            <b/>
            <sz val="9"/>
            <color indexed="81"/>
            <rFont val="Tahoma"/>
            <family val="2"/>
          </rPr>
          <t>Steen Hertin:</t>
        </r>
        <r>
          <rPr>
            <sz val="9"/>
            <color indexed="81"/>
            <rFont val="Tahoma"/>
            <family val="2"/>
          </rPr>
          <t xml:space="preserve">
Nørrebro bibliotek kl. 14.00-20,15</t>
        </r>
      </text>
    </comment>
    <comment ref="AB73" authorId="2" shapeId="0" xr:uid="{89E9D80C-157B-4FF9-A542-9ECE58713AF2}">
      <text>
        <r>
          <rPr>
            <b/>
            <sz val="9"/>
            <color indexed="81"/>
            <rFont val="Tahoma"/>
            <family val="2"/>
          </rPr>
          <t>Steen Hertin:</t>
        </r>
        <r>
          <rPr>
            <sz val="9"/>
            <color indexed="81"/>
            <rFont val="Tahoma"/>
            <family val="2"/>
          </rPr>
          <t xml:space="preserve">
Nørrebro bibliotek kl. 14.00-20,15</t>
        </r>
      </text>
    </comment>
    <comment ref="J76" authorId="2" shapeId="0" xr:uid="{C7B65EF7-7A7B-4D33-949A-3D699B707D23}">
      <text>
        <r>
          <rPr>
            <b/>
            <sz val="9"/>
            <color indexed="81"/>
            <rFont val="Tahoma"/>
            <family val="2"/>
          </rPr>
          <t>Steen Hertin:</t>
        </r>
        <r>
          <rPr>
            <sz val="9"/>
            <color indexed="81"/>
            <rFont val="Tahoma"/>
            <family val="2"/>
          </rPr>
          <t xml:space="preserve">
M-vagt på OA</t>
        </r>
      </text>
    </comment>
    <comment ref="K76" authorId="2" shapeId="0" xr:uid="{39D9DD0C-0C24-49D9-8C52-C9DAFAB61EE9}">
      <text>
        <r>
          <rPr>
            <b/>
            <sz val="9"/>
            <color indexed="81"/>
            <rFont val="Tahoma"/>
            <family val="2"/>
          </rPr>
          <t>Steen Hertin:</t>
        </r>
        <r>
          <rPr>
            <sz val="9"/>
            <color indexed="81"/>
            <rFont val="Tahoma"/>
            <family val="2"/>
          </rPr>
          <t xml:space="preserve">
M-vagt på OA</t>
        </r>
      </text>
    </comment>
    <comment ref="U76" authorId="2" shapeId="0" xr:uid="{517F479F-2439-4388-A29C-A0C4C0AE79F1}">
      <text>
        <r>
          <rPr>
            <b/>
            <sz val="9"/>
            <color indexed="81"/>
            <rFont val="Tahoma"/>
            <family val="2"/>
          </rPr>
          <t>Steen Hertin:</t>
        </r>
        <r>
          <rPr>
            <sz val="9"/>
            <color indexed="81"/>
            <rFont val="Tahoma"/>
            <family val="2"/>
          </rPr>
          <t xml:space="preserve">
Tingbjerg 13.45-18,45</t>
        </r>
      </text>
    </comment>
    <comment ref="C78" authorId="1" shapeId="0" xr:uid="{416679DD-83A4-43D4-8DC7-8743197BED98}">
      <text>
        <r>
          <rPr>
            <b/>
            <sz val="9"/>
            <color indexed="81"/>
            <rFont val="Tahoma"/>
            <family val="2"/>
          </rPr>
          <t>Steen Hertin-Sandkær:</t>
        </r>
        <r>
          <rPr>
            <sz val="9"/>
            <color indexed="81"/>
            <rFont val="Tahoma"/>
            <family val="2"/>
          </rPr>
          <t xml:space="preserve">
Afspadsere fra kl. 11.00</t>
        </r>
      </text>
    </comment>
    <comment ref="D78" authorId="1" shapeId="0" xr:uid="{FBCEB173-8DCF-4EAA-80BC-E5C34AD15444}">
      <text>
        <r>
          <rPr>
            <b/>
            <sz val="9"/>
            <color indexed="81"/>
            <rFont val="Tahoma"/>
            <family val="2"/>
          </rPr>
          <t>Steen Hertin-Sandkær:</t>
        </r>
        <r>
          <rPr>
            <sz val="9"/>
            <color indexed="81"/>
            <rFont val="Tahoma"/>
            <family val="2"/>
          </rPr>
          <t xml:space="preserve">
Møder kl 12,00 - 17.30
Brandvagt på Thorvaldsens kl. 15.30 - 17.00</t>
        </r>
      </text>
    </comment>
    <comment ref="H78" authorId="0" shapeId="0" xr:uid="{01C19305-6C30-495E-8794-B50E04BC1F6C}">
      <text>
        <r>
          <rPr>
            <b/>
            <sz val="9"/>
            <color indexed="81"/>
            <rFont val="Tahoma"/>
            <family val="2"/>
          </rPr>
          <t>Thomas Holm:</t>
        </r>
        <r>
          <rPr>
            <sz val="9"/>
            <color indexed="81"/>
            <rFont val="Tahoma"/>
            <family val="2"/>
          </rPr>
          <t xml:space="preserve">
Blågården Bibliotek 
13.00-18-00</t>
        </r>
      </text>
    </comment>
    <comment ref="H79" authorId="5" shapeId="0" xr:uid="{F5FA6314-7D69-4689-BD89-F98D725F38AF}">
      <text>
        <r>
          <rPr>
            <b/>
            <sz val="9"/>
            <color indexed="81"/>
            <rFont val="Tahoma"/>
            <family val="2"/>
          </rPr>
          <t>Nick Lorentzen:</t>
        </r>
        <r>
          <rPr>
            <sz val="9"/>
            <color indexed="81"/>
            <rFont val="Tahoma"/>
            <family val="2"/>
          </rPr>
          <t xml:space="preserve">
Mødte kl 15:00 da han ikke var varskoet om at vagten er lavet om. Skulle have været 25 vagt i oplæring. </t>
        </r>
      </text>
    </comment>
    <comment ref="K79" authorId="1" shapeId="0" xr:uid="{98F527E1-7F9F-46C6-98F7-30ECEA1A742C}">
      <text>
        <r>
          <rPr>
            <b/>
            <sz val="9"/>
            <color indexed="81"/>
            <rFont val="Tahoma"/>
            <family val="2"/>
          </rPr>
          <t>Steen Hertin-Sandkær:</t>
        </r>
        <r>
          <rPr>
            <sz val="9"/>
            <color indexed="81"/>
            <rFont val="Tahoma"/>
            <family val="2"/>
          </rPr>
          <t xml:space="preserve">
Dækker Blågårdens bibliotek kl. 14.00-18.00</t>
        </r>
      </text>
    </comment>
    <comment ref="L79" authorId="6" shapeId="0" xr:uid="{389D5172-A433-4794-8F95-24732F17E20D}">
      <text>
        <r>
          <rPr>
            <b/>
            <sz val="9"/>
            <color indexed="81"/>
            <rFont val="Tahoma"/>
            <family val="2"/>
          </rPr>
          <t>Nikolaj Langtin Pamhede:</t>
        </r>
        <r>
          <rPr>
            <sz val="9"/>
            <color indexed="81"/>
            <rFont val="Tahoma"/>
            <family val="2"/>
          </rPr>
          <t xml:space="preserve">
S2 på oa</t>
        </r>
      </text>
    </comment>
    <comment ref="N79" authorId="1" shapeId="0" xr:uid="{9C67589F-7B03-4A26-86FE-CDB90CBEF328}">
      <text>
        <r>
          <rPr>
            <b/>
            <sz val="9"/>
            <color indexed="81"/>
            <rFont val="Tahoma"/>
            <family val="2"/>
          </rPr>
          <t>Steen Hertin-Sandkær:</t>
        </r>
        <r>
          <rPr>
            <sz val="9"/>
            <color indexed="81"/>
            <rFont val="Tahoma"/>
            <family val="2"/>
          </rPr>
          <t xml:space="preserve">
S5 på OA.</t>
        </r>
      </text>
    </comment>
    <comment ref="L83" authorId="5" shapeId="0" xr:uid="{9EA74EA3-202F-4F3A-95E3-D88901AE6EAA}">
      <text>
        <r>
          <rPr>
            <b/>
            <sz val="9"/>
            <color indexed="81"/>
            <rFont val="Tahoma"/>
            <family val="2"/>
          </rPr>
          <t>Nick Lorentzen:</t>
        </r>
        <r>
          <rPr>
            <sz val="9"/>
            <color indexed="81"/>
            <rFont val="Tahoma"/>
            <family val="2"/>
          </rPr>
          <t xml:space="preserve">
9 vagt OA</t>
        </r>
      </text>
    </comment>
    <comment ref="I93" authorId="6" shapeId="0" xr:uid="{F6ACBFEC-619F-4990-8ECD-E296EC05E474}">
      <text>
        <r>
          <rPr>
            <b/>
            <sz val="9"/>
            <color indexed="81"/>
            <rFont val="Tahoma"/>
            <family val="2"/>
          </rPr>
          <t>Nikolaj Langtin Pamhede:</t>
        </r>
        <r>
          <rPr>
            <sz val="9"/>
            <color indexed="81"/>
            <rFont val="Tahoma"/>
            <family val="2"/>
          </rPr>
          <t xml:space="preserve">
Skole</t>
        </r>
      </text>
    </comment>
    <comment ref="O93" authorId="6" shapeId="0" xr:uid="{DB47E0FB-5F8A-4E04-9593-AB64CC3CD2D7}">
      <text>
        <r>
          <rPr>
            <b/>
            <sz val="9"/>
            <color indexed="81"/>
            <rFont val="Tahoma"/>
            <family val="2"/>
          </rPr>
          <t>Nikolaj Langtin Pamhede:</t>
        </r>
        <r>
          <rPr>
            <sz val="9"/>
            <color indexed="81"/>
            <rFont val="Tahoma"/>
            <family val="2"/>
          </rPr>
          <t xml:space="preserve">
Kun dagvagt</t>
        </r>
      </text>
    </comment>
    <comment ref="P93" authorId="6" shapeId="0" xr:uid="{F78EF9D0-8614-420C-96A9-1729FC81F417}">
      <text>
        <r>
          <rPr>
            <b/>
            <sz val="9"/>
            <color indexed="81"/>
            <rFont val="Tahoma"/>
            <family val="2"/>
          </rPr>
          <t>Nikolaj Langtin Pamhede:</t>
        </r>
        <r>
          <rPr>
            <sz val="9"/>
            <color indexed="81"/>
            <rFont val="Tahoma"/>
            <family val="2"/>
          </rPr>
          <t xml:space="preserve">
Skole</t>
        </r>
      </text>
    </comment>
    <comment ref="W93" authorId="6" shapeId="0" xr:uid="{C4731087-038C-4380-A2DF-5801557893A1}">
      <text>
        <r>
          <rPr>
            <b/>
            <sz val="9"/>
            <color indexed="81"/>
            <rFont val="Tahoma"/>
            <family val="2"/>
          </rPr>
          <t>Nikolaj Langtin Pamhede:</t>
        </r>
        <r>
          <rPr>
            <sz val="9"/>
            <color indexed="81"/>
            <rFont val="Tahoma"/>
            <family val="2"/>
          </rPr>
          <t xml:space="preserve">
Skole</t>
        </r>
      </text>
    </comment>
    <comment ref="AD93" authorId="6" shapeId="0" xr:uid="{56B665CF-85BC-4FEB-A8B4-5018008C83B5}">
      <text>
        <r>
          <rPr>
            <b/>
            <sz val="9"/>
            <color indexed="81"/>
            <rFont val="Tahoma"/>
            <family val="2"/>
          </rPr>
          <t>Nikolaj Langtin Pamhede:</t>
        </r>
        <r>
          <rPr>
            <sz val="9"/>
            <color indexed="81"/>
            <rFont val="Tahoma"/>
            <family val="2"/>
          </rPr>
          <t xml:space="preserve">
Skole</t>
        </r>
      </text>
    </comment>
    <comment ref="H97" authorId="6" shapeId="0" xr:uid="{44984B0E-1F33-4FB6-A3CD-D4D8E3651E2A}">
      <text>
        <r>
          <rPr>
            <b/>
            <sz val="9"/>
            <color indexed="81"/>
            <rFont val="Tahoma"/>
            <family val="2"/>
          </rPr>
          <t>Nikolaj Langtin Pamhede:</t>
        </r>
        <r>
          <rPr>
            <sz val="9"/>
            <color indexed="81"/>
            <rFont val="Tahoma"/>
            <family val="2"/>
          </rPr>
          <t xml:space="preserve">
Møder 8:30-16:30
</t>
        </r>
      </text>
    </comment>
    <comment ref="L97" authorId="6" shapeId="0" xr:uid="{EBED9D29-8BBA-41F5-8C6D-AD10B954CCB5}">
      <text>
        <r>
          <rPr>
            <b/>
            <sz val="9"/>
            <color indexed="81"/>
            <rFont val="Tahoma"/>
            <family val="2"/>
          </rPr>
          <t>Nikolaj Langtin Pamhede:</t>
        </r>
        <r>
          <rPr>
            <sz val="9"/>
            <color indexed="81"/>
            <rFont val="Tahoma"/>
            <family val="2"/>
          </rPr>
          <t xml:space="preserve">
Rundvisning afd.</t>
        </r>
      </text>
    </comment>
    <comment ref="AC98" authorId="6" shapeId="0" xr:uid="{3146DDD0-9BB1-4A97-A51A-4E21E4BC0E31}">
      <text>
        <r>
          <rPr>
            <b/>
            <sz val="9"/>
            <color indexed="81"/>
            <rFont val="Tahoma"/>
            <family val="2"/>
          </rPr>
          <t>Nikolaj Langtin Pamhede:</t>
        </r>
        <r>
          <rPr>
            <sz val="9"/>
            <color indexed="81"/>
            <rFont val="Tahoma"/>
            <family val="2"/>
          </rPr>
          <t xml:space="preserve">
Møder kl. 08.00 til 15.00</t>
        </r>
      </text>
    </comment>
    <comment ref="AD98" authorId="6" shapeId="0" xr:uid="{241D0C9C-566E-4725-BE37-149B81F3DA11}">
      <text>
        <r>
          <rPr>
            <b/>
            <sz val="9"/>
            <color indexed="81"/>
            <rFont val="Tahoma"/>
            <family val="2"/>
          </rPr>
          <t>Nikolaj Langtin Pamhede:</t>
        </r>
        <r>
          <rPr>
            <sz val="9"/>
            <color indexed="81"/>
            <rFont val="Tahoma"/>
            <family val="2"/>
          </rPr>
          <t xml:space="preserve">
Rundvisning afd.
8-15</t>
        </r>
      </text>
    </comment>
    <comment ref="AC99" authorId="6" shapeId="0" xr:uid="{68821C8A-8E12-418E-8E71-F7F740768EB7}">
      <text>
        <r>
          <rPr>
            <b/>
            <sz val="9"/>
            <color indexed="81"/>
            <rFont val="Tahoma"/>
            <family val="2"/>
          </rPr>
          <t>Nikolaj Langtin Pamhede:</t>
        </r>
        <r>
          <rPr>
            <sz val="9"/>
            <color indexed="81"/>
            <rFont val="Tahoma"/>
            <family val="2"/>
          </rPr>
          <t xml:space="preserve">
Møder kl. 08.00 til 15.00</t>
        </r>
      </text>
    </comment>
    <comment ref="AD99" authorId="6" shapeId="0" xr:uid="{F760B29C-7B37-4FBD-B1D0-FB2AEF353525}">
      <text>
        <r>
          <rPr>
            <b/>
            <sz val="9"/>
            <color indexed="81"/>
            <rFont val="Tahoma"/>
            <family val="2"/>
          </rPr>
          <t>Nikolaj Langtin Pamhede:</t>
        </r>
        <r>
          <rPr>
            <sz val="9"/>
            <color indexed="81"/>
            <rFont val="Tahoma"/>
            <family val="2"/>
          </rPr>
          <t xml:space="preserve">
arrangement service
8-15</t>
        </r>
      </text>
    </comment>
    <comment ref="I107" authorId="2" shapeId="0" xr:uid="{0C977806-4944-4E0E-AFF1-A2D29AC8DDAD}">
      <text>
        <r>
          <rPr>
            <b/>
            <sz val="9"/>
            <color indexed="81"/>
            <rFont val="Tahoma"/>
            <family val="2"/>
          </rPr>
          <t>Steen Hertin:</t>
        </r>
        <r>
          <rPr>
            <sz val="9"/>
            <color indexed="81"/>
            <rFont val="Tahoma"/>
            <family val="2"/>
          </rPr>
          <t xml:space="preserve">
S1 på OA</t>
        </r>
      </text>
    </comment>
    <comment ref="J107" authorId="2" shapeId="0" xr:uid="{87B6C957-C52D-41FA-A860-19A52D2706F5}">
      <text>
        <r>
          <rPr>
            <b/>
            <sz val="9"/>
            <color indexed="81"/>
            <rFont val="Tahoma"/>
            <family val="2"/>
          </rPr>
          <t>Steen Hertin:</t>
        </r>
        <r>
          <rPr>
            <sz val="9"/>
            <color indexed="81"/>
            <rFont val="Tahoma"/>
            <family val="2"/>
          </rPr>
          <t xml:space="preserve">
S1 på OA</t>
        </r>
      </text>
    </comment>
    <comment ref="K107" authorId="1" shapeId="0" xr:uid="{9C921578-8D54-4D98-86D4-B6AB864CAA5C}">
      <text>
        <r>
          <rPr>
            <b/>
            <sz val="9"/>
            <color indexed="81"/>
            <rFont val="Tahoma"/>
            <family val="2"/>
          </rPr>
          <t>Steen Hertin-Sandkær:</t>
        </r>
        <r>
          <rPr>
            <sz val="9"/>
            <color indexed="81"/>
            <rFont val="Tahoma"/>
            <family val="2"/>
          </rPr>
          <t xml:space="preserve">
Kursus Sjællandsgade 14.30-15.30</t>
        </r>
      </text>
    </comment>
    <comment ref="K108" authorId="1" shapeId="0" xr:uid="{B744C962-A493-4FA5-A15A-5CEC906C22C8}">
      <text>
        <r>
          <rPr>
            <b/>
            <sz val="9"/>
            <color indexed="81"/>
            <rFont val="Tahoma"/>
            <family val="2"/>
          </rPr>
          <t>Steen Hertin-Sandkær:</t>
        </r>
        <r>
          <rPr>
            <sz val="9"/>
            <color indexed="81"/>
            <rFont val="Tahoma"/>
            <family val="2"/>
          </rPr>
          <t xml:space="preserve">
Kursus Sjællandsgade 14.30-15.30 + S1 på OA</t>
        </r>
      </text>
    </comment>
    <comment ref="D111" authorId="2" shapeId="0" xr:uid="{4AD923BC-4B99-4EFF-BA1B-26625E6350EB}">
      <text>
        <r>
          <rPr>
            <b/>
            <sz val="9"/>
            <color indexed="81"/>
            <rFont val="Tahoma"/>
            <family val="2"/>
          </rPr>
          <t>Steen Hertin:</t>
        </r>
        <r>
          <rPr>
            <sz val="9"/>
            <color indexed="81"/>
            <rFont val="Tahoma"/>
            <family val="2"/>
          </rPr>
          <t xml:space="preserve">
Nørrebro bibliotek kl. 14.00-20,15</t>
        </r>
      </text>
    </comment>
    <comment ref="E111" authorId="2" shapeId="0" xr:uid="{01E57CDA-56D1-42B6-8966-7D6F11E43A70}">
      <text>
        <r>
          <rPr>
            <b/>
            <sz val="9"/>
            <color indexed="81"/>
            <rFont val="Tahoma"/>
            <family val="2"/>
          </rPr>
          <t>Steen Hertin:</t>
        </r>
        <r>
          <rPr>
            <sz val="9"/>
            <color indexed="81"/>
            <rFont val="Tahoma"/>
            <family val="2"/>
          </rPr>
          <t xml:space="preserve">
Nørrebro bibliotek kl. 14.00-20,15</t>
        </r>
      </text>
    </comment>
    <comment ref="K111" authorId="1" shapeId="0" xr:uid="{DA62A4D5-21D7-4062-9C7A-C36EAB588FA9}">
      <text>
        <r>
          <rPr>
            <b/>
            <sz val="9"/>
            <color indexed="81"/>
            <rFont val="Tahoma"/>
            <family val="2"/>
          </rPr>
          <t>Steen Hertin-Sandkær:</t>
        </r>
        <r>
          <rPr>
            <sz val="9"/>
            <color indexed="81"/>
            <rFont val="Tahoma"/>
            <family val="2"/>
          </rPr>
          <t xml:space="preserve">
Kursus Sjællandsgade 14.30-15.30</t>
        </r>
      </text>
    </comment>
    <comment ref="Q111" authorId="0" shapeId="0" xr:uid="{108E1011-B208-48C2-97ED-B3DA7AAF1E2F}">
      <text>
        <r>
          <rPr>
            <b/>
            <sz val="9"/>
            <color indexed="81"/>
            <rFont val="Tahoma"/>
            <family val="2"/>
          </rPr>
          <t>Thomas Holm:</t>
        </r>
        <r>
          <rPr>
            <sz val="9"/>
            <color indexed="81"/>
            <rFont val="Tahoma"/>
            <family val="2"/>
          </rPr>
          <t xml:space="preserve">
S1 OA</t>
        </r>
      </text>
    </comment>
    <comment ref="R111" authorId="0" shapeId="0" xr:uid="{FD0C032B-A1EC-424F-B791-A1F8A70F36C0}">
      <text>
        <r>
          <rPr>
            <b/>
            <sz val="9"/>
            <color indexed="81"/>
            <rFont val="Tahoma"/>
            <family val="2"/>
          </rPr>
          <t>Thomas Holm:</t>
        </r>
        <r>
          <rPr>
            <sz val="9"/>
            <color indexed="81"/>
            <rFont val="Tahoma"/>
            <family val="2"/>
          </rPr>
          <t xml:space="preserve">
S1 OA</t>
        </r>
      </text>
    </comment>
    <comment ref="P123" authorId="4" shapeId="0" xr:uid="{16C05681-090E-40DA-9533-557BDD894AF8}">
      <text>
        <r>
          <rPr>
            <b/>
            <sz val="9"/>
            <color indexed="81"/>
            <rFont val="Tahoma"/>
            <family val="2"/>
          </rPr>
          <t>Mathias Hartvig Morell Nielsen:</t>
        </r>
        <r>
          <rPr>
            <sz val="9"/>
            <color indexed="81"/>
            <rFont val="Tahoma"/>
            <family val="2"/>
          </rPr>
          <t xml:space="preserve">
G-vagt OA</t>
        </r>
      </text>
    </comment>
    <comment ref="Q123" authorId="4" shapeId="0" xr:uid="{1F132016-C62A-468E-AE72-ABDE106E9B3C}">
      <text>
        <r>
          <rPr>
            <b/>
            <sz val="9"/>
            <color indexed="81"/>
            <rFont val="Tahoma"/>
            <family val="2"/>
          </rPr>
          <t>Mathias Hartvig Morell Nielsen:</t>
        </r>
        <r>
          <rPr>
            <sz val="9"/>
            <color indexed="81"/>
            <rFont val="Tahoma"/>
            <family val="2"/>
          </rPr>
          <t xml:space="preserve">
G-vagt OA</t>
        </r>
      </text>
    </comment>
    <comment ref="R123" authorId="4" shapeId="0" xr:uid="{64788E9E-2998-4C76-852A-B94687D7968E}">
      <text>
        <r>
          <rPr>
            <b/>
            <sz val="9"/>
            <color indexed="81"/>
            <rFont val="Tahoma"/>
            <family val="2"/>
          </rPr>
          <t>Mathias Hartvig Morell Nielsen:</t>
        </r>
        <r>
          <rPr>
            <sz val="9"/>
            <color indexed="81"/>
            <rFont val="Tahoma"/>
            <family val="2"/>
          </rPr>
          <t xml:space="preserve">
G-vagt OA</t>
        </r>
      </text>
    </comment>
    <comment ref="V123" authorId="1" shapeId="0" xr:uid="{47320460-9680-44BB-B145-5903B5F20850}">
      <text>
        <r>
          <rPr>
            <b/>
            <sz val="9"/>
            <color indexed="81"/>
            <rFont val="Tahoma"/>
            <family val="2"/>
          </rPr>
          <t>Steen Hertin-Sandkær:</t>
        </r>
        <r>
          <rPr>
            <sz val="9"/>
            <color indexed="81"/>
            <rFont val="Tahoma"/>
            <family val="2"/>
          </rPr>
          <t xml:space="preserve">
Handicapcenter 09.00 - 15.00</t>
        </r>
      </text>
    </comment>
    <comment ref="E124" authorId="1" shapeId="0" xr:uid="{DDC635C7-96A8-4E49-AB4B-417449EC9F88}">
      <text>
        <r>
          <rPr>
            <b/>
            <sz val="9"/>
            <color indexed="81"/>
            <rFont val="Tahoma"/>
            <family val="2"/>
          </rPr>
          <t>Steen Hertin-Sandkær
Handicapcenter 09.00-13.00</t>
        </r>
      </text>
    </comment>
    <comment ref="H124" authorId="7" shapeId="0" xr:uid="{E03B5736-024F-4746-8E08-116FD113BA27}">
      <text>
        <r>
          <rPr>
            <b/>
            <sz val="9"/>
            <color indexed="81"/>
            <rFont val="Tahoma"/>
            <family val="2"/>
          </rPr>
          <t>Michael Bo Pedersen:</t>
        </r>
        <r>
          <rPr>
            <sz val="9"/>
            <color indexed="81"/>
            <rFont val="Tahoma"/>
            <family val="2"/>
          </rPr>
          <t xml:space="preserve">
Handicapcenter 09,00 - 15.00</t>
        </r>
      </text>
    </comment>
    <comment ref="I124" authorId="7" shapeId="0" xr:uid="{A8865078-9689-4C1C-831C-7D7C608D92FA}">
      <text>
        <r>
          <rPr>
            <b/>
            <sz val="9"/>
            <color indexed="81"/>
            <rFont val="Tahoma"/>
            <family val="2"/>
          </rPr>
          <t xml:space="preserve">Michael Bo Pedersen:
M-vagt </t>
        </r>
      </text>
    </comment>
    <comment ref="O124" authorId="1" shapeId="0" xr:uid="{91AF27F4-F61B-4F69-BDA9-9278ABEE1FD6}">
      <text>
        <r>
          <rPr>
            <b/>
            <sz val="9"/>
            <color indexed="81"/>
            <rFont val="Tahoma"/>
            <family val="2"/>
          </rPr>
          <t>Steen Hertin-Sandkær:</t>
        </r>
        <r>
          <rPr>
            <sz val="9"/>
            <color indexed="81"/>
            <rFont val="Tahoma"/>
            <family val="2"/>
          </rPr>
          <t xml:space="preserve">
Handicapcenter 09.00 - 15.00</t>
        </r>
      </text>
    </comment>
    <comment ref="P124" authorId="1" shapeId="0" xr:uid="{B7CF223E-B1E8-4F9A-8AD8-4360ED568067}">
      <text>
        <r>
          <rPr>
            <b/>
            <sz val="9"/>
            <color indexed="81"/>
            <rFont val="Tahoma"/>
            <family val="2"/>
          </rPr>
          <t>Steen Hertin-Sandkær:</t>
        </r>
        <r>
          <rPr>
            <sz val="9"/>
            <color indexed="81"/>
            <rFont val="Tahoma"/>
            <family val="2"/>
          </rPr>
          <t xml:space="preserve">
Handicapcenter 09.00 - 15.00</t>
        </r>
      </text>
    </comment>
    <comment ref="Q124" authorId="1" shapeId="0" xr:uid="{DBC28E8F-D767-435D-B629-2089082C02FB}">
      <text>
        <r>
          <rPr>
            <b/>
            <sz val="9"/>
            <color indexed="81"/>
            <rFont val="Tahoma"/>
            <family val="2"/>
          </rPr>
          <t>Steen Hertin-Sandkær:</t>
        </r>
        <r>
          <rPr>
            <sz val="9"/>
            <color indexed="81"/>
            <rFont val="Tahoma"/>
            <family val="2"/>
          </rPr>
          <t xml:space="preserve">
Handicapcenter 09.00 - 15.00</t>
        </r>
      </text>
    </comment>
    <comment ref="R124" authorId="1" shapeId="0" xr:uid="{195C7E56-2371-4A3B-8BB5-57D4D6E9C12C}">
      <text>
        <r>
          <rPr>
            <b/>
            <sz val="9"/>
            <color indexed="81"/>
            <rFont val="Tahoma"/>
            <family val="2"/>
          </rPr>
          <t>Steen Hertin-Sandkær:</t>
        </r>
        <r>
          <rPr>
            <sz val="9"/>
            <color indexed="81"/>
            <rFont val="Tahoma"/>
            <family val="2"/>
          </rPr>
          <t xml:space="preserve">
Handicapcenter 13.00 - 17.00</t>
        </r>
      </text>
    </comment>
    <comment ref="I147" authorId="4" shapeId="0" xr:uid="{FD0BC501-20A6-4EAC-BBEB-CCF4143C1547}">
      <text>
        <r>
          <rPr>
            <b/>
            <sz val="9"/>
            <color indexed="81"/>
            <rFont val="Tahoma"/>
            <family val="2"/>
          </rPr>
          <t>Mathias Hartvig Morell Nielsen:</t>
        </r>
        <r>
          <rPr>
            <sz val="9"/>
            <color indexed="81"/>
            <rFont val="Tahoma"/>
            <family val="2"/>
          </rPr>
          <t xml:space="preserve">
12:30-13:00 Udvalgsværelse F charlotte, AMR</t>
        </r>
      </text>
    </comment>
    <comment ref="K147" authorId="0" shapeId="0" xr:uid="{A1AF1A73-5A12-46B8-B129-224836D4AE81}">
      <text>
        <r>
          <rPr>
            <b/>
            <sz val="9"/>
            <color indexed="81"/>
            <rFont val="Tahoma"/>
            <family val="2"/>
          </rPr>
          <t>Thomas Holm:</t>
        </r>
        <r>
          <rPr>
            <sz val="9"/>
            <color indexed="81"/>
            <rFont val="Tahoma"/>
            <family val="2"/>
          </rPr>
          <t xml:space="preserve">
Apv nye biler
09.00-12.30</t>
        </r>
      </text>
    </comment>
    <comment ref="O147" authorId="4" shapeId="0" xr:uid="{E10F0091-DDE4-4A42-AAB3-5CDC30709C42}">
      <text>
        <r>
          <rPr>
            <b/>
            <sz val="9"/>
            <color indexed="81"/>
            <rFont val="Tahoma"/>
            <family val="2"/>
          </rPr>
          <t>Mathias Hartvig Morell Nielsen:</t>
        </r>
        <r>
          <rPr>
            <sz val="9"/>
            <color indexed="81"/>
            <rFont val="Tahoma"/>
            <family val="2"/>
          </rPr>
          <t xml:space="preserve">
Rundvisning kl. 12-13</t>
        </r>
      </text>
    </comment>
    <comment ref="W147" authorId="2" shapeId="0" xr:uid="{61BB9504-4C65-42A6-A741-643DF232BCCF}">
      <text>
        <r>
          <rPr>
            <b/>
            <sz val="9"/>
            <color indexed="81"/>
            <rFont val="Tahoma"/>
            <family val="2"/>
          </rPr>
          <t>Steen Hertin:</t>
        </r>
        <r>
          <rPr>
            <sz val="9"/>
            <color indexed="81"/>
            <rFont val="Tahoma"/>
            <family val="2"/>
          </rPr>
          <t xml:space="preserve">
FOA kursus</t>
        </r>
      </text>
    </comment>
    <comment ref="X147" authorId="2" shapeId="0" xr:uid="{82F5FFBE-C8BE-47FF-90A6-E4B06FCADE4D}">
      <text>
        <r>
          <rPr>
            <b/>
            <sz val="9"/>
            <color indexed="81"/>
            <rFont val="Tahoma"/>
            <family val="2"/>
          </rPr>
          <t>Steen Hertin:</t>
        </r>
        <r>
          <rPr>
            <sz val="9"/>
            <color indexed="81"/>
            <rFont val="Tahoma"/>
            <family val="2"/>
          </rPr>
          <t xml:space="preserve">
FOA kursus</t>
        </r>
      </text>
    </comment>
    <comment ref="Z147" authorId="1" shapeId="0" xr:uid="{1086178A-983A-4389-86E4-54C365D9F4D5}">
      <text>
        <r>
          <rPr>
            <b/>
            <sz val="9"/>
            <color indexed="81"/>
            <rFont val="Tahoma"/>
            <family val="2"/>
          </rPr>
          <t>Steen Hertin-Sandkær:</t>
        </r>
        <r>
          <rPr>
            <sz val="9"/>
            <color indexed="81"/>
            <rFont val="Tahoma"/>
            <family val="2"/>
          </rPr>
          <t xml:space="preserve">
Går kl. 15.00</t>
        </r>
      </text>
    </comment>
    <comment ref="C176" authorId="3" shapeId="0" xr:uid="{8CB4D3F6-273C-4A30-8A74-FB895C6B7439}">
      <text>
        <r>
          <rPr>
            <b/>
            <sz val="9"/>
            <color indexed="81"/>
            <rFont val="Tahoma"/>
            <family val="2"/>
          </rPr>
          <t>marasm:</t>
        </r>
        <r>
          <rPr>
            <sz val="9"/>
            <color indexed="81"/>
            <rFont val="Tahoma"/>
            <family val="2"/>
          </rPr>
          <t xml:space="preserve">
AHF</t>
        </r>
      </text>
    </comment>
    <comment ref="H176" authorId="3" shapeId="0" xr:uid="{229164EA-93EE-466A-97D5-F015A50342DE}">
      <text>
        <r>
          <rPr>
            <b/>
            <sz val="9"/>
            <color indexed="81"/>
            <rFont val="Tahoma"/>
            <family val="2"/>
          </rPr>
          <t>marasm:</t>
        </r>
        <r>
          <rPr>
            <sz val="9"/>
            <color indexed="81"/>
            <rFont val="Tahoma"/>
            <family val="2"/>
          </rPr>
          <t xml:space="preserve">
AHF</t>
        </r>
      </text>
    </comment>
    <comment ref="R176" authorId="3" shapeId="0" xr:uid="{28EC62D3-6451-49F0-AAE9-DF1C67C5D537}">
      <text>
        <r>
          <rPr>
            <b/>
            <sz val="9"/>
            <color indexed="81"/>
            <rFont val="Tahoma"/>
            <family val="2"/>
          </rPr>
          <t>marasm:</t>
        </r>
        <r>
          <rPr>
            <sz val="9"/>
            <color indexed="81"/>
            <rFont val="Tahoma"/>
            <family val="2"/>
          </rPr>
          <t xml:space="preserve">
- 05 time afs</t>
        </r>
      </text>
    </comment>
    <comment ref="J203" authorId="1" shapeId="0" xr:uid="{C255DF11-CAD7-47F7-B316-0BA1518139E1}">
      <text>
        <r>
          <rPr>
            <b/>
            <sz val="9"/>
            <color indexed="81"/>
            <rFont val="Tahoma"/>
            <family val="2"/>
          </rPr>
          <t>Steen Hertin-Sandkær:</t>
        </r>
        <r>
          <rPr>
            <sz val="9"/>
            <color indexed="81"/>
            <rFont val="Tahoma"/>
            <family val="2"/>
          </rPr>
          <t xml:space="preserve">
Blågården 13.00-18.00</t>
        </r>
      </text>
    </comment>
    <comment ref="S204" authorId="1" shapeId="0" xr:uid="{A769A81A-66A9-4AAB-BA6A-4F2CF96489EA}">
      <text>
        <r>
          <rPr>
            <b/>
            <sz val="9"/>
            <color indexed="81"/>
            <rFont val="Tahoma"/>
            <family val="2"/>
          </rPr>
          <t>Steen Hertin-Sandkær:</t>
        </r>
        <r>
          <rPr>
            <sz val="9"/>
            <color indexed="81"/>
            <rFont val="Tahoma"/>
            <family val="2"/>
          </rPr>
          <t xml:space="preserve">
Handicapcenter 09.00 - 13.00</t>
        </r>
      </text>
    </comment>
    <comment ref="M205" authorId="1" shapeId="0" xr:uid="{7BEEFA82-B357-448F-9A03-52EB769345E8}">
      <text>
        <r>
          <rPr>
            <b/>
            <sz val="9"/>
            <color indexed="81"/>
            <rFont val="Tahoma"/>
            <family val="2"/>
          </rPr>
          <t>Steen Hertin-Sandkær:</t>
        </r>
        <r>
          <rPr>
            <sz val="9"/>
            <color indexed="81"/>
            <rFont val="Tahoma"/>
            <family val="2"/>
          </rPr>
          <t xml:space="preserve">
Blågården 11.00 - 15.00</t>
        </r>
      </text>
    </comment>
    <comment ref="J296" authorId="3" shapeId="0" xr:uid="{545F1A6C-F050-44AF-AF9D-C433ABF7A5CA}">
      <text>
        <r>
          <rPr>
            <b/>
            <sz val="9"/>
            <color indexed="81"/>
            <rFont val="Tahoma"/>
            <family val="2"/>
          </rPr>
          <t>marasm:</t>
        </r>
        <r>
          <rPr>
            <sz val="9"/>
            <color indexed="81"/>
            <rFont val="Tahoma"/>
            <family val="2"/>
          </rPr>
          <t xml:space="preserve">
- 4 timer i afs</t>
        </r>
      </text>
    </comment>
    <comment ref="D300" authorId="3" shapeId="0" xr:uid="{C763C28A-96D7-432E-9A98-A67C21204768}">
      <text>
        <r>
          <rPr>
            <b/>
            <sz val="9"/>
            <color indexed="81"/>
            <rFont val="Tahoma"/>
            <family val="2"/>
          </rPr>
          <t>marasm:</t>
        </r>
        <r>
          <rPr>
            <sz val="9"/>
            <color indexed="81"/>
            <rFont val="Tahoma"/>
            <family val="2"/>
          </rPr>
          <t xml:space="preserve">
-2 Timer FF</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Nikolaj Langtin Pamhede</author>
    <author>Steen Hertin-Sandkær</author>
    <author>Thomas Holm</author>
    <author>Steen Hertin</author>
    <author>Mathias Nielsen</author>
    <author>Kim Holm Aabroe</author>
    <author>Nick Lorentzen</author>
    <author>Mathias Hartvig Morell Nielsen</author>
    <author>Kim BT. Pedersen</author>
    <author>Michael Bo Pedersen</author>
  </authors>
  <commentList>
    <comment ref="Z12" authorId="0" shapeId="0" xr:uid="{7B3BAE39-07E7-488B-B26D-421A56E7EC9B}">
      <text>
        <r>
          <rPr>
            <b/>
            <sz val="9"/>
            <color indexed="81"/>
            <rFont val="Tahoma"/>
            <family val="2"/>
          </rPr>
          <t>Nikolaj Langtin Pamhede:</t>
        </r>
        <r>
          <rPr>
            <sz val="9"/>
            <color indexed="81"/>
            <rFont val="Tahoma"/>
            <family val="2"/>
          </rPr>
          <t xml:space="preserve">
Job samtaler</t>
        </r>
      </text>
    </comment>
    <comment ref="V14" authorId="1" shapeId="0" xr:uid="{2F17698D-F99D-40B2-A18D-DE294F5CDE50}">
      <text>
        <r>
          <rPr>
            <b/>
            <sz val="9"/>
            <color indexed="81"/>
            <rFont val="Tahoma"/>
            <family val="2"/>
          </rPr>
          <t>Steen Hertin-Sandkær:
Islands Brygge fra kl. 08.00</t>
        </r>
      </text>
    </comment>
    <comment ref="I17" authorId="2" shapeId="0" xr:uid="{3D057F52-E249-49B1-9822-FFE2B2D6EA7A}">
      <text>
        <r>
          <rPr>
            <b/>
            <sz val="9"/>
            <color indexed="81"/>
            <rFont val="Tahoma"/>
            <family val="2"/>
          </rPr>
          <t>Thomas Holm:</t>
        </r>
        <r>
          <rPr>
            <sz val="9"/>
            <color indexed="81"/>
            <rFont val="Tahoma"/>
            <family val="2"/>
          </rPr>
          <t xml:space="preserve">
Dialogmøde</t>
        </r>
      </text>
    </comment>
    <comment ref="P17" authorId="2" shapeId="0" xr:uid="{10717DD6-05B7-4454-9E85-9380DEF7594C}">
      <text>
        <r>
          <rPr>
            <b/>
            <sz val="9"/>
            <color indexed="81"/>
            <rFont val="Tahoma"/>
            <family val="2"/>
          </rPr>
          <t>Thomas Holm:</t>
        </r>
        <r>
          <rPr>
            <sz val="9"/>
            <color indexed="81"/>
            <rFont val="Tahoma"/>
            <family val="2"/>
          </rPr>
          <t xml:space="preserve">
Netværksmøde HBR
10.00-12.30</t>
        </r>
      </text>
    </comment>
    <comment ref="S17" authorId="3" shapeId="0" xr:uid="{78DD464D-685D-4A45-8630-31E98F0DEEB1}">
      <text>
        <r>
          <rPr>
            <b/>
            <sz val="9"/>
            <color indexed="81"/>
            <rFont val="Tahoma"/>
            <family val="2"/>
          </rPr>
          <t>Steen Hertin:</t>
        </r>
        <r>
          <rPr>
            <sz val="9"/>
            <color indexed="81"/>
            <rFont val="Tahoma"/>
            <family val="2"/>
          </rPr>
          <t xml:space="preserve">
Arrangement Rådhuset 15.30-20.30</t>
        </r>
      </text>
    </comment>
    <comment ref="V17" authorId="1" shapeId="0" xr:uid="{862CFC28-BB0A-4615-AB31-3F10607ABA4A}">
      <text>
        <r>
          <rPr>
            <b/>
            <sz val="9"/>
            <color indexed="81"/>
            <rFont val="Tahoma"/>
            <family val="2"/>
          </rPr>
          <t>Steen Hertin-Sandkær:</t>
        </r>
        <r>
          <rPr>
            <sz val="9"/>
            <color indexed="81"/>
            <rFont val="Tahoma"/>
            <family val="2"/>
          </rPr>
          <t xml:space="preserve">
Grus kl. 17.00</t>
        </r>
      </text>
    </comment>
    <comment ref="Y17" authorId="4" shapeId="0" xr:uid="{ED677933-8189-4E7C-8CA6-3DFACBCF1D19}">
      <text>
        <r>
          <rPr>
            <b/>
            <sz val="9"/>
            <color indexed="81"/>
            <rFont val="Tahoma"/>
            <family val="2"/>
          </rPr>
          <t>Mathias Nielsen:</t>
        </r>
        <r>
          <rPr>
            <sz val="9"/>
            <color indexed="81"/>
            <rFont val="Tahoma"/>
            <family val="2"/>
          </rPr>
          <t xml:space="preserve">
Omlagt tjeneste til dagvagt + BR-møde</t>
        </r>
      </text>
    </comment>
    <comment ref="AC17" authorId="2" shapeId="0" xr:uid="{55D3E0F5-B9C8-4232-ABB3-323F68EB6F0B}">
      <text>
        <r>
          <rPr>
            <b/>
            <sz val="9"/>
            <color indexed="81"/>
            <rFont val="Tahoma"/>
            <family val="2"/>
          </rPr>
          <t>Thomas Holm:</t>
        </r>
        <r>
          <rPr>
            <sz val="9"/>
            <color indexed="81"/>
            <rFont val="Tahoma"/>
            <family val="2"/>
          </rPr>
          <t xml:space="preserve">
Førstehjælpskursus</t>
        </r>
      </text>
    </comment>
    <comment ref="V20" authorId="1" shapeId="0" xr:uid="{F0F0E2E3-D7F3-457C-BEA4-051A53E9815E}">
      <text>
        <r>
          <rPr>
            <b/>
            <sz val="9"/>
            <color indexed="81"/>
            <rFont val="Tahoma"/>
            <family val="2"/>
          </rPr>
          <t>Steen Hertin-Sandkær:</t>
        </r>
        <r>
          <rPr>
            <sz val="9"/>
            <color indexed="81"/>
            <rFont val="Tahoma"/>
            <family val="2"/>
          </rPr>
          <t xml:space="preserve">
Grus kl. 17.00</t>
        </r>
      </text>
    </comment>
    <comment ref="X20" authorId="0" shapeId="0" xr:uid="{CBD34091-5476-4B89-AAD0-4D5B9F49ADE8}">
      <text>
        <r>
          <rPr>
            <b/>
            <sz val="9"/>
            <color indexed="81"/>
            <rFont val="Tahoma"/>
            <family val="2"/>
          </rPr>
          <t>Nikolaj Langtin Pamhede:</t>
        </r>
        <r>
          <rPr>
            <sz val="9"/>
            <color indexed="81"/>
            <rFont val="Tahoma"/>
            <family val="2"/>
          </rPr>
          <t xml:space="preserve">
AHF</t>
        </r>
      </text>
    </comment>
    <comment ref="Z20" authorId="0" shapeId="0" xr:uid="{65EE0815-F88B-44F7-9D9D-0039E76C021F}">
      <text>
        <r>
          <rPr>
            <b/>
            <sz val="9"/>
            <color indexed="81"/>
            <rFont val="Tahoma"/>
            <family val="2"/>
          </rPr>
          <t>Nikolaj Langtin Pamhede:</t>
        </r>
        <r>
          <rPr>
            <sz val="9"/>
            <color indexed="81"/>
            <rFont val="Tahoma"/>
            <family val="2"/>
          </rPr>
          <t xml:space="preserve">
Job samtaler</t>
        </r>
      </text>
    </comment>
    <comment ref="B21" authorId="3" shapeId="0" xr:uid="{B23187A7-2500-4907-A969-32C7742A4996}">
      <text>
        <r>
          <rPr>
            <b/>
            <sz val="9"/>
            <color indexed="81"/>
            <rFont val="Tahoma"/>
            <family val="2"/>
          </rPr>
          <t>Steen Hertin:</t>
        </r>
        <r>
          <rPr>
            <sz val="9"/>
            <color indexed="81"/>
            <rFont val="Tahoma"/>
            <family val="2"/>
          </rPr>
          <t xml:space="preserve">
</t>
        </r>
      </text>
    </comment>
    <comment ref="W21" authorId="0" shapeId="0" xr:uid="{C7A1F57C-C17A-4CC8-8C72-30EDFC1043BF}">
      <text>
        <r>
          <rPr>
            <b/>
            <sz val="9"/>
            <color indexed="81"/>
            <rFont val="Tahoma"/>
            <family val="2"/>
          </rPr>
          <t>Nikolaj Langtin Pamhede:</t>
        </r>
        <r>
          <rPr>
            <sz val="9"/>
            <color indexed="81"/>
            <rFont val="Tahoma"/>
            <family val="2"/>
          </rPr>
          <t xml:space="preserve">
Job samtaler</t>
        </r>
      </text>
    </comment>
    <comment ref="Z21" authorId="0" shapeId="0" xr:uid="{E9C202CC-4F3B-4C62-9F8A-1C2BCA84E5DD}">
      <text>
        <r>
          <rPr>
            <b/>
            <sz val="9"/>
            <color indexed="81"/>
            <rFont val="Tahoma"/>
            <family val="2"/>
          </rPr>
          <t>Nikolaj Langtin Pamhede:</t>
        </r>
        <r>
          <rPr>
            <sz val="9"/>
            <color indexed="81"/>
            <rFont val="Tahoma"/>
            <family val="2"/>
          </rPr>
          <t xml:space="preserve">
Job samtaler</t>
        </r>
      </text>
    </comment>
    <comment ref="AA21" authorId="3" shapeId="0" xr:uid="{A3DE95DD-DF84-4EC2-8B00-1296E586A569}">
      <text>
        <r>
          <rPr>
            <b/>
            <sz val="9"/>
            <color indexed="81"/>
            <rFont val="Tahoma"/>
            <family val="2"/>
          </rPr>
          <t>Steen Hertin:</t>
        </r>
        <r>
          <rPr>
            <sz val="9"/>
            <color indexed="81"/>
            <rFont val="Tahoma"/>
            <family val="2"/>
          </rPr>
          <t xml:space="preserve">
Arrangement 09.30 - 17.30</t>
        </r>
      </text>
    </comment>
    <comment ref="AD21" authorId="3" shapeId="0" xr:uid="{094F4A0C-BEE3-4F80-8F25-1531D3E08209}">
      <text>
        <r>
          <rPr>
            <b/>
            <sz val="9"/>
            <color indexed="81"/>
            <rFont val="Tahoma"/>
            <family val="2"/>
          </rPr>
          <t>Steen Hertin:</t>
        </r>
        <r>
          <rPr>
            <sz val="9"/>
            <color indexed="81"/>
            <rFont val="Tahoma"/>
            <family val="2"/>
          </rPr>
          <t xml:space="preserve">
Møder 15.00 - 23.00 til arrangement</t>
        </r>
      </text>
    </comment>
    <comment ref="AF21" authorId="5" shapeId="0" xr:uid="{340A0841-F59D-47E8-8965-676DBDAD5666}">
      <text>
        <r>
          <rPr>
            <b/>
            <sz val="9"/>
            <color indexed="81"/>
            <rFont val="Tahoma"/>
            <family val="2"/>
          </rPr>
          <t>Kim Holm Aabroe:</t>
        </r>
        <r>
          <rPr>
            <sz val="9"/>
            <color indexed="81"/>
            <rFont val="Tahoma"/>
            <family val="2"/>
          </rPr>
          <t xml:space="preserve">
AHF</t>
        </r>
      </text>
    </comment>
    <comment ref="V22" authorId="6" shapeId="0" xr:uid="{44755617-A92B-4ECD-AC6D-952552FAA62C}">
      <text>
        <r>
          <rPr>
            <b/>
            <sz val="9"/>
            <color indexed="81"/>
            <rFont val="Tahoma"/>
            <family val="2"/>
          </rPr>
          <t>Nick Lorentzen:</t>
        </r>
        <r>
          <rPr>
            <sz val="9"/>
            <color indexed="81"/>
            <rFont val="Tahoma"/>
            <family val="2"/>
          </rPr>
          <t xml:space="preserve">
1 vagt OA fra 07:30-12:30</t>
        </r>
      </text>
    </comment>
    <comment ref="O24" authorId="2" shapeId="0" xr:uid="{C32ECBC6-0EB7-4CAF-85AA-7378C6C2137B}">
      <text>
        <r>
          <rPr>
            <b/>
            <sz val="9"/>
            <color indexed="81"/>
            <rFont val="Tahoma"/>
            <family val="2"/>
          </rPr>
          <t>Thomas Holm:</t>
        </r>
        <r>
          <rPr>
            <sz val="9"/>
            <color indexed="81"/>
            <rFont val="Tahoma"/>
            <family val="2"/>
          </rPr>
          <t xml:space="preserve">
Hjælpe i bagporten kl. 08-09</t>
        </r>
      </text>
    </comment>
    <comment ref="AF24" authorId="7" shapeId="0" xr:uid="{B2882016-BE31-4262-9BF0-3A0F93E03213}">
      <text>
        <r>
          <rPr>
            <b/>
            <sz val="9"/>
            <color indexed="81"/>
            <rFont val="Tahoma"/>
            <family val="2"/>
          </rPr>
          <t>Mathias Hartvig Morell Nielsen:</t>
        </r>
        <r>
          <rPr>
            <sz val="9"/>
            <color indexed="81"/>
            <rFont val="Tahoma"/>
            <family val="2"/>
          </rPr>
          <t xml:space="preserve">
Møde 10:00-10:30</t>
        </r>
      </text>
    </comment>
    <comment ref="AC25" authorId="2" shapeId="0" xr:uid="{7E3289BE-2BA5-4DFE-93C8-6CB0F7A53AF9}">
      <text>
        <r>
          <rPr>
            <b/>
            <sz val="9"/>
            <color indexed="81"/>
            <rFont val="Tahoma"/>
            <family val="2"/>
          </rPr>
          <t>Thomas Holm:</t>
        </r>
        <r>
          <rPr>
            <sz val="9"/>
            <color indexed="81"/>
            <rFont val="Tahoma"/>
            <family val="2"/>
          </rPr>
          <t xml:space="preserve">
Rentemestervej 
Vagten skal blive til kl. 22.00</t>
        </r>
      </text>
    </comment>
    <comment ref="AE25" authorId="2" shapeId="0" xr:uid="{8D9BC369-D1F9-43E7-A6D7-40D55D6EDE79}">
      <text>
        <r>
          <rPr>
            <b/>
            <sz val="9"/>
            <color indexed="81"/>
            <rFont val="Tahoma"/>
            <family val="2"/>
          </rPr>
          <t>Thomas Holm:</t>
        </r>
        <r>
          <rPr>
            <sz val="9"/>
            <color indexed="81"/>
            <rFont val="Tahoma"/>
            <family val="2"/>
          </rPr>
          <t xml:space="preserve">
tingbjerg bib.
Vagten skal blive til kl. 22.00</t>
        </r>
      </text>
    </comment>
    <comment ref="AF25" authorId="1" shapeId="0" xr:uid="{E0C1D512-144A-43FC-8446-162047AF8CEF}">
      <text>
        <r>
          <rPr>
            <b/>
            <sz val="9"/>
            <color indexed="81"/>
            <rFont val="Tahoma"/>
            <family val="2"/>
          </rPr>
          <t>Steen Hertin-Sandkær:</t>
        </r>
        <r>
          <rPr>
            <sz val="9"/>
            <color indexed="81"/>
            <rFont val="Tahoma"/>
            <family val="2"/>
          </rPr>
          <t xml:space="preserve">
Afløser til Sydbanestien kl. 10.30 - 12.00</t>
        </r>
      </text>
    </comment>
    <comment ref="AC26" authorId="3" shapeId="0" xr:uid="{4D12E400-08B5-4BC1-A3FF-C553382C0A3E}">
      <text>
        <r>
          <rPr>
            <b/>
            <sz val="9"/>
            <color indexed="81"/>
            <rFont val="Tahoma"/>
            <family val="2"/>
          </rPr>
          <t>Steen Hertin:</t>
        </r>
        <r>
          <rPr>
            <sz val="9"/>
            <color indexed="81"/>
            <rFont val="Tahoma"/>
            <family val="2"/>
          </rPr>
          <t xml:space="preserve">
Sikringsvagter på kursus 08-12</t>
        </r>
      </text>
    </comment>
    <comment ref="E37" authorId="8" shapeId="0" xr:uid="{6E433C22-E88D-4569-BB35-57E9D517D12A}">
      <text>
        <r>
          <rPr>
            <b/>
            <sz val="9"/>
            <color indexed="81"/>
            <rFont val="Tahoma"/>
            <family val="2"/>
          </rPr>
          <t>Kim BT. Pedersen:</t>
        </r>
        <r>
          <rPr>
            <sz val="9"/>
            <color indexed="81"/>
            <rFont val="Tahoma"/>
            <family val="2"/>
          </rPr>
          <t xml:space="preserve">
Nørrebro bibl. 14:00-20:15</t>
        </r>
      </text>
    </comment>
    <comment ref="H38" authorId="0" shapeId="0" xr:uid="{ACCECCD8-9837-46C7-8417-ACC28F9FAADE}">
      <text>
        <r>
          <rPr>
            <b/>
            <sz val="9"/>
            <color indexed="81"/>
            <rFont val="Tahoma"/>
            <family val="2"/>
          </rPr>
          <t>Nikolaj Langtin Pamhede:</t>
        </r>
        <r>
          <rPr>
            <sz val="9"/>
            <color indexed="81"/>
            <rFont val="Tahoma"/>
            <family val="2"/>
          </rPr>
          <t xml:space="preserve">
9 vagt på oa</t>
        </r>
      </text>
    </comment>
    <comment ref="I38" authorId="0" shapeId="0" xr:uid="{F9051098-951F-4F42-84CB-A92830D283E2}">
      <text>
        <r>
          <rPr>
            <b/>
            <sz val="9"/>
            <color indexed="81"/>
            <rFont val="Tahoma"/>
            <family val="2"/>
          </rPr>
          <t>Nikolaj Langtin Pamhede:</t>
        </r>
        <r>
          <rPr>
            <sz val="9"/>
            <color indexed="81"/>
            <rFont val="Tahoma"/>
            <family val="2"/>
          </rPr>
          <t xml:space="preserve">
9 vagt på oa</t>
        </r>
      </text>
    </comment>
    <comment ref="Q38" authorId="1" shapeId="0" xr:uid="{E2875B46-F442-4D7B-8E7A-EECAF1A7FC58}">
      <text>
        <r>
          <rPr>
            <b/>
            <sz val="9"/>
            <color indexed="81"/>
            <rFont val="Tahoma"/>
            <family val="2"/>
          </rPr>
          <t>Steen Hertin-Sandkær:</t>
        </r>
        <r>
          <rPr>
            <sz val="9"/>
            <color indexed="81"/>
            <rFont val="Tahoma"/>
            <family val="2"/>
          </rPr>
          <t xml:space="preserve">
Rentemestervej OA fra kl. 17.45</t>
        </r>
      </text>
    </comment>
    <comment ref="X44" authorId="3" shapeId="0" xr:uid="{EC198F02-EEED-4664-8435-AB7FFC3809CC}">
      <text>
        <r>
          <rPr>
            <b/>
            <sz val="9"/>
            <color indexed="81"/>
            <rFont val="Tahoma"/>
            <family val="2"/>
          </rPr>
          <t>Steen Hertin:</t>
        </r>
        <r>
          <rPr>
            <sz val="9"/>
            <color indexed="81"/>
            <rFont val="Tahoma"/>
            <family val="2"/>
          </rPr>
          <t xml:space="preserve">
Møder på Handicap center</t>
        </r>
      </text>
    </comment>
    <comment ref="Y44" authorId="3" shapeId="0" xr:uid="{58C11FA3-68A3-4FCD-8231-653ACA1220F2}">
      <text>
        <r>
          <rPr>
            <b/>
            <sz val="9"/>
            <color indexed="81"/>
            <rFont val="Tahoma"/>
            <family val="2"/>
          </rPr>
          <t>Steen Hertin:</t>
        </r>
        <r>
          <rPr>
            <sz val="9"/>
            <color indexed="81"/>
            <rFont val="Tahoma"/>
            <family val="2"/>
          </rPr>
          <t xml:space="preserve">
Møder på Handicap center</t>
        </r>
      </text>
    </comment>
    <comment ref="Z44" authorId="3" shapeId="0" xr:uid="{4B342867-47C0-45E7-928D-71686926FD16}">
      <text>
        <r>
          <rPr>
            <b/>
            <sz val="9"/>
            <color indexed="81"/>
            <rFont val="Tahoma"/>
            <family val="2"/>
          </rPr>
          <t>Steen Hertin:</t>
        </r>
        <r>
          <rPr>
            <sz val="9"/>
            <color indexed="81"/>
            <rFont val="Tahoma"/>
            <family val="2"/>
          </rPr>
          <t xml:space="preserve">
Møder på Handicap center</t>
        </r>
      </text>
    </comment>
    <comment ref="AC44" authorId="3" shapeId="0" xr:uid="{B817A0D4-E26E-4C99-A1F4-A293B06B8BB8}">
      <text>
        <r>
          <rPr>
            <b/>
            <sz val="9"/>
            <color indexed="81"/>
            <rFont val="Tahoma"/>
            <family val="2"/>
          </rPr>
          <t>Steen Hertin:</t>
        </r>
        <r>
          <rPr>
            <sz val="9"/>
            <color indexed="81"/>
            <rFont val="Tahoma"/>
            <family val="2"/>
          </rPr>
          <t xml:space="preserve">
Handicap center 08.45 - 15.45</t>
        </r>
      </text>
    </comment>
    <comment ref="AD44" authorId="3" shapeId="0" xr:uid="{A966617C-37A9-4037-BFDB-86F478851B5D}">
      <text>
        <r>
          <rPr>
            <b/>
            <sz val="9"/>
            <color indexed="81"/>
            <rFont val="Tahoma"/>
            <family val="2"/>
          </rPr>
          <t>Steen Hertin:</t>
        </r>
        <r>
          <rPr>
            <sz val="9"/>
            <color indexed="81"/>
            <rFont val="Tahoma"/>
            <family val="2"/>
          </rPr>
          <t xml:space="preserve">
Handicap center 08.45 - 15.45</t>
        </r>
      </text>
    </comment>
    <comment ref="AE44" authorId="3" shapeId="0" xr:uid="{F70DAFC2-34FE-42CC-9882-433CA7A6A563}">
      <text>
        <r>
          <rPr>
            <b/>
            <sz val="9"/>
            <color indexed="81"/>
            <rFont val="Tahoma"/>
            <family val="2"/>
          </rPr>
          <t>Steen Hertin:</t>
        </r>
        <r>
          <rPr>
            <sz val="9"/>
            <color indexed="81"/>
            <rFont val="Tahoma"/>
            <family val="2"/>
          </rPr>
          <t xml:space="preserve">
Handicap center 08.45 - 15.45</t>
        </r>
      </text>
    </comment>
    <comment ref="AF44" authorId="3" shapeId="0" xr:uid="{7BF1714F-C95A-4521-9792-4A7DF201B0F1}">
      <text>
        <r>
          <rPr>
            <b/>
            <sz val="9"/>
            <color indexed="81"/>
            <rFont val="Tahoma"/>
            <family val="2"/>
          </rPr>
          <t>Steen Hertin:</t>
        </r>
        <r>
          <rPr>
            <sz val="9"/>
            <color indexed="81"/>
            <rFont val="Tahoma"/>
            <family val="2"/>
          </rPr>
          <t xml:space="preserve">
Handicap center 12.45 - 17.15</t>
        </r>
      </text>
    </comment>
    <comment ref="AG44" authorId="3" shapeId="0" xr:uid="{A52F56B4-009E-44B5-8D9A-47927E1A6849}">
      <text>
        <r>
          <rPr>
            <b/>
            <sz val="9"/>
            <color indexed="81"/>
            <rFont val="Tahoma"/>
            <family val="2"/>
          </rPr>
          <t>Steen Hertin:</t>
        </r>
        <r>
          <rPr>
            <sz val="9"/>
            <color indexed="81"/>
            <rFont val="Tahoma"/>
            <family val="2"/>
          </rPr>
          <t xml:space="preserve">
Handicap center 08.45 - 14.00</t>
        </r>
      </text>
    </comment>
    <comment ref="D46" authorId="1" shapeId="0" xr:uid="{3DE2F763-0AEE-496A-B140-35C5D4297734}">
      <text>
        <r>
          <rPr>
            <b/>
            <sz val="9"/>
            <color indexed="81"/>
            <rFont val="Tahoma"/>
            <family val="2"/>
          </rPr>
          <t>Steen Hertin-Sandkær:</t>
        </r>
        <r>
          <rPr>
            <sz val="9"/>
            <color indexed="81"/>
            <rFont val="Tahoma"/>
            <family val="2"/>
          </rPr>
          <t xml:space="preserve">
89 på OA</t>
        </r>
      </text>
    </comment>
    <comment ref="D48" authorId="1" shapeId="0" xr:uid="{DB5B41EF-2AA6-44D8-9805-90CF22DB4B6E}">
      <text>
        <r>
          <rPr>
            <b/>
            <sz val="9"/>
            <color indexed="81"/>
            <rFont val="Tahoma"/>
            <family val="2"/>
          </rPr>
          <t>Steen Hertin-Sandkær:</t>
        </r>
        <r>
          <rPr>
            <sz val="9"/>
            <color indexed="81"/>
            <rFont val="Tahoma"/>
            <family val="2"/>
          </rPr>
          <t xml:space="preserve">
Fejefor Johnny</t>
        </r>
      </text>
    </comment>
    <comment ref="E48" authorId="1" shapeId="0" xr:uid="{62C4F995-568D-44B7-8E7E-E2102A497C9E}">
      <text>
        <r>
          <rPr>
            <b/>
            <sz val="9"/>
            <color indexed="81"/>
            <rFont val="Tahoma"/>
            <family val="2"/>
          </rPr>
          <t>Steen Hertin-Sandkær:</t>
        </r>
        <r>
          <rPr>
            <sz val="9"/>
            <color indexed="81"/>
            <rFont val="Tahoma"/>
            <family val="2"/>
          </rPr>
          <t xml:space="preserve">
Fejefor Johnny</t>
        </r>
      </text>
    </comment>
    <comment ref="H48" authorId="2" shapeId="0" xr:uid="{C5FA9BB0-5B67-4BE9-A7EA-5B2D22034E40}">
      <text>
        <r>
          <rPr>
            <b/>
            <sz val="9"/>
            <color indexed="81"/>
            <rFont val="Tahoma"/>
            <family val="2"/>
          </rPr>
          <t>Thomas Holm:</t>
        </r>
        <r>
          <rPr>
            <sz val="9"/>
            <color indexed="81"/>
            <rFont val="Tahoma"/>
            <family val="2"/>
          </rPr>
          <t xml:space="preserve">
Hjælperøgdykker vedligehold
08-16</t>
        </r>
      </text>
    </comment>
    <comment ref="Q50" authorId="6" shapeId="0" xr:uid="{9621A5E5-3213-48CF-87FE-2646EFACECD6}">
      <text>
        <r>
          <rPr>
            <b/>
            <sz val="9"/>
            <color indexed="81"/>
            <rFont val="Tahoma"/>
            <family val="2"/>
          </rPr>
          <t>Nick Lorentzen:</t>
        </r>
        <r>
          <rPr>
            <sz val="9"/>
            <color indexed="81"/>
            <rFont val="Tahoma"/>
            <family val="2"/>
          </rPr>
          <t xml:space="preserve">
4 vagt fra 15:30 på OA</t>
        </r>
      </text>
    </comment>
    <comment ref="S50" authorId="3" shapeId="0" xr:uid="{184964E7-43B1-40BA-BFE6-B90A386AF86C}">
      <text>
        <r>
          <rPr>
            <b/>
            <sz val="9"/>
            <color indexed="81"/>
            <rFont val="Tahoma"/>
            <family val="2"/>
          </rPr>
          <t>Steen Hertin:</t>
        </r>
        <r>
          <rPr>
            <sz val="9"/>
            <color indexed="81"/>
            <rFont val="Tahoma"/>
            <family val="2"/>
          </rPr>
          <t xml:space="preserve">
Arrangement Rådhuset 15.30-20.30</t>
        </r>
      </text>
    </comment>
    <comment ref="Y61" authorId="3" shapeId="0" xr:uid="{76826AB2-AF0B-4467-B8D8-3EDC062FFCDC}">
      <text>
        <r>
          <rPr>
            <b/>
            <sz val="9"/>
            <color indexed="81"/>
            <rFont val="Tahoma"/>
            <family val="2"/>
          </rPr>
          <t>Steen Hertin:</t>
        </r>
        <r>
          <rPr>
            <sz val="9"/>
            <color indexed="81"/>
            <rFont val="Tahoma"/>
            <family val="2"/>
          </rPr>
          <t xml:space="preserve">
Kører 5-vagten når Kamilla er kommet ind fra K-vagt.</t>
        </r>
      </text>
    </comment>
    <comment ref="C62" authorId="1" shapeId="0" xr:uid="{A1CDC746-08B8-4F65-8391-A8A0AE0BABE1}">
      <text>
        <r>
          <rPr>
            <b/>
            <sz val="9"/>
            <color indexed="81"/>
            <rFont val="Tahoma"/>
            <family val="2"/>
          </rPr>
          <t>Steen Hertin-Sandkær:</t>
        </r>
        <r>
          <rPr>
            <sz val="9"/>
            <color indexed="81"/>
            <rFont val="Tahoma"/>
            <family val="2"/>
          </rPr>
          <t xml:space="preserve">
Fejefor Johnny</t>
        </r>
      </text>
    </comment>
    <comment ref="X62" authorId="1" shapeId="0" xr:uid="{B47D7CB8-7DC6-448A-BBA9-11D754E9A6F7}">
      <text>
        <r>
          <rPr>
            <b/>
            <sz val="9"/>
            <color indexed="81"/>
            <rFont val="Tahoma"/>
            <family val="2"/>
          </rPr>
          <t>Steen Hertin-Sandkær:</t>
        </r>
        <r>
          <rPr>
            <sz val="9"/>
            <color indexed="81"/>
            <rFont val="Tahoma"/>
            <family val="2"/>
          </rPr>
          <t xml:space="preserve">
M-vagt fra kl. 13.30</t>
        </r>
      </text>
    </comment>
    <comment ref="AA62" authorId="3" shapeId="0" xr:uid="{A33F98C4-51BA-48F9-B4C2-004BF5E55641}">
      <text>
        <r>
          <rPr>
            <b/>
            <sz val="9"/>
            <color indexed="81"/>
            <rFont val="Tahoma"/>
            <family val="2"/>
          </rPr>
          <t>Steen Hertin:</t>
        </r>
        <r>
          <rPr>
            <sz val="9"/>
            <color indexed="81"/>
            <rFont val="Tahoma"/>
            <family val="2"/>
          </rPr>
          <t xml:space="preserve">
Arrangement 09.30 - 17.30</t>
        </r>
      </text>
    </comment>
    <comment ref="E63" authorId="3" shapeId="0" xr:uid="{18368139-8D83-4C44-8CDE-EA3976D0568F}">
      <text>
        <r>
          <rPr>
            <b/>
            <sz val="9"/>
            <color indexed="81"/>
            <rFont val="Tahoma"/>
            <family val="2"/>
          </rPr>
          <t>Steen Hertin:</t>
        </r>
        <r>
          <rPr>
            <sz val="9"/>
            <color indexed="81"/>
            <rFont val="Tahoma"/>
            <family val="2"/>
          </rPr>
          <t xml:space="preserve">
OA 08,15-14,15</t>
        </r>
      </text>
    </comment>
    <comment ref="V63" authorId="1" shapeId="0" xr:uid="{D2632EDF-772D-4EDE-AA4A-61F2556EAE10}">
      <text>
        <r>
          <rPr>
            <b/>
            <sz val="9"/>
            <color indexed="81"/>
            <rFont val="Tahoma"/>
            <family val="2"/>
          </rPr>
          <t>Steen Hertin-Sandkær:</t>
        </r>
        <r>
          <rPr>
            <sz val="9"/>
            <color indexed="81"/>
            <rFont val="Tahoma"/>
            <family val="2"/>
          </rPr>
          <t xml:space="preserve">
Grus kl. 17.00</t>
        </r>
      </text>
    </comment>
    <comment ref="J64" authorId="1" shapeId="0" xr:uid="{550BE3E6-4BF4-4BFB-8EFC-FFAF3B097A9B}">
      <text>
        <r>
          <rPr>
            <b/>
            <sz val="9"/>
            <color indexed="81"/>
            <rFont val="Tahoma"/>
            <family val="2"/>
          </rPr>
          <t>Steen Hertin-Sandkær:</t>
        </r>
        <r>
          <rPr>
            <sz val="9"/>
            <color indexed="81"/>
            <rFont val="Tahoma"/>
            <family val="2"/>
          </rPr>
          <t xml:space="preserve">
Møder efter opsætning på Rentemestervej.</t>
        </r>
      </text>
    </comment>
    <comment ref="Q64" authorId="1" shapeId="0" xr:uid="{496231AE-8DF9-40A9-985B-A008F311469A}">
      <text>
        <r>
          <rPr>
            <b/>
            <sz val="9"/>
            <color indexed="81"/>
            <rFont val="Tahoma"/>
            <family val="2"/>
          </rPr>
          <t>Steen Hertin-Sandkær:</t>
        </r>
        <r>
          <rPr>
            <sz val="9"/>
            <color indexed="81"/>
            <rFont val="Tahoma"/>
            <family val="2"/>
          </rPr>
          <t xml:space="preserve">
Rentemestervej OA fra kl. 17.45</t>
        </r>
      </text>
    </comment>
    <comment ref="Z64" authorId="3" shapeId="0" xr:uid="{1040C2E6-2067-4A1E-9EEB-F3FA6E6815A1}">
      <text>
        <r>
          <rPr>
            <b/>
            <sz val="9"/>
            <color indexed="81"/>
            <rFont val="Tahoma"/>
            <family val="2"/>
          </rPr>
          <t>Steen Hertin:</t>
        </r>
        <r>
          <rPr>
            <sz val="9"/>
            <color indexed="81"/>
            <rFont val="Tahoma"/>
            <family val="2"/>
          </rPr>
          <t xml:space="preserve">
Ottiliavej 20.30 - 08.30</t>
        </r>
      </text>
    </comment>
    <comment ref="AA64" authorId="3" shapeId="0" xr:uid="{5C559769-EA4C-4421-B77C-0C53E78C0891}">
      <text>
        <r>
          <rPr>
            <b/>
            <sz val="9"/>
            <color indexed="81"/>
            <rFont val="Tahoma"/>
            <family val="2"/>
          </rPr>
          <t>Steen Hertin:</t>
        </r>
        <r>
          <rPr>
            <sz val="9"/>
            <color indexed="81"/>
            <rFont val="Tahoma"/>
            <family val="2"/>
          </rPr>
          <t xml:space="preserve">
Ottiliavej 20.30 - 08.30</t>
        </r>
      </text>
    </comment>
    <comment ref="AB64" authorId="3" shapeId="0" xr:uid="{1F78D515-4B5B-4A3C-93D8-2CA257A8FF87}">
      <text>
        <r>
          <rPr>
            <b/>
            <sz val="9"/>
            <color indexed="81"/>
            <rFont val="Tahoma"/>
            <family val="2"/>
          </rPr>
          <t>Steen Hertin:</t>
        </r>
        <r>
          <rPr>
            <sz val="9"/>
            <color indexed="81"/>
            <rFont val="Tahoma"/>
            <family val="2"/>
          </rPr>
          <t xml:space="preserve">
Ottiliavej 20.30 - 08.30</t>
        </r>
      </text>
    </comment>
    <comment ref="AC64" authorId="3" shapeId="0" xr:uid="{00535638-DDBA-4C32-81CF-8BDE5110516A}">
      <text>
        <r>
          <rPr>
            <b/>
            <sz val="9"/>
            <color indexed="81"/>
            <rFont val="Tahoma"/>
            <family val="2"/>
          </rPr>
          <t>Steen Hertin:</t>
        </r>
        <r>
          <rPr>
            <sz val="9"/>
            <color indexed="81"/>
            <rFont val="Tahoma"/>
            <family val="2"/>
          </rPr>
          <t xml:space="preserve">
Ottiliavej 20.30 - 08.30</t>
        </r>
      </text>
    </comment>
    <comment ref="AD64" authorId="3" shapeId="0" xr:uid="{7C681DD7-F4B3-4067-9FDE-AEDF1C5DFF74}">
      <text>
        <r>
          <rPr>
            <b/>
            <sz val="9"/>
            <color indexed="81"/>
            <rFont val="Tahoma"/>
            <family val="2"/>
          </rPr>
          <t>Steen Hertin:</t>
        </r>
        <r>
          <rPr>
            <sz val="9"/>
            <color indexed="81"/>
            <rFont val="Tahoma"/>
            <family val="2"/>
          </rPr>
          <t xml:space="preserve">
Ottiliavej 20.30 - 08.30</t>
        </r>
      </text>
    </comment>
    <comment ref="AE64" authorId="3" shapeId="0" xr:uid="{D92F84E9-7154-4E33-A3DE-A94BD5B46654}">
      <text>
        <r>
          <rPr>
            <b/>
            <sz val="9"/>
            <color indexed="81"/>
            <rFont val="Tahoma"/>
            <family val="2"/>
          </rPr>
          <t>Steen Hertin:</t>
        </r>
        <r>
          <rPr>
            <sz val="9"/>
            <color indexed="81"/>
            <rFont val="Tahoma"/>
            <family val="2"/>
          </rPr>
          <t xml:space="preserve">
Ottiliavej 20.30 - 08.30</t>
        </r>
      </text>
    </comment>
    <comment ref="AF64" authorId="3" shapeId="0" xr:uid="{CBD9E226-6686-4803-93CA-618F5B2FA0EB}">
      <text>
        <r>
          <rPr>
            <b/>
            <sz val="9"/>
            <color indexed="81"/>
            <rFont val="Tahoma"/>
            <family val="2"/>
          </rPr>
          <t>Steen Hertin:</t>
        </r>
        <r>
          <rPr>
            <sz val="9"/>
            <color indexed="81"/>
            <rFont val="Tahoma"/>
            <family val="2"/>
          </rPr>
          <t xml:space="preserve">
Ottiliavej 20.30 - 08.30</t>
        </r>
      </text>
    </comment>
    <comment ref="AG64" authorId="3" shapeId="0" xr:uid="{454B025E-5BAE-4558-A763-64AB6AF6A745}">
      <text>
        <r>
          <rPr>
            <b/>
            <sz val="9"/>
            <color indexed="81"/>
            <rFont val="Tahoma"/>
            <family val="2"/>
          </rPr>
          <t>Steen Hertin:</t>
        </r>
        <r>
          <rPr>
            <sz val="9"/>
            <color indexed="81"/>
            <rFont val="Tahoma"/>
            <family val="2"/>
          </rPr>
          <t xml:space="preserve">
Ottiliavej 20.30 - 08.30</t>
        </r>
      </text>
    </comment>
    <comment ref="C68" authorId="3" shapeId="0" xr:uid="{02554A50-FD0C-4B30-B899-EAF962521F23}">
      <text>
        <r>
          <rPr>
            <b/>
            <sz val="9"/>
            <color indexed="81"/>
            <rFont val="Tahoma"/>
            <family val="2"/>
          </rPr>
          <t>Steen Hertin:</t>
        </r>
        <r>
          <rPr>
            <sz val="9"/>
            <color indexed="81"/>
            <rFont val="Tahoma"/>
            <family val="2"/>
          </rPr>
          <t xml:space="preserve">
Nørrebro bibliotek kl. 14.00-20,15</t>
        </r>
      </text>
    </comment>
    <comment ref="D68" authorId="3" shapeId="0" xr:uid="{F625C418-0D4A-4D6D-AA67-D25B140BD89B}">
      <text>
        <r>
          <rPr>
            <b/>
            <sz val="9"/>
            <color indexed="81"/>
            <rFont val="Tahoma"/>
            <family val="2"/>
          </rPr>
          <t>Steen Hertin:</t>
        </r>
        <r>
          <rPr>
            <sz val="9"/>
            <color indexed="81"/>
            <rFont val="Tahoma"/>
            <family val="2"/>
          </rPr>
          <t xml:space="preserve">
Nørrebro bibliotek kl. 14.00-20,15. Mødedr kl. 10.00 på Rådhuset.</t>
        </r>
      </text>
    </comment>
    <comment ref="E68" authorId="3" shapeId="0" xr:uid="{D4ED790C-3B3F-436D-9E19-A12FB93B6E08}">
      <text>
        <r>
          <rPr>
            <b/>
            <sz val="9"/>
            <color indexed="81"/>
            <rFont val="Tahoma"/>
            <family val="2"/>
          </rPr>
          <t>Steen Hertin:</t>
        </r>
        <r>
          <rPr>
            <sz val="9"/>
            <color indexed="81"/>
            <rFont val="Tahoma"/>
            <family val="2"/>
          </rPr>
          <t xml:space="preserve">
Nørrebro bibliotek kl. 14.00-20,15</t>
        </r>
      </text>
    </comment>
    <comment ref="H68" authorId="1" shapeId="0" xr:uid="{2C83AC09-74ED-4A2A-975E-BC40C64BF5BF}">
      <text>
        <r>
          <rPr>
            <b/>
            <sz val="9"/>
            <color indexed="81"/>
            <rFont val="Tahoma"/>
            <family val="2"/>
          </rPr>
          <t>Steen Hertin-Sandkær:</t>
        </r>
        <r>
          <rPr>
            <sz val="9"/>
            <color indexed="81"/>
            <rFont val="Tahoma"/>
            <family val="2"/>
          </rPr>
          <t xml:space="preserve">
Møder på rabejde kl. 12.00 - 23.30</t>
        </r>
      </text>
    </comment>
    <comment ref="J68" authorId="0" shapeId="0" xr:uid="{7EEF5F6D-E642-4264-8F05-33E294BE7EDB}">
      <text>
        <r>
          <rPr>
            <b/>
            <sz val="9"/>
            <color indexed="81"/>
            <rFont val="Tahoma"/>
            <family val="2"/>
          </rPr>
          <t>Nikolaj Langtin Pamhede:</t>
        </r>
        <r>
          <rPr>
            <sz val="9"/>
            <color indexed="81"/>
            <rFont val="Tahoma"/>
            <family val="2"/>
          </rPr>
          <t xml:space="preserve">
blive på Rentmestervej til 21.30</t>
        </r>
      </text>
    </comment>
    <comment ref="K68" authorId="0" shapeId="0" xr:uid="{4E607C99-C285-47F9-BAA7-2DF99D7279DE}">
      <text>
        <r>
          <rPr>
            <b/>
            <sz val="9"/>
            <color indexed="81"/>
            <rFont val="Tahoma"/>
            <family val="2"/>
          </rPr>
          <t>Nikolaj Langtin Pamhede:</t>
        </r>
        <r>
          <rPr>
            <sz val="9"/>
            <color indexed="81"/>
            <rFont val="Tahoma"/>
            <family val="2"/>
          </rPr>
          <t xml:space="preserve">
blive på Rentmestervej til 21.30</t>
        </r>
      </text>
    </comment>
    <comment ref="O68" authorId="1" shapeId="0" xr:uid="{D72B04E5-3C7C-4825-A3F6-1894D87AAA81}">
      <text>
        <r>
          <rPr>
            <b/>
            <sz val="9"/>
            <color indexed="81"/>
            <rFont val="Tahoma"/>
            <family val="2"/>
          </rPr>
          <t>Steen Hertin-Sandkær:</t>
        </r>
        <r>
          <rPr>
            <sz val="9"/>
            <color indexed="81"/>
            <rFont val="Tahoma"/>
            <family val="2"/>
          </rPr>
          <t xml:space="preserve">
Blågården 14.00 - 16.45
Nørrebro bibliotek 17.00 - 20.00</t>
        </r>
      </text>
    </comment>
    <comment ref="P68" authorId="1" shapeId="0" xr:uid="{86147F65-2819-4653-B9FA-F65B81F2D94A}">
      <text>
        <r>
          <rPr>
            <b/>
            <sz val="9"/>
            <color indexed="81"/>
            <rFont val="Tahoma"/>
            <family val="2"/>
          </rPr>
          <t>Steen Hertin-Sandkær:</t>
        </r>
        <r>
          <rPr>
            <sz val="9"/>
            <color indexed="81"/>
            <rFont val="Tahoma"/>
            <family val="2"/>
          </rPr>
          <t xml:space="preserve">
Nørrebro bibliotek 14.00 - 20.00</t>
        </r>
      </text>
    </comment>
    <comment ref="Q68" authorId="1" shapeId="0" xr:uid="{E90036B8-5A9A-42A8-98F4-8D53C115DA5E}">
      <text>
        <r>
          <rPr>
            <b/>
            <sz val="9"/>
            <color indexed="81"/>
            <rFont val="Tahoma"/>
            <family val="2"/>
          </rPr>
          <t>Steen Hertin-Sandkær:</t>
        </r>
        <r>
          <rPr>
            <sz val="9"/>
            <color indexed="81"/>
            <rFont val="Tahoma"/>
            <family val="2"/>
          </rPr>
          <t xml:space="preserve">
Nørrebro bibliotek 14.00 - 20.00</t>
        </r>
      </text>
    </comment>
    <comment ref="R68" authorId="1" shapeId="0" xr:uid="{A3D852A6-BC47-4E81-A2EC-BBC128436F3B}">
      <text>
        <r>
          <rPr>
            <b/>
            <sz val="9"/>
            <color indexed="81"/>
            <rFont val="Tahoma"/>
            <family val="2"/>
          </rPr>
          <t>Steen Hertin-Sandkær:</t>
        </r>
        <r>
          <rPr>
            <sz val="9"/>
            <color indexed="81"/>
            <rFont val="Tahoma"/>
            <family val="2"/>
          </rPr>
          <t xml:space="preserve">
Nørrebro bibliotek 14.00 - 20.00</t>
        </r>
      </text>
    </comment>
    <comment ref="S68" authorId="1" shapeId="0" xr:uid="{C3E9D1DF-C950-49B2-B782-788102A02F10}">
      <text>
        <r>
          <rPr>
            <b/>
            <sz val="9"/>
            <color indexed="81"/>
            <rFont val="Tahoma"/>
            <family val="2"/>
          </rPr>
          <t>Steen Hertin-Sandkær:</t>
        </r>
        <r>
          <rPr>
            <sz val="9"/>
            <color indexed="81"/>
            <rFont val="Tahoma"/>
            <family val="2"/>
          </rPr>
          <t xml:space="preserve">
Nørrebro bibliotek 14.00 - 20.00</t>
        </r>
      </text>
    </comment>
    <comment ref="T68" authorId="3" shapeId="0" xr:uid="{03E4EA1D-3BE2-433B-922B-8DD41DE1C4C9}">
      <text>
        <r>
          <rPr>
            <b/>
            <sz val="9"/>
            <color indexed="81"/>
            <rFont val="Tahoma"/>
            <family val="2"/>
          </rPr>
          <t>Steen Hertin:</t>
        </r>
        <r>
          <rPr>
            <sz val="9"/>
            <color indexed="81"/>
            <rFont val="Tahoma"/>
            <family val="2"/>
          </rPr>
          <t xml:space="preserve">
Nørrebro bibliotek kl. 11.00 - 15.00</t>
        </r>
      </text>
    </comment>
    <comment ref="V68" authorId="1" shapeId="0" xr:uid="{A1BFD7B8-873C-4E18-8BBC-78C07BCC6187}">
      <text>
        <r>
          <rPr>
            <b/>
            <sz val="9"/>
            <color indexed="81"/>
            <rFont val="Tahoma"/>
            <family val="2"/>
          </rPr>
          <t>Steen Hertin-Sandkær:</t>
        </r>
        <r>
          <rPr>
            <sz val="9"/>
            <color indexed="81"/>
            <rFont val="Tahoma"/>
            <family val="2"/>
          </rPr>
          <t xml:space="preserve">
Nørrebro bibliotek 14.00 - 20.00</t>
        </r>
      </text>
    </comment>
    <comment ref="W68" authorId="1" shapeId="0" xr:uid="{34E3B2A3-0B0E-47FD-B463-2AD9826A6C34}">
      <text>
        <r>
          <rPr>
            <b/>
            <sz val="9"/>
            <color indexed="81"/>
            <rFont val="Tahoma"/>
            <family val="2"/>
          </rPr>
          <t>Steen Hertin-Sandkær:</t>
        </r>
        <r>
          <rPr>
            <sz val="9"/>
            <color indexed="81"/>
            <rFont val="Tahoma"/>
            <family val="2"/>
          </rPr>
          <t xml:space="preserve">
Nørrebro bibliotek 14.00 - 20.00</t>
        </r>
      </text>
    </comment>
    <comment ref="X68" authorId="1" shapeId="0" xr:uid="{D435B50D-C670-4CD7-9201-BE0B61A3C205}">
      <text>
        <r>
          <rPr>
            <b/>
            <sz val="9"/>
            <color indexed="81"/>
            <rFont val="Tahoma"/>
            <family val="2"/>
          </rPr>
          <t>Steen Hertin-Sandkær:</t>
        </r>
        <r>
          <rPr>
            <sz val="9"/>
            <color indexed="81"/>
            <rFont val="Tahoma"/>
            <family val="2"/>
          </rPr>
          <t xml:space="preserve">
Nørrebro bibliotek 14.00 - 20.00</t>
        </r>
      </text>
    </comment>
    <comment ref="Y68" authorId="1" shapeId="0" xr:uid="{2CC1B37A-32A1-47A6-BA60-35245205F8A3}">
      <text>
        <r>
          <rPr>
            <b/>
            <sz val="9"/>
            <color indexed="81"/>
            <rFont val="Tahoma"/>
            <family val="2"/>
          </rPr>
          <t>Steen Hertin-Sandkær:</t>
        </r>
        <r>
          <rPr>
            <sz val="9"/>
            <color indexed="81"/>
            <rFont val="Tahoma"/>
            <family val="2"/>
          </rPr>
          <t xml:space="preserve">
Nørrebro bibliotek 14.00 - 20.00</t>
        </r>
      </text>
    </comment>
    <comment ref="Z68" authorId="1" shapeId="0" xr:uid="{14184FB8-D3B9-49F1-BA3B-EA4FAB5B854D}">
      <text>
        <r>
          <rPr>
            <b/>
            <sz val="9"/>
            <color indexed="81"/>
            <rFont val="Tahoma"/>
            <family val="2"/>
          </rPr>
          <t>Steen Hertin-Sandkær:</t>
        </r>
        <r>
          <rPr>
            <sz val="9"/>
            <color indexed="81"/>
            <rFont val="Tahoma"/>
            <family val="2"/>
          </rPr>
          <t xml:space="preserve">
Nørrebro bibliotek 14.00 - 20.00</t>
        </r>
      </text>
    </comment>
    <comment ref="AA68" authorId="3" shapeId="0" xr:uid="{818B9ED1-A0D4-4C6F-ADD9-C374980DB398}">
      <text>
        <r>
          <rPr>
            <b/>
            <sz val="9"/>
            <color indexed="81"/>
            <rFont val="Tahoma"/>
            <family val="2"/>
          </rPr>
          <t>Steen Hertin:</t>
        </r>
        <r>
          <rPr>
            <sz val="9"/>
            <color indexed="81"/>
            <rFont val="Tahoma"/>
            <family val="2"/>
          </rPr>
          <t xml:space="preserve">
Arrangement 09.30 - 17.30</t>
        </r>
      </text>
    </comment>
    <comment ref="AC68" authorId="1" shapeId="0" xr:uid="{D24FBA48-DE6C-4586-860A-B6AAFC738217}">
      <text>
        <r>
          <rPr>
            <b/>
            <sz val="9"/>
            <color indexed="81"/>
            <rFont val="Tahoma"/>
            <family val="2"/>
          </rPr>
          <t>Steen Hertin-Sandkær:</t>
        </r>
        <r>
          <rPr>
            <sz val="9"/>
            <color indexed="81"/>
            <rFont val="Tahoma"/>
            <family val="2"/>
          </rPr>
          <t xml:space="preserve">
Nørrebro bibliotek 14.00 - 20.00</t>
        </r>
      </text>
    </comment>
    <comment ref="AD68" authorId="1" shapeId="0" xr:uid="{D305E537-5E6A-4421-BCB7-A098272DB90B}">
      <text>
        <r>
          <rPr>
            <b/>
            <sz val="9"/>
            <color indexed="81"/>
            <rFont val="Tahoma"/>
            <family val="2"/>
          </rPr>
          <t>Steen Hertin-Sandkær:</t>
        </r>
        <r>
          <rPr>
            <sz val="9"/>
            <color indexed="81"/>
            <rFont val="Tahoma"/>
            <family val="2"/>
          </rPr>
          <t xml:space="preserve">
Nørrebro bibliotek 14.00 - 20.00</t>
        </r>
      </text>
    </comment>
    <comment ref="AE68" authorId="1" shapeId="0" xr:uid="{C9D26441-E4AA-40EC-9CB2-98C7D0BE8D81}">
      <text>
        <r>
          <rPr>
            <b/>
            <sz val="9"/>
            <color indexed="81"/>
            <rFont val="Tahoma"/>
            <family val="2"/>
          </rPr>
          <t>Steen Hertin-Sandkær:</t>
        </r>
        <r>
          <rPr>
            <sz val="9"/>
            <color indexed="81"/>
            <rFont val="Tahoma"/>
            <family val="2"/>
          </rPr>
          <t xml:space="preserve">
Nørrebro bibliotek 14.00 - 20.00</t>
        </r>
      </text>
    </comment>
    <comment ref="AF68" authorId="1" shapeId="0" xr:uid="{A558701C-F1FC-494B-94DB-503AD0F39056}">
      <text>
        <r>
          <rPr>
            <b/>
            <sz val="9"/>
            <color indexed="81"/>
            <rFont val="Tahoma"/>
            <family val="2"/>
          </rPr>
          <t>Steen Hertin-Sandkær:</t>
        </r>
        <r>
          <rPr>
            <sz val="9"/>
            <color indexed="81"/>
            <rFont val="Tahoma"/>
            <family val="2"/>
          </rPr>
          <t xml:space="preserve">
Nørrebro bibliotek 14.00 - 20.00</t>
        </r>
      </text>
    </comment>
    <comment ref="AG68" authorId="1" shapeId="0" xr:uid="{3375C2FF-7BD3-4862-9436-2956BD3C6785}">
      <text>
        <r>
          <rPr>
            <b/>
            <sz val="9"/>
            <color indexed="81"/>
            <rFont val="Tahoma"/>
            <family val="2"/>
          </rPr>
          <t>Steen Hertin-Sandkær:</t>
        </r>
        <r>
          <rPr>
            <sz val="9"/>
            <color indexed="81"/>
            <rFont val="Tahoma"/>
            <family val="2"/>
          </rPr>
          <t xml:space="preserve">
Nørrebro bibliotek 14.00 - 20.00</t>
        </r>
      </text>
    </comment>
    <comment ref="H69" authorId="1" shapeId="0" xr:uid="{941C5FB0-070E-4543-9ED3-85E76137C685}">
      <text>
        <r>
          <rPr>
            <b/>
            <sz val="9"/>
            <color indexed="81"/>
            <rFont val="Tahoma"/>
            <family val="2"/>
          </rPr>
          <t>Steen Hertin-Sandkær:</t>
        </r>
        <r>
          <rPr>
            <sz val="9"/>
            <color indexed="81"/>
            <rFont val="Tahoma"/>
            <family val="2"/>
          </rPr>
          <t xml:space="preserve">
Blågården 14.00 - 16.45
Nørrebro bibliotek 17.00 - 20.00</t>
        </r>
      </text>
    </comment>
    <comment ref="I69" authorId="1" shapeId="0" xr:uid="{2EDE74EC-6C01-4381-83AF-130530EDB76F}">
      <text>
        <r>
          <rPr>
            <b/>
            <sz val="9"/>
            <color indexed="81"/>
            <rFont val="Tahoma"/>
            <family val="2"/>
          </rPr>
          <t>Steen Hertin-Sandkær:</t>
        </r>
        <r>
          <rPr>
            <sz val="9"/>
            <color indexed="81"/>
            <rFont val="Tahoma"/>
            <family val="2"/>
          </rPr>
          <t xml:space="preserve">
Blågården 14.00 - 16.45
Nørrebro bibliotek 17.00 - 20.00</t>
        </r>
      </text>
    </comment>
    <comment ref="J69" authorId="1" shapeId="0" xr:uid="{758E9A68-17C6-42AC-AAF4-3DDFC3DFF304}">
      <text>
        <r>
          <rPr>
            <b/>
            <sz val="9"/>
            <color indexed="81"/>
            <rFont val="Tahoma"/>
            <family val="2"/>
          </rPr>
          <t>Steen Hertin-Sandkær:</t>
        </r>
        <r>
          <rPr>
            <sz val="9"/>
            <color indexed="81"/>
            <rFont val="Tahoma"/>
            <family val="2"/>
          </rPr>
          <t xml:space="preserve">
Blågården 14.00 - 16.45
Nørrebro bibliotek 17.00 - 20.00</t>
        </r>
      </text>
    </comment>
    <comment ref="K69" authorId="1" shapeId="0" xr:uid="{02947BCE-4315-4A8C-8748-9DC413172A7C}">
      <text>
        <r>
          <rPr>
            <b/>
            <sz val="9"/>
            <color indexed="81"/>
            <rFont val="Tahoma"/>
            <family val="2"/>
          </rPr>
          <t>Steen Hertin-Sandkær:</t>
        </r>
        <r>
          <rPr>
            <sz val="9"/>
            <color indexed="81"/>
            <rFont val="Tahoma"/>
            <family val="2"/>
          </rPr>
          <t xml:space="preserve">
Blågården 14.00 - 16.45
Nørrebro bibliotek 17.00 - 20.00</t>
        </r>
      </text>
    </comment>
    <comment ref="L69" authorId="1" shapeId="0" xr:uid="{321A3C42-EAFB-4265-95AA-12A3ECD1B60F}">
      <text>
        <r>
          <rPr>
            <b/>
            <sz val="9"/>
            <color indexed="81"/>
            <rFont val="Tahoma"/>
            <family val="2"/>
          </rPr>
          <t>Steen Hertin-Sandkær:</t>
        </r>
        <r>
          <rPr>
            <sz val="9"/>
            <color indexed="81"/>
            <rFont val="Tahoma"/>
            <family val="2"/>
          </rPr>
          <t xml:space="preserve">
Blågården 14.00 - 16.45
Nørrebro bibliotek 17.00 - 20.00</t>
        </r>
      </text>
    </comment>
    <comment ref="P69" authorId="3" shapeId="0" xr:uid="{53E3AAB0-FA05-4662-859F-A650051FAB7E}">
      <text>
        <r>
          <rPr>
            <b/>
            <sz val="9"/>
            <color indexed="81"/>
            <rFont val="Tahoma"/>
            <family val="2"/>
          </rPr>
          <t>Steen Hertin:</t>
        </r>
        <r>
          <rPr>
            <sz val="9"/>
            <color indexed="81"/>
            <rFont val="Tahoma"/>
            <family val="2"/>
          </rPr>
          <t xml:space="preserve">
Møder på Rådhuset kl.11.00 Blågården 14.00 - 17.00</t>
        </r>
      </text>
    </comment>
    <comment ref="Q69" authorId="3" shapeId="0" xr:uid="{7634F6BD-DACF-4EE3-AAAD-03670F375A5F}">
      <text>
        <r>
          <rPr>
            <b/>
            <sz val="9"/>
            <color indexed="81"/>
            <rFont val="Tahoma"/>
            <family val="2"/>
          </rPr>
          <t>Steen Hertin:</t>
        </r>
        <r>
          <rPr>
            <sz val="9"/>
            <color indexed="81"/>
            <rFont val="Tahoma"/>
            <family val="2"/>
          </rPr>
          <t xml:space="preserve">
Møder på Rådhuset kl.11.00 Blågården 14.00 - 17.00</t>
        </r>
      </text>
    </comment>
    <comment ref="R69" authorId="3" shapeId="0" xr:uid="{A6571B29-881F-44D2-BC44-0B24443DBD7D}">
      <text>
        <r>
          <rPr>
            <b/>
            <sz val="9"/>
            <color indexed="81"/>
            <rFont val="Tahoma"/>
            <family val="2"/>
          </rPr>
          <t>Steen Hertin:</t>
        </r>
        <r>
          <rPr>
            <sz val="9"/>
            <color indexed="81"/>
            <rFont val="Tahoma"/>
            <family val="2"/>
          </rPr>
          <t xml:space="preserve">
Møder på Rådhuset kl.11.00 Blågården 14.00 - 17.00</t>
        </r>
      </text>
    </comment>
    <comment ref="S69" authorId="3" shapeId="0" xr:uid="{A789B8D5-6426-41F0-839F-ECCF39BA5D84}">
      <text>
        <r>
          <rPr>
            <b/>
            <sz val="9"/>
            <color indexed="81"/>
            <rFont val="Tahoma"/>
            <family val="2"/>
          </rPr>
          <t>Steen Hertin:</t>
        </r>
        <r>
          <rPr>
            <sz val="9"/>
            <color indexed="81"/>
            <rFont val="Tahoma"/>
            <family val="2"/>
          </rPr>
          <t xml:space="preserve">
Møder på Rådhuset kl.11.00 Blågården 14.00 - 17.00</t>
        </r>
      </text>
    </comment>
    <comment ref="T69" authorId="1" shapeId="0" xr:uid="{E63D7255-7253-45A9-BDCB-497722EB0A66}">
      <text>
        <r>
          <rPr>
            <b/>
            <sz val="9"/>
            <color indexed="81"/>
            <rFont val="Tahoma"/>
            <family val="2"/>
          </rPr>
          <t>Steen Hertin-Sandkær:</t>
        </r>
        <r>
          <rPr>
            <sz val="9"/>
            <color indexed="81"/>
            <rFont val="Tahoma"/>
            <family val="2"/>
          </rPr>
          <t xml:space="preserve">
Blågården 11.00 - 15.00</t>
        </r>
      </text>
    </comment>
    <comment ref="V69" authorId="3" shapeId="0" xr:uid="{C2B1E496-5EB8-42E9-BC03-8CF75399DB41}">
      <text>
        <r>
          <rPr>
            <b/>
            <sz val="9"/>
            <color indexed="81"/>
            <rFont val="Tahoma"/>
            <family val="2"/>
          </rPr>
          <t>Steen Hertin:</t>
        </r>
        <r>
          <rPr>
            <sz val="9"/>
            <color indexed="81"/>
            <rFont val="Tahoma"/>
            <family val="2"/>
          </rPr>
          <t xml:space="preserve">
Møder på Rådhuset kl.11.00 Blågården 14.00 - 17.00</t>
        </r>
      </text>
    </comment>
    <comment ref="Z69" authorId="9" shapeId="0" xr:uid="{47EDB186-080B-40AA-95D1-8F92639735F7}">
      <text>
        <r>
          <rPr>
            <b/>
            <sz val="9"/>
            <color indexed="81"/>
            <rFont val="Tahoma"/>
            <family val="2"/>
          </rPr>
          <t>Michael Bo Pedersen:</t>
        </r>
        <r>
          <rPr>
            <sz val="9"/>
            <color indexed="81"/>
            <rFont val="Tahoma"/>
            <family val="2"/>
          </rPr>
          <t xml:space="preserve">
Møder kl. 08.30</t>
        </r>
      </text>
    </comment>
    <comment ref="AB69" authorId="3" shapeId="0" xr:uid="{696EE764-B020-4D8F-A324-475E8C13FB3B}">
      <text>
        <r>
          <rPr>
            <b/>
            <sz val="9"/>
            <color indexed="81"/>
            <rFont val="Tahoma"/>
            <family val="2"/>
          </rPr>
          <t>Steen Hertin:</t>
        </r>
        <r>
          <rPr>
            <sz val="9"/>
            <color indexed="81"/>
            <rFont val="Tahoma"/>
            <family val="2"/>
          </rPr>
          <t xml:space="preserve">
Tingbjerg 13.45-18,45</t>
        </r>
      </text>
    </comment>
    <comment ref="AC69" authorId="3" shapeId="0" xr:uid="{8E92B0C9-1BAF-43CB-B121-EB0C706DA20E}">
      <text>
        <r>
          <rPr>
            <b/>
            <sz val="9"/>
            <color indexed="81"/>
            <rFont val="Tahoma"/>
            <family val="2"/>
          </rPr>
          <t>Steen Hertin:</t>
        </r>
        <r>
          <rPr>
            <sz val="9"/>
            <color indexed="81"/>
            <rFont val="Tahoma"/>
            <family val="2"/>
          </rPr>
          <t xml:space="preserve">
07.30 - 13.00 OA Hjælpe med at dække sikringsvagter der er på kursus.</t>
        </r>
      </text>
    </comment>
    <comment ref="C70" authorId="1" shapeId="0" xr:uid="{E14268E6-F565-4B0D-B4BD-D6E6EF47B982}">
      <text>
        <r>
          <rPr>
            <b/>
            <sz val="9"/>
            <color indexed="81"/>
            <rFont val="Tahoma"/>
            <family val="2"/>
          </rPr>
          <t>Steen Hertin-Sandkær:</t>
        </r>
        <r>
          <rPr>
            <sz val="9"/>
            <color indexed="81"/>
            <rFont val="Tahoma"/>
            <family val="2"/>
          </rPr>
          <t xml:space="preserve">
Blågården 13.00-18.00</t>
        </r>
      </text>
    </comment>
    <comment ref="D70" authorId="1" shapeId="0" xr:uid="{CD0DD315-8303-4D43-BEB2-4E13971E30F6}">
      <text>
        <r>
          <rPr>
            <b/>
            <sz val="9"/>
            <color indexed="81"/>
            <rFont val="Tahoma"/>
            <family val="2"/>
          </rPr>
          <t>Steen Hertin-Sandkær:</t>
        </r>
        <r>
          <rPr>
            <sz val="9"/>
            <color indexed="81"/>
            <rFont val="Tahoma"/>
            <family val="2"/>
          </rPr>
          <t xml:space="preserve">
Blågården 13.00-18.00</t>
        </r>
      </text>
    </comment>
    <comment ref="E70" authorId="1" shapeId="0" xr:uid="{A05A8FED-E36E-4CF9-821E-B5F4F5F0DB11}">
      <text>
        <r>
          <rPr>
            <b/>
            <sz val="9"/>
            <color indexed="81"/>
            <rFont val="Tahoma"/>
            <family val="2"/>
          </rPr>
          <t>Steen Hertin-Sandkær:</t>
        </r>
        <r>
          <rPr>
            <sz val="9"/>
            <color indexed="81"/>
            <rFont val="Tahoma"/>
            <family val="2"/>
          </rPr>
          <t xml:space="preserve">
Blågården 13.00-18.00</t>
        </r>
      </text>
    </comment>
    <comment ref="F70" authorId="1" shapeId="0" xr:uid="{90EE619D-8135-49E0-9664-839ECE2E890F}">
      <text>
        <r>
          <rPr>
            <b/>
            <sz val="9"/>
            <color indexed="81"/>
            <rFont val="Tahoma"/>
            <family val="2"/>
          </rPr>
          <t>Steen Hertin-Sandkær:</t>
        </r>
        <r>
          <rPr>
            <sz val="9"/>
            <color indexed="81"/>
            <rFont val="Tahoma"/>
            <family val="2"/>
          </rPr>
          <t xml:space="preserve">
Blågården 11.00 - 15.00</t>
        </r>
      </text>
    </comment>
    <comment ref="M70" authorId="1" shapeId="0" xr:uid="{C5BDDE38-A1F4-4248-BB9B-A1FC7D837F15}">
      <text>
        <r>
          <rPr>
            <b/>
            <sz val="9"/>
            <color indexed="81"/>
            <rFont val="Tahoma"/>
            <family val="2"/>
          </rPr>
          <t>Steen Hertin-Sandkær:</t>
        </r>
        <r>
          <rPr>
            <sz val="9"/>
            <color indexed="81"/>
            <rFont val="Tahoma"/>
            <family val="2"/>
          </rPr>
          <t xml:space="preserve">
Blågården 11.00 - 15.00</t>
        </r>
      </text>
    </comment>
    <comment ref="Y70" authorId="1" shapeId="0" xr:uid="{5915DD42-C5B5-4591-884B-48872599C805}">
      <text>
        <r>
          <rPr>
            <b/>
            <sz val="9"/>
            <color indexed="81"/>
            <rFont val="Tahoma"/>
            <family val="2"/>
          </rPr>
          <t>Steen Hertin-Sandkær:</t>
        </r>
        <r>
          <rPr>
            <sz val="9"/>
            <color indexed="81"/>
            <rFont val="Tahoma"/>
            <family val="2"/>
          </rPr>
          <t xml:space="preserve">
Br-møde kl. 16.00 - 22.00</t>
        </r>
      </text>
    </comment>
    <comment ref="X71" authorId="3" shapeId="0" xr:uid="{3797F6BC-229B-455F-9869-CC5F75F5BC73}">
      <text>
        <r>
          <rPr>
            <b/>
            <sz val="9"/>
            <color indexed="81"/>
            <rFont val="Tahoma"/>
            <family val="2"/>
          </rPr>
          <t>Steen Hertin:</t>
        </r>
        <r>
          <rPr>
            <sz val="9"/>
            <color indexed="81"/>
            <rFont val="Tahoma"/>
            <family val="2"/>
          </rPr>
          <t xml:space="preserve">
ABA kursus</t>
        </r>
      </text>
    </comment>
    <comment ref="C72" authorId="8" shapeId="0" xr:uid="{D35138FA-8FFE-4973-B6A4-F22892067415}">
      <text>
        <r>
          <rPr>
            <b/>
            <sz val="9"/>
            <color indexed="81"/>
            <rFont val="Tahoma"/>
            <family val="2"/>
          </rPr>
          <t>Kim BT. Pedersen:</t>
        </r>
        <r>
          <rPr>
            <sz val="9"/>
            <color indexed="81"/>
            <rFont val="Tahoma"/>
            <family val="2"/>
          </rPr>
          <t xml:space="preserve">
i1 på OA og P-vagt på OA.</t>
        </r>
      </text>
    </comment>
    <comment ref="D72" authorId="1" shapeId="0" xr:uid="{DE356DB7-E64F-42BA-BDEC-4B0D5CA461ED}">
      <text>
        <r>
          <rPr>
            <b/>
            <sz val="9"/>
            <color indexed="81"/>
            <rFont val="Tahoma"/>
            <family val="2"/>
          </rPr>
          <t>Steen Hertin-Sandkær:</t>
        </r>
        <r>
          <rPr>
            <sz val="9"/>
            <color indexed="81"/>
            <rFont val="Tahoma"/>
            <family val="2"/>
          </rPr>
          <t xml:space="preserve">
P-vagt på OA til mødetid som 8-vagt på oplæring.</t>
        </r>
      </text>
    </comment>
    <comment ref="H72" authorId="1" shapeId="0" xr:uid="{0ACB5D5C-BB3D-4B9D-AE3D-848CDF78E8FA}">
      <text>
        <r>
          <rPr>
            <b/>
            <sz val="9"/>
            <color indexed="81"/>
            <rFont val="Tahoma"/>
            <family val="2"/>
          </rPr>
          <t>Steen Hertin-Sandkær:</t>
        </r>
        <r>
          <rPr>
            <sz val="9"/>
            <color indexed="81"/>
            <rFont val="Tahoma"/>
            <family val="2"/>
          </rPr>
          <t xml:space="preserve">
Fejefor Johnny
Gik hjem kl 07:00</t>
        </r>
      </text>
    </comment>
    <comment ref="I72" authorId="1" shapeId="0" xr:uid="{F3BE6528-CE94-4EFE-B987-2B80BCE549B3}">
      <text>
        <r>
          <rPr>
            <b/>
            <sz val="9"/>
            <color indexed="81"/>
            <rFont val="Tahoma"/>
            <family val="2"/>
          </rPr>
          <t>Steen Hertin-Sandkær:</t>
        </r>
        <r>
          <rPr>
            <sz val="9"/>
            <color indexed="81"/>
            <rFont val="Tahoma"/>
            <family val="2"/>
          </rPr>
          <t xml:space="preserve">
Fejefor Johnny</t>
        </r>
      </text>
    </comment>
    <comment ref="J72" authorId="1" shapeId="0" xr:uid="{649AA72B-C753-4BE7-9CF2-00793BBBA698}">
      <text>
        <r>
          <rPr>
            <b/>
            <sz val="9"/>
            <color indexed="81"/>
            <rFont val="Tahoma"/>
            <family val="2"/>
          </rPr>
          <t>Steen Hertin-Sandkær:</t>
        </r>
        <r>
          <rPr>
            <sz val="9"/>
            <color indexed="81"/>
            <rFont val="Tahoma"/>
            <family val="2"/>
          </rPr>
          <t xml:space="preserve">
Fejefor Johnny</t>
        </r>
      </text>
    </comment>
    <comment ref="K72" authorId="1" shapeId="0" xr:uid="{339C851F-8647-44ED-9483-26C2619F88CC}">
      <text>
        <r>
          <rPr>
            <b/>
            <sz val="9"/>
            <color indexed="81"/>
            <rFont val="Tahoma"/>
            <family val="2"/>
          </rPr>
          <t>Steen Hertin-Sandkær:</t>
        </r>
        <r>
          <rPr>
            <sz val="9"/>
            <color indexed="81"/>
            <rFont val="Tahoma"/>
            <family val="2"/>
          </rPr>
          <t xml:space="preserve">
Fejefor Johnny</t>
        </r>
      </text>
    </comment>
    <comment ref="L72" authorId="1" shapeId="0" xr:uid="{5DB0E422-C7BD-4781-91BC-E8DD2C952990}">
      <text>
        <r>
          <rPr>
            <b/>
            <sz val="9"/>
            <color indexed="81"/>
            <rFont val="Tahoma"/>
            <family val="2"/>
          </rPr>
          <t>Steen Hertin-Sandkær:</t>
        </r>
        <r>
          <rPr>
            <sz val="9"/>
            <color indexed="81"/>
            <rFont val="Tahoma"/>
            <family val="2"/>
          </rPr>
          <t xml:space="preserve">
Fejefor Johnny</t>
        </r>
      </text>
    </comment>
    <comment ref="U72" authorId="3" shapeId="0" xr:uid="{C1FBE03F-1E99-4B02-B1C8-8547569D1715}">
      <text>
        <r>
          <rPr>
            <b/>
            <sz val="9"/>
            <color indexed="81"/>
            <rFont val="Tahoma"/>
            <family val="2"/>
          </rPr>
          <t>Steen Hertin:</t>
        </r>
        <r>
          <rPr>
            <sz val="9"/>
            <color indexed="81"/>
            <rFont val="Tahoma"/>
            <family val="2"/>
          </rPr>
          <t xml:space="preserve">
Tingbjerg 13.45-18,45</t>
        </r>
      </text>
    </comment>
    <comment ref="AA72" authorId="3" shapeId="0" xr:uid="{8FED643B-F701-4BB3-A89D-8899EFC2CBE6}">
      <text>
        <r>
          <rPr>
            <b/>
            <sz val="9"/>
            <color indexed="81"/>
            <rFont val="Tahoma"/>
            <family val="2"/>
          </rPr>
          <t>Steen Hertin:</t>
        </r>
        <r>
          <rPr>
            <sz val="9"/>
            <color indexed="81"/>
            <rFont val="Tahoma"/>
            <family val="2"/>
          </rPr>
          <t xml:space="preserve">
Arrangement 09.30 - 17.30</t>
        </r>
      </text>
    </comment>
    <comment ref="AC72" authorId="1" shapeId="0" xr:uid="{A27F641F-5F48-4AE9-A865-B1F3FAA96B97}">
      <text>
        <r>
          <rPr>
            <b/>
            <sz val="9"/>
            <color indexed="81"/>
            <rFont val="Tahoma"/>
            <family val="2"/>
          </rPr>
          <t>Steen Hertin-Sandkær:</t>
        </r>
        <r>
          <rPr>
            <sz val="9"/>
            <color indexed="81"/>
            <rFont val="Tahoma"/>
            <family val="2"/>
          </rPr>
          <t xml:space="preserve">
Førstehjælps kursus
08.00-12.00</t>
        </r>
      </text>
    </comment>
    <comment ref="AE72" authorId="2" shapeId="0" xr:uid="{73425E78-9F51-4C46-8062-41F9213FF05A}">
      <text>
        <r>
          <rPr>
            <b/>
            <sz val="9"/>
            <color indexed="81"/>
            <rFont val="Tahoma"/>
            <family val="2"/>
          </rPr>
          <t>Thomas Holm:</t>
        </r>
        <r>
          <rPr>
            <sz val="9"/>
            <color indexed="81"/>
            <rFont val="Tahoma"/>
            <family val="2"/>
          </rPr>
          <t xml:space="preserve">
tingbjerg bib.
Vagten skal blive til kl. 22.00</t>
        </r>
      </text>
    </comment>
    <comment ref="AG72" authorId="1" shapeId="0" xr:uid="{C746810C-59AA-463F-91B1-558FF972C3E3}">
      <text>
        <r>
          <rPr>
            <b/>
            <sz val="9"/>
            <color indexed="81"/>
            <rFont val="Tahoma"/>
            <family val="2"/>
          </rPr>
          <t>Steen Hertin-Sandkær:</t>
        </r>
        <r>
          <rPr>
            <sz val="9"/>
            <color indexed="81"/>
            <rFont val="Tahoma"/>
            <family val="2"/>
          </rPr>
          <t xml:space="preserve">
Skal holde fri.</t>
        </r>
      </text>
    </comment>
    <comment ref="D73" authorId="1" shapeId="0" xr:uid="{91CCA057-A167-4C9C-97BA-212C92D8E525}">
      <text>
        <r>
          <rPr>
            <b/>
            <sz val="9"/>
            <color indexed="81"/>
            <rFont val="Tahoma"/>
            <family val="2"/>
          </rPr>
          <t>Steen Hertin-Sandkær:</t>
        </r>
        <r>
          <rPr>
            <sz val="9"/>
            <color indexed="81"/>
            <rFont val="Tahoma"/>
            <family val="2"/>
          </rPr>
          <t xml:space="preserve">
Brønshøj skole 17.00 - 22.00</t>
        </r>
      </text>
    </comment>
    <comment ref="F73" authorId="3" shapeId="0" xr:uid="{E25D7115-F362-4C17-90C8-0C0342BF264D}">
      <text>
        <r>
          <rPr>
            <b/>
            <sz val="9"/>
            <color indexed="81"/>
            <rFont val="Tahoma"/>
            <family val="2"/>
          </rPr>
          <t>Steen Hertin:</t>
        </r>
        <r>
          <rPr>
            <sz val="9"/>
            <color indexed="81"/>
            <rFont val="Tahoma"/>
            <family val="2"/>
          </rPr>
          <t xml:space="preserve">
Nørrebro bibliotek kl. 14.00-20,15</t>
        </r>
      </text>
    </comment>
    <comment ref="G73" authorId="3" shapeId="0" xr:uid="{F2DABA48-F964-4930-939A-E234B6E5934D}">
      <text>
        <r>
          <rPr>
            <b/>
            <sz val="9"/>
            <color indexed="81"/>
            <rFont val="Tahoma"/>
            <family val="2"/>
          </rPr>
          <t>Steen Hertin:</t>
        </r>
        <r>
          <rPr>
            <sz val="9"/>
            <color indexed="81"/>
            <rFont val="Tahoma"/>
            <family val="2"/>
          </rPr>
          <t xml:space="preserve">
Nørrebro bibliotek kl. 14.00-20,15</t>
        </r>
      </text>
    </comment>
    <comment ref="M73" authorId="3" shapeId="0" xr:uid="{DAAA9633-E2E9-47D0-A919-388C884768F4}">
      <text>
        <r>
          <rPr>
            <b/>
            <sz val="9"/>
            <color indexed="81"/>
            <rFont val="Tahoma"/>
            <family val="2"/>
          </rPr>
          <t>Steen Hertin:</t>
        </r>
        <r>
          <rPr>
            <sz val="9"/>
            <color indexed="81"/>
            <rFont val="Tahoma"/>
            <family val="2"/>
          </rPr>
          <t xml:space="preserve">
Nørrebro bibliotek kl. 11.00 - 15.00</t>
        </r>
      </text>
    </comment>
    <comment ref="Y73" authorId="1" shapeId="0" xr:uid="{B599AF38-CB17-4ACD-BBA9-A8BFCBF63308}">
      <text>
        <r>
          <rPr>
            <b/>
            <sz val="9"/>
            <color indexed="81"/>
            <rFont val="Tahoma"/>
            <family val="2"/>
          </rPr>
          <t>Steen Hertin-Sandkær:</t>
        </r>
        <r>
          <rPr>
            <sz val="9"/>
            <color indexed="81"/>
            <rFont val="Tahoma"/>
            <family val="2"/>
          </rPr>
          <t xml:space="preserve">
Nørrebro bibliotek 14.00 - 20.00</t>
        </r>
      </text>
    </comment>
    <comment ref="AA73" authorId="3" shapeId="0" xr:uid="{DD2593E7-9557-494B-BEBD-0BCEB89FBFF2}">
      <text>
        <r>
          <rPr>
            <b/>
            <sz val="9"/>
            <color indexed="81"/>
            <rFont val="Tahoma"/>
            <family val="2"/>
          </rPr>
          <t>Steen Hertin:</t>
        </r>
        <r>
          <rPr>
            <sz val="9"/>
            <color indexed="81"/>
            <rFont val="Tahoma"/>
            <family val="2"/>
          </rPr>
          <t xml:space="preserve">
Nørrebro bibliotek 11-15</t>
        </r>
      </text>
    </comment>
    <comment ref="AC73" authorId="3" shapeId="0" xr:uid="{74BA3439-F87D-4331-88EA-E14E46D1AE7A}">
      <text>
        <r>
          <rPr>
            <b/>
            <sz val="9"/>
            <color indexed="81"/>
            <rFont val="Tahoma"/>
            <family val="2"/>
          </rPr>
          <t>Steen Hertin:</t>
        </r>
        <r>
          <rPr>
            <sz val="9"/>
            <color indexed="81"/>
            <rFont val="Tahoma"/>
            <family val="2"/>
          </rPr>
          <t xml:space="preserve">
07.30 - 13.00 OA Hjælpe med at dække sikringsvagter der er på kursus.4-vagt 13.00-17.30</t>
        </r>
      </text>
    </comment>
    <comment ref="AG73" authorId="3" shapeId="0" xr:uid="{AAD4BB31-D2D2-4A2F-8B0D-40CEF9371BF0}">
      <text>
        <r>
          <rPr>
            <b/>
            <sz val="9"/>
            <color indexed="81"/>
            <rFont val="Tahoma"/>
            <family val="2"/>
          </rPr>
          <t>Steen Hertin:</t>
        </r>
        <r>
          <rPr>
            <sz val="9"/>
            <color indexed="81"/>
            <rFont val="Tahoma"/>
            <family val="2"/>
          </rPr>
          <t xml:space="preserve">
Københavns museum 14.00 - 21.00</t>
        </r>
      </text>
    </comment>
    <comment ref="D74" authorId="1" shapeId="0" xr:uid="{899F8FEC-CF12-4E2F-B9AA-6B540F23A343}">
      <text>
        <r>
          <rPr>
            <b/>
            <sz val="9"/>
            <color indexed="81"/>
            <rFont val="Tahoma"/>
            <family val="2"/>
          </rPr>
          <t>Steen Hertin-Sandkær:</t>
        </r>
        <r>
          <rPr>
            <sz val="9"/>
            <color indexed="81"/>
            <rFont val="Tahoma"/>
            <family val="2"/>
          </rPr>
          <t xml:space="preserve">
Brønshøj skole 17.00 - 22.00</t>
        </r>
      </text>
    </comment>
    <comment ref="O74" authorId="2" shapeId="0" xr:uid="{3C5056EC-B5A9-400E-89FF-070B0F44BB83}">
      <text>
        <r>
          <rPr>
            <b/>
            <sz val="9"/>
            <color indexed="81"/>
            <rFont val="Tahoma"/>
            <family val="2"/>
          </rPr>
          <t>Thomas Holm:</t>
        </r>
        <r>
          <rPr>
            <sz val="9"/>
            <color indexed="81"/>
            <rFont val="Tahoma"/>
            <family val="2"/>
          </rPr>
          <t xml:space="preserve">
Afsp.fra kl. 12.30</t>
        </r>
      </text>
    </comment>
    <comment ref="S74" authorId="3" shapeId="0" xr:uid="{73FB662F-957F-4532-A185-430DED006FE0}">
      <text>
        <r>
          <rPr>
            <b/>
            <sz val="9"/>
            <color indexed="81"/>
            <rFont val="Tahoma"/>
            <family val="2"/>
          </rPr>
          <t>Steen Hertin:</t>
        </r>
        <r>
          <rPr>
            <sz val="9"/>
            <color indexed="81"/>
            <rFont val="Tahoma"/>
            <family val="2"/>
          </rPr>
          <t xml:space="preserve">
Møder kl. 15.30 - 20.30 til arrengement på Rådhuset.</t>
        </r>
      </text>
    </comment>
    <comment ref="M75" authorId="0" shapeId="0" xr:uid="{7756B1E6-901F-451D-80FE-F6B6FE37BC55}">
      <text>
        <r>
          <rPr>
            <b/>
            <sz val="9"/>
            <color indexed="81"/>
            <rFont val="Tahoma"/>
            <family val="2"/>
          </rPr>
          <t>Nikolaj Langtin Pamhede:</t>
        </r>
        <r>
          <rPr>
            <sz val="9"/>
            <color indexed="81"/>
            <rFont val="Tahoma"/>
            <family val="2"/>
          </rPr>
          <t xml:space="preserve">
ikke rettidet varslet</t>
        </r>
      </text>
    </comment>
    <comment ref="S75" authorId="3" shapeId="0" xr:uid="{882B704E-1F09-41FD-A681-5F0819542B28}">
      <text>
        <r>
          <rPr>
            <b/>
            <sz val="9"/>
            <color indexed="81"/>
            <rFont val="Tahoma"/>
            <family val="2"/>
          </rPr>
          <t>Steen Hertin:</t>
        </r>
        <r>
          <rPr>
            <sz val="9"/>
            <color indexed="81"/>
            <rFont val="Tahoma"/>
            <family val="2"/>
          </rPr>
          <t xml:space="preserve">
Møder kl. 15.30 - 20.30 til arrengement på Rådhuset.</t>
        </r>
      </text>
    </comment>
    <comment ref="Y75" authorId="1" shapeId="0" xr:uid="{9B9E3964-5B9B-49F7-A130-203131220E69}">
      <text>
        <r>
          <rPr>
            <b/>
            <sz val="9"/>
            <color indexed="81"/>
            <rFont val="Tahoma"/>
            <family val="2"/>
          </rPr>
          <t>Steen Hertin-Sandkær:</t>
        </r>
        <r>
          <rPr>
            <sz val="9"/>
            <color indexed="81"/>
            <rFont val="Tahoma"/>
            <family val="2"/>
          </rPr>
          <t xml:space="preserve">
Br-møde kl. 16.00 - 22.00</t>
        </r>
      </text>
    </comment>
    <comment ref="AA75" authorId="3" shapeId="0" xr:uid="{47CCF914-D57C-46C0-AC50-800878B3077E}">
      <text>
        <r>
          <rPr>
            <b/>
            <sz val="9"/>
            <color indexed="81"/>
            <rFont val="Tahoma"/>
            <family val="2"/>
          </rPr>
          <t>Steen Hertin:</t>
        </r>
        <r>
          <rPr>
            <sz val="9"/>
            <color indexed="81"/>
            <rFont val="Tahoma"/>
            <family val="2"/>
          </rPr>
          <t xml:space="preserve">
Arrangement 09.30 - 17.30</t>
        </r>
      </text>
    </comment>
    <comment ref="AC75" authorId="1" shapeId="0" xr:uid="{BB6FE7AA-243D-46DB-A74E-E0A061AE545A}">
      <text>
        <r>
          <rPr>
            <b/>
            <sz val="9"/>
            <color indexed="81"/>
            <rFont val="Tahoma"/>
            <family val="2"/>
          </rPr>
          <t>Steen Hertin-Sandkær:</t>
        </r>
        <r>
          <rPr>
            <sz val="9"/>
            <color indexed="81"/>
            <rFont val="Tahoma"/>
            <family val="2"/>
          </rPr>
          <t xml:space="preserve">
Førstehjælps kursus
08.00-12.00</t>
        </r>
      </text>
    </comment>
    <comment ref="AD75" authorId="3" shapeId="0" xr:uid="{669C7C24-3195-475D-A5EC-924E7A753AC6}">
      <text>
        <r>
          <rPr>
            <b/>
            <sz val="9"/>
            <color indexed="81"/>
            <rFont val="Tahoma"/>
            <family val="2"/>
          </rPr>
          <t>Steen Hertin:</t>
        </r>
        <r>
          <rPr>
            <sz val="9"/>
            <color indexed="81"/>
            <rFont val="Tahoma"/>
            <family val="2"/>
          </rPr>
          <t xml:space="preserve">
Arrangement kl. 17.00 - 23.00</t>
        </r>
      </text>
    </comment>
    <comment ref="AF76" authorId="3" shapeId="0" xr:uid="{4D1C10AF-5A82-4D7A-BCA3-0251949B460A}">
      <text>
        <r>
          <rPr>
            <b/>
            <sz val="9"/>
            <color indexed="81"/>
            <rFont val="Tahoma"/>
            <family val="2"/>
          </rPr>
          <t>Steen Hertin:Lyongade kl. 12.45 og åbne. Rasmus kommer ca. 13.45.</t>
        </r>
      </text>
    </comment>
    <comment ref="AG76" authorId="3" shapeId="0" xr:uid="{A92258BD-35E4-4E10-BACC-831394674A5B}">
      <text>
        <r>
          <rPr>
            <b/>
            <sz val="9"/>
            <color indexed="81"/>
            <rFont val="Tahoma"/>
            <family val="2"/>
          </rPr>
          <t>Steen Hertin:</t>
        </r>
        <r>
          <rPr>
            <sz val="9"/>
            <color indexed="81"/>
            <rFont val="Tahoma"/>
            <family val="2"/>
          </rPr>
          <t xml:space="preserve">
Københavns museum 14.00 - 21.00
26 OA</t>
        </r>
      </text>
    </comment>
    <comment ref="AC77" authorId="1" shapeId="0" xr:uid="{53784F39-2FCA-4AB2-B077-640598CBD187}">
      <text>
        <r>
          <rPr>
            <b/>
            <sz val="9"/>
            <color indexed="81"/>
            <rFont val="Tahoma"/>
            <family val="2"/>
          </rPr>
          <t>Steen Hertin-Sandkær:</t>
        </r>
        <r>
          <rPr>
            <sz val="9"/>
            <color indexed="81"/>
            <rFont val="Tahoma"/>
            <family val="2"/>
          </rPr>
          <t xml:space="preserve">
Førstehjælps kursus
08.00-12.00</t>
        </r>
      </text>
    </comment>
    <comment ref="H78" authorId="1" shapeId="0" xr:uid="{AA22E6F2-43A3-424D-8748-B586FF1A94DC}">
      <text>
        <r>
          <rPr>
            <b/>
            <sz val="9"/>
            <color indexed="81"/>
            <rFont val="Tahoma"/>
            <family val="2"/>
          </rPr>
          <t>Steen Hertin-Sandkær:</t>
        </r>
        <r>
          <rPr>
            <sz val="9"/>
            <color indexed="81"/>
            <rFont val="Tahoma"/>
            <family val="2"/>
          </rPr>
          <t xml:space="preserve">
Kursus hjælperøgdykker
08-16</t>
        </r>
      </text>
    </comment>
    <comment ref="Q79" authorId="3" shapeId="0" xr:uid="{30E87260-D0B0-46B5-8DFF-B3942945B340}">
      <text>
        <r>
          <rPr>
            <b/>
            <sz val="9"/>
            <color indexed="81"/>
            <rFont val="Tahoma"/>
            <family val="2"/>
          </rPr>
          <t>Steen Hertin:</t>
        </r>
        <r>
          <rPr>
            <sz val="9"/>
            <color indexed="81"/>
            <rFont val="Tahoma"/>
            <family val="2"/>
          </rPr>
          <t xml:space="preserve">
Kun aften/nat</t>
        </r>
      </text>
    </comment>
    <comment ref="V79" authorId="6" shapeId="0" xr:uid="{33CD0130-8F0D-413A-BF7E-AD796FCFC355}">
      <text>
        <r>
          <rPr>
            <b/>
            <sz val="9"/>
            <color indexed="81"/>
            <rFont val="Tahoma"/>
            <family val="2"/>
          </rPr>
          <t>Nick Lorentzen:</t>
        </r>
        <r>
          <rPr>
            <sz val="9"/>
            <color indexed="81"/>
            <rFont val="Tahoma"/>
            <family val="2"/>
          </rPr>
          <t xml:space="preserve">
8 vagt OA</t>
        </r>
      </text>
    </comment>
    <comment ref="Y79" authorId="3" shapeId="0" xr:uid="{1B39744C-B9FC-42B8-B67A-C9916E788DCB}">
      <text>
        <r>
          <rPr>
            <b/>
            <sz val="9"/>
            <color indexed="81"/>
            <rFont val="Tahoma"/>
            <family val="2"/>
          </rPr>
          <t>Steen Hertin:</t>
        </r>
        <r>
          <rPr>
            <sz val="9"/>
            <color indexed="81"/>
            <rFont val="Tahoma"/>
            <family val="2"/>
          </rPr>
          <t xml:space="preserve">
Møder ind og kører 25-vagt på oa.</t>
        </r>
      </text>
    </comment>
    <comment ref="AA79" authorId="3" shapeId="0" xr:uid="{78192A4B-355E-4E6B-B10B-17CA481AF22A}">
      <text>
        <r>
          <rPr>
            <b/>
            <sz val="9"/>
            <color indexed="81"/>
            <rFont val="Tahoma"/>
            <family val="2"/>
          </rPr>
          <t>Steen Hertin:</t>
        </r>
        <r>
          <rPr>
            <sz val="9"/>
            <color indexed="81"/>
            <rFont val="Tahoma"/>
            <family val="2"/>
          </rPr>
          <t xml:space="preserve">
Arrangement 09.30 - 17.30</t>
        </r>
      </text>
    </comment>
    <comment ref="AC79" authorId="0" shapeId="0" xr:uid="{F3F9B0FE-6296-4795-BF36-926205E3D5C4}">
      <text>
        <r>
          <rPr>
            <b/>
            <sz val="9"/>
            <color indexed="81"/>
            <rFont val="Tahoma"/>
            <family val="2"/>
          </rPr>
          <t>Nikolaj Langtin Pamhede:</t>
        </r>
        <r>
          <rPr>
            <sz val="9"/>
            <color indexed="81"/>
            <rFont val="Tahoma"/>
            <family val="2"/>
          </rPr>
          <t xml:space="preserve">
Skal kører på Rentmestervej kl.15. Skal blive der til 22.</t>
        </r>
      </text>
    </comment>
    <comment ref="AG80" authorId="5" shapeId="0" xr:uid="{51AEC7F7-A714-41DA-B82F-2FAF09F9C2CD}">
      <text>
        <r>
          <rPr>
            <b/>
            <sz val="9"/>
            <color indexed="81"/>
            <rFont val="Tahoma"/>
            <family val="2"/>
          </rPr>
          <t>Kim Holm Aabroe:</t>
        </r>
        <r>
          <rPr>
            <sz val="9"/>
            <color indexed="81"/>
            <rFont val="Tahoma"/>
            <family val="2"/>
          </rPr>
          <t xml:space="preserve">
K2 OA
Slut kl 02:15</t>
        </r>
      </text>
    </comment>
    <comment ref="J81" authorId="3" shapeId="0" xr:uid="{49DB411E-14BB-406F-B9C2-07CABCD91451}">
      <text>
        <r>
          <rPr>
            <b/>
            <sz val="9"/>
            <color indexed="81"/>
            <rFont val="Tahoma"/>
            <family val="2"/>
          </rPr>
          <t>Steen Hertin:</t>
        </r>
        <r>
          <rPr>
            <sz val="9"/>
            <color indexed="81"/>
            <rFont val="Tahoma"/>
            <family val="2"/>
          </rPr>
          <t xml:space="preserve">
Går kl. 14.00</t>
        </r>
      </text>
    </comment>
    <comment ref="V81" authorId="1" shapeId="0" xr:uid="{38DD59C6-2129-4D68-B5F0-F0AD77609E04}">
      <text>
        <r>
          <rPr>
            <b/>
            <sz val="9"/>
            <color indexed="81"/>
            <rFont val="Tahoma"/>
            <family val="2"/>
          </rPr>
          <t>Steen Hertin-Sandkær:</t>
        </r>
        <r>
          <rPr>
            <sz val="9"/>
            <color indexed="81"/>
            <rFont val="Tahoma"/>
            <family val="2"/>
          </rPr>
          <t xml:space="preserve">
Møder ca. kl. 09.00</t>
        </r>
      </text>
    </comment>
    <comment ref="V83" authorId="7" shapeId="0" xr:uid="{72156454-0340-41FC-A20B-50160A91A74F}">
      <text>
        <r>
          <rPr>
            <b/>
            <sz val="9"/>
            <color indexed="81"/>
            <rFont val="Tahoma"/>
            <family val="2"/>
          </rPr>
          <t>Mathias Hartvig Morell Nielsen:</t>
        </r>
        <r>
          <rPr>
            <sz val="9"/>
            <color indexed="81"/>
            <rFont val="Tahoma"/>
            <family val="2"/>
          </rPr>
          <t xml:space="preserve">
5'vagt OA</t>
        </r>
      </text>
    </comment>
    <comment ref="W83" authorId="0" shapeId="0" xr:uid="{EF200823-FD86-4C50-BA34-420814894B84}">
      <text>
        <r>
          <rPr>
            <b/>
            <sz val="9"/>
            <color indexed="81"/>
            <rFont val="Tahoma"/>
            <family val="2"/>
          </rPr>
          <t>Nikolaj Langtin Pamhede:</t>
        </r>
        <r>
          <rPr>
            <sz val="9"/>
            <color indexed="81"/>
            <rFont val="Tahoma"/>
            <family val="2"/>
          </rPr>
          <t xml:space="preserve">
5-vagt på oa</t>
        </r>
      </text>
    </comment>
    <comment ref="I91" authorId="0" shapeId="0" xr:uid="{E717A933-862F-43B5-90E6-39E4F66E39AE}">
      <text>
        <r>
          <rPr>
            <b/>
            <sz val="9"/>
            <color indexed="81"/>
            <rFont val="Tahoma"/>
            <family val="2"/>
          </rPr>
          <t>Nikolaj Langtin Pamhede:</t>
        </r>
        <r>
          <rPr>
            <sz val="9"/>
            <color indexed="81"/>
            <rFont val="Tahoma"/>
            <family val="2"/>
          </rPr>
          <t xml:space="preserve">
Skole</t>
        </r>
      </text>
    </comment>
    <comment ref="P91" authorId="0" shapeId="0" xr:uid="{16D01DB3-5346-4DF8-BC9E-DFEE27CD9CA3}">
      <text>
        <r>
          <rPr>
            <b/>
            <sz val="9"/>
            <color indexed="81"/>
            <rFont val="Tahoma"/>
            <family val="2"/>
          </rPr>
          <t>Nikolaj Langtin Pamhede:</t>
        </r>
        <r>
          <rPr>
            <sz val="9"/>
            <color indexed="81"/>
            <rFont val="Tahoma"/>
            <family val="2"/>
          </rPr>
          <t xml:space="preserve">
Skole</t>
        </r>
      </text>
    </comment>
    <comment ref="V91" authorId="0" shapeId="0" xr:uid="{E10FDE98-7907-4B1E-AB55-FCB0A8A0DFFB}">
      <text>
        <r>
          <rPr>
            <b/>
            <sz val="9"/>
            <color indexed="81"/>
            <rFont val="Tahoma"/>
            <family val="2"/>
          </rPr>
          <t>Nikolaj Langtin Pamhede:</t>
        </r>
        <r>
          <rPr>
            <sz val="9"/>
            <color indexed="81"/>
            <rFont val="Tahoma"/>
            <family val="2"/>
          </rPr>
          <t xml:space="preserve">
Kun dagvagt</t>
        </r>
      </text>
    </comment>
    <comment ref="W91" authorId="0" shapeId="0" xr:uid="{6465CD73-ACFD-43EF-84C6-44AF84BE07BF}">
      <text>
        <r>
          <rPr>
            <b/>
            <sz val="9"/>
            <color indexed="81"/>
            <rFont val="Tahoma"/>
            <family val="2"/>
          </rPr>
          <t>Nikolaj Langtin Pamhede:</t>
        </r>
        <r>
          <rPr>
            <sz val="9"/>
            <color indexed="81"/>
            <rFont val="Tahoma"/>
            <family val="2"/>
          </rPr>
          <t xml:space="preserve">
Skole</t>
        </r>
      </text>
    </comment>
    <comment ref="AD91" authorId="0" shapeId="0" xr:uid="{18CD7E5F-F5CA-46B4-815A-3E204297C085}">
      <text>
        <r>
          <rPr>
            <b/>
            <sz val="9"/>
            <color indexed="81"/>
            <rFont val="Tahoma"/>
            <family val="2"/>
          </rPr>
          <t>Nikolaj Langtin Pamhede:</t>
        </r>
        <r>
          <rPr>
            <sz val="9"/>
            <color indexed="81"/>
            <rFont val="Tahoma"/>
            <family val="2"/>
          </rPr>
          <t xml:space="preserve">
Skole</t>
        </r>
      </text>
    </comment>
    <comment ref="D97" authorId="0" shapeId="0" xr:uid="{D0A113BF-FBC5-41E9-B75B-10CA98DD5D8E}">
      <text>
        <r>
          <rPr>
            <b/>
            <sz val="9"/>
            <color indexed="81"/>
            <rFont val="Tahoma"/>
            <family val="2"/>
          </rPr>
          <t>Nikolaj Langtin Pamhede:</t>
        </r>
        <r>
          <rPr>
            <sz val="9"/>
            <color indexed="81"/>
            <rFont val="Tahoma"/>
            <family val="2"/>
          </rPr>
          <t xml:space="preserve">
arrangement service
8-15
</t>
        </r>
      </text>
    </comment>
    <comment ref="E97" authorId="0" shapeId="0" xr:uid="{07054759-8532-4D8B-85F9-A453CA332C36}">
      <text>
        <r>
          <rPr>
            <b/>
            <sz val="9"/>
            <color indexed="81"/>
            <rFont val="Tahoma"/>
            <family val="2"/>
          </rPr>
          <t>Nikolaj Langtin Pamhede:</t>
        </r>
        <r>
          <rPr>
            <sz val="9"/>
            <color indexed="81"/>
            <rFont val="Tahoma"/>
            <family val="2"/>
          </rPr>
          <t xml:space="preserve">
8-15</t>
        </r>
      </text>
    </comment>
    <comment ref="C98" authorId="0" shapeId="0" xr:uid="{28F6D77E-F3A7-45F7-82D0-CE1830F91AA8}">
      <text>
        <r>
          <rPr>
            <b/>
            <sz val="9"/>
            <color indexed="81"/>
            <rFont val="Tahoma"/>
            <family val="2"/>
          </rPr>
          <t>Nikolaj Langtin Pamhede:</t>
        </r>
        <r>
          <rPr>
            <sz val="9"/>
            <color indexed="81"/>
            <rFont val="Tahoma"/>
            <family val="2"/>
          </rPr>
          <t xml:space="preserve">
8-15</t>
        </r>
      </text>
    </comment>
    <comment ref="D98" authorId="0" shapeId="0" xr:uid="{065AB384-5EEC-4088-93FC-B9121ACD84E9}">
      <text>
        <r>
          <rPr>
            <b/>
            <sz val="9"/>
            <color indexed="81"/>
            <rFont val="Tahoma"/>
            <family val="2"/>
          </rPr>
          <t>Nikolaj Langtin Pamhede:</t>
        </r>
        <r>
          <rPr>
            <sz val="9"/>
            <color indexed="81"/>
            <rFont val="Tahoma"/>
            <family val="2"/>
          </rPr>
          <t xml:space="preserve">
Rundvisning afd.
8-15</t>
        </r>
      </text>
    </comment>
    <comment ref="E98" authorId="0" shapeId="0" xr:uid="{CFDF22F8-F1AE-4646-A10F-BA00C498E185}">
      <text>
        <r>
          <rPr>
            <b/>
            <sz val="9"/>
            <color indexed="81"/>
            <rFont val="Tahoma"/>
            <family val="2"/>
          </rPr>
          <t>Nikolaj Langtin Pamhede:</t>
        </r>
        <r>
          <rPr>
            <sz val="9"/>
            <color indexed="81"/>
            <rFont val="Tahoma"/>
            <family val="2"/>
          </rPr>
          <t xml:space="preserve">
8-15</t>
        </r>
      </text>
    </comment>
    <comment ref="J105" authorId="1" shapeId="0" xr:uid="{246FCCE0-5312-4A1E-B0BC-161585F982DF}">
      <text>
        <r>
          <rPr>
            <b/>
            <sz val="9"/>
            <color indexed="81"/>
            <rFont val="Tahoma"/>
            <family val="2"/>
          </rPr>
          <t>Steen Hertin-Sandkær:</t>
        </r>
        <r>
          <rPr>
            <sz val="9"/>
            <color indexed="81"/>
            <rFont val="Tahoma"/>
            <family val="2"/>
          </rPr>
          <t xml:space="preserve">
Bliverpå OA til Henrik møder</t>
        </r>
      </text>
    </comment>
    <comment ref="AC106" authorId="3" shapeId="0" xr:uid="{9B0C493D-7F5F-4E38-A9EB-4C57AA3CE038}">
      <text>
        <r>
          <rPr>
            <b/>
            <sz val="9"/>
            <color indexed="81"/>
            <rFont val="Tahoma"/>
            <family val="2"/>
          </rPr>
          <t>Steen Hertin:</t>
        </r>
        <r>
          <rPr>
            <sz val="9"/>
            <color indexed="81"/>
            <rFont val="Tahoma"/>
            <family val="2"/>
          </rPr>
          <t xml:space="preserve">
S1 på OA</t>
        </r>
      </text>
    </comment>
    <comment ref="AC109" authorId="1" shapeId="0" xr:uid="{3261DD68-D85C-4899-8180-881EA0953A14}">
      <text>
        <r>
          <rPr>
            <b/>
            <sz val="9"/>
            <color indexed="81"/>
            <rFont val="Tahoma"/>
            <family val="2"/>
          </rPr>
          <t>Steen Hertin-Sandkær:</t>
        </r>
        <r>
          <rPr>
            <sz val="9"/>
            <color indexed="81"/>
            <rFont val="Tahoma"/>
            <family val="2"/>
          </rPr>
          <t xml:space="preserve">
Førstehjælps kursus
08.00-12.00</t>
        </r>
      </text>
    </comment>
    <comment ref="AG121" authorId="1" shapeId="0" xr:uid="{6FAC3717-15CE-4700-924D-3A99A55BE3BC}">
      <text>
        <r>
          <rPr>
            <b/>
            <sz val="9"/>
            <color indexed="81"/>
            <rFont val="Tahoma"/>
            <family val="2"/>
          </rPr>
          <t>Steen Hertin-Sandkær:</t>
        </r>
        <r>
          <rPr>
            <sz val="9"/>
            <color indexed="81"/>
            <rFont val="Tahoma"/>
            <family val="2"/>
          </rPr>
          <t xml:space="preserve">
Ryparken idrætsanlæg kl. 19.45 - 23.45 på OA.
Skal først skrive OA fra kl. 19.45</t>
        </r>
      </text>
    </comment>
    <comment ref="W122" authorId="7" shapeId="0" xr:uid="{770F805A-21D0-43CA-B57C-F87725DA5B52}">
      <text>
        <r>
          <rPr>
            <b/>
            <sz val="9"/>
            <color indexed="81"/>
            <rFont val="Tahoma"/>
            <family val="2"/>
          </rPr>
          <t>Mathias Hartvig Morell Nielsen:</t>
        </r>
        <r>
          <rPr>
            <sz val="9"/>
            <color indexed="81"/>
            <rFont val="Tahoma"/>
            <family val="2"/>
          </rPr>
          <t xml:space="preserve">
G-vagt OA</t>
        </r>
      </text>
    </comment>
    <comment ref="X122" authorId="0" shapeId="0" xr:uid="{B22B351E-476A-4E34-A9A9-944A31427274}">
      <text>
        <r>
          <rPr>
            <b/>
            <sz val="9"/>
            <color indexed="81"/>
            <rFont val="Tahoma"/>
            <family val="2"/>
          </rPr>
          <t>Nikolaj Langtin Pamhede:</t>
        </r>
        <r>
          <rPr>
            <sz val="9"/>
            <color indexed="81"/>
            <rFont val="Tahoma"/>
            <family val="2"/>
          </rPr>
          <t xml:space="preserve">
G-vagt på oa</t>
        </r>
      </text>
    </comment>
    <comment ref="AC122" authorId="3" shapeId="0" xr:uid="{B03DE177-0BD0-40EA-8201-C42E2BD41676}">
      <text>
        <r>
          <rPr>
            <b/>
            <sz val="9"/>
            <color indexed="81"/>
            <rFont val="Tahoma"/>
            <family val="2"/>
          </rPr>
          <t>Steen Hertin:</t>
        </r>
        <r>
          <rPr>
            <sz val="9"/>
            <color indexed="81"/>
            <rFont val="Tahoma"/>
            <family val="2"/>
          </rPr>
          <t xml:space="preserve">
7-vagt på OA</t>
        </r>
      </text>
    </comment>
    <comment ref="Y129" authorId="1" shapeId="0" xr:uid="{069786FB-5B5C-4F27-8B5F-D16C86219410}">
      <text>
        <r>
          <rPr>
            <b/>
            <sz val="9"/>
            <color indexed="81"/>
            <rFont val="Tahoma"/>
            <family val="2"/>
          </rPr>
          <t>Steen Hertin-Sandkær:</t>
        </r>
        <r>
          <rPr>
            <sz val="9"/>
            <color indexed="81"/>
            <rFont val="Tahoma"/>
            <family val="2"/>
          </rPr>
          <t xml:space="preserve">
BR-møde</t>
        </r>
      </text>
    </comment>
    <comment ref="Y141" authorId="1" shapeId="0" xr:uid="{86443F02-7BE2-41D5-BC11-798C20167318}">
      <text>
        <r>
          <rPr>
            <b/>
            <sz val="9"/>
            <color indexed="81"/>
            <rFont val="Tahoma"/>
            <family val="2"/>
          </rPr>
          <t>Steen Hertin-Sandkær:</t>
        </r>
        <r>
          <rPr>
            <sz val="9"/>
            <color indexed="81"/>
            <rFont val="Tahoma"/>
            <family val="2"/>
          </rPr>
          <t xml:space="preserve">
BR-møde</t>
        </r>
      </text>
    </comment>
    <comment ref="AC141" authorId="1" shapeId="0" xr:uid="{B9C1CCC2-FAFE-443B-AAE2-469EF2C4B146}">
      <text>
        <r>
          <rPr>
            <b/>
            <sz val="9"/>
            <color indexed="81"/>
            <rFont val="Tahoma"/>
            <family val="2"/>
          </rPr>
          <t>Steen Hertin-Sandkær:</t>
        </r>
        <r>
          <rPr>
            <sz val="9"/>
            <color indexed="81"/>
            <rFont val="Tahoma"/>
            <family val="2"/>
          </rPr>
          <t xml:space="preserve">
Førstehjælp
08.00-12.00</t>
        </r>
      </text>
    </comment>
    <comment ref="L142" authorId="6" shapeId="0" xr:uid="{9F48988E-F9DE-4BDA-8E02-DA04D9C7FFAE}">
      <text>
        <r>
          <rPr>
            <b/>
            <sz val="9"/>
            <color indexed="81"/>
            <rFont val="Tahoma"/>
            <family val="2"/>
          </rPr>
          <t>Nick Lorentzen:</t>
        </r>
        <r>
          <rPr>
            <sz val="9"/>
            <color indexed="81"/>
            <rFont val="Tahoma"/>
            <family val="2"/>
          </rPr>
          <t xml:space="preserve">
Afspadserer fra kl 13:00</t>
        </r>
      </text>
    </comment>
    <comment ref="O142" authorId="2" shapeId="0" xr:uid="{057B2344-5652-40D2-857D-AAB3102E3B3E}">
      <text>
        <r>
          <rPr>
            <b/>
            <sz val="9"/>
            <color indexed="81"/>
            <rFont val="Tahoma"/>
            <family val="2"/>
          </rPr>
          <t>Thomas Holm:</t>
        </r>
        <r>
          <rPr>
            <sz val="9"/>
            <color indexed="81"/>
            <rFont val="Tahoma"/>
            <family val="2"/>
          </rPr>
          <t xml:space="preserve">
Møde kl. 08.00</t>
        </r>
      </text>
    </comment>
    <comment ref="Y142" authorId="1" shapeId="0" xr:uid="{FED369CA-2BEF-4227-BE19-A429836B8D74}">
      <text>
        <r>
          <rPr>
            <b/>
            <sz val="9"/>
            <color indexed="81"/>
            <rFont val="Tahoma"/>
            <family val="2"/>
          </rPr>
          <t>Steen Hertin-Sandkær:</t>
        </r>
        <r>
          <rPr>
            <sz val="9"/>
            <color indexed="81"/>
            <rFont val="Tahoma"/>
            <family val="2"/>
          </rPr>
          <t xml:space="preserve">
BR-møde</t>
        </r>
      </text>
    </comment>
    <comment ref="AC142" authorId="1" shapeId="0" xr:uid="{BBF226C4-0CDD-4D3A-A1D5-8C443AEBDCA3}">
      <text>
        <r>
          <rPr>
            <b/>
            <sz val="9"/>
            <color indexed="81"/>
            <rFont val="Tahoma"/>
            <family val="2"/>
          </rPr>
          <t>Steen Hertin-Sandkær:</t>
        </r>
        <r>
          <rPr>
            <sz val="9"/>
            <color indexed="81"/>
            <rFont val="Tahoma"/>
            <family val="2"/>
          </rPr>
          <t xml:space="preserve">
Førstehjælp
08.00-12.00</t>
        </r>
      </text>
    </comment>
    <comment ref="Y143" authorId="1" shapeId="0" xr:uid="{C599B707-3AF1-42C7-B6DF-CACB361F9A17}">
      <text>
        <r>
          <rPr>
            <b/>
            <sz val="9"/>
            <color indexed="81"/>
            <rFont val="Tahoma"/>
            <family val="2"/>
          </rPr>
          <t>Steen Hertin-Sandkær:</t>
        </r>
        <r>
          <rPr>
            <sz val="9"/>
            <color indexed="81"/>
            <rFont val="Tahoma"/>
            <family val="2"/>
          </rPr>
          <t xml:space="preserve">
BR-møde</t>
        </r>
      </text>
    </comment>
    <comment ref="AA143" authorId="3" shapeId="0" xr:uid="{68788D8B-A288-47E7-8D8C-458C8E01C1F2}">
      <text>
        <r>
          <rPr>
            <b/>
            <sz val="9"/>
            <color indexed="81"/>
            <rFont val="Tahoma"/>
            <family val="2"/>
          </rPr>
          <t>Steen Hertin:</t>
        </r>
        <r>
          <rPr>
            <sz val="9"/>
            <color indexed="81"/>
            <rFont val="Tahoma"/>
            <family val="2"/>
          </rPr>
          <t xml:space="preserve">
Arrangement på Rådhuset 09.30 - 17.30 på OA efter 89-vagt</t>
        </r>
      </text>
    </comment>
    <comment ref="AC143" authorId="1" shapeId="0" xr:uid="{254C182D-C1A6-451D-9DFE-8FD22ADB4636}">
      <text>
        <r>
          <rPr>
            <b/>
            <sz val="9"/>
            <color indexed="81"/>
            <rFont val="Tahoma"/>
            <family val="2"/>
          </rPr>
          <t>Steen Hertin-Sandkær:</t>
        </r>
        <r>
          <rPr>
            <sz val="9"/>
            <color indexed="81"/>
            <rFont val="Tahoma"/>
            <family val="2"/>
          </rPr>
          <t xml:space="preserve">
Førstehjælp
08.00-12.00</t>
        </r>
      </text>
    </comment>
    <comment ref="AD143" authorId="3" shapeId="0" xr:uid="{25130203-D23B-4ED1-A9BC-5F431023B426}">
      <text>
        <r>
          <rPr>
            <b/>
            <sz val="9"/>
            <color indexed="81"/>
            <rFont val="Tahoma"/>
            <family val="2"/>
          </rPr>
          <t>Steen Hertin:</t>
        </r>
        <r>
          <rPr>
            <sz val="9"/>
            <color indexed="81"/>
            <rFont val="Tahoma"/>
            <family val="2"/>
          </rPr>
          <t xml:space="preserve">
Arrangement kl. 17.00 på OA.</t>
        </r>
      </text>
    </comment>
    <comment ref="AE143" authorId="0" shapeId="0" xr:uid="{682E0AE0-13AE-4CC7-BEC6-05E8F5E93560}">
      <text>
        <r>
          <rPr>
            <b/>
            <sz val="9"/>
            <color indexed="81"/>
            <rFont val="Tahoma"/>
            <family val="2"/>
          </rPr>
          <t>Nikolaj Langtin Pamhede:</t>
        </r>
        <r>
          <rPr>
            <sz val="9"/>
            <color indexed="81"/>
            <rFont val="Tahoma"/>
            <family val="2"/>
          </rPr>
          <t xml:space="preserve">
zbc 12.30-13.45
Rundvisning</t>
        </r>
      </text>
    </comment>
    <comment ref="AF143" authorId="7" shapeId="0" xr:uid="{66F98C85-BE9C-4344-8C84-8EC222B1D53A}">
      <text>
        <r>
          <rPr>
            <b/>
            <sz val="9"/>
            <color indexed="81"/>
            <rFont val="Tahoma"/>
            <family val="2"/>
          </rPr>
          <t>Mathias Hartvig Morell Nielsen:</t>
        </r>
        <r>
          <rPr>
            <sz val="9"/>
            <color indexed="81"/>
            <rFont val="Tahoma"/>
            <family val="2"/>
          </rPr>
          <t xml:space="preserve">
møde 10:00-10:30</t>
        </r>
      </text>
    </comment>
    <comment ref="O144" authorId="2" shapeId="0" xr:uid="{FB87370E-BA83-466C-9D49-BA6EB1061B24}">
      <text>
        <r>
          <rPr>
            <b/>
            <sz val="9"/>
            <color indexed="81"/>
            <rFont val="Tahoma"/>
            <family val="2"/>
          </rPr>
          <t>Thomas Holm:</t>
        </r>
        <r>
          <rPr>
            <sz val="9"/>
            <color indexed="81"/>
            <rFont val="Tahoma"/>
            <family val="2"/>
          </rPr>
          <t xml:space="preserve">
Møde kl. 08.00</t>
        </r>
      </text>
    </comment>
    <comment ref="S144" authorId="3" shapeId="0" xr:uid="{E77AB029-5A5F-4CDD-964D-7D35EE9FFD62}">
      <text>
        <r>
          <rPr>
            <b/>
            <sz val="9"/>
            <color indexed="81"/>
            <rFont val="Tahoma"/>
            <family val="2"/>
          </rPr>
          <t>Steen Hertin:</t>
        </r>
        <r>
          <rPr>
            <sz val="9"/>
            <color indexed="81"/>
            <rFont val="Tahoma"/>
            <family val="2"/>
          </rPr>
          <t xml:space="preserve">
Arrangement på Rådhuset kl. 15.30 - 20.30</t>
        </r>
      </text>
    </comment>
    <comment ref="K145" authorId="8" shapeId="0" xr:uid="{572354E6-D106-4F69-BDE8-D341705DC8B5}">
      <text>
        <r>
          <rPr>
            <b/>
            <sz val="9"/>
            <color indexed="81"/>
            <rFont val="Tahoma"/>
            <family val="2"/>
          </rPr>
          <t>Kim BT. Pedersen:</t>
        </r>
        <r>
          <rPr>
            <sz val="9"/>
            <color indexed="81"/>
            <rFont val="Tahoma"/>
            <family val="2"/>
          </rPr>
          <t xml:space="preserve">
12:30-14:30
Arbejdsmiljø 
Fuglebakken
</t>
        </r>
      </text>
    </comment>
    <comment ref="O145" authorId="8" shapeId="0" xr:uid="{5CD0D62A-F53A-42B4-BB7B-F3B6B26F130C}">
      <text>
        <r>
          <rPr>
            <b/>
            <sz val="9"/>
            <color indexed="81"/>
            <rFont val="Tahoma"/>
            <family val="2"/>
          </rPr>
          <t>Kim BT. Pedersen:</t>
        </r>
        <r>
          <rPr>
            <sz val="9"/>
            <color indexed="81"/>
            <rFont val="Tahoma"/>
            <family val="2"/>
          </rPr>
          <t xml:space="preserve">
8:00-9:00
Thomas Sikringsmøde
(GRUS)
11:00-12:00
Besøg af Direktør
(Mike)</t>
        </r>
      </text>
    </comment>
    <comment ref="X145" authorId="8" shapeId="0" xr:uid="{2361BA51-8B0A-453E-AC0D-9D13A663F73D}">
      <text>
        <r>
          <rPr>
            <b/>
            <sz val="9"/>
            <color indexed="81"/>
            <rFont val="Tahoma"/>
            <family val="2"/>
          </rPr>
          <t>Kim BT. Pedersen:</t>
        </r>
        <r>
          <rPr>
            <sz val="9"/>
            <color indexed="81"/>
            <rFont val="Tahoma"/>
            <family val="2"/>
          </rPr>
          <t xml:space="preserve">
10:00-12:00
Charlotte Arrangementservice
udv. F
</t>
        </r>
      </text>
    </comment>
    <comment ref="AC145" authorId="1" shapeId="0" xr:uid="{8E412780-2FB1-45D8-88BF-99782155E528}">
      <text>
        <r>
          <rPr>
            <b/>
            <sz val="9"/>
            <color indexed="81"/>
            <rFont val="Tahoma"/>
            <family val="2"/>
          </rPr>
          <t>Steen Hertin-Sandkær:</t>
        </r>
        <r>
          <rPr>
            <sz val="9"/>
            <color indexed="81"/>
            <rFont val="Tahoma"/>
            <family val="2"/>
          </rPr>
          <t xml:space="preserve">
Førstehjælp
08.00-12.00</t>
        </r>
      </text>
    </comment>
    <comment ref="AD145" authorId="3" shapeId="0" xr:uid="{ABD5E8CB-3112-4776-806E-7C37D6FA4735}">
      <text>
        <r>
          <rPr>
            <b/>
            <sz val="9"/>
            <color indexed="81"/>
            <rFont val="Tahoma"/>
            <family val="2"/>
          </rPr>
          <t>Steen Hertin:</t>
        </r>
        <r>
          <rPr>
            <sz val="9"/>
            <color indexed="81"/>
            <rFont val="Tahoma"/>
            <family val="2"/>
          </rPr>
          <t xml:space="preserve">
Arrangement kl. 17.00 på OA.</t>
        </r>
      </text>
    </comment>
    <comment ref="AF145" authorId="7" shapeId="0" xr:uid="{8702D2D3-0A3F-4D5D-8DA5-AEB4D4800AC2}">
      <text>
        <r>
          <rPr>
            <b/>
            <sz val="9"/>
            <color indexed="81"/>
            <rFont val="Tahoma"/>
            <family val="2"/>
          </rPr>
          <t>Mathias Hartvig Morell Nielsen:</t>
        </r>
        <r>
          <rPr>
            <sz val="9"/>
            <color indexed="81"/>
            <rFont val="Tahoma"/>
            <family val="2"/>
          </rPr>
          <t xml:space="preserve">
Fuglebakken 09:30-11:30</t>
        </r>
      </text>
    </comment>
    <comment ref="V158" authorId="1" shapeId="0" xr:uid="{EBF6E0C9-578C-4EC7-8E6E-C16C7968A6EA}">
      <text>
        <r>
          <rPr>
            <b/>
            <sz val="9"/>
            <color indexed="81"/>
            <rFont val="Tahoma"/>
            <family val="2"/>
          </rPr>
          <t>Steen Hertin-Sandkær:</t>
        </r>
        <r>
          <rPr>
            <sz val="9"/>
            <color indexed="81"/>
            <rFont val="Tahoma"/>
            <family val="2"/>
          </rPr>
          <t xml:space="preserve">
Grus kl. 17.00</t>
        </r>
      </text>
    </comment>
    <comment ref="V159" authorId="1" shapeId="0" xr:uid="{AA5E0F9C-3AC9-40BF-89E5-8E77EFC1881A}">
      <text>
        <r>
          <rPr>
            <b/>
            <sz val="9"/>
            <color indexed="81"/>
            <rFont val="Tahoma"/>
            <family val="2"/>
          </rPr>
          <t>Steen Hertin-Sandkær:</t>
        </r>
        <r>
          <rPr>
            <sz val="9"/>
            <color indexed="81"/>
            <rFont val="Tahoma"/>
            <family val="2"/>
          </rPr>
          <t xml:space="preserve">
Grus kl. 17.00</t>
        </r>
      </text>
    </comment>
    <comment ref="V160" authorId="1" shapeId="0" xr:uid="{9F9E1E3B-FDF0-423A-B3E1-64EB18FAEB89}">
      <text>
        <r>
          <rPr>
            <b/>
            <sz val="9"/>
            <color indexed="81"/>
            <rFont val="Tahoma"/>
            <family val="2"/>
          </rPr>
          <t>Steen Hertin-Sandkær:</t>
        </r>
        <r>
          <rPr>
            <sz val="9"/>
            <color indexed="81"/>
            <rFont val="Tahoma"/>
            <family val="2"/>
          </rPr>
          <t xml:space="preserve">
Grus kl. 17.00</t>
        </r>
      </text>
    </comment>
    <comment ref="V163" authorId="1" shapeId="0" xr:uid="{D83E46ED-D50D-4EEC-ADED-3419CD37D95E}">
      <text>
        <r>
          <rPr>
            <b/>
            <sz val="9"/>
            <color indexed="81"/>
            <rFont val="Tahoma"/>
            <family val="2"/>
          </rPr>
          <t>Steen Hertin-Sandkær:</t>
        </r>
        <r>
          <rPr>
            <sz val="9"/>
            <color indexed="81"/>
            <rFont val="Tahoma"/>
            <family val="2"/>
          </rPr>
          <t xml:space="preserve">
Grus kl. 17.00</t>
        </r>
      </text>
    </comment>
    <comment ref="Y179" authorId="1" shapeId="0" xr:uid="{B5383598-54B3-43FD-9201-B525B6562279}">
      <text>
        <r>
          <rPr>
            <b/>
            <sz val="9"/>
            <color indexed="81"/>
            <rFont val="Tahoma"/>
            <family val="2"/>
          </rPr>
          <t>Steen Hertin-Sandkær:</t>
        </r>
        <r>
          <rPr>
            <sz val="9"/>
            <color indexed="81"/>
            <rFont val="Tahoma"/>
            <family val="2"/>
          </rPr>
          <t xml:space="preserve">
BR-møde</t>
        </r>
      </text>
    </comment>
    <comment ref="O201" authorId="3" shapeId="0" xr:uid="{69C75991-697A-4FD3-9BF5-00CB0D362E21}">
      <text>
        <r>
          <rPr>
            <b/>
            <sz val="9"/>
            <color indexed="81"/>
            <rFont val="Tahoma"/>
            <family val="2"/>
          </rPr>
          <t>Steen Hertin:</t>
        </r>
        <r>
          <rPr>
            <sz val="9"/>
            <color indexed="81"/>
            <rFont val="Tahoma"/>
            <family val="2"/>
          </rPr>
          <t xml:space="preserve">
Intern flex</t>
        </r>
      </text>
    </comment>
    <comment ref="W202" authorId="0" shapeId="0" xr:uid="{7BE5F7E7-8C49-4949-A872-3DDC546BB818}">
      <text>
        <r>
          <rPr>
            <b/>
            <sz val="9"/>
            <color indexed="81"/>
            <rFont val="Tahoma"/>
            <family val="2"/>
          </rPr>
          <t>Nikolaj Langtin Pamhede:</t>
        </r>
        <r>
          <rPr>
            <sz val="9"/>
            <color indexed="81"/>
            <rFont val="Tahoma"/>
            <family val="2"/>
          </rPr>
          <t xml:space="preserve">
Job samtaler</t>
        </r>
      </text>
    </comment>
    <comment ref="Z202" authorId="0" shapeId="0" xr:uid="{3E59A01F-575D-4A87-AF4E-655230B0441C}">
      <text>
        <r>
          <rPr>
            <b/>
            <sz val="9"/>
            <color indexed="81"/>
            <rFont val="Tahoma"/>
            <family val="2"/>
          </rPr>
          <t>Nikolaj Langtin Pamhede:</t>
        </r>
        <r>
          <rPr>
            <sz val="9"/>
            <color indexed="81"/>
            <rFont val="Tahoma"/>
            <family val="2"/>
          </rPr>
          <t xml:space="preserve">
Job samtaler</t>
        </r>
      </text>
    </comment>
    <comment ref="AC202" authorId="1" shapeId="0" xr:uid="{7B9A081D-396D-4FCD-91CE-B334BD4E672D}">
      <text>
        <r>
          <rPr>
            <b/>
            <sz val="9"/>
            <color indexed="81"/>
            <rFont val="Tahoma"/>
            <family val="2"/>
          </rPr>
          <t>Steen Hertin-Sandkær:</t>
        </r>
        <r>
          <rPr>
            <sz val="9"/>
            <color indexed="81"/>
            <rFont val="Tahoma"/>
            <family val="2"/>
          </rPr>
          <t xml:space="preserve">
FOA</t>
        </r>
      </text>
    </comment>
    <comment ref="AE202" authorId="1" shapeId="0" xr:uid="{AC755A5D-39C9-4881-ACB8-B3545F5ECAE9}">
      <text>
        <r>
          <rPr>
            <b/>
            <sz val="9"/>
            <color indexed="81"/>
            <rFont val="Tahoma"/>
            <family val="2"/>
          </rPr>
          <t>Steen Hertin-Sandkær:</t>
        </r>
        <r>
          <rPr>
            <sz val="9"/>
            <color indexed="81"/>
            <rFont val="Tahoma"/>
            <family val="2"/>
          </rPr>
          <t xml:space="preserve">
FOA</t>
        </r>
      </text>
    </comment>
    <comment ref="AF202" authorId="1" shapeId="0" xr:uid="{2906A495-16EF-44AD-9349-D6FD4ABCBE3F}">
      <text>
        <r>
          <rPr>
            <b/>
            <sz val="9"/>
            <color indexed="81"/>
            <rFont val="Tahoma"/>
            <family val="2"/>
          </rPr>
          <t>Steen Hertin-Sandkær:</t>
        </r>
        <r>
          <rPr>
            <sz val="9"/>
            <color indexed="81"/>
            <rFont val="Tahoma"/>
            <family val="2"/>
          </rPr>
          <t xml:space="preserve">
FOA</t>
        </r>
      </text>
    </comment>
    <comment ref="X208" authorId="1" shapeId="0" xr:uid="{9EB74B5B-59D0-4A38-9FF3-67FB06052CE3}">
      <text>
        <r>
          <rPr>
            <b/>
            <sz val="9"/>
            <color indexed="81"/>
            <rFont val="Tahoma"/>
            <family val="2"/>
          </rPr>
          <t>Steen Hertin-Sandkær:</t>
        </r>
        <r>
          <rPr>
            <sz val="9"/>
            <color indexed="81"/>
            <rFont val="Tahoma"/>
            <family val="2"/>
          </rPr>
          <t xml:space="preserve">
Skal gå 13.30</t>
        </r>
      </text>
    </comment>
    <comment ref="H232" authorId="2" shapeId="0" xr:uid="{894529F7-E1B1-476F-8C79-0C4CA0F53CC8}">
      <text>
        <r>
          <rPr>
            <b/>
            <sz val="9"/>
            <color indexed="81"/>
            <rFont val="Tahoma"/>
            <family val="2"/>
          </rPr>
          <t>Thomas Holm:</t>
        </r>
        <r>
          <rPr>
            <sz val="9"/>
            <color indexed="81"/>
            <rFont val="Tahoma"/>
            <family val="2"/>
          </rPr>
          <t xml:space="preserve">
Hjælperøgdykker vedligehold
08-16</t>
        </r>
      </text>
    </comment>
    <comment ref="H240" authorId="2" shapeId="0" xr:uid="{DF42CA3B-7F41-47EA-91A1-09289D7D3F83}">
      <text>
        <r>
          <rPr>
            <b/>
            <sz val="9"/>
            <color indexed="81"/>
            <rFont val="Tahoma"/>
            <family val="2"/>
          </rPr>
          <t>Thomas Holm:</t>
        </r>
        <r>
          <rPr>
            <sz val="9"/>
            <color indexed="81"/>
            <rFont val="Tahoma"/>
            <family val="2"/>
          </rPr>
          <t xml:space="preserve">
Hjælperøgdykker vedligehold
08-16</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Steen Hertin</author>
    <author>Steen Hertin-Sandkær</author>
    <author>Mathias Hartvig Morell Nielsen</author>
    <author>Mathias Nielsen</author>
    <author>Thomas Holm</author>
    <author>Nikolaj Langtin Pamhede</author>
    <author>Nick Lorentzen</author>
    <author>Kim Holm Aabroe</author>
    <author>Michael Bo Pedersen</author>
  </authors>
  <commentList>
    <comment ref="P12" authorId="0" shapeId="0" xr:uid="{38D6F967-3BC4-42FA-84FB-AC262E9A650F}">
      <text>
        <r>
          <rPr>
            <b/>
            <sz val="9"/>
            <color indexed="81"/>
            <rFont val="Tahoma"/>
            <family val="2"/>
          </rPr>
          <t>Steen Hertin:</t>
        </r>
        <r>
          <rPr>
            <sz val="9"/>
            <color indexed="81"/>
            <rFont val="Tahoma"/>
            <family val="2"/>
          </rPr>
          <t xml:space="preserve">
Møde TMF kl. 13.15</t>
        </r>
      </text>
    </comment>
    <comment ref="AB12" authorId="1" shapeId="0" xr:uid="{75789582-A3C3-45F6-A707-582A703D627B}">
      <text>
        <r>
          <rPr>
            <b/>
            <sz val="9"/>
            <color indexed="81"/>
            <rFont val="Tahoma"/>
            <family val="2"/>
          </rPr>
          <t>Steen Hertin-Sandkær:</t>
        </r>
        <r>
          <rPr>
            <sz val="9"/>
            <color indexed="81"/>
            <rFont val="Tahoma"/>
            <family val="2"/>
          </rPr>
          <t xml:space="preserve">
Arrangement aften</t>
        </r>
      </text>
    </comment>
    <comment ref="U14" authorId="2" shapeId="0" xr:uid="{2B77D4AA-A0D0-4BA1-87C5-FF8A6AD0CD34}">
      <text>
        <r>
          <rPr>
            <b/>
            <sz val="9"/>
            <color indexed="81"/>
            <rFont val="Tahoma"/>
            <family val="2"/>
          </rPr>
          <t>Mathias Hartvig Morell Nielsen:</t>
        </r>
        <r>
          <rPr>
            <sz val="9"/>
            <color indexed="81"/>
            <rFont val="Tahoma"/>
            <family val="2"/>
          </rPr>
          <t xml:space="preserve">
foa</t>
        </r>
      </text>
    </comment>
    <comment ref="V14" authorId="2" shapeId="0" xr:uid="{D4D75286-26E4-40A6-A365-5BD3C8EE9D4C}">
      <text>
        <r>
          <rPr>
            <b/>
            <sz val="9"/>
            <color indexed="81"/>
            <rFont val="Tahoma"/>
            <family val="2"/>
          </rPr>
          <t>Mathias Hartvig Morell Nielsen:</t>
        </r>
        <r>
          <rPr>
            <sz val="9"/>
            <color indexed="81"/>
            <rFont val="Tahoma"/>
            <family val="2"/>
          </rPr>
          <t xml:space="preserve">
foa</t>
        </r>
      </text>
    </comment>
    <comment ref="Z14" authorId="2" shapeId="0" xr:uid="{81ADCB3D-835D-4665-897C-C489240CB67C}">
      <text>
        <r>
          <rPr>
            <b/>
            <sz val="9"/>
            <color indexed="81"/>
            <rFont val="Tahoma"/>
            <family val="2"/>
          </rPr>
          <t>Mathias Hartvig Morell Nielsen:</t>
        </r>
        <r>
          <rPr>
            <sz val="9"/>
            <color indexed="81"/>
            <rFont val="Tahoma"/>
            <family val="2"/>
          </rPr>
          <t xml:space="preserve">
foa</t>
        </r>
      </text>
    </comment>
    <comment ref="AA14" authorId="2" shapeId="0" xr:uid="{9F76AB13-AB7E-408A-9217-320431BD22B4}">
      <text>
        <r>
          <rPr>
            <b/>
            <sz val="9"/>
            <color indexed="81"/>
            <rFont val="Tahoma"/>
            <family val="2"/>
          </rPr>
          <t>Mathias Hartvig Morell Nielsen:</t>
        </r>
        <r>
          <rPr>
            <sz val="9"/>
            <color indexed="81"/>
            <rFont val="Tahoma"/>
            <family val="2"/>
          </rPr>
          <t xml:space="preserve">
foa</t>
        </r>
      </text>
    </comment>
    <comment ref="AB14" authorId="2" shapeId="0" xr:uid="{375C319B-4BC1-46E5-B6F0-6A15605739FE}">
      <text>
        <r>
          <rPr>
            <b/>
            <sz val="9"/>
            <color indexed="81"/>
            <rFont val="Tahoma"/>
            <family val="2"/>
          </rPr>
          <t>Mathias Hartvig Morell Nielsen:</t>
        </r>
        <r>
          <rPr>
            <sz val="9"/>
            <color indexed="81"/>
            <rFont val="Tahoma"/>
            <family val="2"/>
          </rPr>
          <t xml:space="preserve">
foa</t>
        </r>
      </text>
    </comment>
    <comment ref="AC14" authorId="2" shapeId="0" xr:uid="{204561FC-12BE-44EA-A764-C1F000296F51}">
      <text>
        <r>
          <rPr>
            <b/>
            <sz val="9"/>
            <color indexed="81"/>
            <rFont val="Tahoma"/>
            <family val="2"/>
          </rPr>
          <t>Mathias Hartvig Morell Nielsen:</t>
        </r>
        <r>
          <rPr>
            <sz val="9"/>
            <color indexed="81"/>
            <rFont val="Tahoma"/>
            <family val="2"/>
          </rPr>
          <t xml:space="preserve">
foa</t>
        </r>
      </text>
    </comment>
    <comment ref="AD14" authorId="3" shapeId="0" xr:uid="{45E9DDC4-DB6A-43A3-B6C1-8BC054A2D080}">
      <text>
        <r>
          <rPr>
            <b/>
            <sz val="9"/>
            <color indexed="81"/>
            <rFont val="Tahoma"/>
            <family val="2"/>
          </rPr>
          <t>Mathias Nielsen:</t>
        </r>
        <r>
          <rPr>
            <sz val="9"/>
            <color indexed="81"/>
            <rFont val="Tahoma"/>
            <family val="2"/>
          </rPr>
          <t xml:space="preserve">
Møder + kas</t>
        </r>
      </text>
    </comment>
    <comment ref="N17" authorId="4" shapeId="0" xr:uid="{302667B9-AB7A-4C2B-883A-3C2C3F02D4B6}">
      <text>
        <r>
          <rPr>
            <b/>
            <sz val="9"/>
            <color indexed="81"/>
            <rFont val="Tahoma"/>
            <family val="2"/>
          </rPr>
          <t>Thomas Holm:</t>
        </r>
        <r>
          <rPr>
            <sz val="9"/>
            <color indexed="81"/>
            <rFont val="Tahoma"/>
            <family val="2"/>
          </rPr>
          <t xml:space="preserve">
Førstehjælpskursus</t>
        </r>
      </text>
    </comment>
    <comment ref="P17" authorId="4" shapeId="0" xr:uid="{3D186E71-8803-40AC-9BA4-A0CC0B304C2E}">
      <text>
        <r>
          <rPr>
            <b/>
            <sz val="9"/>
            <color indexed="81"/>
            <rFont val="Tahoma"/>
            <family val="2"/>
          </rPr>
          <t>Thomas Holm:</t>
        </r>
        <r>
          <rPr>
            <sz val="9"/>
            <color indexed="81"/>
            <rFont val="Tahoma"/>
            <family val="2"/>
          </rPr>
          <t xml:space="preserve">
Førstehjælpskursus + møde tmf kl. 13.15</t>
        </r>
      </text>
    </comment>
    <comment ref="W17" authorId="1" shapeId="0" xr:uid="{868EFE5A-4738-4B7C-9C96-700BFA3F516D}">
      <text>
        <r>
          <rPr>
            <b/>
            <sz val="9"/>
            <color indexed="81"/>
            <rFont val="Tahoma"/>
            <family val="2"/>
          </rPr>
          <t>Steen Hertin-Sandkær:</t>
        </r>
        <r>
          <rPr>
            <sz val="9"/>
            <color indexed="81"/>
            <rFont val="Tahoma"/>
            <family val="2"/>
          </rPr>
          <t xml:space="preserve">
Grus</t>
        </r>
      </text>
    </comment>
    <comment ref="N18" authorId="1" shapeId="0" xr:uid="{4BE648AB-3CC7-4E0F-B18F-7D7394C46641}">
      <text>
        <r>
          <rPr>
            <b/>
            <sz val="9"/>
            <color indexed="81"/>
            <rFont val="Tahoma"/>
            <family val="2"/>
          </rPr>
          <t>Steen Hertin-Sandkær:</t>
        </r>
        <r>
          <rPr>
            <sz val="9"/>
            <color indexed="81"/>
            <rFont val="Tahoma"/>
            <family val="2"/>
          </rPr>
          <t xml:space="preserve">
Førstehjælps kursus
08.00-12.00</t>
        </r>
      </text>
    </comment>
    <comment ref="W20" authorId="0" shapeId="0" xr:uid="{6F0F3449-9E53-45D2-8ACE-1C9E27549E7A}">
      <text>
        <r>
          <rPr>
            <b/>
            <sz val="9"/>
            <color indexed="81"/>
            <rFont val="Tahoma"/>
            <family val="2"/>
          </rPr>
          <t>Steen Hertin:</t>
        </r>
        <r>
          <rPr>
            <sz val="9"/>
            <color indexed="81"/>
            <rFont val="Tahoma"/>
            <family val="2"/>
          </rPr>
          <t xml:space="preserve">
Ottiliavej 20.30 - 08.30</t>
        </r>
      </text>
    </comment>
    <comment ref="E21" authorId="5" shapeId="0" xr:uid="{05BE1DFB-3103-4FFA-92FE-A9EA50B8FFC7}">
      <text>
        <r>
          <rPr>
            <b/>
            <sz val="9"/>
            <color indexed="81"/>
            <rFont val="Tahoma"/>
            <family val="2"/>
          </rPr>
          <t>Nikolaj Langtin Pamhede:</t>
        </r>
        <r>
          <rPr>
            <sz val="9"/>
            <color indexed="81"/>
            <rFont val="Tahoma"/>
            <family val="2"/>
          </rPr>
          <t xml:space="preserve">
Tage mod nye medarbejder.</t>
        </r>
      </text>
    </comment>
    <comment ref="F21" authorId="5" shapeId="0" xr:uid="{845B16DB-5766-4DD7-B89E-5A335BFDE5DE}">
      <text>
        <r>
          <rPr>
            <b/>
            <sz val="9"/>
            <color indexed="81"/>
            <rFont val="Tahoma"/>
            <family val="2"/>
          </rPr>
          <t>Nikolaj Langtin Pamhede:</t>
        </r>
        <r>
          <rPr>
            <sz val="9"/>
            <color indexed="81"/>
            <rFont val="Tahoma"/>
            <family val="2"/>
          </rPr>
          <t xml:space="preserve">
Til Lægen kl 14.</t>
        </r>
      </text>
    </comment>
    <comment ref="P21" authorId="1" shapeId="0" xr:uid="{3FD1106A-3176-4627-B7A3-35CADA32AAEB}">
      <text>
        <r>
          <rPr>
            <b/>
            <sz val="9"/>
            <color indexed="81"/>
            <rFont val="Tahoma"/>
            <family val="2"/>
          </rPr>
          <t>Steen Hertin-Sandkær:</t>
        </r>
        <r>
          <rPr>
            <sz val="9"/>
            <color indexed="81"/>
            <rFont val="Tahoma"/>
            <family val="2"/>
          </rPr>
          <t xml:space="preserve">
Førstehjælps kursus
08.00-12.00
Møde TMF kl13</t>
        </r>
      </text>
    </comment>
    <comment ref="V21" authorId="5" shapeId="0" xr:uid="{67CCD28F-F77C-447E-8CCE-27498989F883}">
      <text>
        <r>
          <rPr>
            <b/>
            <sz val="9"/>
            <color indexed="81"/>
            <rFont val="Tahoma"/>
            <family val="2"/>
          </rPr>
          <t>Nikolaj Langtin Pamhede:</t>
        </r>
        <r>
          <rPr>
            <sz val="9"/>
            <color indexed="81"/>
            <rFont val="Tahoma"/>
            <family val="2"/>
          </rPr>
          <t xml:space="preserve">
Hospital 10:30-12:30</t>
        </r>
      </text>
    </comment>
    <comment ref="N22" authorId="1" shapeId="0" xr:uid="{96C877FC-4CFF-43B7-9F88-3164462B74FC}">
      <text>
        <r>
          <rPr>
            <b/>
            <sz val="9"/>
            <color indexed="81"/>
            <rFont val="Tahoma"/>
            <family val="2"/>
          </rPr>
          <t>Steen Hertin-Sandkær:</t>
        </r>
        <r>
          <rPr>
            <sz val="9"/>
            <color indexed="81"/>
            <rFont val="Tahoma"/>
            <family val="2"/>
          </rPr>
          <t xml:space="preserve">
Førstehjælps kursus
08.00-12.00</t>
        </r>
      </text>
    </comment>
    <comment ref="P22" authorId="1" shapeId="0" xr:uid="{BF82C736-5724-4127-B298-F0FE5EDBD3EA}">
      <text>
        <r>
          <rPr>
            <b/>
            <sz val="9"/>
            <color indexed="81"/>
            <rFont val="Tahoma"/>
            <family val="2"/>
          </rPr>
          <t>Steen Hertin-Sandkær:</t>
        </r>
        <r>
          <rPr>
            <sz val="9"/>
            <color indexed="81"/>
            <rFont val="Tahoma"/>
            <family val="2"/>
          </rPr>
          <t xml:space="preserve">
Grus</t>
        </r>
      </text>
    </comment>
    <comment ref="M25" authorId="6" shapeId="0" xr:uid="{8FC06882-074A-40A8-BE12-2306666FF7DA}">
      <text>
        <r>
          <rPr>
            <b/>
            <sz val="9"/>
            <color indexed="81"/>
            <rFont val="Tahoma"/>
            <family val="2"/>
          </rPr>
          <t>Nick Lorentzen:</t>
        </r>
        <r>
          <rPr>
            <sz val="9"/>
            <color indexed="81"/>
            <rFont val="Tahoma"/>
            <family val="2"/>
          </rPr>
          <t xml:space="preserve">
Rentemestervej:
Vagten skal blive indtil 20:30 pga arrangement</t>
        </r>
      </text>
    </comment>
    <comment ref="N25" authorId="0" shapeId="0" xr:uid="{5F752B5C-F3D5-4AE4-9ED0-894472D6FF0A}">
      <text>
        <r>
          <rPr>
            <b/>
            <sz val="9"/>
            <color indexed="81"/>
            <rFont val="Tahoma"/>
            <family val="2"/>
          </rPr>
          <t>Steen Hertin:</t>
        </r>
        <r>
          <rPr>
            <sz val="9"/>
            <color indexed="81"/>
            <rFont val="Tahoma"/>
            <family val="2"/>
          </rPr>
          <t xml:space="preserve">
mangler til kl. 12.00</t>
        </r>
      </text>
    </comment>
    <comment ref="AB25" authorId="1" shapeId="0" xr:uid="{FEFBE6B4-E661-4838-B2A3-59207BA6A296}">
      <text>
        <r>
          <rPr>
            <b/>
            <sz val="9"/>
            <color indexed="81"/>
            <rFont val="Tahoma"/>
            <family val="2"/>
          </rPr>
          <t>Steen Hertin-Sandkær:</t>
        </r>
        <r>
          <rPr>
            <sz val="9"/>
            <color indexed="81"/>
            <rFont val="Tahoma"/>
            <family val="2"/>
          </rPr>
          <t xml:space="preserve">
Arrangement aften</t>
        </r>
      </text>
    </comment>
    <comment ref="AC25" authorId="0" shapeId="0" xr:uid="{57523A31-5D4C-4E38-8873-2565B4C3D07E}">
      <text>
        <r>
          <rPr>
            <b/>
            <sz val="9"/>
            <color indexed="81"/>
            <rFont val="Tahoma"/>
            <family val="2"/>
          </rPr>
          <t>Steen Hertin:</t>
        </r>
        <r>
          <rPr>
            <sz val="9"/>
            <color indexed="81"/>
            <rFont val="Tahoma"/>
            <family val="2"/>
          </rPr>
          <t xml:space="preserve">
2 vagter til fuglebakken </t>
        </r>
      </text>
    </comment>
    <comment ref="N26" authorId="6" shapeId="0" xr:uid="{99217990-B6D1-4FFD-8AF5-5B09F1AFBA1E}">
      <text>
        <r>
          <rPr>
            <b/>
            <sz val="9"/>
            <color indexed="81"/>
            <rFont val="Tahoma"/>
            <family val="2"/>
          </rPr>
          <t>Nick Lorentzen:</t>
        </r>
        <r>
          <rPr>
            <sz val="9"/>
            <color indexed="81"/>
            <rFont val="Tahoma"/>
            <family val="2"/>
          </rPr>
          <t xml:space="preserve">
Rentemestervej arrangement på biblioteket til kl. 21:15</t>
        </r>
      </text>
    </comment>
    <comment ref="E39" authorId="5" shapeId="0" xr:uid="{55B1787D-F6F6-4C96-A407-D91F2AD28128}">
      <text>
        <r>
          <rPr>
            <b/>
            <sz val="9"/>
            <color indexed="81"/>
            <rFont val="Tahoma"/>
            <family val="2"/>
          </rPr>
          <t>Nikolaj Langtin Pamhede:</t>
        </r>
        <r>
          <rPr>
            <sz val="9"/>
            <color indexed="81"/>
            <rFont val="Tahoma"/>
            <family val="2"/>
          </rPr>
          <t xml:space="preserve">
arrangementservice</t>
        </r>
      </text>
    </comment>
    <comment ref="F39" authorId="5" shapeId="0" xr:uid="{16EE1E96-8A84-49A0-AC03-AD018FA80430}">
      <text>
        <r>
          <rPr>
            <b/>
            <sz val="9"/>
            <color indexed="81"/>
            <rFont val="Tahoma"/>
            <family val="2"/>
          </rPr>
          <t>Steen Hertin:
arrangementservice
Gik kl 9</t>
        </r>
      </text>
    </comment>
    <comment ref="L39" authorId="0" shapeId="0" xr:uid="{37FEED20-A6C6-490A-A5FC-E8DC9253A982}">
      <text>
        <r>
          <rPr>
            <b/>
            <sz val="9"/>
            <color indexed="81"/>
            <rFont val="Tahoma"/>
            <family val="2"/>
          </rPr>
          <t>Steen Hertin:</t>
        </r>
        <r>
          <rPr>
            <sz val="9"/>
            <color indexed="81"/>
            <rFont val="Tahoma"/>
            <family val="2"/>
          </rPr>
          <t xml:space="preserve">
arrangementservice</t>
        </r>
      </text>
    </comment>
    <comment ref="M39" authorId="0" shapeId="0" xr:uid="{12F837D0-1EFA-4834-8AEE-C57830D8055C}">
      <text>
        <r>
          <rPr>
            <b/>
            <sz val="9"/>
            <color indexed="81"/>
            <rFont val="Tahoma"/>
            <family val="2"/>
          </rPr>
          <t>Steen Hertin:</t>
        </r>
        <r>
          <rPr>
            <sz val="9"/>
            <color indexed="81"/>
            <rFont val="Tahoma"/>
            <family val="2"/>
          </rPr>
          <t xml:space="preserve">
arrangementservice</t>
        </r>
      </text>
    </comment>
    <comment ref="N39" authorId="0" shapeId="0" xr:uid="{9E44D5E5-E28C-4B70-8A9B-3E1BB415740B}">
      <text>
        <r>
          <rPr>
            <b/>
            <sz val="9"/>
            <color indexed="81"/>
            <rFont val="Tahoma"/>
            <family val="2"/>
          </rPr>
          <t>Steen Hertin:</t>
        </r>
        <r>
          <rPr>
            <sz val="9"/>
            <color indexed="81"/>
            <rFont val="Tahoma"/>
            <family val="2"/>
          </rPr>
          <t xml:space="preserve">
arrangementservice</t>
        </r>
      </text>
    </comment>
    <comment ref="O39" authorId="0" shapeId="0" xr:uid="{456BE107-9854-4E76-823B-E8F33608E41E}">
      <text>
        <r>
          <rPr>
            <b/>
            <sz val="9"/>
            <color indexed="81"/>
            <rFont val="Tahoma"/>
            <family val="2"/>
          </rPr>
          <t>Steen Hertin:</t>
        </r>
        <r>
          <rPr>
            <sz val="9"/>
            <color indexed="81"/>
            <rFont val="Tahoma"/>
            <family val="2"/>
          </rPr>
          <t xml:space="preserve">
arrangementservice</t>
        </r>
      </text>
    </comment>
    <comment ref="P39" authorId="0" shapeId="0" xr:uid="{F316887D-74A1-499F-8BE0-BD288CEE7257}">
      <text>
        <r>
          <rPr>
            <b/>
            <sz val="9"/>
            <color indexed="81"/>
            <rFont val="Tahoma"/>
            <family val="2"/>
          </rPr>
          <t>Steen Hertin:</t>
        </r>
        <r>
          <rPr>
            <sz val="9"/>
            <color indexed="81"/>
            <rFont val="Tahoma"/>
            <family val="2"/>
          </rPr>
          <t xml:space="preserve">
arrangementservice</t>
        </r>
      </text>
    </comment>
    <comment ref="S39" authorId="0" shapeId="0" xr:uid="{6DF67449-D768-4CAE-9173-3301744CC15E}">
      <text>
        <r>
          <rPr>
            <b/>
            <sz val="9"/>
            <color indexed="81"/>
            <rFont val="Tahoma"/>
            <family val="2"/>
          </rPr>
          <t>Steen Hertin:</t>
        </r>
        <r>
          <rPr>
            <sz val="9"/>
            <color indexed="81"/>
            <rFont val="Tahoma"/>
            <family val="2"/>
          </rPr>
          <t xml:space="preserve">
arrangementservice</t>
        </r>
      </text>
    </comment>
    <comment ref="T39" authorId="0" shapeId="0" xr:uid="{A43F2702-AFC9-4BBC-8299-15CD81C218D8}">
      <text>
        <r>
          <rPr>
            <b/>
            <sz val="9"/>
            <color indexed="81"/>
            <rFont val="Tahoma"/>
            <family val="2"/>
          </rPr>
          <t>Steen Hertin:</t>
        </r>
        <r>
          <rPr>
            <sz val="9"/>
            <color indexed="81"/>
            <rFont val="Tahoma"/>
            <family val="2"/>
          </rPr>
          <t xml:space="preserve">
arrangementservice</t>
        </r>
      </text>
    </comment>
    <comment ref="U39" authorId="0" shapeId="0" xr:uid="{F875B1D1-3348-4AC3-913A-F1E778B42D73}">
      <text>
        <r>
          <rPr>
            <b/>
            <sz val="9"/>
            <color indexed="81"/>
            <rFont val="Tahoma"/>
            <family val="2"/>
          </rPr>
          <t>Steen Hertin:</t>
        </r>
        <r>
          <rPr>
            <sz val="9"/>
            <color indexed="81"/>
            <rFont val="Tahoma"/>
            <family val="2"/>
          </rPr>
          <t xml:space="preserve">
arrangementservice</t>
        </r>
      </text>
    </comment>
    <comment ref="V39" authorId="0" shapeId="0" xr:uid="{2CFC49C2-177A-474B-99E9-F5D542C79A94}">
      <text>
        <r>
          <rPr>
            <b/>
            <sz val="9"/>
            <color indexed="81"/>
            <rFont val="Tahoma"/>
            <family val="2"/>
          </rPr>
          <t>Steen Hertin:</t>
        </r>
        <r>
          <rPr>
            <sz val="9"/>
            <color indexed="81"/>
            <rFont val="Tahoma"/>
            <family val="2"/>
          </rPr>
          <t xml:space="preserve">
arrangementservice</t>
        </r>
      </text>
    </comment>
    <comment ref="W39" authorId="0" shapeId="0" xr:uid="{939223D6-E796-4F15-B238-F2CA86B442F4}">
      <text>
        <r>
          <rPr>
            <b/>
            <sz val="9"/>
            <color indexed="81"/>
            <rFont val="Tahoma"/>
            <family val="2"/>
          </rPr>
          <t>Steen Hertin:</t>
        </r>
        <r>
          <rPr>
            <sz val="9"/>
            <color indexed="81"/>
            <rFont val="Tahoma"/>
            <family val="2"/>
          </rPr>
          <t xml:space="preserve">
arrangementservice</t>
        </r>
      </text>
    </comment>
    <comment ref="X39" authorId="0" shapeId="0" xr:uid="{4D2088BC-2C3C-4AD1-B05A-AF7608AAF839}">
      <text>
        <r>
          <rPr>
            <b/>
            <sz val="9"/>
            <color indexed="81"/>
            <rFont val="Tahoma"/>
            <family val="2"/>
          </rPr>
          <t>Steen Hertin:</t>
        </r>
        <r>
          <rPr>
            <sz val="9"/>
            <color indexed="81"/>
            <rFont val="Tahoma"/>
            <family val="2"/>
          </rPr>
          <t xml:space="preserve">
arrangementservice</t>
        </r>
      </text>
    </comment>
    <comment ref="Y39" authorId="0" shapeId="0" xr:uid="{75FC9529-C819-4821-A0A6-65AF0F034F94}">
      <text>
        <r>
          <rPr>
            <b/>
            <sz val="9"/>
            <color indexed="81"/>
            <rFont val="Tahoma"/>
            <family val="2"/>
          </rPr>
          <t>Steen Hertin:</t>
        </r>
        <r>
          <rPr>
            <sz val="9"/>
            <color indexed="81"/>
            <rFont val="Tahoma"/>
            <family val="2"/>
          </rPr>
          <t xml:space="preserve">
arrangementservice</t>
        </r>
      </text>
    </comment>
    <comment ref="AE39" authorId="0" shapeId="0" xr:uid="{4E5F5710-6380-412E-AC2B-5534841C6EFC}">
      <text>
        <r>
          <rPr>
            <b/>
            <sz val="9"/>
            <color indexed="81"/>
            <rFont val="Tahoma"/>
            <family val="2"/>
          </rPr>
          <t>Steen Hertin:</t>
        </r>
        <r>
          <rPr>
            <sz val="9"/>
            <color indexed="81"/>
            <rFont val="Tahoma"/>
            <family val="2"/>
          </rPr>
          <t xml:space="preserve">
arrangementservice</t>
        </r>
      </text>
    </comment>
    <comment ref="AF39" authorId="0" shapeId="0" xr:uid="{92740A99-6054-4D93-919C-69D75AC6A6E0}">
      <text>
        <r>
          <rPr>
            <b/>
            <sz val="9"/>
            <color indexed="81"/>
            <rFont val="Tahoma"/>
            <family val="2"/>
          </rPr>
          <t>Steen Hertin:</t>
        </r>
        <r>
          <rPr>
            <sz val="9"/>
            <color indexed="81"/>
            <rFont val="Tahoma"/>
            <family val="2"/>
          </rPr>
          <t xml:space="preserve">
arrangementservice</t>
        </r>
      </text>
    </comment>
    <comment ref="AG39" authorId="0" shapeId="0" xr:uid="{5F2ADA2D-D090-4430-9388-48AB00F949ED}">
      <text>
        <r>
          <rPr>
            <b/>
            <sz val="9"/>
            <color indexed="81"/>
            <rFont val="Tahoma"/>
            <family val="2"/>
          </rPr>
          <t>Steen Hertin:</t>
        </r>
        <r>
          <rPr>
            <sz val="9"/>
            <color indexed="81"/>
            <rFont val="Tahoma"/>
            <family val="2"/>
          </rPr>
          <t xml:space="preserve">
arrangementservice</t>
        </r>
      </text>
    </comment>
    <comment ref="G40" authorId="4" shapeId="0" xr:uid="{E4158782-8A97-4B8B-B0F9-60301546F3F6}">
      <text>
        <r>
          <rPr>
            <b/>
            <sz val="9"/>
            <color indexed="81"/>
            <rFont val="Tahoma"/>
            <family val="2"/>
          </rPr>
          <t>Thomas Holm:</t>
        </r>
        <r>
          <rPr>
            <sz val="9"/>
            <color indexed="81"/>
            <rFont val="Tahoma"/>
            <family val="2"/>
          </rPr>
          <t xml:space="preserve">
Afsp. 1 time</t>
        </r>
      </text>
    </comment>
    <comment ref="S42" authorId="2" shapeId="0" xr:uid="{A97436E2-BE51-44CC-99B6-CDC8E5197A13}">
      <text>
        <r>
          <rPr>
            <b/>
            <sz val="9"/>
            <color indexed="81"/>
            <rFont val="Tahoma"/>
            <family val="2"/>
          </rPr>
          <t>Mathias Hartvig Morell Nielsen:</t>
        </r>
        <r>
          <rPr>
            <sz val="9"/>
            <color indexed="81"/>
            <rFont val="Tahoma"/>
            <family val="2"/>
          </rPr>
          <t xml:space="preserve">
5-vagt OA</t>
        </r>
      </text>
    </comment>
    <comment ref="W42" authorId="5" shapeId="0" xr:uid="{D72EBBFC-AE38-48D7-8B3C-9811DC1C73D3}">
      <text>
        <r>
          <rPr>
            <b/>
            <sz val="9"/>
            <color indexed="81"/>
            <rFont val="Tahoma"/>
            <family val="2"/>
          </rPr>
          <t>Nikolaj Langtin Pamhede:</t>
        </r>
        <r>
          <rPr>
            <sz val="9"/>
            <color indexed="81"/>
            <rFont val="Tahoma"/>
            <family val="2"/>
          </rPr>
          <t xml:space="preserve">
1 på oa</t>
        </r>
      </text>
    </comment>
    <comment ref="W43" authorId="1" shapeId="0" xr:uid="{8CD05DB2-245F-4860-8FB5-1C89C0447CA1}">
      <text>
        <r>
          <rPr>
            <b/>
            <sz val="9"/>
            <color indexed="81"/>
            <rFont val="Tahoma"/>
            <family val="2"/>
          </rPr>
          <t>Steen Hertin-Sandkær:</t>
        </r>
        <r>
          <rPr>
            <sz val="9"/>
            <color indexed="81"/>
            <rFont val="Tahoma"/>
            <family val="2"/>
          </rPr>
          <t xml:space="preserve">
Grus</t>
        </r>
      </text>
    </comment>
    <comment ref="S44" authorId="5" shapeId="0" xr:uid="{A64B3547-B71F-40B6-A898-5804AB3C6F0E}">
      <text>
        <r>
          <rPr>
            <b/>
            <sz val="9"/>
            <color indexed="81"/>
            <rFont val="Tahoma"/>
            <family val="2"/>
          </rPr>
          <t>Nikolaj Langtin Pamhede:</t>
        </r>
        <r>
          <rPr>
            <sz val="9"/>
            <color indexed="81"/>
            <rFont val="Tahoma"/>
            <family val="2"/>
          </rPr>
          <t xml:space="preserve">
Oa 23:00-00:30 Dækker 25 vagt</t>
        </r>
      </text>
    </comment>
    <comment ref="T44" authorId="7" shapeId="0" xr:uid="{A3DEEDED-1699-4DCF-95E9-33155DF069F8}">
      <text>
        <r>
          <rPr>
            <b/>
            <sz val="9"/>
            <color indexed="81"/>
            <rFont val="Tahoma"/>
            <family val="2"/>
          </rPr>
          <t>Kim Holm Aabroe:</t>
        </r>
        <r>
          <rPr>
            <sz val="9"/>
            <color indexed="81"/>
            <rFont val="Tahoma"/>
            <family val="2"/>
          </rPr>
          <t xml:space="preserve">
OA 23.00-04.30</t>
        </r>
      </text>
    </comment>
    <comment ref="U44" authorId="6" shapeId="0" xr:uid="{7BE3181C-01AA-4621-9297-928664111A5E}">
      <text>
        <r>
          <rPr>
            <b/>
            <sz val="9"/>
            <color indexed="81"/>
            <rFont val="Tahoma"/>
            <family val="2"/>
          </rPr>
          <t>Nick Lorentzen:</t>
        </r>
        <r>
          <rPr>
            <sz val="9"/>
            <color indexed="81"/>
            <rFont val="Tahoma"/>
            <family val="2"/>
          </rPr>
          <t xml:space="preserve">
OA oplærer Laila Vestervoldgade</t>
        </r>
      </text>
    </comment>
    <comment ref="W44" authorId="1" shapeId="0" xr:uid="{2C370C16-A00E-43CE-A4AB-4987010F28E1}">
      <text>
        <r>
          <rPr>
            <b/>
            <sz val="9"/>
            <color indexed="81"/>
            <rFont val="Tahoma"/>
            <family val="2"/>
          </rPr>
          <t>Steen Hertin-Sandkær:</t>
        </r>
        <r>
          <rPr>
            <sz val="9"/>
            <color indexed="81"/>
            <rFont val="Tahoma"/>
            <family val="2"/>
          </rPr>
          <t xml:space="preserve">
Grus</t>
        </r>
      </text>
    </comment>
    <comment ref="P46" authorId="1" shapeId="0" xr:uid="{BBA37509-2C97-43AE-A74C-8358E430C2CD}">
      <text>
        <r>
          <rPr>
            <b/>
            <sz val="9"/>
            <color indexed="81"/>
            <rFont val="Tahoma"/>
            <family val="2"/>
          </rPr>
          <t>Steen Hertin-Sandkær:</t>
        </r>
        <r>
          <rPr>
            <sz val="9"/>
            <color indexed="81"/>
            <rFont val="Tahoma"/>
            <family val="2"/>
          </rPr>
          <t xml:space="preserve">
Grus</t>
        </r>
      </text>
    </comment>
    <comment ref="P47" authorId="1" shapeId="0" xr:uid="{234F5377-16B1-40B1-8F18-D448395A8563}">
      <text>
        <r>
          <rPr>
            <b/>
            <sz val="9"/>
            <color indexed="81"/>
            <rFont val="Tahoma"/>
            <family val="2"/>
          </rPr>
          <t>Steen Hertin-Sandkær:</t>
        </r>
        <r>
          <rPr>
            <sz val="9"/>
            <color indexed="81"/>
            <rFont val="Tahoma"/>
            <family val="2"/>
          </rPr>
          <t xml:space="preserve">
Grus</t>
        </r>
      </text>
    </comment>
    <comment ref="P48" authorId="1" shapeId="0" xr:uid="{1A099036-2D7E-42B3-8FDF-D725998B8698}">
      <text>
        <r>
          <rPr>
            <b/>
            <sz val="9"/>
            <color indexed="81"/>
            <rFont val="Tahoma"/>
            <family val="2"/>
          </rPr>
          <t>Steen Hertin-Sandkær:</t>
        </r>
        <r>
          <rPr>
            <sz val="9"/>
            <color indexed="81"/>
            <rFont val="Tahoma"/>
            <family val="2"/>
          </rPr>
          <t xml:space="preserve">
Grus</t>
        </r>
      </text>
    </comment>
    <comment ref="W48" authorId="1" shapeId="0" xr:uid="{1381BF16-F4EB-41D5-8BA5-150ED2CC714D}">
      <text>
        <r>
          <rPr>
            <b/>
            <sz val="9"/>
            <color indexed="81"/>
            <rFont val="Tahoma"/>
            <family val="2"/>
          </rPr>
          <t xml:space="preserve">Steen Hertin-Sandkær:
</t>
        </r>
        <r>
          <rPr>
            <sz val="9"/>
            <color indexed="81"/>
            <rFont val="Tahoma"/>
            <family val="2"/>
          </rPr>
          <t xml:space="preserve"> 6-vagt på oa</t>
        </r>
      </text>
    </comment>
    <comment ref="S50" authorId="0" shapeId="0" xr:uid="{ACABABB3-1310-4A75-9C00-CC0171E12358}">
      <text>
        <r>
          <rPr>
            <b/>
            <sz val="9"/>
            <color indexed="81"/>
            <rFont val="Tahoma"/>
            <family val="2"/>
          </rPr>
          <t>Steen Hertin:</t>
        </r>
        <r>
          <rPr>
            <sz val="9"/>
            <color indexed="81"/>
            <rFont val="Tahoma"/>
            <family val="2"/>
          </rPr>
          <t xml:space="preserve">
Møder som L-vagt</t>
        </r>
      </text>
    </comment>
    <comment ref="D61" authorId="0" shapeId="0" xr:uid="{8541AAF9-6BB6-4B44-BEA5-237E9D272377}">
      <text>
        <r>
          <rPr>
            <b/>
            <sz val="9"/>
            <color indexed="81"/>
            <rFont val="Tahoma"/>
            <family val="2"/>
          </rPr>
          <t>Steen Hertin:</t>
        </r>
        <r>
          <rPr>
            <sz val="9"/>
            <color indexed="81"/>
            <rFont val="Tahoma"/>
            <family val="2"/>
          </rPr>
          <t xml:space="preserve">
Tingbjerg 13.45-18,45</t>
        </r>
      </text>
    </comment>
    <comment ref="O61" authorId="8" shapeId="0" xr:uid="{E2A25BFF-58FF-46AA-8B87-E27995E88AD6}">
      <text>
        <r>
          <rPr>
            <b/>
            <sz val="9"/>
            <color indexed="81"/>
            <rFont val="Tahoma"/>
            <family val="2"/>
          </rPr>
          <t>Michael Bo Pedersen:</t>
        </r>
        <r>
          <rPr>
            <sz val="9"/>
            <color indexed="81"/>
            <rFont val="Tahoma"/>
            <family val="2"/>
          </rPr>
          <t xml:space="preserve">
K2 på OA fra 23.30</t>
        </r>
      </text>
    </comment>
    <comment ref="U61" authorId="7" shapeId="0" xr:uid="{17BC3B21-D6DF-4FF9-9486-70FC18778C53}">
      <text>
        <r>
          <rPr>
            <b/>
            <sz val="9"/>
            <color indexed="81"/>
            <rFont val="Tahoma"/>
            <family val="2"/>
          </rPr>
          <t>Kim Holm Aabroe:</t>
        </r>
        <r>
          <rPr>
            <sz val="9"/>
            <color indexed="81"/>
            <rFont val="Tahoma"/>
            <family val="2"/>
          </rPr>
          <t xml:space="preserve">
afsp. 1 time</t>
        </r>
      </text>
    </comment>
    <comment ref="V61" authorId="7" shapeId="0" xr:uid="{A39F0946-1378-4356-88D6-C08BFEAD53EB}">
      <text>
        <r>
          <rPr>
            <b/>
            <sz val="9"/>
            <color indexed="81"/>
            <rFont val="Tahoma"/>
            <family val="2"/>
          </rPr>
          <t>Kim Holm Aabroe:</t>
        </r>
        <r>
          <rPr>
            <sz val="9"/>
            <color indexed="81"/>
            <rFont val="Tahoma"/>
            <family val="2"/>
          </rPr>
          <t xml:space="preserve">
afsp. 1/2 time</t>
        </r>
      </text>
    </comment>
    <comment ref="E62" authorId="0" shapeId="0" xr:uid="{AD18A1D8-2BB2-4771-B6C6-EDD20467A03D}">
      <text>
        <r>
          <rPr>
            <b/>
            <sz val="9"/>
            <color indexed="81"/>
            <rFont val="Tahoma"/>
            <family val="2"/>
          </rPr>
          <t>Steen Hertin:</t>
        </r>
        <r>
          <rPr>
            <sz val="9"/>
            <color indexed="81"/>
            <rFont val="Tahoma"/>
            <family val="2"/>
          </rPr>
          <t xml:space="preserve">
10-vagt på OA</t>
        </r>
      </text>
    </comment>
    <comment ref="F62" authorId="0" shapeId="0" xr:uid="{8F8BEC6B-7856-4450-81AA-0E33D9688898}">
      <text>
        <r>
          <rPr>
            <b/>
            <sz val="9"/>
            <color indexed="81"/>
            <rFont val="Tahoma"/>
            <family val="2"/>
          </rPr>
          <t>Steen Hertin:</t>
        </r>
        <r>
          <rPr>
            <sz val="9"/>
            <color indexed="81"/>
            <rFont val="Tahoma"/>
            <family val="2"/>
          </rPr>
          <t xml:space="preserve">
10-vagt på OA</t>
        </r>
      </text>
    </comment>
    <comment ref="G62" authorId="4" shapeId="0" xr:uid="{B3C64393-38A6-4F5D-8508-87B70983BE94}">
      <text>
        <r>
          <rPr>
            <b/>
            <sz val="9"/>
            <color indexed="81"/>
            <rFont val="Tahoma"/>
            <family val="2"/>
          </rPr>
          <t>Thomas Holm:</t>
        </r>
        <r>
          <rPr>
            <sz val="9"/>
            <color indexed="81"/>
            <rFont val="Tahoma"/>
            <family val="2"/>
          </rPr>
          <t xml:space="preserve">
10-vagt</t>
        </r>
      </text>
    </comment>
    <comment ref="H62" authorId="0" shapeId="0" xr:uid="{BDD60F08-DF0A-4E50-8CD2-8DE22296A69C}">
      <text>
        <r>
          <rPr>
            <b/>
            <sz val="9"/>
            <color indexed="81"/>
            <rFont val="Tahoma"/>
            <family val="2"/>
          </rPr>
          <t>Steen Hertin:</t>
        </r>
        <r>
          <rPr>
            <sz val="9"/>
            <color indexed="81"/>
            <rFont val="Tahoma"/>
            <family val="2"/>
          </rPr>
          <t xml:space="preserve">
Ottiliavej 20.30 - 08.30</t>
        </r>
      </text>
    </comment>
    <comment ref="I62" authorId="0" shapeId="0" xr:uid="{20F11CC4-259E-42AD-B443-AF4921F9C9D6}">
      <text>
        <r>
          <rPr>
            <b/>
            <sz val="9"/>
            <color indexed="81"/>
            <rFont val="Tahoma"/>
            <family val="2"/>
          </rPr>
          <t>Steen Hertin:</t>
        </r>
        <r>
          <rPr>
            <sz val="9"/>
            <color indexed="81"/>
            <rFont val="Tahoma"/>
            <family val="2"/>
          </rPr>
          <t xml:space="preserve">
Ottiliavej 20.30 - 08.30</t>
        </r>
      </text>
    </comment>
    <comment ref="J62" authorId="0" shapeId="0" xr:uid="{8863B892-2042-441A-847C-FA15BDD10182}">
      <text>
        <r>
          <rPr>
            <b/>
            <sz val="9"/>
            <color indexed="81"/>
            <rFont val="Tahoma"/>
            <family val="2"/>
          </rPr>
          <t>Steen Hertin:</t>
        </r>
        <r>
          <rPr>
            <sz val="9"/>
            <color indexed="81"/>
            <rFont val="Tahoma"/>
            <family val="2"/>
          </rPr>
          <t xml:space="preserve">
Ottiliavej 20.30 - 08.30</t>
        </r>
      </text>
    </comment>
    <comment ref="L62" authorId="7" shapeId="0" xr:uid="{923F5228-CBA5-488A-A1B9-39FEED49C0E0}">
      <text>
        <r>
          <rPr>
            <b/>
            <sz val="9"/>
            <color indexed="81"/>
            <rFont val="Tahoma"/>
            <family val="2"/>
          </rPr>
          <t>Kim Holm Aabroe:</t>
        </r>
        <r>
          <rPr>
            <sz val="9"/>
            <color indexed="81"/>
            <rFont val="Tahoma"/>
            <family val="2"/>
          </rPr>
          <t xml:space="preserve">
ottiliavej 20.30-08.30</t>
        </r>
      </text>
    </comment>
    <comment ref="M62" authorId="8" shapeId="0" xr:uid="{8F46A368-2C46-4A97-B2CC-21392016037D}">
      <text>
        <r>
          <rPr>
            <b/>
            <sz val="9"/>
            <color indexed="81"/>
            <rFont val="Tahoma"/>
            <family val="2"/>
          </rPr>
          <t>Michael Bo Pedersen:</t>
        </r>
        <r>
          <rPr>
            <sz val="9"/>
            <color indexed="81"/>
            <rFont val="Tahoma"/>
            <family val="2"/>
          </rPr>
          <t xml:space="preserve">
ottiliavej 20.30-08.30</t>
        </r>
      </text>
    </comment>
    <comment ref="N62" authorId="1" shapeId="0" xr:uid="{D7F557BF-CE39-4D87-958C-206C72AD1451}">
      <text>
        <r>
          <rPr>
            <b/>
            <sz val="9"/>
            <color indexed="81"/>
            <rFont val="Tahoma"/>
            <family val="2"/>
          </rPr>
          <t>Steen Hertin-Sandkær:</t>
        </r>
        <r>
          <rPr>
            <sz val="9"/>
            <color indexed="81"/>
            <rFont val="Tahoma"/>
            <family val="2"/>
          </rPr>
          <t xml:space="preserve">
ottiliavej 20.30-08.30</t>
        </r>
      </text>
    </comment>
    <comment ref="Q62" authorId="3" shapeId="0" xr:uid="{65392050-1C7F-44A7-BF86-3A37E11D7E80}">
      <text>
        <r>
          <rPr>
            <b/>
            <sz val="9"/>
            <color indexed="81"/>
            <rFont val="Tahoma"/>
            <family val="2"/>
          </rPr>
          <t>Mathias Nielsen:</t>
        </r>
        <r>
          <rPr>
            <sz val="9"/>
            <color indexed="81"/>
            <rFont val="Tahoma"/>
            <family val="2"/>
          </rPr>
          <t xml:space="preserve">
til 00:00</t>
        </r>
      </text>
    </comment>
    <comment ref="S62" authorId="0" shapeId="0" xr:uid="{DAA8E441-B61B-44F2-B436-FB7AC1AD928A}">
      <text>
        <r>
          <rPr>
            <b/>
            <sz val="9"/>
            <color indexed="81"/>
            <rFont val="Tahoma"/>
            <family val="2"/>
          </rPr>
          <t>Steen Hertin:</t>
        </r>
        <r>
          <rPr>
            <sz val="9"/>
            <color indexed="81"/>
            <rFont val="Tahoma"/>
            <family val="2"/>
          </rPr>
          <t xml:space="preserve">
26-vagt på OA.</t>
        </r>
      </text>
    </comment>
    <comment ref="AB62" authorId="1" shapeId="0" xr:uid="{4D1E457B-183C-485B-8D26-AA5372F3ED26}">
      <text>
        <r>
          <rPr>
            <b/>
            <sz val="9"/>
            <color indexed="81"/>
            <rFont val="Tahoma"/>
            <family val="2"/>
          </rPr>
          <t>Steen Hertin-Sandkær:</t>
        </r>
        <r>
          <rPr>
            <sz val="9"/>
            <color indexed="81"/>
            <rFont val="Tahoma"/>
            <family val="2"/>
          </rPr>
          <t xml:space="preserve">
Arrangement aften mødetid 17-30</t>
        </r>
      </text>
    </comment>
    <comment ref="AC62" authorId="0" shapeId="0" xr:uid="{288A5144-95EA-48ED-B74D-7314291FCAAE}">
      <text>
        <r>
          <rPr>
            <b/>
            <sz val="9"/>
            <color indexed="81"/>
            <rFont val="Tahoma"/>
            <family val="2"/>
          </rPr>
          <t>Steen Hertin:</t>
        </r>
        <r>
          <rPr>
            <sz val="9"/>
            <color indexed="81"/>
            <rFont val="Tahoma"/>
            <family val="2"/>
          </rPr>
          <t xml:space="preserve">
Fuglebakken kl. 16.30 - 20.00.
Møder på Rådhuset kl. 15.00
</t>
        </r>
      </text>
    </comment>
    <comment ref="AF62" authorId="4" shapeId="0" xr:uid="{FAE95FD3-0B1C-45A2-8F85-3CF4A07A64FC}">
      <text>
        <r>
          <rPr>
            <b/>
            <sz val="9"/>
            <color indexed="81"/>
            <rFont val="Tahoma"/>
            <family val="2"/>
          </rPr>
          <t>Thomas Holm:</t>
        </r>
        <r>
          <rPr>
            <sz val="9"/>
            <color indexed="81"/>
            <rFont val="Tahoma"/>
            <family val="2"/>
          </rPr>
          <t xml:space="preserve">
A3 fra kl. 10.00</t>
        </r>
      </text>
    </comment>
    <comment ref="C63" authorId="1" shapeId="0" xr:uid="{CC3988EE-B97F-4DD3-A8E4-1D3325A695A8}">
      <text>
        <r>
          <rPr>
            <b/>
            <sz val="9"/>
            <color indexed="81"/>
            <rFont val="Tahoma"/>
            <family val="2"/>
          </rPr>
          <t>Steen Hertin-Sandkær:</t>
        </r>
        <r>
          <rPr>
            <sz val="9"/>
            <color indexed="81"/>
            <rFont val="Tahoma"/>
            <family val="2"/>
          </rPr>
          <t xml:space="preserve">
S5 på OA</t>
        </r>
      </text>
    </comment>
    <comment ref="D63" authorId="1" shapeId="0" xr:uid="{6BA0721B-4C83-4860-A4A5-770138E56077}">
      <text>
        <r>
          <rPr>
            <b/>
            <sz val="9"/>
            <color indexed="81"/>
            <rFont val="Tahoma"/>
            <family val="2"/>
          </rPr>
          <t>Steen Hertin-Sandkær:</t>
        </r>
        <r>
          <rPr>
            <sz val="9"/>
            <color indexed="81"/>
            <rFont val="Tahoma"/>
            <family val="2"/>
          </rPr>
          <t xml:space="preserve">
S5 på OA</t>
        </r>
      </text>
    </comment>
    <comment ref="K63" authorId="7" shapeId="0" xr:uid="{5CA91AE3-801C-4E83-8875-747DCFF5E57E}">
      <text>
        <r>
          <rPr>
            <b/>
            <sz val="9"/>
            <color indexed="81"/>
            <rFont val="Tahoma"/>
            <family val="2"/>
          </rPr>
          <t>Kim Holm Aabroe:</t>
        </r>
        <r>
          <rPr>
            <sz val="9"/>
            <color indexed="81"/>
            <rFont val="Tahoma"/>
            <family val="2"/>
          </rPr>
          <t xml:space="preserve">
ottiliavej 20.30-08.30</t>
        </r>
      </text>
    </comment>
    <comment ref="P63" authorId="1" shapeId="0" xr:uid="{7EDCD03D-8D75-4F18-8A0C-BF0D77B0AFF8}">
      <text>
        <r>
          <rPr>
            <b/>
            <sz val="9"/>
            <color indexed="81"/>
            <rFont val="Tahoma"/>
            <family val="2"/>
          </rPr>
          <t>Steen Hertin-Sandkær:</t>
        </r>
        <r>
          <rPr>
            <sz val="9"/>
            <color indexed="81"/>
            <rFont val="Tahoma"/>
            <family val="2"/>
          </rPr>
          <t xml:space="preserve">
Førstehjælps kursus
08.00-12.00</t>
        </r>
      </text>
    </comment>
    <comment ref="K64" authorId="0" shapeId="0" xr:uid="{32E375D4-A047-4722-BB4C-78081D6EEB85}">
      <text>
        <r>
          <rPr>
            <b/>
            <sz val="9"/>
            <color indexed="81"/>
            <rFont val="Tahoma"/>
            <family val="2"/>
          </rPr>
          <t>Steen Hertin:</t>
        </r>
        <r>
          <rPr>
            <sz val="9"/>
            <color indexed="81"/>
            <rFont val="Tahoma"/>
            <family val="2"/>
          </rPr>
          <t xml:space="preserve">
Ottiliavej 20.30 - 08.30</t>
        </r>
      </text>
    </comment>
    <comment ref="L64" authorId="0" shapeId="0" xr:uid="{C3DEEAEB-4F9A-40EC-B532-FDD4FC95A393}">
      <text>
        <r>
          <rPr>
            <b/>
            <sz val="9"/>
            <color indexed="81"/>
            <rFont val="Tahoma"/>
            <family val="2"/>
          </rPr>
          <t>Steen Hertin:</t>
        </r>
        <r>
          <rPr>
            <sz val="9"/>
            <color indexed="81"/>
            <rFont val="Tahoma"/>
            <family val="2"/>
          </rPr>
          <t xml:space="preserve">
Ottiliavej 20.30 - 08.30</t>
        </r>
      </text>
    </comment>
    <comment ref="M64" authorId="0" shapeId="0" xr:uid="{0A6767BE-5D02-474D-A109-0C644E4A525F}">
      <text>
        <r>
          <rPr>
            <b/>
            <sz val="9"/>
            <color indexed="81"/>
            <rFont val="Tahoma"/>
            <family val="2"/>
          </rPr>
          <t>Steen Hertin:</t>
        </r>
        <r>
          <rPr>
            <sz val="9"/>
            <color indexed="81"/>
            <rFont val="Tahoma"/>
            <family val="2"/>
          </rPr>
          <t xml:space="preserve">
Ottiliavej 20.30 - 08.30</t>
        </r>
      </text>
    </comment>
    <comment ref="N64" authorId="0" shapeId="0" xr:uid="{EC306C81-8C67-4F81-AD64-2FCBAE24E071}">
      <text>
        <r>
          <rPr>
            <b/>
            <sz val="9"/>
            <color indexed="81"/>
            <rFont val="Tahoma"/>
            <family val="2"/>
          </rPr>
          <t>Steen Hertin:</t>
        </r>
        <r>
          <rPr>
            <sz val="9"/>
            <color indexed="81"/>
            <rFont val="Tahoma"/>
            <family val="2"/>
          </rPr>
          <t xml:space="preserve">
Ottiliavej 20.30 - 08.30</t>
        </r>
      </text>
    </comment>
    <comment ref="P64" authorId="1" shapeId="0" xr:uid="{CC85973E-8D90-4CED-AE5D-18E31B3F4865}">
      <text>
        <r>
          <rPr>
            <b/>
            <sz val="9"/>
            <color indexed="81"/>
            <rFont val="Tahoma"/>
            <family val="2"/>
          </rPr>
          <t>Steen Hertin-Sandkær:</t>
        </r>
        <r>
          <rPr>
            <sz val="9"/>
            <color indexed="81"/>
            <rFont val="Tahoma"/>
            <family val="2"/>
          </rPr>
          <t xml:space="preserve">
Møder til grus 17.00 - 21.00</t>
        </r>
      </text>
    </comment>
    <comment ref="N67" authorId="1" shapeId="0" xr:uid="{7A62DBCE-43DF-4DC7-A2CA-460ED14EC938}">
      <text>
        <r>
          <rPr>
            <b/>
            <sz val="9"/>
            <color indexed="81"/>
            <rFont val="Tahoma"/>
            <family val="2"/>
          </rPr>
          <t>Steen Hertin-Sandkær:</t>
        </r>
        <r>
          <rPr>
            <sz val="9"/>
            <color indexed="81"/>
            <rFont val="Tahoma"/>
            <family val="2"/>
          </rPr>
          <t xml:space="preserve">
26-vagt på OA.Evt. bytte med Nicoæaj.</t>
        </r>
      </text>
    </comment>
    <comment ref="AB67" authorId="1" shapeId="0" xr:uid="{5ECE25D7-009A-4808-94B3-8750A9C50209}">
      <text>
        <r>
          <rPr>
            <b/>
            <sz val="9"/>
            <color indexed="81"/>
            <rFont val="Tahoma"/>
            <family val="2"/>
          </rPr>
          <t>Steen Hertin-Sandkær:</t>
        </r>
        <r>
          <rPr>
            <sz val="9"/>
            <color indexed="81"/>
            <rFont val="Tahoma"/>
            <family val="2"/>
          </rPr>
          <t xml:space="preserve">
Arrangement aften 17.30 - 00.00</t>
        </r>
      </text>
    </comment>
    <comment ref="E68" authorId="0" shapeId="0" xr:uid="{E037C11E-35B8-4074-9826-85162D796C4C}">
      <text>
        <r>
          <rPr>
            <b/>
            <sz val="9"/>
            <color indexed="81"/>
            <rFont val="Tahoma"/>
            <family val="2"/>
          </rPr>
          <t>Steen Hertin:</t>
        </r>
        <r>
          <rPr>
            <sz val="9"/>
            <color indexed="81"/>
            <rFont val="Tahoma"/>
            <family val="2"/>
          </rPr>
          <t xml:space="preserve">
HCK08.45 - 15.45</t>
        </r>
      </text>
    </comment>
    <comment ref="F68" authorId="0" shapeId="0" xr:uid="{0C1B3D2A-8BA2-404B-BB6B-B9DBF18ED92F}">
      <text>
        <r>
          <rPr>
            <b/>
            <sz val="9"/>
            <color indexed="81"/>
            <rFont val="Tahoma"/>
            <family val="2"/>
          </rPr>
          <t>Steen Hertin:</t>
        </r>
        <r>
          <rPr>
            <sz val="9"/>
            <color indexed="81"/>
            <rFont val="Tahoma"/>
            <family val="2"/>
          </rPr>
          <t xml:space="preserve">
HCK08.45 - 15.45
skal gå 13.30</t>
        </r>
      </text>
    </comment>
    <comment ref="G68" authorId="0" shapeId="0" xr:uid="{0A056816-F094-4DFE-8F0C-6CADD4AE4C4C}">
      <text>
        <r>
          <rPr>
            <b/>
            <sz val="9"/>
            <color indexed="81"/>
            <rFont val="Tahoma"/>
            <family val="2"/>
          </rPr>
          <t>Steen Hertin:</t>
        </r>
        <r>
          <rPr>
            <sz val="9"/>
            <color indexed="81"/>
            <rFont val="Tahoma"/>
            <family val="2"/>
          </rPr>
          <t xml:space="preserve">
HCK08.45 - 15.45</t>
        </r>
      </text>
    </comment>
    <comment ref="M68" authorId="0" shapeId="0" xr:uid="{993D7276-3E30-419B-96FF-1ABB75B9E1B0}">
      <text>
        <r>
          <rPr>
            <b/>
            <sz val="9"/>
            <color indexed="81"/>
            <rFont val="Tahoma"/>
            <family val="2"/>
          </rPr>
          <t>Steen Hertin:</t>
        </r>
        <r>
          <rPr>
            <sz val="9"/>
            <color indexed="81"/>
            <rFont val="Tahoma"/>
            <family val="2"/>
          </rPr>
          <t xml:space="preserve">
HCK08.45 - 15.45</t>
        </r>
      </text>
    </comment>
    <comment ref="N68" authorId="0" shapeId="0" xr:uid="{D215F8ED-835D-4EA6-86B4-AAA4266D59BE}">
      <text>
        <r>
          <rPr>
            <b/>
            <sz val="9"/>
            <color indexed="81"/>
            <rFont val="Tahoma"/>
            <family val="2"/>
          </rPr>
          <t>Steen Hertin:</t>
        </r>
        <r>
          <rPr>
            <sz val="9"/>
            <color indexed="81"/>
            <rFont val="Tahoma"/>
            <family val="2"/>
          </rPr>
          <t xml:space="preserve">
HCK08.45 - 15.45</t>
        </r>
      </text>
    </comment>
    <comment ref="O68" authorId="0" shapeId="0" xr:uid="{CA430F6E-A49F-4C53-876A-59135B9A1AAA}">
      <text>
        <r>
          <rPr>
            <b/>
            <sz val="9"/>
            <color indexed="81"/>
            <rFont val="Tahoma"/>
            <family val="2"/>
          </rPr>
          <t>Steen Hertin:</t>
        </r>
        <r>
          <rPr>
            <sz val="9"/>
            <color indexed="81"/>
            <rFont val="Tahoma"/>
            <family val="2"/>
          </rPr>
          <t xml:space="preserve">
Ottiliavej 20.30 - 08.30</t>
        </r>
      </text>
    </comment>
    <comment ref="P68" authorId="0" shapeId="0" xr:uid="{6D32DAE1-9671-4813-9EBB-081A559FBABE}">
      <text>
        <r>
          <rPr>
            <b/>
            <sz val="9"/>
            <color indexed="81"/>
            <rFont val="Tahoma"/>
            <family val="2"/>
          </rPr>
          <t>Steen Hertin:</t>
        </r>
        <r>
          <rPr>
            <sz val="9"/>
            <color indexed="81"/>
            <rFont val="Tahoma"/>
            <family val="2"/>
          </rPr>
          <t xml:space="preserve">
Ottiliavej 20.30 - 08.30</t>
        </r>
      </text>
    </comment>
    <comment ref="Q68" authorId="0" shapeId="0" xr:uid="{D6A1C1FE-4ECA-4687-8969-5BC8C32CE46D}">
      <text>
        <r>
          <rPr>
            <b/>
            <sz val="9"/>
            <color indexed="81"/>
            <rFont val="Tahoma"/>
            <family val="2"/>
          </rPr>
          <t>Steen Hertin:</t>
        </r>
        <r>
          <rPr>
            <sz val="9"/>
            <color indexed="81"/>
            <rFont val="Tahoma"/>
            <family val="2"/>
          </rPr>
          <t xml:space="preserve">
Ottiliavej 20.30 - 08.30</t>
        </r>
      </text>
    </comment>
    <comment ref="R68" authorId="0" shapeId="0" xr:uid="{5D286DE3-99FE-424F-9556-EB02213C35AE}">
      <text>
        <r>
          <rPr>
            <b/>
            <sz val="9"/>
            <color indexed="81"/>
            <rFont val="Tahoma"/>
            <family val="2"/>
          </rPr>
          <t>Steen Hertin:</t>
        </r>
        <r>
          <rPr>
            <sz val="9"/>
            <color indexed="81"/>
            <rFont val="Tahoma"/>
            <family val="2"/>
          </rPr>
          <t xml:space="preserve">
Ottiliavej 20.30 - 08.30</t>
        </r>
      </text>
    </comment>
    <comment ref="S68" authorId="1" shapeId="0" xr:uid="{48AFE6C8-589A-4E22-8D26-2791ABC67B48}">
      <text>
        <r>
          <rPr>
            <b/>
            <sz val="9"/>
            <color indexed="81"/>
            <rFont val="Tahoma"/>
            <family val="2"/>
          </rPr>
          <t>Steen Hertin-Sandkær:</t>
        </r>
        <r>
          <rPr>
            <sz val="9"/>
            <color indexed="81"/>
            <rFont val="Tahoma"/>
            <family val="2"/>
          </rPr>
          <t xml:space="preserve">
ottiliavej 20.30-08.30</t>
        </r>
      </text>
    </comment>
    <comment ref="T68" authorId="1" shapeId="0" xr:uid="{1AE5F682-C926-496D-A4DB-10B6EC604373}">
      <text>
        <r>
          <rPr>
            <b/>
            <sz val="9"/>
            <color indexed="81"/>
            <rFont val="Tahoma"/>
            <family val="2"/>
          </rPr>
          <t>Steen Hertin-Sandkær:</t>
        </r>
        <r>
          <rPr>
            <sz val="9"/>
            <color indexed="81"/>
            <rFont val="Tahoma"/>
            <family val="2"/>
          </rPr>
          <t xml:space="preserve">
ottiliavej 20.30-08.30</t>
        </r>
      </text>
    </comment>
    <comment ref="U68" authorId="1" shapeId="0" xr:uid="{946B6556-B08F-440B-8F93-19338098C2DC}">
      <text>
        <r>
          <rPr>
            <b/>
            <sz val="9"/>
            <color indexed="81"/>
            <rFont val="Tahoma"/>
            <family val="2"/>
          </rPr>
          <t>Steen Hertin-Sandkær:</t>
        </r>
        <r>
          <rPr>
            <sz val="9"/>
            <color indexed="81"/>
            <rFont val="Tahoma"/>
            <family val="2"/>
          </rPr>
          <t xml:space="preserve">
ottiliavej 20.30-08.30</t>
        </r>
      </text>
    </comment>
    <comment ref="V68" authorId="1" shapeId="0" xr:uid="{F1145506-04F6-42B5-BF15-8EDABA285447}">
      <text>
        <r>
          <rPr>
            <b/>
            <sz val="9"/>
            <color indexed="81"/>
            <rFont val="Tahoma"/>
            <family val="2"/>
          </rPr>
          <t>Steen Hertin-Sandkær:</t>
        </r>
        <r>
          <rPr>
            <sz val="9"/>
            <color indexed="81"/>
            <rFont val="Tahoma"/>
            <family val="2"/>
          </rPr>
          <t xml:space="preserve">
S3 på OA</t>
        </r>
      </text>
    </comment>
    <comment ref="N69" authorId="6" shapeId="0" xr:uid="{0FCCFF07-4689-4CF0-94C8-22EAFEE641AC}">
      <text>
        <r>
          <rPr>
            <b/>
            <sz val="9"/>
            <color indexed="81"/>
            <rFont val="Tahoma"/>
            <family val="2"/>
          </rPr>
          <t>Nick Lorentzen:</t>
        </r>
        <r>
          <rPr>
            <sz val="9"/>
            <color indexed="81"/>
            <rFont val="Tahoma"/>
            <family val="2"/>
          </rPr>
          <t xml:space="preserve">
Fejemand OA</t>
        </r>
      </text>
    </comment>
    <comment ref="P69" authorId="3" shapeId="0" xr:uid="{2C02A0A8-7D47-42A3-93B3-6C5C35F06DC4}">
      <text>
        <r>
          <rPr>
            <b/>
            <sz val="9"/>
            <color indexed="81"/>
            <rFont val="Tahoma"/>
            <family val="2"/>
          </rPr>
          <t>Mathias Nielsen:</t>
        </r>
        <r>
          <rPr>
            <sz val="9"/>
            <color indexed="81"/>
            <rFont val="Tahoma"/>
            <family val="2"/>
          </rPr>
          <t xml:space="preserve">
K2 oa til 00:00</t>
        </r>
      </text>
    </comment>
    <comment ref="R69" authorId="0" shapeId="0" xr:uid="{81C0D969-389D-46B3-B45A-4FDB59FAFE32}">
      <text>
        <r>
          <rPr>
            <b/>
            <sz val="9"/>
            <color indexed="81"/>
            <rFont val="Tahoma"/>
            <family val="2"/>
          </rPr>
          <t>Steen Hertin:</t>
        </r>
        <r>
          <rPr>
            <sz val="9"/>
            <color indexed="81"/>
            <rFont val="Tahoma"/>
            <family val="2"/>
          </rPr>
          <t xml:space="preserve">
Tingbjerg 13.45-18,45</t>
        </r>
      </text>
    </comment>
    <comment ref="Y69" authorId="0" shapeId="0" xr:uid="{BB0EB322-8C8A-4376-96F9-4C0F0A9810D8}">
      <text>
        <r>
          <rPr>
            <b/>
            <sz val="9"/>
            <color indexed="81"/>
            <rFont val="Tahoma"/>
            <family val="2"/>
          </rPr>
          <t>Steen Hertin:</t>
        </r>
        <r>
          <rPr>
            <sz val="9"/>
            <color indexed="81"/>
            <rFont val="Tahoma"/>
            <family val="2"/>
          </rPr>
          <t xml:space="preserve">
Tingbjerg 13.45-18,45</t>
        </r>
      </text>
    </comment>
    <comment ref="AC69" authorId="5" shapeId="0" xr:uid="{AC441959-F1B2-436B-896A-CDC730BAD890}">
      <text>
        <r>
          <rPr>
            <b/>
            <sz val="9"/>
            <color indexed="81"/>
            <rFont val="Tahoma"/>
            <family val="2"/>
          </rPr>
          <t>Nikolaj Langtin Pamhede:</t>
        </r>
        <r>
          <rPr>
            <sz val="9"/>
            <color indexed="81"/>
            <rFont val="Tahoma"/>
            <family val="2"/>
          </rPr>
          <t xml:space="preserve">
M vagt på oa fra kl 14</t>
        </r>
      </text>
    </comment>
    <comment ref="AD69" authorId="5" shapeId="0" xr:uid="{7D791F70-2D98-4E80-83A4-5F6799FDD069}">
      <text>
        <r>
          <rPr>
            <b/>
            <sz val="9"/>
            <color indexed="81"/>
            <rFont val="Tahoma"/>
            <family val="2"/>
          </rPr>
          <t>Nikolaj Langtin Pamhede:</t>
        </r>
        <r>
          <rPr>
            <sz val="9"/>
            <color indexed="81"/>
            <rFont val="Tahoma"/>
            <family val="2"/>
          </rPr>
          <t xml:space="preserve">
Oa fra kl 14 til 16 dækker for Anne</t>
        </r>
      </text>
    </comment>
    <comment ref="N70" authorId="1" shapeId="0" xr:uid="{C90EB9AD-5E93-4852-B985-03CB7B9B3971}">
      <text>
        <r>
          <rPr>
            <b/>
            <sz val="9"/>
            <color indexed="81"/>
            <rFont val="Tahoma"/>
            <family val="2"/>
          </rPr>
          <t>Steen Hertin-Sandkær:</t>
        </r>
        <r>
          <rPr>
            <sz val="9"/>
            <color indexed="81"/>
            <rFont val="Tahoma"/>
            <family val="2"/>
          </rPr>
          <t xml:space="preserve">
Førstehjælps kursus
08.00-12.00</t>
        </r>
      </text>
    </comment>
    <comment ref="S70" authorId="1" shapeId="0" xr:uid="{9065E391-7B3E-41B9-9A37-531FB894C7FA}">
      <text>
        <r>
          <rPr>
            <b/>
            <sz val="9"/>
            <color indexed="81"/>
            <rFont val="Tahoma"/>
            <family val="2"/>
          </rPr>
          <t>Steen Hertin-Sandkær:</t>
        </r>
        <r>
          <rPr>
            <sz val="9"/>
            <color indexed="81"/>
            <rFont val="Tahoma"/>
            <family val="2"/>
          </rPr>
          <t xml:space="preserve">
Nørrebro bibliotek 14.00 - 20.00</t>
        </r>
      </text>
    </comment>
    <comment ref="T70" authorId="1" shapeId="0" xr:uid="{6E671386-A015-468F-A3AA-8D783BF14A20}">
      <text>
        <r>
          <rPr>
            <b/>
            <sz val="9"/>
            <color indexed="81"/>
            <rFont val="Tahoma"/>
            <family val="2"/>
          </rPr>
          <t>Steen Hertin-Sandkær:</t>
        </r>
        <r>
          <rPr>
            <sz val="9"/>
            <color indexed="81"/>
            <rFont val="Tahoma"/>
            <family val="2"/>
          </rPr>
          <t xml:space="preserve">
Nørrebro bibliotek 14.00 - 20.00</t>
        </r>
      </text>
    </comment>
    <comment ref="U70" authorId="1" shapeId="0" xr:uid="{4C1B0C18-E9D1-4C4C-A1A8-DEE1E27924C0}">
      <text>
        <r>
          <rPr>
            <b/>
            <sz val="9"/>
            <color indexed="81"/>
            <rFont val="Tahoma"/>
            <family val="2"/>
          </rPr>
          <t>Steen Hertin-Sandkær:</t>
        </r>
        <r>
          <rPr>
            <sz val="9"/>
            <color indexed="81"/>
            <rFont val="Tahoma"/>
            <family val="2"/>
          </rPr>
          <t xml:space="preserve">
Nørrebro bibliotek 14.00 - 20.00</t>
        </r>
      </text>
    </comment>
    <comment ref="V70" authorId="1" shapeId="0" xr:uid="{64602837-7241-4138-B21D-E38CC79D4A5A}">
      <text>
        <r>
          <rPr>
            <b/>
            <sz val="9"/>
            <color indexed="81"/>
            <rFont val="Tahoma"/>
            <family val="2"/>
          </rPr>
          <t>Steen Hertin-Sandkær:</t>
        </r>
        <r>
          <rPr>
            <sz val="9"/>
            <color indexed="81"/>
            <rFont val="Tahoma"/>
            <family val="2"/>
          </rPr>
          <t xml:space="preserve">
Nørrebro bibliotek 14.00 - 20.00</t>
        </r>
      </text>
    </comment>
    <comment ref="W70" authorId="1" shapeId="0" xr:uid="{6B377125-9A4C-4929-B41B-B334EEACFA3B}">
      <text>
        <r>
          <rPr>
            <b/>
            <sz val="9"/>
            <color indexed="81"/>
            <rFont val="Tahoma"/>
            <family val="2"/>
          </rPr>
          <t>Steen Hertin-Sandkær:</t>
        </r>
        <r>
          <rPr>
            <sz val="9"/>
            <color indexed="81"/>
            <rFont val="Tahoma"/>
            <family val="2"/>
          </rPr>
          <t xml:space="preserve">
Nørrebro bibliotek 14.00 - 20.00</t>
        </r>
      </text>
    </comment>
    <comment ref="X70" authorId="1" shapeId="0" xr:uid="{B08D36B7-35C6-439C-97B3-81294CB8294F}">
      <text>
        <r>
          <rPr>
            <b/>
            <sz val="9"/>
            <color indexed="81"/>
            <rFont val="Tahoma"/>
            <family val="2"/>
          </rPr>
          <t>Steen Hertin-Sandkær:</t>
        </r>
        <r>
          <rPr>
            <sz val="9"/>
            <color indexed="81"/>
            <rFont val="Tahoma"/>
            <family val="2"/>
          </rPr>
          <t xml:space="preserve">
Nørrebro bibliotek 14.00 - 20.00</t>
        </r>
      </text>
    </comment>
    <comment ref="P72" authorId="1" shapeId="0" xr:uid="{1954B31D-9895-4AC0-867B-40FBCF6207D0}">
      <text>
        <r>
          <rPr>
            <b/>
            <sz val="9"/>
            <color indexed="81"/>
            <rFont val="Tahoma"/>
            <family val="2"/>
          </rPr>
          <t>Steen Hertin-Sandkær:</t>
        </r>
        <r>
          <rPr>
            <sz val="9"/>
            <color indexed="81"/>
            <rFont val="Tahoma"/>
            <family val="2"/>
          </rPr>
          <t xml:space="preserve">
Møder til grus 17.00 - 21.00</t>
        </r>
      </text>
    </comment>
    <comment ref="AB72" authorId="1" shapeId="0" xr:uid="{C23360FA-2843-483F-B583-80831AE8A542}">
      <text>
        <r>
          <rPr>
            <b/>
            <sz val="9"/>
            <color indexed="81"/>
            <rFont val="Tahoma"/>
            <family val="2"/>
          </rPr>
          <t>Steen Hertin-Sandkær:</t>
        </r>
        <r>
          <rPr>
            <sz val="9"/>
            <color indexed="81"/>
            <rFont val="Tahoma"/>
            <family val="2"/>
          </rPr>
          <t xml:space="preserve">
Arrangement aften 17.30 - 00.00</t>
        </r>
      </text>
    </comment>
    <comment ref="AC72" authorId="4" shapeId="0" xr:uid="{EA5AE064-BACF-400D-A2C1-CF2B90750574}">
      <text>
        <r>
          <rPr>
            <b/>
            <sz val="9"/>
            <color indexed="81"/>
            <rFont val="Tahoma"/>
            <family val="2"/>
          </rPr>
          <t>Thomas Holm:</t>
        </r>
        <r>
          <rPr>
            <sz val="9"/>
            <color indexed="81"/>
            <rFont val="Tahoma"/>
            <family val="2"/>
          </rPr>
          <t xml:space="preserve">
Gå bag Sergio</t>
        </r>
      </text>
    </comment>
    <comment ref="AD72" authorId="4" shapeId="0" xr:uid="{738773BB-ABFD-4145-B9C8-5B7AD2440E68}">
      <text>
        <r>
          <rPr>
            <b/>
            <sz val="9"/>
            <color indexed="81"/>
            <rFont val="Tahoma"/>
            <family val="2"/>
          </rPr>
          <t>Thomas Holm:</t>
        </r>
        <r>
          <rPr>
            <sz val="9"/>
            <color indexed="81"/>
            <rFont val="Tahoma"/>
            <family val="2"/>
          </rPr>
          <t xml:space="preserve">
Gå bag Sergio</t>
        </r>
      </text>
    </comment>
    <comment ref="AF72" authorId="0" shapeId="0" xr:uid="{136BA131-D1E1-4C3F-8DB8-27B83D927893}">
      <text>
        <r>
          <rPr>
            <b/>
            <sz val="9"/>
            <color indexed="81"/>
            <rFont val="Tahoma"/>
            <family val="2"/>
          </rPr>
          <t>Steen Hertin:</t>
        </r>
        <r>
          <rPr>
            <sz val="9"/>
            <color indexed="81"/>
            <rFont val="Tahoma"/>
            <family val="2"/>
          </rPr>
          <t xml:space="preserve">
Tingbjerg 13.45-18,45</t>
        </r>
      </text>
    </comment>
    <comment ref="C73" authorId="0" shapeId="0" xr:uid="{310E5404-0620-48A1-8800-74FEC58A7777}">
      <text>
        <r>
          <rPr>
            <b/>
            <sz val="9"/>
            <color indexed="81"/>
            <rFont val="Tahoma"/>
            <family val="2"/>
          </rPr>
          <t>Steen Hertin:</t>
        </r>
        <r>
          <rPr>
            <sz val="9"/>
            <color indexed="81"/>
            <rFont val="Tahoma"/>
            <family val="2"/>
          </rPr>
          <t xml:space="preserve">
Nørrebro bibliotek 11-15</t>
        </r>
      </text>
    </comment>
    <comment ref="F73" authorId="1" shapeId="0" xr:uid="{049D5E58-8EBA-4F2A-B182-5714A11EC7AB}">
      <text>
        <r>
          <rPr>
            <b/>
            <sz val="9"/>
            <color indexed="81"/>
            <rFont val="Tahoma"/>
            <family val="2"/>
          </rPr>
          <t>Steen Hertin-Sandkær:</t>
        </r>
        <r>
          <rPr>
            <sz val="9"/>
            <color indexed="81"/>
            <rFont val="Tahoma"/>
            <family val="2"/>
          </rPr>
          <t xml:space="preserve">
Nørrebro bibliotek 14.00 - 20.00</t>
        </r>
      </text>
    </comment>
    <comment ref="G73" authorId="1" shapeId="0" xr:uid="{6013823B-D042-4260-BA47-423F461D3EC0}">
      <text>
        <r>
          <rPr>
            <b/>
            <sz val="9"/>
            <color indexed="81"/>
            <rFont val="Tahoma"/>
            <family val="2"/>
          </rPr>
          <t>Steen Hertin-Sandkær:</t>
        </r>
        <r>
          <rPr>
            <sz val="9"/>
            <color indexed="81"/>
            <rFont val="Tahoma"/>
            <family val="2"/>
          </rPr>
          <t xml:space="preserve">
Nørrebro bibliotek 14.00 - 20.00</t>
        </r>
      </text>
    </comment>
    <comment ref="M73" authorId="1" shapeId="0" xr:uid="{FBF372E6-4626-4280-91DF-0E95070E2593}">
      <text>
        <r>
          <rPr>
            <b/>
            <sz val="9"/>
            <color indexed="81"/>
            <rFont val="Tahoma"/>
            <family val="2"/>
          </rPr>
          <t>Steen Hertin-Sandkær:</t>
        </r>
        <r>
          <rPr>
            <sz val="9"/>
            <color indexed="81"/>
            <rFont val="Tahoma"/>
            <family val="2"/>
          </rPr>
          <t xml:space="preserve">
Nørrebro bibliotek 14.00 - 20.00</t>
        </r>
      </text>
    </comment>
    <comment ref="N73" authorId="1" shapeId="0" xr:uid="{94C2597A-0EF2-4967-A3C7-C7A7E8B6CFA6}">
      <text>
        <r>
          <rPr>
            <b/>
            <sz val="9"/>
            <color indexed="81"/>
            <rFont val="Tahoma"/>
            <family val="2"/>
          </rPr>
          <t>Steen Hertin-Sandkær:</t>
        </r>
        <r>
          <rPr>
            <sz val="9"/>
            <color indexed="81"/>
            <rFont val="Tahoma"/>
            <family val="2"/>
          </rPr>
          <t xml:space="preserve">
Nørrebro bibliotek 14.00 - 20.00</t>
        </r>
      </text>
    </comment>
    <comment ref="O73" authorId="1" shapeId="0" xr:uid="{C55E9092-DD65-44D8-BEB9-1AF396D0D9DD}">
      <text>
        <r>
          <rPr>
            <b/>
            <sz val="9"/>
            <color indexed="81"/>
            <rFont val="Tahoma"/>
            <family val="2"/>
          </rPr>
          <t>Steen Hertin-Sandkær:</t>
        </r>
        <r>
          <rPr>
            <sz val="9"/>
            <color indexed="81"/>
            <rFont val="Tahoma"/>
            <family val="2"/>
          </rPr>
          <t xml:space="preserve">
Nørrebro bibliotek 14.00 - 20.00</t>
        </r>
      </text>
    </comment>
    <comment ref="P73" authorId="1" shapeId="0" xr:uid="{44AEF7E9-24B3-48CC-AE42-A5F5475E657F}">
      <text>
        <r>
          <rPr>
            <b/>
            <sz val="9"/>
            <color indexed="81"/>
            <rFont val="Tahoma"/>
            <family val="2"/>
          </rPr>
          <t>Steen Hertin-Sandkær:</t>
        </r>
        <r>
          <rPr>
            <sz val="9"/>
            <color indexed="81"/>
            <rFont val="Tahoma"/>
            <family val="2"/>
          </rPr>
          <t xml:space="preserve">
Nørrebro bibliotek 14.00 - 20.00</t>
        </r>
      </text>
    </comment>
    <comment ref="Q73" authorId="1" shapeId="0" xr:uid="{9AED4845-330F-47E6-8B86-8D3A7792A57B}">
      <text>
        <r>
          <rPr>
            <b/>
            <sz val="9"/>
            <color indexed="81"/>
            <rFont val="Tahoma"/>
            <family val="2"/>
          </rPr>
          <t>Steen Hertin-Sandkær:</t>
        </r>
        <r>
          <rPr>
            <sz val="9"/>
            <color indexed="81"/>
            <rFont val="Tahoma"/>
            <family val="2"/>
          </rPr>
          <t xml:space="preserve">
Nørrebro bibliotek 14.00 - 20.00</t>
        </r>
      </text>
    </comment>
    <comment ref="Z73" authorId="1" shapeId="0" xr:uid="{850AD702-03F5-4E57-9A50-8D3FDFB76315}">
      <text>
        <r>
          <rPr>
            <b/>
            <sz val="9"/>
            <color indexed="81"/>
            <rFont val="Tahoma"/>
            <family val="2"/>
          </rPr>
          <t>Steen Hertin-Sandkær:</t>
        </r>
        <r>
          <rPr>
            <sz val="9"/>
            <color indexed="81"/>
            <rFont val="Tahoma"/>
            <family val="2"/>
          </rPr>
          <t xml:space="preserve">
Nørrebro bibliotek 14.00 - 20.00</t>
        </r>
      </text>
    </comment>
    <comment ref="AA73" authorId="1" shapeId="0" xr:uid="{57D54EB3-E312-4A5E-BFF1-80ECADE42C62}">
      <text>
        <r>
          <rPr>
            <b/>
            <sz val="9"/>
            <color indexed="81"/>
            <rFont val="Tahoma"/>
            <family val="2"/>
          </rPr>
          <t>Steen Hertin-Sandkær:</t>
        </r>
        <r>
          <rPr>
            <sz val="9"/>
            <color indexed="81"/>
            <rFont val="Tahoma"/>
            <family val="2"/>
          </rPr>
          <t xml:space="preserve">
Nørrebro bibliotek 14.00 - 20.00</t>
        </r>
      </text>
    </comment>
    <comment ref="AB73" authorId="1" shapeId="0" xr:uid="{971BF03C-7A6A-40C4-BFA6-96DE3ADAFBF6}">
      <text>
        <r>
          <rPr>
            <b/>
            <sz val="9"/>
            <color indexed="81"/>
            <rFont val="Tahoma"/>
            <family val="2"/>
          </rPr>
          <t>Steen Hertin-Sandkær:</t>
        </r>
        <r>
          <rPr>
            <sz val="9"/>
            <color indexed="81"/>
            <rFont val="Tahoma"/>
            <family val="2"/>
          </rPr>
          <t xml:space="preserve">
Nørrebro bibliotek 14.00 - 20.00</t>
        </r>
      </text>
    </comment>
    <comment ref="AC73" authorId="1" shapeId="0" xr:uid="{4FE44E42-9B8E-4298-B878-6EC945FE23FD}">
      <text>
        <r>
          <rPr>
            <b/>
            <sz val="9"/>
            <color indexed="81"/>
            <rFont val="Tahoma"/>
            <family val="2"/>
          </rPr>
          <t>Steen Hertin-Sandkær:</t>
        </r>
        <r>
          <rPr>
            <sz val="9"/>
            <color indexed="81"/>
            <rFont val="Tahoma"/>
            <family val="2"/>
          </rPr>
          <t xml:space="preserve">
Nørrebro bibliotek 14.00 - 20.00</t>
        </r>
      </text>
    </comment>
    <comment ref="AD73" authorId="1" shapeId="0" xr:uid="{11DBF869-4627-4A18-9CCB-E161A0609AE1}">
      <text>
        <r>
          <rPr>
            <b/>
            <sz val="9"/>
            <color indexed="81"/>
            <rFont val="Tahoma"/>
            <family val="2"/>
          </rPr>
          <t>Steen Hertin-Sandkær:</t>
        </r>
        <r>
          <rPr>
            <sz val="9"/>
            <color indexed="81"/>
            <rFont val="Tahoma"/>
            <family val="2"/>
          </rPr>
          <t xml:space="preserve">
Nørrebro bibliotek 14.00 - 20.00</t>
        </r>
      </text>
    </comment>
    <comment ref="AE73" authorId="1" shapeId="0" xr:uid="{93667601-E4A5-4170-9CC3-62CF465A34B7}">
      <text>
        <r>
          <rPr>
            <b/>
            <sz val="9"/>
            <color indexed="81"/>
            <rFont val="Tahoma"/>
            <family val="2"/>
          </rPr>
          <t>Steen Hertin-Sandkær:</t>
        </r>
        <r>
          <rPr>
            <sz val="9"/>
            <color indexed="81"/>
            <rFont val="Tahoma"/>
            <family val="2"/>
          </rPr>
          <t xml:space="preserve">
Nørrebro bibliotek 11-15</t>
        </r>
      </text>
    </comment>
    <comment ref="N74" authorId="1" shapeId="0" xr:uid="{1365D69F-ECD2-414D-99CC-3B71D331DC26}">
      <text>
        <r>
          <rPr>
            <b/>
            <sz val="9"/>
            <color indexed="81"/>
            <rFont val="Tahoma"/>
            <family val="2"/>
          </rPr>
          <t>Steen Hertin-Sandkær:</t>
        </r>
        <r>
          <rPr>
            <sz val="9"/>
            <color indexed="81"/>
            <rFont val="Tahoma"/>
            <family val="2"/>
          </rPr>
          <t xml:space="preserve">
Førstehjælps kursus
08.00-12.00</t>
        </r>
      </text>
    </comment>
    <comment ref="AE74" authorId="0" shapeId="0" xr:uid="{38993C1D-A2E8-4DAC-AA1C-BC5CC32A856D}">
      <text>
        <r>
          <rPr>
            <b/>
            <sz val="9"/>
            <color indexed="81"/>
            <rFont val="Tahoma"/>
            <family val="2"/>
          </rPr>
          <t>Steen Hertin:</t>
        </r>
        <r>
          <rPr>
            <sz val="9"/>
            <color indexed="81"/>
            <rFont val="Tahoma"/>
            <family val="2"/>
          </rPr>
          <t xml:space="preserve">
Ottiliavej 20.30 - 08.30</t>
        </r>
      </text>
    </comment>
    <comment ref="AF74" authorId="0" shapeId="0" xr:uid="{E1A5E373-E296-419E-91BE-F0B742300BA8}">
      <text>
        <r>
          <rPr>
            <b/>
            <sz val="9"/>
            <color indexed="81"/>
            <rFont val="Tahoma"/>
            <family val="2"/>
          </rPr>
          <t>Steen Hertin:</t>
        </r>
        <r>
          <rPr>
            <sz val="9"/>
            <color indexed="81"/>
            <rFont val="Tahoma"/>
            <family val="2"/>
          </rPr>
          <t xml:space="preserve">
Ottiliavej 20.30 - 08.30</t>
        </r>
      </text>
    </comment>
    <comment ref="V75" authorId="1" shapeId="0" xr:uid="{CDB5A736-2DB1-4C3B-BD0E-24D941961694}">
      <text>
        <r>
          <rPr>
            <b/>
            <sz val="9"/>
            <color indexed="81"/>
            <rFont val="Tahoma"/>
            <family val="2"/>
          </rPr>
          <t>Steen Hertin-Sandkær:</t>
        </r>
        <r>
          <rPr>
            <sz val="9"/>
            <color indexed="81"/>
            <rFont val="Tahoma"/>
            <family val="2"/>
          </rPr>
          <t xml:space="preserve">
25 på OA</t>
        </r>
      </text>
    </comment>
    <comment ref="Z75" authorId="0" shapeId="0" xr:uid="{BC2F9F86-EB57-4382-ACB2-CBA9467A98DC}">
      <text>
        <r>
          <rPr>
            <b/>
            <sz val="9"/>
            <color indexed="81"/>
            <rFont val="Tahoma"/>
            <family val="2"/>
          </rPr>
          <t>Steen Hertin:</t>
        </r>
        <r>
          <rPr>
            <sz val="9"/>
            <color indexed="81"/>
            <rFont val="Tahoma"/>
            <family val="2"/>
          </rPr>
          <t xml:space="preserve">
Oplæring det han mangler i kredsvagt + huset</t>
        </r>
      </text>
    </comment>
    <comment ref="AA75" authorId="0" shapeId="0" xr:uid="{02E5A023-EE8C-48C0-994B-48539B12CE4C}">
      <text>
        <r>
          <rPr>
            <b/>
            <sz val="9"/>
            <color indexed="81"/>
            <rFont val="Tahoma"/>
            <family val="2"/>
          </rPr>
          <t>Steen Hertin:</t>
        </r>
        <r>
          <rPr>
            <sz val="9"/>
            <color indexed="81"/>
            <rFont val="Tahoma"/>
            <family val="2"/>
          </rPr>
          <t xml:space="preserve">
Oplæring det han mangler i kredsvagt + huset</t>
        </r>
      </text>
    </comment>
    <comment ref="AB75" authorId="0" shapeId="0" xr:uid="{D1598F1A-23D5-4FD1-8C4C-53A79580A8B7}">
      <text>
        <r>
          <rPr>
            <b/>
            <sz val="9"/>
            <color indexed="81"/>
            <rFont val="Tahoma"/>
            <family val="2"/>
          </rPr>
          <t>Steen Hertin:</t>
        </r>
        <r>
          <rPr>
            <sz val="9"/>
            <color indexed="81"/>
            <rFont val="Tahoma"/>
            <family val="2"/>
          </rPr>
          <t xml:space="preserve">
Oplæring det han mangler i kredsvagt + huset</t>
        </r>
      </text>
    </comment>
    <comment ref="AC75" authorId="0" shapeId="0" xr:uid="{DF22AF98-4221-41C8-BD6A-B58F3C505177}">
      <text>
        <r>
          <rPr>
            <b/>
            <sz val="9"/>
            <color indexed="81"/>
            <rFont val="Tahoma"/>
            <family val="2"/>
          </rPr>
          <t>Steen Hertin:</t>
        </r>
        <r>
          <rPr>
            <sz val="9"/>
            <color indexed="81"/>
            <rFont val="Tahoma"/>
            <family val="2"/>
          </rPr>
          <t xml:space="preserve">
Oplæring det han mangler i kredsvagt + huset</t>
        </r>
      </text>
    </comment>
    <comment ref="AD75" authorId="0" shapeId="0" xr:uid="{63B1D5DB-58AC-470D-854D-E5BC9164730A}">
      <text>
        <r>
          <rPr>
            <b/>
            <sz val="9"/>
            <color indexed="81"/>
            <rFont val="Tahoma"/>
            <family val="2"/>
          </rPr>
          <t>Steen Hertin:</t>
        </r>
        <r>
          <rPr>
            <sz val="9"/>
            <color indexed="81"/>
            <rFont val="Tahoma"/>
            <family val="2"/>
          </rPr>
          <t xml:space="preserve">
Oplæring det han mangler i kredsvagt + huset</t>
        </r>
      </text>
    </comment>
    <comment ref="E79" authorId="1" shapeId="0" xr:uid="{E793E798-EF73-465B-BBBA-60D8DB6966F9}">
      <text>
        <r>
          <rPr>
            <b/>
            <sz val="9"/>
            <color indexed="81"/>
            <rFont val="Tahoma"/>
            <family val="2"/>
          </rPr>
          <t>Steen Hertin-Sandkær:</t>
        </r>
        <r>
          <rPr>
            <sz val="9"/>
            <color indexed="81"/>
            <rFont val="Tahoma"/>
            <family val="2"/>
          </rPr>
          <t xml:space="preserve">
Nørrebro bibliotek 14.00 - 20.00</t>
        </r>
      </text>
    </comment>
    <comment ref="F79" authorId="0" shapeId="0" xr:uid="{48C18AA5-8F14-4064-AC6E-5722AEE8B325}">
      <text>
        <r>
          <rPr>
            <b/>
            <sz val="9"/>
            <color indexed="81"/>
            <rFont val="Tahoma"/>
            <family val="2"/>
          </rPr>
          <t>Steen Hertin:</t>
        </r>
        <r>
          <rPr>
            <sz val="9"/>
            <color indexed="81"/>
            <rFont val="Tahoma"/>
            <family val="2"/>
          </rPr>
          <t xml:space="preserve">
HCK 13.00 - 15.45</t>
        </r>
      </text>
    </comment>
    <comment ref="O79" authorId="0" shapeId="0" xr:uid="{1C1E2789-27E2-4CA7-BD9D-39BE35D41ECF}">
      <text>
        <r>
          <rPr>
            <b/>
            <sz val="9"/>
            <color indexed="81"/>
            <rFont val="Tahoma"/>
            <family val="2"/>
          </rPr>
          <t>Steen Hertin:</t>
        </r>
        <r>
          <rPr>
            <sz val="9"/>
            <color indexed="81"/>
            <rFont val="Tahoma"/>
            <family val="2"/>
          </rPr>
          <t xml:space="preserve">
Handicap center 12.45 - 17.15</t>
        </r>
      </text>
    </comment>
    <comment ref="P79" authorId="0" shapeId="0" xr:uid="{6B2D10ED-A65D-450B-A4FB-62C996FCCB65}">
      <text>
        <r>
          <rPr>
            <b/>
            <sz val="9"/>
            <color indexed="81"/>
            <rFont val="Tahoma"/>
            <family val="2"/>
          </rPr>
          <t>Steen Hertin:</t>
        </r>
        <r>
          <rPr>
            <sz val="9"/>
            <color indexed="81"/>
            <rFont val="Tahoma"/>
            <family val="2"/>
          </rPr>
          <t xml:space="preserve">
Handicap center 08.45-14.15</t>
        </r>
      </text>
    </comment>
    <comment ref="U79" authorId="5" shapeId="0" xr:uid="{F8C8BA5F-77FC-4648-901D-0501EEF54328}">
      <text>
        <r>
          <rPr>
            <b/>
            <sz val="9"/>
            <color indexed="81"/>
            <rFont val="Tahoma"/>
            <family val="2"/>
          </rPr>
          <t>Nikolaj Langtin Pamhede:</t>
        </r>
        <r>
          <rPr>
            <sz val="9"/>
            <color indexed="81"/>
            <rFont val="Tahoma"/>
            <family val="2"/>
          </rPr>
          <t xml:space="preserve">
Brandvagt 7:00-17:30</t>
        </r>
      </text>
    </comment>
    <comment ref="V79" authorId="0" shapeId="0" xr:uid="{506E97FC-6892-4FB0-8227-8A775E0150F8}">
      <text>
        <r>
          <rPr>
            <b/>
            <sz val="9"/>
            <color indexed="81"/>
            <rFont val="Tahoma"/>
            <family val="2"/>
          </rPr>
          <t>Steen Hertin:</t>
        </r>
        <r>
          <rPr>
            <sz val="9"/>
            <color indexed="81"/>
            <rFont val="Tahoma"/>
            <family val="2"/>
          </rPr>
          <t xml:space="preserve">
Ottiliavej 20.30 - 08.30</t>
        </r>
      </text>
    </comment>
    <comment ref="X79" authorId="0" shapeId="0" xr:uid="{519F9147-4426-45C7-BAD3-EFE902659F84}">
      <text>
        <r>
          <rPr>
            <b/>
            <sz val="9"/>
            <color indexed="81"/>
            <rFont val="Tahoma"/>
            <family val="2"/>
          </rPr>
          <t>Steen Hertin:</t>
        </r>
        <r>
          <rPr>
            <sz val="9"/>
            <color indexed="81"/>
            <rFont val="Tahoma"/>
            <family val="2"/>
          </rPr>
          <t xml:space="preserve">
20:30 - 08:30 OA Ottiliavej</t>
        </r>
      </text>
    </comment>
    <comment ref="Y79" authorId="0" shapeId="0" xr:uid="{BE8FF558-4702-4004-87AA-84958CD25AA2}">
      <text>
        <r>
          <rPr>
            <b/>
            <sz val="9"/>
            <color indexed="81"/>
            <rFont val="Tahoma"/>
            <family val="2"/>
          </rPr>
          <t>Steen Hertin:</t>
        </r>
        <r>
          <rPr>
            <sz val="9"/>
            <color indexed="81"/>
            <rFont val="Tahoma"/>
            <family val="2"/>
          </rPr>
          <t xml:space="preserve">
Ottiliavej 20.30 - 08.30</t>
        </r>
      </text>
    </comment>
    <comment ref="AB79" authorId="1" shapeId="0" xr:uid="{313CADF1-0276-46FA-AF41-BB919B014907}">
      <text>
        <r>
          <rPr>
            <b/>
            <sz val="9"/>
            <color indexed="81"/>
            <rFont val="Tahoma"/>
            <family val="2"/>
          </rPr>
          <t>Steen Hertin-Sandkær:</t>
        </r>
        <r>
          <rPr>
            <sz val="9"/>
            <color indexed="81"/>
            <rFont val="Tahoma"/>
            <family val="2"/>
          </rPr>
          <t xml:space="preserve">
Arrangement aften 17.30 - 00.00</t>
        </r>
      </text>
    </comment>
    <comment ref="AC79" authorId="0" shapeId="0" xr:uid="{7DA97ADF-4140-4AD9-8030-B2D49184BF2A}">
      <text>
        <r>
          <rPr>
            <b/>
            <sz val="9"/>
            <color indexed="81"/>
            <rFont val="Tahoma"/>
            <family val="2"/>
          </rPr>
          <t>Steen Hertin:</t>
        </r>
        <r>
          <rPr>
            <sz val="9"/>
            <color indexed="81"/>
            <rFont val="Tahoma"/>
            <family val="2"/>
          </rPr>
          <t xml:space="preserve">
Fuglebakken kl. 16.30 - 20.00.
Møder på Rådhuset kl. 15.00</t>
        </r>
      </text>
    </comment>
    <comment ref="AD79" authorId="5" shapeId="0" xr:uid="{9100BD7C-A775-40ED-BB97-7121F7DEA483}">
      <text>
        <r>
          <rPr>
            <b/>
            <sz val="9"/>
            <color indexed="81"/>
            <rFont val="Tahoma"/>
            <family val="2"/>
          </rPr>
          <t>Nikolaj Langtin Pamhede:</t>
        </r>
        <r>
          <rPr>
            <sz val="9"/>
            <color indexed="81"/>
            <rFont val="Tahoma"/>
            <family val="2"/>
          </rPr>
          <t xml:space="preserve">
Møder som M vagt og på rådhuset bagefter til kl 16</t>
        </r>
      </text>
    </comment>
    <comment ref="C80" authorId="0" shapeId="0" xr:uid="{50635EAA-7A1F-4C45-B6E9-1FCA71C304E9}">
      <text>
        <r>
          <rPr>
            <b/>
            <sz val="9"/>
            <color indexed="81"/>
            <rFont val="Tahoma"/>
            <family val="2"/>
          </rPr>
          <t>Steen Hertin:</t>
        </r>
        <r>
          <rPr>
            <sz val="9"/>
            <color indexed="81"/>
            <rFont val="Tahoma"/>
            <family val="2"/>
          </rPr>
          <t xml:space="preserve">
Rundviser</t>
        </r>
      </text>
    </comment>
    <comment ref="N80" authorId="1" shapeId="0" xr:uid="{DD31987D-372B-43C7-B976-3F8256D37710}">
      <text>
        <r>
          <rPr>
            <b/>
            <sz val="9"/>
            <color indexed="81"/>
            <rFont val="Tahoma"/>
            <family val="2"/>
          </rPr>
          <t>Steen Hertin-Sandkær:</t>
        </r>
        <r>
          <rPr>
            <sz val="9"/>
            <color indexed="81"/>
            <rFont val="Tahoma"/>
            <family val="2"/>
          </rPr>
          <t xml:space="preserve">
Førstehjælps kursus
08.00-12.00</t>
        </r>
      </text>
    </comment>
    <comment ref="T80" authorId="0" shapeId="0" xr:uid="{1A063B7E-24CF-4516-BEF6-118B9A171286}">
      <text>
        <r>
          <rPr>
            <b/>
            <sz val="9"/>
            <color indexed="81"/>
            <rFont val="Tahoma"/>
            <family val="2"/>
          </rPr>
          <t>Steen Hertin:</t>
        </r>
        <r>
          <rPr>
            <sz val="9"/>
            <color indexed="81"/>
            <rFont val="Tahoma"/>
            <family val="2"/>
          </rPr>
          <t xml:space="preserve">
Brandvagt 06.30 - 17.30</t>
        </r>
      </text>
    </comment>
    <comment ref="U80" authorId="0" shapeId="0" xr:uid="{F376EB60-F6B2-4194-B5A2-6C2A83DF3CCC}">
      <text>
        <r>
          <rPr>
            <b/>
            <sz val="9"/>
            <color indexed="81"/>
            <rFont val="Tahoma"/>
            <family val="2"/>
          </rPr>
          <t>Steen Hertin:</t>
        </r>
        <r>
          <rPr>
            <sz val="9"/>
            <color indexed="81"/>
            <rFont val="Tahoma"/>
            <family val="2"/>
          </rPr>
          <t xml:space="preserve">
Brandvagt 07.00 - 17.30</t>
        </r>
      </text>
    </comment>
    <comment ref="V80" authorId="0" shapeId="0" xr:uid="{4EBD66C3-1E7A-4C2E-9C81-095FC707460A}">
      <text>
        <r>
          <rPr>
            <b/>
            <sz val="9"/>
            <color indexed="81"/>
            <rFont val="Tahoma"/>
            <family val="2"/>
          </rPr>
          <t>Steen Hertin:
Brandvagt 07.00 - 17.30</t>
        </r>
      </text>
    </comment>
    <comment ref="N81" authorId="0" shapeId="0" xr:uid="{31115699-D577-4A33-ADB4-4F1B793AA75B}">
      <text>
        <r>
          <rPr>
            <b/>
            <sz val="9"/>
            <color indexed="81"/>
            <rFont val="Tahoma"/>
            <family val="2"/>
          </rPr>
          <t>Steen Hertin:</t>
        </r>
        <r>
          <rPr>
            <sz val="9"/>
            <color indexed="81"/>
            <rFont val="Tahoma"/>
            <family val="2"/>
          </rPr>
          <t xml:space="preserve">
Møder 7,45 - 15.30 og dækker dagvagter.</t>
        </r>
      </text>
    </comment>
    <comment ref="O81" authorId="1" shapeId="0" xr:uid="{BAD2E421-6436-4263-BE17-F1C59D17DA30}">
      <text>
        <r>
          <rPr>
            <b/>
            <sz val="9"/>
            <color indexed="81"/>
            <rFont val="Tahoma"/>
            <family val="2"/>
          </rPr>
          <t>Steen Hertin-Sandkær:</t>
        </r>
        <r>
          <rPr>
            <sz val="9"/>
            <color indexed="81"/>
            <rFont val="Tahoma"/>
            <family val="2"/>
          </rPr>
          <t xml:space="preserve">
Skal gå kl. 16.00</t>
        </r>
      </text>
    </comment>
    <comment ref="P81" authorId="1" shapeId="0" xr:uid="{FA92A6D9-4DF3-4D88-A986-8AEC90E48981}">
      <text>
        <r>
          <rPr>
            <b/>
            <sz val="9"/>
            <color indexed="81"/>
            <rFont val="Tahoma"/>
            <family val="2"/>
          </rPr>
          <t>Steen Hertin-Sandkær:</t>
        </r>
        <r>
          <rPr>
            <sz val="9"/>
            <color indexed="81"/>
            <rFont val="Tahoma"/>
            <family val="2"/>
          </rPr>
          <t xml:space="preserve">
Møder 08.00 - 14.15 og dækker dagvagter.</t>
        </r>
      </text>
    </comment>
    <comment ref="E82" authorId="0" shapeId="0" xr:uid="{FC873FC1-AA30-4790-A060-D681D2084AE4}">
      <text>
        <r>
          <rPr>
            <b/>
            <sz val="9"/>
            <color indexed="81"/>
            <rFont val="Tahoma"/>
            <family val="2"/>
          </rPr>
          <t>Steen Hertin:</t>
        </r>
        <r>
          <rPr>
            <sz val="9"/>
            <color indexed="81"/>
            <rFont val="Tahoma"/>
            <family val="2"/>
          </rPr>
          <t xml:space="preserve">
Ottiliavej 20.30 - 08.30</t>
        </r>
      </text>
    </comment>
    <comment ref="F82" authorId="0" shapeId="0" xr:uid="{BDB12C1F-92CF-43CF-BF24-501816E86D36}">
      <text>
        <r>
          <rPr>
            <b/>
            <sz val="9"/>
            <color indexed="81"/>
            <rFont val="Tahoma"/>
            <family val="2"/>
          </rPr>
          <t>Steen Hertin:</t>
        </r>
        <r>
          <rPr>
            <sz val="9"/>
            <color indexed="81"/>
            <rFont val="Tahoma"/>
            <family val="2"/>
          </rPr>
          <t xml:space="preserve">
Ottiliavej 20.30 - 08.30</t>
        </r>
      </text>
    </comment>
    <comment ref="G82" authorId="0" shapeId="0" xr:uid="{A5F79024-2BE1-45BF-AA4D-DD435B0774D7}">
      <text>
        <r>
          <rPr>
            <b/>
            <sz val="9"/>
            <color indexed="81"/>
            <rFont val="Tahoma"/>
            <family val="2"/>
          </rPr>
          <t>Steen Hertin:</t>
        </r>
        <r>
          <rPr>
            <sz val="9"/>
            <color indexed="81"/>
            <rFont val="Tahoma"/>
            <family val="2"/>
          </rPr>
          <t xml:space="preserve">
Ottiliavej 20.30 - 08.30</t>
        </r>
      </text>
    </comment>
    <comment ref="P82" authorId="1" shapeId="0" xr:uid="{491FA6A1-6A4C-4B99-BDE0-17558B6DA218}">
      <text>
        <r>
          <rPr>
            <b/>
            <sz val="9"/>
            <color indexed="81"/>
            <rFont val="Tahoma"/>
            <family val="2"/>
          </rPr>
          <t>Steen Hertin-Sandkær:</t>
        </r>
        <r>
          <rPr>
            <sz val="9"/>
            <color indexed="81"/>
            <rFont val="Tahoma"/>
            <family val="2"/>
          </rPr>
          <t xml:space="preserve">
Møder til grus 17.00 - 21.00</t>
        </r>
      </text>
    </comment>
    <comment ref="Z82" authorId="0" shapeId="0" xr:uid="{FD9266C9-5264-45EC-94E2-DC685639FABC}">
      <text>
        <r>
          <rPr>
            <b/>
            <sz val="9"/>
            <color indexed="81"/>
            <rFont val="Tahoma"/>
            <family val="2"/>
          </rPr>
          <t>Steen Hertin:</t>
        </r>
        <r>
          <rPr>
            <sz val="9"/>
            <color indexed="81"/>
            <rFont val="Tahoma"/>
            <family val="2"/>
          </rPr>
          <t xml:space="preserve">
Ottiliavej 20.30 - 08.30</t>
        </r>
      </text>
    </comment>
    <comment ref="AA82" authorId="0" shapeId="0" xr:uid="{0AE7F53C-02AB-4545-B822-A32E9BB583DA}">
      <text>
        <r>
          <rPr>
            <b/>
            <sz val="9"/>
            <color indexed="81"/>
            <rFont val="Tahoma"/>
            <family val="2"/>
          </rPr>
          <t>Steen Hertin:</t>
        </r>
        <r>
          <rPr>
            <sz val="9"/>
            <color indexed="81"/>
            <rFont val="Tahoma"/>
            <family val="2"/>
          </rPr>
          <t xml:space="preserve">
Ottiliavej 20.30 - 08.30</t>
        </r>
      </text>
    </comment>
    <comment ref="AB82" authorId="0" shapeId="0" xr:uid="{C5771F59-74D9-4680-8DC2-E9B17111A756}">
      <text>
        <r>
          <rPr>
            <b/>
            <sz val="9"/>
            <color indexed="81"/>
            <rFont val="Tahoma"/>
            <family val="2"/>
          </rPr>
          <t>Steen Hertin:</t>
        </r>
        <r>
          <rPr>
            <sz val="9"/>
            <color indexed="81"/>
            <rFont val="Tahoma"/>
            <family val="2"/>
          </rPr>
          <t xml:space="preserve">
Ottiliavej 20.30 - 08.30</t>
        </r>
      </text>
    </comment>
    <comment ref="AC82" authorId="0" shapeId="0" xr:uid="{FA8D7F4D-1DD9-4BF4-BDCD-980CB5B46EE6}">
      <text>
        <r>
          <rPr>
            <b/>
            <sz val="9"/>
            <color indexed="81"/>
            <rFont val="Tahoma"/>
            <family val="2"/>
          </rPr>
          <t>Steen Hertin:</t>
        </r>
        <r>
          <rPr>
            <sz val="9"/>
            <color indexed="81"/>
            <rFont val="Tahoma"/>
            <family val="2"/>
          </rPr>
          <t xml:space="preserve">
Ottiliavej 20.30 - 08.30</t>
        </r>
      </text>
    </comment>
    <comment ref="AD82" authorId="0" shapeId="0" xr:uid="{5278FEF7-B8CD-499E-9DB6-F25826AD8000}">
      <text>
        <r>
          <rPr>
            <b/>
            <sz val="9"/>
            <color indexed="81"/>
            <rFont val="Tahoma"/>
            <family val="2"/>
          </rPr>
          <t>Steen Hertin:</t>
        </r>
        <r>
          <rPr>
            <sz val="9"/>
            <color indexed="81"/>
            <rFont val="Tahoma"/>
            <family val="2"/>
          </rPr>
          <t xml:space="preserve">
Ottiliavej 20.30 - 08.30</t>
        </r>
      </text>
    </comment>
    <comment ref="E83" authorId="5" shapeId="0" xr:uid="{E093BB0A-F617-4F58-97EA-6E01AC85E0B0}">
      <text>
        <r>
          <rPr>
            <b/>
            <sz val="9"/>
            <color indexed="81"/>
            <rFont val="Tahoma"/>
            <family val="2"/>
          </rPr>
          <t>Nikolaj Langtin Pamhede:</t>
        </r>
        <r>
          <rPr>
            <sz val="9"/>
            <color indexed="81"/>
            <rFont val="Tahoma"/>
            <family val="2"/>
          </rPr>
          <t xml:space="preserve">
Møder i bagporten kl 9</t>
        </r>
      </text>
    </comment>
    <comment ref="T83" authorId="0" shapeId="0" xr:uid="{391331AF-3CC7-464C-B84C-6F7256E931F3}">
      <text>
        <r>
          <rPr>
            <b/>
            <sz val="9"/>
            <color indexed="81"/>
            <rFont val="Tahoma"/>
            <family val="2"/>
          </rPr>
          <t>Steen Hertin:</t>
        </r>
        <r>
          <rPr>
            <sz val="9"/>
            <color indexed="81"/>
            <rFont val="Tahoma"/>
            <family val="2"/>
          </rPr>
          <t xml:space="preserve">
Brandvagt 06.30 - 17.30</t>
        </r>
      </text>
    </comment>
    <comment ref="U83" authorId="0" shapeId="0" xr:uid="{CD5450E7-3C66-49B5-B7AC-C990288FEC20}">
      <text>
        <r>
          <rPr>
            <b/>
            <sz val="9"/>
            <color indexed="81"/>
            <rFont val="Tahoma"/>
            <family val="2"/>
          </rPr>
          <t>Steen Hertin:
Brandvagt 07.00 - 17.30</t>
        </r>
      </text>
    </comment>
    <comment ref="V83" authorId="0" shapeId="0" xr:uid="{1AAFB882-23D7-4EEB-A819-BE5C8DEC3207}">
      <text>
        <r>
          <rPr>
            <b/>
            <sz val="9"/>
            <color indexed="81"/>
            <rFont val="Tahoma"/>
            <family val="2"/>
          </rPr>
          <t>Steen Hertin:
Brandvagt 07.00 - 17.30</t>
        </r>
      </text>
    </comment>
    <comment ref="W83" authorId="0" shapeId="0" xr:uid="{483BF5C1-1CED-4CBE-8F4C-D55F48768564}">
      <text>
        <r>
          <rPr>
            <b/>
            <sz val="9"/>
            <color indexed="81"/>
            <rFont val="Tahoma"/>
            <family val="2"/>
          </rPr>
          <t>Steen Hertin:
Brandvagt 07.00 - 17.30</t>
        </r>
      </text>
    </comment>
    <comment ref="E84" authorId="5" shapeId="0" xr:uid="{8C3DD5BB-EC27-4C47-B5AE-3E5105FA21EB}">
      <text>
        <r>
          <rPr>
            <b/>
            <sz val="9"/>
            <color indexed="81"/>
            <rFont val="Tahoma"/>
            <family val="2"/>
          </rPr>
          <t>Nikolaj Langtin Pamhede:</t>
        </r>
        <r>
          <rPr>
            <sz val="9"/>
            <color indexed="81"/>
            <rFont val="Tahoma"/>
            <family val="2"/>
          </rPr>
          <t xml:space="preserve">
Møder i bagporten kl 9</t>
        </r>
      </text>
    </comment>
    <comment ref="T84" authorId="0" shapeId="0" xr:uid="{3C052DB7-8F54-4029-ACB0-4DE48ACDAAB9}">
      <text>
        <r>
          <rPr>
            <b/>
            <sz val="9"/>
            <color indexed="81"/>
            <rFont val="Tahoma"/>
            <family val="2"/>
          </rPr>
          <t>Steen Hertin:</t>
        </r>
        <r>
          <rPr>
            <sz val="9"/>
            <color indexed="81"/>
            <rFont val="Tahoma"/>
            <family val="2"/>
          </rPr>
          <t xml:space="preserve">
Brandvagt 06.30 - 17.30</t>
        </r>
      </text>
    </comment>
    <comment ref="U84" authorId="0" shapeId="0" xr:uid="{FF5AE7E4-A282-46A9-BA9E-A74C94481260}">
      <text>
        <r>
          <rPr>
            <b/>
            <sz val="9"/>
            <color indexed="81"/>
            <rFont val="Tahoma"/>
            <family val="2"/>
          </rPr>
          <t>Steen Hertin:
Brandvagt 07.00 - 17.30</t>
        </r>
        <r>
          <rPr>
            <sz val="9"/>
            <color indexed="81"/>
            <rFont val="Tahoma"/>
            <family val="2"/>
          </rPr>
          <t>0</t>
        </r>
      </text>
    </comment>
    <comment ref="V84" authorId="0" shapeId="0" xr:uid="{34DE60D3-A96E-4ADC-B7AE-C5516BF0FDF5}">
      <text>
        <r>
          <rPr>
            <b/>
            <sz val="9"/>
            <color indexed="81"/>
            <rFont val="Tahoma"/>
            <family val="2"/>
          </rPr>
          <t>Steen Hertin:
Brandvagt 07.00 - 17.30</t>
        </r>
      </text>
    </comment>
    <comment ref="W84" authorId="0" shapeId="0" xr:uid="{847673DA-4283-4559-AAEB-957294430F35}">
      <text>
        <r>
          <rPr>
            <b/>
            <sz val="9"/>
            <color indexed="81"/>
            <rFont val="Tahoma"/>
            <family val="2"/>
          </rPr>
          <t>Steen Hertin:
Brandvagt 07.00 - 17.30</t>
        </r>
      </text>
    </comment>
    <comment ref="AB84" authorId="1" shapeId="0" xr:uid="{786000F1-C25F-4E94-B01B-4DBF2690A831}">
      <text>
        <r>
          <rPr>
            <b/>
            <sz val="9"/>
            <color indexed="81"/>
            <rFont val="Tahoma"/>
            <family val="2"/>
          </rPr>
          <t>Steen Hertin-Sandkær:</t>
        </r>
        <r>
          <rPr>
            <sz val="9"/>
            <color indexed="81"/>
            <rFont val="Tahoma"/>
            <family val="2"/>
          </rPr>
          <t xml:space="preserve">
Arrangement aften</t>
        </r>
      </text>
    </comment>
    <comment ref="E85" authorId="5" shapeId="0" xr:uid="{563993C7-3440-42AD-A66C-A8283D9E7915}">
      <text>
        <r>
          <rPr>
            <b/>
            <sz val="9"/>
            <color indexed="81"/>
            <rFont val="Tahoma"/>
            <family val="2"/>
          </rPr>
          <t>Nikolaj Langtin Pamhede:</t>
        </r>
        <r>
          <rPr>
            <sz val="9"/>
            <color indexed="81"/>
            <rFont val="Tahoma"/>
            <family val="2"/>
          </rPr>
          <t xml:space="preserve">
Møder i bagporten kl 9</t>
        </r>
      </text>
    </comment>
    <comment ref="P86" authorId="1" shapeId="0" xr:uid="{8BAC75CD-E66B-485F-AEE6-9E0FB3CB6B07}">
      <text>
        <r>
          <rPr>
            <b/>
            <sz val="9"/>
            <color indexed="81"/>
            <rFont val="Tahoma"/>
            <family val="2"/>
          </rPr>
          <t>Steen Hertin-Sandkær:</t>
        </r>
        <r>
          <rPr>
            <sz val="9"/>
            <color indexed="81"/>
            <rFont val="Tahoma"/>
            <family val="2"/>
          </rPr>
          <t xml:space="preserve">
Førstehjælps kursus
08.00-12.00 derefter 4-vagt</t>
        </r>
      </text>
    </comment>
    <comment ref="T86" authorId="4" shapeId="0" xr:uid="{8C7BEF84-91C4-4619-A48F-9087E1FEFF55}">
      <text>
        <r>
          <rPr>
            <b/>
            <sz val="9"/>
            <color indexed="81"/>
            <rFont val="Tahoma"/>
            <family val="2"/>
          </rPr>
          <t>Thomas Holm:</t>
        </r>
        <r>
          <rPr>
            <sz val="9"/>
            <color indexed="81"/>
            <rFont val="Tahoma"/>
            <family val="2"/>
          </rPr>
          <t xml:space="preserve">
69-vagt</t>
        </r>
      </text>
    </comment>
    <comment ref="U86" authorId="1" shapeId="0" xr:uid="{B0AE3055-32A8-4826-86EE-DDF03F77E353}">
      <text>
        <r>
          <rPr>
            <b/>
            <sz val="9"/>
            <color indexed="81"/>
            <rFont val="Tahoma"/>
            <family val="2"/>
          </rPr>
          <t>Steen Hertin-Sandkær:</t>
        </r>
        <r>
          <rPr>
            <sz val="9"/>
            <color indexed="81"/>
            <rFont val="Tahoma"/>
            <family val="2"/>
          </rPr>
          <t xml:space="preserve">
1-vagt på OA</t>
        </r>
      </text>
    </comment>
    <comment ref="V86" authorId="1" shapeId="0" xr:uid="{6C686823-D0A8-4ECD-AFB6-6BBB729DD0D5}">
      <text>
        <r>
          <rPr>
            <b/>
            <sz val="9"/>
            <color indexed="81"/>
            <rFont val="Tahoma"/>
            <family val="2"/>
          </rPr>
          <t>Steen Hertin-Sandkær:</t>
        </r>
        <r>
          <rPr>
            <sz val="9"/>
            <color indexed="81"/>
            <rFont val="Tahoma"/>
            <family val="2"/>
          </rPr>
          <t xml:space="preserve">
1-vagt på OA</t>
        </r>
      </text>
    </comment>
    <comment ref="W86" authorId="4" shapeId="0" xr:uid="{DAED3116-AE72-4AE5-8045-A3BBB513C41B}">
      <text>
        <r>
          <rPr>
            <b/>
            <sz val="9"/>
            <color indexed="81"/>
            <rFont val="Tahoma"/>
            <family val="2"/>
          </rPr>
          <t>Thomas Holm:</t>
        </r>
        <r>
          <rPr>
            <sz val="9"/>
            <color indexed="81"/>
            <rFont val="Tahoma"/>
            <family val="2"/>
          </rPr>
          <t xml:space="preserve">
GRUS</t>
        </r>
      </text>
    </comment>
    <comment ref="P96" authorId="1" shapeId="0" xr:uid="{AD9A3784-61E5-40E8-9CE3-005FC811EC8F}">
      <text>
        <r>
          <rPr>
            <b/>
            <sz val="9"/>
            <color indexed="81"/>
            <rFont val="Tahoma"/>
            <family val="2"/>
          </rPr>
          <t>Steen Hertin-Sandkær:</t>
        </r>
        <r>
          <rPr>
            <sz val="9"/>
            <color indexed="81"/>
            <rFont val="Tahoma"/>
            <family val="2"/>
          </rPr>
          <t xml:space="preserve">
Grus</t>
        </r>
      </text>
    </comment>
    <comment ref="F97" authorId="5" shapeId="0" xr:uid="{E5A6CA0F-AA8E-43DA-9F0F-5C27D4173824}">
      <text>
        <r>
          <rPr>
            <b/>
            <sz val="9"/>
            <color indexed="81"/>
            <rFont val="Tahoma"/>
            <family val="2"/>
          </rPr>
          <t>Nikolaj Langtin Pamhede:</t>
        </r>
        <r>
          <rPr>
            <sz val="9"/>
            <color indexed="81"/>
            <rFont val="Tahoma"/>
            <family val="2"/>
          </rPr>
          <t xml:space="preserve">
Skole</t>
        </r>
      </text>
    </comment>
    <comment ref="M97" authorId="5" shapeId="0" xr:uid="{F7DD9C48-9E7C-4873-BD43-C50F18D5E421}">
      <text>
        <r>
          <rPr>
            <b/>
            <sz val="9"/>
            <color indexed="81"/>
            <rFont val="Tahoma"/>
            <family val="2"/>
          </rPr>
          <t>Nikolaj Langtin Pamhede:</t>
        </r>
        <r>
          <rPr>
            <sz val="9"/>
            <color indexed="81"/>
            <rFont val="Tahoma"/>
            <family val="2"/>
          </rPr>
          <t xml:space="preserve">
Skole</t>
        </r>
      </text>
    </comment>
    <comment ref="T97" authorId="5" shapeId="0" xr:uid="{5103B64E-5B5A-422E-9EF2-45B09B24F7C3}">
      <text>
        <r>
          <rPr>
            <b/>
            <sz val="9"/>
            <color indexed="81"/>
            <rFont val="Tahoma"/>
            <family val="2"/>
          </rPr>
          <t>Nikolaj Langtin Pamhede:</t>
        </r>
        <r>
          <rPr>
            <sz val="9"/>
            <color indexed="81"/>
            <rFont val="Tahoma"/>
            <family val="2"/>
          </rPr>
          <t xml:space="preserve">
Skole</t>
        </r>
      </text>
    </comment>
    <comment ref="Z97" authorId="5" shapeId="0" xr:uid="{CE6C00D3-B258-4930-9DA4-37D419527A27}">
      <text>
        <r>
          <rPr>
            <b/>
            <sz val="9"/>
            <color indexed="81"/>
            <rFont val="Tahoma"/>
            <family val="2"/>
          </rPr>
          <t>Nikolaj Langtin Pamhede:</t>
        </r>
        <r>
          <rPr>
            <sz val="9"/>
            <color indexed="81"/>
            <rFont val="Tahoma"/>
            <family val="2"/>
          </rPr>
          <t xml:space="preserve">
Kun dagvagt</t>
        </r>
      </text>
    </comment>
    <comment ref="AA97" authorId="5" shapeId="0" xr:uid="{DBAB9AC6-EFBF-427F-8902-9EC599CDC3F8}">
      <text>
        <r>
          <rPr>
            <b/>
            <sz val="9"/>
            <color indexed="81"/>
            <rFont val="Tahoma"/>
            <family val="2"/>
          </rPr>
          <t>Nikolaj Langtin Pamhede:</t>
        </r>
        <r>
          <rPr>
            <sz val="9"/>
            <color indexed="81"/>
            <rFont val="Tahoma"/>
            <family val="2"/>
          </rPr>
          <t xml:space="preserve">
Skole</t>
        </r>
      </text>
    </comment>
    <comment ref="T112" authorId="0" shapeId="0" xr:uid="{DB14E8EC-8E76-4D30-866A-ED67632489D1}">
      <text>
        <r>
          <rPr>
            <b/>
            <sz val="9"/>
            <color indexed="81"/>
            <rFont val="Tahoma"/>
            <family val="2"/>
          </rPr>
          <t>Steen Hertin:</t>
        </r>
        <r>
          <rPr>
            <sz val="9"/>
            <color indexed="81"/>
            <rFont val="Tahoma"/>
            <family val="2"/>
          </rPr>
          <t xml:space="preserve">
S3 på OA</t>
        </r>
      </text>
    </comment>
    <comment ref="U112" authorId="0" shapeId="0" xr:uid="{02C8EBC1-BDEA-4977-8C79-70F840C87D64}">
      <text>
        <r>
          <rPr>
            <b/>
            <sz val="9"/>
            <color indexed="81"/>
            <rFont val="Tahoma"/>
            <family val="2"/>
          </rPr>
          <t>Steen Hertin:</t>
        </r>
        <r>
          <rPr>
            <sz val="9"/>
            <color indexed="81"/>
            <rFont val="Tahoma"/>
            <family val="2"/>
          </rPr>
          <t xml:space="preserve">
S3 på OA</t>
        </r>
      </text>
    </comment>
    <comment ref="C115" authorId="0" shapeId="0" xr:uid="{363E1A0D-AA97-4B5C-936B-BD50872CB4A8}">
      <text>
        <r>
          <rPr>
            <b/>
            <sz val="9"/>
            <color indexed="81"/>
            <rFont val="Tahoma"/>
            <family val="2"/>
          </rPr>
          <t>Steen Hertin:</t>
        </r>
        <r>
          <rPr>
            <sz val="9"/>
            <color indexed="81"/>
            <rFont val="Tahoma"/>
            <family val="2"/>
          </rPr>
          <t xml:space="preserve">
Ottiliavej 20.30 - 08.30</t>
        </r>
      </text>
    </comment>
    <comment ref="D115" authorId="0" shapeId="0" xr:uid="{8805A201-5E28-4BF5-B8E8-0E276542D26A}">
      <text>
        <r>
          <rPr>
            <b/>
            <sz val="9"/>
            <color indexed="81"/>
            <rFont val="Tahoma"/>
            <family val="2"/>
          </rPr>
          <t>Steen Hertin:</t>
        </r>
        <r>
          <rPr>
            <sz val="9"/>
            <color indexed="81"/>
            <rFont val="Tahoma"/>
            <family val="2"/>
          </rPr>
          <t xml:space="preserve">
Ottiliavej 20.30 - 08.30</t>
        </r>
      </text>
    </comment>
    <comment ref="W115" authorId="1" shapeId="0" xr:uid="{6EF939B4-D4BB-47D4-9D91-9A013B76A0A3}">
      <text>
        <r>
          <rPr>
            <b/>
            <sz val="9"/>
            <color indexed="81"/>
            <rFont val="Tahoma"/>
            <family val="2"/>
          </rPr>
          <t>Steen Hertin-Sandkær:</t>
        </r>
        <r>
          <rPr>
            <sz val="9"/>
            <color indexed="81"/>
            <rFont val="Tahoma"/>
            <family val="2"/>
          </rPr>
          <t xml:space="preserve">
S2 på oa</t>
        </r>
      </text>
    </comment>
    <comment ref="P127" authorId="1" shapeId="0" xr:uid="{B2C4A400-156B-4797-887C-A2EE0247EB51}">
      <text>
        <r>
          <rPr>
            <b/>
            <sz val="9"/>
            <color indexed="81"/>
            <rFont val="Tahoma"/>
            <family val="2"/>
          </rPr>
          <t>Steen Hertin-Sandkær:</t>
        </r>
        <r>
          <rPr>
            <sz val="9"/>
            <color indexed="81"/>
            <rFont val="Tahoma"/>
            <family val="2"/>
          </rPr>
          <t xml:space="preserve">
Førstehjælps kursus
08.00-12.00</t>
        </r>
      </text>
    </comment>
    <comment ref="U127" authorId="1" shapeId="0" xr:uid="{85213689-BA40-4D31-9882-92259DFC65D1}">
      <text>
        <r>
          <rPr>
            <b/>
            <sz val="9"/>
            <color indexed="81"/>
            <rFont val="Tahoma"/>
            <family val="2"/>
          </rPr>
          <t>Steen Hertin-Sandkær:</t>
        </r>
        <r>
          <rPr>
            <sz val="9"/>
            <color indexed="81"/>
            <rFont val="Tahoma"/>
            <family val="2"/>
          </rPr>
          <t xml:space="preserve">
5-vagt på OA</t>
        </r>
      </text>
    </comment>
    <comment ref="P128" authorId="5" shapeId="0" xr:uid="{BE7D2F3B-5CEA-4922-8F13-E50BEF81C471}">
      <text>
        <r>
          <rPr>
            <b/>
            <sz val="9"/>
            <color indexed="81"/>
            <rFont val="Tahoma"/>
            <family val="2"/>
          </rPr>
          <t>Nikolaj Langtin Pamhede:</t>
        </r>
        <r>
          <rPr>
            <sz val="9"/>
            <color indexed="81"/>
            <rFont val="Tahoma"/>
            <family val="2"/>
          </rPr>
          <t xml:space="preserve">
89 på oa</t>
        </r>
      </text>
    </comment>
    <comment ref="P135" authorId="1" shapeId="0" xr:uid="{1343A12B-68EC-4B6C-AF73-8AF419EA674F}">
      <text>
        <r>
          <rPr>
            <b/>
            <sz val="9"/>
            <color indexed="81"/>
            <rFont val="Tahoma"/>
            <family val="2"/>
          </rPr>
          <t>Steen Hertin-Sandkær:</t>
        </r>
        <r>
          <rPr>
            <sz val="9"/>
            <color indexed="81"/>
            <rFont val="Tahoma"/>
            <family val="2"/>
          </rPr>
          <t xml:space="preserve">
Førstehjælps kursus
08.00-12.00</t>
        </r>
      </text>
    </comment>
    <comment ref="AD147" authorId="5" shapeId="0" xr:uid="{E0FDC2E4-64C0-4C0C-8513-40176EF09145}">
      <text>
        <r>
          <rPr>
            <b/>
            <sz val="9"/>
            <color indexed="81"/>
            <rFont val="Tahoma"/>
            <family val="2"/>
          </rPr>
          <t>Nikolaj Langtin Pamhede:</t>
        </r>
        <r>
          <rPr>
            <sz val="9"/>
            <color indexed="81"/>
            <rFont val="Tahoma"/>
            <family val="2"/>
          </rPr>
          <t xml:space="preserve">
Går kl 14. 
2 afs.</t>
        </r>
      </text>
    </comment>
    <comment ref="U149" authorId="2" shapeId="0" xr:uid="{FFC01D94-7455-43DF-8F80-387829D8DACE}">
      <text>
        <r>
          <rPr>
            <b/>
            <sz val="9"/>
            <color indexed="81"/>
            <rFont val="Tahoma"/>
            <family val="2"/>
          </rPr>
          <t>Mathias Hartvig Morell Nielsen:</t>
        </r>
        <r>
          <rPr>
            <sz val="9"/>
            <color indexed="81"/>
            <rFont val="Tahoma"/>
            <family val="2"/>
          </rPr>
          <t xml:space="preserve">
foa</t>
        </r>
      </text>
    </comment>
    <comment ref="V149" authorId="2" shapeId="0" xr:uid="{E85FAC4F-6FA4-44B9-9834-D2137C683812}">
      <text>
        <r>
          <rPr>
            <b/>
            <sz val="9"/>
            <color indexed="81"/>
            <rFont val="Tahoma"/>
            <family val="2"/>
          </rPr>
          <t>Mathias Hartvig Morell Nielsen:</t>
        </r>
        <r>
          <rPr>
            <sz val="9"/>
            <color indexed="81"/>
            <rFont val="Tahoma"/>
            <family val="2"/>
          </rPr>
          <t xml:space="preserve">
foa</t>
        </r>
      </text>
    </comment>
    <comment ref="W149" authorId="1" shapeId="0" xr:uid="{776A8D86-DA6C-4D8B-8333-1B5F3DF324CF}">
      <text>
        <r>
          <rPr>
            <b/>
            <sz val="9"/>
            <color indexed="81"/>
            <rFont val="Tahoma"/>
            <family val="2"/>
          </rPr>
          <t>Steen Hertin-Sandkær:</t>
        </r>
        <r>
          <rPr>
            <sz val="9"/>
            <color indexed="81"/>
            <rFont val="Tahoma"/>
            <family val="2"/>
          </rPr>
          <t xml:space="preserve">
Hjælpe med omvisninger.</t>
        </r>
      </text>
    </comment>
    <comment ref="Z149" authorId="2" shapeId="0" xr:uid="{CCF3B3E1-0421-4216-9A38-18DD84F54514}">
      <text>
        <r>
          <rPr>
            <b/>
            <sz val="9"/>
            <color indexed="81"/>
            <rFont val="Tahoma"/>
            <family val="2"/>
          </rPr>
          <t>Mathias Hartvig Morell Nielsen:</t>
        </r>
        <r>
          <rPr>
            <sz val="9"/>
            <color indexed="81"/>
            <rFont val="Tahoma"/>
            <family val="2"/>
          </rPr>
          <t xml:space="preserve">
foa</t>
        </r>
      </text>
    </comment>
    <comment ref="AA149" authorId="2" shapeId="0" xr:uid="{CE785BB1-CA3E-4EFF-A2E0-D8C9129A7424}">
      <text>
        <r>
          <rPr>
            <b/>
            <sz val="9"/>
            <color indexed="81"/>
            <rFont val="Tahoma"/>
            <family val="2"/>
          </rPr>
          <t>Mathias Hartvig Morell Nielsen:</t>
        </r>
        <r>
          <rPr>
            <sz val="9"/>
            <color indexed="81"/>
            <rFont val="Tahoma"/>
            <family val="2"/>
          </rPr>
          <t xml:space="preserve">
foa</t>
        </r>
      </text>
    </comment>
    <comment ref="AB149" authorId="2" shapeId="0" xr:uid="{997AB35D-6BA3-4966-B902-BD809FA10548}">
      <text>
        <r>
          <rPr>
            <b/>
            <sz val="9"/>
            <color indexed="81"/>
            <rFont val="Tahoma"/>
            <family val="2"/>
          </rPr>
          <t>Mathias Hartvig Morell Nielsen:</t>
        </r>
        <r>
          <rPr>
            <sz val="9"/>
            <color indexed="81"/>
            <rFont val="Tahoma"/>
            <family val="2"/>
          </rPr>
          <t xml:space="preserve">
foa</t>
        </r>
      </text>
    </comment>
    <comment ref="AC149" authorId="2" shapeId="0" xr:uid="{66B48764-70A5-4C67-BF84-07D502A110CE}">
      <text>
        <r>
          <rPr>
            <b/>
            <sz val="9"/>
            <color indexed="81"/>
            <rFont val="Tahoma"/>
            <family val="2"/>
          </rPr>
          <t>Mathias Hartvig Morell Nielsen:</t>
        </r>
        <r>
          <rPr>
            <sz val="9"/>
            <color indexed="81"/>
            <rFont val="Tahoma"/>
            <family val="2"/>
          </rPr>
          <t xml:space="preserve">
foa</t>
        </r>
      </text>
    </comment>
    <comment ref="N150" authorId="0" shapeId="0" xr:uid="{2BC19F50-BD2D-4756-AA0A-E08EE58E8D9A}">
      <text>
        <r>
          <rPr>
            <b/>
            <sz val="9"/>
            <color indexed="81"/>
            <rFont val="Tahoma"/>
            <family val="2"/>
          </rPr>
          <t>Steen Hertin:</t>
        </r>
        <r>
          <rPr>
            <sz val="9"/>
            <color indexed="81"/>
            <rFont val="Tahoma"/>
            <family val="2"/>
          </rPr>
          <t xml:space="preserve">
Førstehjælp 08.00 - 12.00</t>
        </r>
      </text>
    </comment>
    <comment ref="O150" authorId="0" shapeId="0" xr:uid="{FF388303-B153-4D09-9AAB-1494EABF6BA7}">
      <text>
        <r>
          <rPr>
            <b/>
            <sz val="9"/>
            <color indexed="81"/>
            <rFont val="Tahoma"/>
            <family val="2"/>
          </rPr>
          <t>Steen Hertin:</t>
        </r>
        <r>
          <rPr>
            <sz val="9"/>
            <color indexed="81"/>
            <rFont val="Tahoma"/>
            <family val="2"/>
          </rPr>
          <t xml:space="preserve">
Oa til kl. 23.00</t>
        </r>
      </text>
    </comment>
    <comment ref="T150" authorId="1" shapeId="0" xr:uid="{3793CC3E-A4CF-4F21-BDB7-67033EC5020F}">
      <text>
        <r>
          <rPr>
            <b/>
            <sz val="9"/>
            <color indexed="81"/>
            <rFont val="Tahoma"/>
            <family val="2"/>
          </rPr>
          <t>Steen Hertin-Sandkær:</t>
        </r>
        <r>
          <rPr>
            <sz val="9"/>
            <color indexed="81"/>
            <rFont val="Tahoma"/>
            <family val="2"/>
          </rPr>
          <t xml:space="preserve">
Fortsætter som aftenvagt</t>
        </r>
      </text>
    </comment>
    <comment ref="F151" authorId="0" shapeId="0" xr:uid="{37E0097A-8ED3-4B45-8644-F7DD28C31D41}">
      <text>
        <r>
          <rPr>
            <b/>
            <sz val="9"/>
            <color indexed="81"/>
            <rFont val="Tahoma"/>
            <family val="2"/>
          </rPr>
          <t>Steen Hertin:</t>
        </r>
        <r>
          <rPr>
            <sz val="9"/>
            <color indexed="81"/>
            <rFont val="Tahoma"/>
            <family val="2"/>
          </rPr>
          <t xml:space="preserve">
FOA kursus</t>
        </r>
      </text>
    </comment>
    <comment ref="S151" authorId="1" shapeId="0" xr:uid="{CF6F37F3-6C82-4B5B-84A4-CD0C80A0C109}">
      <text>
        <r>
          <rPr>
            <b/>
            <sz val="9"/>
            <color indexed="81"/>
            <rFont val="Tahoma"/>
            <family val="2"/>
          </rPr>
          <t>Steen Hertin-Sandkær:</t>
        </r>
        <r>
          <rPr>
            <sz val="9"/>
            <color indexed="81"/>
            <rFont val="Tahoma"/>
            <family val="2"/>
          </rPr>
          <t xml:space="preserve">
Fortsætter som aftenvagt</t>
        </r>
      </text>
    </comment>
    <comment ref="X151" authorId="0" shapeId="0" xr:uid="{90CC01AE-F3D9-450A-B109-C41DC3D3E734}">
      <text>
        <r>
          <rPr>
            <b/>
            <sz val="9"/>
            <color indexed="81"/>
            <rFont val="Tahoma"/>
            <family val="2"/>
          </rPr>
          <t>Steen Hertin:</t>
        </r>
        <r>
          <rPr>
            <sz val="9"/>
            <color indexed="81"/>
            <rFont val="Tahoma"/>
            <family val="2"/>
          </rPr>
          <t xml:space="preserve">
Bellahøjhallen 15.00 - 22.30</t>
        </r>
      </text>
    </comment>
    <comment ref="Y151" authorId="0" shapeId="0" xr:uid="{CF2DB595-AE9E-4201-BABD-2B222E4F4833}">
      <text>
        <r>
          <rPr>
            <b/>
            <sz val="9"/>
            <color indexed="81"/>
            <rFont val="Tahoma"/>
            <family val="2"/>
          </rPr>
          <t>Steen Hertin:</t>
        </r>
        <r>
          <rPr>
            <sz val="9"/>
            <color indexed="81"/>
            <rFont val="Tahoma"/>
            <family val="2"/>
          </rPr>
          <t xml:space="preserve">
Bellahøjhallen 15.00 - 22.30</t>
        </r>
      </text>
    </comment>
    <comment ref="AD151" authorId="6" shapeId="0" xr:uid="{E23539F8-DA58-42DD-9004-D475A26AC7F6}">
      <text>
        <r>
          <rPr>
            <b/>
            <sz val="9"/>
            <color indexed="81"/>
            <rFont val="Tahoma"/>
            <family val="2"/>
          </rPr>
          <t>Nick Lorentzen:</t>
        </r>
        <r>
          <rPr>
            <sz val="9"/>
            <color indexed="81"/>
            <rFont val="Tahoma"/>
            <family val="2"/>
          </rPr>
          <t xml:space="preserve">
Skal til lægen 12:30</t>
        </r>
      </text>
    </comment>
    <comment ref="P169" authorId="1" shapeId="0" xr:uid="{A36BFB8E-8D67-41F1-A97A-ED16CCCFAAB8}">
      <text>
        <r>
          <rPr>
            <b/>
            <sz val="9"/>
            <color indexed="81"/>
            <rFont val="Tahoma"/>
            <family val="2"/>
          </rPr>
          <t>Steen Hertin-Sandkær:</t>
        </r>
        <r>
          <rPr>
            <sz val="9"/>
            <color indexed="81"/>
            <rFont val="Tahoma"/>
            <family val="2"/>
          </rPr>
          <t xml:space="preserve">
Førstehjælps kursus
08.00-12.00</t>
        </r>
      </text>
    </comment>
    <comment ref="W208" authorId="1" shapeId="0" xr:uid="{0E586089-FAD8-47A3-98D0-C4A1A30EC928}">
      <text>
        <r>
          <rPr>
            <b/>
            <sz val="9"/>
            <color indexed="81"/>
            <rFont val="Tahoma"/>
            <family val="2"/>
          </rPr>
          <t>Steen Hertin-Sandkær:</t>
        </r>
        <r>
          <rPr>
            <sz val="9"/>
            <color indexed="81"/>
            <rFont val="Tahoma"/>
            <family val="2"/>
          </rPr>
          <t xml:space="preserve">
Intern flex</t>
        </r>
      </text>
    </comment>
    <comment ref="P209" authorId="1" shapeId="0" xr:uid="{460239CC-CA14-4724-AA78-B309449326B2}">
      <text>
        <r>
          <rPr>
            <b/>
            <sz val="9"/>
            <color indexed="81"/>
            <rFont val="Tahoma"/>
            <family val="2"/>
          </rPr>
          <t>Steen Hertin-Sandkær:</t>
        </r>
        <r>
          <rPr>
            <sz val="9"/>
            <color indexed="81"/>
            <rFont val="Tahoma"/>
            <family val="2"/>
          </rPr>
          <t xml:space="preserve">
Førstehjælps kursus
08.00-12.00</t>
        </r>
      </text>
    </comment>
    <comment ref="AD209" authorId="0" shapeId="0" xr:uid="{843A02E2-D56C-4529-BC87-424D79C0699A}">
      <text>
        <r>
          <rPr>
            <b/>
            <sz val="9"/>
            <color indexed="81"/>
            <rFont val="Tahoma"/>
            <family val="2"/>
          </rPr>
          <t>Steen Hertin:</t>
        </r>
        <r>
          <rPr>
            <sz val="9"/>
            <color indexed="81"/>
            <rFont val="Tahoma"/>
            <family val="2"/>
          </rPr>
          <t xml:space="preserve">
intern flex</t>
        </r>
      </text>
    </comment>
    <comment ref="G251" authorId="3" shapeId="0" xr:uid="{50463F98-96E1-4337-B880-C975151E23A9}">
      <text>
        <r>
          <rPr>
            <b/>
            <sz val="9"/>
            <color indexed="81"/>
            <rFont val="Tahoma"/>
            <family val="2"/>
          </rPr>
          <t>Mathias Nielsen:</t>
        </r>
        <r>
          <rPr>
            <sz val="9"/>
            <color indexed="81"/>
            <rFont val="Tahoma"/>
            <family val="2"/>
          </rPr>
          <t xml:space="preserve">
Ferietimer for resten</t>
        </r>
      </text>
    </comment>
  </commentList>
</comments>
</file>

<file path=xl/sharedStrings.xml><?xml version="1.0" encoding="utf-8"?>
<sst xmlns="http://schemas.openxmlformats.org/spreadsheetml/2006/main" count="36773" uniqueCount="1080">
  <si>
    <t xml:space="preserve"> </t>
  </si>
  <si>
    <t>Farvekoder</t>
  </si>
  <si>
    <t>Afspadsering</t>
  </si>
  <si>
    <t>Syg</t>
  </si>
  <si>
    <t>Ekstravagt på overtid</t>
  </si>
  <si>
    <t>Ferie</t>
  </si>
  <si>
    <t>Feriefridag</t>
  </si>
  <si>
    <t>Omsorgsdag</t>
  </si>
  <si>
    <t>Kursus</t>
  </si>
  <si>
    <t>Senior dag</t>
  </si>
  <si>
    <r>
      <t>F</t>
    </r>
    <r>
      <rPr>
        <sz val="9"/>
        <rFont val="Arial"/>
        <family val="2"/>
      </rPr>
      <t>: Turnusfri</t>
    </r>
  </si>
  <si>
    <r>
      <t>Orlov</t>
    </r>
    <r>
      <rPr>
        <sz val="9"/>
        <rFont val="Arial"/>
        <family val="2"/>
      </rPr>
      <t>: Grøn m/streg</t>
    </r>
  </si>
  <si>
    <r>
      <t>Barsel</t>
    </r>
    <r>
      <rPr>
        <sz val="9"/>
        <rFont val="Arial"/>
        <family val="2"/>
      </rPr>
      <t xml:space="preserve">: Rød m/streg </t>
    </r>
  </si>
  <si>
    <r>
      <t>l</t>
    </r>
    <r>
      <rPr>
        <sz val="9"/>
        <rFont val="Arial"/>
        <family val="2"/>
      </rPr>
      <t>: Daglig tjeneste</t>
    </r>
  </si>
  <si>
    <t xml:space="preserve">      :Omlægning af vagt (Planafvigelse)</t>
  </si>
  <si>
    <t>Barns 1. Sygedag</t>
  </si>
  <si>
    <r>
      <t>TJ:</t>
    </r>
    <r>
      <rPr>
        <sz val="9"/>
        <rFont val="Arial"/>
        <family val="2"/>
      </rPr>
      <t xml:space="preserve"> Tjenestefri </t>
    </r>
  </si>
  <si>
    <t>Oplæring</t>
  </si>
  <si>
    <t>Afdeling 1714 Afsnit 1702</t>
  </si>
  <si>
    <t>Vagter for turnusformænd</t>
  </si>
  <si>
    <r>
      <t>1</t>
    </r>
    <r>
      <rPr>
        <sz val="9"/>
        <rFont val="Arial"/>
        <family val="2"/>
      </rPr>
      <t>: Vagthavende kl. 0630 - 1445</t>
    </r>
  </si>
  <si>
    <r>
      <t>2</t>
    </r>
    <r>
      <rPr>
        <sz val="9"/>
        <rFont val="Arial"/>
        <family val="2"/>
      </rPr>
      <t>: Vagthavende kl. 1430 - 2230</t>
    </r>
  </si>
  <si>
    <r>
      <t>4</t>
    </r>
    <r>
      <rPr>
        <sz val="9"/>
        <rFont val="Arial"/>
        <family val="2"/>
      </rPr>
      <t>: Vagthavende kl. 2230 - 0645</t>
    </r>
  </si>
  <si>
    <r>
      <t>A</t>
    </r>
    <r>
      <rPr>
        <sz val="9"/>
        <rFont val="Arial"/>
        <family val="2"/>
      </rPr>
      <t>: Vagthavende kl. 0630 - 1845 (lør-, søndage)</t>
    </r>
  </si>
  <si>
    <r>
      <t>B</t>
    </r>
    <r>
      <rPr>
        <sz val="9"/>
        <rFont val="Arial"/>
        <family val="2"/>
      </rPr>
      <t>: Vagthavende kl. 1830 - 0645 (lør-, søndage)</t>
    </r>
  </si>
  <si>
    <r>
      <t>l:</t>
    </r>
    <r>
      <rPr>
        <sz val="9"/>
        <rFont val="Arial"/>
        <family val="2"/>
      </rPr>
      <t xml:space="preserve"> Man. - tor. Kl. 0815 - 1600, fre.Kl 0815 - 1415 </t>
    </r>
  </si>
  <si>
    <r>
      <t>Steen:</t>
    </r>
    <r>
      <rPr>
        <sz val="9"/>
        <rFont val="Arial"/>
        <family val="2"/>
      </rPr>
      <t xml:space="preserve"> Man-Ons 0815-1545 Tors 0900-1830 Fre 0815-1315 </t>
    </r>
  </si>
  <si>
    <t>Nøgle uge nr.:</t>
  </si>
  <si>
    <t>Plan</t>
  </si>
  <si>
    <t>Navn</t>
  </si>
  <si>
    <t>Normtid</t>
  </si>
  <si>
    <t>448 Rasmus Sørensen</t>
  </si>
  <si>
    <t>I</t>
  </si>
  <si>
    <t>Turnusformænd</t>
  </si>
  <si>
    <t>453 Mathias Nielsen</t>
  </si>
  <si>
    <t>B</t>
  </si>
  <si>
    <t>F</t>
  </si>
  <si>
    <t>A</t>
  </si>
  <si>
    <t>442 Kim Aabroe</t>
  </si>
  <si>
    <t>F)</t>
  </si>
  <si>
    <r>
      <t xml:space="preserve">I  </t>
    </r>
    <r>
      <rPr>
        <sz val="9"/>
        <rFont val="Arial"/>
        <family val="2"/>
      </rPr>
      <t>902 Erik Andersen</t>
    </r>
  </si>
  <si>
    <t>393 Thomas Holm</t>
  </si>
  <si>
    <r>
      <t xml:space="preserve">II </t>
    </r>
    <r>
      <rPr>
        <sz val="9"/>
        <rFont val="Arial"/>
        <family val="2"/>
      </rPr>
      <t>890 Michael Bo Pedersen</t>
    </r>
  </si>
  <si>
    <t>Formændsafløsere</t>
  </si>
  <si>
    <t>Forskudttid</t>
  </si>
  <si>
    <t>Denne måned</t>
  </si>
  <si>
    <t>Difference</t>
  </si>
  <si>
    <t>Hele året</t>
  </si>
  <si>
    <t>Fra April 2022</t>
  </si>
  <si>
    <t>993 Steen Hertin</t>
  </si>
  <si>
    <t>E</t>
  </si>
  <si>
    <t>I)</t>
  </si>
  <si>
    <t>469 Nikolaj Pamhede</t>
  </si>
  <si>
    <t>%</t>
  </si>
  <si>
    <t>479 Nick Lorentzen</t>
  </si>
  <si>
    <t>807 Flemming Nielsen</t>
  </si>
  <si>
    <t>327 Johnny Hansen</t>
  </si>
  <si>
    <t>A3</t>
  </si>
  <si>
    <t>i2</t>
  </si>
  <si>
    <t xml:space="preserve"> i2</t>
  </si>
  <si>
    <t>i1</t>
  </si>
  <si>
    <t>Vagter for turnus Rådhuset Plankode 8516</t>
  </si>
  <si>
    <r>
      <t xml:space="preserve">1  </t>
    </r>
    <r>
      <rPr>
        <sz val="9"/>
        <rFont val="Arial"/>
        <family val="2"/>
      </rPr>
      <t>0700 - 1400 Også på helligdage</t>
    </r>
  </si>
  <si>
    <r>
      <t xml:space="preserve">3 </t>
    </r>
    <r>
      <rPr>
        <sz val="9"/>
        <rFont val="Arial"/>
        <family val="2"/>
      </rPr>
      <t xml:space="preserve"> 0730 - 1530 Også på helligdage</t>
    </r>
  </si>
  <si>
    <t xml:space="preserve"> på OA</t>
  </si>
  <si>
    <r>
      <t xml:space="preserve">4 </t>
    </r>
    <r>
      <rPr>
        <sz val="9"/>
        <rFont val="Arial"/>
        <family val="2"/>
      </rPr>
      <t xml:space="preserve"> 0930 - 1730</t>
    </r>
    <r>
      <rPr>
        <sz val="9"/>
        <rFont val="Arial"/>
        <family val="2"/>
      </rPr>
      <t xml:space="preserve"> (8-16 på H.dage)</t>
    </r>
  </si>
  <si>
    <r>
      <t xml:space="preserve">5 </t>
    </r>
    <r>
      <rPr>
        <sz val="9"/>
        <rFont val="Arial"/>
        <family val="2"/>
      </rPr>
      <t xml:space="preserve"> 1630 - 2330/ fredage 1400-2330 (-helligdage)</t>
    </r>
  </si>
  <si>
    <r>
      <t xml:space="preserve">6  </t>
    </r>
    <r>
      <rPr>
        <sz val="9"/>
        <rFont val="Arial"/>
        <family val="2"/>
      </rPr>
      <t>Aften</t>
    </r>
    <r>
      <rPr>
        <b/>
        <sz val="10"/>
        <rFont val="Arial"/>
        <family val="2"/>
      </rPr>
      <t xml:space="preserve"> </t>
    </r>
    <r>
      <rPr>
        <sz val="9"/>
        <rFont val="Arial"/>
        <family val="2"/>
      </rPr>
      <t xml:space="preserve">1600 - 2300 </t>
    </r>
  </si>
  <si>
    <r>
      <t xml:space="preserve">7 </t>
    </r>
    <r>
      <rPr>
        <sz val="9"/>
        <rFont val="Arial"/>
        <family val="2"/>
      </rPr>
      <t xml:space="preserve"> Aften 1515 - 2315</t>
    </r>
  </si>
  <si>
    <r>
      <t xml:space="preserve">8 </t>
    </r>
    <r>
      <rPr>
        <sz val="9"/>
        <rFont val="Arial"/>
        <family val="2"/>
      </rPr>
      <t xml:space="preserve"> Aften 1600-2300 /fredag 1600-2230</t>
    </r>
  </si>
  <si>
    <r>
      <t xml:space="preserve">9 </t>
    </r>
    <r>
      <rPr>
        <sz val="9"/>
        <rFont val="Arial"/>
        <family val="2"/>
      </rPr>
      <t xml:space="preserve"> Nat 2300 - 0600  </t>
    </r>
  </si>
  <si>
    <r>
      <t xml:space="preserve">10 </t>
    </r>
    <r>
      <rPr>
        <sz val="9"/>
        <rFont val="Arial"/>
        <family val="2"/>
      </rPr>
      <t xml:space="preserve"> Nat 2300 - 0700</t>
    </r>
  </si>
  <si>
    <r>
      <t xml:space="preserve">11 </t>
    </r>
    <r>
      <rPr>
        <sz val="9"/>
        <rFont val="Arial"/>
        <family val="2"/>
      </rPr>
      <t xml:space="preserve"> Nat 2300 - 0715</t>
    </r>
  </si>
  <si>
    <r>
      <t>A1</t>
    </r>
    <r>
      <rPr>
        <sz val="9"/>
        <rFont val="Arial"/>
        <family val="2"/>
      </rPr>
      <t xml:space="preserve"> Dag 0845 - 1745 Lørdag </t>
    </r>
  </si>
  <si>
    <r>
      <t>A2</t>
    </r>
    <r>
      <rPr>
        <sz val="9"/>
        <rFont val="Arial"/>
        <family val="2"/>
      </rPr>
      <t xml:space="preserve"> Dag 0700 - 1900 Lørdag &amp; søndag</t>
    </r>
  </si>
  <si>
    <r>
      <t>A3</t>
    </r>
    <r>
      <rPr>
        <sz val="9"/>
        <rFont val="Arial"/>
        <family val="2"/>
      </rPr>
      <t xml:space="preserve"> Dag 0700 - 1915 Lørdag &amp; søndag</t>
    </r>
  </si>
  <si>
    <r>
      <t>B1</t>
    </r>
    <r>
      <rPr>
        <sz val="9"/>
        <rFont val="Arial"/>
        <family val="2"/>
      </rPr>
      <t xml:space="preserve"> Nat 1900 - 0600  Lørdag &amp; søndag</t>
    </r>
  </si>
  <si>
    <r>
      <t>B2</t>
    </r>
    <r>
      <rPr>
        <sz val="9"/>
        <rFont val="Arial"/>
        <family val="2"/>
      </rPr>
      <t xml:space="preserve"> Nat 1900 - 0700  Lørdag &amp; søndag </t>
    </r>
  </si>
  <si>
    <r>
      <t>B3</t>
    </r>
    <r>
      <rPr>
        <sz val="9"/>
        <rFont val="Arial"/>
        <family val="2"/>
      </rPr>
      <t xml:space="preserve"> Nat 1900 - 0715  Lørdag &amp; søndag</t>
    </r>
  </si>
  <si>
    <t>969 Anders Hintze</t>
  </si>
  <si>
    <t>B1</t>
  </si>
  <si>
    <t>B2</t>
  </si>
  <si>
    <t>A1</t>
  </si>
  <si>
    <t>A2</t>
  </si>
  <si>
    <t>488 Frederik Jensen</t>
  </si>
  <si>
    <t>420 Carsten Dahl</t>
  </si>
  <si>
    <t>1</t>
  </si>
  <si>
    <t xml:space="preserve"> l</t>
  </si>
  <si>
    <t>402 Ole Albertsen</t>
  </si>
  <si>
    <t>5)</t>
  </si>
  <si>
    <t>5</t>
  </si>
  <si>
    <t>308 Kim B. T. Pedersen</t>
  </si>
  <si>
    <t>4</t>
  </si>
  <si>
    <t>470 Asawin Chinwithee</t>
  </si>
  <si>
    <t>B3</t>
  </si>
  <si>
    <t>O</t>
  </si>
  <si>
    <t>414 Steffen Grube</t>
  </si>
  <si>
    <t>463 John Stengaard</t>
  </si>
  <si>
    <t>961 Sonny Ingerslev</t>
  </si>
  <si>
    <t>462 Flemming Grambo</t>
  </si>
  <si>
    <t>411  Niels C. Frederiksen</t>
  </si>
  <si>
    <t>)</t>
  </si>
  <si>
    <t>387 Bo Iversen</t>
  </si>
  <si>
    <t>421 Niels Bo Jensen</t>
  </si>
  <si>
    <t xml:space="preserve"> 394 Gorm Wilhjelm</t>
  </si>
  <si>
    <t>313 Erik M. Nielsen</t>
  </si>
  <si>
    <t>Buffer gruppen</t>
  </si>
  <si>
    <t>Mandag</t>
  </si>
  <si>
    <t>Tirsdag</t>
  </si>
  <si>
    <t>Onsdag</t>
  </si>
  <si>
    <t>Torsdag</t>
  </si>
  <si>
    <t>Fredag</t>
  </si>
  <si>
    <t>Lørdag</t>
  </si>
  <si>
    <t>Søndag</t>
  </si>
  <si>
    <t>Bemærkninger</t>
  </si>
  <si>
    <t>26-vagt</t>
  </si>
  <si>
    <t>1615 - 2330</t>
  </si>
  <si>
    <t>17.00 - 23.30</t>
  </si>
  <si>
    <t>08-15 - 18.15</t>
  </si>
  <si>
    <t>Normal daglig tjeneste</t>
  </si>
  <si>
    <t>0815-1600</t>
  </si>
  <si>
    <t>0815-1415</t>
  </si>
  <si>
    <t>25-vagt (Patruljeleder)</t>
  </si>
  <si>
    <t>1500-0030</t>
  </si>
  <si>
    <t>1400-0030</t>
  </si>
  <si>
    <t xml:space="preserve">                                                                             </t>
  </si>
  <si>
    <t>467 Nicolaj Beck Thilesen</t>
  </si>
  <si>
    <t>KA</t>
  </si>
  <si>
    <t>K2</t>
  </si>
  <si>
    <t>478 Kemal Türkmen</t>
  </si>
  <si>
    <t xml:space="preserve">494 Thomas Bay </t>
  </si>
  <si>
    <t xml:space="preserve">  </t>
  </si>
  <si>
    <t>489 Henrik W. Hansen</t>
  </si>
  <si>
    <t>497 Ditte Sommer</t>
  </si>
  <si>
    <t>L</t>
  </si>
  <si>
    <t>L)</t>
  </si>
  <si>
    <t>496 Peter Johansen</t>
  </si>
  <si>
    <t>R</t>
  </si>
  <si>
    <t>Anders Petersen</t>
  </si>
  <si>
    <t>25</t>
  </si>
  <si>
    <t xml:space="preserve">Frederik Friis Sørensen </t>
  </si>
  <si>
    <t>Simon Botfeldt</t>
  </si>
  <si>
    <t>K</t>
  </si>
  <si>
    <t>Keld Prehn</t>
  </si>
  <si>
    <t>Sune Vernal</t>
  </si>
  <si>
    <t>Rasmus Lehmann Hottenroth</t>
  </si>
  <si>
    <t>25)</t>
  </si>
  <si>
    <t>Vikarer</t>
  </si>
  <si>
    <t>Jess</t>
  </si>
  <si>
    <t>21)</t>
  </si>
  <si>
    <t>Elev</t>
  </si>
  <si>
    <t>Tobias</t>
  </si>
  <si>
    <t>Praktikanter</t>
  </si>
  <si>
    <t>MINA</t>
  </si>
  <si>
    <t>R3</t>
  </si>
  <si>
    <t>Akif</t>
  </si>
  <si>
    <t>Kredsvagt</t>
  </si>
  <si>
    <t>Plankode 8513</t>
  </si>
  <si>
    <t>Timer ugentligt</t>
  </si>
  <si>
    <t>Uge 1</t>
  </si>
  <si>
    <r>
      <t>K1</t>
    </r>
    <r>
      <rPr>
        <sz val="9"/>
        <rFont val="Arial"/>
        <family val="2"/>
      </rPr>
      <t xml:space="preserve"> 0815 – 1530</t>
    </r>
  </si>
  <si>
    <r>
      <t>K1</t>
    </r>
    <r>
      <rPr>
        <sz val="9"/>
        <rFont val="Arial"/>
        <family val="2"/>
      </rPr>
      <t xml:space="preserve"> 09.00 – 1815</t>
    </r>
  </si>
  <si>
    <r>
      <t>K1</t>
    </r>
    <r>
      <rPr>
        <sz val="9"/>
        <rFont val="Arial"/>
        <family val="2"/>
      </rPr>
      <t xml:space="preserve"> 0815 – 1415</t>
    </r>
  </si>
  <si>
    <t>Uge 2</t>
  </si>
  <si>
    <r>
      <t>K2</t>
    </r>
    <r>
      <rPr>
        <sz val="9"/>
        <rFont val="Arial"/>
        <family val="2"/>
      </rPr>
      <t xml:space="preserve"> 1545 – 0030</t>
    </r>
  </si>
  <si>
    <r>
      <t>K2</t>
    </r>
    <r>
      <rPr>
        <sz val="9"/>
        <rFont val="Arial"/>
        <family val="2"/>
      </rPr>
      <t xml:space="preserve"> 1400 – 0030</t>
    </r>
  </si>
  <si>
    <t xml:space="preserve">K2 </t>
  </si>
  <si>
    <t>1545 – 0030</t>
  </si>
  <si>
    <r>
      <t>K2</t>
    </r>
    <r>
      <rPr>
        <sz val="9"/>
        <rFont val="Arial"/>
        <family val="2"/>
      </rPr>
      <t xml:space="preserve"> 1545 -0030</t>
    </r>
  </si>
  <si>
    <t>1330-0030</t>
  </si>
  <si>
    <t>Uge 3</t>
  </si>
  <si>
    <t>FRI</t>
  </si>
  <si>
    <t>Uge 4</t>
  </si>
  <si>
    <t>Buffer</t>
  </si>
  <si>
    <t>K1</t>
  </si>
  <si>
    <t>447 Dimitrios Kostis</t>
  </si>
  <si>
    <t>M</t>
  </si>
  <si>
    <t>P</t>
  </si>
  <si>
    <t>380 Ali Capcan</t>
  </si>
  <si>
    <t>P)</t>
  </si>
  <si>
    <t>Informationen</t>
  </si>
  <si>
    <t>i1 Plankode 8520</t>
  </si>
  <si>
    <t>0700 - 1445</t>
  </si>
  <si>
    <t>0700 - 1300</t>
  </si>
  <si>
    <t>824 Anders Villadsen</t>
  </si>
  <si>
    <t>Sikring</t>
  </si>
  <si>
    <t>Plankode 8506</t>
  </si>
  <si>
    <t>0900-1600</t>
  </si>
  <si>
    <t>0800-1600</t>
  </si>
  <si>
    <t>0830-1600</t>
  </si>
  <si>
    <t>0830-1630</t>
  </si>
  <si>
    <t>0900-1430</t>
  </si>
  <si>
    <t>0900-1630</t>
  </si>
  <si>
    <t>Uge 5</t>
  </si>
  <si>
    <t>0745 - 1530</t>
  </si>
  <si>
    <t>0800-1400</t>
  </si>
  <si>
    <t>456 Oliver Villadsen</t>
  </si>
  <si>
    <t>473 Tarik Saji</t>
  </si>
  <si>
    <t>486 Anne-Mette Jensen</t>
  </si>
  <si>
    <t>Martin Svanebjerg</t>
  </si>
  <si>
    <t>i2)</t>
  </si>
  <si>
    <t>I2</t>
  </si>
  <si>
    <t>480 Johnny Larsen</t>
  </si>
  <si>
    <t>69</t>
  </si>
  <si>
    <t>Kødbyen</t>
  </si>
  <si>
    <t>Uge 1- 21-vagt</t>
  </si>
  <si>
    <t>21.00-07.00</t>
  </si>
  <si>
    <t>21.30-07.00</t>
  </si>
  <si>
    <t>Uge 3- 22-vagt</t>
  </si>
  <si>
    <t>Uge 5-23-vagt</t>
  </si>
  <si>
    <t>21.30-05.30</t>
  </si>
  <si>
    <t>Uge 6</t>
  </si>
  <si>
    <t>fln</t>
  </si>
  <si>
    <t xml:space="preserve">485 Daniel Tuveri                </t>
  </si>
  <si>
    <t>450 Thomas Lindenskov</t>
  </si>
  <si>
    <t>22)</t>
  </si>
  <si>
    <t>468 Kenneth Kejlstrup</t>
  </si>
  <si>
    <t>476 Jesper Larsen</t>
  </si>
  <si>
    <t>457 Michael Schou</t>
  </si>
  <si>
    <t>Rundviser</t>
  </si>
  <si>
    <t>1000-1600</t>
  </si>
  <si>
    <t>0900-1700</t>
  </si>
  <si>
    <t>0900-1400</t>
  </si>
  <si>
    <t>316 Marianne Rasmussen</t>
  </si>
  <si>
    <t>370 Kristoffer Sahlholdt</t>
  </si>
  <si>
    <t>R2</t>
  </si>
  <si>
    <t>R1</t>
  </si>
  <si>
    <t>Martin Hvorslev</t>
  </si>
  <si>
    <t>Claudia Frers</t>
  </si>
  <si>
    <t>l</t>
  </si>
  <si>
    <t>Ritha Ayerkai</t>
  </si>
  <si>
    <t>886 Per Larsen</t>
  </si>
  <si>
    <t>Socialcenter København</t>
  </si>
  <si>
    <t>Plankode</t>
  </si>
  <si>
    <t>Griffen</t>
  </si>
  <si>
    <t>C</t>
  </si>
  <si>
    <t>815-1545</t>
  </si>
  <si>
    <t>915-1845</t>
  </si>
  <si>
    <t>815-1315</t>
  </si>
  <si>
    <t>D</t>
  </si>
  <si>
    <t>Brønshøjvej</t>
  </si>
  <si>
    <t>08.15-18.15</t>
  </si>
  <si>
    <t>Lyongade</t>
  </si>
  <si>
    <t>G</t>
  </si>
  <si>
    <t>845-1615</t>
  </si>
  <si>
    <t>830-1615</t>
  </si>
  <si>
    <t>1130-20</t>
  </si>
  <si>
    <t>830-1415</t>
  </si>
  <si>
    <t>Spaniensgade</t>
  </si>
  <si>
    <t>H</t>
  </si>
  <si>
    <t>815-1515</t>
  </si>
  <si>
    <t>0745-1600</t>
  </si>
  <si>
    <t>745-1700</t>
  </si>
  <si>
    <t>815-1415</t>
  </si>
  <si>
    <t>Valdemarsgade</t>
  </si>
  <si>
    <t>Matthæusgade</t>
  </si>
  <si>
    <t>Svanevej</t>
  </si>
  <si>
    <t>N</t>
  </si>
  <si>
    <t>830-1700</t>
  </si>
  <si>
    <t>Gl. Køge landevej</t>
  </si>
  <si>
    <t>Svendborggade</t>
  </si>
  <si>
    <t>Gammel Vasbygade</t>
  </si>
  <si>
    <t>815-1600</t>
  </si>
  <si>
    <t>Sydbanestien</t>
  </si>
  <si>
    <t>S</t>
  </si>
  <si>
    <t>Hjemløseenheden</t>
  </si>
  <si>
    <t>U</t>
  </si>
  <si>
    <t>439 Erik H. Hansen</t>
  </si>
  <si>
    <t>691 Flemming Dam</t>
  </si>
  <si>
    <t>FOA</t>
  </si>
  <si>
    <t>492 Thomas Hartmann</t>
  </si>
  <si>
    <t xml:space="preserve">395 Lars Lionette </t>
  </si>
  <si>
    <t xml:space="preserve">495 Rasmus Olsen </t>
  </si>
  <si>
    <t xml:space="preserve">839 Johnny Karlsson </t>
  </si>
  <si>
    <t>491 Michael Thomsen</t>
  </si>
  <si>
    <t>682 Carl-Erik Holm</t>
  </si>
  <si>
    <t>396 Wojciech Jagielski</t>
  </si>
  <si>
    <t>982 Frank Falkenskov</t>
  </si>
  <si>
    <t>493 Michael Dyhr</t>
  </si>
  <si>
    <t>Henning Larsen</t>
  </si>
  <si>
    <t>Administrations og Arrangementsafdelingen</t>
  </si>
  <si>
    <t xml:space="preserve">Plankoder </t>
  </si>
  <si>
    <t>0600 - 1115</t>
  </si>
  <si>
    <t>0600 - 1345</t>
  </si>
  <si>
    <t>0600 - 1200</t>
  </si>
  <si>
    <t>0600  - 1200</t>
  </si>
  <si>
    <t>0800 - 1545</t>
  </si>
  <si>
    <t>0800 - 1400</t>
  </si>
  <si>
    <t>Forskudt vagt</t>
  </si>
  <si>
    <r>
      <t xml:space="preserve">19: </t>
    </r>
    <r>
      <rPr>
        <sz val="9"/>
        <rFont val="Arial"/>
        <family val="2"/>
      </rPr>
      <t>kl. 11 - 1845</t>
    </r>
  </si>
  <si>
    <r>
      <t xml:space="preserve">19: </t>
    </r>
    <r>
      <rPr>
        <sz val="9"/>
        <rFont val="Arial"/>
        <family val="2"/>
      </rPr>
      <t>kl. 11 - 17</t>
    </r>
  </si>
  <si>
    <t>Afdeling 1722 afsnit 1701</t>
  </si>
  <si>
    <t>Michael Riis-Jensen</t>
  </si>
  <si>
    <t>Chef for Arrangementservice</t>
  </si>
  <si>
    <t>Charlotte Dalsgaard</t>
  </si>
  <si>
    <t>Arrangementformmand</t>
  </si>
  <si>
    <t>416 Dorte Ramassi</t>
  </si>
  <si>
    <t>Lars Kromann</t>
  </si>
  <si>
    <t>320 Mikael M. Andersen</t>
  </si>
  <si>
    <t>Arrangementservice</t>
  </si>
  <si>
    <t>445 Jeanett Røjbæk</t>
  </si>
  <si>
    <t xml:space="preserve">323 Inge Hansen </t>
  </si>
  <si>
    <t>364 Henning Haaning</t>
  </si>
  <si>
    <t>908 Kenny  Hautop</t>
  </si>
  <si>
    <t>410 Karina Schiöpffe</t>
  </si>
  <si>
    <t>Michael Hansen</t>
  </si>
  <si>
    <t>Nina Selma Sommer</t>
  </si>
  <si>
    <t>Linnedstuen</t>
  </si>
  <si>
    <t>504 Maya Villadsen</t>
  </si>
  <si>
    <t>Ludmilla Stidl</t>
  </si>
  <si>
    <t>309 Birthe Pedersen</t>
  </si>
  <si>
    <t>Rikke EngHolm</t>
  </si>
  <si>
    <t>Postservice</t>
  </si>
  <si>
    <t>0700-1430</t>
  </si>
  <si>
    <t>0700-1400</t>
  </si>
  <si>
    <t>0830-1530</t>
  </si>
  <si>
    <r>
      <t>P1</t>
    </r>
    <r>
      <rPr>
        <sz val="10"/>
        <rFont val="Arial"/>
        <family val="2"/>
      </rPr>
      <t xml:space="preserve"> 0700 - 1445</t>
    </r>
  </si>
  <si>
    <r>
      <t>PF1</t>
    </r>
    <r>
      <rPr>
        <sz val="10"/>
        <rFont val="Arial"/>
        <family val="2"/>
      </rPr>
      <t xml:space="preserve"> 0700 - 1300</t>
    </r>
  </si>
  <si>
    <r>
      <t>P2</t>
    </r>
    <r>
      <rPr>
        <sz val="10"/>
        <rFont val="Arial"/>
        <family val="2"/>
      </rPr>
      <t xml:space="preserve"> 0730 - 1500</t>
    </r>
  </si>
  <si>
    <r>
      <t>PF2</t>
    </r>
    <r>
      <rPr>
        <sz val="10"/>
        <rFont val="Arial"/>
        <family val="2"/>
      </rPr>
      <t xml:space="preserve"> 0730 - 1430</t>
    </r>
  </si>
  <si>
    <r>
      <t xml:space="preserve">P3 </t>
    </r>
    <r>
      <rPr>
        <sz val="10"/>
        <rFont val="Arial"/>
        <family val="2"/>
      </rPr>
      <t>0845-1615</t>
    </r>
  </si>
  <si>
    <r>
      <t>PF3</t>
    </r>
    <r>
      <rPr>
        <sz val="10"/>
        <rFont val="Arial"/>
        <family val="2"/>
      </rPr>
      <t xml:space="preserve"> 0815-1545</t>
    </r>
  </si>
  <si>
    <t>Afdeling 1721 afsnit 1701</t>
  </si>
  <si>
    <t xml:space="preserve">419 Karina Petersen </t>
  </si>
  <si>
    <t>Postruter</t>
  </si>
  <si>
    <t>434 Marco Minerba</t>
  </si>
  <si>
    <t>P2</t>
  </si>
  <si>
    <t>984 Jannie M.-Andersen</t>
  </si>
  <si>
    <t>P1</t>
  </si>
  <si>
    <t>409 Martin Holse</t>
  </si>
  <si>
    <t>P3</t>
  </si>
  <si>
    <t>Afdeling/afsnit 4420/4420</t>
  </si>
  <si>
    <t>Afdeling/afsnit 4250/4210</t>
  </si>
  <si>
    <t>Karsten Hallander</t>
  </si>
  <si>
    <t>Søren Christensen</t>
  </si>
  <si>
    <t>Frank Hansen</t>
  </si>
  <si>
    <t>Michael  Skytte</t>
  </si>
  <si>
    <t>Per Rasmussen</t>
  </si>
  <si>
    <t>Dagny Torres</t>
  </si>
  <si>
    <t>Rene  Svenning Johansen</t>
  </si>
  <si>
    <t>Sine Broe Andersen</t>
  </si>
  <si>
    <t>Henrik Olsen</t>
  </si>
  <si>
    <t>Nicolai Schrøder</t>
  </si>
  <si>
    <t>4)</t>
  </si>
  <si>
    <t>B3)</t>
  </si>
  <si>
    <t>3)</t>
  </si>
  <si>
    <t>11</t>
  </si>
  <si>
    <t xml:space="preserve">          </t>
  </si>
  <si>
    <t>B2)</t>
  </si>
  <si>
    <t>x½</t>
  </si>
  <si>
    <t>,</t>
  </si>
  <si>
    <t>6</t>
  </si>
  <si>
    <t>7</t>
  </si>
  <si>
    <t>3</t>
  </si>
  <si>
    <t>Stig Herning</t>
  </si>
  <si>
    <t>Vinnie M. Jensen</t>
  </si>
  <si>
    <t>8)</t>
  </si>
  <si>
    <t>Salih Cetin</t>
  </si>
  <si>
    <t>I1</t>
  </si>
  <si>
    <t>Michael Stemann</t>
  </si>
  <si>
    <t>486 Anne Mette Jensen</t>
  </si>
  <si>
    <t xml:space="preserve">89) </t>
  </si>
  <si>
    <t>Jess Holmboe Mogensen</t>
  </si>
  <si>
    <t>23)</t>
  </si>
  <si>
    <t>,316 Marianne Rasmussen</t>
  </si>
  <si>
    <t>Martin/Flemming</t>
  </si>
  <si>
    <t>0815-18.15</t>
  </si>
  <si>
    <t>S)</t>
  </si>
  <si>
    <t>U)</t>
  </si>
  <si>
    <t>P2)</t>
  </si>
  <si>
    <t>Martin Hansen</t>
  </si>
  <si>
    <t>A)</t>
  </si>
  <si>
    <t>N)</t>
  </si>
  <si>
    <t xml:space="preserve">                                                                </t>
  </si>
  <si>
    <t>A3)</t>
  </si>
  <si>
    <t>26)</t>
  </si>
  <si>
    <t>KA)</t>
  </si>
  <si>
    <t>1)</t>
  </si>
  <si>
    <t>Anna V. Aagesen</t>
  </si>
  <si>
    <t>Tommy Ollvid</t>
  </si>
  <si>
    <t>Headr Ali Lahdi</t>
  </si>
  <si>
    <t>Jim Pedersen</t>
  </si>
  <si>
    <t>22</t>
  </si>
  <si>
    <t>Duygu Savas</t>
  </si>
  <si>
    <t>R3)</t>
  </si>
  <si>
    <t>K)</t>
  </si>
  <si>
    <t>P1)</t>
  </si>
  <si>
    <t>P3)</t>
  </si>
  <si>
    <t>A2)</t>
  </si>
  <si>
    <t>Flemming G</t>
  </si>
  <si>
    <t xml:space="preserve">S1 </t>
  </si>
  <si>
    <t>G)</t>
  </si>
  <si>
    <t>8</t>
  </si>
  <si>
    <t>26</t>
  </si>
  <si>
    <t>ra</t>
  </si>
  <si>
    <t>Sjællandsgade 38-40</t>
  </si>
  <si>
    <t>Peer Kjear</t>
  </si>
  <si>
    <t>Henriette Skovly</t>
  </si>
  <si>
    <t>S1</t>
  </si>
  <si>
    <t>Samina Ahmed</t>
  </si>
  <si>
    <t>S3</t>
  </si>
  <si>
    <t>I1)</t>
  </si>
  <si>
    <t>99)</t>
  </si>
  <si>
    <t>E)</t>
  </si>
  <si>
    <t>O)</t>
  </si>
  <si>
    <t>S4</t>
  </si>
  <si>
    <t xml:space="preserve">                                                                                                                                                                                                                                                                                                                     </t>
  </si>
  <si>
    <t>6)</t>
  </si>
  <si>
    <t>K2)</t>
  </si>
  <si>
    <t>S5</t>
  </si>
  <si>
    <t>Headr Ali Lohdi</t>
  </si>
  <si>
    <t>Hverdage</t>
  </si>
  <si>
    <t>S1    08:00 - 15:00 = 7</t>
  </si>
  <si>
    <t>S2   15:00 - 22:00 = 7</t>
  </si>
  <si>
    <t>S3     22:00 - 08:00  = 10</t>
  </si>
  <si>
    <t>Weekend</t>
  </si>
  <si>
    <t>S4   08:00 - 20:00 = 12</t>
  </si>
  <si>
    <t>S5     20:00 - 08:00  = 12</t>
  </si>
  <si>
    <t>Q   Anden opgave</t>
  </si>
  <si>
    <t>Peer Kjaer</t>
  </si>
  <si>
    <t>S2</t>
  </si>
  <si>
    <t>Q</t>
  </si>
  <si>
    <t>S2)</t>
  </si>
  <si>
    <t>Marianna Risager</t>
  </si>
  <si>
    <t>Ruhat</t>
  </si>
  <si>
    <t>Henrik W.</t>
  </si>
  <si>
    <t>89)</t>
  </si>
  <si>
    <t>69)</t>
  </si>
  <si>
    <t>424 Martin Hvorslev</t>
  </si>
  <si>
    <t>R1)</t>
  </si>
  <si>
    <t>M)</t>
  </si>
  <si>
    <t>l)</t>
  </si>
  <si>
    <t>f</t>
  </si>
  <si>
    <t>S1)</t>
  </si>
  <si>
    <t>S4)</t>
  </si>
  <si>
    <t>Thomas Bay</t>
  </si>
  <si>
    <t>R2)</t>
  </si>
  <si>
    <t>0900-1830</t>
  </si>
  <si>
    <t>0830-1330</t>
  </si>
  <si>
    <t>C)</t>
  </si>
  <si>
    <t>VH1</t>
  </si>
  <si>
    <t>B)</t>
  </si>
  <si>
    <t>Flemming Grambo</t>
  </si>
  <si>
    <t>498 Anders Petersen</t>
  </si>
  <si>
    <t xml:space="preserve">499 Frederik Friis Sørensen </t>
  </si>
  <si>
    <t>433 Simon Botfeldt</t>
  </si>
  <si>
    <t>Patrick Hansen</t>
  </si>
  <si>
    <t>Oliver Voss</t>
  </si>
  <si>
    <t>21</t>
  </si>
  <si>
    <t>10</t>
  </si>
  <si>
    <t>Kamilla Reinholdt</t>
  </si>
  <si>
    <t>√</t>
  </si>
  <si>
    <t>S3)</t>
  </si>
  <si>
    <t>08.45-18.15</t>
  </si>
  <si>
    <t>410 Karina Schiöpffe Holm</t>
  </si>
  <si>
    <t>2)</t>
  </si>
  <si>
    <t>S1    07:00 - 15:15</t>
  </si>
  <si>
    <t>S2   15:00 - 23:00</t>
  </si>
  <si>
    <t>S3     23:00 - 07:15</t>
  </si>
  <si>
    <t>S4   07:00 - 19:15</t>
  </si>
  <si>
    <t>S5     19:00 - 07:15</t>
  </si>
  <si>
    <t>i1)</t>
  </si>
  <si>
    <t>rr</t>
  </si>
  <si>
    <t>D)</t>
  </si>
  <si>
    <t>Carsten Dahl</t>
  </si>
  <si>
    <t>424 Martin/Flemming G</t>
  </si>
  <si>
    <t>10)</t>
  </si>
  <si>
    <t>23</t>
  </si>
  <si>
    <t>S5)</t>
  </si>
  <si>
    <t xml:space="preserve">% </t>
  </si>
  <si>
    <t>99</t>
  </si>
  <si>
    <t xml:space="preserve">Jannie Sejr Petersen </t>
  </si>
  <si>
    <t>Suzan Lange</t>
  </si>
  <si>
    <t>392 Martin Svanebjerg</t>
  </si>
  <si>
    <t>ok</t>
  </si>
  <si>
    <t>2</t>
  </si>
  <si>
    <t>79</t>
  </si>
  <si>
    <t/>
  </si>
  <si>
    <t>Jesper Larsen</t>
  </si>
  <si>
    <t>Tobias Bolander Jensen</t>
  </si>
  <si>
    <t>Dorthe</t>
  </si>
  <si>
    <t>Eymen</t>
  </si>
  <si>
    <t>Simon</t>
  </si>
  <si>
    <t>¨S5</t>
  </si>
  <si>
    <t>k1</t>
  </si>
  <si>
    <t>Johnny Erichsen</t>
  </si>
  <si>
    <t>401 Karsten Nielsen</t>
  </si>
  <si>
    <t xml:space="preserve">                                                                                                                                   </t>
  </si>
  <si>
    <t>9)</t>
  </si>
  <si>
    <t>7)</t>
  </si>
  <si>
    <t xml:space="preserve">                                                                                                                                                          </t>
  </si>
  <si>
    <t xml:space="preserve">                                                                                                                                                       </t>
  </si>
  <si>
    <t xml:space="preserve">                                                             </t>
  </si>
  <si>
    <t>k</t>
  </si>
  <si>
    <t>0815-1545</t>
  </si>
  <si>
    <t>0915-1845</t>
  </si>
  <si>
    <t>0815-1315</t>
  </si>
  <si>
    <t>k)</t>
  </si>
  <si>
    <t>TJ</t>
  </si>
  <si>
    <t>429 Ann Rudolf Nielsen</t>
  </si>
  <si>
    <t>89</t>
  </si>
  <si>
    <t>Alexander Henriksen</t>
  </si>
  <si>
    <t>Sergio Gorgone</t>
  </si>
  <si>
    <t>Laila Oldenburg-Danum</t>
  </si>
  <si>
    <t>Peter Buch</t>
  </si>
  <si>
    <t>9</t>
  </si>
  <si>
    <t>08.00 - 15.30</t>
  </si>
  <si>
    <t>08.00 - 17.00</t>
  </si>
  <si>
    <t>08.00 - 13.30</t>
  </si>
  <si>
    <t xml:space="preserve">Aleksandra Mika </t>
  </si>
  <si>
    <t>Per Ringgård Jensen</t>
  </si>
  <si>
    <t>Timepriser i Rådhusservice 2022</t>
  </si>
  <si>
    <t>Timepris</t>
  </si>
  <si>
    <t>Arrangement service</t>
  </si>
  <si>
    <t>Servering</t>
  </si>
  <si>
    <t>Vagt</t>
  </si>
  <si>
    <t>Teknisk service</t>
  </si>
  <si>
    <t>Timepris: Arrangementer mv. (6 til 17 på hverdage)</t>
  </si>
  <si>
    <t>375 kr(425)</t>
  </si>
  <si>
    <t>372 kr(422)</t>
  </si>
  <si>
    <t>375 Kr(425)</t>
  </si>
  <si>
    <t>Overarbejde 50 % timer ved arrangementer mv.                                    (17 til 20 på hverdage)</t>
  </si>
  <si>
    <t>450,-</t>
  </si>
  <si>
    <t>450 kr(500)</t>
  </si>
  <si>
    <t>Overarbejde 100 % timer ved arrangementer mv.                                  (20 til 6 på hverdage)</t>
  </si>
  <si>
    <t>600,-</t>
  </si>
  <si>
    <t>600 kr(650)</t>
  </si>
  <si>
    <t>600 Kr(650)</t>
  </si>
  <si>
    <t>Hvis opgaven ikke er varslet 72 timer før, lægges                           50 kr. oven i prisen, gælder både  vagt og arrangementer</t>
  </si>
  <si>
    <t xml:space="preserve">Udlejning af Betjente: Socialcentre, Borgerservice </t>
  </si>
  <si>
    <t>375,-</t>
  </si>
  <si>
    <t>Borgmestre chauffør, omvisninger og ved ad hoc opgaver.</t>
  </si>
  <si>
    <t xml:space="preserve">Rundering:  </t>
  </si>
  <si>
    <t>372,-</t>
  </si>
  <si>
    <t xml:space="preserve">Rundering: Årsværk med alt inklusivt </t>
  </si>
  <si>
    <t>558.618,-</t>
  </si>
  <si>
    <t>Skolesupport</t>
  </si>
  <si>
    <t>Skolessupport Rundvisning</t>
  </si>
  <si>
    <t>700,-</t>
  </si>
  <si>
    <t>Postopgaver</t>
  </si>
  <si>
    <t>255,-</t>
  </si>
  <si>
    <t>Postkørsel: Ad hoc opgaver</t>
  </si>
  <si>
    <t>350,-</t>
  </si>
  <si>
    <t>Frankering: Tillæg pr. brev + portoen</t>
  </si>
  <si>
    <t>0,60,-</t>
  </si>
  <si>
    <t>Leje af helt Dueslag pr. dag.                                                        (Inklusiv 1 daglig levering af post)</t>
  </si>
  <si>
    <t>Årligt 64.260</t>
  </si>
  <si>
    <t>Leje af halvt Dueslag pr. dag.                                                       (Inklusiv 1 daglig levering af post)</t>
  </si>
  <si>
    <t>127,50,-</t>
  </si>
  <si>
    <t>Årligt 32.130</t>
  </si>
  <si>
    <t>Leje af kvart Dueslag pr. dag.                                                      (Kunden skal selv tømme for post)</t>
  </si>
  <si>
    <t>63,75,-</t>
  </si>
  <si>
    <t>Årligt 16.065</t>
  </si>
  <si>
    <t>Skanning pr. time</t>
  </si>
  <si>
    <t>368,-</t>
  </si>
  <si>
    <t xml:space="preserve">Rådhusnøgler pr. stk. </t>
  </si>
  <si>
    <t>ID kort + adgangsbrikker</t>
  </si>
  <si>
    <t>Yoyo</t>
  </si>
  <si>
    <t>Kortholder</t>
  </si>
  <si>
    <t>Timepriser i Rådhusservice 2023</t>
  </si>
  <si>
    <t>403 kr(453)</t>
  </si>
  <si>
    <t>374 kr(424)</t>
  </si>
  <si>
    <t>403 Kr(453)</t>
  </si>
  <si>
    <t>Timepris ved arrangementer mv. (17 til 20 på hverdage)</t>
  </si>
  <si>
    <t>Timepris ved arrangementer mv. (06 til 20 på hverdage)</t>
  </si>
  <si>
    <t>Hvis opgaven ikke er varslet 72 timer før, lægges 50 kr. oven i prisen, gælder både  vagt og arrangementer</t>
  </si>
  <si>
    <r>
      <t xml:space="preserve">Rundering: Årsværk med alt inklusivt </t>
    </r>
    <r>
      <rPr>
        <sz val="14"/>
        <color rgb="FFFF0000"/>
        <rFont val="Arial"/>
        <family val="2"/>
      </rPr>
      <t>(Afventer Tine Budget)</t>
    </r>
    <r>
      <rPr>
        <sz val="14"/>
        <rFont val="Arial"/>
        <family val="2"/>
      </rPr>
      <t xml:space="preserve">                     </t>
    </r>
    <r>
      <rPr>
        <sz val="14"/>
        <color rgb="FFFF0000"/>
        <rFont val="Arial"/>
        <family val="2"/>
      </rPr>
      <t>(Gælder nye kunder fra 2023)</t>
    </r>
  </si>
  <si>
    <r>
      <t xml:space="preserve">Leje af helt Dueslag pr. dag.          </t>
    </r>
    <r>
      <rPr>
        <sz val="14"/>
        <color rgb="FFFF0000"/>
        <rFont val="Arial"/>
        <family val="2"/>
      </rPr>
      <t>(Gælder nye kunder fra 2023)</t>
    </r>
    <r>
      <rPr>
        <sz val="14"/>
        <rFont val="Arial"/>
        <family val="2"/>
      </rPr>
      <t xml:space="preserve">                                                      (Inklusiv 1 daglig levering af post)</t>
    </r>
  </si>
  <si>
    <t>Årligt 89.713</t>
  </si>
  <si>
    <r>
      <t xml:space="preserve">Leje af halvt Dueslag pr. dag.         </t>
    </r>
    <r>
      <rPr>
        <sz val="14"/>
        <color rgb="FFFF0000"/>
        <rFont val="Arial"/>
        <family val="2"/>
      </rPr>
      <t>(Gælder nye kunder fra 2023)</t>
    </r>
    <r>
      <rPr>
        <sz val="14"/>
        <rFont val="Arial"/>
        <family val="2"/>
      </rPr>
      <t xml:space="preserve">                                                    (Inklusiv 1 daglig levering af post)</t>
    </r>
  </si>
  <si>
    <t>Årligt 44.856</t>
  </si>
  <si>
    <r>
      <t xml:space="preserve">Leje af kvart Dueslag pr. dag.         </t>
    </r>
    <r>
      <rPr>
        <sz val="14"/>
        <color rgb="FFFF0000"/>
        <rFont val="Arial"/>
        <family val="2"/>
      </rPr>
      <t>(Gælder nye kunder fra 2023)</t>
    </r>
    <r>
      <rPr>
        <sz val="14"/>
        <rFont val="Arial"/>
        <family val="2"/>
      </rPr>
      <t xml:space="preserve">                                                    (Kunden skal selv tømme for post)</t>
    </r>
  </si>
  <si>
    <t>Årligt 22.428</t>
  </si>
  <si>
    <r>
      <t xml:space="preserve">Skanning pr. time </t>
    </r>
    <r>
      <rPr>
        <sz val="14"/>
        <color rgb="FFFF0000"/>
        <rFont val="Arial"/>
        <family val="2"/>
      </rPr>
      <t>(Afventer Tine Budget)</t>
    </r>
  </si>
  <si>
    <t>?</t>
  </si>
  <si>
    <t>GRUS/MUS 2022 i Rådhusservice</t>
  </si>
  <si>
    <t>Lederne i Rådhusvagten</t>
  </si>
  <si>
    <t>Rådhusvagten</t>
  </si>
  <si>
    <t>Postservice, Skanning og HNG</t>
  </si>
  <si>
    <t>Indkalder</t>
  </si>
  <si>
    <t>Samtale med</t>
  </si>
  <si>
    <t>Afholdt den</t>
  </si>
  <si>
    <t>Flemming Nielsen</t>
  </si>
  <si>
    <t>Dennis Rise</t>
  </si>
  <si>
    <t>Erik Andersen</t>
  </si>
  <si>
    <t>Michael Bo Pedersen</t>
  </si>
  <si>
    <t>44 Lara Andersen</t>
  </si>
  <si>
    <t>Thomas Holm</t>
  </si>
  <si>
    <t>22/1-20</t>
  </si>
  <si>
    <t>Nick Lorentzen</t>
  </si>
  <si>
    <t>Kim Aabroe</t>
  </si>
  <si>
    <t>Rasmus Sørensen</t>
  </si>
  <si>
    <t>Mathias Nielsen</t>
  </si>
  <si>
    <t>20/5-22</t>
  </si>
  <si>
    <t>Per Larsen</t>
  </si>
  <si>
    <t>488 frederik jensen</t>
  </si>
  <si>
    <t>Steen Hertin</t>
  </si>
  <si>
    <t>Henrik W. Hansen</t>
  </si>
  <si>
    <t>Administration og arrangements afd.</t>
  </si>
  <si>
    <t xml:space="preserve"> 463 John Stengaard</t>
  </si>
  <si>
    <t>327 Johnny V. Hansen</t>
  </si>
  <si>
    <t>Lars Nordhøj</t>
  </si>
  <si>
    <t>Peter Johansen</t>
  </si>
  <si>
    <t>Mike Riis-Jensen</t>
  </si>
  <si>
    <t>13/11-20</t>
  </si>
  <si>
    <t>445 Jeanet Røjbæk</t>
  </si>
  <si>
    <t>394 Gorm Wilhjelm</t>
  </si>
  <si>
    <t>Ludmilla Stiedl</t>
  </si>
  <si>
    <t>410Karina Holm</t>
  </si>
  <si>
    <t>Nina Selmi Sommer</t>
  </si>
  <si>
    <t>Katrine Muir</t>
  </si>
  <si>
    <t>Rikke EengHolm</t>
  </si>
  <si>
    <t>487 Brian Glob</t>
  </si>
  <si>
    <t>Frederik Jensen</t>
  </si>
  <si>
    <t>11/11-22</t>
  </si>
  <si>
    <t>473 Tarik Sajl</t>
  </si>
  <si>
    <t>Rasmus Olsen</t>
  </si>
  <si>
    <t>486 Anne-Mette</t>
  </si>
  <si>
    <t xml:space="preserve">Mathias Hartvig Morell Nielsen </t>
  </si>
  <si>
    <t xml:space="preserve">380 Ali Capkan </t>
  </si>
  <si>
    <t>6/3-20</t>
  </si>
  <si>
    <t>478 Kemal Turkmen</t>
  </si>
  <si>
    <t>Rundvisning</t>
  </si>
  <si>
    <t>370 Kristoffer Ruth Sahlholdt</t>
  </si>
  <si>
    <t>Socialcentre</t>
  </si>
  <si>
    <t>Hafrun Simonardottir</t>
  </si>
  <si>
    <t>Michael Thomsen</t>
  </si>
  <si>
    <t>Dittemaria</t>
  </si>
  <si>
    <t>Michael Dyhr</t>
  </si>
  <si>
    <t>Thomas hartmann</t>
  </si>
  <si>
    <t>Brian Glob</t>
  </si>
  <si>
    <t>Daniel Tuveri</t>
  </si>
  <si>
    <t>Thomas Lindskov</t>
  </si>
  <si>
    <t>Michael Schou Schmidt</t>
  </si>
  <si>
    <t>Kenneth Kejlstrup</t>
  </si>
  <si>
    <t>Atle Johansen</t>
  </si>
  <si>
    <t>Vagterleder</t>
  </si>
  <si>
    <t>Plankode 8502</t>
  </si>
  <si>
    <t>Jørgen Pyrmer</t>
  </si>
  <si>
    <t>Plankode 8546</t>
  </si>
  <si>
    <t>Fri</t>
  </si>
  <si>
    <t>0815 - 1615</t>
  </si>
  <si>
    <t>2300 - 0700</t>
  </si>
  <si>
    <t>1900 - 0700</t>
  </si>
  <si>
    <t>Erik S. Andersen</t>
  </si>
  <si>
    <t>Jørgen M. Rasmussen</t>
  </si>
  <si>
    <t>0700 - 1500</t>
  </si>
  <si>
    <t>Dennis H. Rise</t>
  </si>
  <si>
    <t>1500 - 2300</t>
  </si>
  <si>
    <t>0700 - 1900</t>
  </si>
  <si>
    <t>Bjarne Wagner-Larsen</t>
  </si>
  <si>
    <t>Bo V. Jacobsen</t>
  </si>
  <si>
    <t>Timer i alt</t>
  </si>
  <si>
    <t>Formændsafløserne</t>
  </si>
  <si>
    <t>Plankode 8500</t>
  </si>
  <si>
    <t>0815 - 1600</t>
  </si>
  <si>
    <t>0815 - 1415</t>
  </si>
  <si>
    <t>Jesper Simonsen</t>
  </si>
  <si>
    <t>Michael B. Pedersen</t>
  </si>
  <si>
    <t xml:space="preserve">Vagter for turnus Rådhuset  </t>
  </si>
  <si>
    <t>Plankode 8516</t>
  </si>
  <si>
    <t>Hold 1</t>
  </si>
  <si>
    <t>0900 - 1715</t>
  </si>
  <si>
    <t>PA 0815 - 1615</t>
  </si>
  <si>
    <r>
      <t>1</t>
    </r>
    <r>
      <rPr>
        <sz val="9"/>
        <rFont val="Arial"/>
        <family val="2"/>
      </rPr>
      <t xml:space="preserve">                   Anders B. Hintze</t>
    </r>
  </si>
  <si>
    <t>PB 0815 - 1615</t>
  </si>
  <si>
    <t>2300 - 0600</t>
  </si>
  <si>
    <t>1900 - 0600</t>
  </si>
  <si>
    <t>PC 0900 - 1715</t>
  </si>
  <si>
    <r>
      <t xml:space="preserve">6 </t>
    </r>
    <r>
      <rPr>
        <sz val="9"/>
        <rFont val="Arial"/>
        <family val="2"/>
      </rPr>
      <t xml:space="preserve">                 Betina Knøsgaard</t>
    </r>
  </si>
  <si>
    <t>Dagvagt</t>
  </si>
  <si>
    <t>(Disp)</t>
  </si>
  <si>
    <r>
      <t>11</t>
    </r>
    <r>
      <rPr>
        <sz val="9"/>
        <rFont val="Arial"/>
        <family val="2"/>
      </rPr>
      <t xml:space="preserve">        Mariane E. Mortensen</t>
    </r>
  </si>
  <si>
    <t>Hold 2</t>
  </si>
  <si>
    <r>
      <t xml:space="preserve">2  </t>
    </r>
    <r>
      <rPr>
        <sz val="9"/>
        <rFont val="Arial"/>
        <family val="2"/>
      </rPr>
      <t xml:space="preserve">                      Henrik Dencker</t>
    </r>
  </si>
  <si>
    <r>
      <t>7</t>
    </r>
    <r>
      <rPr>
        <sz val="9"/>
        <rFont val="Arial"/>
        <family val="2"/>
      </rPr>
      <t xml:space="preserve">                              Jim Hansen</t>
    </r>
  </si>
  <si>
    <t>Aften 1600-2300 ( 0700-1900)</t>
  </si>
  <si>
    <t>Aften 1500-2300 ( 0830-1530)</t>
  </si>
  <si>
    <r>
      <t xml:space="preserve">12   </t>
    </r>
    <r>
      <rPr>
        <sz val="9"/>
        <rFont val="Arial"/>
        <family val="2"/>
      </rPr>
      <t xml:space="preserve">                Kim B.T Hansen</t>
    </r>
  </si>
  <si>
    <t>Nat 2300 - 0600 (1900 - 0600</t>
  </si>
  <si>
    <t>Hold 3</t>
  </si>
  <si>
    <t>Nat 2300 - 0700 (1900 - 0700)</t>
  </si>
  <si>
    <r>
      <t>3</t>
    </r>
    <r>
      <rPr>
        <sz val="9"/>
        <rFont val="Arial"/>
        <family val="2"/>
      </rPr>
      <t xml:space="preserve">          Mikael M. Martensen</t>
    </r>
  </si>
  <si>
    <r>
      <t xml:space="preserve">8                    </t>
    </r>
    <r>
      <rPr>
        <sz val="9"/>
        <rFont val="Arial"/>
        <family val="2"/>
      </rPr>
      <t>Steen Hertin</t>
    </r>
  </si>
  <si>
    <r>
      <t xml:space="preserve">13       </t>
    </r>
    <r>
      <rPr>
        <sz val="9"/>
        <rFont val="Arial"/>
        <family val="2"/>
      </rPr>
      <t>Anders C. Henriksen</t>
    </r>
  </si>
  <si>
    <t>Hold 4</t>
  </si>
  <si>
    <t>1600 - 2300</t>
  </si>
  <si>
    <r>
      <t xml:space="preserve">4                  </t>
    </r>
    <r>
      <rPr>
        <sz val="9"/>
        <rFont val="Arial"/>
        <family val="2"/>
      </rPr>
      <t>Kurt Foldberg</t>
    </r>
  </si>
  <si>
    <t>0830 - 1530</t>
  </si>
  <si>
    <r>
      <t>9</t>
    </r>
    <r>
      <rPr>
        <sz val="9"/>
        <rFont val="Arial"/>
        <family val="2"/>
      </rPr>
      <t xml:space="preserve">                            Per A. Olsen</t>
    </r>
  </si>
  <si>
    <r>
      <t xml:space="preserve">14 </t>
    </r>
    <r>
      <rPr>
        <sz val="9"/>
        <rFont val="Arial"/>
        <family val="2"/>
      </rPr>
      <t xml:space="preserve">               Henning Haaning</t>
    </r>
  </si>
  <si>
    <t>Hold 5</t>
  </si>
  <si>
    <r>
      <t>5</t>
    </r>
    <r>
      <rPr>
        <sz val="9"/>
        <rFont val="Arial"/>
        <family val="2"/>
      </rPr>
      <t xml:space="preserve">               Jannie M-Andersen</t>
    </r>
  </si>
  <si>
    <r>
      <t>10</t>
    </r>
    <r>
      <rPr>
        <sz val="9"/>
        <rFont val="Arial"/>
        <family val="2"/>
      </rPr>
      <t xml:space="preserve">                       Jim H. Larsen</t>
    </r>
  </si>
  <si>
    <r>
      <t xml:space="preserve">15              </t>
    </r>
    <r>
      <rPr>
        <sz val="9"/>
        <rFont val="Arial"/>
        <family val="2"/>
      </rPr>
      <t>Erik M. Nielsen</t>
    </r>
  </si>
  <si>
    <t xml:space="preserve">Vagter for Bernstoffsgade &amp; H.N.G.  </t>
  </si>
  <si>
    <t>Plankode 8511</t>
  </si>
  <si>
    <t xml:space="preserve">H  vagt </t>
  </si>
  <si>
    <t>0600 - 1300</t>
  </si>
  <si>
    <t>I   vagt</t>
  </si>
  <si>
    <t>1300 - 2000</t>
  </si>
  <si>
    <t>1300 - 1900</t>
  </si>
  <si>
    <t>K  vagt</t>
  </si>
  <si>
    <t>0850 - 1520</t>
  </si>
  <si>
    <t>0850 - 1420</t>
  </si>
  <si>
    <t>0600 - 1315</t>
  </si>
  <si>
    <t xml:space="preserve">Vagter for Njalsgade og Bryggens Gård  </t>
  </si>
  <si>
    <t>Plankode 8512</t>
  </si>
  <si>
    <t>L  vagt Bryggen</t>
  </si>
  <si>
    <t>0600 - 1430</t>
  </si>
  <si>
    <t>0600 - 1330</t>
  </si>
  <si>
    <t>Med pause</t>
  </si>
  <si>
    <t>M vagt Bryggen</t>
  </si>
  <si>
    <t>1430 - 2100</t>
  </si>
  <si>
    <t>1330 - 2030</t>
  </si>
  <si>
    <t>N vagt (Bibliotek)</t>
  </si>
  <si>
    <t>1200 - 1930</t>
  </si>
  <si>
    <t>1200 - 1630</t>
  </si>
  <si>
    <t>0830 - 1515</t>
  </si>
  <si>
    <t>0930 - 1600</t>
  </si>
  <si>
    <t>Med pause u/afløsning</t>
  </si>
  <si>
    <t>O vagt Njalsgade</t>
  </si>
  <si>
    <t>P vagt Njalsgade</t>
  </si>
  <si>
    <t>R vagt Afløse mm.</t>
  </si>
  <si>
    <t xml:space="preserve">Vagter for Ottiliahus  </t>
  </si>
  <si>
    <t>Plankode 8552</t>
  </si>
  <si>
    <t xml:space="preserve">S  vagt </t>
  </si>
  <si>
    <t>T   vagt</t>
  </si>
  <si>
    <t>1330 - 2100</t>
  </si>
  <si>
    <t>U  vagt</t>
  </si>
  <si>
    <t>0800 - 1530</t>
  </si>
  <si>
    <t>0800 - 1500</t>
  </si>
  <si>
    <t>Fast portner A</t>
  </si>
  <si>
    <t>Arne Berthold</t>
  </si>
  <si>
    <t>Fast portner B</t>
  </si>
  <si>
    <t>Plankode 8519</t>
  </si>
  <si>
    <t>0700 - 1430</t>
  </si>
  <si>
    <t>Anders Villadsen</t>
  </si>
  <si>
    <t>Kontoret + fester</t>
  </si>
  <si>
    <t>Marianne Rasmussen</t>
  </si>
  <si>
    <t>Ulla B. Olsen</t>
  </si>
  <si>
    <t>Bent Zumbach</t>
  </si>
  <si>
    <t>Stuen</t>
  </si>
  <si>
    <t>Plankode 8515</t>
  </si>
  <si>
    <t>Knud O. Jørgensen</t>
  </si>
  <si>
    <t>Afløserne</t>
  </si>
  <si>
    <t>Plankode 8517</t>
  </si>
  <si>
    <t>0600 - 1400</t>
  </si>
  <si>
    <t>Kristoffer Ruth</t>
  </si>
  <si>
    <t>Ferie Afløserne</t>
  </si>
  <si>
    <t>Karl Weidich</t>
  </si>
  <si>
    <t>Dean Poulsen</t>
  </si>
  <si>
    <t>Maria Christensen</t>
  </si>
  <si>
    <t>Christian Bjørkved</t>
  </si>
  <si>
    <t>Maria S. Kjarval</t>
  </si>
  <si>
    <t>I alt</t>
  </si>
  <si>
    <t>Timer på hverdage</t>
  </si>
  <si>
    <t>Timer på helligdage</t>
  </si>
  <si>
    <t>Timer pr. år</t>
  </si>
  <si>
    <t>BR møder på et år</t>
  </si>
  <si>
    <t>Arrangementer på et år</t>
  </si>
  <si>
    <t>Ekstra p.g.a. trusler m.v. ca. 3 mand i tolv timer pr. gang.</t>
  </si>
  <si>
    <t>Grand total</t>
  </si>
  <si>
    <t>svarer til ca. 63 medarbejdere</t>
  </si>
  <si>
    <t>Plankode 8521</t>
  </si>
  <si>
    <t>0745- 1345</t>
  </si>
  <si>
    <t>372 Jørgen Pyrmer</t>
  </si>
  <si>
    <t>Stedfortræder</t>
  </si>
  <si>
    <t>Ugentligt</t>
  </si>
  <si>
    <t>Månedligt</t>
  </si>
  <si>
    <t>Årligt</t>
  </si>
  <si>
    <r>
      <t>4:</t>
    </r>
    <r>
      <rPr>
        <sz val="9"/>
        <rFont val="Arial"/>
        <family val="2"/>
      </rPr>
      <t xml:space="preserve"> 2230- 0645</t>
    </r>
  </si>
  <si>
    <r>
      <t>B:</t>
    </r>
    <r>
      <rPr>
        <sz val="9"/>
        <rFont val="Arial"/>
        <family val="2"/>
      </rPr>
      <t xml:space="preserve"> 1830 - 0645</t>
    </r>
  </si>
  <si>
    <r>
      <t>1:</t>
    </r>
    <r>
      <rPr>
        <sz val="9"/>
        <rFont val="Arial"/>
        <family val="2"/>
      </rPr>
      <t xml:space="preserve"> Vagthavende kl. 0630 - 1445</t>
    </r>
  </si>
  <si>
    <t>Timeopgørelse</t>
  </si>
  <si>
    <r>
      <t>2:</t>
    </r>
    <r>
      <rPr>
        <sz val="9"/>
        <rFont val="Arial"/>
        <family val="2"/>
      </rPr>
      <t xml:space="preserve"> Vagthavende kl. 1430 - 2230</t>
    </r>
  </si>
  <si>
    <t>Timer i 2./3. skift</t>
  </si>
  <si>
    <r>
      <t>3:</t>
    </r>
    <r>
      <rPr>
        <sz val="9"/>
        <rFont val="Arial"/>
        <family val="2"/>
      </rPr>
      <t xml:space="preserve"> Patruljeleder kl. 1630 - 2345</t>
    </r>
  </si>
  <si>
    <r>
      <t xml:space="preserve">II </t>
    </r>
    <r>
      <rPr>
        <sz val="9"/>
        <rFont val="Arial"/>
        <family val="2"/>
      </rPr>
      <t>886 Per Larsen</t>
    </r>
  </si>
  <si>
    <r>
      <t>1:</t>
    </r>
    <r>
      <rPr>
        <sz val="9"/>
        <rFont val="Arial"/>
        <family val="2"/>
      </rPr>
      <t xml:space="preserve"> 0630 - 1445</t>
    </r>
  </si>
  <si>
    <r>
      <t>A</t>
    </r>
    <r>
      <rPr>
        <sz val="9"/>
        <rFont val="Arial"/>
        <family val="2"/>
      </rPr>
      <t xml:space="preserve">: Vagthavende kl. 0630 - 1845  </t>
    </r>
  </si>
  <si>
    <r>
      <t>III</t>
    </r>
    <r>
      <rPr>
        <sz val="9"/>
        <rFont val="Arial"/>
        <family val="2"/>
      </rPr>
      <t xml:space="preserve"> 654 Bo Volfing Jacobsen</t>
    </r>
  </si>
  <si>
    <r>
      <t>B:</t>
    </r>
    <r>
      <rPr>
        <sz val="9"/>
        <rFont val="Arial"/>
        <family val="2"/>
      </rPr>
      <t xml:space="preserve"> Vagthavende kl. 1830 - 0645 </t>
    </r>
  </si>
  <si>
    <r>
      <t>2:</t>
    </r>
    <r>
      <rPr>
        <sz val="9"/>
        <rFont val="Arial"/>
        <family val="2"/>
      </rPr>
      <t xml:space="preserve"> 1430 - 2230</t>
    </r>
  </si>
  <si>
    <r>
      <t>A:</t>
    </r>
    <r>
      <rPr>
        <sz val="9"/>
        <rFont val="Arial"/>
        <family val="2"/>
      </rPr>
      <t xml:space="preserve"> 0630 - 1845</t>
    </r>
  </si>
  <si>
    <r>
      <t xml:space="preserve">IV  </t>
    </r>
    <r>
      <rPr>
        <sz val="9"/>
        <rFont val="Arial"/>
        <family val="2"/>
      </rPr>
      <t>664 Dennis Rise</t>
    </r>
  </si>
  <si>
    <t>Total</t>
  </si>
  <si>
    <r>
      <t>V</t>
    </r>
    <r>
      <rPr>
        <sz val="9"/>
        <rFont val="Arial"/>
        <family val="2"/>
      </rPr>
      <t xml:space="preserve">  669 Jørgen Rasmussen.</t>
    </r>
  </si>
  <si>
    <r>
      <t>3:</t>
    </r>
    <r>
      <rPr>
        <sz val="9"/>
        <rFont val="Arial"/>
        <family val="2"/>
      </rPr>
      <t xml:space="preserve"> 1630 - 2345</t>
    </r>
  </si>
  <si>
    <t>Rondering / alarmudrykning</t>
  </si>
  <si>
    <t>37 timer x 4 uger =</t>
  </si>
  <si>
    <t>timer</t>
  </si>
  <si>
    <r>
      <t xml:space="preserve">VI </t>
    </r>
    <r>
      <rPr>
        <sz val="9"/>
        <rFont val="Arial"/>
        <family val="2"/>
      </rPr>
      <t>890 Michael Bo Pedersen</t>
    </r>
  </si>
  <si>
    <t xml:space="preserve">2. / 3. Skifts timer =  </t>
  </si>
  <si>
    <t>:37 timer</t>
  </si>
  <si>
    <t>357 Jesper Simonsen</t>
  </si>
  <si>
    <t xml:space="preserve">timer x 3 (grundet 37/3 reglen) = </t>
  </si>
  <si>
    <t>358 Per Olsen</t>
  </si>
  <si>
    <t>383 Kjeld Julius Jespersen</t>
  </si>
  <si>
    <t>timer - godtskrivelse på</t>
  </si>
  <si>
    <t>timer =</t>
  </si>
  <si>
    <t>(Skal arbejde)</t>
  </si>
  <si>
    <t>reel tid - normtid</t>
  </si>
  <si>
    <t xml:space="preserve">Turnusvagter Rådhuset  </t>
  </si>
  <si>
    <t>Uge      Plankode 8516</t>
  </si>
  <si>
    <t>Dag tjeneste</t>
  </si>
  <si>
    <r>
      <t>11</t>
    </r>
    <r>
      <rPr>
        <sz val="9"/>
        <rFont val="Arial"/>
        <family val="2"/>
      </rPr>
      <t xml:space="preserve"> 2300 - 0715</t>
    </r>
  </si>
  <si>
    <r>
      <t>B3</t>
    </r>
    <r>
      <rPr>
        <sz val="10"/>
        <color indexed="9"/>
        <rFont val="Arial"/>
        <family val="2"/>
      </rPr>
      <t xml:space="preserve"> 1900 - 0715</t>
    </r>
  </si>
  <si>
    <t>Timer i 2./3. Skift</t>
  </si>
  <si>
    <r>
      <t xml:space="preserve">1 </t>
    </r>
    <r>
      <rPr>
        <sz val="9"/>
        <rFont val="Arial"/>
        <family val="2"/>
      </rPr>
      <t>0700 - 1400 + helligdage kl. 0700-1400</t>
    </r>
  </si>
  <si>
    <r>
      <t>Uge 1</t>
    </r>
    <r>
      <rPr>
        <sz val="9"/>
        <rFont val="Arial"/>
        <family val="2"/>
      </rPr>
      <t xml:space="preserve"> </t>
    </r>
  </si>
  <si>
    <r>
      <t>2</t>
    </r>
    <r>
      <rPr>
        <sz val="9"/>
        <rFont val="Arial"/>
        <family val="2"/>
      </rPr>
      <t>udgået</t>
    </r>
  </si>
  <si>
    <r>
      <t>9</t>
    </r>
    <r>
      <rPr>
        <sz val="9"/>
        <rFont val="Arial"/>
        <family val="2"/>
      </rPr>
      <t xml:space="preserve"> 2300 - 0600</t>
    </r>
  </si>
  <si>
    <r>
      <t>B1</t>
    </r>
    <r>
      <rPr>
        <sz val="10"/>
        <color indexed="9"/>
        <rFont val="Arial"/>
        <family val="2"/>
      </rPr>
      <t>1900 - 0600</t>
    </r>
  </si>
  <si>
    <r>
      <t>3</t>
    </r>
    <r>
      <rPr>
        <sz val="9"/>
        <rFont val="Arial"/>
        <family val="2"/>
      </rPr>
      <t xml:space="preserve"> 0730 - 1530 + helligdage kl. 0730-1530</t>
    </r>
  </si>
  <si>
    <r>
      <t xml:space="preserve">6 </t>
    </r>
    <r>
      <rPr>
        <sz val="9"/>
        <rFont val="Arial"/>
        <family val="2"/>
      </rPr>
      <t xml:space="preserve">                Betina Knøsgaard</t>
    </r>
  </si>
  <si>
    <t xml:space="preserve">Uge 6 </t>
  </si>
  <si>
    <r>
      <t>4</t>
    </r>
    <r>
      <rPr>
        <sz val="9"/>
        <rFont val="Arial"/>
        <family val="2"/>
      </rPr>
      <t xml:space="preserve"> 0930 - 1730</t>
    </r>
  </si>
  <si>
    <r>
      <t>10</t>
    </r>
    <r>
      <rPr>
        <sz val="9"/>
        <rFont val="Arial"/>
        <family val="2"/>
      </rPr>
      <t xml:space="preserve"> 2300 - 0700</t>
    </r>
  </si>
  <si>
    <r>
      <t>B2</t>
    </r>
    <r>
      <rPr>
        <sz val="10"/>
        <color indexed="9"/>
        <rFont val="Arial"/>
        <family val="2"/>
      </rPr>
      <t>1900 - 0700</t>
    </r>
  </si>
  <si>
    <r>
      <t>11</t>
    </r>
    <r>
      <rPr>
        <sz val="9"/>
        <rFont val="Arial"/>
        <family val="2"/>
      </rPr>
      <t xml:space="preserve">            Mariane Hillebrand</t>
    </r>
  </si>
  <si>
    <r>
      <t>Uge 11</t>
    </r>
    <r>
      <rPr>
        <sz val="9"/>
        <rFont val="Arial"/>
        <family val="2"/>
      </rPr>
      <t xml:space="preserve">            </t>
    </r>
  </si>
  <si>
    <r>
      <t>A1</t>
    </r>
    <r>
      <rPr>
        <sz val="9"/>
        <rFont val="Arial"/>
        <family val="2"/>
      </rPr>
      <t xml:space="preserve"> 0845 - 1745 Lørdag (Hovedporten), Niels Hemmingsens Gade</t>
    </r>
  </si>
  <si>
    <r>
      <t>2</t>
    </r>
    <r>
      <rPr>
        <sz val="9"/>
        <rFont val="Arial"/>
        <family val="2"/>
      </rPr>
      <t xml:space="preserve">                     Jørn Rasmussen</t>
    </r>
  </si>
  <si>
    <r>
      <t>Uge 2</t>
    </r>
    <r>
      <rPr>
        <sz val="9"/>
        <rFont val="Arial"/>
        <family val="2"/>
      </rPr>
      <t xml:space="preserve">                             </t>
    </r>
  </si>
  <si>
    <t>Uge 7</t>
  </si>
  <si>
    <t>Uge 8</t>
  </si>
  <si>
    <r>
      <t>A2</t>
    </r>
    <r>
      <rPr>
        <sz val="9"/>
        <rFont val="Arial"/>
        <family val="2"/>
      </rPr>
      <t xml:space="preserve"> 0700 - 1900 Lør-, søndage</t>
    </r>
  </si>
  <si>
    <r>
      <t xml:space="preserve">7 </t>
    </r>
    <r>
      <rPr>
        <sz val="9"/>
        <rFont val="Arial"/>
        <family val="2"/>
      </rPr>
      <t xml:space="preserve">             Kim B.T. Pedersen</t>
    </r>
  </si>
  <si>
    <t>Uge 9</t>
  </si>
  <si>
    <r>
      <t>A3</t>
    </r>
    <r>
      <rPr>
        <sz val="9"/>
        <rFont val="Arial"/>
        <family val="2"/>
      </rPr>
      <t xml:space="preserve"> 0700 - 1915</t>
    </r>
  </si>
  <si>
    <r>
      <t xml:space="preserve">A3 </t>
    </r>
    <r>
      <rPr>
        <sz val="9"/>
        <rFont val="Arial"/>
        <family val="2"/>
      </rPr>
      <t>0700 - 1915</t>
    </r>
  </si>
  <si>
    <t>Uge 10</t>
  </si>
  <si>
    <r>
      <t>A3</t>
    </r>
    <r>
      <rPr>
        <sz val="9"/>
        <rFont val="Arial"/>
        <family val="2"/>
      </rPr>
      <t xml:space="preserve"> 0700 - 1915 Lør-, søndage</t>
    </r>
  </si>
  <si>
    <r>
      <t>12</t>
    </r>
    <r>
      <rPr>
        <sz val="9"/>
        <rFont val="Arial"/>
        <family val="2"/>
      </rPr>
      <t xml:space="preserve">                  Kristoffer Ruth</t>
    </r>
  </si>
  <si>
    <r>
      <t>Uge 12</t>
    </r>
    <r>
      <rPr>
        <sz val="9"/>
        <rFont val="Arial"/>
        <family val="2"/>
      </rPr>
      <t xml:space="preserve">                  </t>
    </r>
  </si>
  <si>
    <t>Uge 11</t>
  </si>
  <si>
    <r>
      <t>8</t>
    </r>
    <r>
      <rPr>
        <sz val="9"/>
        <rFont val="Arial"/>
        <family val="2"/>
      </rPr>
      <t xml:space="preserve"> 1600 - 2300</t>
    </r>
  </si>
  <si>
    <r>
      <t>8</t>
    </r>
    <r>
      <rPr>
        <sz val="9"/>
        <rFont val="Arial"/>
        <family val="2"/>
      </rPr>
      <t xml:space="preserve"> 1600 - 2230</t>
    </r>
  </si>
  <si>
    <r>
      <t xml:space="preserve">A2 </t>
    </r>
    <r>
      <rPr>
        <sz val="9"/>
        <rFont val="Arial"/>
        <family val="2"/>
      </rPr>
      <t>0700 - 1900</t>
    </r>
  </si>
  <si>
    <t>Uge 12</t>
  </si>
  <si>
    <t>Aften tjeneste</t>
  </si>
  <si>
    <r>
      <t>Uge 3</t>
    </r>
    <r>
      <rPr>
        <sz val="9"/>
        <rFont val="Arial"/>
        <family val="2"/>
      </rPr>
      <t xml:space="preserve"> </t>
    </r>
  </si>
  <si>
    <t>Uge 13</t>
  </si>
  <si>
    <r>
      <t xml:space="preserve">5 </t>
    </r>
    <r>
      <rPr>
        <sz val="9"/>
        <rFont val="Arial"/>
        <family val="2"/>
      </rPr>
      <t>1600 - 2330</t>
    </r>
  </si>
  <si>
    <r>
      <t>6</t>
    </r>
    <r>
      <rPr>
        <sz val="9"/>
        <rFont val="Arial"/>
        <family val="2"/>
      </rPr>
      <t xml:space="preserve"> 1600 - 2300</t>
    </r>
  </si>
  <si>
    <r>
      <t>A1</t>
    </r>
    <r>
      <rPr>
        <sz val="9"/>
        <rFont val="Arial"/>
        <family val="2"/>
      </rPr>
      <t xml:space="preserve"> 0845 - 1745</t>
    </r>
  </si>
  <si>
    <t>Uge 14</t>
  </si>
  <si>
    <r>
      <t>6</t>
    </r>
    <r>
      <rPr>
        <sz val="9"/>
        <rFont val="Arial"/>
        <family val="2"/>
      </rPr>
      <t xml:space="preserve"> Aften 1600-2300 </t>
    </r>
  </si>
  <si>
    <r>
      <t xml:space="preserve">8                   </t>
    </r>
    <r>
      <rPr>
        <sz val="9"/>
        <rFont val="Arial"/>
        <family val="2"/>
      </rPr>
      <t>Steen Hertin</t>
    </r>
  </si>
  <si>
    <t>Uge 15</t>
  </si>
  <si>
    <r>
      <t>7</t>
    </r>
    <r>
      <rPr>
        <sz val="10"/>
        <color indexed="9"/>
        <rFont val="Arial"/>
        <family val="2"/>
      </rPr>
      <t xml:space="preserve"> Aften 1515 -2315</t>
    </r>
  </si>
  <si>
    <r>
      <t>7</t>
    </r>
    <r>
      <rPr>
        <sz val="10"/>
        <color indexed="9"/>
        <rFont val="Arial"/>
        <family val="2"/>
      </rPr>
      <t xml:space="preserve"> 1515 - 2315</t>
    </r>
  </si>
  <si>
    <r>
      <t>8</t>
    </r>
    <r>
      <rPr>
        <sz val="9"/>
        <rFont val="Arial"/>
        <family val="2"/>
      </rPr>
      <t xml:space="preserve"> Aften 1600-2300 / fre. 1600 - 2230</t>
    </r>
  </si>
  <si>
    <r>
      <t xml:space="preserve">13 </t>
    </r>
    <r>
      <rPr>
        <sz val="9"/>
        <rFont val="Arial"/>
        <family val="2"/>
      </rPr>
      <t xml:space="preserve">      Maria Christensen</t>
    </r>
  </si>
  <si>
    <t>37 timer x 15 uger =</t>
  </si>
  <si>
    <t>Nat tjeneste</t>
  </si>
  <si>
    <r>
      <t xml:space="preserve">4                  </t>
    </r>
    <r>
      <rPr>
        <sz val="9"/>
        <rFont val="Arial"/>
        <family val="2"/>
      </rPr>
      <t>Bo Lundvall</t>
    </r>
  </si>
  <si>
    <r>
      <t>9</t>
    </r>
    <r>
      <rPr>
        <sz val="9"/>
        <rFont val="Arial"/>
        <family val="2"/>
      </rPr>
      <t xml:space="preserve"> Nat 2300 - 0600 </t>
    </r>
  </si>
  <si>
    <r>
      <t>10</t>
    </r>
    <r>
      <rPr>
        <sz val="9"/>
        <rFont val="Arial"/>
        <family val="2"/>
      </rPr>
      <t xml:space="preserve"> Nat 2300 - 0700 </t>
    </r>
  </si>
  <si>
    <r>
      <t>9</t>
    </r>
    <r>
      <rPr>
        <sz val="9"/>
        <rFont val="Arial"/>
        <family val="2"/>
      </rPr>
      <t xml:space="preserve">                   Daniel Ben jakler</t>
    </r>
  </si>
  <si>
    <r>
      <t>11</t>
    </r>
    <r>
      <rPr>
        <sz val="9"/>
        <rFont val="Arial"/>
        <family val="2"/>
      </rPr>
      <t xml:space="preserve"> Nat 2300 - 0715</t>
    </r>
  </si>
  <si>
    <r>
      <t>14</t>
    </r>
    <r>
      <rPr>
        <sz val="9"/>
        <rFont val="Arial"/>
        <family val="2"/>
      </rPr>
      <t xml:space="preserve">               Sonny Thomsen</t>
    </r>
  </si>
  <si>
    <r>
      <t>Uge 14</t>
    </r>
    <r>
      <rPr>
        <sz val="9"/>
        <rFont val="Arial"/>
        <family val="2"/>
      </rPr>
      <t xml:space="preserve"> </t>
    </r>
  </si>
  <si>
    <r>
      <t>B1</t>
    </r>
    <r>
      <rPr>
        <sz val="9"/>
        <rFont val="Arial"/>
        <family val="2"/>
      </rPr>
      <t xml:space="preserve"> Nat 1900 - 0600  Lør-, søndage</t>
    </r>
  </si>
  <si>
    <r>
      <t>1</t>
    </r>
    <r>
      <rPr>
        <sz val="9"/>
        <rFont val="Arial"/>
        <family val="2"/>
      </rPr>
      <t xml:space="preserve"> 0700 - 1400</t>
    </r>
  </si>
  <si>
    <r>
      <t>Uge 5</t>
    </r>
    <r>
      <rPr>
        <sz val="9"/>
        <rFont val="Arial"/>
        <family val="2"/>
      </rPr>
      <t xml:space="preserve">               </t>
    </r>
  </si>
  <si>
    <r>
      <t>B2</t>
    </r>
    <r>
      <rPr>
        <sz val="9"/>
        <rFont val="Arial"/>
        <family val="2"/>
      </rPr>
      <t xml:space="preserve"> Nat 1900 - 0700  Lør-, søndage </t>
    </r>
  </si>
  <si>
    <r>
      <t>5</t>
    </r>
    <r>
      <rPr>
        <sz val="9"/>
        <rFont val="Arial"/>
        <family val="2"/>
      </rPr>
      <t xml:space="preserve"> 1600 - 2330</t>
    </r>
  </si>
  <si>
    <r>
      <t>Uge 10</t>
    </r>
    <r>
      <rPr>
        <sz val="9"/>
        <rFont val="Arial"/>
        <family val="2"/>
      </rPr>
      <t xml:space="preserve"> </t>
    </r>
  </si>
  <si>
    <r>
      <t>B3</t>
    </r>
    <r>
      <rPr>
        <sz val="9"/>
        <rFont val="Arial"/>
        <family val="2"/>
      </rPr>
      <t xml:space="preserve"> Nat 1900 - 0715  Lør-, søndage</t>
    </r>
  </si>
  <si>
    <r>
      <t>3</t>
    </r>
    <r>
      <rPr>
        <sz val="9"/>
        <rFont val="Arial"/>
        <family val="2"/>
      </rPr>
      <t xml:space="preserve"> 0730 - 1530</t>
    </r>
  </si>
  <si>
    <t xml:space="preserve">Uge 15 </t>
  </si>
  <si>
    <t xml:space="preserve">Turnusvagter Rådhuset i ugerækkefølge </t>
  </si>
  <si>
    <r>
      <t>2</t>
    </r>
    <r>
      <rPr>
        <sz val="9"/>
        <rFont val="Arial"/>
        <family val="2"/>
      </rPr>
      <t xml:space="preserve">                    Jørn Rasmussen</t>
    </r>
  </si>
  <si>
    <r>
      <t xml:space="preserve">9  </t>
    </r>
    <r>
      <rPr>
        <sz val="9"/>
        <rFont val="Arial"/>
        <family val="2"/>
      </rPr>
      <t xml:space="preserve">                Daniel Ben Jakler</t>
    </r>
  </si>
  <si>
    <t>Fast I-vagt (Informationen)</t>
  </si>
  <si>
    <t>Plankode 8520</t>
  </si>
  <si>
    <t>0700-1445</t>
  </si>
  <si>
    <t>0700-1300</t>
  </si>
  <si>
    <t>Afl. Fast A-portner, P-plads</t>
  </si>
  <si>
    <t>B &amp; U.</t>
  </si>
  <si>
    <t>0745-1530</t>
  </si>
  <si>
    <t>0745-1345</t>
  </si>
  <si>
    <t>Ulla Belsager Olsen</t>
  </si>
  <si>
    <t>Fast Buffer</t>
  </si>
  <si>
    <t>Plankode 8514</t>
  </si>
  <si>
    <t>0800 - 1600</t>
  </si>
  <si>
    <t>0800 - 1300</t>
  </si>
  <si>
    <t>Vagter for Bryggens Gård  (Nedlagt 31/3 - 2005)</t>
  </si>
  <si>
    <t>timer *</t>
  </si>
  <si>
    <t>uger =</t>
  </si>
  <si>
    <t>Timer</t>
  </si>
  <si>
    <t xml:space="preserve"> 0600 - 1400</t>
  </si>
  <si>
    <r>
      <t xml:space="preserve"> </t>
    </r>
    <r>
      <rPr>
        <sz val="9"/>
        <rFont val="Arial"/>
        <family val="2"/>
      </rPr>
      <t>0600 - 1300</t>
    </r>
  </si>
  <si>
    <t>Åbne Njalsgade kl. 600 - 630</t>
  </si>
  <si>
    <t>2. / 3. Skifts timer:</t>
  </si>
  <si>
    <t xml:space="preserve"> 1400 - 2030</t>
  </si>
  <si>
    <t xml:space="preserve"> 1300 - 1915</t>
  </si>
  <si>
    <t>Lukke Bryggen &amp; Njalsgade</t>
  </si>
  <si>
    <t>: 37 =</t>
  </si>
  <si>
    <t>0,88 x 3 (grundet 37/3 reglen) = 2,64 timer</t>
  </si>
  <si>
    <t>74 timer - 2,64 = 71,36 (skal arbejde)</t>
  </si>
  <si>
    <t>71,25 timer - 71,36 timer = - ,11</t>
  </si>
  <si>
    <t>37 timer x 3 uger = 111 timer</t>
  </si>
  <si>
    <t>2. / 3. Skifts timer = 34</t>
  </si>
  <si>
    <t>1200 - 1900</t>
  </si>
  <si>
    <t>1200 - 1800</t>
  </si>
  <si>
    <t>34 : 37 timer = 0,92  timer</t>
  </si>
  <si>
    <t>Udgået</t>
  </si>
  <si>
    <t>0,92 timer x 3 (grundet 37/3 reglen) = 2,76 timer</t>
  </si>
  <si>
    <t>111 timer - godtskrivelse på 2,76 timer = 108,24 timer</t>
  </si>
  <si>
    <r>
      <t>108 timer - 108,24 timer = -0,24</t>
    </r>
    <r>
      <rPr>
        <u/>
        <sz val="10"/>
        <rFont val="Arial"/>
        <family val="2"/>
      </rPr>
      <t xml:space="preserve"> time</t>
    </r>
  </si>
  <si>
    <t>Buffergruppen</t>
  </si>
  <si>
    <t>Vagter for Kredse</t>
  </si>
  <si>
    <t>Uge      Plankode 8513</t>
  </si>
  <si>
    <r>
      <t>K1 0815</t>
    </r>
    <r>
      <rPr>
        <sz val="9"/>
        <rFont val="Arial"/>
        <family val="2"/>
      </rPr>
      <t xml:space="preserve"> - 1545</t>
    </r>
  </si>
  <si>
    <t>K1 0815 - 1545</t>
  </si>
  <si>
    <t>K1 0900 - 1830</t>
  </si>
  <si>
    <t>K1 0815-1315</t>
  </si>
  <si>
    <t>K2 1500 – 0015</t>
  </si>
  <si>
    <t>K2 1400 – 0015</t>
  </si>
  <si>
    <r>
      <t>KA</t>
    </r>
    <r>
      <rPr>
        <sz val="9"/>
        <rFont val="Arial"/>
        <family val="2"/>
      </rPr>
      <t xml:space="preserve"> 1100 - 2130</t>
    </r>
  </si>
  <si>
    <t>x 3 (grundet 37/3 reglen) =</t>
  </si>
  <si>
    <t>time (godtskrivelse)</t>
  </si>
  <si>
    <t>Godtskrivelse =</t>
  </si>
  <si>
    <t xml:space="preserve"> (Skal arbejde)</t>
  </si>
  <si>
    <t>Vagtplanstimer</t>
  </si>
  <si>
    <t>Minus godtskrivelse</t>
  </si>
  <si>
    <t>=</t>
  </si>
  <si>
    <t>Vagter for Den Hvide Kødby</t>
  </si>
  <si>
    <r>
      <t>H1</t>
    </r>
    <r>
      <rPr>
        <sz val="9"/>
        <rFont val="Arial"/>
        <family val="2"/>
      </rPr>
      <t xml:space="preserve"> 1800 - 0600</t>
    </r>
  </si>
  <si>
    <r>
      <t>HB</t>
    </r>
    <r>
      <rPr>
        <sz val="9"/>
        <rFont val="Arial"/>
        <family val="2"/>
      </rPr>
      <t xml:space="preserve"> 2400 - 1200</t>
    </r>
  </si>
  <si>
    <r>
      <t>HD</t>
    </r>
    <r>
      <rPr>
        <sz val="9"/>
        <rFont val="Arial"/>
        <family val="2"/>
      </rPr>
      <t xml:space="preserve"> 2200 - 0600</t>
    </r>
  </si>
  <si>
    <t>1      Uge 1</t>
  </si>
  <si>
    <t>2      Uge 2</t>
  </si>
  <si>
    <r>
      <t>HA</t>
    </r>
    <r>
      <rPr>
        <sz val="9"/>
        <rFont val="Arial"/>
        <family val="2"/>
      </rPr>
      <t xml:space="preserve"> 1200 - 2400</t>
    </r>
  </si>
  <si>
    <r>
      <t>HC</t>
    </r>
    <r>
      <rPr>
        <sz val="9"/>
        <rFont val="Arial"/>
        <family val="2"/>
      </rPr>
      <t xml:space="preserve"> 1200 - 2200</t>
    </r>
  </si>
  <si>
    <t>3      Uge 3</t>
  </si>
  <si>
    <r>
      <t>H2</t>
    </r>
    <r>
      <rPr>
        <sz val="9"/>
        <rFont val="Arial"/>
        <family val="2"/>
      </rPr>
      <t xml:space="preserve"> 0900 - 1545</t>
    </r>
  </si>
  <si>
    <r>
      <t>H3</t>
    </r>
    <r>
      <rPr>
        <sz val="9"/>
        <rFont val="Arial"/>
        <family val="2"/>
      </rPr>
      <t xml:space="preserve"> 0800 - 1545</t>
    </r>
  </si>
  <si>
    <r>
      <t>H4</t>
    </r>
    <r>
      <rPr>
        <sz val="9"/>
        <rFont val="Arial"/>
        <family val="2"/>
      </rPr>
      <t xml:space="preserve"> 0800 - 1530</t>
    </r>
  </si>
  <si>
    <t>4      Uge 4</t>
  </si>
  <si>
    <t>Bollevagter til helligdage</t>
  </si>
  <si>
    <t>Snit pr. måned</t>
  </si>
  <si>
    <t>BR møder på år</t>
  </si>
  <si>
    <t>AR på år</t>
  </si>
  <si>
    <t>svarer til ca. 47 medarbejdere</t>
  </si>
  <si>
    <t>Rådhusservice</t>
  </si>
  <si>
    <t xml:space="preserve">Plankode  </t>
  </si>
  <si>
    <t>0730 - 1515</t>
  </si>
  <si>
    <t>0730 - 1330</t>
  </si>
  <si>
    <t>168 Kurt N. V. Hansen</t>
  </si>
  <si>
    <t>643 Bjarne Wagner-Larsen</t>
  </si>
  <si>
    <t>360 Anders Henriksen</t>
  </si>
  <si>
    <t>614 Arne Berthold</t>
  </si>
  <si>
    <t>Birgith Melsted Jensen</t>
  </si>
  <si>
    <t>Majbritt Jensen</t>
  </si>
  <si>
    <t>Ruth Nissen</t>
  </si>
  <si>
    <t>Vagtkode i lønsystem</t>
  </si>
  <si>
    <t>I27</t>
  </si>
  <si>
    <t>I26</t>
  </si>
  <si>
    <t>A77</t>
  </si>
  <si>
    <t>A60</t>
  </si>
  <si>
    <t>F04</t>
  </si>
  <si>
    <t>BW 1</t>
  </si>
  <si>
    <t>BW1</t>
  </si>
  <si>
    <t>Tur</t>
  </si>
  <si>
    <t>F01</t>
  </si>
  <si>
    <t>F02</t>
  </si>
  <si>
    <t>AW 1</t>
  </si>
  <si>
    <r>
      <t>3:</t>
    </r>
    <r>
      <rPr>
        <sz val="9"/>
        <rFont val="Arial"/>
        <family val="2"/>
      </rPr>
      <t xml:space="preserve"> 1630-2345</t>
    </r>
  </si>
  <si>
    <r>
      <t>VI</t>
    </r>
    <r>
      <rPr>
        <sz val="9"/>
        <rFont val="Arial"/>
        <family val="2"/>
      </rPr>
      <t xml:space="preserve">  890 Michael Bo Pedersen</t>
    </r>
  </si>
  <si>
    <t>F03</t>
  </si>
  <si>
    <t>Type i vagtplanssystem</t>
  </si>
  <si>
    <t>011</t>
  </si>
  <si>
    <t>B3W</t>
  </si>
  <si>
    <t>009</t>
  </si>
  <si>
    <t>B1W</t>
  </si>
  <si>
    <t>010</t>
  </si>
  <si>
    <t>B2W</t>
  </si>
  <si>
    <r>
      <t>2</t>
    </r>
    <r>
      <rPr>
        <sz val="9"/>
        <rFont val="Arial"/>
        <family val="2"/>
      </rPr>
      <t xml:space="preserve">                             Tina Hansen</t>
    </r>
  </si>
  <si>
    <t>A3W</t>
  </si>
  <si>
    <t>008</t>
  </si>
  <si>
    <t>X08</t>
  </si>
  <si>
    <t>A2W</t>
  </si>
  <si>
    <t>006</t>
  </si>
  <si>
    <t>A1W</t>
  </si>
  <si>
    <t>007</t>
  </si>
  <si>
    <t>004</t>
  </si>
  <si>
    <t>001</t>
  </si>
  <si>
    <t>005</t>
  </si>
  <si>
    <t>003</t>
  </si>
  <si>
    <t>Sekvens rækkefølge</t>
  </si>
  <si>
    <r>
      <t>I1</t>
    </r>
    <r>
      <rPr>
        <sz val="9"/>
        <rFont val="Arial"/>
        <family val="2"/>
      </rPr>
      <t xml:space="preserve"> 0700-1445</t>
    </r>
  </si>
  <si>
    <r>
      <t>I1</t>
    </r>
    <r>
      <rPr>
        <sz val="9"/>
        <rFont val="Arial"/>
        <family val="2"/>
      </rPr>
      <t xml:space="preserve"> 0700-1300</t>
    </r>
  </si>
  <si>
    <t>I17</t>
  </si>
  <si>
    <t>I16</t>
  </si>
  <si>
    <r>
      <t>I2</t>
    </r>
    <r>
      <rPr>
        <sz val="9"/>
        <rFont val="Arial"/>
        <family val="2"/>
      </rPr>
      <t xml:space="preserve"> 0745-1530</t>
    </r>
  </si>
  <si>
    <r>
      <t>I2</t>
    </r>
    <r>
      <rPr>
        <sz val="9"/>
        <rFont val="Arial"/>
        <family val="2"/>
      </rPr>
      <t xml:space="preserve"> 0745-1345</t>
    </r>
  </si>
  <si>
    <t>TR8</t>
  </si>
  <si>
    <t>TR5</t>
  </si>
  <si>
    <t xml:space="preserve">Vagter for Bryggens Gård  </t>
  </si>
  <si>
    <t>L80</t>
  </si>
  <si>
    <t>L70</t>
  </si>
  <si>
    <t>M65</t>
  </si>
  <si>
    <t>M62</t>
  </si>
  <si>
    <t>S75</t>
  </si>
  <si>
    <t>S70</t>
  </si>
  <si>
    <t>T70</t>
  </si>
  <si>
    <t>T60</t>
  </si>
  <si>
    <t>U75</t>
  </si>
  <si>
    <t>U70</t>
  </si>
  <si>
    <t>B77</t>
  </si>
  <si>
    <t>B60</t>
  </si>
  <si>
    <t>910 John Rasmussen</t>
  </si>
  <si>
    <t>Plankode 8505</t>
  </si>
  <si>
    <t>JR 1</t>
  </si>
  <si>
    <t xml:space="preserve">JR1 </t>
  </si>
  <si>
    <t>JR 2</t>
  </si>
  <si>
    <t>0830 - 1600</t>
  </si>
  <si>
    <t>0900 - 1600</t>
  </si>
  <si>
    <t>Kreds turnus</t>
  </si>
  <si>
    <t>Uge       Plankode 8513</t>
  </si>
  <si>
    <r>
      <t>K1</t>
    </r>
    <r>
      <rPr>
        <sz val="9"/>
        <rFont val="Arial"/>
        <family val="2"/>
      </rPr>
      <t xml:space="preserve"> 0730 - 1600 </t>
    </r>
  </si>
  <si>
    <t>1    K1 vagt</t>
  </si>
  <si>
    <t>K10</t>
  </si>
  <si>
    <r>
      <t>K2</t>
    </r>
    <r>
      <rPr>
        <sz val="9"/>
        <rFont val="Arial"/>
        <family val="2"/>
      </rPr>
      <t xml:space="preserve"> 1700 - 2359</t>
    </r>
  </si>
  <si>
    <r>
      <t>KA</t>
    </r>
    <r>
      <rPr>
        <sz val="9"/>
        <rFont val="Arial"/>
        <family val="2"/>
      </rPr>
      <t xml:space="preserve"> 1100 - 2300</t>
    </r>
  </si>
  <si>
    <t>Kreds, AP m.v.</t>
  </si>
  <si>
    <t>2    K2 vagt</t>
  </si>
  <si>
    <t>Også på helligdage.</t>
  </si>
  <si>
    <t>K20</t>
  </si>
  <si>
    <t>KAW</t>
  </si>
  <si>
    <t>3    K3 vagt</t>
  </si>
  <si>
    <t>tur</t>
  </si>
  <si>
    <r>
      <t>K4</t>
    </r>
    <r>
      <rPr>
        <sz val="9"/>
        <rFont val="Arial"/>
        <family val="2"/>
      </rPr>
      <t xml:space="preserve"> 1630 - 0015 </t>
    </r>
  </si>
  <si>
    <t>4    K4 vagt</t>
  </si>
  <si>
    <t>K40</t>
  </si>
  <si>
    <t>5 Ikke iværksat</t>
  </si>
  <si>
    <t>K50</t>
  </si>
  <si>
    <t>6 Ikke iværksat</t>
  </si>
  <si>
    <t>7 Ikke iværksat</t>
  </si>
  <si>
    <t>svarer til ca. 49 medarbejdere</t>
  </si>
  <si>
    <t>Balanced Scorecard for Rådhusservice 2009</t>
  </si>
  <si>
    <t>Aktivitet</t>
  </si>
  <si>
    <t>Måling</t>
  </si>
  <si>
    <t>Succes kriterium</t>
  </si>
  <si>
    <t>Ansvarlig</t>
  </si>
  <si>
    <t xml:space="preserve">Planlagt </t>
  </si>
  <si>
    <t xml:space="preserve">Realiseret </t>
  </si>
  <si>
    <t>1. kvartal</t>
  </si>
  <si>
    <t>2. kvartal</t>
  </si>
  <si>
    <t>3. kvartal</t>
  </si>
  <si>
    <t>4 kvartal</t>
  </si>
  <si>
    <t>ARR. &amp; ADM afd.</t>
  </si>
  <si>
    <t>Svigt af leverancer</t>
  </si>
  <si>
    <t>Antal svigt af leverancer af mad mv.</t>
  </si>
  <si>
    <t>Under 5 pr. kvartal</t>
  </si>
  <si>
    <t>Kritisk aktivitet</t>
  </si>
  <si>
    <t>Kunder    OMR 0021</t>
  </si>
  <si>
    <t>Klager</t>
  </si>
  <si>
    <t>Antal skriftlige klager</t>
  </si>
  <si>
    <t>Kvartalsopgørelse       ≤ 1</t>
  </si>
  <si>
    <t>JP</t>
  </si>
  <si>
    <t>Kundetilfredshed</t>
  </si>
  <si>
    <t xml:space="preserve">Kundernes gennemsnitlige tilfredshed ved spørgeskemaundersøgelsen. </t>
  </si>
  <si>
    <t>Minimum 4 på en skala fra 1-5</t>
  </si>
  <si>
    <t>Kunder    OMR 0020</t>
  </si>
  <si>
    <t>Fl</t>
  </si>
  <si>
    <t>ARR &amp; ADM afd.</t>
  </si>
  <si>
    <t>FL</t>
  </si>
  <si>
    <t xml:space="preserve">Kunder    OMR 0022                 </t>
  </si>
  <si>
    <t>CL</t>
  </si>
  <si>
    <t xml:space="preserve">Kunder    OMR 0023 </t>
  </si>
  <si>
    <t>Skanning</t>
  </si>
  <si>
    <t>KH</t>
  </si>
  <si>
    <t>q1iQdodEj0GLbPS0gkPt10GXD2F-bdBPpMbVolKa-XpUNzVVVUs0R1JROE5MS0IwTDFFV0pTNFVJSSQlQCN0PWcu</t>
  </si>
  <si>
    <t>Form1</t>
  </si>
  <si>
    <t>{9cc9521c-7d83-4cb0-89f8-748dca75b3b8}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</si>
</sst>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 #,##0.00\ &quot;kr.&quot;_-;\-* #,##0.00\ &quot;kr.&quot;_-;_-* &quot;-&quot;??\ &quot;kr.&quot;_-;_-@_-"/>
    <numFmt numFmtId="164" formatCode="&quot;kr.&quot;#,##0_);[Red]\(&quot;kr.&quot;#,##0\)"/>
    <numFmt numFmtId="165" formatCode="mm/yy"/>
    <numFmt numFmtId="166" formatCode="0.0"/>
    <numFmt numFmtId="167" formatCode="#,##0.0"/>
    <numFmt numFmtId="168" formatCode="&quot;kr &quot;#,##0_);[Red]&quot;(kr &quot;#,##0\)"/>
    <numFmt numFmtId="169" formatCode="dd/mm/yy;@"/>
    <numFmt numFmtId="170" formatCode="_(* #,##0_);_(* \(#,##0\);_(* \-_);_(@_)"/>
    <numFmt numFmtId="171" formatCode="#,##0\ &quot;kr.&quot;"/>
    <numFmt numFmtId="172" formatCode="#,##0.00\ &quot;kr.&quot;"/>
    <numFmt numFmtId="173" formatCode="0.00_ ;[Red]\-0.00\ "/>
  </numFmts>
  <fonts count="69" x14ac:knownFonts="1">
    <font>
      <sz val="9"/>
      <name val="Arial"/>
      <family val="2"/>
    </font>
    <font>
      <sz val="11"/>
      <color theme="1"/>
      <name val="Calibri"/>
      <family val="2"/>
      <scheme val="minor"/>
    </font>
    <font>
      <sz val="11"/>
      <color theme="1"/>
      <name val="Calibri"/>
      <family val="2"/>
      <scheme val="minor"/>
    </font>
    <font>
      <sz val="10"/>
      <name val="Arial"/>
      <family val="2"/>
    </font>
    <font>
      <b/>
      <sz val="10"/>
      <name val="Arial"/>
      <family val="2"/>
    </font>
    <font>
      <sz val="18"/>
      <name val="Arial"/>
      <family val="2"/>
    </font>
    <font>
      <b/>
      <sz val="9"/>
      <name val="Arial"/>
      <family val="2"/>
    </font>
    <font>
      <sz val="9"/>
      <name val="Arial"/>
      <family val="2"/>
    </font>
    <font>
      <sz val="10"/>
      <color indexed="9"/>
      <name val="Arial"/>
      <family val="2"/>
    </font>
    <font>
      <sz val="8"/>
      <name val="Arial"/>
      <family val="2"/>
    </font>
    <font>
      <b/>
      <sz val="10"/>
      <color indexed="9"/>
      <name val="Arial"/>
      <family val="2"/>
    </font>
    <font>
      <sz val="9"/>
      <color indexed="9"/>
      <name val="Arial"/>
      <family val="2"/>
    </font>
    <font>
      <u/>
      <sz val="10"/>
      <name val="Arial"/>
      <family val="2"/>
    </font>
    <font>
      <sz val="10"/>
      <name val="Times New Roman"/>
      <family val="1"/>
    </font>
    <font>
      <b/>
      <sz val="11"/>
      <name val="Arial"/>
      <family val="2"/>
    </font>
    <font>
      <sz val="11"/>
      <name val="Arial"/>
      <family val="2"/>
    </font>
    <font>
      <b/>
      <i/>
      <sz val="11"/>
      <name val="Arial"/>
      <family val="2"/>
    </font>
    <font>
      <b/>
      <i/>
      <sz val="10"/>
      <name val="Arial"/>
      <family val="2"/>
    </font>
    <font>
      <sz val="10"/>
      <color indexed="8"/>
      <name val="Arial"/>
      <family val="2"/>
    </font>
    <font>
      <b/>
      <sz val="10"/>
      <color indexed="8"/>
      <name val="Arial"/>
      <family val="2"/>
    </font>
    <font>
      <b/>
      <sz val="14"/>
      <name val="Arial"/>
      <family val="2"/>
    </font>
    <font>
      <b/>
      <sz val="12"/>
      <name val="Arial"/>
      <family val="2"/>
    </font>
    <font>
      <sz val="9"/>
      <color indexed="8"/>
      <name val="Arial"/>
      <family val="2"/>
    </font>
    <font>
      <sz val="14"/>
      <name val="Arial"/>
      <family val="2"/>
    </font>
    <font>
      <b/>
      <sz val="16"/>
      <name val="Arial"/>
      <family val="2"/>
    </font>
    <font>
      <sz val="8"/>
      <color indexed="8"/>
      <name val="Arial"/>
      <family val="2"/>
    </font>
    <font>
      <sz val="10"/>
      <color indexed="13"/>
      <name val="Arial"/>
      <family val="2"/>
    </font>
    <font>
      <sz val="8"/>
      <color indexed="13"/>
      <name val="Arial"/>
      <family val="2"/>
    </font>
    <font>
      <sz val="11"/>
      <color indexed="8"/>
      <name val="Calibri"/>
      <family val="2"/>
    </font>
    <font>
      <sz val="11"/>
      <color indexed="9"/>
      <name val="Calibri"/>
      <family val="2"/>
    </font>
    <font>
      <sz val="11"/>
      <color indexed="10"/>
      <name val="Calibri"/>
      <family val="2"/>
    </font>
    <font>
      <b/>
      <sz val="11"/>
      <color indexed="52"/>
      <name val="Calibri"/>
      <family val="2"/>
    </font>
    <font>
      <i/>
      <sz val="11"/>
      <color indexed="23"/>
      <name val="Calibri"/>
      <family val="2"/>
    </font>
    <font>
      <sz val="11"/>
      <color indexed="17"/>
      <name val="Calibri"/>
      <family val="2"/>
    </font>
    <font>
      <sz val="11"/>
      <color indexed="62"/>
      <name val="Calibri"/>
      <family val="2"/>
    </font>
    <font>
      <b/>
      <sz val="11"/>
      <color indexed="9"/>
      <name val="Calibri"/>
      <family val="2"/>
    </font>
    <font>
      <sz val="11"/>
      <color indexed="60"/>
      <name val="Calibri"/>
      <family val="2"/>
    </font>
    <font>
      <b/>
      <sz val="11"/>
      <color indexed="63"/>
      <name val="Calibri"/>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8"/>
      <color indexed="56"/>
      <name val="Cambria"/>
      <family val="2"/>
    </font>
    <font>
      <b/>
      <sz val="11"/>
      <color indexed="8"/>
      <name val="Calibri"/>
      <family val="2"/>
    </font>
    <font>
      <sz val="11"/>
      <color indexed="20"/>
      <name val="Calibri"/>
      <family val="2"/>
    </font>
    <font>
      <sz val="12"/>
      <name val="Arial"/>
      <family val="2"/>
    </font>
    <font>
      <sz val="11"/>
      <name val="Times New Roman"/>
      <family val="1"/>
    </font>
    <font>
      <sz val="11"/>
      <color rgb="FF1F497D"/>
      <name val="Calibri"/>
      <family val="2"/>
    </font>
    <font>
      <b/>
      <sz val="10"/>
      <color rgb="FFFF0000"/>
      <name val="Arial"/>
      <family val="2"/>
    </font>
    <font>
      <b/>
      <sz val="11"/>
      <name val="Times New Roman"/>
      <family val="1"/>
    </font>
    <font>
      <sz val="12"/>
      <color theme="0"/>
      <name val="Arial"/>
      <family val="2"/>
    </font>
    <font>
      <b/>
      <sz val="12"/>
      <name val="Times New Roman"/>
      <family val="1"/>
    </font>
    <font>
      <sz val="9"/>
      <color theme="0"/>
      <name val="Arial"/>
      <family val="2"/>
    </font>
    <font>
      <b/>
      <sz val="24"/>
      <name val="Arial"/>
      <family val="2"/>
    </font>
    <font>
      <sz val="20"/>
      <color rgb="FFFF0000"/>
      <name val="Arial"/>
      <family val="2"/>
    </font>
    <font>
      <sz val="16"/>
      <name val="Arial"/>
      <family val="2"/>
    </font>
    <font>
      <sz val="9"/>
      <color indexed="81"/>
      <name val="Tahoma"/>
      <family val="2"/>
    </font>
    <font>
      <b/>
      <sz val="9"/>
      <color indexed="81"/>
      <name val="Tahoma"/>
      <family val="2"/>
    </font>
    <font>
      <b/>
      <sz val="14"/>
      <color rgb="FFFF0000"/>
      <name val="Arial"/>
      <family val="2"/>
    </font>
    <font>
      <sz val="11"/>
      <name val="Calibri"/>
      <family val="2"/>
    </font>
    <font>
      <sz val="11"/>
      <color rgb="FF444444"/>
      <name val="Calibri"/>
      <family val="2"/>
    </font>
    <font>
      <sz val="11"/>
      <color rgb="FF000000"/>
      <name val="Calibri"/>
      <family val="2"/>
    </font>
    <font>
      <b/>
      <sz val="11"/>
      <color theme="1"/>
      <name val="Calibri"/>
      <family val="2"/>
      <scheme val="minor"/>
    </font>
    <font>
      <sz val="8"/>
      <name val="Segoe UI"/>
      <family val="2"/>
    </font>
    <font>
      <sz val="9"/>
      <name val="Calibri"/>
      <family val="2"/>
    </font>
    <font>
      <sz val="9"/>
      <color theme="1"/>
      <name val="Arial"/>
      <family val="2"/>
    </font>
    <font>
      <sz val="9"/>
      <color rgb="FFFF0000"/>
      <name val="Arial"/>
      <family val="2"/>
    </font>
    <font>
      <b/>
      <sz val="16"/>
      <color rgb="FFFF0000"/>
      <name val="Arial"/>
      <family val="2"/>
    </font>
    <font>
      <sz val="14"/>
      <color rgb="FFFF0000"/>
      <name val="Arial"/>
      <family val="2"/>
    </font>
  </fonts>
  <fills count="9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2"/>
        <bgColor indexed="31"/>
      </patternFill>
    </fill>
    <fill>
      <patternFill patternType="solid">
        <fgColor indexed="10"/>
        <bgColor indexed="60"/>
      </patternFill>
    </fill>
    <fill>
      <patternFill patternType="solid">
        <fgColor indexed="46"/>
        <bgColor indexed="24"/>
      </patternFill>
    </fill>
    <fill>
      <patternFill patternType="solid">
        <fgColor indexed="53"/>
        <bgColor indexed="52"/>
      </patternFill>
    </fill>
    <fill>
      <patternFill patternType="solid">
        <fgColor indexed="11"/>
        <bgColor indexed="49"/>
      </patternFill>
    </fill>
    <fill>
      <patternFill patternType="solid">
        <fgColor indexed="13"/>
        <bgColor indexed="34"/>
      </patternFill>
    </fill>
    <fill>
      <patternFill patternType="solid">
        <fgColor indexed="15"/>
        <bgColor indexed="35"/>
      </patternFill>
    </fill>
    <fill>
      <patternFill patternType="solid">
        <fgColor indexed="12"/>
        <bgColor indexed="39"/>
      </patternFill>
    </fill>
    <fill>
      <patternFill patternType="solid">
        <fgColor indexed="8"/>
        <bgColor indexed="58"/>
      </patternFill>
    </fill>
    <fill>
      <patternFill patternType="solid">
        <fgColor indexed="51"/>
        <bgColor indexed="13"/>
      </patternFill>
    </fill>
    <fill>
      <patternFill patternType="solid">
        <fgColor indexed="23"/>
        <bgColor indexed="55"/>
      </patternFill>
    </fill>
    <fill>
      <patternFill patternType="solid">
        <fgColor indexed="54"/>
        <bgColor indexed="23"/>
      </patternFill>
    </fill>
    <fill>
      <patternFill patternType="solid">
        <fgColor indexed="14"/>
        <bgColor indexed="33"/>
      </patternFill>
    </fill>
    <fill>
      <patternFill patternType="solid">
        <fgColor indexed="50"/>
        <bgColor indexed="51"/>
      </patternFill>
    </fill>
    <fill>
      <patternFill patternType="solid">
        <fgColor indexed="27"/>
        <bgColor indexed="41"/>
      </patternFill>
    </fill>
    <fill>
      <patternFill patternType="solid">
        <fgColor indexed="42"/>
        <bgColor indexed="27"/>
      </patternFill>
    </fill>
    <fill>
      <patternFill patternType="solid">
        <fgColor indexed="43"/>
        <bgColor indexed="26"/>
      </patternFill>
    </fill>
    <fill>
      <patternFill patternType="solid">
        <fgColor indexed="40"/>
        <bgColor indexed="49"/>
      </patternFill>
    </fill>
    <fill>
      <patternFill patternType="solid">
        <fgColor indexed="57"/>
        <bgColor indexed="21"/>
      </patternFill>
    </fill>
    <fill>
      <patternFill patternType="solid">
        <fgColor indexed="9"/>
        <bgColor indexed="26"/>
      </patternFill>
    </fill>
    <fill>
      <patternFill patternType="solid">
        <fgColor indexed="52"/>
        <bgColor indexed="51"/>
      </patternFill>
    </fill>
    <fill>
      <patternFill patternType="solid">
        <fgColor indexed="44"/>
        <bgColor indexed="31"/>
      </patternFill>
    </fill>
    <fill>
      <patternFill patternType="solid">
        <fgColor indexed="48"/>
        <bgColor indexed="30"/>
      </patternFill>
    </fill>
    <fill>
      <patternFill patternType="solid">
        <fgColor indexed="45"/>
        <bgColor indexed="29"/>
      </patternFill>
    </fill>
    <fill>
      <patternFill patternType="solid">
        <fgColor indexed="47"/>
        <bgColor indexed="22"/>
      </patternFill>
    </fill>
    <fill>
      <patternFill patternType="solid">
        <fgColor indexed="9"/>
        <bgColor indexed="64"/>
      </patternFill>
    </fill>
    <fill>
      <patternFill patternType="solid">
        <fgColor indexed="22"/>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99CCFF"/>
        <bgColor indexed="64"/>
      </patternFill>
    </fill>
    <fill>
      <patternFill patternType="solid">
        <fgColor rgb="FFFFFF00"/>
        <bgColor indexed="64"/>
      </patternFill>
    </fill>
    <fill>
      <patternFill patternType="solid">
        <fgColor rgb="FF0000FF"/>
        <bgColor indexed="64"/>
      </patternFill>
    </fill>
    <fill>
      <patternFill patternType="solid">
        <fgColor rgb="FFFFCC99"/>
        <bgColor indexed="64"/>
      </patternFill>
    </fill>
    <fill>
      <patternFill patternType="solid">
        <fgColor rgb="FFCC99FF"/>
        <bgColor indexed="64"/>
      </patternFill>
    </fill>
    <fill>
      <patternFill patternType="solid">
        <fgColor rgb="FFCCFFCC"/>
        <bgColor indexed="64"/>
      </patternFill>
    </fill>
    <fill>
      <patternFill patternType="solid">
        <fgColor rgb="FFFF99FF"/>
        <bgColor indexed="64"/>
      </patternFill>
    </fill>
    <fill>
      <patternFill patternType="solid">
        <fgColor theme="0"/>
        <bgColor indexed="51"/>
      </patternFill>
    </fill>
    <fill>
      <patternFill patternType="solid">
        <fgColor theme="0"/>
        <bgColor indexed="31"/>
      </patternFill>
    </fill>
    <fill>
      <patternFill patternType="solid">
        <fgColor theme="0" tint="-0.24994659260841701"/>
        <bgColor indexed="23"/>
      </patternFill>
    </fill>
    <fill>
      <patternFill patternType="solid">
        <fgColor theme="0" tint="-0.24994659260841701"/>
        <bgColor indexed="31"/>
      </patternFill>
    </fill>
    <fill>
      <patternFill patternType="solid">
        <fgColor theme="0" tint="-0.14996795556505021"/>
        <bgColor indexed="26"/>
      </patternFill>
    </fill>
    <fill>
      <patternFill patternType="solid">
        <fgColor theme="0" tint="-0.14996795556505021"/>
        <bgColor indexed="41"/>
      </patternFill>
    </fill>
    <fill>
      <patternFill patternType="solid">
        <fgColor theme="0" tint="-0.14996795556505021"/>
        <bgColor auto="1"/>
      </patternFill>
    </fill>
    <fill>
      <patternFill patternType="solid">
        <fgColor theme="0" tint="-0.14996795556505021"/>
        <bgColor indexed="64"/>
      </patternFill>
    </fill>
    <fill>
      <patternFill patternType="solid">
        <fgColor theme="5"/>
        <bgColor indexed="64"/>
      </patternFill>
    </fill>
    <fill>
      <patternFill patternType="solid">
        <fgColor theme="5" tint="-0.24994659260841701"/>
        <bgColor indexed="64"/>
      </patternFill>
    </fill>
    <fill>
      <patternFill patternType="solid">
        <fgColor theme="0" tint="-0.249977111117893"/>
        <bgColor indexed="64"/>
      </patternFill>
    </fill>
    <fill>
      <patternFill patternType="solid">
        <fgColor rgb="FFFFC000"/>
        <bgColor indexed="64"/>
      </patternFill>
    </fill>
    <fill>
      <patternFill patternType="solid">
        <fgColor theme="4"/>
        <bgColor indexed="64"/>
      </patternFill>
    </fill>
    <fill>
      <patternFill patternType="solid">
        <fgColor rgb="FFF79443"/>
        <bgColor indexed="64"/>
      </patternFill>
    </fill>
    <fill>
      <patternFill patternType="solid">
        <fgColor rgb="FFFFFF99"/>
        <bgColor indexed="64"/>
      </patternFill>
    </fill>
    <fill>
      <patternFill patternType="solid">
        <fgColor theme="5" tint="-0.249977111117893"/>
        <bgColor indexed="64"/>
      </patternFill>
    </fill>
    <fill>
      <patternFill patternType="solid">
        <fgColor rgb="FF0000FF"/>
        <bgColor indexed="30"/>
      </patternFill>
    </fill>
    <fill>
      <patternFill patternType="solid">
        <fgColor theme="0" tint="-0.499984740745262"/>
        <bgColor indexed="64"/>
      </patternFill>
    </fill>
    <fill>
      <patternFill patternType="solid">
        <fgColor theme="0" tint="-0.34998626667073579"/>
        <bgColor indexed="64"/>
      </patternFill>
    </fill>
    <fill>
      <patternFill patternType="solid">
        <fgColor rgb="FFF2F2F2"/>
        <bgColor indexed="64"/>
      </patternFill>
    </fill>
    <fill>
      <patternFill patternType="solid">
        <fgColor theme="7" tint="0.59999389629810485"/>
        <bgColor indexed="64"/>
      </patternFill>
    </fill>
    <fill>
      <patternFill patternType="solid">
        <fgColor rgb="FFD9D9D9"/>
        <bgColor indexed="64"/>
      </patternFill>
    </fill>
    <fill>
      <patternFill patternType="solid">
        <fgColor rgb="FFFFE699"/>
        <bgColor indexed="64"/>
      </patternFill>
    </fill>
    <fill>
      <patternFill patternType="solid">
        <fgColor theme="0" tint="-4.9989318521683403E-2"/>
        <bgColor indexed="64"/>
      </patternFill>
    </fill>
    <fill>
      <patternFill patternType="solid">
        <fgColor rgb="FF9966FF"/>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rgb="FF99FFCC"/>
        <bgColor indexed="64"/>
      </patternFill>
    </fill>
    <fill>
      <patternFill patternType="solid">
        <fgColor theme="0" tint="-0.249977111117893"/>
        <bgColor indexed="31"/>
      </patternFill>
    </fill>
    <fill>
      <patternFill patternType="solid">
        <fgColor rgb="FFFF99CC"/>
        <bgColor indexed="64"/>
      </patternFill>
    </fill>
    <fill>
      <patternFill patternType="solid">
        <fgColor theme="7" tint="0.39997558519241921"/>
        <bgColor indexed="64"/>
      </patternFill>
    </fill>
  </fills>
  <borders count="861">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top style="thin">
        <color indexed="62"/>
      </top>
      <bottom style="double">
        <color indexed="62"/>
      </bottom>
      <diagonal/>
    </border>
    <border>
      <left style="medium">
        <color indexed="8"/>
      </left>
      <right/>
      <top/>
      <bottom style="thin">
        <color indexed="8"/>
      </bottom>
      <diagonal/>
    </border>
    <border>
      <left style="thin">
        <color indexed="8"/>
      </left>
      <right style="thin">
        <color indexed="8"/>
      </right>
      <top/>
      <bottom style="thin">
        <color indexed="8"/>
      </bottom>
      <diagonal/>
    </border>
    <border>
      <left/>
      <right/>
      <top/>
      <bottom style="thin">
        <color indexed="8"/>
      </bottom>
      <diagonal/>
    </border>
    <border>
      <left style="thin">
        <color indexed="8"/>
      </left>
      <right/>
      <top/>
      <bottom style="thin">
        <color indexed="8"/>
      </bottom>
      <diagonal/>
    </border>
    <border>
      <left style="thin">
        <color indexed="8"/>
      </left>
      <right style="medium">
        <color indexed="8"/>
      </right>
      <top/>
      <bottom style="thin">
        <color indexed="8"/>
      </bottom>
      <diagonal/>
    </border>
    <border>
      <left style="medium">
        <color indexed="8"/>
      </left>
      <right/>
      <top/>
      <bottom/>
      <diagonal/>
    </border>
    <border>
      <left style="medium">
        <color indexed="8"/>
      </left>
      <right style="thin">
        <color indexed="8"/>
      </right>
      <top/>
      <bottom style="thin">
        <color indexed="8"/>
      </bottom>
      <diagonal/>
    </border>
    <border>
      <left/>
      <right/>
      <top/>
      <bottom style="double">
        <color indexed="8"/>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style="double">
        <color indexed="8"/>
      </bottom>
      <diagonal/>
    </border>
    <border>
      <left style="medium">
        <color indexed="8"/>
      </left>
      <right style="thin">
        <color indexed="8"/>
      </right>
      <top/>
      <bottom/>
      <diagonal/>
    </border>
    <border>
      <left/>
      <right style="thin">
        <color indexed="8"/>
      </right>
      <top/>
      <bottom style="thin">
        <color indexed="8"/>
      </bottom>
      <diagonal/>
    </border>
    <border>
      <left/>
      <right style="medium">
        <color indexed="8"/>
      </right>
      <top/>
      <bottom/>
      <diagonal/>
    </border>
    <border>
      <left/>
      <right style="medium">
        <color indexed="8"/>
      </right>
      <top/>
      <bottom style="thin">
        <color indexed="8"/>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8"/>
      </bottom>
      <diagonal/>
    </border>
    <border>
      <left style="medium">
        <color indexed="64"/>
      </left>
      <right/>
      <top/>
      <bottom/>
      <diagonal/>
    </border>
    <border>
      <left style="thin">
        <color indexed="64"/>
      </left>
      <right style="thin">
        <color indexed="64"/>
      </right>
      <top/>
      <bottom style="thin">
        <color indexed="8"/>
      </bottom>
      <diagonal/>
    </border>
    <border>
      <left/>
      <right/>
      <top style="thin">
        <color auto="1"/>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auto="1"/>
      </left>
      <right style="thin">
        <color auto="1"/>
      </right>
      <top/>
      <bottom style="thin">
        <color auto="1"/>
      </bottom>
      <diagonal/>
    </border>
    <border>
      <left style="thin">
        <color indexed="64"/>
      </left>
      <right style="medium">
        <color indexed="8"/>
      </right>
      <top style="medium">
        <color indexed="64"/>
      </top>
      <bottom style="thin">
        <color indexed="64"/>
      </bottom>
      <diagonal/>
    </border>
    <border>
      <left/>
      <right style="medium">
        <color indexed="8"/>
      </right>
      <top/>
      <bottom style="medium">
        <color indexed="8"/>
      </bottom>
      <diagonal/>
    </border>
    <border>
      <left style="thin">
        <color indexed="8"/>
      </left>
      <right style="thin">
        <color indexed="8"/>
      </right>
      <top/>
      <bottom style="medium">
        <color indexed="8"/>
      </bottom>
      <diagonal/>
    </border>
    <border>
      <left/>
      <right/>
      <top/>
      <bottom style="medium">
        <color indexed="8"/>
      </bottom>
      <diagonal/>
    </border>
    <border>
      <left style="medium">
        <color indexed="8"/>
      </left>
      <right/>
      <top/>
      <bottom style="medium">
        <color indexed="8"/>
      </bottom>
      <diagonal/>
    </border>
    <border>
      <left/>
      <right style="thin">
        <color indexed="8"/>
      </right>
      <top/>
      <bottom style="medium">
        <color indexed="8"/>
      </bottom>
      <diagonal/>
    </border>
    <border>
      <left style="thin">
        <color indexed="8"/>
      </left>
      <right/>
      <top/>
      <bottom style="medium">
        <color indexed="8"/>
      </bottom>
      <diagonal/>
    </border>
    <border>
      <left style="thin">
        <color indexed="8"/>
      </left>
      <right style="medium">
        <color indexed="8"/>
      </right>
      <top/>
      <bottom style="medium">
        <color indexed="8"/>
      </bottom>
      <diagonal/>
    </border>
    <border>
      <left style="medium">
        <color indexed="8"/>
      </left>
      <right style="medium">
        <color indexed="8"/>
      </right>
      <top/>
      <bottom style="medium">
        <color indexed="8"/>
      </bottom>
      <diagonal/>
    </border>
    <border>
      <left style="thin">
        <color indexed="64"/>
      </left>
      <right style="medium">
        <color indexed="8"/>
      </right>
      <top/>
      <bottom style="thin">
        <color indexed="8"/>
      </bottom>
      <diagonal/>
    </border>
    <border>
      <left style="thin">
        <color indexed="64"/>
      </left>
      <right style="medium">
        <color indexed="64"/>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indexed="64"/>
      </left>
      <right style="thin">
        <color indexed="64"/>
      </right>
      <top/>
      <bottom style="medium">
        <color indexed="64"/>
      </bottom>
      <diagonal/>
    </border>
    <border>
      <left/>
      <right/>
      <top style="medium">
        <color auto="1"/>
      </top>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medium">
        <color indexed="8"/>
      </right>
      <top style="thin">
        <color indexed="8"/>
      </top>
      <bottom/>
      <diagonal/>
    </border>
    <border>
      <left style="thin">
        <color auto="1"/>
      </left>
      <right style="medium">
        <color auto="1"/>
      </right>
      <top style="thin">
        <color auto="1"/>
      </top>
      <bottom style="thin">
        <color auto="1"/>
      </bottom>
      <diagonal/>
    </border>
    <border>
      <left style="thin">
        <color auto="1"/>
      </left>
      <right/>
      <top style="thin">
        <color auto="1"/>
      </top>
      <bottom style="thin">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auto="1"/>
      </left>
      <right style="thin">
        <color indexed="8"/>
      </right>
      <top style="thin">
        <color auto="1"/>
      </top>
      <bottom style="thin">
        <color auto="1"/>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thin">
        <color indexed="8"/>
      </bottom>
      <diagonal/>
    </border>
    <border>
      <left style="medium">
        <color indexed="8"/>
      </left>
      <right/>
      <top style="thin">
        <color indexed="8"/>
      </top>
      <bottom/>
      <diagonal/>
    </border>
    <border>
      <left style="thin">
        <color indexed="8"/>
      </left>
      <right/>
      <top style="thin">
        <color indexed="8"/>
      </top>
      <bottom style="medium">
        <color auto="1"/>
      </bottom>
      <diagonal/>
    </border>
    <border>
      <left style="thin">
        <color indexed="64"/>
      </left>
      <right style="medium">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auto="1"/>
      </top>
      <bottom style="medium">
        <color auto="1"/>
      </bottom>
      <diagonal/>
    </border>
    <border>
      <left style="thin">
        <color indexed="64"/>
      </left>
      <right/>
      <top/>
      <bottom style="thin">
        <color indexed="64"/>
      </bottom>
      <diagonal/>
    </border>
    <border>
      <left style="thin">
        <color indexed="8"/>
      </left>
      <right/>
      <top style="thin">
        <color indexed="8"/>
      </top>
      <bottom style="thin">
        <color indexed="8"/>
      </bottom>
      <diagonal/>
    </border>
    <border>
      <left style="thin">
        <color indexed="64"/>
      </left>
      <right/>
      <top style="thin">
        <color indexed="64"/>
      </top>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8"/>
      </left>
      <right style="medium">
        <color indexed="64"/>
      </right>
      <top/>
      <bottom style="medium">
        <color indexed="8"/>
      </bottom>
      <diagonal/>
    </border>
    <border>
      <left style="thin">
        <color indexed="64"/>
      </left>
      <right style="thin">
        <color indexed="64"/>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top style="thin">
        <color auto="1"/>
      </top>
      <bottom style="medium">
        <color auto="1"/>
      </bottom>
      <diagonal/>
    </border>
    <border>
      <left style="thin">
        <color indexed="64"/>
      </left>
      <right/>
      <top/>
      <bottom/>
      <diagonal/>
    </border>
    <border>
      <left style="thin">
        <color indexed="64"/>
      </left>
      <right/>
      <top style="thin">
        <color indexed="64"/>
      </top>
      <bottom style="medium">
        <color indexed="64"/>
      </bottom>
      <diagonal/>
    </border>
    <border>
      <left/>
      <right style="thin">
        <color auto="1"/>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8"/>
      </right>
      <top style="thin">
        <color indexed="8"/>
      </top>
      <bottom/>
      <diagonal/>
    </border>
    <border>
      <left style="thin">
        <color auto="1"/>
      </left>
      <right style="medium">
        <color auto="1"/>
      </right>
      <top style="thin">
        <color auto="1"/>
      </top>
      <bottom style="medium">
        <color auto="1"/>
      </bottom>
      <diagonal/>
    </border>
    <border>
      <left style="thin">
        <color indexed="64"/>
      </left>
      <right/>
      <top style="thin">
        <color indexed="8"/>
      </top>
      <bottom style="medium">
        <color indexed="8"/>
      </bottom>
      <diagonal/>
    </border>
    <border>
      <left style="thin">
        <color indexed="64"/>
      </left>
      <right style="medium">
        <color indexed="8"/>
      </right>
      <top style="thin">
        <color indexed="64"/>
      </top>
      <bottom style="thin">
        <color indexed="64"/>
      </bottom>
      <diagonal/>
    </border>
    <border>
      <left style="medium">
        <color indexed="8"/>
      </left>
      <right/>
      <top style="thin">
        <color indexed="8"/>
      </top>
      <bottom style="medium">
        <color indexed="8"/>
      </bottom>
      <diagonal/>
    </border>
    <border>
      <left style="thin">
        <color indexed="8"/>
      </left>
      <right style="thin">
        <color indexed="8"/>
      </right>
      <top style="thin">
        <color indexed="8"/>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8"/>
      </left>
      <right style="medium">
        <color indexed="8"/>
      </right>
      <top style="thin">
        <color indexed="8"/>
      </top>
      <bottom style="medium">
        <color indexed="8"/>
      </bottom>
      <diagonal/>
    </border>
    <border>
      <left style="thin">
        <color indexed="64"/>
      </left>
      <right/>
      <top style="thin">
        <color indexed="64"/>
      </top>
      <bottom/>
      <diagonal/>
    </border>
    <border>
      <left style="thin">
        <color indexed="8"/>
      </left>
      <right style="thin">
        <color indexed="8"/>
      </right>
      <top/>
      <bottom/>
      <diagonal/>
    </border>
    <border>
      <left style="thin">
        <color indexed="8"/>
      </left>
      <right/>
      <top/>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medium">
        <color indexed="8"/>
      </left>
      <right style="thin">
        <color indexed="8"/>
      </right>
      <top style="thin">
        <color indexed="8"/>
      </top>
      <bottom style="medium">
        <color indexed="8"/>
      </bottom>
      <diagonal/>
    </border>
    <border>
      <left style="thin">
        <color auto="1"/>
      </left>
      <right/>
      <top style="medium">
        <color indexed="8"/>
      </top>
      <bottom style="thin">
        <color auto="1"/>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8"/>
      </bottom>
      <diagonal/>
    </border>
    <border>
      <left style="thin">
        <color indexed="8"/>
      </left>
      <right style="medium">
        <color indexed="8"/>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8"/>
      </left>
      <right style="thin">
        <color indexed="8"/>
      </right>
      <top style="medium">
        <color indexed="8"/>
      </top>
      <bottom style="medium">
        <color indexed="8"/>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thin">
        <color indexed="8"/>
      </top>
      <bottom style="thin">
        <color indexed="8"/>
      </bottom>
      <diagonal/>
    </border>
    <border>
      <left/>
      <right style="thin">
        <color indexed="64"/>
      </right>
      <top style="thin">
        <color indexed="8"/>
      </top>
      <bottom style="medium">
        <color indexed="8"/>
      </bottom>
      <diagonal/>
    </border>
    <border>
      <left style="thin">
        <color indexed="8"/>
      </left>
      <right/>
      <top style="thin">
        <color indexed="8"/>
      </top>
      <bottom style="medium">
        <color indexed="8"/>
      </bottom>
      <diagonal/>
    </border>
    <border>
      <left/>
      <right/>
      <top style="thin">
        <color indexed="8"/>
      </top>
      <bottom style="medium">
        <color indexed="8"/>
      </bottom>
      <diagonal/>
    </border>
    <border>
      <left/>
      <right style="thin">
        <color indexed="8"/>
      </right>
      <top style="thin">
        <color indexed="8"/>
      </top>
      <bottom style="medium">
        <color indexed="8"/>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top style="medium">
        <color indexed="64"/>
      </top>
      <bottom/>
      <diagonal/>
    </border>
    <border>
      <left style="thin">
        <color indexed="64"/>
      </left>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medium">
        <color indexed="8"/>
      </left>
      <right/>
      <top style="thin">
        <color indexed="8"/>
      </top>
      <bottom style="thin">
        <color indexed="8"/>
      </bottom>
      <diagonal/>
    </border>
    <border>
      <left style="thin">
        <color indexed="8"/>
      </left>
      <right/>
      <top style="thin">
        <color indexed="8"/>
      </top>
      <bottom style="medium">
        <color auto="1"/>
      </bottom>
      <diagonal/>
    </border>
    <border>
      <left style="thin">
        <color indexed="64"/>
      </left>
      <right style="medium">
        <color indexed="8"/>
      </right>
      <top style="thin">
        <color indexed="8"/>
      </top>
      <bottom style="thin">
        <color indexed="8"/>
      </bottom>
      <diagonal/>
    </border>
    <border>
      <left/>
      <right style="medium">
        <color indexed="8"/>
      </right>
      <top style="thin">
        <color indexed="8"/>
      </top>
      <bottom/>
      <diagonal/>
    </border>
    <border>
      <left style="medium">
        <color indexed="64"/>
      </left>
      <right style="thin">
        <color indexed="64"/>
      </right>
      <top style="thin">
        <color indexed="64"/>
      </top>
      <bottom style="thin">
        <color indexed="64"/>
      </bottom>
      <diagonal/>
    </border>
    <border>
      <left style="thin">
        <color indexed="8"/>
      </left>
      <right style="medium">
        <color indexed="8"/>
      </right>
      <top style="thin">
        <color indexed="8"/>
      </top>
      <bottom style="thin">
        <color indexed="8"/>
      </bottom>
      <diagonal/>
    </border>
    <border>
      <left style="thin">
        <color indexed="64"/>
      </left>
      <right style="medium">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medium">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style="thin">
        <color indexed="8"/>
      </left>
      <right style="medium">
        <color indexed="8"/>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style="medium">
        <color indexed="8"/>
      </bottom>
      <diagonal/>
    </border>
    <border>
      <left style="thin">
        <color indexed="8"/>
      </left>
      <right/>
      <top style="thin">
        <color indexed="8"/>
      </top>
      <bottom style="thin">
        <color indexed="64"/>
      </bottom>
      <diagonal/>
    </border>
    <border>
      <left style="thin">
        <color indexed="8"/>
      </left>
      <right style="thin">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indexed="64"/>
      </left>
      <right style="thin">
        <color indexed="8"/>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auto="1"/>
      </right>
      <top style="thin">
        <color indexed="64"/>
      </top>
      <bottom style="medium">
        <color indexed="64"/>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8"/>
      </left>
      <right style="thin">
        <color indexed="8"/>
      </right>
      <top style="medium">
        <color indexed="8"/>
      </top>
      <bottom/>
      <diagonal/>
    </border>
    <border>
      <left style="thin">
        <color indexed="8"/>
      </left>
      <right style="medium">
        <color indexed="8"/>
      </right>
      <top style="medium">
        <color indexed="8"/>
      </top>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top style="thin">
        <color indexed="64"/>
      </top>
      <bottom style="medium">
        <color indexed="64"/>
      </bottom>
      <diagonal/>
    </border>
    <border>
      <left/>
      <right/>
      <top style="thin">
        <color auto="1"/>
      </top>
      <bottom style="medium">
        <color auto="1"/>
      </bottom>
      <diagonal/>
    </border>
    <border>
      <left/>
      <right style="thin">
        <color auto="1"/>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right style="medium">
        <color indexed="8"/>
      </right>
      <top style="medium">
        <color indexed="8"/>
      </top>
      <bottom style="thin">
        <color indexed="8"/>
      </bottom>
      <diagonal/>
    </border>
    <border>
      <left style="thin">
        <color indexed="64"/>
      </left>
      <right style="thin">
        <color indexed="64"/>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indexed="8"/>
      </left>
      <right style="thin">
        <color indexed="8"/>
      </right>
      <top style="medium">
        <color indexed="8"/>
      </top>
      <bottom style="thin">
        <color indexed="8"/>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style="thin">
        <color indexed="8"/>
      </top>
      <bottom style="medium">
        <color indexed="8"/>
      </bottom>
      <diagonal/>
    </border>
    <border>
      <left style="thin">
        <color auto="1"/>
      </left>
      <right style="thin">
        <color auto="1"/>
      </right>
      <top style="medium">
        <color indexed="8"/>
      </top>
      <bottom style="thin">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8"/>
      </left>
      <right style="thin">
        <color indexed="8"/>
      </right>
      <top style="medium">
        <color indexed="8"/>
      </top>
      <bottom style="medium">
        <color indexed="8"/>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auto="1"/>
      </left>
      <right style="thin">
        <color auto="1"/>
      </right>
      <top style="medium">
        <color indexed="8"/>
      </top>
      <bottom style="thin">
        <color auto="1"/>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indexed="64"/>
      </left>
      <right style="thin">
        <color indexed="64"/>
      </right>
      <top style="thin">
        <color indexed="64"/>
      </top>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right style="medium">
        <color indexed="8"/>
      </right>
      <top style="thin">
        <color indexed="8"/>
      </top>
      <bottom/>
      <diagonal/>
    </border>
    <border>
      <left style="thin">
        <color indexed="8"/>
      </left>
      <right style="medium">
        <color indexed="8"/>
      </right>
      <top style="medium">
        <color indexed="8"/>
      </top>
      <bottom style="thin">
        <color indexed="8"/>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right style="thin">
        <color auto="1"/>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right/>
      <top style="thin">
        <color indexed="8"/>
      </top>
      <bottom style="medium">
        <color indexed="8"/>
      </bottom>
      <diagonal/>
    </border>
    <border>
      <left style="thin">
        <color indexed="64"/>
      </left>
      <right style="thin">
        <color indexed="64"/>
      </right>
      <top style="thin">
        <color indexed="64"/>
      </top>
      <bottom style="thin">
        <color indexed="64"/>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indexed="8"/>
      </left>
      <right style="thin">
        <color indexed="8"/>
      </right>
      <top style="medium">
        <color indexed="8"/>
      </top>
      <bottom style="medium">
        <color indexed="8"/>
      </bottom>
      <diagonal/>
    </border>
    <border>
      <left style="thin">
        <color indexed="8"/>
      </left>
      <right style="medium">
        <color indexed="64"/>
      </right>
      <top style="medium">
        <color indexed="8"/>
      </top>
      <bottom style="medium">
        <color indexed="8"/>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right style="thin">
        <color indexed="8"/>
      </right>
      <top style="thin">
        <color indexed="8"/>
      </top>
      <bottom style="thin">
        <color indexed="64"/>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right style="thin">
        <color auto="1"/>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8"/>
      </top>
      <bottom style="medium">
        <color indexed="8"/>
      </bottom>
      <diagonal/>
    </border>
    <border>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auto="1"/>
      </left>
      <right style="medium">
        <color auto="1"/>
      </right>
      <top style="medium">
        <color indexed="8"/>
      </top>
      <bottom style="thin">
        <color auto="1"/>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style="thin">
        <color indexed="8"/>
      </top>
      <bottom style="medium">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indexed="64"/>
      </left>
      <right/>
      <top style="medium">
        <color indexed="8"/>
      </top>
      <bottom style="thin">
        <color indexed="64"/>
      </bottom>
      <diagonal/>
    </border>
    <border>
      <left/>
      <right style="thin">
        <color auto="1"/>
      </right>
      <top style="medium">
        <color indexed="8"/>
      </top>
      <bottom style="thin">
        <color auto="1"/>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thin">
        <color indexed="8"/>
      </top>
      <bottom/>
      <diagonal/>
    </border>
    <border>
      <left style="thin">
        <color auto="1"/>
      </left>
      <right style="thin">
        <color auto="1"/>
      </right>
      <top style="medium">
        <color indexed="8"/>
      </top>
      <bottom style="thin">
        <color auto="1"/>
      </bottom>
      <diagonal/>
    </border>
    <border>
      <left style="thin">
        <color indexed="8"/>
      </left>
      <right style="medium">
        <color indexed="8"/>
      </right>
      <top style="medium">
        <color indexed="8"/>
      </top>
      <bottom style="thin">
        <color indexed="8"/>
      </bottom>
      <diagonal/>
    </border>
    <border>
      <left/>
      <right/>
      <top style="thin">
        <color indexed="64"/>
      </top>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right style="medium">
        <color indexed="8"/>
      </right>
      <top style="thin">
        <color indexed="8"/>
      </top>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8"/>
      </top>
      <bottom style="thin">
        <color indexed="8"/>
      </bottom>
      <diagonal/>
    </border>
    <border>
      <left style="thin">
        <color indexed="63"/>
      </left>
      <right style="thin">
        <color indexed="63"/>
      </right>
      <top style="thin">
        <color indexed="63"/>
      </top>
      <bottom style="thin">
        <color indexed="63"/>
      </bottom>
      <diagonal/>
    </border>
    <border>
      <left style="thin">
        <color indexed="64"/>
      </left>
      <right style="medium">
        <color indexed="64"/>
      </right>
      <top style="medium">
        <color indexed="8"/>
      </top>
      <bottom style="thin">
        <color indexed="8"/>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auto="1"/>
      </left>
      <right style="thin">
        <color auto="1"/>
      </right>
      <top style="medium">
        <color auto="1"/>
      </top>
      <bottom style="thin">
        <color auto="1"/>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medium">
        <color indexed="64"/>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64"/>
      </left>
      <right style="medium">
        <color indexed="64"/>
      </right>
      <top style="medium">
        <color indexed="64"/>
      </top>
      <bottom/>
      <diagonal/>
    </border>
    <border>
      <left style="thin">
        <color indexed="8"/>
      </left>
      <right style="medium">
        <color indexed="64"/>
      </right>
      <top style="medium">
        <color indexed="8"/>
      </top>
      <bottom style="medium">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medium">
        <color indexed="8"/>
      </top>
      <bottom style="thin">
        <color indexed="64"/>
      </bottom>
      <diagonal/>
    </border>
    <border>
      <left style="thin">
        <color indexed="64"/>
      </left>
      <right style="medium">
        <color indexed="64"/>
      </right>
      <top style="medium">
        <color indexed="8"/>
      </top>
      <bottom style="thin">
        <color indexed="64"/>
      </bottom>
      <diagonal/>
    </border>
    <border>
      <left style="medium">
        <color indexed="8"/>
      </left>
      <right/>
      <top style="medium">
        <color indexed="8"/>
      </top>
      <bottom/>
      <diagonal/>
    </border>
    <border>
      <left style="thin">
        <color indexed="8"/>
      </left>
      <right/>
      <top style="medium">
        <color indexed="8"/>
      </top>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top style="medium">
        <color indexed="8"/>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medium">
        <color indexed="8"/>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thin">
        <color indexed="8"/>
      </bottom>
      <diagonal/>
    </border>
    <border>
      <left style="thin">
        <color indexed="8"/>
      </left>
      <right/>
      <top style="thin">
        <color indexed="8"/>
      </top>
      <bottom style="medium">
        <color indexed="8"/>
      </bottom>
      <diagonal/>
    </border>
    <border>
      <left/>
      <right style="thin">
        <color indexed="64"/>
      </right>
      <top style="thin">
        <color indexed="8"/>
      </top>
      <bottom style="medium">
        <color indexed="8"/>
      </bottom>
      <diagonal/>
    </border>
    <border>
      <left style="medium">
        <color indexed="8"/>
      </left>
      <right style="thin">
        <color indexed="8"/>
      </right>
      <top style="thin">
        <color indexed="8"/>
      </top>
      <bottom style="thin">
        <color indexed="8"/>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medium">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diagonal/>
    </border>
    <border>
      <left/>
      <right/>
      <top style="thin">
        <color indexed="8"/>
      </top>
      <bottom style="medium">
        <color indexed="8"/>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thin">
        <color indexed="22"/>
      </left>
      <right style="thin">
        <color indexed="22"/>
      </right>
      <top style="thin">
        <color indexed="22"/>
      </top>
      <bottom style="thin">
        <color indexed="22"/>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style="thin">
        <color auto="1"/>
      </top>
      <bottom style="thin">
        <color auto="1"/>
      </bottom>
      <diagonal/>
    </border>
    <border>
      <left/>
      <right style="medium">
        <color indexed="64"/>
      </right>
      <top style="thin">
        <color indexed="64"/>
      </top>
      <bottom style="thin">
        <color indexed="64"/>
      </bottom>
      <diagonal/>
    </border>
    <border>
      <left/>
      <right/>
      <top style="thin">
        <color auto="1"/>
      </top>
      <bottom style="medium">
        <color auto="1"/>
      </bottom>
      <diagonal/>
    </border>
    <border>
      <left/>
      <right style="thin">
        <color auto="1"/>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8"/>
      </top>
      <bottom style="thin">
        <color indexed="8"/>
      </bottom>
      <diagonal/>
    </border>
    <border>
      <left style="thin">
        <color indexed="64"/>
      </left>
      <right style="thin">
        <color indexed="64"/>
      </right>
      <top style="medium">
        <color indexed="8"/>
      </top>
      <bottom style="thin">
        <color indexed="8"/>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thin">
        <color indexed="64"/>
      </right>
      <top style="thin">
        <color indexed="64"/>
      </top>
      <bottom style="thin">
        <color indexed="64"/>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auto="1"/>
      </left>
      <right style="medium">
        <color auto="1"/>
      </right>
      <top style="medium">
        <color indexed="8"/>
      </top>
      <bottom style="thin">
        <color auto="1"/>
      </bottom>
      <diagonal/>
    </border>
    <border>
      <left style="medium">
        <color indexed="8"/>
      </left>
      <right/>
      <top style="thin">
        <color indexed="8"/>
      </top>
      <bottom/>
      <diagonal/>
    </border>
    <border>
      <left/>
      <right style="medium">
        <color indexed="8"/>
      </right>
      <top style="thin">
        <color indexed="8"/>
      </top>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indexed="64"/>
      </left>
      <right style="thin">
        <color indexed="64"/>
      </right>
      <top style="medium">
        <color indexed="64"/>
      </top>
      <bottom/>
      <diagonal/>
    </border>
    <border>
      <left style="thin">
        <color indexed="8"/>
      </left>
      <right style="medium">
        <color indexed="8"/>
      </right>
      <top style="thin">
        <color indexed="8"/>
      </top>
      <bottom/>
      <diagonal/>
    </border>
    <border>
      <left style="thin">
        <color indexed="64"/>
      </left>
      <right style="medium">
        <color indexed="64"/>
      </right>
      <top style="medium">
        <color indexed="8"/>
      </top>
      <bottom style="thin">
        <color indexed="64"/>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thin">
        <color indexed="64"/>
      </left>
      <right/>
      <top style="thin">
        <color indexed="8"/>
      </top>
      <bottom style="thin">
        <color indexed="8"/>
      </bottom>
      <diagonal/>
    </border>
    <border>
      <left/>
      <right style="thin">
        <color indexed="64"/>
      </right>
      <top style="thin">
        <color indexed="8"/>
      </top>
      <bottom style="medium">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top style="thin">
        <color indexed="64"/>
      </top>
      <bottom style="medium">
        <color indexed="64"/>
      </bottom>
      <diagonal/>
    </border>
    <border>
      <left/>
      <right style="thin">
        <color auto="1"/>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64"/>
      </left>
      <right style="medium">
        <color indexed="8"/>
      </right>
      <top style="thin">
        <color indexed="64"/>
      </top>
      <bottom style="thin">
        <color indexed="64"/>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auto="1"/>
      </left>
      <right style="thin">
        <color auto="1"/>
      </right>
      <top style="thin">
        <color auto="1"/>
      </top>
      <bottom style="medium">
        <color auto="1"/>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63"/>
      </left>
      <right style="thin">
        <color indexed="63"/>
      </right>
      <top style="thin">
        <color indexed="63"/>
      </top>
      <bottom style="thin">
        <color indexed="63"/>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indexed="8"/>
      </left>
      <right style="medium">
        <color indexed="8"/>
      </right>
      <top style="medium">
        <color indexed="8"/>
      </top>
      <bottom style="thin">
        <color indexed="8"/>
      </bottom>
      <diagonal/>
    </border>
    <border>
      <left style="thin">
        <color auto="1"/>
      </left>
      <right/>
      <top style="medium">
        <color indexed="8"/>
      </top>
      <bottom style="thin">
        <color auto="1"/>
      </bottom>
      <diagonal/>
    </border>
    <border>
      <left style="medium">
        <color indexed="8"/>
      </left>
      <right/>
      <top style="medium">
        <color indexed="8"/>
      </top>
      <bottom style="thin">
        <color indexed="8"/>
      </bottom>
      <diagonal/>
    </border>
    <border>
      <left/>
      <right/>
      <top style="medium">
        <color indexed="8"/>
      </top>
      <bottom style="thin">
        <color indexed="64"/>
      </bottom>
      <diagonal/>
    </border>
    <border>
      <left/>
      <right style="thin">
        <color auto="1"/>
      </right>
      <top style="medium">
        <color indexed="8"/>
      </top>
      <bottom style="thin">
        <color auto="1"/>
      </bottom>
      <diagonal/>
    </border>
    <border>
      <left style="thin">
        <color indexed="8"/>
      </left>
      <right style="thin">
        <color indexed="8"/>
      </right>
      <top style="medium">
        <color indexed="8"/>
      </top>
      <bottom style="thin">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right style="medium">
        <color indexed="8"/>
      </right>
      <top style="thin">
        <color indexed="8"/>
      </top>
      <bottom/>
      <diagonal/>
    </border>
    <border>
      <left/>
      <right style="medium">
        <color indexed="64"/>
      </right>
      <top style="thin">
        <color indexed="64"/>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medium">
        <color indexed="8"/>
      </top>
      <bottom style="thin">
        <color indexed="8"/>
      </bottom>
      <diagonal/>
    </border>
    <border>
      <left style="thin">
        <color indexed="64"/>
      </left>
      <right style="thin">
        <color indexed="64"/>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8"/>
      </left>
      <right style="thin">
        <color indexed="8"/>
      </right>
      <top style="thin">
        <color indexed="8"/>
      </top>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8"/>
      </left>
      <right style="medium">
        <color indexed="8"/>
      </right>
      <top style="thin">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thin">
        <color indexed="8"/>
      </top>
      <bottom/>
      <diagonal/>
    </border>
    <border>
      <left/>
      <right style="medium">
        <color indexed="8"/>
      </right>
      <top style="thin">
        <color indexed="8"/>
      </top>
      <bottom/>
      <diagonal/>
    </border>
    <border>
      <left/>
      <right style="thin">
        <color indexed="8"/>
      </right>
      <top style="thin">
        <color indexed="8"/>
      </top>
      <bottom style="medium">
        <color indexed="8"/>
      </bottom>
      <diagonal/>
    </border>
    <border>
      <left/>
      <right style="medium">
        <color indexed="8"/>
      </right>
      <top style="thin">
        <color indexed="8"/>
      </top>
      <bottom style="medium">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auto="1"/>
      </left>
      <right/>
      <top style="thin">
        <color auto="1"/>
      </top>
      <bottom style="thin">
        <color auto="1"/>
      </bottom>
      <diagonal/>
    </border>
    <border>
      <left style="thin">
        <color auto="1"/>
      </left>
      <right/>
      <top style="medium">
        <color indexed="8"/>
      </top>
      <bottom style="thin">
        <color auto="1"/>
      </bottom>
      <diagonal/>
    </border>
    <border>
      <left style="thin">
        <color indexed="64"/>
      </left>
      <right/>
      <top style="thin">
        <color indexed="64"/>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style="thin">
        <color indexed="8"/>
      </left>
      <right style="medium">
        <color indexed="8"/>
      </right>
      <top style="thin">
        <color indexed="8"/>
      </top>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diagonal/>
    </border>
    <border>
      <left/>
      <right/>
      <top style="thin">
        <color indexed="64"/>
      </top>
      <bottom/>
      <diagonal/>
    </border>
    <border>
      <left style="thin">
        <color indexed="8"/>
      </left>
      <right style="thin">
        <color indexed="8"/>
      </right>
      <top style="medium">
        <color indexed="8"/>
      </top>
      <bottom style="medium">
        <color indexed="8"/>
      </bottom>
      <diagonal/>
    </border>
    <border>
      <left style="thin">
        <color indexed="8"/>
      </left>
      <right style="medium">
        <color indexed="64"/>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64"/>
      </left>
      <right style="thin">
        <color indexed="64"/>
      </right>
      <top style="medium">
        <color indexed="8"/>
      </top>
      <bottom style="thin">
        <color indexed="64"/>
      </bottom>
      <diagonal/>
    </border>
    <border>
      <left style="thin">
        <color indexed="64"/>
      </left>
      <right style="medium">
        <color indexed="64"/>
      </right>
      <top style="medium">
        <color indexed="8"/>
      </top>
      <bottom style="thin">
        <color indexed="64"/>
      </bottom>
      <diagonal/>
    </border>
    <border>
      <left style="thin">
        <color auto="1"/>
      </left>
      <right style="thin">
        <color auto="1"/>
      </right>
      <top style="thin">
        <color auto="1"/>
      </top>
      <bottom/>
      <diagonal/>
    </border>
    <border>
      <left style="medium">
        <color indexed="8"/>
      </left>
      <right/>
      <top style="medium">
        <color indexed="8"/>
      </top>
      <bottom/>
      <diagonal/>
    </border>
    <border>
      <left style="thin">
        <color indexed="8"/>
      </left>
      <right/>
      <top style="medium">
        <color indexed="8"/>
      </top>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top style="medium">
        <color indexed="8"/>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64"/>
      </left>
      <right/>
      <top style="thin">
        <color indexed="8"/>
      </top>
      <bottom style="thin">
        <color indexed="8"/>
      </bottom>
      <diagonal/>
    </border>
    <border>
      <left/>
      <right style="thin">
        <color indexed="64"/>
      </right>
      <top style="thin">
        <color indexed="8"/>
      </top>
      <bottom style="medium">
        <color indexed="8"/>
      </bottom>
      <diagonal/>
    </border>
    <border>
      <left/>
      <right style="medium">
        <color indexed="8"/>
      </right>
      <top style="medium">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right/>
      <top style="thin">
        <color auto="1"/>
      </top>
      <bottom style="medium">
        <color auto="1"/>
      </bottom>
      <diagonal/>
    </border>
    <border>
      <left/>
      <right style="thin">
        <color auto="1"/>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8"/>
      </top>
      <bottom style="thin">
        <color indexed="8"/>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medium">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top style="thin">
        <color indexed="8"/>
      </top>
      <bottom style="medium">
        <color indexed="8"/>
      </bottom>
      <diagonal/>
    </border>
    <border>
      <left style="thin">
        <color indexed="8"/>
      </left>
      <right/>
      <top style="thin">
        <color indexed="8"/>
      </top>
      <bottom style="medium">
        <color indexed="8"/>
      </bottom>
      <diagonal/>
    </border>
    <border>
      <left style="thin">
        <color indexed="64"/>
      </left>
      <right style="medium">
        <color indexed="8"/>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style="thin">
        <color indexed="8"/>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64"/>
      </left>
      <right/>
      <top style="thin">
        <color indexed="64"/>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auto="1"/>
      </bottom>
      <diagonal/>
    </border>
    <border>
      <left style="thin">
        <color indexed="8"/>
      </left>
      <right/>
      <top style="thin">
        <color indexed="8"/>
      </top>
      <bottom/>
      <diagonal/>
    </border>
    <border>
      <left style="thin">
        <color indexed="64"/>
      </left>
      <right style="medium">
        <color indexed="8"/>
      </right>
      <top style="thin">
        <color indexed="8"/>
      </top>
      <bottom style="thin">
        <color indexed="8"/>
      </bottom>
      <diagonal/>
    </border>
    <border>
      <left style="thin">
        <color auto="1"/>
      </left>
      <right style="thin">
        <color indexed="8"/>
      </right>
      <top style="thin">
        <color auto="1"/>
      </top>
      <bottom style="thin">
        <color auto="1"/>
      </bottom>
      <diagonal/>
    </border>
    <border>
      <left style="thin">
        <color indexed="64"/>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right/>
      <top style="thin">
        <color indexed="8"/>
      </top>
      <bottom/>
      <diagonal/>
    </border>
    <border>
      <left/>
      <right style="thin">
        <color indexed="8"/>
      </right>
      <top style="thin">
        <color indexed="8"/>
      </top>
      <bottom/>
      <diagonal/>
    </border>
    <border>
      <left/>
      <right style="medium">
        <color indexed="8"/>
      </right>
      <top style="thin">
        <color indexed="8"/>
      </top>
      <bottom style="thin">
        <color indexed="8"/>
      </bottom>
      <diagonal/>
    </border>
    <border>
      <left style="thin">
        <color indexed="8"/>
      </left>
      <right/>
      <top style="thin">
        <color indexed="8"/>
      </top>
      <bottom style="thin">
        <color indexed="64"/>
      </bottom>
      <diagonal/>
    </border>
    <border>
      <left style="thin">
        <color indexed="8"/>
      </left>
      <right style="medium">
        <color indexed="8"/>
      </right>
      <top style="thin">
        <color indexed="8"/>
      </top>
      <bottom style="medium">
        <color indexed="8"/>
      </bottom>
      <diagonal/>
    </border>
    <border>
      <left style="thin">
        <color indexed="64"/>
      </left>
      <right style="medium">
        <color indexed="64"/>
      </right>
      <top style="thin">
        <color indexed="64"/>
      </top>
      <bottom style="thin">
        <color indexed="64"/>
      </bottom>
      <diagonal/>
    </border>
    <border>
      <left style="thin">
        <color indexed="8"/>
      </left>
      <right style="medium">
        <color indexed="8"/>
      </right>
      <top style="thin">
        <color indexed="8"/>
      </top>
      <bottom style="thin">
        <color indexed="8"/>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thin">
        <color indexed="8"/>
      </left>
      <right style="medium">
        <color indexed="8"/>
      </right>
      <top style="medium">
        <color indexed="8"/>
      </top>
      <bottom style="thin">
        <color indexed="8"/>
      </bottom>
      <diagonal/>
    </border>
    <border>
      <left style="thin">
        <color auto="1"/>
      </left>
      <right/>
      <top style="medium">
        <color indexed="8"/>
      </top>
      <bottom style="thin">
        <color auto="1"/>
      </bottom>
      <diagonal/>
    </border>
    <border>
      <left style="thin">
        <color auto="1"/>
      </left>
      <right style="thin">
        <color auto="1"/>
      </right>
      <top/>
      <bottom/>
      <diagonal/>
    </border>
    <border>
      <left style="thin">
        <color indexed="64"/>
      </left>
      <right style="thin">
        <color indexed="64"/>
      </right>
      <top style="medium">
        <color indexed="64"/>
      </top>
      <bottom/>
      <diagonal/>
    </border>
    <border>
      <left style="thin">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auto="1"/>
      </left>
      <right style="thin">
        <color auto="1"/>
      </right>
      <top style="medium">
        <color indexed="8"/>
      </top>
      <bottom style="thin">
        <color auto="1"/>
      </bottom>
      <diagonal/>
    </border>
    <border>
      <left style="thin">
        <color indexed="64"/>
      </left>
      <right style="medium">
        <color indexed="64"/>
      </right>
      <top style="medium">
        <color indexed="8"/>
      </top>
      <bottom style="thin">
        <color indexed="64"/>
      </bottom>
      <diagonal/>
    </border>
    <border>
      <left style="medium">
        <color indexed="8"/>
      </left>
      <right/>
      <top style="medium">
        <color indexed="8"/>
      </top>
      <bottom/>
      <diagonal/>
    </border>
    <border>
      <left style="thin">
        <color indexed="8"/>
      </left>
      <right/>
      <top style="medium">
        <color indexed="8"/>
      </top>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8"/>
      </left>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top style="medium">
        <color indexed="8"/>
      </top>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indexed="8"/>
      </left>
      <right/>
      <top style="medium">
        <color indexed="8"/>
      </top>
      <bottom style="thin">
        <color indexed="8"/>
      </bottom>
      <diagonal/>
    </border>
    <border>
      <left style="thin">
        <color indexed="8"/>
      </left>
      <right style="thin">
        <color indexed="8"/>
      </right>
      <top style="medium">
        <color indexed="8"/>
      </top>
      <bottom style="thin">
        <color indexed="8"/>
      </bottom>
      <diagonal/>
    </border>
    <border>
      <left/>
      <right style="thin">
        <color indexed="8"/>
      </right>
      <top style="medium">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8"/>
      </top>
      <bottom style="thin">
        <color indexed="8"/>
      </bottom>
      <diagonal/>
    </border>
    <border>
      <left style="thin">
        <color indexed="64"/>
      </left>
      <right/>
      <top/>
      <bottom/>
      <diagonal/>
    </border>
    <border>
      <left style="medium">
        <color indexed="8"/>
      </left>
      <right style="thin">
        <color indexed="8"/>
      </right>
      <top style="medium">
        <color indexed="8"/>
      </top>
      <bottom style="thin">
        <color indexed="8"/>
      </bottom>
      <diagonal/>
    </border>
    <border>
      <left style="thin">
        <color indexed="8"/>
      </left>
      <right style="thin">
        <color indexed="8"/>
      </right>
      <top/>
      <bottom/>
      <diagonal/>
    </border>
    <border>
      <left style="thin">
        <color indexed="8"/>
      </left>
      <right/>
      <top/>
      <bottom/>
      <diagonal/>
    </border>
    <border>
      <left style="thin">
        <color auto="1"/>
      </left>
      <right style="thin">
        <color auto="1"/>
      </right>
      <top style="medium">
        <color indexed="8"/>
      </top>
      <bottom style="thin">
        <color auto="1"/>
      </bottom>
      <diagonal/>
    </border>
    <border>
      <left style="thin">
        <color auto="1"/>
      </left>
      <right style="medium">
        <color auto="1"/>
      </right>
      <top style="medium">
        <color indexed="8"/>
      </top>
      <bottom style="thin">
        <color auto="1"/>
      </bottom>
      <diagonal/>
    </border>
    <border>
      <left style="medium">
        <color indexed="8"/>
      </left>
      <right/>
      <top style="medium">
        <color indexed="8"/>
      </top>
      <bottom/>
      <diagonal/>
    </border>
    <border>
      <left/>
      <right/>
      <top style="medium">
        <color indexed="8"/>
      </top>
      <bottom/>
      <diagonal/>
    </border>
    <border>
      <left style="thin">
        <color indexed="8"/>
      </left>
      <right/>
      <top style="medium">
        <color indexed="8"/>
      </top>
      <bottom style="thin">
        <color indexed="8"/>
      </bottom>
      <diagonal/>
    </border>
    <border>
      <left style="thin">
        <color indexed="8"/>
      </left>
      <right/>
      <top style="medium">
        <color indexed="8"/>
      </top>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auto="1"/>
      </left>
      <right/>
      <top style="medium">
        <color indexed="8"/>
      </top>
      <bottom style="thin">
        <color auto="1"/>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style="thin">
        <color indexed="8"/>
      </bottom>
      <diagonal/>
    </border>
    <border>
      <left style="thin">
        <color auto="1"/>
      </left>
      <right style="thin">
        <color auto="1"/>
      </right>
      <top/>
      <bottom/>
      <diagonal/>
    </border>
    <border>
      <left style="thin">
        <color indexed="8"/>
      </left>
      <right style="medium">
        <color indexed="8"/>
      </right>
      <top/>
      <bottom/>
      <diagonal/>
    </border>
    <border>
      <left style="thin">
        <color indexed="64"/>
      </left>
      <right style="medium">
        <color indexed="64"/>
      </right>
      <top style="medium">
        <color indexed="64"/>
      </top>
      <bottom/>
      <diagonal/>
    </border>
    <border>
      <left style="thin">
        <color indexed="8"/>
      </left>
      <right style="thin">
        <color indexed="8"/>
      </right>
      <top style="medium">
        <color indexed="8"/>
      </top>
      <bottom style="medium">
        <color indexed="8"/>
      </bottom>
      <diagonal/>
    </border>
    <border>
      <left style="thin">
        <color indexed="64"/>
      </left>
      <right style="thin">
        <color indexed="64"/>
      </right>
      <top style="medium">
        <color indexed="8"/>
      </top>
      <bottom style="thin">
        <color indexed="64"/>
      </bottom>
      <diagonal/>
    </border>
    <border>
      <left style="thin">
        <color indexed="64"/>
      </left>
      <right style="medium">
        <color indexed="64"/>
      </right>
      <top style="medium">
        <color indexed="8"/>
      </top>
      <bottom style="thin">
        <color indexed="64"/>
      </bottom>
      <diagonal/>
    </border>
    <border>
      <left/>
      <right style="thin">
        <color indexed="8"/>
      </right>
      <top style="medium">
        <color indexed="8"/>
      </top>
      <bottom/>
      <diagonal/>
    </border>
    <border>
      <left/>
      <right style="medium">
        <color indexed="8"/>
      </right>
      <top style="medium">
        <color indexed="8"/>
      </top>
      <bottom/>
      <diagonal/>
    </border>
    <border>
      <left style="medium">
        <color indexed="8"/>
      </left>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auto="1"/>
      </right>
      <top style="medium">
        <color indexed="8"/>
      </top>
      <bottom style="thin">
        <color indexed="64"/>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8"/>
      </top>
      <bottom style="thin">
        <color indexed="8"/>
      </bottom>
      <diagonal/>
    </border>
    <border>
      <left style="thin">
        <color indexed="8"/>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style="thin">
        <color auto="1"/>
      </left>
      <right style="thin">
        <color auto="1"/>
      </right>
      <top style="thin">
        <color auto="1"/>
      </top>
      <bottom style="thin">
        <color auto="1"/>
      </bottom>
      <diagonal/>
    </border>
    <border>
      <left style="thin">
        <color auto="1"/>
      </left>
      <right style="thin">
        <color indexed="8"/>
      </right>
      <top style="thin">
        <color auto="1"/>
      </top>
      <bottom style="thin">
        <color auto="1"/>
      </bottom>
      <diagonal/>
    </border>
    <border>
      <left style="thin">
        <color auto="1"/>
      </left>
      <right style="thin">
        <color auto="1"/>
      </right>
      <top style="thin">
        <color auto="1"/>
      </top>
      <bottom style="medium">
        <color auto="1"/>
      </bottom>
      <diagonal/>
    </border>
    <border>
      <left/>
      <right style="medium">
        <color indexed="8"/>
      </right>
      <top style="thin">
        <color indexed="8"/>
      </top>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indexed="64"/>
      </left>
      <right style="thin">
        <color indexed="64"/>
      </right>
      <top style="thin">
        <color indexed="8"/>
      </top>
      <bottom/>
      <diagonal/>
    </border>
    <border>
      <left style="thin">
        <color indexed="64"/>
      </left>
      <right style="thin">
        <color indexed="64"/>
      </right>
      <top style="thin">
        <color indexed="8"/>
      </top>
      <bottom style="thin">
        <color indexed="64"/>
      </bottom>
      <diagonal/>
    </border>
    <border>
      <left style="medium">
        <color indexed="64"/>
      </left>
      <right style="thin">
        <color indexed="64"/>
      </right>
      <top style="thin">
        <color indexed="64"/>
      </top>
      <bottom/>
      <diagonal/>
    </border>
    <border>
      <left style="thin">
        <color indexed="8"/>
      </left>
      <right style="medium">
        <color indexed="8"/>
      </right>
      <top style="thin">
        <color indexed="8"/>
      </top>
      <bottom/>
      <diagonal/>
    </border>
    <border>
      <left style="thin">
        <color indexed="64"/>
      </left>
      <right style="medium">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8"/>
      </left>
      <right style="medium">
        <color indexed="8"/>
      </right>
      <top style="thin">
        <color indexed="8"/>
      </top>
      <bottom style="medium">
        <color indexed="8"/>
      </bottom>
      <diagonal/>
    </border>
    <border>
      <left style="thin">
        <color auto="1"/>
      </left>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medium">
        <color auto="1"/>
      </bottom>
      <diagonal/>
    </border>
    <border>
      <left style="thin">
        <color indexed="8"/>
      </left>
      <right style="medium">
        <color indexed="8"/>
      </right>
      <top style="medium">
        <color indexed="8"/>
      </top>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8"/>
      </left>
      <right/>
      <top style="thin">
        <color indexed="8"/>
      </top>
      <bottom style="medium">
        <color indexed="8"/>
      </bottom>
      <diagonal/>
    </border>
    <border>
      <left/>
      <right/>
      <top style="thin">
        <color indexed="8"/>
      </top>
      <bottom style="medium">
        <color indexed="8"/>
      </bottom>
      <diagonal/>
    </border>
    <border>
      <left style="thin">
        <color indexed="8"/>
      </left>
      <right/>
      <top style="thin">
        <color indexed="8"/>
      </top>
      <bottom style="medium">
        <color indexed="8"/>
      </bottom>
      <diagonal/>
    </border>
    <border>
      <left/>
      <right/>
      <top style="medium">
        <color indexed="8"/>
      </top>
      <bottom style="double">
        <color indexed="8"/>
      </bottom>
      <diagonal/>
    </border>
    <border>
      <left style="medium">
        <color indexed="8"/>
      </left>
      <right/>
      <top style="medium">
        <color indexed="8"/>
      </top>
      <bottom style="medium">
        <color indexed="8"/>
      </bottom>
      <diagonal/>
    </border>
    <border>
      <left style="thin">
        <color indexed="8"/>
      </left>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style="thin">
        <color indexed="8"/>
      </top>
      <bottom style="thin">
        <color indexed="8"/>
      </bottom>
      <diagonal/>
    </border>
    <border>
      <left style="medium">
        <color indexed="8"/>
      </left>
      <right/>
      <top style="thin">
        <color indexed="8"/>
      </top>
      <bottom style="thin">
        <color indexed="8"/>
      </bottom>
      <diagonal/>
    </border>
    <border>
      <left/>
      <right/>
      <top style="thin">
        <color indexed="8"/>
      </top>
      <bottom style="thin">
        <color indexed="8"/>
      </bottom>
      <diagonal/>
    </border>
    <border>
      <left style="medium">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style="thin">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right/>
      <top style="thin">
        <color indexed="8"/>
      </top>
      <bottom style="double">
        <color indexed="8"/>
      </bottom>
      <diagonal/>
    </border>
    <border>
      <left style="thin">
        <color indexed="8"/>
      </left>
      <right style="thin">
        <color indexed="8"/>
      </right>
      <top style="thin">
        <color indexed="8"/>
      </top>
      <bottom style="double">
        <color indexed="8"/>
      </bottom>
      <diagonal/>
    </border>
    <border>
      <left style="medium">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right style="medium">
        <color indexed="8"/>
      </right>
      <top style="medium">
        <color indexed="8"/>
      </top>
      <bottom style="medium">
        <color indexed="8"/>
      </bottom>
      <diagonal/>
    </border>
    <border>
      <left style="medium">
        <color indexed="8"/>
      </left>
      <right style="medium">
        <color indexed="8"/>
      </right>
      <top style="medium">
        <color indexed="8"/>
      </top>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medium">
        <color indexed="8"/>
      </left>
      <right style="thin">
        <color indexed="8"/>
      </right>
      <top style="thin">
        <color indexed="8"/>
      </top>
      <bottom/>
      <diagonal/>
    </border>
    <border>
      <left style="medium">
        <color indexed="8"/>
      </left>
      <right style="thin">
        <color indexed="8"/>
      </right>
      <top style="medium">
        <color indexed="8"/>
      </top>
      <bottom/>
      <diagonal/>
    </border>
    <border>
      <left/>
      <right/>
      <top style="medium">
        <color indexed="8"/>
      </top>
      <bottom style="medium">
        <color indexed="8"/>
      </bottom>
      <diagonal/>
    </border>
    <border>
      <left/>
      <right style="medium">
        <color indexed="8"/>
      </right>
      <top style="thin">
        <color indexed="8"/>
      </top>
      <bottom style="thin">
        <color indexed="8"/>
      </bottom>
      <diagonal/>
    </border>
    <border>
      <left/>
      <right style="medium">
        <color indexed="8"/>
      </right>
      <top style="thin">
        <color indexed="8"/>
      </top>
      <bottom style="medium">
        <color indexed="8"/>
      </bottom>
      <diagonal/>
    </border>
  </borders>
  <cellStyleXfs count="57">
    <xf numFmtId="0" fontId="0" fillId="0" borderId="0" applyBorder="0">
      <alignment horizontal="center" vertical="center"/>
    </xf>
    <xf numFmtId="0" fontId="28" fillId="2" borderId="0" applyNumberFormat="0" applyBorder="0" applyAlignment="0" applyProtection="0"/>
    <xf numFmtId="0" fontId="28" fillId="3" borderId="0" applyNumberFormat="0" applyBorder="0" applyAlignment="0" applyProtection="0"/>
    <xf numFmtId="0" fontId="28" fillId="4" borderId="0" applyNumberFormat="0" applyBorder="0" applyAlignment="0" applyProtection="0"/>
    <xf numFmtId="0" fontId="28" fillId="5" borderId="0" applyNumberFormat="0" applyBorder="0" applyAlignment="0" applyProtection="0"/>
    <xf numFmtId="0" fontId="28" fillId="6" borderId="0" applyNumberFormat="0" applyBorder="0" applyAlignment="0" applyProtection="0"/>
    <xf numFmtId="0" fontId="28" fillId="7" borderId="0" applyNumberFormat="0" applyBorder="0" applyAlignment="0" applyProtection="0"/>
    <xf numFmtId="0" fontId="28" fillId="8" borderId="0" applyNumberFormat="0" applyBorder="0" applyAlignment="0" applyProtection="0"/>
    <xf numFmtId="0" fontId="28" fillId="9" borderId="0" applyNumberFormat="0" applyBorder="0" applyAlignment="0" applyProtection="0"/>
    <xf numFmtId="0" fontId="28" fillId="10" borderId="0" applyNumberFormat="0" applyBorder="0" applyAlignment="0" applyProtection="0"/>
    <xf numFmtId="0" fontId="28" fillId="5" borderId="0" applyNumberFormat="0" applyBorder="0" applyAlignment="0" applyProtection="0"/>
    <xf numFmtId="0" fontId="28" fillId="8" borderId="0" applyNumberFormat="0" applyBorder="0" applyAlignment="0" applyProtection="0"/>
    <xf numFmtId="0" fontId="28" fillId="11" borderId="0" applyNumberFormat="0" applyBorder="0" applyAlignment="0" applyProtection="0"/>
    <xf numFmtId="0" fontId="29" fillId="12" borderId="0" applyNumberFormat="0" applyBorder="0" applyAlignment="0" applyProtection="0"/>
    <xf numFmtId="0" fontId="29" fillId="9" borderId="0" applyNumberFormat="0" applyBorder="0" applyAlignment="0" applyProtection="0"/>
    <xf numFmtId="0" fontId="29" fillId="10" borderId="0" applyNumberFormat="0" applyBorder="0" applyAlignment="0" applyProtection="0"/>
    <xf numFmtId="0" fontId="29" fillId="13" borderId="0" applyNumberFormat="0" applyBorder="0" applyAlignment="0" applyProtection="0"/>
    <xf numFmtId="0" fontId="29" fillId="14" borderId="0" applyNumberFormat="0" applyBorder="0" applyAlignment="0" applyProtection="0"/>
    <xf numFmtId="0" fontId="29" fillId="15" borderId="0" applyNumberFormat="0" applyBorder="0" applyAlignment="0" applyProtection="0"/>
    <xf numFmtId="0" fontId="30" fillId="0" borderId="0" applyNumberFormat="0" applyFill="0" applyBorder="0" applyAlignment="0" applyProtection="0"/>
    <xf numFmtId="0" fontId="3" fillId="16" borderId="1" applyNumberFormat="0" applyFont="0" applyAlignment="0" applyProtection="0"/>
    <xf numFmtId="0" fontId="31" fillId="17" borderId="2" applyNumberFormat="0" applyAlignment="0" applyProtection="0"/>
    <xf numFmtId="0" fontId="32" fillId="0" borderId="0" applyNumberFormat="0" applyFill="0" applyBorder="0" applyAlignment="0" applyProtection="0"/>
    <xf numFmtId="0" fontId="33" fillId="4" borderId="0" applyNumberFormat="0" applyBorder="0" applyAlignment="0" applyProtection="0"/>
    <xf numFmtId="0" fontId="34" fillId="7" borderId="2" applyNumberFormat="0" applyAlignment="0" applyProtection="0"/>
    <xf numFmtId="0" fontId="35" fillId="18" borderId="3" applyNumberFormat="0" applyAlignment="0" applyProtection="0"/>
    <xf numFmtId="0" fontId="29" fillId="19" borderId="0" applyNumberFormat="0" applyBorder="0" applyAlignment="0" applyProtection="0"/>
    <xf numFmtId="0" fontId="29" fillId="20" borderId="0" applyNumberFormat="0" applyBorder="0" applyAlignment="0" applyProtection="0"/>
    <xf numFmtId="0" fontId="29" fillId="21" borderId="0" applyNumberFormat="0" applyBorder="0" applyAlignment="0" applyProtection="0"/>
    <xf numFmtId="0" fontId="29" fillId="13" borderId="0" applyNumberFormat="0" applyBorder="0" applyAlignment="0" applyProtection="0"/>
    <xf numFmtId="0" fontId="29" fillId="14" borderId="0" applyNumberFormat="0" applyBorder="0" applyAlignment="0" applyProtection="0"/>
    <xf numFmtId="0" fontId="29" fillId="22" borderId="0" applyNumberFormat="0" applyBorder="0" applyAlignment="0" applyProtection="0"/>
    <xf numFmtId="0" fontId="36" fillId="23" borderId="0" applyNumberFormat="0" applyBorder="0" applyAlignment="0" applyProtection="0"/>
    <xf numFmtId="0" fontId="7" fillId="58" borderId="0" applyBorder="0">
      <alignment horizontal="center" vertical="center"/>
    </xf>
    <xf numFmtId="0" fontId="37" fillId="17" borderId="4" applyNumberFormat="0" applyAlignment="0" applyProtection="0"/>
    <xf numFmtId="0" fontId="38" fillId="0" borderId="5" applyNumberFormat="0" applyFill="0" applyAlignment="0" applyProtection="0"/>
    <xf numFmtId="0" fontId="39" fillId="0" borderId="6" applyNumberFormat="0" applyFill="0" applyAlignment="0" applyProtection="0"/>
    <xf numFmtId="0" fontId="40" fillId="0" borderId="7" applyNumberFormat="0" applyFill="0" applyAlignment="0" applyProtection="0"/>
    <xf numFmtId="0" fontId="40" fillId="0" borderId="0" applyNumberFormat="0" applyFill="0" applyBorder="0" applyAlignment="0" applyProtection="0"/>
    <xf numFmtId="0" fontId="41" fillId="0" borderId="8" applyNumberFormat="0" applyFill="0" applyAlignment="0" applyProtection="0"/>
    <xf numFmtId="0" fontId="42" fillId="0" borderId="0" applyNumberFormat="0" applyFill="0" applyBorder="0" applyAlignment="0" applyProtection="0"/>
    <xf numFmtId="0" fontId="43" fillId="0" borderId="9" applyNumberFormat="0" applyFill="0" applyAlignment="0" applyProtection="0"/>
    <xf numFmtId="0" fontId="44" fillId="3" borderId="0" applyNumberFormat="0" applyBorder="0" applyAlignment="0" applyProtection="0"/>
    <xf numFmtId="0" fontId="7" fillId="53" borderId="0" applyBorder="0">
      <alignment horizontal="center" vertical="center"/>
    </xf>
    <xf numFmtId="0" fontId="7" fillId="69" borderId="0" applyBorder="0">
      <alignment horizontal="center" vertical="center"/>
    </xf>
    <xf numFmtId="0" fontId="7" fillId="55" borderId="0" applyBorder="0">
      <alignment horizontal="center" vertical="center"/>
    </xf>
    <xf numFmtId="0" fontId="52" fillId="56" borderId="0" applyBorder="0">
      <alignment horizontal="center" vertical="center"/>
    </xf>
    <xf numFmtId="0" fontId="7" fillId="57" borderId="0" applyBorder="0">
      <alignment horizontal="center" vertical="center"/>
    </xf>
    <xf numFmtId="0" fontId="7" fillId="52" borderId="0" applyBorder="0">
      <alignment horizontal="center" vertical="center"/>
    </xf>
    <xf numFmtId="0" fontId="7" fillId="59" borderId="0" applyBorder="0">
      <alignment horizontal="center" vertical="center"/>
    </xf>
    <xf numFmtId="0" fontId="7" fillId="54" borderId="0" applyBorder="0">
      <alignment horizontal="center" vertical="center"/>
    </xf>
    <xf numFmtId="0" fontId="7" fillId="60" borderId="0" applyBorder="0">
      <alignment horizontal="center" vertical="center"/>
    </xf>
    <xf numFmtId="0" fontId="7" fillId="70" borderId="0" applyBorder="0">
      <alignment horizontal="center" vertical="center"/>
    </xf>
    <xf numFmtId="0" fontId="7" fillId="0" borderId="0" applyBorder="0">
      <alignment horizontal="center" vertical="center"/>
    </xf>
    <xf numFmtId="0" fontId="2" fillId="0" borderId="0"/>
    <xf numFmtId="0" fontId="18" fillId="0" borderId="0">
      <alignment vertical="center"/>
    </xf>
    <xf numFmtId="44" fontId="7" fillId="0" borderId="0" applyFont="0" applyFill="0" applyBorder="0" applyAlignment="0" applyProtection="0"/>
  </cellStyleXfs>
  <cellXfs count="4961">
    <xf numFmtId="0" fontId="0" fillId="0" borderId="0" xfId="0">
      <alignment horizontal="center" vertical="center"/>
    </xf>
    <xf numFmtId="0" fontId="4" fillId="0" borderId="0" xfId="0" applyFont="1">
      <alignment horizontal="center" vertical="center"/>
    </xf>
    <xf numFmtId="0" fontId="5" fillId="0" borderId="0" xfId="0" applyFont="1">
      <alignment horizontal="center" vertical="center"/>
    </xf>
    <xf numFmtId="0" fontId="4" fillId="0" borderId="10" xfId="0" applyFont="1" applyBorder="1" applyAlignment="1">
      <alignment horizontal="center"/>
    </xf>
    <xf numFmtId="0" fontId="0" fillId="0" borderId="11" xfId="0" applyBorder="1" applyAlignment="1">
      <alignment horizontal="center"/>
    </xf>
    <xf numFmtId="0" fontId="7" fillId="0" borderId="11" xfId="0" applyFont="1" applyBorder="1" applyAlignment="1">
      <alignment horizontal="center"/>
    </xf>
    <xf numFmtId="0" fontId="6" fillId="0" borderId="11" xfId="0" applyFont="1" applyBorder="1" applyAlignment="1">
      <alignment horizontal="center"/>
    </xf>
    <xf numFmtId="0" fontId="6" fillId="0" borderId="12" xfId="0" applyFont="1" applyBorder="1" applyAlignment="1">
      <alignment horizontal="center"/>
    </xf>
    <xf numFmtId="0" fontId="0" fillId="0" borderId="13" xfId="0" applyBorder="1">
      <alignment horizontal="center" vertical="center"/>
    </xf>
    <xf numFmtId="0" fontId="6" fillId="0" borderId="14" xfId="0" applyFont="1" applyBorder="1" applyAlignment="1">
      <alignment horizontal="left"/>
    </xf>
    <xf numFmtId="0" fontId="0" fillId="0" borderId="10" xfId="0" applyBorder="1" applyAlignment="1">
      <alignment horizontal="center"/>
    </xf>
    <xf numFmtId="0" fontId="7" fillId="0" borderId="12" xfId="0" applyFont="1" applyBorder="1" applyAlignment="1">
      <alignment horizontal="center"/>
    </xf>
    <xf numFmtId="0" fontId="7" fillId="0" borderId="14" xfId="0" applyFont="1" applyBorder="1" applyAlignment="1">
      <alignment horizontal="left"/>
    </xf>
    <xf numFmtId="0" fontId="0" fillId="0" borderId="11" xfId="0" applyBorder="1">
      <alignment horizontal="center" vertical="center"/>
    </xf>
    <xf numFmtId="0" fontId="0" fillId="0" borderId="12" xfId="0" applyBorder="1">
      <alignment horizontal="center" vertical="center"/>
    </xf>
    <xf numFmtId="0" fontId="0" fillId="0" borderId="14" xfId="0" applyBorder="1">
      <alignment horizontal="center" vertical="center"/>
    </xf>
    <xf numFmtId="0" fontId="4" fillId="0" borderId="0" xfId="0" applyFont="1" applyAlignment="1" applyProtection="1">
      <alignment horizontal="left"/>
      <protection locked="0"/>
    </xf>
    <xf numFmtId="0" fontId="6" fillId="0" borderId="0" xfId="0" applyFont="1">
      <alignment horizontal="center" vertical="center"/>
    </xf>
    <xf numFmtId="0" fontId="0" fillId="0" borderId="0" xfId="0" applyAlignment="1">
      <alignment horizontal="center"/>
    </xf>
    <xf numFmtId="0" fontId="7" fillId="0" borderId="0" xfId="0" applyFont="1" applyAlignment="1">
      <alignment horizontal="left"/>
    </xf>
    <xf numFmtId="0" fontId="0" fillId="24" borderId="10" xfId="0" applyFill="1" applyBorder="1" applyAlignment="1">
      <alignment horizontal="left"/>
    </xf>
    <xf numFmtId="0" fontId="0" fillId="26" borderId="11" xfId="0" applyFill="1" applyBorder="1" applyAlignment="1">
      <alignment horizontal="center"/>
    </xf>
    <xf numFmtId="0" fontId="0" fillId="28" borderId="0" xfId="0" applyFill="1">
      <alignment horizontal="center" vertical="center"/>
    </xf>
    <xf numFmtId="0" fontId="0" fillId="29" borderId="0" xfId="0" applyFill="1">
      <alignment horizontal="center" vertical="center"/>
    </xf>
    <xf numFmtId="0" fontId="0" fillId="26" borderId="0" xfId="0" applyFill="1">
      <alignment horizontal="center" vertical="center"/>
    </xf>
    <xf numFmtId="0" fontId="0" fillId="30" borderId="0" xfId="0" applyFill="1">
      <alignment horizontal="center" vertical="center"/>
    </xf>
    <xf numFmtId="0" fontId="8" fillId="31" borderId="0" xfId="0" applyFont="1" applyFill="1">
      <alignment horizontal="center" vertical="center"/>
    </xf>
    <xf numFmtId="0" fontId="0" fillId="0" borderId="10" xfId="0" applyBorder="1" applyAlignment="1">
      <alignment horizontal="left"/>
    </xf>
    <xf numFmtId="0" fontId="0" fillId="24" borderId="0" xfId="0" applyFill="1">
      <alignment horizontal="center" vertical="center"/>
    </xf>
    <xf numFmtId="0" fontId="0" fillId="25" borderId="0" xfId="0" applyFill="1">
      <alignment horizontal="center" vertical="center"/>
    </xf>
    <xf numFmtId="0" fontId="0" fillId="27" borderId="0" xfId="0" applyFill="1">
      <alignment horizontal="center" vertical="center"/>
    </xf>
    <xf numFmtId="0" fontId="8" fillId="31" borderId="11" xfId="0" applyFont="1" applyFill="1" applyBorder="1" applyAlignment="1">
      <alignment horizontal="center"/>
    </xf>
    <xf numFmtId="0" fontId="8" fillId="31" borderId="12" xfId="0" applyFont="1" applyFill="1" applyBorder="1">
      <alignment horizontal="center" vertical="center"/>
    </xf>
    <xf numFmtId="0" fontId="4" fillId="0" borderId="15" xfId="0" applyFont="1" applyBorder="1">
      <alignment horizontal="center" vertical="center"/>
    </xf>
    <xf numFmtId="0" fontId="0" fillId="0" borderId="13" xfId="0" applyBorder="1" applyAlignment="1">
      <alignment horizontal="center"/>
    </xf>
    <xf numFmtId="0" fontId="4" fillId="0" borderId="15" xfId="0" applyFont="1" applyBorder="1" applyAlignment="1">
      <alignment horizontal="center"/>
    </xf>
    <xf numFmtId="0" fontId="6" fillId="0" borderId="0" xfId="0" applyFont="1" applyAlignment="1">
      <alignment horizontal="center"/>
    </xf>
    <xf numFmtId="0" fontId="7" fillId="0" borderId="0" xfId="0" applyFont="1" applyAlignment="1">
      <alignment horizontal="center"/>
    </xf>
    <xf numFmtId="0" fontId="0" fillId="0" borderId="15" xfId="0" applyBorder="1" applyAlignment="1">
      <alignment horizontal="center"/>
    </xf>
    <xf numFmtId="0" fontId="4" fillId="0" borderId="15" xfId="0" applyFont="1" applyBorder="1" applyAlignment="1">
      <alignment horizontal="left"/>
    </xf>
    <xf numFmtId="0" fontId="0" fillId="0" borderId="16" xfId="0" applyBorder="1" applyAlignment="1">
      <alignment horizontal="center"/>
    </xf>
    <xf numFmtId="0" fontId="0" fillId="24" borderId="11" xfId="0" applyFill="1" applyBorder="1" applyAlignment="1">
      <alignment horizontal="center"/>
    </xf>
    <xf numFmtId="2" fontId="0" fillId="0" borderId="0" xfId="0" applyNumberFormat="1">
      <alignment horizontal="center" vertical="center"/>
    </xf>
    <xf numFmtId="0" fontId="8" fillId="32" borderId="11" xfId="0" applyFont="1" applyFill="1" applyBorder="1" applyAlignment="1">
      <alignment horizontal="center"/>
    </xf>
    <xf numFmtId="0" fontId="6" fillId="0" borderId="0" xfId="0" applyFont="1" applyAlignment="1">
      <alignment horizontal="left"/>
    </xf>
    <xf numFmtId="2" fontId="0" fillId="0" borderId="0" xfId="0" applyNumberFormat="1" applyAlignment="1">
      <alignment horizontal="center"/>
    </xf>
    <xf numFmtId="0" fontId="0" fillId="0" borderId="17" xfId="0" applyBorder="1" applyAlignment="1">
      <alignment horizontal="center"/>
    </xf>
    <xf numFmtId="0" fontId="7" fillId="24" borderId="17" xfId="0" applyFont="1" applyFill="1" applyBorder="1" applyAlignment="1">
      <alignment horizontal="center"/>
    </xf>
    <xf numFmtId="0" fontId="0" fillId="0" borderId="17" xfId="0" applyBorder="1">
      <alignment horizontal="center" vertical="center"/>
    </xf>
    <xf numFmtId="0" fontId="7" fillId="0" borderId="17" xfId="0" applyFont="1" applyBorder="1" applyAlignment="1">
      <alignment horizontal="center"/>
    </xf>
    <xf numFmtId="0" fontId="7" fillId="0" borderId="17" xfId="0" applyFont="1" applyBorder="1" applyAlignment="1">
      <alignment horizontal="left"/>
    </xf>
    <xf numFmtId="0" fontId="7" fillId="0" borderId="15" xfId="0" applyFont="1" applyBorder="1" applyAlignment="1">
      <alignment horizontal="right"/>
    </xf>
    <xf numFmtId="0" fontId="0" fillId="0" borderId="18" xfId="0" applyBorder="1" applyAlignment="1">
      <alignment horizontal="left"/>
    </xf>
    <xf numFmtId="0" fontId="10" fillId="35" borderId="19" xfId="0" applyFont="1" applyFill="1" applyBorder="1" applyAlignment="1">
      <alignment horizontal="center"/>
    </xf>
    <xf numFmtId="0" fontId="0" fillId="0" borderId="19" xfId="0" applyBorder="1">
      <alignment horizontal="center" vertical="center"/>
    </xf>
    <xf numFmtId="0" fontId="4" fillId="0" borderId="18" xfId="0" applyFont="1" applyBorder="1" applyAlignment="1">
      <alignment horizontal="left"/>
    </xf>
    <xf numFmtId="0" fontId="4" fillId="37" borderId="19" xfId="0" applyFont="1" applyFill="1" applyBorder="1" applyAlignment="1">
      <alignment horizontal="center"/>
    </xf>
    <xf numFmtId="0" fontId="4" fillId="0" borderId="19" xfId="0" applyFont="1" applyBorder="1" applyAlignment="1">
      <alignment horizontal="center"/>
    </xf>
    <xf numFmtId="0" fontId="4" fillId="0" borderId="18" xfId="0" applyFont="1" applyBorder="1">
      <alignment horizontal="center" vertical="center"/>
    </xf>
    <xf numFmtId="0" fontId="4" fillId="0" borderId="0" xfId="0" applyFont="1" applyAlignment="1">
      <alignment horizontal="center"/>
    </xf>
    <xf numFmtId="49" fontId="4" fillId="41" borderId="19" xfId="0" applyNumberFormat="1" applyFont="1" applyFill="1" applyBorder="1" applyAlignment="1">
      <alignment horizontal="center"/>
    </xf>
    <xf numFmtId="49" fontId="4" fillId="42" borderId="19" xfId="0" applyNumberFormat="1" applyFont="1" applyFill="1" applyBorder="1" applyAlignment="1">
      <alignment horizontal="center"/>
    </xf>
    <xf numFmtId="0" fontId="0" fillId="0" borderId="20" xfId="0" applyBorder="1" applyAlignment="1">
      <alignment horizontal="center"/>
    </xf>
    <xf numFmtId="0" fontId="0" fillId="24" borderId="17" xfId="0" applyFill="1" applyBorder="1" applyAlignment="1">
      <alignment horizontal="center"/>
    </xf>
    <xf numFmtId="0" fontId="4" fillId="0" borderId="0" xfId="0" applyFont="1" applyAlignment="1">
      <alignment horizontal="left"/>
    </xf>
    <xf numFmtId="2" fontId="0" fillId="0" borderId="17" xfId="0" applyNumberFormat="1" applyBorder="1" applyAlignment="1">
      <alignment horizontal="center"/>
    </xf>
    <xf numFmtId="2" fontId="0" fillId="24" borderId="17" xfId="0" applyNumberFormat="1" applyFill="1" applyBorder="1" applyAlignment="1">
      <alignment horizontal="center"/>
    </xf>
    <xf numFmtId="0" fontId="4" fillId="0" borderId="21" xfId="0" applyFont="1" applyBorder="1" applyAlignment="1">
      <alignment horizontal="left"/>
    </xf>
    <xf numFmtId="2" fontId="0" fillId="0" borderId="11" xfId="0" applyNumberFormat="1" applyBorder="1" applyAlignment="1">
      <alignment horizontal="center"/>
    </xf>
    <xf numFmtId="0" fontId="0" fillId="0" borderId="0" xfId="0" applyAlignment="1">
      <alignment horizontal="left"/>
    </xf>
    <xf numFmtId="0" fontId="7" fillId="0" borderId="13" xfId="0" applyFont="1" applyBorder="1">
      <alignment horizontal="center" vertical="center"/>
    </xf>
    <xf numFmtId="2" fontId="0" fillId="0" borderId="0" xfId="0" applyNumberFormat="1" applyAlignment="1">
      <alignment horizontal="right"/>
    </xf>
    <xf numFmtId="0" fontId="7" fillId="0" borderId="0" xfId="0" applyFont="1">
      <alignment horizontal="center" vertical="center"/>
    </xf>
    <xf numFmtId="0" fontId="0" fillId="0" borderId="16" xfId="0" applyBorder="1">
      <alignment horizontal="center" vertical="center"/>
    </xf>
    <xf numFmtId="0" fontId="0" fillId="0" borderId="14" xfId="0" applyBorder="1" applyAlignment="1">
      <alignment horizontal="center"/>
    </xf>
    <xf numFmtId="0" fontId="4" fillId="43" borderId="0" xfId="0" applyFont="1" applyFill="1">
      <alignment horizontal="center" vertical="center"/>
    </xf>
    <xf numFmtId="0" fontId="0" fillId="43" borderId="0" xfId="0" applyFill="1">
      <alignment horizontal="center" vertical="center"/>
    </xf>
    <xf numFmtId="0" fontId="7" fillId="0" borderId="19" xfId="0" applyFont="1" applyBorder="1" applyAlignment="1">
      <alignment horizontal="center"/>
    </xf>
    <xf numFmtId="0" fontId="0" fillId="0" borderId="19" xfId="0" applyBorder="1" applyAlignment="1">
      <alignment horizontal="center"/>
    </xf>
    <xf numFmtId="2" fontId="0" fillId="0" borderId="0" xfId="0" applyNumberFormat="1" applyAlignment="1">
      <alignment horizontal="left"/>
    </xf>
    <xf numFmtId="49" fontId="4" fillId="0" borderId="0" xfId="0" applyNumberFormat="1" applyFont="1" applyAlignment="1">
      <alignment horizontal="center"/>
    </xf>
    <xf numFmtId="0" fontId="10" fillId="0" borderId="0" xfId="0" applyFont="1">
      <alignment horizontal="center" vertical="center"/>
    </xf>
    <xf numFmtId="0" fontId="11" fillId="0" borderId="0" xfId="0" applyFont="1" applyAlignment="1">
      <alignment horizontal="center"/>
    </xf>
    <xf numFmtId="166" fontId="0" fillId="0" borderId="0" xfId="0" applyNumberFormat="1">
      <alignment horizontal="center" vertical="center"/>
    </xf>
    <xf numFmtId="2" fontId="0" fillId="28" borderId="0" xfId="0" applyNumberFormat="1" applyFill="1">
      <alignment horizontal="center" vertical="center"/>
    </xf>
    <xf numFmtId="0" fontId="0" fillId="0" borderId="16" xfId="0" applyBorder="1" applyAlignment="1">
      <alignment horizontal="left"/>
    </xf>
    <xf numFmtId="166" fontId="0" fillId="0" borderId="12" xfId="0" applyNumberFormat="1" applyBorder="1">
      <alignment horizontal="center" vertical="center"/>
    </xf>
    <xf numFmtId="2" fontId="0" fillId="29" borderId="0" xfId="0" applyNumberFormat="1" applyFill="1">
      <alignment horizontal="center" vertical="center"/>
    </xf>
    <xf numFmtId="0" fontId="0" fillId="0" borderId="11" xfId="0" applyBorder="1" applyAlignment="1" applyProtection="1">
      <alignment horizontal="center"/>
      <protection locked="0"/>
    </xf>
    <xf numFmtId="0" fontId="4" fillId="0" borderId="11" xfId="0" applyFont="1" applyBorder="1" applyAlignment="1">
      <alignment horizontal="center"/>
    </xf>
    <xf numFmtId="0" fontId="4" fillId="0" borderId="22" xfId="0" applyFont="1" applyBorder="1" applyAlignment="1">
      <alignment horizontal="center"/>
    </xf>
    <xf numFmtId="0" fontId="7" fillId="47" borderId="12" xfId="0" applyFont="1" applyFill="1" applyBorder="1">
      <alignment horizontal="center" vertical="center"/>
    </xf>
    <xf numFmtId="0" fontId="7" fillId="47" borderId="22" xfId="0" applyFont="1" applyFill="1" applyBorder="1">
      <alignment horizontal="center" vertical="center"/>
    </xf>
    <xf numFmtId="0" fontId="7" fillId="0" borderId="12" xfId="0" applyFont="1" applyBorder="1">
      <alignment horizontal="center" vertical="center"/>
    </xf>
    <xf numFmtId="0" fontId="7" fillId="0" borderId="12" xfId="0" applyFont="1" applyBorder="1" applyAlignment="1">
      <alignment horizontal="left"/>
    </xf>
    <xf numFmtId="0" fontId="6" fillId="26" borderId="11" xfId="0" applyFont="1" applyFill="1" applyBorder="1" applyAlignment="1">
      <alignment horizontal="left"/>
    </xf>
    <xf numFmtId="0" fontId="6" fillId="26" borderId="12" xfId="0" applyFont="1" applyFill="1" applyBorder="1">
      <alignment horizontal="center" vertical="center"/>
    </xf>
    <xf numFmtId="0" fontId="0" fillId="26" borderId="12" xfId="0" applyFill="1" applyBorder="1">
      <alignment horizontal="center" vertical="center"/>
    </xf>
    <xf numFmtId="0" fontId="7" fillId="26" borderId="12" xfId="0" applyFont="1" applyFill="1" applyBorder="1">
      <alignment horizontal="center" vertical="center"/>
    </xf>
    <xf numFmtId="0" fontId="7" fillId="26" borderId="22" xfId="0" applyFont="1" applyFill="1" applyBorder="1">
      <alignment horizontal="center" vertical="center"/>
    </xf>
    <xf numFmtId="0" fontId="14" fillId="0" borderId="0" xfId="0" applyFont="1">
      <alignment horizontal="center" vertical="center"/>
    </xf>
    <xf numFmtId="0" fontId="16" fillId="0" borderId="0" xfId="0" applyFont="1">
      <alignment horizontal="center" vertical="center"/>
    </xf>
    <xf numFmtId="0" fontId="0" fillId="43" borderId="0" xfId="0" applyFill="1" applyAlignment="1" applyProtection="1">
      <alignment horizontal="center"/>
      <protection locked="0"/>
    </xf>
    <xf numFmtId="0" fontId="0" fillId="0" borderId="23" xfId="0" applyBorder="1">
      <alignment horizontal="center" vertical="center"/>
    </xf>
    <xf numFmtId="0" fontId="17" fillId="0" borderId="0" xfId="0" applyFont="1" applyAlignment="1">
      <alignment horizontal="left"/>
    </xf>
    <xf numFmtId="0" fontId="8" fillId="0" borderId="0" xfId="0" applyFont="1" applyAlignment="1" applyProtection="1">
      <alignment horizontal="left"/>
      <protection locked="0"/>
    </xf>
    <xf numFmtId="49" fontId="7" fillId="0" borderId="0" xfId="0" applyNumberFormat="1" applyFont="1">
      <alignment horizontal="center" vertical="center"/>
    </xf>
    <xf numFmtId="0" fontId="9" fillId="0" borderId="0" xfId="0" applyFont="1">
      <alignment horizontal="center" vertical="center"/>
    </xf>
    <xf numFmtId="0" fontId="0" fillId="0" borderId="0" xfId="0" applyAlignment="1" applyProtection="1">
      <alignment horizontal="center"/>
      <protection locked="0"/>
    </xf>
    <xf numFmtId="0" fontId="4" fillId="43" borderId="0" xfId="0" applyFont="1" applyFill="1" applyAlignment="1">
      <alignment horizontal="center"/>
    </xf>
    <xf numFmtId="0" fontId="0" fillId="0" borderId="0" xfId="0" applyAlignment="1">
      <alignment horizontal="left" vertical="center"/>
    </xf>
    <xf numFmtId="0" fontId="7" fillId="0" borderId="19" xfId="0" applyFont="1" applyBorder="1">
      <alignment horizontal="center" vertical="center"/>
    </xf>
    <xf numFmtId="0" fontId="0" fillId="0" borderId="12" xfId="0" applyBorder="1" applyAlignment="1">
      <alignment horizontal="left"/>
    </xf>
    <xf numFmtId="0" fontId="21" fillId="0" borderId="0" xfId="0" applyFont="1">
      <alignment horizontal="center" vertical="center"/>
    </xf>
    <xf numFmtId="0" fontId="9" fillId="0" borderId="0" xfId="0" applyFont="1" applyAlignment="1">
      <alignment horizontal="center" wrapText="1"/>
    </xf>
    <xf numFmtId="0" fontId="0" fillId="0" borderId="22" xfId="0" applyBorder="1">
      <alignment horizontal="center" vertical="center"/>
    </xf>
    <xf numFmtId="0" fontId="4" fillId="0" borderId="12" xfId="0" applyFont="1" applyBorder="1" applyAlignment="1">
      <alignment horizontal="left"/>
    </xf>
    <xf numFmtId="0" fontId="4" fillId="0" borderId="13" xfId="0" applyFont="1" applyBorder="1" applyAlignment="1">
      <alignment horizontal="left"/>
    </xf>
    <xf numFmtId="0" fontId="0" fillId="0" borderId="24" xfId="0" applyBorder="1">
      <alignment horizontal="center" vertical="center"/>
    </xf>
    <xf numFmtId="0" fontId="0" fillId="0" borderId="13" xfId="0" applyBorder="1" applyAlignment="1">
      <alignment horizontal="left"/>
    </xf>
    <xf numFmtId="0" fontId="0" fillId="0" borderId="22" xfId="0" applyBorder="1" applyAlignment="1">
      <alignment horizontal="left"/>
    </xf>
    <xf numFmtId="0" fontId="13" fillId="0" borderId="0" xfId="0" applyFont="1" applyAlignment="1">
      <alignment horizontal="left"/>
    </xf>
    <xf numFmtId="0" fontId="4" fillId="0" borderId="11" xfId="0" applyFont="1" applyBorder="1" applyAlignment="1" applyProtection="1">
      <alignment horizontal="left"/>
      <protection locked="0"/>
    </xf>
    <xf numFmtId="0" fontId="20" fillId="0" borderId="13" xfId="0" applyFont="1" applyBorder="1" applyAlignment="1">
      <alignment wrapText="1"/>
    </xf>
    <xf numFmtId="169" fontId="0" fillId="0" borderId="0" xfId="0" applyNumberFormat="1">
      <alignment horizontal="center" vertical="center"/>
    </xf>
    <xf numFmtId="0" fontId="24" fillId="0" borderId="0" xfId="0" applyFont="1">
      <alignment horizontal="center" vertical="center"/>
    </xf>
    <xf numFmtId="0" fontId="18" fillId="24" borderId="15" xfId="0" applyFont="1" applyFill="1" applyBorder="1" applyAlignment="1"/>
    <xf numFmtId="0" fontId="18" fillId="24" borderId="0" xfId="0" applyFont="1" applyFill="1">
      <alignment horizontal="center" vertical="center"/>
    </xf>
    <xf numFmtId="0" fontId="18" fillId="24" borderId="0" xfId="0" applyFont="1" applyFill="1" applyAlignment="1">
      <alignment horizontal="center"/>
    </xf>
    <xf numFmtId="0" fontId="25" fillId="24" borderId="15" xfId="0" applyFont="1" applyFill="1" applyBorder="1" applyAlignment="1">
      <alignment horizontal="center"/>
    </xf>
    <xf numFmtId="0" fontId="25" fillId="24" borderId="0" xfId="0" applyFont="1" applyFill="1" applyAlignment="1">
      <alignment horizontal="center"/>
    </xf>
    <xf numFmtId="0" fontId="25" fillId="24" borderId="23" xfId="0" applyFont="1" applyFill="1" applyBorder="1" applyAlignment="1">
      <alignment horizontal="center"/>
    </xf>
    <xf numFmtId="0" fontId="18" fillId="24" borderId="23" xfId="0" applyFont="1" applyFill="1" applyBorder="1">
      <alignment horizontal="center" vertical="center"/>
    </xf>
    <xf numFmtId="0" fontId="26" fillId="0" borderId="0" xfId="0" applyFont="1">
      <alignment horizontal="center" vertical="center"/>
    </xf>
    <xf numFmtId="0" fontId="27" fillId="0" borderId="0" xfId="0" applyFont="1">
      <alignment horizontal="center" vertical="center"/>
    </xf>
    <xf numFmtId="0" fontId="18" fillId="45" borderId="15" xfId="0" applyFont="1" applyFill="1" applyBorder="1" applyAlignment="1">
      <alignment wrapText="1"/>
    </xf>
    <xf numFmtId="0" fontId="18" fillId="39" borderId="15" xfId="0" applyFont="1" applyFill="1" applyBorder="1" applyAlignment="1">
      <alignment wrapText="1"/>
    </xf>
    <xf numFmtId="0" fontId="18" fillId="47" borderId="15" xfId="0" applyFont="1" applyFill="1" applyBorder="1" applyAlignment="1">
      <alignment wrapText="1"/>
    </xf>
    <xf numFmtId="0" fontId="18" fillId="40" borderId="15" xfId="0" applyFont="1" applyFill="1" applyBorder="1" applyAlignment="1">
      <alignment wrapText="1"/>
    </xf>
    <xf numFmtId="0" fontId="22" fillId="48" borderId="15" xfId="0" applyFont="1" applyFill="1" applyBorder="1" applyAlignment="1">
      <alignment wrapText="1"/>
    </xf>
    <xf numFmtId="0" fontId="20" fillId="0" borderId="0" xfId="0" applyFont="1" applyAlignment="1">
      <alignment horizontal="left"/>
    </xf>
    <xf numFmtId="0" fontId="45" fillId="0" borderId="0" xfId="0" applyFont="1">
      <alignment horizontal="center" vertical="center"/>
    </xf>
    <xf numFmtId="169" fontId="45" fillId="0" borderId="0" xfId="0" applyNumberFormat="1" applyFont="1">
      <alignment horizontal="center" vertical="center"/>
    </xf>
    <xf numFmtId="0" fontId="45" fillId="0" borderId="28" xfId="0" applyFont="1" applyBorder="1">
      <alignment horizontal="center" vertical="center"/>
    </xf>
    <xf numFmtId="0" fontId="45" fillId="0" borderId="26" xfId="0" applyFont="1" applyBorder="1">
      <alignment horizontal="center" vertical="center"/>
    </xf>
    <xf numFmtId="0" fontId="45" fillId="0" borderId="0" xfId="0" applyFont="1" applyAlignment="1">
      <alignment horizontal="left" vertical="center"/>
    </xf>
    <xf numFmtId="49" fontId="45" fillId="0" borderId="27" xfId="0" applyNumberFormat="1" applyFont="1" applyBorder="1">
      <alignment horizontal="center" vertical="center"/>
    </xf>
    <xf numFmtId="0" fontId="4" fillId="0" borderId="0" xfId="0" applyFont="1" applyAlignment="1" applyProtection="1">
      <alignment horizontal="center"/>
      <protection locked="0"/>
    </xf>
    <xf numFmtId="0" fontId="4" fillId="43" borderId="0" xfId="0" applyFont="1" applyFill="1" applyAlignment="1">
      <alignment horizontal="left"/>
    </xf>
    <xf numFmtId="0" fontId="46" fillId="0" borderId="0" xfId="0" applyFont="1" applyAlignment="1">
      <alignment vertical="top" wrapText="1"/>
    </xf>
    <xf numFmtId="0" fontId="48" fillId="0" borderId="0" xfId="0" applyFont="1">
      <alignment horizontal="center" vertical="center"/>
    </xf>
    <xf numFmtId="164" fontId="20" fillId="0" borderId="0" xfId="0" applyNumberFormat="1" applyFont="1" applyAlignment="1">
      <alignment horizontal="center"/>
    </xf>
    <xf numFmtId="0" fontId="21" fillId="0" borderId="26" xfId="0" applyFont="1" applyBorder="1">
      <alignment horizontal="center" vertical="center"/>
    </xf>
    <xf numFmtId="0" fontId="4" fillId="0" borderId="13" xfId="0" applyFont="1" applyBorder="1">
      <alignment horizontal="center" vertical="center"/>
    </xf>
    <xf numFmtId="0" fontId="0" fillId="0" borderId="13" xfId="0" applyBorder="1" applyAlignment="1">
      <alignment horizontal="left" vertical="center"/>
    </xf>
    <xf numFmtId="0" fontId="45" fillId="0" borderId="25" xfId="0" applyFont="1" applyBorder="1" applyAlignment="1">
      <alignment vertical="center"/>
    </xf>
    <xf numFmtId="0" fontId="0" fillId="0" borderId="0" xfId="0" applyAlignment="1">
      <alignment vertical="center"/>
    </xf>
    <xf numFmtId="0" fontId="45" fillId="0" borderId="25" xfId="0" applyFont="1" applyBorder="1" applyAlignment="1"/>
    <xf numFmtId="0" fontId="4" fillId="0" borderId="0" xfId="0" applyFont="1" applyAlignment="1">
      <alignment horizontal="left" vertical="center"/>
    </xf>
    <xf numFmtId="0" fontId="4" fillId="0" borderId="0" xfId="0" applyFont="1" applyAlignment="1">
      <alignment vertical="center"/>
    </xf>
    <xf numFmtId="0" fontId="4" fillId="46" borderId="0" xfId="0" applyFont="1" applyFill="1" applyAlignment="1">
      <alignment horizontal="left" vertical="center"/>
    </xf>
    <xf numFmtId="0" fontId="6" fillId="0" borderId="13" xfId="0" applyFont="1" applyBorder="1" applyAlignment="1">
      <alignment horizontal="left" vertical="center"/>
    </xf>
    <xf numFmtId="0" fontId="0" fillId="0" borderId="12" xfId="0" applyBorder="1" applyAlignment="1">
      <alignment horizontal="left" vertical="center"/>
    </xf>
    <xf numFmtId="0" fontId="0" fillId="0" borderId="29" xfId="0" applyBorder="1" applyAlignment="1">
      <alignment horizontal="left" vertical="center"/>
    </xf>
    <xf numFmtId="0" fontId="0" fillId="0" borderId="22" xfId="0" applyBorder="1" applyAlignment="1">
      <alignment horizontal="left" vertical="center"/>
    </xf>
    <xf numFmtId="49" fontId="0" fillId="0" borderId="12" xfId="0" applyNumberFormat="1" applyBorder="1" applyAlignment="1">
      <alignment horizontal="left" vertical="center"/>
    </xf>
    <xf numFmtId="49" fontId="0" fillId="0" borderId="29" xfId="0" applyNumberFormat="1" applyBorder="1" applyAlignment="1">
      <alignment horizontal="left" vertical="center"/>
    </xf>
    <xf numFmtId="0" fontId="45" fillId="0" borderId="13" xfId="0" applyFont="1" applyBorder="1" applyAlignment="1">
      <alignment vertical="center"/>
    </xf>
    <xf numFmtId="49" fontId="0" fillId="51" borderId="0" xfId="0" applyNumberFormat="1" applyFill="1">
      <alignment horizontal="center" vertical="center"/>
    </xf>
    <xf numFmtId="0" fontId="4" fillId="0" borderId="0" xfId="0" applyFont="1" applyAlignment="1"/>
    <xf numFmtId="0" fontId="0" fillId="0" borderId="0" xfId="0" applyAlignment="1"/>
    <xf numFmtId="0" fontId="7" fillId="0" borderId="0" xfId="0" applyFont="1" applyAlignment="1"/>
    <xf numFmtId="0" fontId="0" fillId="0" borderId="11" xfId="0" applyBorder="1" applyAlignment="1">
      <alignment horizontal="left" vertical="center"/>
    </xf>
    <xf numFmtId="0" fontId="9" fillId="61" borderId="15" xfId="0" applyFont="1" applyFill="1" applyBorder="1" applyAlignment="1">
      <alignment horizontal="center" wrapText="1"/>
    </xf>
    <xf numFmtId="0" fontId="9" fillId="62" borderId="0" xfId="0" applyFont="1" applyFill="1" applyAlignment="1">
      <alignment horizontal="center" wrapText="1"/>
    </xf>
    <xf numFmtId="0" fontId="9" fillId="0" borderId="15" xfId="0" applyFont="1" applyBorder="1">
      <alignment horizontal="center" vertical="center"/>
    </xf>
    <xf numFmtId="0" fontId="9" fillId="62" borderId="15" xfId="0" applyFont="1" applyFill="1" applyBorder="1">
      <alignment horizontal="center" vertical="center"/>
    </xf>
    <xf numFmtId="0" fontId="9" fillId="62" borderId="0" xfId="0" applyFont="1" applyFill="1">
      <alignment horizontal="center" vertical="center"/>
    </xf>
    <xf numFmtId="0" fontId="9" fillId="51" borderId="15" xfId="0" applyFont="1" applyFill="1" applyBorder="1">
      <alignment horizontal="center" vertical="center"/>
    </xf>
    <xf numFmtId="0" fontId="9" fillId="51" borderId="0" xfId="0" applyFont="1" applyFill="1">
      <alignment horizontal="center" vertical="center"/>
    </xf>
    <xf numFmtId="0" fontId="9" fillId="61" borderId="30" xfId="0" applyFont="1" applyFill="1" applyBorder="1" applyAlignment="1">
      <alignment horizontal="center" wrapText="1"/>
    </xf>
    <xf numFmtId="168" fontId="20" fillId="0" borderId="0" xfId="0" applyNumberFormat="1" applyFont="1" applyAlignment="1">
      <alignment horizontal="center"/>
    </xf>
    <xf numFmtId="0" fontId="20" fillId="0" borderId="0" xfId="0" applyFont="1" applyAlignment="1">
      <alignment horizontal="center"/>
    </xf>
    <xf numFmtId="0" fontId="0" fillId="51" borderId="0" xfId="0" applyFill="1">
      <alignment horizontal="center" vertical="center"/>
    </xf>
    <xf numFmtId="0" fontId="0" fillId="51" borderId="0" xfId="44" applyFont="1" applyFill="1">
      <alignment horizontal="center" vertical="center"/>
    </xf>
    <xf numFmtId="0" fontId="0" fillId="0" borderId="12" xfId="0" applyBorder="1" applyAlignment="1"/>
    <xf numFmtId="0" fontId="0" fillId="0" borderId="24" xfId="0" applyBorder="1" applyAlignment="1"/>
    <xf numFmtId="49" fontId="0" fillId="0" borderId="0" xfId="0" applyNumberFormat="1">
      <alignment horizontal="center" vertical="center"/>
    </xf>
    <xf numFmtId="0" fontId="7" fillId="0" borderId="32" xfId="0" applyFont="1" applyBorder="1">
      <alignment horizontal="center" vertical="center"/>
    </xf>
    <xf numFmtId="0" fontId="9" fillId="0" borderId="32" xfId="0" applyFont="1" applyBorder="1">
      <alignment horizontal="center" vertical="center"/>
    </xf>
    <xf numFmtId="0" fontId="0" fillId="0" borderId="0" xfId="0" applyBorder="1">
      <alignment horizontal="center" vertical="center"/>
    </xf>
    <xf numFmtId="0" fontId="9" fillId="0" borderId="0" xfId="0" applyFont="1" applyBorder="1">
      <alignment horizontal="center" vertical="center"/>
    </xf>
    <xf numFmtId="0" fontId="0" fillId="51" borderId="0" xfId="44" applyFont="1" applyFill="1" applyBorder="1">
      <alignment horizontal="center" vertical="center"/>
    </xf>
    <xf numFmtId="0" fontId="0" fillId="51" borderId="34" xfId="0" applyFill="1" applyBorder="1">
      <alignment horizontal="center" vertical="center"/>
    </xf>
    <xf numFmtId="0" fontId="21" fillId="0" borderId="34" xfId="0" applyFont="1" applyBorder="1" applyAlignment="1">
      <alignment vertical="center"/>
    </xf>
    <xf numFmtId="1" fontId="0" fillId="51" borderId="34" xfId="32" applyNumberFormat="1" applyFont="1" applyFill="1" applyBorder="1" applyAlignment="1">
      <alignment horizontal="center" vertical="center"/>
    </xf>
    <xf numFmtId="0" fontId="0" fillId="51" borderId="34" xfId="43" applyFont="1" applyFill="1" applyBorder="1">
      <alignment horizontal="center" vertical="center"/>
    </xf>
    <xf numFmtId="0" fontId="4" fillId="0" borderId="0" xfId="0" applyFont="1" applyBorder="1" applyAlignment="1" applyProtection="1">
      <alignment horizontal="center"/>
      <protection locked="0"/>
    </xf>
    <xf numFmtId="0" fontId="0" fillId="0" borderId="0" xfId="0" applyBorder="1" applyAlignment="1">
      <alignment horizontal="left" vertical="center"/>
    </xf>
    <xf numFmtId="0" fontId="0" fillId="51" borderId="0" xfId="0" applyFill="1" applyBorder="1">
      <alignment horizontal="center" vertical="center"/>
    </xf>
    <xf numFmtId="0" fontId="4" fillId="43" borderId="0" xfId="0" applyFont="1" applyFill="1" applyBorder="1" applyAlignment="1">
      <alignment horizontal="center"/>
    </xf>
    <xf numFmtId="0" fontId="7" fillId="51" borderId="0" xfId="51" applyFill="1" applyBorder="1">
      <alignment horizontal="center" vertical="center"/>
    </xf>
    <xf numFmtId="49" fontId="7" fillId="51" borderId="0" xfId="0" applyNumberFormat="1" applyFont="1" applyFill="1" applyBorder="1">
      <alignment horizontal="center" vertical="center"/>
    </xf>
    <xf numFmtId="0" fontId="9" fillId="51" borderId="0" xfId="0" applyFont="1" applyFill="1" applyBorder="1">
      <alignment horizontal="center" vertical="center"/>
    </xf>
    <xf numFmtId="0" fontId="21" fillId="51" borderId="25" xfId="0" applyFont="1" applyFill="1" applyBorder="1" applyAlignment="1" applyProtection="1">
      <alignment horizontal="left" vertical="center"/>
      <protection locked="0"/>
    </xf>
    <xf numFmtId="0" fontId="21" fillId="0" borderId="25" xfId="0" applyFont="1" applyBorder="1" applyAlignment="1">
      <alignment vertical="center"/>
    </xf>
    <xf numFmtId="0" fontId="0" fillId="0" borderId="35" xfId="0" applyBorder="1">
      <alignment horizontal="center" vertical="center"/>
    </xf>
    <xf numFmtId="49" fontId="0" fillId="0" borderId="0" xfId="0" applyNumberFormat="1" applyBorder="1">
      <alignment horizontal="center" vertical="center"/>
    </xf>
    <xf numFmtId="0" fontId="7" fillId="0" borderId="0" xfId="0" applyFont="1" applyBorder="1" applyAlignment="1">
      <alignment horizontal="left" vertical="center"/>
    </xf>
    <xf numFmtId="0" fontId="7" fillId="0" borderId="0" xfId="0" applyFont="1" applyBorder="1">
      <alignment horizontal="center" vertical="center"/>
    </xf>
    <xf numFmtId="49" fontId="7" fillId="0" borderId="0" xfId="0" applyNumberFormat="1" applyFont="1" applyBorder="1">
      <alignment horizontal="center" vertical="center"/>
    </xf>
    <xf numFmtId="0" fontId="21" fillId="0" borderId="36" xfId="0" applyFont="1" applyBorder="1">
      <alignment horizontal="center" vertical="center"/>
    </xf>
    <xf numFmtId="0" fontId="45" fillId="0" borderId="36" xfId="0" applyFont="1" applyBorder="1">
      <alignment horizontal="center" vertical="center"/>
    </xf>
    <xf numFmtId="0" fontId="0" fillId="51" borderId="33" xfId="0" applyFill="1" applyBorder="1">
      <alignment horizontal="center" vertical="center"/>
    </xf>
    <xf numFmtId="0" fontId="0" fillId="24" borderId="11" xfId="0" applyFill="1" applyBorder="1" applyAlignment="1" applyProtection="1">
      <alignment horizontal="center"/>
      <protection locked="0"/>
    </xf>
    <xf numFmtId="0" fontId="0" fillId="0" borderId="37" xfId="0" applyBorder="1" applyAlignment="1">
      <alignment vertical="center"/>
    </xf>
    <xf numFmtId="49" fontId="0" fillId="51" borderId="0" xfId="0" applyNumberFormat="1" applyFill="1" applyBorder="1">
      <alignment horizontal="center" vertical="center"/>
    </xf>
    <xf numFmtId="0" fontId="0" fillId="51" borderId="0" xfId="0" applyFill="1" applyBorder="1" applyAlignment="1">
      <alignment horizontal="left" vertical="center"/>
    </xf>
    <xf numFmtId="0" fontId="0" fillId="51" borderId="0" xfId="47" applyFont="1" applyFill="1" applyBorder="1">
      <alignment horizontal="center" vertical="center"/>
    </xf>
    <xf numFmtId="0" fontId="0" fillId="51" borderId="0" xfId="32" applyFont="1" applyFill="1" applyBorder="1" applyAlignment="1">
      <alignment horizontal="center" vertical="center"/>
    </xf>
    <xf numFmtId="0" fontId="0" fillId="51" borderId="0" xfId="48" applyFont="1" applyFill="1" applyBorder="1">
      <alignment horizontal="center" vertical="center"/>
    </xf>
    <xf numFmtId="0" fontId="0" fillId="51" borderId="0" xfId="43" applyFont="1" applyFill="1" applyBorder="1">
      <alignment horizontal="center" vertical="center"/>
    </xf>
    <xf numFmtId="0" fontId="0" fillId="0" borderId="39" xfId="0" applyBorder="1">
      <alignment horizontal="center" vertical="center"/>
    </xf>
    <xf numFmtId="0" fontId="0" fillId="0" borderId="42" xfId="0" applyBorder="1" applyAlignment="1">
      <alignment horizontal="center"/>
    </xf>
    <xf numFmtId="0" fontId="0" fillId="0" borderId="43" xfId="0" applyBorder="1">
      <alignment horizontal="center" vertical="center"/>
    </xf>
    <xf numFmtId="0" fontId="4" fillId="0" borderId="41" xfId="0" applyFont="1" applyBorder="1" applyAlignment="1">
      <alignment horizontal="left"/>
    </xf>
    <xf numFmtId="0" fontId="0" fillId="0" borderId="40" xfId="0" applyBorder="1" applyAlignment="1">
      <alignment horizontal="center"/>
    </xf>
    <xf numFmtId="0" fontId="7" fillId="0" borderId="40" xfId="0" applyFont="1" applyBorder="1" applyAlignment="1">
      <alignment horizontal="center"/>
    </xf>
    <xf numFmtId="0" fontId="6" fillId="0" borderId="40" xfId="0" applyFont="1" applyBorder="1" applyAlignment="1">
      <alignment horizontal="center"/>
    </xf>
    <xf numFmtId="0" fontId="6" fillId="0" borderId="41" xfId="0" applyFont="1" applyBorder="1" applyAlignment="1">
      <alignment horizontal="center"/>
    </xf>
    <xf numFmtId="0" fontId="0" fillId="24" borderId="44" xfId="0" applyFill="1" applyBorder="1" applyAlignment="1">
      <alignment horizontal="center"/>
    </xf>
    <xf numFmtId="0" fontId="6" fillId="0" borderId="45" xfId="0" applyFont="1" applyBorder="1" applyAlignment="1">
      <alignment horizontal="left"/>
    </xf>
    <xf numFmtId="0" fontId="7" fillId="0" borderId="41" xfId="0" applyFont="1" applyBorder="1" applyAlignment="1">
      <alignment horizontal="center"/>
    </xf>
    <xf numFmtId="0" fontId="0" fillId="0" borderId="44" xfId="0" applyBorder="1" applyAlignment="1">
      <alignment horizontal="center"/>
    </xf>
    <xf numFmtId="0" fontId="7" fillId="0" borderId="45" xfId="0" applyFont="1" applyBorder="1" applyAlignment="1">
      <alignment horizontal="left"/>
    </xf>
    <xf numFmtId="0" fontId="7" fillId="0" borderId="44" xfId="0" applyFont="1" applyBorder="1" applyAlignment="1">
      <alignment horizontal="left"/>
    </xf>
    <xf numFmtId="0" fontId="7" fillId="27" borderId="40" xfId="0" applyFont="1" applyFill="1" applyBorder="1" applyAlignment="1">
      <alignment horizontal="center"/>
    </xf>
    <xf numFmtId="0" fontId="7" fillId="27" borderId="41" xfId="0" applyFont="1" applyFill="1" applyBorder="1" applyAlignment="1">
      <alignment horizontal="center"/>
    </xf>
    <xf numFmtId="0" fontId="7" fillId="25" borderId="40" xfId="0" applyFont="1" applyFill="1" applyBorder="1" applyAlignment="1">
      <alignment horizontal="center"/>
    </xf>
    <xf numFmtId="0" fontId="7" fillId="25" borderId="41" xfId="0" applyFont="1" applyFill="1" applyBorder="1" applyAlignment="1">
      <alignment horizontal="center"/>
    </xf>
    <xf numFmtId="0" fontId="4" fillId="0" borderId="42" xfId="0" applyFont="1" applyBorder="1" applyAlignment="1">
      <alignment horizontal="left"/>
    </xf>
    <xf numFmtId="0" fontId="0" fillId="29" borderId="40" xfId="0" applyFill="1" applyBorder="1" applyAlignment="1">
      <alignment horizontal="center"/>
    </xf>
    <xf numFmtId="0" fontId="0" fillId="24" borderId="40" xfId="0" applyFill="1" applyBorder="1" applyAlignment="1">
      <alignment horizontal="center"/>
    </xf>
    <xf numFmtId="0" fontId="7" fillId="24" borderId="41" xfId="0" applyFont="1" applyFill="1" applyBorder="1" applyAlignment="1">
      <alignment horizontal="center"/>
    </xf>
    <xf numFmtId="0" fontId="4" fillId="0" borderId="42" xfId="0" applyFont="1" applyBorder="1">
      <alignment horizontal="center" vertical="center"/>
    </xf>
    <xf numFmtId="0" fontId="0" fillId="26" borderId="40" xfId="0" applyFill="1" applyBorder="1" applyAlignment="1">
      <alignment horizontal="center"/>
    </xf>
    <xf numFmtId="0" fontId="4" fillId="0" borderId="42" xfId="0" applyFont="1" applyBorder="1" applyAlignment="1">
      <alignment horizontal="center"/>
    </xf>
    <xf numFmtId="0" fontId="0" fillId="0" borderId="40" xfId="0" applyBorder="1">
      <alignment horizontal="center" vertical="center"/>
    </xf>
    <xf numFmtId="0" fontId="0" fillId="0" borderId="42" xfId="0" applyBorder="1" applyAlignment="1">
      <alignment horizontal="left"/>
    </xf>
    <xf numFmtId="0" fontId="7" fillId="0" borderId="44" xfId="0" applyFont="1" applyBorder="1" applyAlignment="1">
      <alignment horizontal="center"/>
    </xf>
    <xf numFmtId="0" fontId="6" fillId="24" borderId="45" xfId="0" applyFont="1" applyFill="1" applyBorder="1" applyAlignment="1">
      <alignment horizontal="left"/>
    </xf>
    <xf numFmtId="0" fontId="0" fillId="33" borderId="40" xfId="0" applyFill="1" applyBorder="1" applyAlignment="1">
      <alignment horizontal="center"/>
    </xf>
    <xf numFmtId="0" fontId="11" fillId="34" borderId="40" xfId="0" applyFont="1" applyFill="1" applyBorder="1" applyAlignment="1">
      <alignment horizontal="center"/>
    </xf>
    <xf numFmtId="0" fontId="4" fillId="0" borderId="46" xfId="0" applyFont="1" applyBorder="1" applyAlignment="1">
      <alignment horizontal="left"/>
    </xf>
    <xf numFmtId="0" fontId="11" fillId="35" borderId="40" xfId="0" applyFont="1" applyFill="1" applyBorder="1" applyAlignment="1">
      <alignment horizontal="center"/>
    </xf>
    <xf numFmtId="0" fontId="11" fillId="35" borderId="43" xfId="0" applyFont="1" applyFill="1" applyBorder="1" applyAlignment="1">
      <alignment horizontal="center"/>
    </xf>
    <xf numFmtId="0" fontId="7" fillId="36" borderId="40" xfId="0" applyFont="1" applyFill="1" applyBorder="1" applyAlignment="1">
      <alignment horizontal="center"/>
    </xf>
    <xf numFmtId="0" fontId="7" fillId="0" borderId="43" xfId="0" applyFont="1" applyBorder="1" applyAlignment="1">
      <alignment horizontal="center"/>
    </xf>
    <xf numFmtId="0" fontId="0" fillId="37" borderId="40" xfId="0" applyFill="1" applyBorder="1" applyAlignment="1">
      <alignment horizontal="center"/>
    </xf>
    <xf numFmtId="0" fontId="0" fillId="37" borderId="43" xfId="0" applyFill="1" applyBorder="1" applyAlignment="1">
      <alignment horizontal="center"/>
    </xf>
    <xf numFmtId="0" fontId="0" fillId="38" borderId="40" xfId="0" applyFill="1" applyBorder="1" applyAlignment="1">
      <alignment horizontal="center"/>
    </xf>
    <xf numFmtId="0" fontId="4" fillId="0" borderId="46" xfId="0" applyFont="1" applyBorder="1" applyAlignment="1">
      <alignment horizontal="left" vertical="center"/>
    </xf>
    <xf numFmtId="0" fontId="0" fillId="40" borderId="40" xfId="0" applyFill="1" applyBorder="1" applyAlignment="1">
      <alignment horizontal="center"/>
    </xf>
    <xf numFmtId="0" fontId="0" fillId="41" borderId="40" xfId="0" applyFill="1" applyBorder="1" applyAlignment="1">
      <alignment horizontal="center"/>
    </xf>
    <xf numFmtId="0" fontId="0" fillId="0" borderId="43" xfId="0" applyBorder="1" applyAlignment="1">
      <alignment horizontal="center"/>
    </xf>
    <xf numFmtId="0" fontId="0" fillId="0" borderId="45" xfId="0" applyBorder="1" applyAlignment="1">
      <alignment horizontal="center"/>
    </xf>
    <xf numFmtId="0" fontId="0" fillId="42" borderId="40" xfId="0" applyFill="1" applyBorder="1" applyAlignment="1">
      <alignment horizontal="center"/>
    </xf>
    <xf numFmtId="0" fontId="4" fillId="0" borderId="46" xfId="0" applyFont="1" applyBorder="1">
      <alignment horizontal="center" vertical="center"/>
    </xf>
    <xf numFmtId="0" fontId="7" fillId="39" borderId="40" xfId="0" applyFont="1" applyFill="1" applyBorder="1" applyAlignment="1">
      <alignment horizontal="center"/>
    </xf>
    <xf numFmtId="0" fontId="6" fillId="0" borderId="42" xfId="0" applyFont="1" applyBorder="1" applyAlignment="1">
      <alignment horizontal="left"/>
    </xf>
    <xf numFmtId="0" fontId="6" fillId="24" borderId="42" xfId="0" applyFont="1" applyFill="1" applyBorder="1" applyAlignment="1">
      <alignment horizontal="left"/>
    </xf>
    <xf numFmtId="0" fontId="7" fillId="24" borderId="45" xfId="0" applyFont="1" applyFill="1" applyBorder="1" applyAlignment="1">
      <alignment horizontal="left"/>
    </xf>
    <xf numFmtId="0" fontId="4" fillId="0" borderId="40" xfId="0" applyFont="1" applyBorder="1" applyAlignment="1">
      <alignment horizontal="center"/>
    </xf>
    <xf numFmtId="0" fontId="18" fillId="40" borderId="42" xfId="0" applyFont="1" applyFill="1" applyBorder="1" applyAlignment="1">
      <alignment wrapText="1"/>
    </xf>
    <xf numFmtId="0" fontId="22" fillId="48" borderId="42" xfId="0" applyFont="1" applyFill="1" applyBorder="1" applyAlignment="1">
      <alignment wrapText="1"/>
    </xf>
    <xf numFmtId="0" fontId="0" fillId="0" borderId="34" xfId="0" applyBorder="1" applyAlignment="1">
      <alignment horizontal="left" vertical="center"/>
    </xf>
    <xf numFmtId="0" fontId="0" fillId="0" borderId="41" xfId="0" applyBorder="1">
      <alignment horizontal="center" vertical="center"/>
    </xf>
    <xf numFmtId="0" fontId="0" fillId="0" borderId="44" xfId="0" applyBorder="1">
      <alignment horizontal="center" vertical="center"/>
    </xf>
    <xf numFmtId="0" fontId="0" fillId="0" borderId="41" xfId="0" applyBorder="1" applyAlignment="1">
      <alignment horizontal="left" vertical="center"/>
    </xf>
    <xf numFmtId="0" fontId="0" fillId="0" borderId="43" xfId="0" applyBorder="1" applyAlignment="1">
      <alignment horizontal="left" vertical="center"/>
    </xf>
    <xf numFmtId="0" fontId="0" fillId="0" borderId="44" xfId="0" applyBorder="1" applyAlignment="1">
      <alignment horizontal="left" vertical="center"/>
    </xf>
    <xf numFmtId="0" fontId="4" fillId="0" borderId="44" xfId="0" applyFont="1" applyBorder="1" applyAlignment="1">
      <alignment horizontal="left"/>
    </xf>
    <xf numFmtId="17" fontId="4" fillId="0" borderId="12" xfId="0" applyNumberFormat="1" applyFont="1" applyBorder="1" applyAlignment="1">
      <alignment horizontal="left"/>
    </xf>
    <xf numFmtId="0" fontId="3" fillId="0" borderId="12" xfId="0" applyFont="1" applyBorder="1" applyAlignment="1">
      <alignment horizontal="left" vertical="center"/>
    </xf>
    <xf numFmtId="0" fontId="3" fillId="0" borderId="22" xfId="0" applyFont="1" applyBorder="1" applyAlignment="1">
      <alignment horizontal="left" vertical="center"/>
    </xf>
    <xf numFmtId="0" fontId="3" fillId="0" borderId="41" xfId="0" applyFont="1" applyBorder="1">
      <alignment horizontal="center" vertical="center"/>
    </xf>
    <xf numFmtId="0" fontId="3" fillId="0" borderId="43" xfId="0" applyFont="1" applyBorder="1">
      <alignment horizontal="center" vertical="center"/>
    </xf>
    <xf numFmtId="0" fontId="3" fillId="0" borderId="13" xfId="0" applyFont="1" applyBorder="1" applyAlignment="1">
      <alignment horizontal="left" vertical="center"/>
    </xf>
    <xf numFmtId="17" fontId="3" fillId="0" borderId="13" xfId="0" applyNumberFormat="1" applyFont="1" applyBorder="1" applyAlignment="1">
      <alignment horizontal="left" vertical="center"/>
    </xf>
    <xf numFmtId="0" fontId="0" fillId="51" borderId="25" xfId="0" applyFill="1" applyBorder="1" applyAlignment="1">
      <alignment horizontal="left" vertical="center"/>
    </xf>
    <xf numFmtId="0" fontId="54" fillId="0" borderId="0" xfId="0" applyFont="1">
      <alignment horizontal="center" vertical="center"/>
    </xf>
    <xf numFmtId="0" fontId="0" fillId="43" borderId="0" xfId="0" applyFill="1" applyBorder="1" applyAlignment="1" applyProtection="1">
      <alignment horizontal="center"/>
      <protection locked="0"/>
    </xf>
    <xf numFmtId="49" fontId="0" fillId="51" borderId="37" xfId="0" applyNumberFormat="1" applyFill="1" applyBorder="1">
      <alignment horizontal="center" vertical="center"/>
    </xf>
    <xf numFmtId="0" fontId="0" fillId="51" borderId="38" xfId="48" applyFont="1" applyFill="1" applyBorder="1">
      <alignment horizontal="center" vertical="center"/>
    </xf>
    <xf numFmtId="0" fontId="0" fillId="0" borderId="0" xfId="0" applyBorder="1" applyAlignment="1">
      <alignment horizontal="left"/>
    </xf>
    <xf numFmtId="0" fontId="7" fillId="51" borderId="0" xfId="48" applyFill="1" applyBorder="1">
      <alignment horizontal="center" vertical="center"/>
    </xf>
    <xf numFmtId="0" fontId="9" fillId="62" borderId="0" xfId="0" applyFont="1" applyFill="1" applyBorder="1" applyAlignment="1">
      <alignment horizontal="center" wrapText="1"/>
    </xf>
    <xf numFmtId="0" fontId="0" fillId="51" borderId="0" xfId="0" applyFill="1" applyBorder="1" applyAlignment="1">
      <alignment horizontal="center" vertical="center" wrapText="1"/>
    </xf>
    <xf numFmtId="0" fontId="9" fillId="51" borderId="0" xfId="0" applyFont="1" applyFill="1" applyBorder="1" applyAlignment="1">
      <alignment horizontal="center" vertical="center" wrapText="1"/>
    </xf>
    <xf numFmtId="0" fontId="9" fillId="0" borderId="0" xfId="0" applyFont="1" applyBorder="1" applyAlignment="1">
      <alignment horizontal="center" vertical="center" wrapText="1"/>
    </xf>
    <xf numFmtId="0" fontId="0" fillId="51" borderId="47" xfId="0" applyFill="1" applyBorder="1">
      <alignment horizontal="center" vertical="center"/>
    </xf>
    <xf numFmtId="0" fontId="4" fillId="0" borderId="0" xfId="0" applyFont="1" applyBorder="1" applyAlignment="1">
      <alignment horizontal="center"/>
    </xf>
    <xf numFmtId="0" fontId="7" fillId="0" borderId="0" xfId="0" applyFont="1" applyBorder="1" applyAlignment="1">
      <alignment horizontal="left"/>
    </xf>
    <xf numFmtId="0" fontId="4" fillId="0" borderId="0" xfId="0" applyFont="1" applyBorder="1">
      <alignment horizontal="center" vertical="center"/>
    </xf>
    <xf numFmtId="171" fontId="24" fillId="0" borderId="31" xfId="0" applyNumberFormat="1" applyFont="1" applyBorder="1" applyAlignment="1">
      <alignment horizontal="left" wrapText="1"/>
    </xf>
    <xf numFmtId="171" fontId="24" fillId="38" borderId="31" xfId="0" applyNumberFormat="1" applyFont="1" applyFill="1" applyBorder="1" applyAlignment="1">
      <alignment horizontal="left" wrapText="1"/>
    </xf>
    <xf numFmtId="49" fontId="0" fillId="51" borderId="11" xfId="0" applyNumberFormat="1" applyFill="1" applyBorder="1">
      <alignment horizontal="center" vertical="center"/>
    </xf>
    <xf numFmtId="49" fontId="0" fillId="52" borderId="37" xfId="0" applyNumberFormat="1" applyFill="1" applyBorder="1">
      <alignment horizontal="center" vertical="center"/>
    </xf>
    <xf numFmtId="0" fontId="7" fillId="52" borderId="38" xfId="48" applyBorder="1">
      <alignment horizontal="center" vertical="center"/>
    </xf>
    <xf numFmtId="0" fontId="7" fillId="52" borderId="0" xfId="48">
      <alignment horizontal="center" vertical="center"/>
    </xf>
    <xf numFmtId="0" fontId="7" fillId="52" borderId="37" xfId="48" applyBorder="1">
      <alignment horizontal="center" vertical="center"/>
    </xf>
    <xf numFmtId="0" fontId="0" fillId="51" borderId="48" xfId="0" applyFill="1" applyBorder="1">
      <alignment horizontal="center" vertical="center"/>
    </xf>
    <xf numFmtId="0" fontId="0" fillId="52" borderId="0" xfId="0" applyFill="1">
      <alignment horizontal="center" vertical="center"/>
    </xf>
    <xf numFmtId="0" fontId="7" fillId="55" borderId="37" xfId="45" applyBorder="1">
      <alignment horizontal="center" vertical="center"/>
    </xf>
    <xf numFmtId="0" fontId="7" fillId="55" borderId="0" xfId="45">
      <alignment horizontal="center" vertical="center"/>
    </xf>
    <xf numFmtId="0" fontId="0" fillId="51" borderId="35" xfId="48" applyFont="1" applyFill="1" applyBorder="1">
      <alignment horizontal="center" vertical="center"/>
    </xf>
    <xf numFmtId="0" fontId="2" fillId="0" borderId="0" xfId="54"/>
    <xf numFmtId="171" fontId="24" fillId="0" borderId="0" xfId="0" applyNumberFormat="1" applyFont="1" applyBorder="1" applyAlignment="1">
      <alignment horizontal="left"/>
    </xf>
    <xf numFmtId="49" fontId="0" fillId="71" borderId="37" xfId="0" applyNumberFormat="1" applyFill="1" applyBorder="1">
      <alignment horizontal="center" vertical="center"/>
    </xf>
    <xf numFmtId="0" fontId="59" fillId="0" borderId="0" xfId="0" applyFont="1">
      <alignment horizontal="center" vertical="center"/>
    </xf>
    <xf numFmtId="0" fontId="0" fillId="57" borderId="34" xfId="0" applyFill="1" applyBorder="1">
      <alignment horizontal="center" vertical="center"/>
    </xf>
    <xf numFmtId="1" fontId="0" fillId="57" borderId="34" xfId="32" applyNumberFormat="1" applyFont="1" applyFill="1" applyBorder="1" applyAlignment="1">
      <alignment horizontal="center" vertical="center"/>
    </xf>
    <xf numFmtId="0" fontId="0" fillId="57" borderId="34" xfId="43" applyFont="1" applyFill="1" applyBorder="1">
      <alignment horizontal="center" vertical="center"/>
    </xf>
    <xf numFmtId="0" fontId="7" fillId="0" borderId="0" xfId="53">
      <alignment horizontal="center" vertical="center"/>
    </xf>
    <xf numFmtId="0" fontId="4" fillId="0" borderId="11" xfId="0" applyFont="1" applyBorder="1" applyAlignment="1" applyProtection="1">
      <alignment horizontal="center"/>
      <protection locked="0"/>
    </xf>
    <xf numFmtId="0" fontId="0" fillId="51" borderId="35" xfId="0" applyFill="1" applyBorder="1">
      <alignment horizontal="center" vertical="center"/>
    </xf>
    <xf numFmtId="0" fontId="0" fillId="0" borderId="32" xfId="0" applyBorder="1">
      <alignment horizontal="center" vertical="center"/>
    </xf>
    <xf numFmtId="173" fontId="0" fillId="0" borderId="32" xfId="0" applyNumberFormat="1" applyBorder="1">
      <alignment horizontal="center" vertical="center"/>
    </xf>
    <xf numFmtId="173" fontId="0" fillId="0" borderId="0" xfId="0" applyNumberFormat="1" applyBorder="1">
      <alignment horizontal="center" vertical="center"/>
    </xf>
    <xf numFmtId="0" fontId="0" fillId="55" borderId="0" xfId="0" applyFill="1">
      <alignment horizontal="center" vertical="center"/>
    </xf>
    <xf numFmtId="0" fontId="7" fillId="0" borderId="0" xfId="53" applyBorder="1">
      <alignment horizontal="center" vertical="center"/>
    </xf>
    <xf numFmtId="0" fontId="59" fillId="0" borderId="0" xfId="0" applyFont="1" applyAlignment="1">
      <alignment horizontal="left" vertical="center" indent="1"/>
    </xf>
    <xf numFmtId="0" fontId="0" fillId="55" borderId="0" xfId="0" applyFill="1" applyBorder="1">
      <alignment horizontal="center" vertical="center"/>
    </xf>
    <xf numFmtId="0" fontId="19" fillId="0" borderId="0" xfId="0" applyFont="1" applyBorder="1" applyAlignment="1" applyProtection="1">
      <alignment horizontal="center"/>
      <protection locked="0"/>
    </xf>
    <xf numFmtId="0" fontId="0" fillId="51" borderId="48" xfId="48" applyFont="1" applyFill="1" applyBorder="1">
      <alignment horizontal="center" vertical="center"/>
    </xf>
    <xf numFmtId="0" fontId="59" fillId="0" borderId="0" xfId="0" applyFont="1" applyAlignment="1">
      <alignment horizontal="left" vertical="center"/>
    </xf>
    <xf numFmtId="0" fontId="7" fillId="0" borderId="0" xfId="45" applyFill="1">
      <alignment horizontal="center" vertical="center"/>
    </xf>
    <xf numFmtId="0" fontId="0" fillId="51" borderId="0" xfId="32" applyFont="1" applyFill="1" applyAlignment="1">
      <alignment horizontal="center" vertical="center"/>
    </xf>
    <xf numFmtId="49" fontId="0" fillId="51" borderId="25" xfId="0" applyNumberFormat="1" applyFill="1" applyBorder="1">
      <alignment horizontal="center" vertical="center"/>
    </xf>
    <xf numFmtId="49" fontId="0" fillId="51" borderId="48" xfId="0" applyNumberFormat="1" applyFill="1" applyBorder="1">
      <alignment horizontal="center" vertical="center"/>
    </xf>
    <xf numFmtId="0" fontId="7" fillId="69" borderId="0" xfId="44">
      <alignment horizontal="center" vertical="center"/>
    </xf>
    <xf numFmtId="0" fontId="7" fillId="53" borderId="0" xfId="43">
      <alignment horizontal="center" vertical="center"/>
    </xf>
    <xf numFmtId="0" fontId="0" fillId="0" borderId="0" xfId="44" applyFont="1" applyFill="1" applyBorder="1">
      <alignment horizontal="center" vertical="center"/>
    </xf>
    <xf numFmtId="0" fontId="18" fillId="0" borderId="0" xfId="55">
      <alignment vertical="center"/>
    </xf>
    <xf numFmtId="0" fontId="0" fillId="0" borderId="25" xfId="0" applyBorder="1">
      <alignment horizontal="center" vertical="center"/>
    </xf>
    <xf numFmtId="0" fontId="4" fillId="0" borderId="0" xfId="0" applyFont="1" applyBorder="1" applyAlignment="1" applyProtection="1">
      <alignment horizontal="left"/>
      <protection locked="0"/>
    </xf>
    <xf numFmtId="0" fontId="0" fillId="80" borderId="49" xfId="0" applyFill="1" applyBorder="1" applyAlignment="1"/>
    <xf numFmtId="0" fontId="0" fillId="80" borderId="50" xfId="0" applyFill="1" applyBorder="1" applyAlignment="1"/>
    <xf numFmtId="0" fontId="60" fillId="80" borderId="50" xfId="0" applyFont="1" applyFill="1" applyBorder="1" applyAlignment="1"/>
    <xf numFmtId="0" fontId="0" fillId="80" borderId="51" xfId="0" applyFill="1" applyBorder="1" applyAlignment="1"/>
    <xf numFmtId="0" fontId="61" fillId="80" borderId="50" xfId="0" applyFont="1" applyFill="1" applyBorder="1" applyAlignment="1"/>
    <xf numFmtId="0" fontId="0" fillId="81" borderId="50" xfId="0" applyFill="1" applyBorder="1" applyAlignment="1">
      <alignment horizontal="left"/>
    </xf>
    <xf numFmtId="0" fontId="0" fillId="81" borderId="51" xfId="0" applyFill="1" applyBorder="1" applyAlignment="1">
      <alignment horizontal="left"/>
    </xf>
    <xf numFmtId="0" fontId="0" fillId="0" borderId="25" xfId="0" applyBorder="1" applyAlignment="1"/>
    <xf numFmtId="0" fontId="0" fillId="51" borderId="25" xfId="0" applyFill="1" applyBorder="1">
      <alignment horizontal="center" vertical="center"/>
    </xf>
    <xf numFmtId="0" fontId="0" fillId="0" borderId="52" xfId="0" applyBorder="1" applyAlignment="1"/>
    <xf numFmtId="0" fontId="0" fillId="51" borderId="52" xfId="0" applyFill="1" applyBorder="1">
      <alignment horizontal="center" vertical="center"/>
    </xf>
    <xf numFmtId="0" fontId="7" fillId="70" borderId="37" xfId="52" applyBorder="1">
      <alignment horizontal="center" vertical="center"/>
    </xf>
    <xf numFmtId="0" fontId="7" fillId="51" borderId="37" xfId="52" applyFill="1" applyBorder="1">
      <alignment horizontal="center" vertical="center"/>
    </xf>
    <xf numFmtId="0" fontId="0" fillId="51" borderId="0" xfId="48" applyFont="1" applyFill="1">
      <alignment horizontal="center" vertical="center"/>
    </xf>
    <xf numFmtId="0" fontId="7" fillId="55" borderId="25" xfId="45" applyBorder="1">
      <alignment horizontal="center" vertical="center"/>
    </xf>
    <xf numFmtId="0" fontId="4" fillId="0" borderId="53" xfId="0" applyFont="1" applyBorder="1" applyAlignment="1">
      <alignment horizontal="left"/>
    </xf>
    <xf numFmtId="0" fontId="0" fillId="0" borderId="53" xfId="0" applyBorder="1">
      <alignment horizontal="center" vertical="center"/>
    </xf>
    <xf numFmtId="0" fontId="0" fillId="43" borderId="53" xfId="0" applyFill="1" applyBorder="1" applyAlignment="1" applyProtection="1">
      <alignment horizontal="center"/>
      <protection locked="0"/>
    </xf>
    <xf numFmtId="0" fontId="0" fillId="51" borderId="53" xfId="0" applyFill="1" applyBorder="1">
      <alignment horizontal="center" vertical="center"/>
    </xf>
    <xf numFmtId="0" fontId="4" fillId="0" borderId="53" xfId="0" applyFont="1" applyBorder="1" applyAlignment="1">
      <alignment horizontal="center"/>
    </xf>
    <xf numFmtId="0" fontId="7" fillId="0" borderId="53" xfId="0" applyFont="1" applyBorder="1" applyAlignment="1">
      <alignment horizontal="left"/>
    </xf>
    <xf numFmtId="0" fontId="7" fillId="0" borderId="53" xfId="0" applyFont="1" applyBorder="1">
      <alignment horizontal="center" vertical="center"/>
    </xf>
    <xf numFmtId="0" fontId="0" fillId="55" borderId="53" xfId="0" applyFill="1" applyBorder="1">
      <alignment horizontal="center" vertical="center"/>
    </xf>
    <xf numFmtId="0" fontId="61" fillId="81" borderId="50" xfId="0" applyFont="1" applyFill="1" applyBorder="1" applyAlignment="1">
      <alignment horizontal="left"/>
    </xf>
    <xf numFmtId="0" fontId="61" fillId="0" borderId="0" xfId="0" applyFont="1" applyAlignment="1"/>
    <xf numFmtId="0" fontId="63" fillId="0" borderId="0" xfId="0" applyFont="1">
      <alignment horizontal="center" vertical="center"/>
    </xf>
    <xf numFmtId="0" fontId="0" fillId="0" borderId="53" xfId="0" applyBorder="1" applyAlignment="1" applyProtection="1">
      <alignment horizontal="center"/>
      <protection locked="0"/>
    </xf>
    <xf numFmtId="0" fontId="0" fillId="0" borderId="0" xfId="0" applyBorder="1" applyAlignment="1" applyProtection="1">
      <alignment horizontal="center"/>
      <protection locked="0"/>
    </xf>
    <xf numFmtId="0" fontId="63" fillId="85" borderId="0" xfId="0" applyFont="1" applyFill="1">
      <alignment horizontal="center" vertical="center"/>
    </xf>
    <xf numFmtId="0" fontId="0" fillId="51" borderId="40" xfId="48" applyFont="1" applyFill="1" applyBorder="1">
      <alignment horizontal="center" vertical="center"/>
    </xf>
    <xf numFmtId="0" fontId="7" fillId="51" borderId="0" xfId="43" applyFill="1">
      <alignment horizontal="center" vertical="center"/>
    </xf>
    <xf numFmtId="0" fontId="7" fillId="52" borderId="47" xfId="48" applyBorder="1">
      <alignment horizontal="center" vertical="center"/>
    </xf>
    <xf numFmtId="0" fontId="0" fillId="0" borderId="55" xfId="0" applyBorder="1" applyAlignment="1"/>
    <xf numFmtId="0" fontId="3" fillId="0" borderId="56" xfId="0" applyFont="1" applyBorder="1" applyAlignment="1">
      <alignment horizontal="left" vertical="center"/>
    </xf>
    <xf numFmtId="0" fontId="3" fillId="0" borderId="56" xfId="0" applyFont="1" applyBorder="1">
      <alignment horizontal="center" vertical="center"/>
    </xf>
    <xf numFmtId="0" fontId="3" fillId="0" borderId="57" xfId="0" applyFont="1" applyBorder="1">
      <alignment horizontal="center" vertical="center"/>
    </xf>
    <xf numFmtId="0" fontId="7" fillId="0" borderId="56" xfId="0" applyFont="1" applyBorder="1">
      <alignment horizontal="center" vertical="center"/>
    </xf>
    <xf numFmtId="0" fontId="7" fillId="0" borderId="57" xfId="0" applyFont="1" applyBorder="1">
      <alignment horizontal="center" vertical="center"/>
    </xf>
    <xf numFmtId="0" fontId="9" fillId="0" borderId="56" xfId="0" applyFont="1" applyBorder="1">
      <alignment horizontal="center" vertical="center"/>
    </xf>
    <xf numFmtId="0" fontId="15" fillId="0" borderId="56" xfId="0" applyFont="1" applyBorder="1" applyAlignment="1">
      <alignment horizontal="left" vertical="center"/>
    </xf>
    <xf numFmtId="0" fontId="15" fillId="0" borderId="56" xfId="0" applyFont="1" applyBorder="1">
      <alignment horizontal="center" vertical="center"/>
    </xf>
    <xf numFmtId="0" fontId="15" fillId="0" borderId="57" xfId="0" applyFont="1" applyBorder="1">
      <alignment horizontal="center" vertical="center"/>
    </xf>
    <xf numFmtId="0" fontId="7" fillId="0" borderId="58" xfId="0" applyFont="1" applyBorder="1">
      <alignment horizontal="center" vertical="center"/>
    </xf>
    <xf numFmtId="49" fontId="7" fillId="0" borderId="56" xfId="0" applyNumberFormat="1" applyFont="1" applyBorder="1">
      <alignment horizontal="center" vertical="center"/>
    </xf>
    <xf numFmtId="0" fontId="6" fillId="0" borderId="55" xfId="0" applyFont="1" applyBorder="1" applyAlignment="1">
      <alignment horizontal="center"/>
    </xf>
    <xf numFmtId="0" fontId="4" fillId="0" borderId="55" xfId="0" applyFont="1" applyBorder="1" applyAlignment="1">
      <alignment horizontal="center"/>
    </xf>
    <xf numFmtId="0" fontId="0" fillId="0" borderId="56" xfId="0" applyBorder="1" applyAlignment="1">
      <alignment horizontal="left"/>
    </xf>
    <xf numFmtId="0" fontId="7" fillId="0" borderId="57" xfId="0" applyFont="1" applyBorder="1" applyAlignment="1">
      <alignment horizontal="left"/>
    </xf>
    <xf numFmtId="0" fontId="0" fillId="51" borderId="55" xfId="0" applyFill="1" applyBorder="1" applyAlignment="1">
      <alignment horizontal="left" vertical="center"/>
    </xf>
    <xf numFmtId="0" fontId="0" fillId="51" borderId="60" xfId="0" applyFill="1" applyBorder="1">
      <alignment horizontal="center" vertical="center"/>
    </xf>
    <xf numFmtId="0" fontId="0" fillId="0" borderId="61" xfId="0" applyBorder="1">
      <alignment horizontal="center" vertical="center"/>
    </xf>
    <xf numFmtId="0" fontId="3" fillId="0" borderId="61" xfId="0" applyFont="1" applyBorder="1">
      <alignment horizontal="center" vertical="center"/>
    </xf>
    <xf numFmtId="49" fontId="3" fillId="0" borderId="61" xfId="0" applyNumberFormat="1" applyFont="1" applyBorder="1">
      <alignment horizontal="center" vertical="center"/>
    </xf>
    <xf numFmtId="49" fontId="7" fillId="0" borderId="61" xfId="0" applyNumberFormat="1" applyFont="1" applyBorder="1">
      <alignment horizontal="center" vertical="center"/>
    </xf>
    <xf numFmtId="49" fontId="15" fillId="0" borderId="61" xfId="0" applyNumberFormat="1" applyFont="1" applyBorder="1">
      <alignment horizontal="center" vertical="center"/>
    </xf>
    <xf numFmtId="0" fontId="7" fillId="0" borderId="61" xfId="0" applyFont="1" applyBorder="1">
      <alignment horizontal="center" vertical="center"/>
    </xf>
    <xf numFmtId="0" fontId="0" fillId="0" borderId="65" xfId="0" applyBorder="1" applyAlignment="1">
      <alignment horizontal="left" vertical="center"/>
    </xf>
    <xf numFmtId="0" fontId="0" fillId="0" borderId="61" xfId="0" applyBorder="1" applyAlignment="1">
      <alignment horizontal="left" vertical="center"/>
    </xf>
    <xf numFmtId="0" fontId="0" fillId="0" borderId="66" xfId="0" applyBorder="1" applyAlignment="1">
      <alignment vertical="center"/>
    </xf>
    <xf numFmtId="0" fontId="7" fillId="25" borderId="62" xfId="0" applyFont="1" applyFill="1" applyBorder="1">
      <alignment horizontal="center" vertical="center"/>
    </xf>
    <xf numFmtId="0" fontId="6" fillId="29" borderId="62" xfId="0" applyFont="1" applyFill="1" applyBorder="1" applyAlignment="1">
      <alignment horizontal="left"/>
    </xf>
    <xf numFmtId="0" fontId="7" fillId="29" borderId="62" xfId="0" applyFont="1" applyFill="1" applyBorder="1">
      <alignment horizontal="center" vertical="center"/>
    </xf>
    <xf numFmtId="0" fontId="7" fillId="29" borderId="63" xfId="0" applyFont="1" applyFill="1" applyBorder="1">
      <alignment horizontal="center" vertical="center"/>
    </xf>
    <xf numFmtId="0" fontId="6" fillId="37" borderId="62" xfId="0" applyFont="1" applyFill="1" applyBorder="1" applyAlignment="1">
      <alignment horizontal="left"/>
    </xf>
    <xf numFmtId="0" fontId="0" fillId="37" borderId="62" xfId="0" applyFill="1" applyBorder="1">
      <alignment horizontal="center" vertical="center"/>
    </xf>
    <xf numFmtId="0" fontId="0" fillId="45" borderId="62" xfId="0" applyFill="1" applyBorder="1">
      <alignment horizontal="center" vertical="center"/>
    </xf>
    <xf numFmtId="0" fontId="7" fillId="45" borderId="62" xfId="0" applyFont="1" applyFill="1" applyBorder="1">
      <alignment horizontal="center" vertical="center"/>
    </xf>
    <xf numFmtId="0" fontId="7" fillId="45" borderId="63" xfId="0" applyFont="1" applyFill="1" applyBorder="1">
      <alignment horizontal="center" vertical="center"/>
    </xf>
    <xf numFmtId="0" fontId="0" fillId="24" borderId="62" xfId="0" applyFill="1" applyBorder="1">
      <alignment horizontal="center" vertical="center"/>
    </xf>
    <xf numFmtId="0" fontId="7" fillId="24" borderId="62" xfId="0" applyFont="1" applyFill="1" applyBorder="1">
      <alignment horizontal="center" vertical="center"/>
    </xf>
    <xf numFmtId="0" fontId="7" fillId="40" borderId="62" xfId="0" applyFont="1" applyFill="1" applyBorder="1">
      <alignment horizontal="center" vertical="center"/>
    </xf>
    <xf numFmtId="0" fontId="0" fillId="40" borderId="63" xfId="0" applyFill="1" applyBorder="1">
      <alignment horizontal="center" vertical="center"/>
    </xf>
    <xf numFmtId="0" fontId="0" fillId="46" borderId="67" xfId="0" applyFill="1" applyBorder="1">
      <alignment horizontal="center" vertical="center"/>
    </xf>
    <xf numFmtId="0" fontId="7" fillId="46" borderId="67" xfId="0" applyFont="1" applyFill="1" applyBorder="1">
      <alignment horizontal="center" vertical="center"/>
    </xf>
    <xf numFmtId="0" fontId="7" fillId="46" borderId="68" xfId="0" applyFont="1" applyFill="1" applyBorder="1">
      <alignment horizontal="center" vertical="center"/>
    </xf>
    <xf numFmtId="0" fontId="6" fillId="0" borderId="65" xfId="0" applyFont="1" applyBorder="1" applyAlignment="1">
      <alignment horizontal="left" vertical="center"/>
    </xf>
    <xf numFmtId="0" fontId="7" fillId="0" borderId="67" xfId="0" applyFont="1" applyBorder="1">
      <alignment horizontal="center" vertical="center"/>
    </xf>
    <xf numFmtId="0" fontId="7" fillId="0" borderId="68" xfId="0" applyFont="1" applyBorder="1">
      <alignment horizontal="center" vertical="center"/>
    </xf>
    <xf numFmtId="0" fontId="7" fillId="47" borderId="62" xfId="0" applyFont="1" applyFill="1" applyBorder="1">
      <alignment horizontal="center" vertical="center"/>
    </xf>
    <xf numFmtId="0" fontId="0" fillId="0" borderId="62" xfId="0" applyBorder="1">
      <alignment horizontal="center" vertical="center"/>
    </xf>
    <xf numFmtId="0" fontId="7" fillId="0" borderId="62" xfId="0" applyFont="1" applyBorder="1" applyAlignment="1">
      <alignment horizontal="left"/>
    </xf>
    <xf numFmtId="0" fontId="7" fillId="0" borderId="62" xfId="0" applyFont="1" applyBorder="1">
      <alignment horizontal="center" vertical="center"/>
    </xf>
    <xf numFmtId="0" fontId="7" fillId="0" borderId="63" xfId="0" applyFont="1" applyBorder="1">
      <alignment horizontal="center" vertical="center"/>
    </xf>
    <xf numFmtId="0" fontId="7" fillId="48" borderId="62" xfId="0" applyFont="1" applyFill="1" applyBorder="1">
      <alignment horizontal="center" vertical="center"/>
    </xf>
    <xf numFmtId="0" fontId="7" fillId="48" borderId="63" xfId="0" applyFont="1" applyFill="1" applyBorder="1">
      <alignment horizontal="center" vertical="center"/>
    </xf>
    <xf numFmtId="0" fontId="0" fillId="0" borderId="63" xfId="0" applyBorder="1">
      <alignment horizontal="center" vertical="center"/>
    </xf>
    <xf numFmtId="0" fontId="0" fillId="0" borderId="69" xfId="0" applyBorder="1">
      <alignment horizontal="center" vertical="center"/>
    </xf>
    <xf numFmtId="0" fontId="4" fillId="0" borderId="62" xfId="0" applyFont="1" applyBorder="1" applyAlignment="1">
      <alignment horizontal="left" vertical="center"/>
    </xf>
    <xf numFmtId="0" fontId="0" fillId="0" borderId="70" xfId="0" applyBorder="1">
      <alignment horizontal="center" vertical="center"/>
    </xf>
    <xf numFmtId="0" fontId="14" fillId="0" borderId="65" xfId="0" applyFont="1" applyBorder="1">
      <alignment horizontal="center" vertical="center"/>
    </xf>
    <xf numFmtId="0" fontId="0" fillId="0" borderId="67" xfId="0" applyBorder="1">
      <alignment horizontal="center" vertical="center"/>
    </xf>
    <xf numFmtId="0" fontId="0" fillId="0" borderId="68" xfId="0" applyBorder="1">
      <alignment horizontal="center" vertical="center"/>
    </xf>
    <xf numFmtId="0" fontId="0" fillId="24" borderId="71" xfId="0" applyFill="1" applyBorder="1">
      <alignment horizontal="center" vertical="center"/>
    </xf>
    <xf numFmtId="1" fontId="0" fillId="51" borderId="71" xfId="0" applyNumberFormat="1" applyFill="1" applyBorder="1">
      <alignment horizontal="center" vertical="center"/>
    </xf>
    <xf numFmtId="0" fontId="4" fillId="0" borderId="72" xfId="0" applyFont="1" applyBorder="1" applyAlignment="1">
      <alignment horizontal="left" vertical="center"/>
    </xf>
    <xf numFmtId="0" fontId="0" fillId="0" borderId="59" xfId="0" applyBorder="1">
      <alignment horizontal="center" vertical="center"/>
    </xf>
    <xf numFmtId="0" fontId="0" fillId="0" borderId="61" xfId="0" applyBorder="1" applyAlignment="1">
      <alignment horizontal="left"/>
    </xf>
    <xf numFmtId="0" fontId="0" fillId="0" borderId="73" xfId="0" applyBorder="1" applyAlignment="1">
      <alignment horizontal="left" vertical="center"/>
    </xf>
    <xf numFmtId="0" fontId="0" fillId="51" borderId="74" xfId="0" applyFill="1" applyBorder="1">
      <alignment horizontal="center" vertical="center"/>
    </xf>
    <xf numFmtId="0" fontId="0" fillId="51" borderId="75" xfId="0" applyFill="1" applyBorder="1">
      <alignment horizontal="center" vertical="center"/>
    </xf>
    <xf numFmtId="1" fontId="0" fillId="51" borderId="0" xfId="32" applyNumberFormat="1" applyFont="1" applyFill="1" applyBorder="1" applyAlignment="1">
      <alignment horizontal="center" vertical="center"/>
    </xf>
    <xf numFmtId="0" fontId="0" fillId="51" borderId="75" xfId="43" applyFont="1" applyFill="1" applyBorder="1">
      <alignment horizontal="center" vertical="center"/>
    </xf>
    <xf numFmtId="0" fontId="66" fillId="0" borderId="0" xfId="0" applyFont="1">
      <alignment horizontal="center" vertical="center"/>
    </xf>
    <xf numFmtId="0" fontId="65" fillId="0" borderId="0" xfId="0" applyFont="1">
      <alignment horizontal="center" vertical="center"/>
    </xf>
    <xf numFmtId="0" fontId="0" fillId="51" borderId="76" xfId="0" applyFill="1" applyBorder="1">
      <alignment horizontal="center" vertical="center"/>
    </xf>
    <xf numFmtId="0" fontId="0" fillId="0" borderId="76" xfId="0" applyBorder="1">
      <alignment horizontal="center" vertical="center"/>
    </xf>
    <xf numFmtId="1" fontId="0" fillId="51" borderId="75" xfId="0" applyNumberFormat="1" applyFill="1" applyBorder="1">
      <alignment horizontal="center" vertical="center"/>
    </xf>
    <xf numFmtId="0" fontId="0" fillId="51" borderId="78" xfId="0" applyFill="1" applyBorder="1" applyAlignment="1">
      <alignment horizontal="left" vertical="center"/>
    </xf>
    <xf numFmtId="0" fontId="0" fillId="0" borderId="75" xfId="0" applyBorder="1" applyAlignment="1">
      <alignment horizontal="left" vertical="center"/>
    </xf>
    <xf numFmtId="0" fontId="0" fillId="51" borderId="75" xfId="48" applyFont="1" applyFill="1" applyBorder="1">
      <alignment horizontal="center" vertical="center"/>
    </xf>
    <xf numFmtId="0" fontId="7" fillId="52" borderId="75" xfId="48" applyBorder="1">
      <alignment horizontal="center" vertical="center"/>
    </xf>
    <xf numFmtId="0" fontId="0" fillId="53" borderId="75" xfId="43" applyFont="1" applyBorder="1">
      <alignment horizontal="center" vertical="center"/>
    </xf>
    <xf numFmtId="0" fontId="0" fillId="51" borderId="75" xfId="44" applyFont="1" applyFill="1" applyBorder="1">
      <alignment horizontal="center" vertical="center"/>
    </xf>
    <xf numFmtId="49" fontId="0" fillId="51" borderId="71" xfId="0" applyNumberFormat="1" applyFill="1" applyBorder="1">
      <alignment horizontal="center" vertical="center"/>
    </xf>
    <xf numFmtId="0" fontId="0" fillId="0" borderId="75" xfId="0" applyBorder="1">
      <alignment horizontal="center" vertical="center"/>
    </xf>
    <xf numFmtId="1" fontId="0" fillId="51" borderId="75" xfId="32" applyNumberFormat="1" applyFont="1" applyFill="1" applyBorder="1" applyAlignment="1">
      <alignment horizontal="center" vertical="center"/>
    </xf>
    <xf numFmtId="0" fontId="0" fillId="51" borderId="64" xfId="0" applyFill="1" applyBorder="1">
      <alignment horizontal="center" vertical="center"/>
    </xf>
    <xf numFmtId="0" fontId="0" fillId="51" borderId="76" xfId="43" applyFont="1" applyFill="1" applyBorder="1">
      <alignment horizontal="center" vertical="center"/>
    </xf>
    <xf numFmtId="0" fontId="7" fillId="0" borderId="75" xfId="53" applyBorder="1">
      <alignment horizontal="center" vertical="center"/>
    </xf>
    <xf numFmtId="0" fontId="0" fillId="51" borderId="75" xfId="46" applyFont="1" applyFill="1" applyBorder="1">
      <alignment horizontal="center" vertical="center"/>
    </xf>
    <xf numFmtId="0" fontId="0" fillId="51" borderId="0" xfId="51" applyFont="1" applyFill="1" applyBorder="1">
      <alignment horizontal="center" vertical="center"/>
    </xf>
    <xf numFmtId="0" fontId="0" fillId="51" borderId="19" xfId="0" applyFill="1" applyBorder="1">
      <alignment horizontal="center" vertical="center"/>
    </xf>
    <xf numFmtId="0" fontId="7" fillId="53" borderId="37" xfId="43" applyBorder="1">
      <alignment horizontal="center" vertical="center"/>
    </xf>
    <xf numFmtId="0" fontId="7" fillId="0" borderId="37" xfId="53" applyBorder="1">
      <alignment horizontal="center" vertical="center"/>
    </xf>
    <xf numFmtId="0" fontId="2" fillId="0" borderId="0" xfId="54" applyAlignment="1">
      <alignment horizontal="center" vertical="center"/>
    </xf>
    <xf numFmtId="1" fontId="0" fillId="51" borderId="0" xfId="0" applyNumberFormat="1" applyFill="1" applyBorder="1">
      <alignment horizontal="center" vertical="center"/>
    </xf>
    <xf numFmtId="171" fontId="24" fillId="0" borderId="0" xfId="0" applyNumberFormat="1" applyFont="1" applyAlignment="1">
      <alignment horizontal="left"/>
    </xf>
    <xf numFmtId="3" fontId="54" fillId="0" borderId="0" xfId="0" applyNumberFormat="1" applyFont="1">
      <alignment horizontal="center" vertical="center"/>
    </xf>
    <xf numFmtId="0" fontId="0" fillId="0" borderId="37" xfId="0" applyBorder="1">
      <alignment horizontal="center" vertical="center"/>
    </xf>
    <xf numFmtId="0" fontId="0" fillId="55" borderId="83" xfId="45" applyFont="1" applyBorder="1">
      <alignment horizontal="center" vertical="center"/>
    </xf>
    <xf numFmtId="0" fontId="0" fillId="51" borderId="83" xfId="0" applyFill="1" applyBorder="1">
      <alignment horizontal="center" vertical="center"/>
    </xf>
    <xf numFmtId="0" fontId="7" fillId="57" borderId="0" xfId="47">
      <alignment horizontal="center" vertical="center"/>
    </xf>
    <xf numFmtId="0" fontId="7" fillId="51" borderId="0" xfId="45" applyFill="1">
      <alignment horizontal="center" vertical="center"/>
    </xf>
    <xf numFmtId="49" fontId="0" fillId="87" borderId="37" xfId="0" applyNumberFormat="1" applyFill="1" applyBorder="1">
      <alignment horizontal="center" vertical="center"/>
    </xf>
    <xf numFmtId="0" fontId="0" fillId="57" borderId="83" xfId="0" applyFill="1" applyBorder="1">
      <alignment horizontal="center" vertical="center"/>
    </xf>
    <xf numFmtId="0" fontId="0" fillId="0" borderId="40" xfId="0" applyBorder="1" applyAlignment="1">
      <alignment horizontal="left" vertical="center"/>
    </xf>
    <xf numFmtId="49" fontId="0" fillId="51" borderId="40" xfId="0" applyNumberFormat="1" applyFill="1" applyBorder="1">
      <alignment horizontal="center" vertical="center"/>
    </xf>
    <xf numFmtId="0" fontId="0" fillId="51" borderId="40" xfId="44" applyFont="1" applyFill="1" applyBorder="1">
      <alignment horizontal="center" vertical="center"/>
    </xf>
    <xf numFmtId="0" fontId="0" fillId="51" borderId="40" xfId="0" applyFill="1" applyBorder="1">
      <alignment horizontal="center" vertical="center"/>
    </xf>
    <xf numFmtId="1" fontId="0" fillId="51" borderId="40" xfId="32" applyNumberFormat="1" applyFont="1" applyFill="1" applyBorder="1" applyAlignment="1">
      <alignment horizontal="center" vertical="center"/>
    </xf>
    <xf numFmtId="49" fontId="0" fillId="51" borderId="84" xfId="0" applyNumberFormat="1" applyFill="1" applyBorder="1">
      <alignment horizontal="center" vertical="center"/>
    </xf>
    <xf numFmtId="1" fontId="0" fillId="53" borderId="71" xfId="0" applyNumberFormat="1" applyFill="1" applyBorder="1">
      <alignment horizontal="center" vertical="center"/>
    </xf>
    <xf numFmtId="0" fontId="7" fillId="55" borderId="83" xfId="45" applyBorder="1">
      <alignment horizontal="center" vertical="center"/>
    </xf>
    <xf numFmtId="0" fontId="0" fillId="0" borderId="83" xfId="0" applyBorder="1">
      <alignment horizontal="center" vertical="center"/>
    </xf>
    <xf numFmtId="0" fontId="7" fillId="53" borderId="83" xfId="43" applyBorder="1">
      <alignment horizontal="center" vertical="center"/>
    </xf>
    <xf numFmtId="0" fontId="0" fillId="51" borderId="83" xfId="43" applyFont="1" applyFill="1" applyBorder="1">
      <alignment horizontal="center" vertical="center"/>
    </xf>
    <xf numFmtId="0" fontId="7" fillId="0" borderId="81" xfId="0" applyFont="1" applyBorder="1" applyAlignment="1">
      <alignment horizontal="left" vertical="center"/>
    </xf>
    <xf numFmtId="0" fontId="0" fillId="51" borderId="81" xfId="43" applyFont="1" applyFill="1" applyBorder="1">
      <alignment horizontal="center" vertical="center"/>
    </xf>
    <xf numFmtId="0" fontId="7" fillId="55" borderId="81" xfId="45" applyBorder="1">
      <alignment horizontal="center" vertical="center"/>
    </xf>
    <xf numFmtId="0" fontId="0" fillId="51" borderId="81" xfId="48" applyFont="1" applyFill="1" applyBorder="1">
      <alignment horizontal="center" vertical="center"/>
    </xf>
    <xf numFmtId="0" fontId="0" fillId="51" borderId="81" xfId="0" applyFill="1" applyBorder="1">
      <alignment horizontal="center" vertical="center"/>
    </xf>
    <xf numFmtId="1" fontId="0" fillId="51" borderId="81" xfId="0" applyNumberFormat="1" applyFill="1" applyBorder="1">
      <alignment horizontal="center" vertical="center"/>
    </xf>
    <xf numFmtId="0" fontId="0" fillId="51" borderId="85" xfId="0" applyFill="1" applyBorder="1">
      <alignment horizontal="center" vertical="center"/>
    </xf>
    <xf numFmtId="0" fontId="0" fillId="0" borderId="86" xfId="0" applyBorder="1" applyAlignment="1">
      <alignment horizontal="left"/>
    </xf>
    <xf numFmtId="0" fontId="7" fillId="0" borderId="82" xfId="0" applyFont="1" applyBorder="1" applyAlignment="1">
      <alignment horizontal="left"/>
    </xf>
    <xf numFmtId="0" fontId="0" fillId="51" borderId="81" xfId="0" applyFill="1" applyBorder="1" applyAlignment="1">
      <alignment horizontal="left" vertical="center"/>
    </xf>
    <xf numFmtId="0" fontId="0" fillId="0" borderId="81" xfId="0" applyBorder="1" applyAlignment="1">
      <alignment horizontal="left" vertical="center"/>
    </xf>
    <xf numFmtId="0" fontId="0" fillId="0" borderId="87" xfId="0" applyBorder="1">
      <alignment horizontal="center" vertical="center"/>
    </xf>
    <xf numFmtId="0" fontId="3" fillId="0" borderId="87" xfId="0" applyFont="1" applyBorder="1">
      <alignment horizontal="center" vertical="center"/>
    </xf>
    <xf numFmtId="0" fontId="3" fillId="0" borderId="86" xfId="0" applyFont="1" applyBorder="1" applyAlignment="1">
      <alignment horizontal="left" vertical="center"/>
    </xf>
    <xf numFmtId="0" fontId="3" fillId="0" borderId="86" xfId="0" applyFont="1" applyBorder="1">
      <alignment horizontal="center" vertical="center"/>
    </xf>
    <xf numFmtId="0" fontId="3" fillId="0" borderId="82" xfId="0" applyFont="1" applyBorder="1">
      <alignment horizontal="center" vertical="center"/>
    </xf>
    <xf numFmtId="49" fontId="3" fillId="0" borderId="87" xfId="0" applyNumberFormat="1" applyFont="1" applyBorder="1">
      <alignment horizontal="center" vertical="center"/>
    </xf>
    <xf numFmtId="49" fontId="7" fillId="0" borderId="87" xfId="0" applyNumberFormat="1" applyFont="1" applyBorder="1">
      <alignment horizontal="center" vertical="center"/>
    </xf>
    <xf numFmtId="0" fontId="7" fillId="0" borderId="86" xfId="0" applyFont="1" applyBorder="1">
      <alignment horizontal="center" vertical="center"/>
    </xf>
    <xf numFmtId="0" fontId="7" fillId="0" borderId="82" xfId="0" applyFont="1" applyBorder="1">
      <alignment horizontal="center" vertical="center"/>
    </xf>
    <xf numFmtId="0" fontId="9" fillId="0" borderId="86" xfId="0" applyFont="1" applyBorder="1">
      <alignment horizontal="center" vertical="center"/>
    </xf>
    <xf numFmtId="0" fontId="9" fillId="0" borderId="88" xfId="0" applyFont="1" applyBorder="1">
      <alignment horizontal="center" vertical="center"/>
    </xf>
    <xf numFmtId="0" fontId="0" fillId="0" borderId="80" xfId="0" applyBorder="1">
      <alignment horizontal="center" vertical="center"/>
    </xf>
    <xf numFmtId="49" fontId="15" fillId="0" borderId="87" xfId="0" applyNumberFormat="1" applyFont="1" applyBorder="1">
      <alignment horizontal="center" vertical="center"/>
    </xf>
    <xf numFmtId="0" fontId="15" fillId="0" borderId="86" xfId="0" applyFont="1" applyBorder="1" applyAlignment="1">
      <alignment horizontal="left" vertical="center"/>
    </xf>
    <xf numFmtId="0" fontId="15" fillId="0" borderId="86" xfId="0" applyFont="1" applyBorder="1">
      <alignment horizontal="center" vertical="center"/>
    </xf>
    <xf numFmtId="0" fontId="15" fillId="0" borderId="82" xfId="0" applyFont="1" applyBorder="1">
      <alignment horizontal="center" vertical="center"/>
    </xf>
    <xf numFmtId="49" fontId="7" fillId="0" borderId="80" xfId="0" applyNumberFormat="1" applyFont="1" applyBorder="1">
      <alignment horizontal="center" vertical="center"/>
    </xf>
    <xf numFmtId="0" fontId="9" fillId="0" borderId="89" xfId="0" applyFont="1" applyBorder="1">
      <alignment horizontal="center" vertical="center"/>
    </xf>
    <xf numFmtId="0" fontId="7" fillId="0" borderId="87" xfId="0" applyFont="1" applyBorder="1">
      <alignment horizontal="center" vertical="center"/>
    </xf>
    <xf numFmtId="49" fontId="7" fillId="0" borderId="86" xfId="0" applyNumberFormat="1" applyFont="1" applyBorder="1">
      <alignment horizontal="center" vertical="center"/>
    </xf>
    <xf numFmtId="0" fontId="3" fillId="0" borderId="90" xfId="0" applyFont="1" applyBorder="1" applyAlignment="1">
      <alignment horizontal="left" vertical="center"/>
    </xf>
    <xf numFmtId="0" fontId="3" fillId="0" borderId="90" xfId="0" applyFont="1" applyBorder="1">
      <alignment horizontal="center" vertical="center"/>
    </xf>
    <xf numFmtId="0" fontId="7" fillId="0" borderId="90" xfId="0" applyFont="1" applyBorder="1">
      <alignment horizontal="center" vertical="center"/>
    </xf>
    <xf numFmtId="49" fontId="7" fillId="0" borderId="90" xfId="0" applyNumberFormat="1" applyFont="1" applyBorder="1">
      <alignment horizontal="center" vertical="center"/>
    </xf>
    <xf numFmtId="0" fontId="9" fillId="0" borderId="90" xfId="0" applyFont="1" applyBorder="1">
      <alignment horizontal="center" vertical="center"/>
    </xf>
    <xf numFmtId="0" fontId="6" fillId="0" borderId="81" xfId="0" applyFont="1" applyBorder="1" applyAlignment="1">
      <alignment horizontal="center"/>
    </xf>
    <xf numFmtId="49" fontId="0" fillId="56" borderId="83" xfId="0" applyNumberFormat="1" applyFill="1" applyBorder="1">
      <alignment horizontal="center" vertical="center"/>
    </xf>
    <xf numFmtId="0" fontId="0" fillId="51" borderId="83" xfId="50" applyFont="1" applyFill="1" applyBorder="1">
      <alignment horizontal="center" vertical="center"/>
    </xf>
    <xf numFmtId="49" fontId="0" fillId="53" borderId="83" xfId="0" applyNumberFormat="1" applyFill="1" applyBorder="1">
      <alignment horizontal="center" vertical="center"/>
    </xf>
    <xf numFmtId="0" fontId="4" fillId="0" borderId="83" xfId="0" applyFont="1" applyBorder="1" applyAlignment="1">
      <alignment horizontal="center"/>
    </xf>
    <xf numFmtId="0" fontId="4" fillId="0" borderId="81" xfId="0" applyFont="1" applyBorder="1" applyAlignment="1">
      <alignment horizontal="center"/>
    </xf>
    <xf numFmtId="0" fontId="0" fillId="0" borderId="91" xfId="0" applyBorder="1" applyAlignment="1">
      <alignment horizontal="left" vertical="center"/>
    </xf>
    <xf numFmtId="0" fontId="0" fillId="0" borderId="87" xfId="0" applyBorder="1" applyAlignment="1">
      <alignment horizontal="left" vertical="center"/>
    </xf>
    <xf numFmtId="0" fontId="0" fillId="0" borderId="83" xfId="0" applyBorder="1" applyAlignment="1" applyProtection="1">
      <alignment horizontal="center"/>
      <protection locked="0"/>
    </xf>
    <xf numFmtId="1" fontId="0" fillId="51" borderId="83" xfId="32" applyNumberFormat="1" applyFont="1" applyFill="1" applyBorder="1" applyAlignment="1">
      <alignment horizontal="center" vertical="center"/>
    </xf>
    <xf numFmtId="0" fontId="0" fillId="51" borderId="85" xfId="48" applyFont="1" applyFill="1" applyBorder="1">
      <alignment horizontal="center" vertical="center"/>
    </xf>
    <xf numFmtId="0" fontId="0" fillId="51" borderId="83" xfId="0" applyFill="1" applyBorder="1" applyAlignment="1">
      <alignment horizontal="left" vertical="center"/>
    </xf>
    <xf numFmtId="0" fontId="0" fillId="0" borderId="87" xfId="0" applyBorder="1" applyAlignment="1">
      <alignment horizontal="left"/>
    </xf>
    <xf numFmtId="0" fontId="0" fillId="51" borderId="91" xfId="0" applyFill="1" applyBorder="1" applyAlignment="1">
      <alignment horizontal="left" vertical="center"/>
    </xf>
    <xf numFmtId="0" fontId="19" fillId="0" borderId="81" xfId="0" applyFont="1" applyBorder="1" applyAlignment="1" applyProtection="1">
      <alignment horizontal="center"/>
      <protection locked="0"/>
    </xf>
    <xf numFmtId="0" fontId="0" fillId="51" borderId="91" xfId="0" applyFill="1" applyBorder="1">
      <alignment horizontal="center" vertical="center"/>
    </xf>
    <xf numFmtId="0" fontId="7" fillId="55" borderId="91" xfId="45" applyBorder="1">
      <alignment horizontal="center" vertical="center"/>
    </xf>
    <xf numFmtId="0" fontId="7" fillId="51" borderId="83" xfId="43" applyFill="1" applyBorder="1">
      <alignment horizontal="center" vertical="center"/>
    </xf>
    <xf numFmtId="0" fontId="0" fillId="72" borderId="83" xfId="0" applyFill="1" applyBorder="1">
      <alignment horizontal="center" vertical="center"/>
    </xf>
    <xf numFmtId="0" fontId="0" fillId="0" borderId="85" xfId="0" applyBorder="1" applyAlignment="1">
      <alignment horizontal="left" vertical="center"/>
    </xf>
    <xf numFmtId="49" fontId="0" fillId="51" borderId="85" xfId="0" applyNumberFormat="1" applyFill="1" applyBorder="1">
      <alignment horizontal="center" vertical="center"/>
    </xf>
    <xf numFmtId="49" fontId="0" fillId="51" borderId="91" xfId="0" applyNumberFormat="1" applyFill="1" applyBorder="1">
      <alignment horizontal="center" vertical="center"/>
    </xf>
    <xf numFmtId="0" fontId="7" fillId="52" borderId="83" xfId="48" applyBorder="1">
      <alignment horizontal="center" vertical="center"/>
    </xf>
    <xf numFmtId="0" fontId="0" fillId="51" borderId="83" xfId="48" applyFont="1" applyFill="1" applyBorder="1">
      <alignment horizontal="center" vertical="center"/>
    </xf>
    <xf numFmtId="0" fontId="0" fillId="51" borderId="83" xfId="44" applyFont="1" applyFill="1" applyBorder="1">
      <alignment horizontal="center" vertical="center"/>
    </xf>
    <xf numFmtId="0" fontId="0" fillId="51" borderId="83" xfId="0" applyFill="1" applyBorder="1" applyAlignment="1">
      <alignment horizontal="left" vertical="center" wrapText="1"/>
    </xf>
    <xf numFmtId="0" fontId="7" fillId="54" borderId="83" xfId="50" applyBorder="1">
      <alignment horizontal="center" vertical="center"/>
    </xf>
    <xf numFmtId="0" fontId="52" fillId="56" borderId="83" xfId="46" applyBorder="1">
      <alignment horizontal="center" vertical="center"/>
    </xf>
    <xf numFmtId="49" fontId="0" fillId="51" borderId="83" xfId="0" applyNumberFormat="1" applyFill="1" applyBorder="1">
      <alignment horizontal="center" vertical="center"/>
    </xf>
    <xf numFmtId="0" fontId="7" fillId="69" borderId="83" xfId="44" applyBorder="1">
      <alignment horizontal="center" vertical="center"/>
    </xf>
    <xf numFmtId="49" fontId="0" fillId="57" borderId="85" xfId="0" applyNumberFormat="1" applyFill="1" applyBorder="1">
      <alignment horizontal="center" vertical="center"/>
    </xf>
    <xf numFmtId="0" fontId="0" fillId="57" borderId="85" xfId="0" applyFill="1" applyBorder="1">
      <alignment horizontal="center" vertical="center"/>
    </xf>
    <xf numFmtId="1" fontId="0" fillId="51" borderId="85" xfId="32" applyNumberFormat="1" applyFont="1" applyFill="1" applyBorder="1" applyAlignment="1">
      <alignment horizontal="center" vertical="center"/>
    </xf>
    <xf numFmtId="0" fontId="0" fillId="51" borderId="85" xfId="44" applyFont="1" applyFill="1" applyBorder="1">
      <alignment horizontal="center" vertical="center"/>
    </xf>
    <xf numFmtId="0" fontId="0" fillId="69" borderId="83" xfId="0" applyFill="1" applyBorder="1">
      <alignment horizontal="center" vertical="center"/>
    </xf>
    <xf numFmtId="0" fontId="0" fillId="51" borderId="83" xfId="46" applyFont="1" applyFill="1" applyBorder="1">
      <alignment horizontal="center" vertical="center"/>
    </xf>
    <xf numFmtId="0" fontId="7" fillId="53" borderId="85" xfId="43" applyBorder="1">
      <alignment horizontal="center" vertical="center"/>
    </xf>
    <xf numFmtId="0" fontId="52" fillId="53" borderId="83" xfId="46" applyFill="1" applyBorder="1">
      <alignment horizontal="center" vertical="center"/>
    </xf>
    <xf numFmtId="0" fontId="3" fillId="0" borderId="83" xfId="0" applyFont="1" applyBorder="1" applyAlignment="1">
      <alignment horizontal="center"/>
    </xf>
    <xf numFmtId="49" fontId="0" fillId="52" borderId="83" xfId="0" applyNumberFormat="1" applyFill="1" applyBorder="1">
      <alignment horizontal="center" vertical="center"/>
    </xf>
    <xf numFmtId="0" fontId="0" fillId="0" borderId="92" xfId="0" applyBorder="1">
      <alignment horizontal="center" vertical="center"/>
    </xf>
    <xf numFmtId="0" fontId="3" fillId="0" borderId="92" xfId="0" applyFont="1" applyBorder="1">
      <alignment horizontal="center" vertical="center"/>
    </xf>
    <xf numFmtId="0" fontId="3" fillId="0" borderId="93" xfId="0" applyFont="1" applyBorder="1">
      <alignment horizontal="center" vertical="center"/>
    </xf>
    <xf numFmtId="49" fontId="3" fillId="0" borderId="92" xfId="0" applyNumberFormat="1" applyFont="1" applyBorder="1">
      <alignment horizontal="center" vertical="center"/>
    </xf>
    <xf numFmtId="0" fontId="7" fillId="0" borderId="92" xfId="0" applyFont="1" applyBorder="1">
      <alignment horizontal="center" vertical="center"/>
    </xf>
    <xf numFmtId="0" fontId="7" fillId="0" borderId="93" xfId="0" applyFont="1" applyBorder="1">
      <alignment horizontal="center" vertical="center"/>
    </xf>
    <xf numFmtId="49" fontId="7" fillId="0" borderId="92" xfId="0" applyNumberFormat="1" applyFont="1" applyBorder="1">
      <alignment horizontal="center" vertical="center"/>
    </xf>
    <xf numFmtId="0" fontId="9" fillId="0" borderId="94" xfId="0" applyFont="1" applyBorder="1">
      <alignment horizontal="center" vertical="center"/>
    </xf>
    <xf numFmtId="0" fontId="21" fillId="0" borderId="85" xfId="0" applyFont="1" applyBorder="1" applyAlignment="1">
      <alignment vertical="center"/>
    </xf>
    <xf numFmtId="0" fontId="7" fillId="46" borderId="95" xfId="0" applyFont="1" applyFill="1" applyBorder="1">
      <alignment horizontal="center" vertical="center"/>
    </xf>
    <xf numFmtId="0" fontId="7" fillId="0" borderId="95" xfId="0" applyFont="1" applyBorder="1">
      <alignment horizontal="center" vertical="center"/>
    </xf>
    <xf numFmtId="0" fontId="0" fillId="0" borderId="95" xfId="0" applyBorder="1">
      <alignment horizontal="center" vertical="center"/>
    </xf>
    <xf numFmtId="0" fontId="7" fillId="0" borderId="95" xfId="0" applyFont="1" applyBorder="1" applyAlignment="1">
      <alignment horizontal="left"/>
    </xf>
    <xf numFmtId="0" fontId="19" fillId="0" borderId="85" xfId="0" applyFont="1" applyBorder="1" applyAlignment="1" applyProtection="1">
      <alignment horizontal="center"/>
      <protection locked="0"/>
    </xf>
    <xf numFmtId="0" fontId="0" fillId="0" borderId="95" xfId="0" applyBorder="1" applyAlignment="1">
      <alignment horizontal="left"/>
    </xf>
    <xf numFmtId="0" fontId="0" fillId="51" borderId="96" xfId="0" applyFill="1" applyBorder="1">
      <alignment horizontal="center" vertical="center"/>
    </xf>
    <xf numFmtId="0" fontId="0" fillId="0" borderId="97" xfId="0" applyBorder="1" applyAlignment="1">
      <alignment horizontal="left" vertical="center"/>
    </xf>
    <xf numFmtId="0" fontId="0" fillId="51" borderId="98" xfId="0" applyFill="1" applyBorder="1">
      <alignment horizontal="center" vertical="center"/>
    </xf>
    <xf numFmtId="0" fontId="0" fillId="51" borderId="98" xfId="48" applyFont="1" applyFill="1" applyBorder="1">
      <alignment horizontal="center" vertical="center"/>
    </xf>
    <xf numFmtId="0" fontId="0" fillId="51" borderId="98" xfId="51" applyFont="1" applyFill="1" applyBorder="1">
      <alignment horizontal="center" vertical="center"/>
    </xf>
    <xf numFmtId="49" fontId="0" fillId="51" borderId="98" xfId="0" applyNumberFormat="1" applyFill="1" applyBorder="1">
      <alignment horizontal="center" vertical="center"/>
    </xf>
    <xf numFmtId="0" fontId="4" fillId="0" borderId="99" xfId="0" applyFont="1" applyBorder="1" applyAlignment="1">
      <alignment horizontal="center"/>
    </xf>
    <xf numFmtId="0" fontId="0" fillId="0" borderId="75"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100" xfId="0" applyBorder="1" applyAlignment="1" applyProtection="1">
      <alignment horizontal="center"/>
      <protection locked="0"/>
    </xf>
    <xf numFmtId="49" fontId="0" fillId="0" borderId="79" xfId="0" applyNumberFormat="1" applyBorder="1" applyAlignment="1"/>
    <xf numFmtId="0" fontId="4" fillId="0" borderId="100" xfId="0" applyFont="1" applyBorder="1" applyAlignment="1" applyProtection="1">
      <alignment horizontal="center"/>
      <protection locked="0"/>
    </xf>
    <xf numFmtId="0" fontId="6" fillId="0" borderId="100" xfId="0" applyFont="1" applyBorder="1" applyAlignment="1">
      <alignment horizontal="center"/>
    </xf>
    <xf numFmtId="0" fontId="0" fillId="0" borderId="75" xfId="0" applyBorder="1" applyAlignment="1" applyProtection="1">
      <alignment horizontal="left"/>
      <protection locked="0"/>
    </xf>
    <xf numFmtId="0" fontId="0" fillId="0" borderId="76" xfId="0" applyBorder="1" applyAlignment="1" applyProtection="1">
      <alignment horizontal="center"/>
      <protection locked="0"/>
    </xf>
    <xf numFmtId="49" fontId="0" fillId="51" borderId="100" xfId="0" applyNumberFormat="1" applyFill="1" applyBorder="1">
      <alignment horizontal="center" vertical="center"/>
    </xf>
    <xf numFmtId="0" fontId="0" fillId="51" borderId="100" xfId="0" applyFill="1" applyBorder="1">
      <alignment horizontal="center" vertical="center"/>
    </xf>
    <xf numFmtId="0" fontId="6" fillId="44" borderId="79" xfId="0" applyFont="1" applyFill="1" applyBorder="1" applyAlignment="1">
      <alignment horizontal="left"/>
    </xf>
    <xf numFmtId="0" fontId="6" fillId="25" borderId="79" xfId="0" applyFont="1" applyFill="1" applyBorder="1">
      <alignment horizontal="center" vertical="center"/>
    </xf>
    <xf numFmtId="0" fontId="6" fillId="29" borderId="79" xfId="0" applyFont="1" applyFill="1" applyBorder="1" applyAlignment="1">
      <alignment horizontal="left"/>
    </xf>
    <xf numFmtId="0" fontId="6" fillId="37" borderId="79" xfId="0" applyFont="1" applyFill="1" applyBorder="1" applyAlignment="1">
      <alignment horizontal="left"/>
    </xf>
    <xf numFmtId="0" fontId="6" fillId="45" borderId="79" xfId="0" applyFont="1" applyFill="1" applyBorder="1" applyAlignment="1">
      <alignment horizontal="left"/>
    </xf>
    <xf numFmtId="0" fontId="6" fillId="24" borderId="79" xfId="0" applyFont="1" applyFill="1" applyBorder="1">
      <alignment horizontal="center" vertical="center"/>
    </xf>
    <xf numFmtId="0" fontId="6" fillId="40" borderId="79" xfId="0" applyFont="1" applyFill="1" applyBorder="1" applyAlignment="1">
      <alignment horizontal="left"/>
    </xf>
    <xf numFmtId="0" fontId="6" fillId="39" borderId="75" xfId="0" applyFont="1" applyFill="1" applyBorder="1" applyAlignment="1">
      <alignment horizontal="left"/>
    </xf>
    <xf numFmtId="0" fontId="6" fillId="47" borderId="79" xfId="0" applyFont="1" applyFill="1" applyBorder="1">
      <alignment horizontal="center" vertical="center"/>
    </xf>
    <xf numFmtId="0" fontId="7" fillId="0" borderId="79" xfId="0" applyFont="1" applyBorder="1" applyAlignment="1">
      <alignment horizontal="left"/>
    </xf>
    <xf numFmtId="0" fontId="7" fillId="48" borderId="79" xfId="0" applyFont="1" applyFill="1" applyBorder="1" applyAlignment="1">
      <alignment horizontal="left" vertical="center"/>
    </xf>
    <xf numFmtId="0" fontId="4" fillId="0" borderId="79" xfId="0" applyFont="1" applyBorder="1" applyAlignment="1">
      <alignment horizontal="left" vertical="center"/>
    </xf>
    <xf numFmtId="0" fontId="4" fillId="0" borderId="79" xfId="0" applyFont="1" applyBorder="1">
      <alignment horizontal="center" vertical="center"/>
    </xf>
    <xf numFmtId="0" fontId="0" fillId="51" borderId="101" xfId="0" applyFill="1" applyBorder="1">
      <alignment horizontal="center" vertical="center"/>
    </xf>
    <xf numFmtId="0" fontId="4" fillId="24" borderId="75" xfId="0" applyFont="1" applyFill="1" applyBorder="1" applyAlignment="1">
      <alignment horizontal="left" vertical="center"/>
    </xf>
    <xf numFmtId="0" fontId="0" fillId="24" borderId="75" xfId="0" applyFill="1" applyBorder="1">
      <alignment horizontal="center" vertical="center"/>
    </xf>
    <xf numFmtId="0" fontId="0" fillId="43" borderId="75" xfId="0" applyFill="1" applyBorder="1" applyAlignment="1" applyProtection="1">
      <alignment horizontal="center"/>
      <protection locked="0"/>
    </xf>
    <xf numFmtId="1" fontId="0" fillId="53" borderId="75" xfId="32" applyNumberFormat="1" applyFont="1" applyFill="1" applyBorder="1" applyAlignment="1">
      <alignment horizontal="center" vertical="center"/>
    </xf>
    <xf numFmtId="0" fontId="6" fillId="0" borderId="75" xfId="0" applyFont="1" applyBorder="1" applyAlignment="1">
      <alignment horizontal="left" vertical="center"/>
    </xf>
    <xf numFmtId="0" fontId="0" fillId="53" borderId="75" xfId="44" applyFont="1" applyFill="1" applyBorder="1">
      <alignment horizontal="center" vertical="center"/>
    </xf>
    <xf numFmtId="1" fontId="0" fillId="53" borderId="75" xfId="0" applyNumberFormat="1" applyFill="1" applyBorder="1">
      <alignment horizontal="center" vertical="center"/>
    </xf>
    <xf numFmtId="0" fontId="0" fillId="51" borderId="75" xfId="49" applyFont="1" applyFill="1" applyBorder="1">
      <alignment horizontal="center" vertical="center"/>
    </xf>
    <xf numFmtId="1" fontId="0" fillId="51" borderId="75" xfId="44" applyNumberFormat="1" applyFont="1" applyFill="1" applyBorder="1">
      <alignment horizontal="center" vertical="center"/>
    </xf>
    <xf numFmtId="1" fontId="0" fillId="51" borderId="101" xfId="0" applyNumberFormat="1" applyFill="1" applyBorder="1">
      <alignment horizontal="center" vertical="center"/>
    </xf>
    <xf numFmtId="0" fontId="4" fillId="0" borderId="79" xfId="0" applyFont="1" applyBorder="1" applyAlignment="1">
      <alignment vertical="center"/>
    </xf>
    <xf numFmtId="0" fontId="14" fillId="0" borderId="62" xfId="0" applyFont="1" applyBorder="1">
      <alignment horizontal="center" vertical="center"/>
    </xf>
    <xf numFmtId="0" fontId="4" fillId="0" borderId="65" xfId="0" applyFont="1" applyBorder="1" applyAlignment="1">
      <alignment horizontal="left" vertical="center"/>
    </xf>
    <xf numFmtId="0" fontId="14" fillId="0" borderId="67" xfId="0" applyFont="1" applyBorder="1">
      <alignment horizontal="center" vertical="center"/>
    </xf>
    <xf numFmtId="0" fontId="4" fillId="0" borderId="67" xfId="0" applyFont="1" applyBorder="1">
      <alignment horizontal="center" vertical="center"/>
    </xf>
    <xf numFmtId="0" fontId="0" fillId="0" borderId="79" xfId="0" applyBorder="1" applyAlignment="1">
      <alignment vertical="center"/>
    </xf>
    <xf numFmtId="0" fontId="0" fillId="0" borderId="62" xfId="0" applyBorder="1" applyAlignment="1">
      <alignment horizontal="left" vertical="center"/>
    </xf>
    <xf numFmtId="0" fontId="4" fillId="0" borderId="99" xfId="0" applyFont="1" applyBorder="1" applyAlignment="1">
      <alignment horizontal="left" vertical="center"/>
    </xf>
    <xf numFmtId="0" fontId="0" fillId="0" borderId="64" xfId="0" applyBorder="1" applyAlignment="1" applyProtection="1">
      <alignment horizontal="center"/>
      <protection locked="0"/>
    </xf>
    <xf numFmtId="0" fontId="6" fillId="0" borderId="64" xfId="0" applyFont="1" applyBorder="1" applyAlignment="1">
      <alignment horizontal="center"/>
    </xf>
    <xf numFmtId="0" fontId="0" fillId="51" borderId="102" xfId="0" applyFill="1" applyBorder="1" applyAlignment="1">
      <alignment horizontal="left" vertical="center"/>
    </xf>
    <xf numFmtId="0" fontId="0" fillId="51" borderId="103" xfId="44" applyFont="1" applyFill="1" applyBorder="1">
      <alignment horizontal="center" vertical="center"/>
    </xf>
    <xf numFmtId="0" fontId="0" fillId="0" borderId="64" xfId="0" applyBorder="1">
      <alignment horizontal="center" vertical="center"/>
    </xf>
    <xf numFmtId="0" fontId="4" fillId="0" borderId="64" xfId="0" applyFont="1" applyBorder="1" applyAlignment="1">
      <alignment horizontal="center"/>
    </xf>
    <xf numFmtId="0" fontId="7" fillId="0" borderId="79" xfId="0" applyFont="1" applyBorder="1">
      <alignment horizontal="center" vertical="center"/>
    </xf>
    <xf numFmtId="0" fontId="0" fillId="43" borderId="79" xfId="0" applyFill="1" applyBorder="1" applyAlignment="1" applyProtection="1">
      <alignment horizontal="center"/>
      <protection locked="0"/>
    </xf>
    <xf numFmtId="0" fontId="0" fillId="0" borderId="79" xfId="0" applyBorder="1" applyAlignment="1">
      <alignment horizontal="left"/>
    </xf>
    <xf numFmtId="0" fontId="0" fillId="0" borderId="62" xfId="0" applyBorder="1" applyAlignment="1">
      <alignment horizontal="left"/>
    </xf>
    <xf numFmtId="0" fontId="7" fillId="0" borderId="63" xfId="0" applyFont="1" applyBorder="1" applyAlignment="1">
      <alignment horizontal="left"/>
    </xf>
    <xf numFmtId="0" fontId="6" fillId="0" borderId="79" xfId="0" applyFont="1" applyBorder="1" applyAlignment="1">
      <alignment horizontal="left"/>
    </xf>
    <xf numFmtId="0" fontId="0" fillId="51" borderId="102" xfId="0" applyFill="1" applyBorder="1">
      <alignment horizontal="center" vertical="center"/>
    </xf>
    <xf numFmtId="49" fontId="0" fillId="51" borderId="103" xfId="0" applyNumberFormat="1" applyFill="1" applyBorder="1">
      <alignment horizontal="center" vertical="center"/>
    </xf>
    <xf numFmtId="0" fontId="0" fillId="51" borderId="104" xfId="0" applyFill="1" applyBorder="1" applyAlignment="1">
      <alignment horizontal="left" vertical="center"/>
    </xf>
    <xf numFmtId="0" fontId="0" fillId="52" borderId="102" xfId="0" applyFill="1" applyBorder="1">
      <alignment horizontal="center" vertical="center"/>
    </xf>
    <xf numFmtId="49" fontId="0" fillId="51" borderId="76" xfId="0" applyNumberFormat="1" applyFill="1" applyBorder="1">
      <alignment horizontal="center" vertical="center"/>
    </xf>
    <xf numFmtId="0" fontId="0" fillId="0" borderId="76" xfId="0" applyBorder="1" applyAlignment="1"/>
    <xf numFmtId="0" fontId="0" fillId="84" borderId="76" xfId="0" applyFill="1" applyBorder="1" applyAlignment="1"/>
    <xf numFmtId="0" fontId="0" fillId="51" borderId="76" xfId="44" applyFont="1" applyFill="1" applyBorder="1">
      <alignment horizontal="center" vertical="center"/>
    </xf>
    <xf numFmtId="0" fontId="0" fillId="80" borderId="76" xfId="0" applyFill="1" applyBorder="1" applyAlignment="1"/>
    <xf numFmtId="0" fontId="0" fillId="51" borderId="76" xfId="48" applyFont="1" applyFill="1" applyBorder="1">
      <alignment horizontal="center" vertical="center"/>
    </xf>
    <xf numFmtId="0" fontId="7" fillId="53" borderId="76" xfId="43" applyBorder="1">
      <alignment horizontal="center" vertical="center"/>
    </xf>
    <xf numFmtId="0" fontId="7" fillId="0" borderId="76" xfId="53" applyBorder="1">
      <alignment horizontal="center" vertical="center"/>
    </xf>
    <xf numFmtId="0" fontId="7" fillId="52" borderId="76" xfId="48" applyBorder="1">
      <alignment horizontal="center" vertical="center"/>
    </xf>
    <xf numFmtId="0" fontId="0" fillId="51" borderId="76" xfId="46" applyFont="1" applyFill="1" applyBorder="1">
      <alignment horizontal="center" vertical="center"/>
    </xf>
    <xf numFmtId="0" fontId="3" fillId="0" borderId="77" xfId="0" applyFont="1" applyBorder="1" applyAlignment="1">
      <alignment horizontal="left" vertical="center"/>
    </xf>
    <xf numFmtId="0" fontId="3" fillId="0" borderId="77" xfId="0" applyFont="1" applyBorder="1">
      <alignment horizontal="center" vertical="center"/>
    </xf>
    <xf numFmtId="0" fontId="7" fillId="0" borderId="77" xfId="0" applyFont="1" applyBorder="1">
      <alignment horizontal="center" vertical="center"/>
    </xf>
    <xf numFmtId="49" fontId="7" fillId="0" borderId="77" xfId="0" applyNumberFormat="1" applyFont="1" applyBorder="1">
      <alignment horizontal="center" vertical="center"/>
    </xf>
    <xf numFmtId="0" fontId="9" fillId="0" borderId="77" xfId="0" applyFont="1" applyBorder="1">
      <alignment horizontal="center" vertical="center"/>
    </xf>
    <xf numFmtId="0" fontId="0" fillId="51" borderId="76" xfId="0" applyFill="1" applyBorder="1" applyAlignment="1">
      <alignment horizontal="left" vertical="center" wrapText="1"/>
    </xf>
    <xf numFmtId="0" fontId="0" fillId="51" borderId="76" xfId="50" applyFont="1" applyFill="1" applyBorder="1">
      <alignment horizontal="center" vertical="center"/>
    </xf>
    <xf numFmtId="49" fontId="0" fillId="53" borderId="76" xfId="0" applyNumberFormat="1" applyFill="1" applyBorder="1">
      <alignment horizontal="center" vertical="center"/>
    </xf>
    <xf numFmtId="0" fontId="4" fillId="0" borderId="76" xfId="0" applyFont="1" applyBorder="1" applyAlignment="1">
      <alignment horizontal="center"/>
    </xf>
    <xf numFmtId="0" fontId="4" fillId="24" borderId="105" xfId="0" applyFont="1" applyFill="1" applyBorder="1">
      <alignment horizontal="center" vertical="center"/>
    </xf>
    <xf numFmtId="0" fontId="0" fillId="24" borderId="105" xfId="0" applyFill="1" applyBorder="1">
      <alignment horizontal="center" vertical="center"/>
    </xf>
    <xf numFmtId="0" fontId="0" fillId="24" borderId="106" xfId="0" applyFill="1" applyBorder="1">
      <alignment horizontal="center" vertical="center"/>
    </xf>
    <xf numFmtId="49" fontId="0" fillId="51" borderId="107" xfId="0" applyNumberFormat="1" applyFill="1" applyBorder="1">
      <alignment horizontal="center" vertical="center"/>
    </xf>
    <xf numFmtId="49" fontId="0" fillId="51" borderId="108" xfId="0" applyNumberFormat="1" applyFill="1" applyBorder="1">
      <alignment horizontal="center" vertical="center"/>
    </xf>
    <xf numFmtId="0" fontId="7" fillId="69" borderId="76" xfId="44" applyBorder="1">
      <alignment horizontal="center" vertical="center"/>
    </xf>
    <xf numFmtId="0" fontId="0" fillId="43" borderId="116" xfId="0" applyFill="1" applyBorder="1" applyAlignment="1" applyProtection="1">
      <alignment horizontal="center"/>
      <protection locked="0"/>
    </xf>
    <xf numFmtId="1" fontId="0" fillId="51" borderId="115" xfId="32" applyNumberFormat="1" applyFont="1" applyFill="1" applyBorder="1" applyAlignment="1">
      <alignment horizontal="center" vertical="center"/>
    </xf>
    <xf numFmtId="0" fontId="7" fillId="0" borderId="106" xfId="0" applyFont="1" applyBorder="1" applyAlignment="1">
      <alignment horizontal="left"/>
    </xf>
    <xf numFmtId="0" fontId="6" fillId="0" borderId="106" xfId="0" applyFont="1" applyBorder="1" applyAlignment="1">
      <alignment horizontal="left"/>
    </xf>
    <xf numFmtId="0" fontId="0" fillId="0" borderId="118" xfId="0" applyBorder="1" applyAlignment="1">
      <alignment vertical="center"/>
    </xf>
    <xf numFmtId="0" fontId="0" fillId="55" borderId="119" xfId="48" applyFont="1" applyFill="1" applyBorder="1">
      <alignment horizontal="center" vertical="center"/>
    </xf>
    <xf numFmtId="0" fontId="0" fillId="71" borderId="105" xfId="0" applyFill="1" applyBorder="1">
      <alignment horizontal="center" vertical="center"/>
    </xf>
    <xf numFmtId="0" fontId="0" fillId="51" borderId="105" xfId="0" applyFill="1" applyBorder="1">
      <alignment horizontal="center" vertical="center"/>
    </xf>
    <xf numFmtId="0" fontId="0" fillId="51" borderId="120" xfId="0" applyFill="1" applyBorder="1">
      <alignment horizontal="center" vertical="center"/>
    </xf>
    <xf numFmtId="0" fontId="0" fillId="51" borderId="121" xfId="0" applyFill="1" applyBorder="1">
      <alignment horizontal="center" vertical="center"/>
    </xf>
    <xf numFmtId="1" fontId="0" fillId="51" borderId="121" xfId="32" applyNumberFormat="1" applyFont="1" applyFill="1" applyBorder="1" applyAlignment="1">
      <alignment horizontal="center" vertical="center"/>
    </xf>
    <xf numFmtId="0" fontId="0" fillId="51" borderId="121" xfId="43" applyFont="1" applyFill="1" applyBorder="1">
      <alignment horizontal="center" vertical="center"/>
    </xf>
    <xf numFmtId="0" fontId="0" fillId="51" borderId="122" xfId="0" applyFill="1" applyBorder="1">
      <alignment horizontal="center" vertical="center"/>
    </xf>
    <xf numFmtId="0" fontId="4" fillId="0" borderId="123" xfId="0" applyFont="1" applyBorder="1" applyAlignment="1" applyProtection="1">
      <alignment horizontal="center"/>
      <protection locked="0"/>
    </xf>
    <xf numFmtId="0" fontId="21" fillId="51" borderId="115" xfId="0" applyFont="1" applyFill="1" applyBorder="1" applyAlignment="1">
      <alignment horizontal="left" vertical="center"/>
    </xf>
    <xf numFmtId="0" fontId="0" fillId="0" borderId="109" xfId="0" applyBorder="1">
      <alignment horizontal="center" vertical="center"/>
    </xf>
    <xf numFmtId="0" fontId="0" fillId="0" borderId="112" xfId="0" applyBorder="1">
      <alignment horizontal="center" vertical="center"/>
    </xf>
    <xf numFmtId="0" fontId="0" fillId="0" borderId="124" xfId="0" applyBorder="1">
      <alignment horizontal="center" vertical="center"/>
    </xf>
    <xf numFmtId="0" fontId="0" fillId="0" borderId="125" xfId="0" applyBorder="1">
      <alignment horizontal="center" vertical="center"/>
    </xf>
    <xf numFmtId="0" fontId="0" fillId="0" borderId="126" xfId="0" applyBorder="1">
      <alignment horizontal="center" vertical="center"/>
    </xf>
    <xf numFmtId="0" fontId="0" fillId="0" borderId="111" xfId="0" applyBorder="1" applyAlignment="1">
      <alignment horizontal="left" vertical="center"/>
    </xf>
    <xf numFmtId="0" fontId="0" fillId="0" borderId="114" xfId="0" applyBorder="1">
      <alignment horizontal="center" vertical="center"/>
    </xf>
    <xf numFmtId="0" fontId="0" fillId="0" borderId="113" xfId="0" applyBorder="1" applyAlignment="1">
      <alignment horizontal="left" vertical="center"/>
    </xf>
    <xf numFmtId="0" fontId="0" fillId="0" borderId="112" xfId="0" applyBorder="1" applyAlignment="1">
      <alignment horizontal="left" vertical="center"/>
    </xf>
    <xf numFmtId="0" fontId="0" fillId="0" borderId="110" xfId="0" applyBorder="1" applyAlignment="1">
      <alignment horizontal="left" vertical="center"/>
    </xf>
    <xf numFmtId="0" fontId="0" fillId="0" borderId="127" xfId="0" applyBorder="1" applyAlignment="1">
      <alignment horizontal="left" vertical="center"/>
    </xf>
    <xf numFmtId="0" fontId="0" fillId="0" borderId="128" xfId="0" applyBorder="1">
      <alignment horizontal="center" vertical="center"/>
    </xf>
    <xf numFmtId="0" fontId="4" fillId="0" borderId="109" xfId="0" applyFont="1" applyBorder="1" applyAlignment="1">
      <alignment horizontal="center"/>
    </xf>
    <xf numFmtId="0" fontId="6" fillId="0" borderId="110" xfId="0" applyFont="1" applyBorder="1">
      <alignment horizontal="center" vertical="center"/>
    </xf>
    <xf numFmtId="0" fontId="7" fillId="0" borderId="110" xfId="0" applyFont="1" applyBorder="1">
      <alignment horizontal="center" vertical="center"/>
    </xf>
    <xf numFmtId="0" fontId="7" fillId="0" borderId="125" xfId="0" applyFont="1" applyBorder="1">
      <alignment horizontal="center" vertical="center"/>
    </xf>
    <xf numFmtId="0" fontId="0" fillId="0" borderId="129" xfId="0" applyBorder="1" applyAlignment="1">
      <alignment horizontal="left"/>
    </xf>
    <xf numFmtId="0" fontId="0" fillId="0" borderId="130" xfId="0" applyBorder="1" applyAlignment="1"/>
    <xf numFmtId="0" fontId="0" fillId="0" borderId="131" xfId="0" applyBorder="1" applyAlignment="1">
      <alignment horizontal="left"/>
    </xf>
    <xf numFmtId="0" fontId="0" fillId="0" borderId="129" xfId="0" applyBorder="1" applyAlignment="1">
      <alignment horizontal="center"/>
    </xf>
    <xf numFmtId="0" fontId="4" fillId="43" borderId="132" xfId="0" applyFont="1" applyFill="1" applyBorder="1" applyAlignment="1">
      <alignment horizontal="center"/>
    </xf>
    <xf numFmtId="0" fontId="0" fillId="51" borderId="132" xfId="0" applyFill="1" applyBorder="1">
      <alignment horizontal="center" vertical="center"/>
    </xf>
    <xf numFmtId="0" fontId="0" fillId="51" borderId="132" xfId="44" applyFont="1" applyFill="1" applyBorder="1">
      <alignment horizontal="center" vertical="center"/>
    </xf>
    <xf numFmtId="49" fontId="0" fillId="51" borderId="132" xfId="0" applyNumberFormat="1" applyFill="1" applyBorder="1">
      <alignment horizontal="center" vertical="center"/>
    </xf>
    <xf numFmtId="0" fontId="0" fillId="51" borderId="133" xfId="0" applyFill="1" applyBorder="1">
      <alignment horizontal="center" vertical="center"/>
    </xf>
    <xf numFmtId="167" fontId="9" fillId="0" borderId="129" xfId="0" applyNumberFormat="1" applyFont="1" applyBorder="1" applyAlignment="1">
      <alignment horizontal="center"/>
    </xf>
    <xf numFmtId="0" fontId="4" fillId="0" borderId="134" xfId="0" applyFont="1" applyBorder="1" applyAlignment="1">
      <alignment horizontal="center"/>
    </xf>
    <xf numFmtId="49" fontId="7" fillId="0" borderId="135" xfId="0" applyNumberFormat="1" applyFont="1" applyBorder="1">
      <alignment horizontal="center" vertical="center"/>
    </xf>
    <xf numFmtId="0" fontId="0" fillId="0" borderId="136" xfId="0" applyBorder="1">
      <alignment horizontal="center" vertical="center"/>
    </xf>
    <xf numFmtId="0" fontId="4" fillId="0" borderId="136" xfId="0" applyFont="1" applyBorder="1" applyAlignment="1">
      <alignment horizontal="left"/>
    </xf>
    <xf numFmtId="0" fontId="0" fillId="0" borderId="137" xfId="0" applyBorder="1">
      <alignment horizontal="center" vertical="center"/>
    </xf>
    <xf numFmtId="0" fontId="0" fillId="51" borderId="132" xfId="0" applyFill="1" applyBorder="1" applyAlignment="1">
      <alignment horizontal="left" vertical="center" wrapText="1"/>
    </xf>
    <xf numFmtId="49" fontId="0" fillId="51" borderId="138" xfId="0" applyNumberFormat="1" applyFill="1" applyBorder="1">
      <alignment horizontal="center" vertical="center"/>
    </xf>
    <xf numFmtId="49" fontId="0" fillId="51" borderId="139" xfId="0" applyNumberFormat="1" applyFill="1" applyBorder="1">
      <alignment horizontal="center" vertical="center"/>
    </xf>
    <xf numFmtId="0" fontId="0" fillId="51" borderId="139" xfId="48" applyFont="1" applyFill="1" applyBorder="1">
      <alignment horizontal="center" vertical="center"/>
    </xf>
    <xf numFmtId="0" fontId="0" fillId="51" borderId="139" xfId="0" applyFill="1" applyBorder="1">
      <alignment horizontal="center" vertical="center"/>
    </xf>
    <xf numFmtId="49" fontId="0" fillId="0" borderId="129" xfId="0" applyNumberFormat="1" applyBorder="1" applyAlignment="1">
      <alignment horizontal="left"/>
    </xf>
    <xf numFmtId="0" fontId="4" fillId="0" borderId="132" xfId="0" applyFont="1" applyBorder="1" applyAlignment="1" applyProtection="1">
      <alignment horizontal="center"/>
      <protection locked="0"/>
    </xf>
    <xf numFmtId="0" fontId="0" fillId="0" borderId="132" xfId="0" applyBorder="1" applyAlignment="1">
      <alignment horizontal="left"/>
    </xf>
    <xf numFmtId="0" fontId="4" fillId="0" borderId="140" xfId="0" applyFont="1" applyBorder="1" applyAlignment="1">
      <alignment horizontal="center"/>
    </xf>
    <xf numFmtId="0" fontId="3" fillId="0" borderId="130" xfId="0" applyFont="1" applyBorder="1" applyAlignment="1">
      <alignment horizontal="center"/>
    </xf>
    <xf numFmtId="0" fontId="0" fillId="0" borderId="141" xfId="0" applyBorder="1" applyAlignment="1">
      <alignment horizontal="left" vertical="center"/>
    </xf>
    <xf numFmtId="0" fontId="0" fillId="51" borderId="142" xfId="0" applyFill="1" applyBorder="1">
      <alignment horizontal="center" vertical="center"/>
    </xf>
    <xf numFmtId="0" fontId="45" fillId="0" borderId="144" xfId="0" applyFont="1" applyBorder="1">
      <alignment horizontal="center" vertical="center"/>
    </xf>
    <xf numFmtId="0" fontId="0" fillId="0" borderId="145" xfId="0" applyBorder="1">
      <alignment horizontal="center" vertical="center"/>
    </xf>
    <xf numFmtId="0" fontId="0" fillId="0" borderId="148" xfId="0" applyBorder="1" applyAlignment="1">
      <alignment horizontal="left" vertical="center"/>
    </xf>
    <xf numFmtId="0" fontId="0" fillId="0" borderId="130" xfId="0" applyBorder="1">
      <alignment horizontal="center" vertical="center"/>
    </xf>
    <xf numFmtId="0" fontId="0" fillId="0" borderId="151" xfId="0" applyBorder="1" applyAlignment="1">
      <alignment horizontal="left"/>
    </xf>
    <xf numFmtId="0" fontId="0" fillId="0" borderId="151" xfId="0" applyBorder="1" applyAlignment="1">
      <alignment horizontal="center"/>
    </xf>
    <xf numFmtId="0" fontId="0" fillId="0" borderId="140" xfId="0" applyBorder="1" applyAlignment="1">
      <alignment horizontal="center"/>
    </xf>
    <xf numFmtId="0" fontId="0" fillId="0" borderId="147" xfId="0" applyBorder="1" applyAlignment="1">
      <alignment horizontal="center"/>
    </xf>
    <xf numFmtId="0" fontId="0" fillId="0" borderId="154" xfId="0" applyBorder="1">
      <alignment horizontal="center" vertical="center"/>
    </xf>
    <xf numFmtId="0" fontId="0" fillId="0" borderId="155" xfId="0" applyBorder="1">
      <alignment horizontal="center" vertical="center"/>
    </xf>
    <xf numFmtId="0" fontId="0" fillId="0" borderId="147" xfId="0" applyBorder="1">
      <alignment horizontal="center" vertical="center"/>
    </xf>
    <xf numFmtId="0" fontId="0" fillId="0" borderId="151" xfId="0" applyBorder="1">
      <alignment horizontal="center" vertical="center"/>
    </xf>
    <xf numFmtId="0" fontId="0" fillId="0" borderId="152" xfId="0" applyBorder="1">
      <alignment horizontal="center" vertical="center"/>
    </xf>
    <xf numFmtId="0" fontId="4" fillId="0" borderId="157" xfId="0" applyFont="1" applyBorder="1" applyAlignment="1">
      <alignment horizontal="center"/>
    </xf>
    <xf numFmtId="0" fontId="7" fillId="0" borderId="130" xfId="0" applyFont="1" applyBorder="1">
      <alignment horizontal="center" vertical="center"/>
    </xf>
    <xf numFmtId="0" fontId="7" fillId="40" borderId="152" xfId="0" applyFont="1" applyFill="1" applyBorder="1">
      <alignment horizontal="center" vertical="center"/>
    </xf>
    <xf numFmtId="0" fontId="0" fillId="37" borderId="152" xfId="0" applyFill="1" applyBorder="1">
      <alignment horizontal="center" vertical="center"/>
    </xf>
    <xf numFmtId="0" fontId="6" fillId="0" borderId="154" xfId="0" applyFont="1" applyBorder="1" applyAlignment="1">
      <alignment horizontal="center"/>
    </xf>
    <xf numFmtId="0" fontId="0" fillId="0" borderId="140" xfId="0" applyBorder="1">
      <alignment horizontal="center" vertical="center"/>
    </xf>
    <xf numFmtId="0" fontId="0" fillId="0" borderId="147" xfId="0" applyBorder="1" applyAlignment="1" applyProtection="1">
      <alignment horizontal="center"/>
      <protection locked="0"/>
    </xf>
    <xf numFmtId="0" fontId="7" fillId="0" borderId="147" xfId="0" applyFont="1" applyBorder="1">
      <alignment horizontal="center" vertical="center"/>
    </xf>
    <xf numFmtId="0" fontId="4" fillId="0" borderId="154" xfId="0" applyFont="1" applyBorder="1" applyAlignment="1">
      <alignment horizontal="center"/>
    </xf>
    <xf numFmtId="0" fontId="4" fillId="0" borderId="147" xfId="0" applyFont="1" applyBorder="1" applyAlignment="1">
      <alignment horizontal="center"/>
    </xf>
    <xf numFmtId="0" fontId="6" fillId="44" borderId="151" xfId="0" applyFont="1" applyFill="1" applyBorder="1" applyAlignment="1">
      <alignment horizontal="left"/>
    </xf>
    <xf numFmtId="0" fontId="6" fillId="25" borderId="151" xfId="0" applyFont="1" applyFill="1" applyBorder="1">
      <alignment horizontal="center" vertical="center"/>
    </xf>
    <xf numFmtId="0" fontId="7" fillId="25" borderId="152" xfId="0" applyFont="1" applyFill="1" applyBorder="1">
      <alignment horizontal="center" vertical="center"/>
    </xf>
    <xf numFmtId="0" fontId="6" fillId="29" borderId="151" xfId="0" applyFont="1" applyFill="1" applyBorder="1" applyAlignment="1">
      <alignment horizontal="left"/>
    </xf>
    <xf numFmtId="0" fontId="6" fillId="29" borderId="152" xfId="0" applyFont="1" applyFill="1" applyBorder="1" applyAlignment="1">
      <alignment horizontal="left"/>
    </xf>
    <xf numFmtId="0" fontId="7" fillId="29" borderId="152" xfId="0" applyFont="1" applyFill="1" applyBorder="1">
      <alignment horizontal="center" vertical="center"/>
    </xf>
    <xf numFmtId="0" fontId="7" fillId="29" borderId="159" xfId="0" applyFont="1" applyFill="1" applyBorder="1">
      <alignment horizontal="center" vertical="center"/>
    </xf>
    <xf numFmtId="0" fontId="6" fillId="37" borderId="151" xfId="0" applyFont="1" applyFill="1" applyBorder="1" applyAlignment="1">
      <alignment horizontal="left"/>
    </xf>
    <xf numFmtId="0" fontId="6" fillId="37" borderId="152" xfId="0" applyFont="1" applyFill="1" applyBorder="1" applyAlignment="1">
      <alignment horizontal="left"/>
    </xf>
    <xf numFmtId="0" fontId="6" fillId="45" borderId="151" xfId="0" applyFont="1" applyFill="1" applyBorder="1" applyAlignment="1">
      <alignment horizontal="left"/>
    </xf>
    <xf numFmtId="0" fontId="0" fillId="45" borderId="152" xfId="0" applyFill="1" applyBorder="1">
      <alignment horizontal="center" vertical="center"/>
    </xf>
    <xf numFmtId="0" fontId="7" fillId="45" borderId="152" xfId="0" applyFont="1" applyFill="1" applyBorder="1">
      <alignment horizontal="center" vertical="center"/>
    </xf>
    <xf numFmtId="0" fontId="7" fillId="45" borderId="159" xfId="0" applyFont="1" applyFill="1" applyBorder="1">
      <alignment horizontal="center" vertical="center"/>
    </xf>
    <xf numFmtId="0" fontId="6" fillId="24" borderId="151" xfId="0" applyFont="1" applyFill="1" applyBorder="1">
      <alignment horizontal="center" vertical="center"/>
    </xf>
    <xf numFmtId="0" fontId="0" fillId="24" borderId="152" xfId="0" applyFill="1" applyBorder="1">
      <alignment horizontal="center" vertical="center"/>
    </xf>
    <xf numFmtId="0" fontId="7" fillId="24" borderId="152" xfId="0" applyFont="1" applyFill="1" applyBorder="1">
      <alignment horizontal="center" vertical="center"/>
    </xf>
    <xf numFmtId="0" fontId="6" fillId="40" borderId="151" xfId="0" applyFont="1" applyFill="1" applyBorder="1" applyAlignment="1">
      <alignment horizontal="left"/>
    </xf>
    <xf numFmtId="0" fontId="0" fillId="40" borderId="159" xfId="0" applyFill="1" applyBorder="1">
      <alignment horizontal="center" vertical="center"/>
    </xf>
    <xf numFmtId="0" fontId="0" fillId="46" borderId="155" xfId="0" applyFill="1" applyBorder="1">
      <alignment horizontal="center" vertical="center"/>
    </xf>
    <xf numFmtId="0" fontId="7" fillId="46" borderId="155" xfId="0" applyFont="1" applyFill="1" applyBorder="1">
      <alignment horizontal="center" vertical="center"/>
    </xf>
    <xf numFmtId="0" fontId="6" fillId="0" borderId="158" xfId="0" applyFont="1" applyBorder="1" applyAlignment="1">
      <alignment horizontal="left" vertical="center"/>
    </xf>
    <xf numFmtId="0" fontId="7" fillId="0" borderId="155" xfId="0" applyFont="1" applyBorder="1">
      <alignment horizontal="center" vertical="center"/>
    </xf>
    <xf numFmtId="0" fontId="6" fillId="39" borderId="147" xfId="0" applyFont="1" applyFill="1" applyBorder="1" applyAlignment="1">
      <alignment horizontal="left"/>
    </xf>
    <xf numFmtId="0" fontId="6" fillId="47" borderId="151" xfId="0" applyFont="1" applyFill="1" applyBorder="1">
      <alignment horizontal="center" vertical="center"/>
    </xf>
    <xf numFmtId="0" fontId="7" fillId="47" borderId="152" xfId="0" applyFont="1" applyFill="1" applyBorder="1">
      <alignment horizontal="center" vertical="center"/>
    </xf>
    <xf numFmtId="0" fontId="7" fillId="0" borderId="151" xfId="0" applyFont="1" applyBorder="1" applyAlignment="1">
      <alignment horizontal="left"/>
    </xf>
    <xf numFmtId="0" fontId="7" fillId="0" borderId="152" xfId="0" applyFont="1" applyBorder="1" applyAlignment="1">
      <alignment horizontal="left"/>
    </xf>
    <xf numFmtId="0" fontId="7" fillId="0" borderId="152" xfId="0" applyFont="1" applyBorder="1">
      <alignment horizontal="center" vertical="center"/>
    </xf>
    <xf numFmtId="0" fontId="7" fillId="0" borderId="159" xfId="0" applyFont="1" applyBorder="1">
      <alignment horizontal="center" vertical="center"/>
    </xf>
    <xf numFmtId="0" fontId="7" fillId="48" borderId="151" xfId="0" applyFont="1" applyFill="1" applyBorder="1" applyAlignment="1">
      <alignment horizontal="left" vertical="center"/>
    </xf>
    <xf numFmtId="0" fontId="7" fillId="48" borderId="152" xfId="0" applyFont="1" applyFill="1" applyBorder="1">
      <alignment horizontal="center" vertical="center"/>
    </xf>
    <xf numFmtId="0" fontId="7" fillId="48" borderId="159" xfId="0" applyFont="1" applyFill="1" applyBorder="1">
      <alignment horizontal="center" vertical="center"/>
    </xf>
    <xf numFmtId="0" fontId="4" fillId="0" borderId="151" xfId="0" applyFont="1" applyBorder="1" applyAlignment="1">
      <alignment horizontal="left" vertical="center"/>
    </xf>
    <xf numFmtId="0" fontId="0" fillId="0" borderId="159" xfId="0" applyBorder="1">
      <alignment horizontal="center" vertical="center"/>
    </xf>
    <xf numFmtId="0" fontId="0" fillId="0" borderId="160" xfId="0" applyBorder="1">
      <alignment horizontal="center" vertical="center"/>
    </xf>
    <xf numFmtId="0" fontId="4" fillId="0" borderId="152" xfId="0" applyFont="1" applyBorder="1" applyAlignment="1">
      <alignment horizontal="left" vertical="center"/>
    </xf>
    <xf numFmtId="0" fontId="0" fillId="0" borderId="162" xfId="0" applyBorder="1">
      <alignment horizontal="center" vertical="center"/>
    </xf>
    <xf numFmtId="0" fontId="14" fillId="0" borderId="158" xfId="0" applyFont="1" applyBorder="1">
      <alignment horizontal="center" vertical="center"/>
    </xf>
    <xf numFmtId="0" fontId="4" fillId="0" borderId="151" xfId="0" applyFont="1" applyBorder="1">
      <alignment horizontal="center" vertical="center"/>
    </xf>
    <xf numFmtId="0" fontId="0" fillId="0" borderId="119" xfId="0" applyBorder="1" applyAlignment="1" applyProtection="1">
      <alignment horizontal="center"/>
      <protection locked="0"/>
    </xf>
    <xf numFmtId="0" fontId="6" fillId="51" borderId="119" xfId="0" applyFont="1" applyFill="1" applyBorder="1">
      <alignment horizontal="center" vertical="center"/>
    </xf>
    <xf numFmtId="0" fontId="0" fillId="71" borderId="119" xfId="0" applyFill="1" applyBorder="1">
      <alignment horizontal="center" vertical="center"/>
    </xf>
    <xf numFmtId="0" fontId="0" fillId="51" borderId="119" xfId="0" applyFill="1" applyBorder="1">
      <alignment horizontal="center" vertical="center"/>
    </xf>
    <xf numFmtId="0" fontId="0" fillId="51" borderId="103" xfId="0" applyFill="1" applyBorder="1">
      <alignment horizontal="center" vertical="center"/>
    </xf>
    <xf numFmtId="0" fontId="6" fillId="0" borderId="148" xfId="0" applyFont="1" applyBorder="1">
      <alignment horizontal="center" vertical="center"/>
    </xf>
    <xf numFmtId="0" fontId="0" fillId="51" borderId="163" xfId="0" applyFill="1" applyBorder="1" applyProtection="1">
      <alignment horizontal="center" vertical="center"/>
      <protection locked="0"/>
    </xf>
    <xf numFmtId="0" fontId="0" fillId="51" borderId="148" xfId="43" applyFont="1" applyFill="1" applyBorder="1">
      <alignment horizontal="center" vertical="center"/>
    </xf>
    <xf numFmtId="0" fontId="0" fillId="51" borderId="148" xfId="0" applyFill="1" applyBorder="1">
      <alignment horizontal="center" vertical="center"/>
    </xf>
    <xf numFmtId="0" fontId="7" fillId="55" borderId="148" xfId="45" applyBorder="1">
      <alignment horizontal="center" vertical="center"/>
    </xf>
    <xf numFmtId="0" fontId="0" fillId="51" borderId="148" xfId="32" applyFont="1" applyFill="1" applyBorder="1" applyAlignment="1">
      <alignment horizontal="center" vertical="center"/>
    </xf>
    <xf numFmtId="0" fontId="0" fillId="52" borderId="148" xfId="44" applyFont="1" applyFill="1" applyBorder="1">
      <alignment horizontal="center" vertical="center"/>
    </xf>
    <xf numFmtId="0" fontId="4" fillId="24" borderId="147" xfId="0" applyFont="1" applyFill="1" applyBorder="1" applyAlignment="1">
      <alignment horizontal="left" vertical="center"/>
    </xf>
    <xf numFmtId="0" fontId="0" fillId="24" borderId="147" xfId="0" applyFill="1" applyBorder="1">
      <alignment horizontal="center" vertical="center"/>
    </xf>
    <xf numFmtId="0" fontId="0" fillId="24" borderId="145" xfId="0" applyFill="1" applyBorder="1">
      <alignment horizontal="center" vertical="center"/>
    </xf>
    <xf numFmtId="0" fontId="0" fillId="43" borderId="147" xfId="0" applyFill="1" applyBorder="1" applyAlignment="1" applyProtection="1">
      <alignment horizontal="center"/>
      <protection locked="0"/>
    </xf>
    <xf numFmtId="0" fontId="0" fillId="51" borderId="147" xfId="43" applyFont="1" applyFill="1" applyBorder="1">
      <alignment horizontal="center" vertical="center"/>
    </xf>
    <xf numFmtId="0" fontId="0" fillId="55" borderId="147" xfId="43" applyFont="1" applyFill="1" applyBorder="1">
      <alignment horizontal="center" vertical="center"/>
    </xf>
    <xf numFmtId="1" fontId="0" fillId="51" borderId="147" xfId="0" applyNumberFormat="1" applyFill="1" applyBorder="1">
      <alignment horizontal="center" vertical="center"/>
    </xf>
    <xf numFmtId="1" fontId="0" fillId="51" borderId="147" xfId="32" applyNumberFormat="1" applyFont="1" applyFill="1" applyBorder="1" applyAlignment="1">
      <alignment horizontal="center" vertical="center"/>
    </xf>
    <xf numFmtId="0" fontId="7" fillId="55" borderId="147" xfId="45" applyBorder="1">
      <alignment horizontal="center" vertical="center"/>
    </xf>
    <xf numFmtId="0" fontId="0" fillId="51" borderId="147" xfId="0" applyFill="1" applyBorder="1">
      <alignment horizontal="center" vertical="center"/>
    </xf>
    <xf numFmtId="0" fontId="0" fillId="51" borderId="147" xfId="44" applyFont="1" applyFill="1" applyBorder="1">
      <alignment horizontal="center" vertical="center"/>
    </xf>
    <xf numFmtId="0" fontId="0" fillId="51" borderId="147" xfId="46" applyFont="1" applyFill="1" applyBorder="1">
      <alignment horizontal="center" vertical="center"/>
    </xf>
    <xf numFmtId="1" fontId="0" fillId="55" borderId="147" xfId="0" applyNumberFormat="1" applyFill="1" applyBorder="1">
      <alignment horizontal="center" vertical="center"/>
    </xf>
    <xf numFmtId="1" fontId="0" fillId="51" borderId="145" xfId="0" applyNumberFormat="1" applyFill="1" applyBorder="1">
      <alignment horizontal="center" vertical="center"/>
    </xf>
    <xf numFmtId="0" fontId="0" fillId="0" borderId="147" xfId="0" applyBorder="1" applyAlignment="1">
      <alignment horizontal="left" vertical="center"/>
    </xf>
    <xf numFmtId="0" fontId="7" fillId="53" borderId="147" xfId="43" applyBorder="1">
      <alignment horizontal="center" vertical="center"/>
    </xf>
    <xf numFmtId="0" fontId="0" fillId="53" borderId="147" xfId="44" applyFont="1" applyFill="1" applyBorder="1">
      <alignment horizontal="center" vertical="center"/>
    </xf>
    <xf numFmtId="44" fontId="0" fillId="51" borderId="147" xfId="56" applyFont="1" applyFill="1" applyBorder="1" applyAlignment="1">
      <alignment horizontal="center" vertical="center"/>
    </xf>
    <xf numFmtId="0" fontId="6" fillId="0" borderId="147" xfId="0" applyFont="1" applyBorder="1" applyAlignment="1">
      <alignment horizontal="left" vertical="center"/>
    </xf>
    <xf numFmtId="1" fontId="0" fillId="53" borderId="147" xfId="0" applyNumberFormat="1" applyFill="1" applyBorder="1">
      <alignment horizontal="center" vertical="center"/>
    </xf>
    <xf numFmtId="0" fontId="0" fillId="53" borderId="147" xfId="43" applyFont="1" applyBorder="1">
      <alignment horizontal="center" vertical="center"/>
    </xf>
    <xf numFmtId="1" fontId="0" fillId="53" borderId="145" xfId="0" applyNumberFormat="1" applyFill="1" applyBorder="1">
      <alignment horizontal="center" vertical="center"/>
    </xf>
    <xf numFmtId="0" fontId="0" fillId="51" borderId="147" xfId="49" applyFont="1" applyFill="1" applyBorder="1">
      <alignment horizontal="center" vertical="center"/>
    </xf>
    <xf numFmtId="0" fontId="0" fillId="51" borderId="147" xfId="48" applyFont="1" applyFill="1" applyBorder="1">
      <alignment horizontal="center" vertical="center"/>
    </xf>
    <xf numFmtId="1" fontId="0" fillId="51" borderId="147" xfId="44" applyNumberFormat="1" applyFont="1" applyFill="1" applyBorder="1">
      <alignment horizontal="center" vertical="center"/>
    </xf>
    <xf numFmtId="0" fontId="4" fillId="24" borderId="119" xfId="0" applyFont="1" applyFill="1" applyBorder="1" applyAlignment="1" applyProtection="1">
      <alignment horizontal="left"/>
      <protection locked="0"/>
    </xf>
    <xf numFmtId="0" fontId="4" fillId="24" borderId="119" xfId="0" applyFont="1" applyFill="1" applyBorder="1">
      <alignment horizontal="center" vertical="center"/>
    </xf>
    <xf numFmtId="1" fontId="0" fillId="24" borderId="119" xfId="0" applyNumberFormat="1" applyFill="1" applyBorder="1">
      <alignment horizontal="center" vertical="center"/>
    </xf>
    <xf numFmtId="0" fontId="0" fillId="24" borderId="103" xfId="0" applyFill="1" applyBorder="1">
      <alignment horizontal="center" vertical="center"/>
    </xf>
    <xf numFmtId="0" fontId="0" fillId="43" borderId="164" xfId="0" applyFill="1" applyBorder="1" applyAlignment="1" applyProtection="1">
      <alignment horizontal="center"/>
      <protection locked="0"/>
    </xf>
    <xf numFmtId="0" fontId="0" fillId="0" borderId="164" xfId="0" applyBorder="1" applyAlignment="1">
      <alignment horizontal="left" vertical="center"/>
    </xf>
    <xf numFmtId="0" fontId="0" fillId="51" borderId="164" xfId="0" applyFill="1" applyBorder="1">
      <alignment horizontal="center" vertical="center"/>
    </xf>
    <xf numFmtId="0" fontId="0" fillId="51" borderId="164" xfId="32" applyFont="1" applyFill="1" applyBorder="1" applyAlignment="1">
      <alignment horizontal="center" vertical="center"/>
    </xf>
    <xf numFmtId="0" fontId="7" fillId="52" borderId="164" xfId="48" applyBorder="1">
      <alignment horizontal="center" vertical="center"/>
    </xf>
    <xf numFmtId="0" fontId="7" fillId="55" borderId="164" xfId="45" applyBorder="1">
      <alignment horizontal="center" vertical="center"/>
    </xf>
    <xf numFmtId="0" fontId="7" fillId="53" borderId="164" xfId="43" applyBorder="1">
      <alignment horizontal="center" vertical="center"/>
    </xf>
    <xf numFmtId="0" fontId="7" fillId="51" borderId="164" xfId="43" applyFill="1" applyBorder="1">
      <alignment horizontal="center" vertical="center"/>
    </xf>
    <xf numFmtId="0" fontId="0" fillId="55" borderId="164" xfId="0" applyFill="1" applyBorder="1">
      <alignment horizontal="center" vertical="center"/>
    </xf>
    <xf numFmtId="0" fontId="0" fillId="51" borderId="164" xfId="43" applyFont="1" applyFill="1" applyBorder="1">
      <alignment horizontal="center" vertical="center"/>
    </xf>
    <xf numFmtId="0" fontId="0" fillId="51" borderId="165" xfId="0" applyFill="1" applyBorder="1">
      <alignment horizontal="center" vertical="center"/>
    </xf>
    <xf numFmtId="0" fontId="0" fillId="0" borderId="102" xfId="0" applyBorder="1">
      <alignment horizontal="center" vertical="center"/>
    </xf>
    <xf numFmtId="173" fontId="0" fillId="0" borderId="102" xfId="0" applyNumberFormat="1" applyBorder="1">
      <alignment horizontal="center" vertical="center"/>
    </xf>
    <xf numFmtId="0" fontId="0" fillId="43" borderId="102" xfId="0" applyFill="1" applyBorder="1" applyAlignment="1" applyProtection="1">
      <alignment horizontal="center"/>
      <protection locked="0"/>
    </xf>
    <xf numFmtId="0" fontId="0" fillId="51" borderId="102" xfId="48" applyFont="1" applyFill="1" applyBorder="1">
      <alignment horizontal="center" vertical="center"/>
    </xf>
    <xf numFmtId="0" fontId="0" fillId="51" borderId="146" xfId="0" applyFill="1" applyBorder="1">
      <alignment horizontal="center" vertical="center"/>
    </xf>
    <xf numFmtId="0" fontId="0" fillId="57" borderId="102" xfId="43" applyFont="1" applyFill="1" applyBorder="1">
      <alignment horizontal="center" vertical="center"/>
    </xf>
    <xf numFmtId="49" fontId="0" fillId="51" borderId="102" xfId="0" applyNumberFormat="1" applyFill="1" applyBorder="1">
      <alignment horizontal="center" vertical="center"/>
    </xf>
    <xf numFmtId="1" fontId="0" fillId="57" borderId="147" xfId="0" applyNumberFormat="1" applyFill="1" applyBorder="1">
      <alignment horizontal="center" vertical="center"/>
    </xf>
    <xf numFmtId="0" fontId="0" fillId="57" borderId="147" xfId="43" applyFont="1" applyFill="1" applyBorder="1">
      <alignment horizontal="center" vertical="center"/>
    </xf>
    <xf numFmtId="0" fontId="0" fillId="55" borderId="102" xfId="48" applyFont="1" applyFill="1" applyBorder="1">
      <alignment horizontal="center" vertical="center"/>
    </xf>
    <xf numFmtId="0" fontId="0" fillId="72" borderId="102" xfId="0" applyFill="1" applyBorder="1">
      <alignment horizontal="center" vertical="center"/>
    </xf>
    <xf numFmtId="0" fontId="0" fillId="51" borderId="101" xfId="48" applyFont="1" applyFill="1" applyBorder="1">
      <alignment horizontal="center" vertical="center"/>
    </xf>
    <xf numFmtId="0" fontId="7" fillId="54" borderId="102" xfId="50" applyBorder="1">
      <alignment horizontal="center" vertical="center"/>
    </xf>
    <xf numFmtId="0" fontId="52" fillId="56" borderId="102" xfId="46" applyBorder="1">
      <alignment horizontal="center" vertical="center"/>
    </xf>
    <xf numFmtId="0" fontId="7" fillId="52" borderId="102" xfId="48" applyBorder="1">
      <alignment horizontal="center" vertical="center"/>
    </xf>
    <xf numFmtId="0" fontId="7" fillId="52" borderId="166" xfId="48" applyBorder="1">
      <alignment horizontal="center" vertical="center"/>
    </xf>
    <xf numFmtId="0" fontId="0" fillId="43" borderId="167" xfId="0" applyFill="1" applyBorder="1" applyAlignment="1" applyProtection="1">
      <alignment horizontal="center"/>
      <protection locked="0"/>
    </xf>
    <xf numFmtId="0" fontId="0" fillId="0" borderId="167" xfId="0" applyBorder="1" applyAlignment="1">
      <alignment vertical="center"/>
    </xf>
    <xf numFmtId="0" fontId="0" fillId="51" borderId="167" xfId="0" applyFill="1" applyBorder="1">
      <alignment horizontal="center" vertical="center"/>
    </xf>
    <xf numFmtId="0" fontId="0" fillId="51" borderId="167" xfId="48" applyFont="1" applyFill="1" applyBorder="1">
      <alignment horizontal="center" vertical="center"/>
    </xf>
    <xf numFmtId="0" fontId="0" fillId="51" borderId="167" xfId="44" applyFont="1" applyFill="1" applyBorder="1">
      <alignment horizontal="center" vertical="center"/>
    </xf>
    <xf numFmtId="0" fontId="0" fillId="72" borderId="167" xfId="0" applyFill="1" applyBorder="1">
      <alignment horizontal="center" vertical="center"/>
    </xf>
    <xf numFmtId="0" fontId="0" fillId="51" borderId="168" xfId="0" applyFill="1" applyBorder="1">
      <alignment horizontal="center" vertical="center"/>
    </xf>
    <xf numFmtId="49" fontId="0" fillId="51" borderId="147" xfId="0" applyNumberFormat="1" applyFill="1" applyBorder="1">
      <alignment horizontal="center" vertical="center"/>
    </xf>
    <xf numFmtId="0" fontId="4" fillId="0" borderId="169" xfId="0" applyFont="1" applyBorder="1" applyAlignment="1">
      <alignment horizontal="left" vertical="center"/>
    </xf>
    <xf numFmtId="0" fontId="0" fillId="0" borderId="170" xfId="0" applyBorder="1" applyAlignment="1">
      <alignment horizontal="left"/>
    </xf>
    <xf numFmtId="0" fontId="4" fillId="0" borderId="171" xfId="0" applyFont="1" applyBorder="1" applyAlignment="1">
      <alignment vertical="center"/>
    </xf>
    <xf numFmtId="0" fontId="0" fillId="0" borderId="170" xfId="0" applyBorder="1">
      <alignment horizontal="center" vertical="center"/>
    </xf>
    <xf numFmtId="0" fontId="4" fillId="0" borderId="172" xfId="0" applyFont="1" applyBorder="1" applyAlignment="1">
      <alignment horizontal="left" vertical="center"/>
    </xf>
    <xf numFmtId="0" fontId="4" fillId="0" borderId="172" xfId="0" applyFont="1" applyBorder="1" applyAlignment="1">
      <alignment horizontal="left"/>
    </xf>
    <xf numFmtId="0" fontId="4" fillId="0" borderId="173" xfId="0" applyFont="1" applyBorder="1" applyAlignment="1">
      <alignment vertical="center"/>
    </xf>
    <xf numFmtId="0" fontId="0" fillId="0" borderId="173" xfId="0" applyBorder="1">
      <alignment horizontal="center" vertical="center"/>
    </xf>
    <xf numFmtId="0" fontId="0" fillId="0" borderId="175" xfId="0" applyBorder="1">
      <alignment horizontal="center" vertical="center"/>
    </xf>
    <xf numFmtId="0" fontId="4" fillId="0" borderId="153" xfId="0" applyFont="1" applyBorder="1" applyAlignment="1">
      <alignment horizontal="left" vertical="center"/>
    </xf>
    <xf numFmtId="0" fontId="4" fillId="0" borderId="151" xfId="0" applyFont="1" applyBorder="1" applyAlignment="1">
      <alignment vertical="center"/>
    </xf>
    <xf numFmtId="0" fontId="14" fillId="0" borderId="152" xfId="0" applyFont="1" applyBorder="1">
      <alignment horizontal="center" vertical="center"/>
    </xf>
    <xf numFmtId="0" fontId="4" fillId="0" borderId="158" xfId="0" applyFont="1" applyBorder="1" applyAlignment="1">
      <alignment horizontal="left" vertical="center"/>
    </xf>
    <xf numFmtId="0" fontId="14" fillId="0" borderId="155" xfId="0" applyFont="1" applyBorder="1">
      <alignment horizontal="center" vertical="center"/>
    </xf>
    <xf numFmtId="0" fontId="4" fillId="0" borderId="155" xfId="0" applyFont="1" applyBorder="1">
      <alignment horizontal="center" vertical="center"/>
    </xf>
    <xf numFmtId="0" fontId="4" fillId="0" borderId="140" xfId="0" applyFont="1" applyBorder="1" applyAlignment="1">
      <alignment horizontal="left" vertical="center"/>
    </xf>
    <xf numFmtId="0" fontId="0" fillId="0" borderId="151" xfId="0" applyBorder="1" applyAlignment="1">
      <alignment vertical="center"/>
    </xf>
    <xf numFmtId="0" fontId="0" fillId="0" borderId="152" xfId="0" applyBorder="1" applyAlignment="1">
      <alignment horizontal="left" vertical="center"/>
    </xf>
    <xf numFmtId="0" fontId="0" fillId="0" borderId="143" xfId="0" applyBorder="1">
      <alignment horizontal="center" vertical="center"/>
    </xf>
    <xf numFmtId="0" fontId="0" fillId="0" borderId="129" xfId="0" applyBorder="1" applyAlignment="1">
      <alignment vertical="center"/>
    </xf>
    <xf numFmtId="0" fontId="0" fillId="0" borderId="131" xfId="0" applyBorder="1">
      <alignment horizontal="center" vertical="center"/>
    </xf>
    <xf numFmtId="0" fontId="4" fillId="0" borderId="129" xfId="0" applyFont="1" applyBorder="1">
      <alignment horizontal="center" vertical="center"/>
    </xf>
    <xf numFmtId="0" fontId="0" fillId="0" borderId="130" xfId="0" applyBorder="1" applyAlignment="1">
      <alignment horizontal="left" vertical="center"/>
    </xf>
    <xf numFmtId="0" fontId="14" fillId="0" borderId="130" xfId="0" applyFont="1" applyBorder="1">
      <alignment horizontal="center" vertical="center"/>
    </xf>
    <xf numFmtId="0" fontId="4" fillId="0" borderId="130" xfId="0" applyFont="1" applyBorder="1" applyAlignment="1">
      <alignment horizontal="left" vertical="center"/>
    </xf>
    <xf numFmtId="0" fontId="0" fillId="0" borderId="161" xfId="0" applyBorder="1">
      <alignment horizontal="center" vertical="center"/>
    </xf>
    <xf numFmtId="0" fontId="0" fillId="0" borderId="154" xfId="0" applyBorder="1" applyAlignment="1" applyProtection="1">
      <alignment horizontal="center"/>
      <protection locked="0"/>
    </xf>
    <xf numFmtId="0" fontId="0" fillId="24" borderId="176" xfId="0" applyFill="1" applyBorder="1" applyAlignment="1" applyProtection="1">
      <alignment horizontal="center"/>
      <protection locked="0"/>
    </xf>
    <xf numFmtId="0" fontId="0" fillId="0" borderId="163" xfId="0" applyBorder="1" applyAlignment="1">
      <alignment horizontal="left" vertical="center"/>
    </xf>
    <xf numFmtId="49" fontId="0" fillId="55" borderId="163" xfId="0" applyNumberFormat="1" applyFill="1" applyBorder="1">
      <alignment horizontal="center" vertical="center"/>
    </xf>
    <xf numFmtId="0" fontId="0" fillId="51" borderId="163" xfId="0" applyFill="1" applyBorder="1">
      <alignment horizontal="center" vertical="center"/>
    </xf>
    <xf numFmtId="49" fontId="0" fillId="51" borderId="163" xfId="0" applyNumberFormat="1" applyFill="1" applyBorder="1">
      <alignment horizontal="center" vertical="center"/>
    </xf>
    <xf numFmtId="0" fontId="0" fillId="51" borderId="163" xfId="44" applyFont="1" applyFill="1" applyBorder="1">
      <alignment horizontal="center" vertical="center"/>
    </xf>
    <xf numFmtId="0" fontId="0" fillId="55" borderId="163" xfId="44" applyFont="1" applyFill="1" applyBorder="1">
      <alignment horizontal="center" vertical="center"/>
    </xf>
    <xf numFmtId="49" fontId="0" fillId="51" borderId="177" xfId="0" applyNumberFormat="1" applyFill="1" applyBorder="1">
      <alignment horizontal="center" vertical="center"/>
    </xf>
    <xf numFmtId="0" fontId="0" fillId="43" borderId="157" xfId="0" applyFill="1" applyBorder="1" applyAlignment="1" applyProtection="1">
      <alignment horizontal="center"/>
      <protection locked="0"/>
    </xf>
    <xf numFmtId="0" fontId="0" fillId="0" borderId="119" xfId="0" applyBorder="1" applyAlignment="1">
      <alignment horizontal="left" vertical="center"/>
    </xf>
    <xf numFmtId="0" fontId="7" fillId="53" borderId="119" xfId="43" applyBorder="1">
      <alignment horizontal="center" vertical="center"/>
    </xf>
    <xf numFmtId="0" fontId="0" fillId="51" borderId="119" xfId="48" applyFont="1" applyFill="1" applyBorder="1">
      <alignment horizontal="center" vertical="center"/>
    </xf>
    <xf numFmtId="49" fontId="0" fillId="51" borderId="119" xfId="0" applyNumberFormat="1" applyFill="1" applyBorder="1">
      <alignment horizontal="center" vertical="center"/>
    </xf>
    <xf numFmtId="0" fontId="0" fillId="53" borderId="119" xfId="0" applyFill="1" applyBorder="1">
      <alignment horizontal="center" vertical="center"/>
    </xf>
    <xf numFmtId="0" fontId="0" fillId="51" borderId="119" xfId="43" applyFont="1" applyFill="1" applyBorder="1">
      <alignment horizontal="center" vertical="center"/>
    </xf>
    <xf numFmtId="0" fontId="7" fillId="52" borderId="119" xfId="48" applyBorder="1">
      <alignment horizontal="center" vertical="center"/>
    </xf>
    <xf numFmtId="0" fontId="7" fillId="52" borderId="103" xfId="48" applyBorder="1">
      <alignment horizontal="center" vertical="center"/>
    </xf>
    <xf numFmtId="0" fontId="0" fillId="51" borderId="163" xfId="48" applyFont="1" applyFill="1" applyBorder="1">
      <alignment horizontal="center" vertical="center"/>
    </xf>
    <xf numFmtId="49" fontId="0" fillId="53" borderId="163" xfId="0" applyNumberFormat="1" applyFill="1" applyBorder="1">
      <alignment horizontal="center" vertical="center"/>
    </xf>
    <xf numFmtId="0" fontId="0" fillId="56" borderId="163" xfId="44" applyFont="1" applyFill="1" applyBorder="1">
      <alignment horizontal="center" vertical="center"/>
    </xf>
    <xf numFmtId="0" fontId="0" fillId="51" borderId="147" xfId="45" applyFont="1" applyFill="1" applyBorder="1">
      <alignment horizontal="center" vertical="center"/>
    </xf>
    <xf numFmtId="49" fontId="0" fillId="51" borderId="145" xfId="0" applyNumberFormat="1" applyFill="1" applyBorder="1">
      <alignment horizontal="center" vertical="center"/>
    </xf>
    <xf numFmtId="0" fontId="7" fillId="0" borderId="119" xfId="53" applyBorder="1">
      <alignment horizontal="center" vertical="center"/>
    </xf>
    <xf numFmtId="0" fontId="0" fillId="55" borderId="119" xfId="0" applyFill="1" applyBorder="1">
      <alignment horizontal="center" vertical="center"/>
    </xf>
    <xf numFmtId="0" fontId="7" fillId="55" borderId="119" xfId="45" applyBorder="1">
      <alignment horizontal="center" vertical="center"/>
    </xf>
    <xf numFmtId="0" fontId="0" fillId="51" borderId="163" xfId="0" applyFill="1" applyBorder="1" applyAlignment="1">
      <alignment horizontal="left" vertical="center" wrapText="1"/>
    </xf>
    <xf numFmtId="49" fontId="0" fillId="72" borderId="163" xfId="0" applyNumberFormat="1" applyFill="1" applyBorder="1">
      <alignment horizontal="center" vertical="center"/>
    </xf>
    <xf numFmtId="0" fontId="0" fillId="72" borderId="163" xfId="44" applyFont="1" applyFill="1" applyBorder="1">
      <alignment horizontal="center" vertical="center"/>
    </xf>
    <xf numFmtId="1" fontId="0" fillId="51" borderId="163" xfId="32" applyNumberFormat="1" applyFont="1" applyFill="1" applyBorder="1" applyAlignment="1">
      <alignment horizontal="center" vertical="center"/>
    </xf>
    <xf numFmtId="0" fontId="0" fillId="72" borderId="147" xfId="46" applyFont="1" applyFill="1" applyBorder="1">
      <alignment horizontal="center" vertical="center"/>
    </xf>
    <xf numFmtId="0" fontId="0" fillId="55" borderId="147" xfId="48" applyFont="1" applyFill="1" applyBorder="1">
      <alignment horizontal="center" vertical="center"/>
    </xf>
    <xf numFmtId="49" fontId="0" fillId="55" borderId="147" xfId="0" applyNumberFormat="1" applyFill="1" applyBorder="1">
      <alignment horizontal="center" vertical="center"/>
    </xf>
    <xf numFmtId="0" fontId="7" fillId="52" borderId="147" xfId="48" applyBorder="1">
      <alignment horizontal="center" vertical="center"/>
    </xf>
    <xf numFmtId="0" fontId="7" fillId="52" borderId="145" xfId="48" applyBorder="1">
      <alignment horizontal="center" vertical="center"/>
    </xf>
    <xf numFmtId="0" fontId="0" fillId="51" borderId="119" xfId="44" applyFont="1" applyFill="1" applyBorder="1">
      <alignment horizontal="center" vertical="center"/>
    </xf>
    <xf numFmtId="49" fontId="0" fillId="53" borderId="119" xfId="0" applyNumberFormat="1" applyFill="1" applyBorder="1">
      <alignment horizontal="center" vertical="center"/>
    </xf>
    <xf numFmtId="0" fontId="7" fillId="53" borderId="103" xfId="43" applyBorder="1">
      <alignment horizontal="center" vertical="center"/>
    </xf>
    <xf numFmtId="0" fontId="0" fillId="0" borderId="102" xfId="0" applyBorder="1" applyAlignment="1">
      <alignment vertical="center"/>
    </xf>
    <xf numFmtId="0" fontId="0" fillId="55" borderId="163" xfId="0" applyFill="1" applyBorder="1">
      <alignment horizontal="center" vertical="center"/>
    </xf>
    <xf numFmtId="0" fontId="7" fillId="55" borderId="177" xfId="45" applyBorder="1">
      <alignment horizontal="center" vertical="center"/>
    </xf>
    <xf numFmtId="0" fontId="7" fillId="52" borderId="147" xfId="43" applyFill="1" applyBorder="1">
      <alignment horizontal="center" vertical="center"/>
    </xf>
    <xf numFmtId="49" fontId="0" fillId="55" borderId="119" xfId="0" applyNumberFormat="1" applyFill="1" applyBorder="1">
      <alignment horizontal="center" vertical="center"/>
    </xf>
    <xf numFmtId="49" fontId="0" fillId="54" borderId="163" xfId="0" applyNumberFormat="1" applyFill="1" applyBorder="1">
      <alignment horizontal="center" vertical="center"/>
    </xf>
    <xf numFmtId="0" fontId="0" fillId="54" borderId="163" xfId="44" applyFont="1" applyFill="1" applyBorder="1">
      <alignment horizontal="center" vertical="center"/>
    </xf>
    <xf numFmtId="0" fontId="0" fillId="51" borderId="163" xfId="46" applyFont="1" applyFill="1" applyBorder="1">
      <alignment horizontal="center" vertical="center"/>
    </xf>
    <xf numFmtId="0" fontId="0" fillId="51" borderId="177" xfId="0" applyFill="1" applyBorder="1">
      <alignment horizontal="center" vertical="center"/>
    </xf>
    <xf numFmtId="0" fontId="6" fillId="0" borderId="147" xfId="0" applyFont="1" applyBorder="1" applyAlignment="1">
      <alignment horizontal="left"/>
    </xf>
    <xf numFmtId="0" fontId="7" fillId="0" borderId="151" xfId="0" applyFont="1" applyBorder="1">
      <alignment horizontal="center" vertical="center"/>
    </xf>
    <xf numFmtId="0" fontId="0" fillId="43" borderId="151" xfId="0" applyFill="1" applyBorder="1" applyAlignment="1" applyProtection="1">
      <alignment horizontal="center"/>
      <protection locked="0"/>
    </xf>
    <xf numFmtId="0" fontId="0" fillId="0" borderId="152" xfId="0" applyBorder="1" applyAlignment="1">
      <alignment horizontal="left"/>
    </xf>
    <xf numFmtId="0" fontId="0" fillId="0" borderId="158" xfId="0" applyBorder="1" applyAlignment="1">
      <alignment horizontal="left"/>
    </xf>
    <xf numFmtId="0" fontId="0" fillId="0" borderId="155" xfId="0" applyBorder="1" applyAlignment="1">
      <alignment horizontal="left"/>
    </xf>
    <xf numFmtId="0" fontId="7" fillId="0" borderId="155" xfId="0" applyFont="1" applyBorder="1" applyAlignment="1">
      <alignment horizontal="left"/>
    </xf>
    <xf numFmtId="0" fontId="7" fillId="0" borderId="159" xfId="0" applyFont="1" applyBorder="1" applyAlignment="1">
      <alignment horizontal="left"/>
    </xf>
    <xf numFmtId="0" fontId="6" fillId="0" borderId="151" xfId="0" applyFont="1" applyBorder="1" applyAlignment="1">
      <alignment horizontal="left"/>
    </xf>
    <xf numFmtId="0" fontId="22" fillId="0" borderId="147" xfId="0" applyFont="1" applyBorder="1" applyAlignment="1" applyProtection="1">
      <alignment horizontal="center"/>
      <protection locked="0"/>
    </xf>
    <xf numFmtId="0" fontId="0" fillId="0" borderId="118" xfId="0" applyBorder="1" applyAlignment="1">
      <alignment horizontal="left"/>
    </xf>
    <xf numFmtId="0" fontId="4" fillId="0" borderId="119" xfId="0" applyFont="1" applyBorder="1" applyAlignment="1" applyProtection="1">
      <alignment horizontal="center"/>
      <protection locked="0"/>
    </xf>
    <xf numFmtId="0" fontId="6" fillId="0" borderId="119" xfId="0" applyFont="1" applyBorder="1" applyAlignment="1">
      <alignment horizontal="center"/>
    </xf>
    <xf numFmtId="0" fontId="0" fillId="0" borderId="164" xfId="0" applyBorder="1" applyAlignment="1">
      <alignment vertical="center"/>
    </xf>
    <xf numFmtId="0" fontId="0" fillId="51" borderId="164" xfId="0" applyFill="1" applyBorder="1" applyAlignment="1" applyProtection="1">
      <alignment horizontal="left" vertical="center"/>
      <protection locked="0"/>
    </xf>
    <xf numFmtId="0" fontId="0" fillId="51" borderId="164" xfId="48" applyFont="1" applyFill="1" applyBorder="1">
      <alignment horizontal="center" vertical="center"/>
    </xf>
    <xf numFmtId="0" fontId="0" fillId="51" borderId="119" xfId="51" applyFont="1" applyFill="1" applyBorder="1">
      <alignment horizontal="center" vertical="center"/>
    </xf>
    <xf numFmtId="0" fontId="0" fillId="55" borderId="165" xfId="48" applyFont="1" applyFill="1" applyBorder="1">
      <alignment horizontal="center" vertical="center"/>
    </xf>
    <xf numFmtId="0" fontId="0" fillId="55" borderId="102" xfId="0" applyFill="1" applyBorder="1">
      <alignment horizontal="center" vertical="center"/>
    </xf>
    <xf numFmtId="0" fontId="0" fillId="55" borderId="102" xfId="43" applyFont="1" applyFill="1" applyBorder="1">
      <alignment horizontal="center" vertical="center"/>
    </xf>
    <xf numFmtId="0" fontId="0" fillId="55" borderId="163" xfId="20" applyFont="1" applyFill="1" applyBorder="1" applyAlignment="1">
      <alignment horizontal="center" vertical="center"/>
    </xf>
    <xf numFmtId="0" fontId="0" fillId="51" borderId="102" xfId="51" applyFont="1" applyFill="1" applyBorder="1">
      <alignment horizontal="center" vertical="center"/>
    </xf>
    <xf numFmtId="0" fontId="7" fillId="53" borderId="102" xfId="43" applyBorder="1">
      <alignment horizontal="center" vertical="center"/>
    </xf>
    <xf numFmtId="0" fontId="7" fillId="0" borderId="102" xfId="53" applyBorder="1">
      <alignment horizontal="center" vertical="center"/>
    </xf>
    <xf numFmtId="0" fontId="0" fillId="55" borderId="147" xfId="0" applyFill="1" applyBorder="1">
      <alignment horizontal="center" vertical="center"/>
    </xf>
    <xf numFmtId="0" fontId="0" fillId="52" borderId="147" xfId="43" applyFont="1" applyFill="1" applyBorder="1">
      <alignment horizontal="center" vertical="center"/>
    </xf>
    <xf numFmtId="0" fontId="7" fillId="52" borderId="101" xfId="48" applyBorder="1">
      <alignment horizontal="center" vertical="center"/>
    </xf>
    <xf numFmtId="0" fontId="0" fillId="57" borderId="102" xfId="48" applyFont="1" applyFill="1" applyBorder="1">
      <alignment horizontal="center" vertical="center"/>
    </xf>
    <xf numFmtId="0" fontId="0" fillId="55" borderId="147" xfId="44" applyFont="1" applyFill="1" applyBorder="1">
      <alignment horizontal="center" vertical="center"/>
    </xf>
    <xf numFmtId="0" fontId="0" fillId="57" borderId="101" xfId="48" applyFont="1" applyFill="1" applyBorder="1">
      <alignment horizontal="center" vertical="center"/>
    </xf>
    <xf numFmtId="0" fontId="0" fillId="51" borderId="147" xfId="20" applyFont="1" applyFill="1" applyBorder="1" applyAlignment="1">
      <alignment horizontal="center" vertical="center"/>
    </xf>
    <xf numFmtId="0" fontId="7" fillId="53" borderId="102" xfId="53" applyFill="1" applyBorder="1">
      <alignment horizontal="center" vertical="center"/>
    </xf>
    <xf numFmtId="1" fontId="0" fillId="51" borderId="102" xfId="32" applyNumberFormat="1" applyFont="1" applyFill="1" applyBorder="1" applyAlignment="1">
      <alignment horizontal="center" vertical="center"/>
    </xf>
    <xf numFmtId="0" fontId="0" fillId="51" borderId="102" xfId="44" applyFont="1" applyFill="1" applyBorder="1">
      <alignment horizontal="center" vertical="center"/>
    </xf>
    <xf numFmtId="1" fontId="0" fillId="51" borderId="101" xfId="32" applyNumberFormat="1" applyFont="1" applyFill="1" applyBorder="1" applyAlignment="1">
      <alignment horizontal="center" vertical="center"/>
    </xf>
    <xf numFmtId="0" fontId="19" fillId="0" borderId="102" xfId="0" applyFont="1" applyBorder="1" applyAlignment="1" applyProtection="1">
      <alignment horizontal="center"/>
      <protection locked="0"/>
    </xf>
    <xf numFmtId="49" fontId="0" fillId="51" borderId="101" xfId="0" applyNumberFormat="1" applyFill="1" applyBorder="1">
      <alignment horizontal="center" vertical="center"/>
    </xf>
    <xf numFmtId="0" fontId="19" fillId="0" borderId="167" xfId="0" applyFont="1" applyBorder="1" applyAlignment="1" applyProtection="1">
      <alignment horizontal="center"/>
      <protection locked="0"/>
    </xf>
    <xf numFmtId="0" fontId="0" fillId="51" borderId="102" xfId="46" applyFont="1" applyFill="1" applyBorder="1">
      <alignment horizontal="center" vertical="center"/>
    </xf>
    <xf numFmtId="0" fontId="4" fillId="0" borderId="154" xfId="0" applyFont="1" applyBorder="1" applyAlignment="1" applyProtection="1">
      <alignment horizontal="center"/>
      <protection locked="0"/>
    </xf>
    <xf numFmtId="0" fontId="4" fillId="0" borderId="163" xfId="0" applyFont="1" applyBorder="1" applyAlignment="1" applyProtection="1">
      <alignment horizontal="center"/>
      <protection locked="0"/>
    </xf>
    <xf numFmtId="0" fontId="4" fillId="0" borderId="147" xfId="0" applyFont="1" applyBorder="1" applyAlignment="1" applyProtection="1">
      <alignment horizontal="center"/>
      <protection locked="0"/>
    </xf>
    <xf numFmtId="0" fontId="21" fillId="51" borderId="163" xfId="0" applyFont="1" applyFill="1" applyBorder="1" applyAlignment="1">
      <alignment horizontal="left" vertical="center"/>
    </xf>
    <xf numFmtId="0" fontId="0" fillId="51" borderId="147" xfId="47" applyFont="1" applyFill="1" applyBorder="1">
      <alignment horizontal="center" vertical="center"/>
    </xf>
    <xf numFmtId="0" fontId="0" fillId="51" borderId="145" xfId="47" applyFont="1" applyFill="1" applyBorder="1">
      <alignment horizontal="center" vertical="center"/>
    </xf>
    <xf numFmtId="0" fontId="0" fillId="51" borderId="119" xfId="47" applyFont="1" applyFill="1" applyBorder="1">
      <alignment horizontal="center" vertical="center"/>
    </xf>
    <xf numFmtId="0" fontId="0" fillId="0" borderId="169" xfId="0" applyBorder="1">
      <alignment horizontal="center" vertical="center"/>
    </xf>
    <xf numFmtId="0" fontId="0" fillId="0" borderId="172" xfId="0" applyBorder="1">
      <alignment horizontal="center" vertical="center"/>
    </xf>
    <xf numFmtId="0" fontId="0" fillId="0" borderId="178" xfId="0" applyBorder="1">
      <alignment horizontal="center" vertical="center"/>
    </xf>
    <xf numFmtId="0" fontId="0" fillId="0" borderId="179" xfId="0" applyBorder="1">
      <alignment horizontal="center" vertical="center"/>
    </xf>
    <xf numFmtId="0" fontId="0" fillId="0" borderId="180" xfId="0" applyBorder="1">
      <alignment horizontal="center" vertical="center"/>
    </xf>
    <xf numFmtId="0" fontId="0" fillId="0" borderId="171" xfId="0" applyBorder="1" applyAlignment="1">
      <alignment horizontal="left" vertical="center"/>
    </xf>
    <xf numFmtId="0" fontId="0" fillId="0" borderId="174" xfId="0" applyBorder="1">
      <alignment horizontal="center" vertical="center"/>
    </xf>
    <xf numFmtId="0" fontId="0" fillId="0" borderId="173" xfId="0" applyBorder="1" applyAlignment="1">
      <alignment horizontal="left" vertical="center"/>
    </xf>
    <xf numFmtId="0" fontId="0" fillId="0" borderId="172" xfId="0" applyBorder="1" applyAlignment="1">
      <alignment horizontal="left" vertical="center"/>
    </xf>
    <xf numFmtId="0" fontId="0" fillId="0" borderId="170" xfId="0" applyBorder="1" applyAlignment="1">
      <alignment horizontal="left" vertical="center"/>
    </xf>
    <xf numFmtId="0" fontId="0" fillId="0" borderId="181" xfId="0" applyBorder="1">
      <alignment horizontal="center" vertical="center"/>
    </xf>
    <xf numFmtId="0" fontId="0" fillId="0" borderId="182" xfId="0" applyBorder="1">
      <alignment horizontal="center" vertical="center"/>
    </xf>
    <xf numFmtId="0" fontId="0" fillId="0" borderId="183" xfId="0" applyBorder="1">
      <alignment horizontal="center" vertical="center"/>
    </xf>
    <xf numFmtId="0" fontId="0" fillId="0" borderId="171" xfId="0" applyBorder="1">
      <alignment horizontal="center" vertical="center"/>
    </xf>
    <xf numFmtId="0" fontId="0" fillId="0" borderId="151" xfId="0" applyBorder="1" applyAlignment="1">
      <alignment horizontal="left" vertical="center"/>
    </xf>
    <xf numFmtId="0" fontId="0" fillId="0" borderId="99" xfId="0" applyBorder="1">
      <alignment horizontal="center" vertical="center"/>
    </xf>
    <xf numFmtId="0" fontId="0" fillId="0" borderId="129" xfId="0" applyBorder="1" applyAlignment="1">
      <alignment horizontal="left" vertical="center"/>
    </xf>
    <xf numFmtId="0" fontId="0" fillId="0" borderId="97" xfId="0" applyBorder="1">
      <alignment horizontal="center" vertical="center"/>
    </xf>
    <xf numFmtId="0" fontId="0" fillId="0" borderId="129" xfId="0" applyBorder="1">
      <alignment horizontal="center" vertical="center"/>
    </xf>
    <xf numFmtId="0" fontId="4" fillId="43" borderId="163" xfId="0" applyFont="1" applyFill="1" applyBorder="1" applyAlignment="1">
      <alignment horizontal="center"/>
    </xf>
    <xf numFmtId="0" fontId="0" fillId="0" borderId="163" xfId="0" applyBorder="1" applyAlignment="1">
      <alignment vertical="center"/>
    </xf>
    <xf numFmtId="0" fontId="0" fillId="51" borderId="163" xfId="20" applyNumberFormat="1" applyFont="1" applyFill="1" applyBorder="1" applyAlignment="1">
      <alignment horizontal="center" vertical="center"/>
    </xf>
    <xf numFmtId="0" fontId="4" fillId="43" borderId="147" xfId="0" applyFont="1" applyFill="1" applyBorder="1" applyAlignment="1">
      <alignment horizontal="center"/>
    </xf>
    <xf numFmtId="0" fontId="0" fillId="0" borderId="147" xfId="0" applyBorder="1" applyAlignment="1">
      <alignment vertical="center"/>
    </xf>
    <xf numFmtId="0" fontId="0" fillId="51" borderId="147" xfId="20" applyNumberFormat="1" applyFont="1" applyFill="1" applyBorder="1" applyAlignment="1">
      <alignment horizontal="center" vertical="center"/>
    </xf>
    <xf numFmtId="0" fontId="0" fillId="52" borderId="147" xfId="20" applyNumberFormat="1" applyFont="1" applyFill="1" applyBorder="1" applyAlignment="1">
      <alignment horizontal="center" vertical="center"/>
    </xf>
    <xf numFmtId="0" fontId="0" fillId="72" borderId="147" xfId="0" applyFill="1" applyBorder="1">
      <alignment horizontal="center" vertical="center"/>
    </xf>
    <xf numFmtId="0" fontId="7" fillId="51" borderId="147" xfId="43" applyFill="1" applyBorder="1">
      <alignment horizontal="center" vertical="center"/>
    </xf>
    <xf numFmtId="0" fontId="4" fillId="43" borderId="119" xfId="0" applyFont="1" applyFill="1" applyBorder="1" applyAlignment="1">
      <alignment horizontal="center"/>
    </xf>
    <xf numFmtId="0" fontId="0" fillId="0" borderId="119" xfId="0" applyBorder="1" applyAlignment="1">
      <alignment vertical="center"/>
    </xf>
    <xf numFmtId="0" fontId="4" fillId="0" borderId="169" xfId="0" applyFont="1" applyBorder="1" applyAlignment="1">
      <alignment horizontal="center"/>
    </xf>
    <xf numFmtId="0" fontId="4" fillId="0" borderId="171" xfId="0" applyFont="1" applyBorder="1" applyAlignment="1">
      <alignment horizontal="center"/>
    </xf>
    <xf numFmtId="0" fontId="4" fillId="0" borderId="174" xfId="0" applyFont="1" applyBorder="1" applyAlignment="1">
      <alignment horizontal="left"/>
    </xf>
    <xf numFmtId="0" fontId="6" fillId="0" borderId="171" xfId="0" applyFont="1" applyBorder="1" applyAlignment="1">
      <alignment horizontal="center"/>
    </xf>
    <xf numFmtId="0" fontId="0" fillId="0" borderId="171" xfId="0" applyBorder="1" applyAlignment="1">
      <alignment horizontal="center"/>
    </xf>
    <xf numFmtId="0" fontId="4" fillId="0" borderId="174" xfId="0" applyFont="1" applyBorder="1" applyAlignment="1">
      <alignment horizontal="center"/>
    </xf>
    <xf numFmtId="0" fontId="6" fillId="0" borderId="173" xfId="0" applyFont="1" applyBorder="1" applyAlignment="1">
      <alignment horizontal="center"/>
    </xf>
    <xf numFmtId="0" fontId="6" fillId="0" borderId="174" xfId="0" applyFont="1" applyBorder="1" applyAlignment="1">
      <alignment horizontal="center"/>
    </xf>
    <xf numFmtId="0" fontId="0" fillId="0" borderId="174" xfId="0" applyBorder="1" applyAlignment="1">
      <alignment horizontal="center"/>
    </xf>
    <xf numFmtId="0" fontId="7" fillId="0" borderId="173" xfId="0" applyFont="1" applyBorder="1" applyAlignment="1">
      <alignment horizontal="left" vertical="center"/>
    </xf>
    <xf numFmtId="0" fontId="6" fillId="0" borderId="173" xfId="0" applyFont="1" applyBorder="1">
      <alignment horizontal="center" vertical="center"/>
    </xf>
    <xf numFmtId="0" fontId="6" fillId="0" borderId="174" xfId="0" applyFont="1" applyBorder="1">
      <alignment horizontal="center" vertical="center"/>
    </xf>
    <xf numFmtId="0" fontId="6" fillId="0" borderId="170" xfId="0" applyFont="1" applyBorder="1">
      <alignment horizontal="center" vertical="center"/>
    </xf>
    <xf numFmtId="0" fontId="7" fillId="0" borderId="170" xfId="0" applyFont="1" applyBorder="1">
      <alignment horizontal="center" vertical="center"/>
    </xf>
    <xf numFmtId="0" fontId="7" fillId="0" borderId="179" xfId="0" applyFont="1" applyBorder="1">
      <alignment horizontal="center" vertical="center"/>
    </xf>
    <xf numFmtId="0" fontId="7" fillId="0" borderId="151" xfId="0" applyFont="1" applyBorder="1" applyAlignment="1">
      <alignment horizontal="left" vertical="center"/>
    </xf>
    <xf numFmtId="0" fontId="7" fillId="0" borderId="152" xfId="0" applyFont="1" applyBorder="1" applyAlignment="1">
      <alignment horizontal="left" vertical="center"/>
    </xf>
    <xf numFmtId="0" fontId="7" fillId="0" borderId="160" xfId="0" applyFont="1" applyBorder="1" applyAlignment="1">
      <alignment horizontal="left" vertical="center"/>
    </xf>
    <xf numFmtId="0" fontId="7" fillId="0" borderId="163" xfId="0" applyFont="1" applyBorder="1">
      <alignment horizontal="center" vertical="center"/>
    </xf>
    <xf numFmtId="0" fontId="7" fillId="0" borderId="163" xfId="0" applyFont="1" applyBorder="1" applyAlignment="1">
      <alignment horizontal="left" vertical="center"/>
    </xf>
    <xf numFmtId="0" fontId="7" fillId="55" borderId="163" xfId="45" applyBorder="1">
      <alignment horizontal="center" vertical="center"/>
    </xf>
    <xf numFmtId="0" fontId="0" fillId="52" borderId="163" xfId="0" applyFill="1" applyBorder="1">
      <alignment horizontal="center" vertical="center"/>
    </xf>
    <xf numFmtId="0" fontId="0" fillId="0" borderId="171" xfId="0" applyBorder="1" applyAlignment="1"/>
    <xf numFmtId="0" fontId="4" fillId="0" borderId="173" xfId="0" applyFont="1" applyBorder="1" applyAlignment="1">
      <alignment horizontal="left"/>
    </xf>
    <xf numFmtId="0" fontId="0" fillId="0" borderId="173" xfId="0" applyBorder="1" applyAlignment="1"/>
    <xf numFmtId="0" fontId="0" fillId="0" borderId="174" xfId="0" applyBorder="1" applyAlignment="1"/>
    <xf numFmtId="0" fontId="4" fillId="0" borderId="171" xfId="0" applyFont="1" applyBorder="1" applyAlignment="1">
      <alignment horizontal="left"/>
    </xf>
    <xf numFmtId="0" fontId="0" fillId="0" borderId="175" xfId="0" applyBorder="1" applyAlignment="1"/>
    <xf numFmtId="0" fontId="4" fillId="0" borderId="151" xfId="0" applyFont="1" applyBorder="1" applyAlignment="1">
      <alignment horizontal="left"/>
    </xf>
    <xf numFmtId="0" fontId="0" fillId="0" borderId="152" xfId="0" applyBorder="1" applyAlignment="1"/>
    <xf numFmtId="0" fontId="0" fillId="0" borderId="159" xfId="0" applyBorder="1" applyAlignment="1">
      <alignment horizontal="left"/>
    </xf>
    <xf numFmtId="0" fontId="4" fillId="0" borderId="152" xfId="0" applyFont="1" applyBorder="1" applyAlignment="1"/>
    <xf numFmtId="0" fontId="4" fillId="0" borderId="159" xfId="0" applyFont="1" applyBorder="1" applyAlignment="1">
      <alignment horizontal="left"/>
    </xf>
    <xf numFmtId="0" fontId="0" fillId="0" borderId="160" xfId="0" applyBorder="1" applyAlignment="1"/>
    <xf numFmtId="0" fontId="4" fillId="0" borderId="158" xfId="0" applyFont="1" applyBorder="1" applyAlignment="1">
      <alignment horizontal="left"/>
    </xf>
    <xf numFmtId="0" fontId="0" fillId="0" borderId="155" xfId="0" applyBorder="1" applyAlignment="1"/>
    <xf numFmtId="0" fontId="9" fillId="0" borderId="158" xfId="0" applyFont="1" applyBorder="1" applyAlignment="1">
      <alignment horizontal="center"/>
    </xf>
    <xf numFmtId="0" fontId="0" fillId="0" borderId="143" xfId="0" applyBorder="1" applyAlignment="1"/>
    <xf numFmtId="0" fontId="0" fillId="0" borderId="99" xfId="0" applyBorder="1" applyAlignment="1">
      <alignment horizontal="center"/>
    </xf>
    <xf numFmtId="0" fontId="4" fillId="0" borderId="129" xfId="0" applyFont="1" applyBorder="1" applyAlignment="1">
      <alignment horizontal="left"/>
    </xf>
    <xf numFmtId="0" fontId="7" fillId="0" borderId="130" xfId="0" applyFont="1" applyBorder="1" applyAlignment="1">
      <alignment horizontal="left" vertical="center"/>
    </xf>
    <xf numFmtId="0" fontId="7" fillId="0" borderId="131" xfId="0" applyFont="1" applyBorder="1">
      <alignment horizontal="center" vertical="center"/>
    </xf>
    <xf numFmtId="0" fontId="7" fillId="0" borderId="129" xfId="0" applyFont="1" applyBorder="1" applyAlignment="1">
      <alignment horizontal="left" vertical="center"/>
    </xf>
    <xf numFmtId="0" fontId="7" fillId="0" borderId="130" xfId="0" applyFont="1" applyBorder="1" applyAlignment="1">
      <alignment horizontal="left"/>
    </xf>
    <xf numFmtId="0" fontId="7" fillId="0" borderId="131" xfId="0" applyFont="1" applyBorder="1" applyAlignment="1">
      <alignment horizontal="left" vertical="center"/>
    </xf>
    <xf numFmtId="0" fontId="0" fillId="0" borderId="130" xfId="0" applyBorder="1" applyAlignment="1">
      <alignment horizontal="left"/>
    </xf>
    <xf numFmtId="0" fontId="0" fillId="0" borderId="161" xfId="0" applyBorder="1" applyAlignment="1"/>
    <xf numFmtId="0" fontId="0" fillId="51" borderId="163" xfId="0" applyFill="1" applyBorder="1" applyAlignment="1">
      <alignment horizontal="left" vertical="center"/>
    </xf>
    <xf numFmtId="0" fontId="7" fillId="52" borderId="163" xfId="48" applyBorder="1">
      <alignment horizontal="center" vertical="center"/>
    </xf>
    <xf numFmtId="0" fontId="7" fillId="52" borderId="177" xfId="48" applyBorder="1">
      <alignment horizontal="center" vertical="center"/>
    </xf>
    <xf numFmtId="0" fontId="0" fillId="51" borderId="147" xfId="0" applyFill="1" applyBorder="1" applyAlignment="1">
      <alignment horizontal="left" vertical="center"/>
    </xf>
    <xf numFmtId="0" fontId="0" fillId="72" borderId="147" xfId="43" applyFont="1" applyFill="1" applyBorder="1">
      <alignment horizontal="center" vertical="center"/>
    </xf>
    <xf numFmtId="0" fontId="0" fillId="51" borderId="145" xfId="48" applyFont="1" applyFill="1" applyBorder="1">
      <alignment horizontal="center" vertical="center"/>
    </xf>
    <xf numFmtId="0" fontId="0" fillId="55" borderId="147" xfId="51" applyFont="1" applyFill="1" applyBorder="1">
      <alignment horizontal="center" vertical="center"/>
    </xf>
    <xf numFmtId="0" fontId="0" fillId="51" borderId="147" xfId="51" applyFont="1" applyFill="1" applyBorder="1">
      <alignment horizontal="center" vertical="center"/>
    </xf>
    <xf numFmtId="0" fontId="0" fillId="72" borderId="147" xfId="48" applyFont="1" applyFill="1" applyBorder="1">
      <alignment horizontal="center" vertical="center"/>
    </xf>
    <xf numFmtId="0" fontId="0" fillId="58" borderId="147" xfId="51" applyFont="1" applyFill="1" applyBorder="1">
      <alignment horizontal="center" vertical="center"/>
    </xf>
    <xf numFmtId="0" fontId="0" fillId="51" borderId="145" xfId="51" applyFont="1" applyFill="1" applyBorder="1">
      <alignment horizontal="center" vertical="center"/>
    </xf>
    <xf numFmtId="0" fontId="0" fillId="51" borderId="119" xfId="0" applyFill="1" applyBorder="1" applyAlignment="1">
      <alignment horizontal="left" vertical="center"/>
    </xf>
    <xf numFmtId="0" fontId="0" fillId="55" borderId="119" xfId="47" applyFont="1" applyFill="1" applyBorder="1">
      <alignment horizontal="center" vertical="center"/>
    </xf>
    <xf numFmtId="0" fontId="0" fillId="72" borderId="119" xfId="47" applyFont="1" applyFill="1" applyBorder="1">
      <alignment horizontal="center" vertical="center"/>
    </xf>
    <xf numFmtId="0" fontId="0" fillId="51" borderId="103" xfId="48" applyFont="1" applyFill="1" applyBorder="1">
      <alignment horizontal="center" vertical="center"/>
    </xf>
    <xf numFmtId="0" fontId="4" fillId="43" borderId="184" xfId="0" applyFont="1" applyFill="1" applyBorder="1" applyAlignment="1">
      <alignment horizontal="center"/>
    </xf>
    <xf numFmtId="0" fontId="0" fillId="51" borderId="184" xfId="0" applyFill="1" applyBorder="1">
      <alignment horizontal="center" vertical="center"/>
    </xf>
    <xf numFmtId="0" fontId="0" fillId="51" borderId="184" xfId="44" applyFont="1" applyFill="1" applyBorder="1">
      <alignment horizontal="center" vertical="center"/>
    </xf>
    <xf numFmtId="49" fontId="0" fillId="51" borderId="184" xfId="0" applyNumberFormat="1" applyFill="1" applyBorder="1">
      <alignment horizontal="center" vertical="center"/>
    </xf>
    <xf numFmtId="0" fontId="7" fillId="52" borderId="184" xfId="48" applyBorder="1">
      <alignment horizontal="center" vertical="center"/>
    </xf>
    <xf numFmtId="0" fontId="7" fillId="52" borderId="185" xfId="48" applyBorder="1">
      <alignment horizontal="center" vertical="center"/>
    </xf>
    <xf numFmtId="0" fontId="4" fillId="43" borderId="102" xfId="0" applyFont="1" applyFill="1" applyBorder="1" applyAlignment="1">
      <alignment horizontal="center"/>
    </xf>
    <xf numFmtId="0" fontId="0" fillId="53" borderId="102" xfId="44" applyFont="1" applyFill="1" applyBorder="1">
      <alignment horizontal="center" vertical="center"/>
    </xf>
    <xf numFmtId="0" fontId="7" fillId="53" borderId="101" xfId="43" applyBorder="1">
      <alignment horizontal="center" vertical="center"/>
    </xf>
    <xf numFmtId="0" fontId="0" fillId="55" borderId="102" xfId="44" applyFont="1" applyFill="1" applyBorder="1">
      <alignment horizontal="center" vertical="center"/>
    </xf>
    <xf numFmtId="0" fontId="4" fillId="43" borderId="167" xfId="0" applyFont="1" applyFill="1" applyBorder="1" applyAlignment="1">
      <alignment horizontal="center"/>
    </xf>
    <xf numFmtId="0" fontId="0" fillId="0" borderId="167" xfId="0" applyBorder="1" applyAlignment="1">
      <alignment horizontal="left" vertical="center"/>
    </xf>
    <xf numFmtId="49" fontId="0" fillId="51" borderId="167" xfId="0" applyNumberFormat="1" applyFill="1" applyBorder="1">
      <alignment horizontal="center" vertical="center"/>
    </xf>
    <xf numFmtId="0" fontId="0" fillId="51" borderId="167" xfId="43" applyFont="1" applyFill="1" applyBorder="1">
      <alignment horizontal="center" vertical="center"/>
    </xf>
    <xf numFmtId="49" fontId="0" fillId="51" borderId="168" xfId="0" applyNumberFormat="1" applyFill="1" applyBorder="1">
      <alignment horizontal="center" vertical="center"/>
    </xf>
    <xf numFmtId="0" fontId="3" fillId="0" borderId="151" xfId="0" applyFont="1" applyBorder="1" applyAlignment="1">
      <alignment horizontal="left"/>
    </xf>
    <xf numFmtId="0" fontId="4" fillId="0" borderId="152" xfId="0" applyFont="1" applyBorder="1">
      <alignment horizontal="center" vertical="center"/>
    </xf>
    <xf numFmtId="0" fontId="7" fillId="51" borderId="163" xfId="0" applyFont="1" applyFill="1" applyBorder="1" applyAlignment="1">
      <alignment vertical="center"/>
    </xf>
    <xf numFmtId="0" fontId="0" fillId="51" borderId="186" xfId="0" applyFill="1" applyBorder="1">
      <alignment horizontal="center" vertical="center"/>
    </xf>
    <xf numFmtId="0" fontId="7" fillId="55" borderId="186" xfId="45" applyBorder="1">
      <alignment horizontal="center" vertical="center"/>
    </xf>
    <xf numFmtId="0" fontId="7" fillId="69" borderId="186" xfId="44" applyBorder="1">
      <alignment horizontal="center" vertical="center"/>
    </xf>
    <xf numFmtId="0" fontId="0" fillId="51" borderId="186" xfId="44" applyFont="1" applyFill="1" applyBorder="1">
      <alignment horizontal="center" vertical="center"/>
    </xf>
    <xf numFmtId="0" fontId="0" fillId="51" borderId="186" xfId="46" applyFont="1" applyFill="1" applyBorder="1">
      <alignment horizontal="center" vertical="center"/>
    </xf>
    <xf numFmtId="0" fontId="0" fillId="0" borderId="186" xfId="0" applyBorder="1">
      <alignment horizontal="center" vertical="center"/>
    </xf>
    <xf numFmtId="0" fontId="7" fillId="69" borderId="187" xfId="44" applyBorder="1">
      <alignment horizontal="center" vertical="center"/>
    </xf>
    <xf numFmtId="0" fontId="7" fillId="51" borderId="151" xfId="0" applyFont="1" applyFill="1" applyBorder="1" applyAlignment="1">
      <alignment vertical="center"/>
    </xf>
    <xf numFmtId="0" fontId="0" fillId="73" borderId="184" xfId="0" applyFill="1" applyBorder="1">
      <alignment horizontal="center" vertical="center"/>
    </xf>
    <xf numFmtId="0" fontId="0" fillId="0" borderId="184" xfId="0" applyBorder="1">
      <alignment horizontal="center" vertical="center"/>
    </xf>
    <xf numFmtId="0" fontId="0" fillId="51" borderId="185" xfId="0" applyFill="1" applyBorder="1">
      <alignment horizontal="center" vertical="center"/>
    </xf>
    <xf numFmtId="0" fontId="0" fillId="51" borderId="151" xfId="0" applyFill="1" applyBorder="1" applyAlignment="1">
      <alignment vertical="center"/>
    </xf>
    <xf numFmtId="0" fontId="0" fillId="51" borderId="102" xfId="43" applyFont="1" applyFill="1" applyBorder="1">
      <alignment horizontal="center" vertical="center"/>
    </xf>
    <xf numFmtId="0" fontId="0" fillId="51" borderId="101" xfId="43" applyFont="1" applyFill="1" applyBorder="1">
      <alignment horizontal="center" vertical="center"/>
    </xf>
    <xf numFmtId="0" fontId="7" fillId="55" borderId="102" xfId="45" applyBorder="1">
      <alignment horizontal="center" vertical="center"/>
    </xf>
    <xf numFmtId="0" fontId="4" fillId="0" borderId="188" xfId="0" applyFont="1" applyBorder="1" applyAlignment="1">
      <alignment horizontal="center"/>
    </xf>
    <xf numFmtId="49" fontId="7" fillId="0" borderId="189" xfId="0" applyNumberFormat="1" applyFont="1" applyBorder="1">
      <alignment horizontal="center" vertical="center"/>
    </xf>
    <xf numFmtId="0" fontId="0" fillId="0" borderId="190" xfId="0" applyBorder="1">
      <alignment horizontal="center" vertical="center"/>
    </xf>
    <xf numFmtId="0" fontId="0" fillId="0" borderId="191" xfId="0" applyBorder="1">
      <alignment horizontal="center" vertical="center"/>
    </xf>
    <xf numFmtId="0" fontId="4" fillId="0" borderId="191" xfId="0" applyFont="1" applyBorder="1" applyAlignment="1">
      <alignment horizontal="left"/>
    </xf>
    <xf numFmtId="0" fontId="0" fillId="0" borderId="192" xfId="0" applyBorder="1">
      <alignment horizontal="center" vertical="center"/>
    </xf>
    <xf numFmtId="0" fontId="0" fillId="0" borderId="193" xfId="0" applyBorder="1">
      <alignment horizontal="center" vertical="center"/>
    </xf>
    <xf numFmtId="0" fontId="3" fillId="0" borderId="193" xfId="0" applyFont="1" applyBorder="1">
      <alignment horizontal="center" vertical="center"/>
    </xf>
    <xf numFmtId="0" fontId="3" fillId="0" borderId="194" xfId="0" applyFont="1" applyBorder="1" applyAlignment="1">
      <alignment horizontal="left" vertical="center"/>
    </xf>
    <xf numFmtId="0" fontId="3" fillId="0" borderId="194" xfId="0" applyFont="1" applyBorder="1">
      <alignment horizontal="center" vertical="center"/>
    </xf>
    <xf numFmtId="0" fontId="3" fillId="0" borderId="195" xfId="0" applyFont="1" applyBorder="1">
      <alignment horizontal="center" vertical="center"/>
    </xf>
    <xf numFmtId="49" fontId="3" fillId="0" borderId="193" xfId="0" applyNumberFormat="1" applyFont="1" applyBorder="1">
      <alignment horizontal="center" vertical="center"/>
    </xf>
    <xf numFmtId="0" fontId="7" fillId="0" borderId="193" xfId="0" applyFont="1" applyBorder="1">
      <alignment horizontal="center" vertical="center"/>
    </xf>
    <xf numFmtId="0" fontId="7" fillId="0" borderId="194" xfId="0" applyFont="1" applyBorder="1">
      <alignment horizontal="center" vertical="center"/>
    </xf>
    <xf numFmtId="0" fontId="7" fillId="0" borderId="195" xfId="0" applyFont="1" applyBorder="1">
      <alignment horizontal="center" vertical="center"/>
    </xf>
    <xf numFmtId="49" fontId="7" fillId="0" borderId="194" xfId="0" applyNumberFormat="1" applyFont="1" applyBorder="1">
      <alignment horizontal="center" vertical="center"/>
    </xf>
    <xf numFmtId="49" fontId="7" fillId="0" borderId="193" xfId="0" applyNumberFormat="1" applyFont="1" applyBorder="1">
      <alignment horizontal="center" vertical="center"/>
    </xf>
    <xf numFmtId="0" fontId="9" fillId="0" borderId="194" xfId="0" applyFont="1" applyBorder="1">
      <alignment horizontal="center" vertical="center"/>
    </xf>
    <xf numFmtId="0" fontId="9" fillId="0" borderId="196" xfId="0" applyFont="1" applyBorder="1">
      <alignment horizontal="center" vertical="center"/>
    </xf>
    <xf numFmtId="0" fontId="0" fillId="51" borderId="184" xfId="0" applyFill="1" applyBorder="1" applyAlignment="1">
      <alignment horizontal="left" vertical="center" wrapText="1"/>
    </xf>
    <xf numFmtId="0" fontId="0" fillId="51" borderId="102" xfId="0" applyFill="1" applyBorder="1" applyAlignment="1">
      <alignment horizontal="left" vertical="center" wrapText="1"/>
    </xf>
    <xf numFmtId="49" fontId="0" fillId="55" borderId="139" xfId="0" applyNumberFormat="1" applyFill="1" applyBorder="1">
      <alignment horizontal="center" vertical="center"/>
    </xf>
    <xf numFmtId="0" fontId="7" fillId="55" borderId="139" xfId="45" applyBorder="1">
      <alignment horizontal="center" vertical="center"/>
    </xf>
    <xf numFmtId="0" fontId="7" fillId="54" borderId="139" xfId="50" applyBorder="1">
      <alignment horizontal="center" vertical="center"/>
    </xf>
    <xf numFmtId="0" fontId="7" fillId="52" borderId="139" xfId="48" applyBorder="1">
      <alignment horizontal="center" vertical="center"/>
    </xf>
    <xf numFmtId="0" fontId="0" fillId="51" borderId="150" xfId="0" applyFill="1" applyBorder="1" applyAlignment="1">
      <alignment horizontal="left" vertical="center"/>
    </xf>
    <xf numFmtId="49" fontId="0" fillId="51" borderId="150" xfId="0" applyNumberFormat="1" applyFill="1" applyBorder="1">
      <alignment horizontal="center" vertical="center"/>
    </xf>
    <xf numFmtId="0" fontId="7" fillId="58" borderId="150" xfId="33" applyBorder="1">
      <alignment horizontal="center" vertical="center"/>
    </xf>
    <xf numFmtId="0" fontId="0" fillId="54" borderId="150" xfId="44" applyFont="1" applyFill="1" applyBorder="1">
      <alignment horizontal="center" vertical="center"/>
    </xf>
    <xf numFmtId="0" fontId="4" fillId="0" borderId="171" xfId="0" applyFont="1" applyBorder="1" applyAlignment="1">
      <alignment horizontal="left" vertical="center"/>
    </xf>
    <xf numFmtId="0" fontId="0" fillId="0" borderId="174" xfId="0" applyBorder="1" applyAlignment="1">
      <alignment horizontal="left" vertical="center"/>
    </xf>
    <xf numFmtId="0" fontId="4" fillId="0" borderId="173" xfId="0" applyFont="1" applyBorder="1" applyAlignment="1">
      <alignment horizontal="left" vertical="center"/>
    </xf>
    <xf numFmtId="0" fontId="4" fillId="0" borderId="152" xfId="0" applyFont="1" applyBorder="1" applyAlignment="1">
      <alignment horizontal="left"/>
    </xf>
    <xf numFmtId="0" fontId="0" fillId="0" borderId="159" xfId="0" applyBorder="1" applyAlignment="1">
      <alignment horizontal="left" vertical="center"/>
    </xf>
    <xf numFmtId="49" fontId="0" fillId="0" borderId="151" xfId="0" applyNumberFormat="1" applyBorder="1" applyAlignment="1">
      <alignment horizontal="left"/>
    </xf>
    <xf numFmtId="49" fontId="0" fillId="0" borderId="151" xfId="0" applyNumberFormat="1" applyBorder="1" applyAlignment="1">
      <alignment horizontal="left" vertical="center"/>
    </xf>
    <xf numFmtId="0" fontId="3" fillId="0" borderId="102" xfId="0" applyFont="1" applyBorder="1" applyAlignment="1">
      <alignment horizontal="center"/>
    </xf>
    <xf numFmtId="0" fontId="4" fillId="0" borderId="184" xfId="0" applyFont="1" applyBorder="1" applyAlignment="1" applyProtection="1">
      <alignment horizontal="center"/>
      <protection locked="0"/>
    </xf>
    <xf numFmtId="0" fontId="0" fillId="0" borderId="184" xfId="0" applyBorder="1" applyAlignment="1">
      <alignment horizontal="left"/>
    </xf>
    <xf numFmtId="0" fontId="0" fillId="51" borderId="102" xfId="53" applyFont="1" applyFill="1" applyBorder="1">
      <alignment horizontal="center" vertical="center"/>
    </xf>
    <xf numFmtId="0" fontId="4" fillId="0" borderId="102" xfId="0" applyFont="1" applyBorder="1" applyAlignment="1" applyProtection="1">
      <alignment horizontal="center"/>
      <protection locked="0"/>
    </xf>
    <xf numFmtId="0" fontId="4" fillId="0" borderId="102" xfId="0" applyFont="1" applyBorder="1" applyAlignment="1">
      <alignment horizontal="left"/>
    </xf>
    <xf numFmtId="0" fontId="0" fillId="0" borderId="102" xfId="0" applyBorder="1" applyAlignment="1" applyProtection="1">
      <alignment horizontal="center"/>
      <protection locked="0"/>
    </xf>
    <xf numFmtId="0" fontId="0" fillId="0" borderId="102" xfId="0" applyBorder="1" applyAlignment="1">
      <alignment horizontal="left"/>
    </xf>
    <xf numFmtId="0" fontId="4" fillId="0" borderId="102" xfId="0" applyFont="1" applyBorder="1" applyAlignment="1">
      <alignment vertical="center"/>
    </xf>
    <xf numFmtId="0" fontId="7" fillId="69" borderId="102" xfId="44" applyBorder="1">
      <alignment horizontal="center" vertical="center"/>
    </xf>
    <xf numFmtId="0" fontId="0" fillId="51" borderId="102" xfId="50" applyFont="1" applyFill="1" applyBorder="1">
      <alignment horizontal="center" vertical="center"/>
    </xf>
    <xf numFmtId="0" fontId="3" fillId="0" borderId="102" xfId="0" applyFont="1" applyBorder="1" applyAlignment="1" applyProtection="1">
      <alignment horizontal="center"/>
      <protection locked="0"/>
    </xf>
    <xf numFmtId="0" fontId="0" fillId="0" borderId="98" xfId="0" applyBorder="1">
      <alignment horizontal="center" vertical="center"/>
    </xf>
    <xf numFmtId="0" fontId="0" fillId="53" borderId="102" xfId="48" applyFont="1" applyFill="1" applyBorder="1">
      <alignment horizontal="center" vertical="center"/>
    </xf>
    <xf numFmtId="0" fontId="0" fillId="53" borderId="102" xfId="0" applyFill="1" applyBorder="1">
      <alignment horizontal="center" vertical="center"/>
    </xf>
    <xf numFmtId="0" fontId="7" fillId="60" borderId="102" xfId="51" applyBorder="1">
      <alignment horizontal="center" vertical="center"/>
    </xf>
    <xf numFmtId="0" fontId="7" fillId="60" borderId="98" xfId="51" applyBorder="1">
      <alignment horizontal="center" vertical="center"/>
    </xf>
    <xf numFmtId="0" fontId="4" fillId="0" borderId="154" xfId="0" applyFont="1" applyBorder="1">
      <alignment horizontal="center" vertical="center"/>
    </xf>
    <xf numFmtId="0" fontId="0" fillId="51" borderId="102" xfId="33" applyFont="1" applyFill="1" applyBorder="1">
      <alignment horizontal="center" vertical="center"/>
    </xf>
    <xf numFmtId="0" fontId="7" fillId="0" borderId="102" xfId="0" applyFont="1" applyBorder="1" applyAlignment="1">
      <alignment vertical="center"/>
    </xf>
    <xf numFmtId="0" fontId="7" fillId="51" borderId="102" xfId="0" applyFont="1" applyFill="1" applyBorder="1" applyAlignment="1">
      <alignment vertical="center"/>
    </xf>
    <xf numFmtId="0" fontId="4" fillId="0" borderId="176" xfId="0" applyFont="1" applyBorder="1" applyAlignment="1">
      <alignment horizontal="center"/>
    </xf>
    <xf numFmtId="0" fontId="3" fillId="0" borderId="152" xfId="0" applyFont="1" applyBorder="1" applyAlignment="1">
      <alignment horizontal="left"/>
    </xf>
    <xf numFmtId="0" fontId="0" fillId="0" borderId="151" xfId="0" applyBorder="1" applyAlignment="1" applyProtection="1">
      <alignment horizontal="center"/>
      <protection locked="0"/>
    </xf>
    <xf numFmtId="0" fontId="0" fillId="43" borderId="119" xfId="0" applyFill="1" applyBorder="1" applyAlignment="1">
      <alignment horizontal="center"/>
    </xf>
    <xf numFmtId="0" fontId="47" fillId="0" borderId="119" xfId="0" applyFont="1" applyBorder="1" applyAlignment="1">
      <alignment horizontal="left" vertical="center"/>
    </xf>
    <xf numFmtId="0" fontId="0" fillId="0" borderId="118" xfId="0" applyBorder="1" applyAlignment="1">
      <alignment horizontal="left" vertical="center"/>
    </xf>
    <xf numFmtId="49" fontId="0" fillId="0" borderId="151" xfId="0" applyNumberFormat="1" applyBorder="1" applyAlignment="1"/>
    <xf numFmtId="0" fontId="0" fillId="0" borderId="158" xfId="0" applyBorder="1" applyAlignment="1">
      <alignment horizontal="left" vertical="center"/>
    </xf>
    <xf numFmtId="0" fontId="0" fillId="0" borderId="147" xfId="0" applyBorder="1" applyAlignment="1" applyProtection="1">
      <alignment horizontal="left"/>
      <protection locked="0"/>
    </xf>
    <xf numFmtId="0" fontId="0" fillId="0" borderId="166" xfId="0" applyBorder="1" applyAlignment="1">
      <alignment vertical="center"/>
    </xf>
    <xf numFmtId="0" fontId="0" fillId="0" borderId="167" xfId="0" applyBorder="1">
      <alignment horizontal="center" vertical="center"/>
    </xf>
    <xf numFmtId="0" fontId="6" fillId="0" borderId="102" xfId="0" applyFont="1" applyBorder="1">
      <alignment horizontal="center" vertical="center"/>
    </xf>
    <xf numFmtId="0" fontId="0" fillId="0" borderId="102" xfId="0" applyBorder="1" applyAlignment="1">
      <alignment horizontal="left" vertical="center"/>
    </xf>
    <xf numFmtId="0" fontId="0" fillId="51" borderId="102" xfId="32" applyFont="1" applyFill="1" applyBorder="1" applyAlignment="1">
      <alignment horizontal="center" vertical="center"/>
    </xf>
    <xf numFmtId="1" fontId="0" fillId="76" borderId="147" xfId="0" applyNumberFormat="1" applyFill="1" applyBorder="1">
      <alignment horizontal="center" vertical="center"/>
    </xf>
    <xf numFmtId="1" fontId="0" fillId="53" borderId="147" xfId="32" applyNumberFormat="1" applyFont="1" applyFill="1" applyBorder="1" applyAlignment="1">
      <alignment horizontal="center" vertical="center"/>
    </xf>
    <xf numFmtId="0" fontId="7" fillId="76" borderId="147" xfId="43" applyFill="1" applyBorder="1">
      <alignment horizontal="center" vertical="center"/>
    </xf>
    <xf numFmtId="1" fontId="0" fillId="56" borderId="147" xfId="0" applyNumberFormat="1" applyFill="1" applyBorder="1">
      <alignment horizontal="center" vertical="center"/>
    </xf>
    <xf numFmtId="0" fontId="0" fillId="54" borderId="163" xfId="0" applyFill="1" applyBorder="1">
      <alignment horizontal="center" vertical="center"/>
    </xf>
    <xf numFmtId="0" fontId="0" fillId="75" borderId="163" xfId="0" applyFill="1" applyBorder="1">
      <alignment horizontal="center" vertical="center"/>
    </xf>
    <xf numFmtId="0" fontId="7" fillId="0" borderId="102" xfId="0" applyFont="1" applyBorder="1" applyAlignment="1">
      <alignment horizontal="left" vertical="center"/>
    </xf>
    <xf numFmtId="0" fontId="0" fillId="54" borderId="102" xfId="43" applyFont="1" applyFill="1" applyBorder="1">
      <alignment horizontal="center" vertical="center"/>
    </xf>
    <xf numFmtId="1" fontId="0" fillId="51" borderId="102" xfId="0" applyNumberFormat="1" applyFill="1" applyBorder="1">
      <alignment horizontal="center" vertical="center"/>
    </xf>
    <xf numFmtId="0" fontId="0" fillId="53" borderId="167" xfId="0" applyFill="1" applyBorder="1">
      <alignment horizontal="center" vertical="center"/>
    </xf>
    <xf numFmtId="0" fontId="0" fillId="53" borderId="167" xfId="48" applyFont="1" applyFill="1" applyBorder="1">
      <alignment horizontal="center" vertical="center"/>
    </xf>
    <xf numFmtId="0" fontId="0" fillId="53" borderId="167" xfId="44" applyFont="1" applyFill="1" applyBorder="1">
      <alignment horizontal="center" vertical="center"/>
    </xf>
    <xf numFmtId="0" fontId="0" fillId="53" borderId="168" xfId="0" applyFill="1" applyBorder="1">
      <alignment horizontal="center" vertical="center"/>
    </xf>
    <xf numFmtId="0" fontId="7" fillId="69" borderId="163" xfId="44" applyBorder="1">
      <alignment horizontal="center" vertical="center"/>
    </xf>
    <xf numFmtId="0" fontId="7" fillId="53" borderId="163" xfId="43" applyBorder="1">
      <alignment horizontal="center" vertical="center"/>
    </xf>
    <xf numFmtId="0" fontId="0" fillId="51" borderId="145" xfId="0" applyFill="1" applyBorder="1">
      <alignment horizontal="center" vertical="center"/>
    </xf>
    <xf numFmtId="49" fontId="0" fillId="56" borderId="163" xfId="0" applyNumberFormat="1" applyFill="1" applyBorder="1">
      <alignment horizontal="center" vertical="center"/>
    </xf>
    <xf numFmtId="0" fontId="7" fillId="54" borderId="163" xfId="50" applyBorder="1">
      <alignment horizontal="center" vertical="center"/>
    </xf>
    <xf numFmtId="0" fontId="7" fillId="69" borderId="177" xfId="44" applyBorder="1">
      <alignment horizontal="center" vertical="center"/>
    </xf>
    <xf numFmtId="0" fontId="0" fillId="55" borderId="119" xfId="45" applyFont="1" applyBorder="1">
      <alignment horizontal="center" vertical="center"/>
    </xf>
    <xf numFmtId="0" fontId="7" fillId="53" borderId="177" xfId="43" applyBorder="1">
      <alignment horizontal="center" vertical="center"/>
    </xf>
    <xf numFmtId="0" fontId="7" fillId="55" borderId="147" xfId="48" applyFill="1" applyBorder="1">
      <alignment horizontal="center" vertical="center"/>
    </xf>
    <xf numFmtId="0" fontId="7" fillId="51" borderId="147" xfId="48" applyFill="1" applyBorder="1">
      <alignment horizontal="center" vertical="center"/>
    </xf>
    <xf numFmtId="49" fontId="0" fillId="72" borderId="119" xfId="0" applyNumberFormat="1" applyFill="1" applyBorder="1">
      <alignment horizontal="center" vertical="center"/>
    </xf>
    <xf numFmtId="49" fontId="0" fillId="73" borderId="163" xfId="0" applyNumberFormat="1" applyFill="1" applyBorder="1">
      <alignment horizontal="center" vertical="center"/>
    </xf>
    <xf numFmtId="0" fontId="0" fillId="72" borderId="163" xfId="0" applyFill="1" applyBorder="1">
      <alignment horizontal="center" vertical="center"/>
    </xf>
    <xf numFmtId="0" fontId="0" fillId="53" borderId="163" xfId="0" applyFill="1" applyBorder="1">
      <alignment horizontal="center" vertical="center"/>
    </xf>
    <xf numFmtId="1" fontId="0" fillId="55" borderId="163" xfId="32" applyNumberFormat="1" applyFont="1" applyFill="1" applyBorder="1" applyAlignment="1">
      <alignment horizontal="center" vertical="center"/>
    </xf>
    <xf numFmtId="0" fontId="0" fillId="55" borderId="119" xfId="44" applyFont="1" applyFill="1" applyBorder="1">
      <alignment horizontal="center" vertical="center"/>
    </xf>
    <xf numFmtId="0" fontId="0" fillId="0" borderId="163" xfId="0" applyBorder="1">
      <alignment horizontal="center" vertical="center"/>
    </xf>
    <xf numFmtId="0" fontId="7" fillId="54" borderId="147" xfId="50" applyBorder="1">
      <alignment horizontal="center" vertical="center"/>
    </xf>
    <xf numFmtId="0" fontId="7" fillId="54" borderId="145" xfId="50" applyBorder="1">
      <alignment horizontal="center" vertical="center"/>
    </xf>
    <xf numFmtId="0" fontId="22" fillId="0" borderId="154" xfId="0" applyFont="1" applyBorder="1" applyAlignment="1" applyProtection="1">
      <alignment horizontal="center"/>
      <protection locked="0"/>
    </xf>
    <xf numFmtId="0" fontId="0" fillId="43" borderId="158" xfId="0" applyFill="1" applyBorder="1" applyAlignment="1" applyProtection="1">
      <alignment horizontal="center"/>
      <protection locked="0"/>
    </xf>
    <xf numFmtId="0" fontId="7" fillId="0" borderId="158" xfId="0" applyFont="1" applyBorder="1" applyAlignment="1">
      <alignment horizontal="left"/>
    </xf>
    <xf numFmtId="0" fontId="0" fillId="72" borderId="164" xfId="0" applyFill="1" applyBorder="1">
      <alignment horizontal="center" vertical="center"/>
    </xf>
    <xf numFmtId="0" fontId="0" fillId="0" borderId="102" xfId="53" applyFont="1" applyBorder="1">
      <alignment horizontal="center" vertical="center"/>
    </xf>
    <xf numFmtId="0" fontId="0" fillId="51" borderId="165" xfId="48" applyFont="1" applyFill="1" applyBorder="1">
      <alignment horizontal="center" vertical="center"/>
    </xf>
    <xf numFmtId="0" fontId="0" fillId="55" borderId="119" xfId="51" applyFont="1" applyFill="1" applyBorder="1">
      <alignment horizontal="center" vertical="center"/>
    </xf>
    <xf numFmtId="0" fontId="0" fillId="55" borderId="147" xfId="53" applyFont="1" applyFill="1" applyBorder="1">
      <alignment horizontal="center" vertical="center"/>
    </xf>
    <xf numFmtId="0" fontId="0" fillId="55" borderId="102" xfId="53" applyFont="1" applyFill="1" applyBorder="1">
      <alignment horizontal="center" vertical="center"/>
    </xf>
    <xf numFmtId="0" fontId="7" fillId="55" borderId="102" xfId="53" applyFill="1" applyBorder="1">
      <alignment horizontal="center" vertical="center"/>
    </xf>
    <xf numFmtId="0" fontId="7" fillId="0" borderId="101" xfId="53" applyBorder="1">
      <alignment horizontal="center" vertical="center"/>
    </xf>
    <xf numFmtId="0" fontId="0" fillId="71" borderId="102" xfId="43" applyFont="1" applyFill="1" applyBorder="1">
      <alignment horizontal="center" vertical="center"/>
    </xf>
    <xf numFmtId="0" fontId="0" fillId="58" borderId="102" xfId="43" applyFont="1" applyFill="1" applyBorder="1">
      <alignment horizontal="center" vertical="center"/>
    </xf>
    <xf numFmtId="0" fontId="7" fillId="55" borderId="102" xfId="48" applyFill="1" applyBorder="1">
      <alignment horizontal="center" vertical="center"/>
    </xf>
    <xf numFmtId="0" fontId="0" fillId="55" borderId="102" xfId="45" applyFont="1" applyBorder="1">
      <alignment horizontal="center" vertical="center"/>
    </xf>
    <xf numFmtId="1" fontId="0" fillId="52" borderId="102" xfId="32" applyNumberFormat="1" applyFont="1" applyFill="1" applyBorder="1" applyAlignment="1">
      <alignment horizontal="center" vertical="center"/>
    </xf>
    <xf numFmtId="0" fontId="0" fillId="52" borderId="102" xfId="48" applyFont="1" applyBorder="1">
      <alignment horizontal="center" vertical="center"/>
    </xf>
    <xf numFmtId="0" fontId="7" fillId="51" borderId="102" xfId="48" applyFill="1" applyBorder="1">
      <alignment horizontal="center" vertical="center"/>
    </xf>
    <xf numFmtId="0" fontId="0" fillId="57" borderId="102" xfId="0" applyFill="1" applyBorder="1">
      <alignment horizontal="center" vertical="center"/>
    </xf>
    <xf numFmtId="49" fontId="0" fillId="57" borderId="102" xfId="0" applyNumberFormat="1" applyFill="1" applyBorder="1">
      <alignment horizontal="center" vertical="center"/>
    </xf>
    <xf numFmtId="1" fontId="0" fillId="57" borderId="102" xfId="32" applyNumberFormat="1" applyFont="1" applyFill="1" applyBorder="1" applyAlignment="1">
      <alignment horizontal="center" vertical="center"/>
    </xf>
    <xf numFmtId="49" fontId="0" fillId="57" borderId="147" xfId="0" applyNumberFormat="1" applyFill="1" applyBorder="1">
      <alignment horizontal="center" vertical="center"/>
    </xf>
    <xf numFmtId="0" fontId="0" fillId="0" borderId="197" xfId="0" applyBorder="1">
      <alignment horizontal="center" vertical="center"/>
    </xf>
    <xf numFmtId="0" fontId="0" fillId="0" borderId="198" xfId="0" applyBorder="1">
      <alignment horizontal="center" vertical="center"/>
    </xf>
    <xf numFmtId="0" fontId="0" fillId="0" borderId="199" xfId="0" applyBorder="1">
      <alignment horizontal="center" vertical="center"/>
    </xf>
    <xf numFmtId="0" fontId="0" fillId="0" borderId="200" xfId="0" applyBorder="1">
      <alignment horizontal="center" vertical="center"/>
    </xf>
    <xf numFmtId="0" fontId="4" fillId="43" borderId="201" xfId="0" applyFont="1" applyFill="1" applyBorder="1" applyAlignment="1">
      <alignment horizontal="center"/>
    </xf>
    <xf numFmtId="0" fontId="0" fillId="0" borderId="201" xfId="0" applyBorder="1" applyAlignment="1">
      <alignment vertical="center"/>
    </xf>
    <xf numFmtId="0" fontId="0" fillId="51" borderId="201" xfId="20" applyNumberFormat="1" applyFont="1" applyFill="1" applyBorder="1" applyAlignment="1">
      <alignment horizontal="center" vertical="center"/>
    </xf>
    <xf numFmtId="0" fontId="0" fillId="55" borderId="147" xfId="20" applyNumberFormat="1" applyFont="1" applyFill="1" applyBorder="1" applyAlignment="1">
      <alignment horizontal="center" vertical="center"/>
    </xf>
    <xf numFmtId="49" fontId="0" fillId="72" borderId="102" xfId="0" applyNumberFormat="1" applyFill="1" applyBorder="1">
      <alignment horizontal="center" vertical="center"/>
    </xf>
    <xf numFmtId="0" fontId="0" fillId="52" borderId="147" xfId="0" applyFill="1" applyBorder="1">
      <alignment horizontal="center" vertical="center"/>
    </xf>
    <xf numFmtId="0" fontId="4" fillId="0" borderId="200" xfId="0" applyFont="1" applyBorder="1" applyAlignment="1">
      <alignment horizontal="center"/>
    </xf>
    <xf numFmtId="0" fontId="4" fillId="0" borderId="202" xfId="0" applyFont="1" applyBorder="1" applyAlignment="1">
      <alignment horizontal="left"/>
    </xf>
    <xf numFmtId="0" fontId="6" fillId="0" borderId="200" xfId="0" applyFont="1" applyBorder="1" applyAlignment="1">
      <alignment horizontal="center"/>
    </xf>
    <xf numFmtId="0" fontId="0" fillId="0" borderId="200" xfId="0" applyBorder="1" applyAlignment="1">
      <alignment horizontal="center"/>
    </xf>
    <xf numFmtId="0" fontId="4" fillId="0" borderId="202" xfId="0" applyFont="1" applyBorder="1" applyAlignment="1">
      <alignment horizontal="center"/>
    </xf>
    <xf numFmtId="0" fontId="6" fillId="0" borderId="203" xfId="0" applyFont="1" applyBorder="1" applyAlignment="1">
      <alignment horizontal="center"/>
    </xf>
    <xf numFmtId="0" fontId="6" fillId="0" borderId="202" xfId="0" applyFont="1" applyBorder="1" applyAlignment="1">
      <alignment horizontal="center"/>
    </xf>
    <xf numFmtId="0" fontId="0" fillId="0" borderId="202" xfId="0" applyBorder="1" applyAlignment="1">
      <alignment horizontal="center"/>
    </xf>
    <xf numFmtId="0" fontId="7" fillId="0" borderId="203" xfId="0" applyFont="1" applyBorder="1" applyAlignment="1">
      <alignment horizontal="left" vertical="center"/>
    </xf>
    <xf numFmtId="0" fontId="6" fillId="0" borderId="203" xfId="0" applyFont="1" applyBorder="1">
      <alignment horizontal="center" vertical="center"/>
    </xf>
    <xf numFmtId="0" fontId="6" fillId="0" borderId="202" xfId="0" applyFont="1" applyBorder="1">
      <alignment horizontal="center" vertical="center"/>
    </xf>
    <xf numFmtId="0" fontId="7" fillId="0" borderId="201" xfId="0" applyFont="1" applyBorder="1">
      <alignment horizontal="center" vertical="center"/>
    </xf>
    <xf numFmtId="0" fontId="7" fillId="0" borderId="201" xfId="0" applyFont="1" applyBorder="1" applyAlignment="1">
      <alignment horizontal="left" vertical="center"/>
    </xf>
    <xf numFmtId="0" fontId="7" fillId="51" borderId="201" xfId="48" applyFill="1" applyBorder="1">
      <alignment horizontal="center" vertical="center"/>
    </xf>
    <xf numFmtId="0" fontId="7" fillId="52" borderId="204" xfId="48" applyBorder="1">
      <alignment horizontal="center" vertical="center"/>
    </xf>
    <xf numFmtId="0" fontId="0" fillId="0" borderId="200" xfId="0" applyBorder="1" applyAlignment="1"/>
    <xf numFmtId="0" fontId="4" fillId="0" borderId="203" xfId="0" applyFont="1" applyBorder="1" applyAlignment="1">
      <alignment horizontal="left"/>
    </xf>
    <xf numFmtId="0" fontId="0" fillId="0" borderId="203" xfId="0" applyBorder="1" applyAlignment="1"/>
    <xf numFmtId="0" fontId="0" fillId="0" borderId="202" xfId="0" applyBorder="1" applyAlignment="1"/>
    <xf numFmtId="0" fontId="4" fillId="0" borderId="200" xfId="0" applyFont="1" applyBorder="1" applyAlignment="1">
      <alignment horizontal="left"/>
    </xf>
    <xf numFmtId="0" fontId="0" fillId="0" borderId="205" xfId="0" applyBorder="1" applyAlignment="1"/>
    <xf numFmtId="0" fontId="0" fillId="51" borderId="201" xfId="0" applyFill="1" applyBorder="1" applyAlignment="1">
      <alignment horizontal="left" vertical="center"/>
    </xf>
    <xf numFmtId="0" fontId="7" fillId="60" borderId="147" xfId="51" applyBorder="1">
      <alignment horizontal="center" vertical="center"/>
    </xf>
    <xf numFmtId="0" fontId="7" fillId="60" borderId="145" xfId="51" applyBorder="1">
      <alignment horizontal="center" vertical="center"/>
    </xf>
    <xf numFmtId="0" fontId="0" fillId="51" borderId="119" xfId="32" applyFont="1" applyFill="1" applyBorder="1" applyAlignment="1">
      <alignment horizontal="center" vertical="center"/>
    </xf>
    <xf numFmtId="0" fontId="7" fillId="52" borderId="167" xfId="48" applyBorder="1">
      <alignment horizontal="center" vertical="center"/>
    </xf>
    <xf numFmtId="0" fontId="0" fillId="51" borderId="154" xfId="0" applyFill="1" applyBorder="1">
      <alignment horizontal="center" vertical="center"/>
    </xf>
    <xf numFmtId="0" fontId="0" fillId="71" borderId="154" xfId="0" applyFill="1" applyBorder="1">
      <alignment horizontal="center" vertical="center"/>
    </xf>
    <xf numFmtId="0" fontId="0" fillId="51" borderId="156" xfId="0" applyFill="1" applyBorder="1">
      <alignment horizontal="center" vertical="center"/>
    </xf>
    <xf numFmtId="0" fontId="7" fillId="51" borderId="200" xfId="0" applyFont="1" applyFill="1" applyBorder="1" applyAlignment="1">
      <alignment vertical="center"/>
    </xf>
    <xf numFmtId="0" fontId="7" fillId="69" borderId="184" xfId="44" applyBorder="1">
      <alignment horizontal="center" vertical="center"/>
    </xf>
    <xf numFmtId="0" fontId="0" fillId="51" borderId="184" xfId="32" applyFont="1" applyFill="1" applyBorder="1" applyAlignment="1">
      <alignment horizontal="center" vertical="center"/>
    </xf>
    <xf numFmtId="0" fontId="7" fillId="55" borderId="184" xfId="45" applyBorder="1">
      <alignment horizontal="center" vertical="center"/>
    </xf>
    <xf numFmtId="0" fontId="0" fillId="51" borderId="184" xfId="48" applyFont="1" applyFill="1" applyBorder="1">
      <alignment horizontal="center" vertical="center"/>
    </xf>
    <xf numFmtId="0" fontId="0" fillId="51" borderId="184" xfId="46" applyFont="1" applyFill="1" applyBorder="1">
      <alignment horizontal="center" vertical="center"/>
    </xf>
    <xf numFmtId="0" fontId="0" fillId="52" borderId="101" xfId="0" applyFill="1" applyBorder="1">
      <alignment horizontal="center" vertical="center"/>
    </xf>
    <xf numFmtId="0" fontId="7" fillId="70" borderId="102" xfId="52" applyBorder="1">
      <alignment horizontal="center" vertical="center"/>
    </xf>
    <xf numFmtId="49" fontId="0" fillId="51" borderId="206" xfId="0" applyNumberFormat="1" applyFill="1" applyBorder="1">
      <alignment horizontal="center" vertical="center"/>
    </xf>
    <xf numFmtId="49" fontId="0" fillId="52" borderId="139" xfId="0" applyNumberFormat="1" applyFill="1" applyBorder="1">
      <alignment horizontal="center" vertical="center"/>
    </xf>
    <xf numFmtId="0" fontId="7" fillId="58" borderId="139" xfId="33" applyBorder="1">
      <alignment horizontal="center" vertical="center"/>
    </xf>
    <xf numFmtId="49" fontId="0" fillId="58" borderId="139" xfId="0" applyNumberFormat="1" applyFill="1" applyBorder="1">
      <alignment horizontal="center" vertical="center"/>
    </xf>
    <xf numFmtId="0" fontId="0" fillId="51" borderId="167" xfId="0" applyFill="1" applyBorder="1" applyAlignment="1">
      <alignment horizontal="left" vertical="center"/>
    </xf>
    <xf numFmtId="0" fontId="7" fillId="53" borderId="167" xfId="43" applyBorder="1">
      <alignment horizontal="center" vertical="center"/>
    </xf>
    <xf numFmtId="49" fontId="0" fillId="56" borderId="167" xfId="0" applyNumberFormat="1" applyFill="1" applyBorder="1">
      <alignment horizontal="center" vertical="center"/>
    </xf>
    <xf numFmtId="0" fontId="4" fillId="0" borderId="200" xfId="0" applyFont="1" applyBorder="1" applyAlignment="1">
      <alignment horizontal="left" vertical="center"/>
    </xf>
    <xf numFmtId="0" fontId="0" fillId="0" borderId="202" xfId="0" applyBorder="1" applyAlignment="1">
      <alignment horizontal="left" vertical="center"/>
    </xf>
    <xf numFmtId="0" fontId="4" fillId="0" borderId="203" xfId="0" applyFont="1" applyBorder="1" applyAlignment="1">
      <alignment horizontal="left" vertical="center"/>
    </xf>
    <xf numFmtId="0" fontId="7" fillId="52" borderId="98" xfId="48" applyBorder="1">
      <alignment horizontal="center" vertical="center"/>
    </xf>
    <xf numFmtId="0" fontId="4" fillId="0" borderId="207" xfId="0" applyFont="1" applyBorder="1" applyAlignment="1">
      <alignment horizontal="center"/>
    </xf>
    <xf numFmtId="0" fontId="7" fillId="70" borderId="147" xfId="52" applyBorder="1">
      <alignment horizontal="center" vertical="center"/>
    </xf>
    <xf numFmtId="49" fontId="0" fillId="76" borderId="119" xfId="0" applyNumberFormat="1" applyFill="1" applyBorder="1">
      <alignment horizontal="center" vertical="center"/>
    </xf>
    <xf numFmtId="0" fontId="7" fillId="53" borderId="145" xfId="43" applyBorder="1">
      <alignment horizontal="center" vertical="center"/>
    </xf>
    <xf numFmtId="0" fontId="0" fillId="71" borderId="103" xfId="0" applyFill="1" applyBorder="1">
      <alignment horizontal="center" vertical="center"/>
    </xf>
    <xf numFmtId="0" fontId="0" fillId="51" borderId="201" xfId="0" applyFill="1" applyBorder="1" applyProtection="1">
      <alignment horizontal="center" vertical="center"/>
      <protection locked="0"/>
    </xf>
    <xf numFmtId="1" fontId="0" fillId="76" borderId="147" xfId="32" applyNumberFormat="1" applyFont="1" applyFill="1" applyBorder="1" applyAlignment="1">
      <alignment horizontal="center" vertical="center"/>
    </xf>
    <xf numFmtId="1" fontId="0" fillId="56" borderId="147" xfId="32" applyNumberFormat="1" applyFont="1" applyFill="1" applyBorder="1" applyAlignment="1">
      <alignment horizontal="center" vertical="center"/>
    </xf>
    <xf numFmtId="0" fontId="0" fillId="43" borderId="208" xfId="0" applyFill="1" applyBorder="1" applyAlignment="1" applyProtection="1">
      <alignment horizontal="center"/>
      <protection locked="0"/>
    </xf>
    <xf numFmtId="0" fontId="0" fillId="0" borderId="208" xfId="0" applyBorder="1" applyAlignment="1">
      <alignment horizontal="left" vertical="center"/>
    </xf>
    <xf numFmtId="0" fontId="0" fillId="51" borderId="208" xfId="0" applyFill="1" applyBorder="1">
      <alignment horizontal="center" vertical="center"/>
    </xf>
    <xf numFmtId="0" fontId="7" fillId="55" borderId="208" xfId="45" applyBorder="1">
      <alignment horizontal="center" vertical="center"/>
    </xf>
    <xf numFmtId="0" fontId="0" fillId="51" borderId="208" xfId="32" applyFont="1" applyFill="1" applyBorder="1" applyAlignment="1">
      <alignment horizontal="center" vertical="center"/>
    </xf>
    <xf numFmtId="0" fontId="0" fillId="52" borderId="208" xfId="0" applyFill="1" applyBorder="1">
      <alignment horizontal="center" vertical="center"/>
    </xf>
    <xf numFmtId="0" fontId="0" fillId="55" borderId="208" xfId="0" applyFill="1" applyBorder="1">
      <alignment horizontal="center" vertical="center"/>
    </xf>
    <xf numFmtId="0" fontId="7" fillId="55" borderId="101" xfId="45" applyBorder="1">
      <alignment horizontal="center" vertical="center"/>
    </xf>
    <xf numFmtId="0" fontId="0" fillId="0" borderId="101" xfId="0" applyBorder="1">
      <alignment horizontal="center" vertical="center"/>
    </xf>
    <xf numFmtId="0" fontId="7" fillId="53" borderId="167" xfId="48" applyFill="1" applyBorder="1">
      <alignment horizontal="center" vertical="center"/>
    </xf>
    <xf numFmtId="0" fontId="7" fillId="53" borderId="168" xfId="48" applyFill="1" applyBorder="1">
      <alignment horizontal="center" vertical="center"/>
    </xf>
    <xf numFmtId="0" fontId="0" fillId="51" borderId="209" xfId="43" applyFont="1" applyFill="1" applyBorder="1">
      <alignment horizontal="center" vertical="center"/>
    </xf>
    <xf numFmtId="0" fontId="4" fillId="0" borderId="210" xfId="0" applyFont="1" applyBorder="1" applyAlignment="1">
      <alignment horizontal="left" vertical="center"/>
    </xf>
    <xf numFmtId="0" fontId="0" fillId="0" borderId="211" xfId="0" applyBorder="1" applyAlignment="1">
      <alignment horizontal="left"/>
    </xf>
    <xf numFmtId="0" fontId="4" fillId="0" borderId="212" xfId="0" applyFont="1" applyBorder="1" applyAlignment="1">
      <alignment vertical="center"/>
    </xf>
    <xf numFmtId="0" fontId="0" fillId="0" borderId="211" xfId="0" applyBorder="1">
      <alignment horizontal="center" vertical="center"/>
    </xf>
    <xf numFmtId="0" fontId="4" fillId="0" borderId="213" xfId="0" applyFont="1" applyBorder="1" applyAlignment="1">
      <alignment horizontal="left" vertical="center"/>
    </xf>
    <xf numFmtId="0" fontId="4" fillId="0" borderId="213" xfId="0" applyFont="1" applyBorder="1" applyAlignment="1">
      <alignment horizontal="left"/>
    </xf>
    <xf numFmtId="0" fontId="4" fillId="0" borderId="214" xfId="0" applyFont="1" applyBorder="1" applyAlignment="1">
      <alignment vertical="center"/>
    </xf>
    <xf numFmtId="0" fontId="0" fillId="0" borderId="214" xfId="0" applyBorder="1">
      <alignment horizontal="center" vertical="center"/>
    </xf>
    <xf numFmtId="0" fontId="0" fillId="0" borderId="216" xfId="0" applyBorder="1">
      <alignment horizontal="center" vertical="center"/>
    </xf>
    <xf numFmtId="0" fontId="0" fillId="24" borderId="217" xfId="0" applyFill="1" applyBorder="1" applyAlignment="1" applyProtection="1">
      <alignment horizontal="center"/>
      <protection locked="0"/>
    </xf>
    <xf numFmtId="0" fontId="0" fillId="0" borderId="209" xfId="0" applyBorder="1" applyAlignment="1">
      <alignment horizontal="left" vertical="center"/>
    </xf>
    <xf numFmtId="49" fontId="0" fillId="51" borderId="209" xfId="0" applyNumberFormat="1" applyFill="1" applyBorder="1">
      <alignment horizontal="center" vertical="center"/>
    </xf>
    <xf numFmtId="0" fontId="0" fillId="51" borderId="209" xfId="0" applyFill="1" applyBorder="1">
      <alignment horizontal="center" vertical="center"/>
    </xf>
    <xf numFmtId="0" fontId="0" fillId="51" borderId="209" xfId="44" applyFont="1" applyFill="1" applyBorder="1">
      <alignment horizontal="center" vertical="center"/>
    </xf>
    <xf numFmtId="49" fontId="0" fillId="55" borderId="209" xfId="0" applyNumberFormat="1" applyFill="1" applyBorder="1">
      <alignment horizontal="center" vertical="center"/>
    </xf>
    <xf numFmtId="0" fontId="7" fillId="52" borderId="209" xfId="48" applyBorder="1">
      <alignment horizontal="center" vertical="center"/>
    </xf>
    <xf numFmtId="0" fontId="7" fillId="52" borderId="218" xfId="48" applyBorder="1">
      <alignment horizontal="center" vertical="center"/>
    </xf>
    <xf numFmtId="0" fontId="0" fillId="55" borderId="209" xfId="0" applyFill="1" applyBorder="1">
      <alignment horizontal="center" vertical="center"/>
    </xf>
    <xf numFmtId="0" fontId="0" fillId="51" borderId="209" xfId="48" applyFont="1" applyFill="1" applyBorder="1">
      <alignment horizontal="center" vertical="center"/>
    </xf>
    <xf numFmtId="0" fontId="7" fillId="53" borderId="209" xfId="43" applyBorder="1">
      <alignment horizontal="center" vertical="center"/>
    </xf>
    <xf numFmtId="0" fontId="0" fillId="0" borderId="209" xfId="0" applyBorder="1">
      <alignment horizontal="center" vertical="center"/>
    </xf>
    <xf numFmtId="49" fontId="0" fillId="51" borderId="218" xfId="0" applyNumberFormat="1" applyFill="1" applyBorder="1">
      <alignment horizontal="center" vertical="center"/>
    </xf>
    <xf numFmtId="0" fontId="0" fillId="51" borderId="209" xfId="0" applyFill="1" applyBorder="1" applyAlignment="1">
      <alignment horizontal="left" vertical="center" wrapText="1"/>
    </xf>
    <xf numFmtId="0" fontId="0" fillId="53" borderId="209" xfId="0" applyFill="1" applyBorder="1">
      <alignment horizontal="center" vertical="center"/>
    </xf>
    <xf numFmtId="0" fontId="0" fillId="53" borderId="209" xfId="44" applyFont="1" applyFill="1" applyBorder="1">
      <alignment horizontal="center" vertical="center"/>
    </xf>
    <xf numFmtId="49" fontId="0" fillId="53" borderId="209" xfId="0" applyNumberFormat="1" applyFill="1" applyBorder="1">
      <alignment horizontal="center" vertical="center"/>
    </xf>
    <xf numFmtId="0" fontId="7" fillId="53" borderId="209" xfId="48" applyFill="1" applyBorder="1">
      <alignment horizontal="center" vertical="center"/>
    </xf>
    <xf numFmtId="0" fontId="7" fillId="53" borderId="218" xfId="48" applyFill="1" applyBorder="1">
      <alignment horizontal="center" vertical="center"/>
    </xf>
    <xf numFmtId="0" fontId="7" fillId="0" borderId="147" xfId="53" applyBorder="1">
      <alignment horizontal="center" vertical="center"/>
    </xf>
    <xf numFmtId="0" fontId="0" fillId="0" borderId="119" xfId="0" applyBorder="1">
      <alignment horizontal="center" vertical="center"/>
    </xf>
    <xf numFmtId="0" fontId="7" fillId="55" borderId="209" xfId="45" applyBorder="1">
      <alignment horizontal="center" vertical="center"/>
    </xf>
    <xf numFmtId="0" fontId="0" fillId="55" borderId="209" xfId="45" applyFont="1" applyBorder="1">
      <alignment horizontal="center" vertical="center"/>
    </xf>
    <xf numFmtId="1" fontId="0" fillId="51" borderId="209" xfId="32" applyNumberFormat="1" applyFont="1" applyFill="1" applyBorder="1" applyAlignment="1">
      <alignment horizontal="center" vertical="center"/>
    </xf>
    <xf numFmtId="0" fontId="0" fillId="51" borderId="209" xfId="46" applyFont="1" applyFill="1" applyBorder="1">
      <alignment horizontal="center" vertical="center"/>
    </xf>
    <xf numFmtId="0" fontId="0" fillId="51" borderId="218" xfId="0" applyFill="1" applyBorder="1">
      <alignment horizontal="center" vertical="center"/>
    </xf>
    <xf numFmtId="0" fontId="7" fillId="51" borderId="145" xfId="43" applyFill="1" applyBorder="1">
      <alignment horizontal="center" vertical="center"/>
    </xf>
    <xf numFmtId="0" fontId="4" fillId="0" borderId="219" xfId="0" applyFont="1" applyBorder="1" applyAlignment="1" applyProtection="1">
      <alignment horizontal="center"/>
      <protection locked="0"/>
    </xf>
    <xf numFmtId="0" fontId="6" fillId="0" borderId="219" xfId="0" applyFont="1" applyBorder="1" applyAlignment="1">
      <alignment horizontal="center"/>
    </xf>
    <xf numFmtId="0" fontId="0" fillId="0" borderId="220" xfId="0" applyBorder="1" applyAlignment="1">
      <alignment vertical="center"/>
    </xf>
    <xf numFmtId="0" fontId="0" fillId="51" borderId="220" xfId="0" applyFill="1" applyBorder="1" applyAlignment="1" applyProtection="1">
      <alignment horizontal="left" vertical="center"/>
      <protection locked="0"/>
    </xf>
    <xf numFmtId="0" fontId="0" fillId="51" borderId="219" xfId="51" applyFont="1" applyFill="1" applyBorder="1">
      <alignment horizontal="center" vertical="center"/>
    </xf>
    <xf numFmtId="0" fontId="0" fillId="51" borderId="220" xfId="44" applyFont="1" applyFill="1" applyBorder="1">
      <alignment horizontal="center" vertical="center"/>
    </xf>
    <xf numFmtId="0" fontId="0" fillId="51" borderId="220" xfId="48" applyFont="1" applyFill="1" applyBorder="1">
      <alignment horizontal="center" vertical="center"/>
    </xf>
    <xf numFmtId="0" fontId="0" fillId="55" borderId="220" xfId="48" applyFont="1" applyFill="1" applyBorder="1">
      <alignment horizontal="center" vertical="center"/>
    </xf>
    <xf numFmtId="0" fontId="7" fillId="51" borderId="101" xfId="45" applyFill="1" applyBorder="1">
      <alignment horizontal="center" vertical="center"/>
    </xf>
    <xf numFmtId="49" fontId="0" fillId="52" borderId="102" xfId="0" applyNumberFormat="1" applyFill="1" applyBorder="1">
      <alignment horizontal="center" vertical="center"/>
    </xf>
    <xf numFmtId="0" fontId="0" fillId="53" borderId="102" xfId="43" applyFont="1" applyBorder="1">
      <alignment horizontal="center" vertical="center"/>
    </xf>
    <xf numFmtId="0" fontId="0" fillId="55" borderId="102" xfId="47" applyFont="1" applyFill="1" applyBorder="1">
      <alignment horizontal="center" vertical="center"/>
    </xf>
    <xf numFmtId="0" fontId="7" fillId="58" borderId="102" xfId="33" applyBorder="1">
      <alignment horizontal="center" vertical="center"/>
    </xf>
    <xf numFmtId="0" fontId="0" fillId="55" borderId="218" xfId="0" applyFill="1" applyBorder="1">
      <alignment horizontal="center" vertical="center"/>
    </xf>
    <xf numFmtId="0" fontId="0" fillId="57" borderId="119" xfId="51" applyFont="1" applyFill="1" applyBorder="1">
      <alignment horizontal="center" vertical="center"/>
    </xf>
    <xf numFmtId="0" fontId="0" fillId="53" borderId="209" xfId="46" applyFont="1" applyFill="1" applyBorder="1">
      <alignment horizontal="center" vertical="center"/>
    </xf>
    <xf numFmtId="0" fontId="0" fillId="53" borderId="218" xfId="0" applyFill="1" applyBorder="1">
      <alignment horizontal="center" vertical="center"/>
    </xf>
    <xf numFmtId="0" fontId="0" fillId="57" borderId="209" xfId="44" applyFont="1" applyFill="1" applyBorder="1">
      <alignment horizontal="center" vertical="center"/>
    </xf>
    <xf numFmtId="0" fontId="0" fillId="57" borderId="209" xfId="0" applyFill="1" applyBorder="1">
      <alignment horizontal="center" vertical="center"/>
    </xf>
    <xf numFmtId="0" fontId="21" fillId="0" borderId="221" xfId="0" applyFont="1" applyBorder="1" applyAlignment="1">
      <alignment vertical="center"/>
    </xf>
    <xf numFmtId="0" fontId="0" fillId="51" borderId="221" xfId="0" applyFill="1" applyBorder="1">
      <alignment horizontal="center" vertical="center"/>
    </xf>
    <xf numFmtId="1" fontId="0" fillId="51" borderId="221" xfId="32" applyNumberFormat="1" applyFont="1" applyFill="1" applyBorder="1" applyAlignment="1">
      <alignment horizontal="center" vertical="center"/>
    </xf>
    <xf numFmtId="0" fontId="0" fillId="51" borderId="221" xfId="43" applyFont="1" applyFill="1" applyBorder="1">
      <alignment horizontal="center" vertical="center"/>
    </xf>
    <xf numFmtId="0" fontId="0" fillId="51" borderId="222" xfId="0" applyFill="1" applyBorder="1">
      <alignment horizontal="center" vertical="center"/>
    </xf>
    <xf numFmtId="0" fontId="4" fillId="0" borderId="223" xfId="0" applyFont="1" applyBorder="1" applyAlignment="1" applyProtection="1">
      <alignment horizontal="center"/>
      <protection locked="0"/>
    </xf>
    <xf numFmtId="0" fontId="0" fillId="0" borderId="223" xfId="0" applyBorder="1">
      <alignment horizontal="center" vertical="center"/>
    </xf>
    <xf numFmtId="0" fontId="21" fillId="51" borderId="209" xfId="0" applyFont="1" applyFill="1" applyBorder="1" applyAlignment="1">
      <alignment horizontal="left" vertical="center"/>
    </xf>
    <xf numFmtId="0" fontId="0" fillId="0" borderId="210" xfId="0" applyBorder="1">
      <alignment horizontal="center" vertical="center"/>
    </xf>
    <xf numFmtId="0" fontId="0" fillId="0" borderId="213" xfId="0" applyBorder="1">
      <alignment horizontal="center" vertical="center"/>
    </xf>
    <xf numFmtId="0" fontId="0" fillId="0" borderId="224" xfId="0" applyBorder="1">
      <alignment horizontal="center" vertical="center"/>
    </xf>
    <xf numFmtId="0" fontId="0" fillId="0" borderId="225" xfId="0" applyBorder="1">
      <alignment horizontal="center" vertical="center"/>
    </xf>
    <xf numFmtId="0" fontId="0" fillId="0" borderId="226" xfId="0" applyBorder="1">
      <alignment horizontal="center" vertical="center"/>
    </xf>
    <xf numFmtId="0" fontId="0" fillId="0" borderId="212" xfId="0" applyBorder="1" applyAlignment="1">
      <alignment horizontal="left" vertical="center"/>
    </xf>
    <xf numFmtId="0" fontId="0" fillId="0" borderId="215" xfId="0" applyBorder="1">
      <alignment horizontal="center" vertical="center"/>
    </xf>
    <xf numFmtId="0" fontId="0" fillId="0" borderId="214" xfId="0" applyBorder="1" applyAlignment="1">
      <alignment horizontal="left" vertical="center"/>
    </xf>
    <xf numFmtId="0" fontId="0" fillId="0" borderId="213" xfId="0" applyBorder="1" applyAlignment="1">
      <alignment horizontal="left" vertical="center"/>
    </xf>
    <xf numFmtId="0" fontId="0" fillId="0" borderId="211" xfId="0" applyBorder="1" applyAlignment="1">
      <alignment horizontal="left" vertical="center"/>
    </xf>
    <xf numFmtId="0" fontId="0" fillId="0" borderId="227" xfId="0" applyBorder="1">
      <alignment horizontal="center" vertical="center"/>
    </xf>
    <xf numFmtId="0" fontId="0" fillId="0" borderId="228" xfId="0" applyBorder="1">
      <alignment horizontal="center" vertical="center"/>
    </xf>
    <xf numFmtId="0" fontId="0" fillId="0" borderId="229" xfId="0" applyBorder="1">
      <alignment horizontal="center" vertical="center"/>
    </xf>
    <xf numFmtId="0" fontId="0" fillId="0" borderId="230" xfId="0" applyBorder="1">
      <alignment horizontal="center" vertical="center"/>
    </xf>
    <xf numFmtId="0" fontId="4" fillId="43" borderId="231" xfId="0" applyFont="1" applyFill="1" applyBorder="1" applyAlignment="1">
      <alignment horizontal="center"/>
    </xf>
    <xf numFmtId="0" fontId="0" fillId="0" borderId="231" xfId="0" applyBorder="1" applyAlignment="1">
      <alignment vertical="center"/>
    </xf>
    <xf numFmtId="0" fontId="0" fillId="51" borderId="231" xfId="20" applyNumberFormat="1" applyFont="1" applyFill="1" applyBorder="1" applyAlignment="1">
      <alignment horizontal="center" vertical="center"/>
    </xf>
    <xf numFmtId="0" fontId="0" fillId="52" borderId="147" xfId="45" applyFont="1" applyFill="1" applyBorder="1">
      <alignment horizontal="center" vertical="center"/>
    </xf>
    <xf numFmtId="0" fontId="7" fillId="69" borderId="147" xfId="44" applyBorder="1">
      <alignment horizontal="center" vertical="center"/>
    </xf>
    <xf numFmtId="0" fontId="4" fillId="0" borderId="210" xfId="0" applyFont="1" applyBorder="1" applyAlignment="1">
      <alignment horizontal="center"/>
    </xf>
    <xf numFmtId="0" fontId="4" fillId="0" borderId="230" xfId="0" applyFont="1" applyBorder="1" applyAlignment="1">
      <alignment horizontal="center"/>
    </xf>
    <xf numFmtId="0" fontId="4" fillId="0" borderId="232" xfId="0" applyFont="1" applyBorder="1" applyAlignment="1">
      <alignment horizontal="left"/>
    </xf>
    <xf numFmtId="0" fontId="6" fillId="0" borderId="230" xfId="0" applyFont="1" applyBorder="1" applyAlignment="1">
      <alignment horizontal="center"/>
    </xf>
    <xf numFmtId="0" fontId="0" fillId="0" borderId="230" xfId="0" applyBorder="1" applyAlignment="1">
      <alignment horizontal="center"/>
    </xf>
    <xf numFmtId="0" fontId="4" fillId="0" borderId="232" xfId="0" applyFont="1" applyBorder="1" applyAlignment="1">
      <alignment horizontal="center"/>
    </xf>
    <xf numFmtId="0" fontId="6" fillId="0" borderId="233" xfId="0" applyFont="1" applyBorder="1" applyAlignment="1">
      <alignment horizontal="center"/>
    </xf>
    <xf numFmtId="0" fontId="6" fillId="0" borderId="232" xfId="0" applyFont="1" applyBorder="1" applyAlignment="1">
      <alignment horizontal="center"/>
    </xf>
    <xf numFmtId="0" fontId="0" fillId="0" borderId="232" xfId="0" applyBorder="1" applyAlignment="1">
      <alignment horizontal="center"/>
    </xf>
    <xf numFmtId="0" fontId="7" fillId="0" borderId="233" xfId="0" applyFont="1" applyBorder="1" applyAlignment="1">
      <alignment horizontal="left" vertical="center"/>
    </xf>
    <xf numFmtId="0" fontId="6" fillId="0" borderId="233" xfId="0" applyFont="1" applyBorder="1">
      <alignment horizontal="center" vertical="center"/>
    </xf>
    <xf numFmtId="0" fontId="6" fillId="0" borderId="232" xfId="0" applyFont="1" applyBorder="1">
      <alignment horizontal="center" vertical="center"/>
    </xf>
    <xf numFmtId="0" fontId="6" fillId="0" borderId="211" xfId="0" applyFont="1" applyBorder="1">
      <alignment horizontal="center" vertical="center"/>
    </xf>
    <xf numFmtId="0" fontId="7" fillId="0" borderId="211" xfId="0" applyFont="1" applyBorder="1">
      <alignment horizontal="center" vertical="center"/>
    </xf>
    <xf numFmtId="0" fontId="7" fillId="0" borderId="225" xfId="0" applyFont="1" applyBorder="1">
      <alignment horizontal="center" vertical="center"/>
    </xf>
    <xf numFmtId="0" fontId="7" fillId="0" borderId="231" xfId="0" applyFont="1" applyBorder="1">
      <alignment horizontal="center" vertical="center"/>
    </xf>
    <xf numFmtId="0" fontId="7" fillId="0" borderId="231" xfId="0" applyFont="1" applyBorder="1" applyAlignment="1">
      <alignment horizontal="left" vertical="center"/>
    </xf>
    <xf numFmtId="0" fontId="0" fillId="52" borderId="231" xfId="0" applyFill="1" applyBorder="1">
      <alignment horizontal="center" vertical="center"/>
    </xf>
    <xf numFmtId="0" fontId="0" fillId="0" borderId="230" xfId="0" applyBorder="1" applyAlignment="1"/>
    <xf numFmtId="0" fontId="4" fillId="0" borderId="233" xfId="0" applyFont="1" applyBorder="1" applyAlignment="1">
      <alignment horizontal="left"/>
    </xf>
    <xf numFmtId="0" fontId="0" fillId="0" borderId="233" xfId="0" applyBorder="1" applyAlignment="1"/>
    <xf numFmtId="0" fontId="0" fillId="0" borderId="232" xfId="0" applyBorder="1" applyAlignment="1"/>
    <xf numFmtId="0" fontId="4" fillId="0" borderId="230" xfId="0" applyFont="1" applyBorder="1" applyAlignment="1">
      <alignment horizontal="left"/>
    </xf>
    <xf numFmtId="0" fontId="0" fillId="0" borderId="234" xfId="0" applyBorder="1" applyAlignment="1"/>
    <xf numFmtId="0" fontId="0" fillId="51" borderId="231" xfId="0" applyFill="1" applyBorder="1" applyAlignment="1">
      <alignment horizontal="left" vertical="center"/>
    </xf>
    <xf numFmtId="49" fontId="0" fillId="60" borderId="231" xfId="0" applyNumberFormat="1" applyFill="1" applyBorder="1">
      <alignment horizontal="center" vertical="center"/>
    </xf>
    <xf numFmtId="0" fontId="0" fillId="60" borderId="231" xfId="0" applyFill="1" applyBorder="1">
      <alignment horizontal="center" vertical="center"/>
    </xf>
    <xf numFmtId="0" fontId="0" fillId="60" borderId="231" xfId="44" applyFont="1" applyFill="1" applyBorder="1">
      <alignment horizontal="center" vertical="center"/>
    </xf>
    <xf numFmtId="49" fontId="0" fillId="60" borderId="235" xfId="0" applyNumberFormat="1" applyFill="1" applyBorder="1">
      <alignment horizontal="center" vertical="center"/>
    </xf>
    <xf numFmtId="0" fontId="0" fillId="52" borderId="147" xfId="51" applyFont="1" applyFill="1" applyBorder="1">
      <alignment horizontal="center" vertical="center"/>
    </xf>
    <xf numFmtId="0" fontId="0" fillId="0" borderId="147" xfId="51" applyFont="1" applyFill="1" applyBorder="1">
      <alignment horizontal="center" vertical="center"/>
    </xf>
    <xf numFmtId="0" fontId="0" fillId="52" borderId="145" xfId="51" applyFont="1" applyFill="1" applyBorder="1">
      <alignment horizontal="center" vertical="center"/>
    </xf>
    <xf numFmtId="0" fontId="7" fillId="0" borderId="119" xfId="48" applyFill="1" applyBorder="1">
      <alignment horizontal="center" vertical="center"/>
    </xf>
    <xf numFmtId="0" fontId="4" fillId="43" borderId="236" xfId="0" applyFont="1" applyFill="1" applyBorder="1" applyAlignment="1">
      <alignment horizontal="center"/>
    </xf>
    <xf numFmtId="0" fontId="0" fillId="51" borderId="236" xfId="0" applyFill="1" applyBorder="1">
      <alignment horizontal="center" vertical="center"/>
    </xf>
    <xf numFmtId="0" fontId="0" fillId="51" borderId="236" xfId="44" applyFont="1" applyFill="1" applyBorder="1">
      <alignment horizontal="center" vertical="center"/>
    </xf>
    <xf numFmtId="49" fontId="0" fillId="51" borderId="236" xfId="0" applyNumberFormat="1" applyFill="1" applyBorder="1">
      <alignment horizontal="center" vertical="center"/>
    </xf>
    <xf numFmtId="0" fontId="0" fillId="51" borderId="237" xfId="0" applyFill="1" applyBorder="1">
      <alignment horizontal="center" vertical="center"/>
    </xf>
    <xf numFmtId="0" fontId="7" fillId="55" borderId="167" xfId="45" applyBorder="1">
      <alignment horizontal="center" vertical="center"/>
    </xf>
    <xf numFmtId="0" fontId="0" fillId="71" borderId="156" xfId="0" applyFill="1" applyBorder="1">
      <alignment horizontal="center" vertical="center"/>
    </xf>
    <xf numFmtId="0" fontId="7" fillId="51" borderId="230" xfId="0" applyFont="1" applyFill="1" applyBorder="1" applyAlignment="1">
      <alignment vertical="center"/>
    </xf>
    <xf numFmtId="0" fontId="7" fillId="69" borderId="236" xfId="44" applyBorder="1">
      <alignment horizontal="center" vertical="center"/>
    </xf>
    <xf numFmtId="0" fontId="7" fillId="52" borderId="236" xfId="48" applyBorder="1">
      <alignment horizontal="center" vertical="center"/>
    </xf>
    <xf numFmtId="0" fontId="7" fillId="52" borderId="237" xfId="48" applyBorder="1">
      <alignment horizontal="center" vertical="center"/>
    </xf>
    <xf numFmtId="0" fontId="7" fillId="52" borderId="238" xfId="48" applyBorder="1">
      <alignment horizontal="center" vertical="center"/>
    </xf>
    <xf numFmtId="0" fontId="0" fillId="51" borderId="238" xfId="0" applyFill="1" applyBorder="1">
      <alignment horizontal="center" vertical="center"/>
    </xf>
    <xf numFmtId="0" fontId="0" fillId="51" borderId="150" xfId="0" applyFill="1" applyBorder="1">
      <alignment horizontal="center" vertical="center"/>
    </xf>
    <xf numFmtId="0" fontId="4" fillId="0" borderId="239" xfId="0" applyFont="1" applyBorder="1" applyAlignment="1">
      <alignment horizontal="center"/>
    </xf>
    <xf numFmtId="49" fontId="7" fillId="0" borderId="240" xfId="0" applyNumberFormat="1" applyFont="1" applyBorder="1">
      <alignment horizontal="center" vertical="center"/>
    </xf>
    <xf numFmtId="0" fontId="0" fillId="0" borderId="241" xfId="0" applyBorder="1">
      <alignment horizontal="center" vertical="center"/>
    </xf>
    <xf numFmtId="0" fontId="0" fillId="0" borderId="242" xfId="0" applyBorder="1">
      <alignment horizontal="center" vertical="center"/>
    </xf>
    <xf numFmtId="0" fontId="4" fillId="0" borderId="242" xfId="0" applyFont="1" applyBorder="1" applyAlignment="1">
      <alignment horizontal="left"/>
    </xf>
    <xf numFmtId="0" fontId="0" fillId="0" borderId="243" xfId="0" applyBorder="1">
      <alignment horizontal="center" vertical="center"/>
    </xf>
    <xf numFmtId="0" fontId="0" fillId="51" borderId="236" xfId="0" applyFill="1" applyBorder="1" applyAlignment="1">
      <alignment horizontal="left" vertical="center" wrapText="1"/>
    </xf>
    <xf numFmtId="49" fontId="0" fillId="51" borderId="244" xfId="0" applyNumberFormat="1" applyFill="1" applyBorder="1">
      <alignment horizontal="center" vertical="center"/>
    </xf>
    <xf numFmtId="49" fontId="0" fillId="51" borderId="245" xfId="0" applyNumberFormat="1" applyFill="1" applyBorder="1">
      <alignment horizontal="center" vertical="center"/>
    </xf>
    <xf numFmtId="0" fontId="7" fillId="52" borderId="245" xfId="48" applyBorder="1">
      <alignment horizontal="center" vertical="center"/>
    </xf>
    <xf numFmtId="49" fontId="0" fillId="52" borderId="245" xfId="0" applyNumberFormat="1" applyFill="1" applyBorder="1">
      <alignment horizontal="center" vertical="center"/>
    </xf>
    <xf numFmtId="0" fontId="0" fillId="51" borderId="245" xfId="0" applyFill="1" applyBorder="1">
      <alignment horizontal="center" vertical="center"/>
    </xf>
    <xf numFmtId="0" fontId="7" fillId="53" borderId="245" xfId="43" applyBorder="1">
      <alignment horizontal="center" vertical="center"/>
    </xf>
    <xf numFmtId="0" fontId="7" fillId="0" borderId="245" xfId="53" applyBorder="1">
      <alignment horizontal="center" vertical="center"/>
    </xf>
    <xf numFmtId="0" fontId="0" fillId="51" borderId="246" xfId="0" applyFill="1" applyBorder="1" applyAlignment="1">
      <alignment horizontal="left" vertical="center"/>
    </xf>
    <xf numFmtId="0" fontId="7" fillId="58" borderId="246" xfId="33" applyBorder="1">
      <alignment horizontal="center" vertical="center"/>
    </xf>
    <xf numFmtId="0" fontId="4" fillId="0" borderId="230" xfId="0" applyFont="1" applyBorder="1" applyAlignment="1">
      <alignment horizontal="left" vertical="center"/>
    </xf>
    <xf numFmtId="0" fontId="0" fillId="0" borderId="232" xfId="0" applyBorder="1" applyAlignment="1">
      <alignment horizontal="left" vertical="center"/>
    </xf>
    <xf numFmtId="0" fontId="4" fillId="0" borderId="233" xfId="0" applyFont="1" applyBorder="1" applyAlignment="1">
      <alignment horizontal="left" vertical="center"/>
    </xf>
    <xf numFmtId="0" fontId="4" fillId="0" borderId="247" xfId="0" applyFont="1" applyBorder="1" applyAlignment="1">
      <alignment horizontal="left"/>
    </xf>
    <xf numFmtId="0" fontId="0" fillId="0" borderId="248" xfId="0" applyBorder="1" applyAlignment="1">
      <alignment horizontal="left" vertical="center"/>
    </xf>
    <xf numFmtId="49" fontId="0" fillId="0" borderId="249" xfId="0" applyNumberFormat="1" applyBorder="1" applyAlignment="1">
      <alignment horizontal="left"/>
    </xf>
    <xf numFmtId="49" fontId="0" fillId="0" borderId="249" xfId="0" applyNumberFormat="1" applyBorder="1" applyAlignment="1">
      <alignment horizontal="left" vertical="center"/>
    </xf>
    <xf numFmtId="0" fontId="3" fillId="0" borderId="250" xfId="0" applyFont="1" applyBorder="1" applyAlignment="1">
      <alignment horizontal="center"/>
    </xf>
    <xf numFmtId="0" fontId="0" fillId="0" borderId="251" xfId="0" applyBorder="1" applyAlignment="1">
      <alignment horizontal="left" vertical="center"/>
    </xf>
    <xf numFmtId="49" fontId="0" fillId="0" borderId="252" xfId="0" applyNumberFormat="1" applyBorder="1" applyAlignment="1">
      <alignment horizontal="left"/>
    </xf>
    <xf numFmtId="0" fontId="4" fillId="0" borderId="236" xfId="0" applyFont="1" applyBorder="1" applyAlignment="1" applyProtection="1">
      <alignment horizontal="center"/>
      <protection locked="0"/>
    </xf>
    <xf numFmtId="0" fontId="0" fillId="0" borderId="236" xfId="0" applyBorder="1" applyAlignment="1">
      <alignment horizontal="left"/>
    </xf>
    <xf numFmtId="0" fontId="0" fillId="51" borderId="250" xfId="53" applyFont="1" applyFill="1" applyBorder="1">
      <alignment horizontal="center" vertical="center"/>
    </xf>
    <xf numFmtId="0" fontId="4" fillId="0" borderId="250" xfId="0" applyFont="1" applyBorder="1" applyAlignment="1" applyProtection="1">
      <alignment horizontal="center"/>
      <protection locked="0"/>
    </xf>
    <xf numFmtId="0" fontId="4" fillId="0" borderId="250" xfId="0" applyFont="1" applyBorder="1" applyAlignment="1">
      <alignment horizontal="left"/>
    </xf>
    <xf numFmtId="0" fontId="0" fillId="51" borderId="253" xfId="0" applyFill="1" applyBorder="1">
      <alignment horizontal="center" vertical="center"/>
    </xf>
    <xf numFmtId="0" fontId="0" fillId="0" borderId="250" xfId="0" applyBorder="1" applyAlignment="1" applyProtection="1">
      <alignment horizontal="center"/>
      <protection locked="0"/>
    </xf>
    <xf numFmtId="0" fontId="0" fillId="0" borderId="250" xfId="0" applyBorder="1" applyAlignment="1">
      <alignment horizontal="left"/>
    </xf>
    <xf numFmtId="0" fontId="7" fillId="52" borderId="253" xfId="48" applyBorder="1">
      <alignment horizontal="center" vertical="center"/>
    </xf>
    <xf numFmtId="0" fontId="4" fillId="0" borderId="250" xfId="0" applyFont="1" applyBorder="1" applyAlignment="1">
      <alignment vertical="center"/>
    </xf>
    <xf numFmtId="0" fontId="7" fillId="70" borderId="250" xfId="52" applyBorder="1">
      <alignment horizontal="center" vertical="center"/>
    </xf>
    <xf numFmtId="0" fontId="0" fillId="0" borderId="253" xfId="0" applyBorder="1">
      <alignment horizontal="center" vertical="center"/>
    </xf>
    <xf numFmtId="0" fontId="7" fillId="69" borderId="250" xfId="44" applyBorder="1">
      <alignment horizontal="center" vertical="center"/>
    </xf>
    <xf numFmtId="0" fontId="3" fillId="0" borderId="250" xfId="0" applyFont="1" applyBorder="1" applyAlignment="1" applyProtection="1">
      <alignment horizontal="center"/>
      <protection locked="0"/>
    </xf>
    <xf numFmtId="0" fontId="0" fillId="51" borderId="253" xfId="51" applyFont="1" applyFill="1" applyBorder="1">
      <alignment horizontal="center" vertical="center"/>
    </xf>
    <xf numFmtId="0" fontId="7" fillId="54" borderId="253" xfId="50" applyBorder="1">
      <alignment horizontal="center" vertical="center"/>
    </xf>
    <xf numFmtId="0" fontId="0" fillId="51" borderId="253" xfId="48" applyFont="1" applyFill="1" applyBorder="1">
      <alignment horizontal="center" vertical="center"/>
    </xf>
    <xf numFmtId="0" fontId="4" fillId="0" borderId="254" xfId="0" applyFont="1" applyBorder="1">
      <alignment horizontal="center" vertical="center"/>
    </xf>
    <xf numFmtId="0" fontId="0" fillId="51" borderId="250" xfId="33" applyFont="1" applyFill="1" applyBorder="1">
      <alignment horizontal="center" vertical="center"/>
    </xf>
    <xf numFmtId="49" fontId="0" fillId="51" borderId="253" xfId="0" applyNumberFormat="1" applyFill="1" applyBorder="1">
      <alignment horizontal="center" vertical="center"/>
    </xf>
    <xf numFmtId="0" fontId="7" fillId="0" borderId="250" xfId="0" applyFont="1" applyBorder="1" applyAlignment="1">
      <alignment vertical="center"/>
    </xf>
    <xf numFmtId="0" fontId="7" fillId="51" borderId="250" xfId="0" applyFont="1" applyFill="1" applyBorder="1" applyAlignment="1">
      <alignment vertical="center"/>
    </xf>
    <xf numFmtId="0" fontId="4" fillId="0" borderId="255" xfId="0" applyFont="1" applyBorder="1" applyAlignment="1">
      <alignment horizontal="center"/>
    </xf>
    <xf numFmtId="0" fontId="4" fillId="0" borderId="256" xfId="0" applyFont="1" applyBorder="1" applyAlignment="1">
      <alignment horizontal="center"/>
    </xf>
    <xf numFmtId="0" fontId="3" fillId="0" borderId="247" xfId="0" applyFont="1" applyBorder="1" applyAlignment="1">
      <alignment horizontal="left"/>
    </xf>
    <xf numFmtId="0" fontId="4" fillId="0" borderId="257" xfId="0" applyFont="1" applyBorder="1" applyAlignment="1">
      <alignment horizontal="center"/>
    </xf>
    <xf numFmtId="0" fontId="3" fillId="0" borderId="258" xfId="0" applyFont="1" applyBorder="1" applyAlignment="1">
      <alignment horizontal="center"/>
    </xf>
    <xf numFmtId="0" fontId="0" fillId="0" borderId="259" xfId="0" applyBorder="1" applyAlignment="1" applyProtection="1">
      <alignment horizontal="center"/>
      <protection locked="0"/>
    </xf>
    <xf numFmtId="0" fontId="0" fillId="0" borderId="249" xfId="0" applyBorder="1" applyAlignment="1" applyProtection="1">
      <alignment horizontal="center"/>
      <protection locked="0"/>
    </xf>
    <xf numFmtId="0" fontId="0" fillId="43" borderId="260" xfId="0" applyFill="1" applyBorder="1" applyAlignment="1">
      <alignment horizontal="center"/>
    </xf>
    <xf numFmtId="0" fontId="47" fillId="0" borderId="260" xfId="0" applyFont="1" applyBorder="1" applyAlignment="1">
      <alignment horizontal="left" vertical="center"/>
    </xf>
    <xf numFmtId="0" fontId="0" fillId="0" borderId="261" xfId="0" applyBorder="1" applyAlignment="1">
      <alignment horizontal="left" vertical="center"/>
    </xf>
    <xf numFmtId="0" fontId="7" fillId="52" borderId="259" xfId="48" applyBorder="1">
      <alignment horizontal="center" vertical="center"/>
    </xf>
    <xf numFmtId="49" fontId="7" fillId="51" borderId="259" xfId="0" applyNumberFormat="1" applyFont="1" applyFill="1" applyBorder="1">
      <alignment horizontal="center" vertical="center"/>
    </xf>
    <xf numFmtId="0" fontId="7" fillId="70" borderId="259" xfId="52" applyBorder="1">
      <alignment horizontal="center" vertical="center"/>
    </xf>
    <xf numFmtId="0" fontId="0" fillId="0" borderId="262" xfId="0" applyBorder="1" applyAlignment="1" applyProtection="1">
      <alignment horizontal="center"/>
      <protection locked="0"/>
    </xf>
    <xf numFmtId="0" fontId="0" fillId="0" borderId="263" xfId="0" applyBorder="1" applyAlignment="1">
      <alignment horizontal="left" vertical="center"/>
    </xf>
    <xf numFmtId="0" fontId="7" fillId="70" borderId="260" xfId="52" applyBorder="1">
      <alignment horizontal="center" vertical="center"/>
    </xf>
    <xf numFmtId="49" fontId="7" fillId="51" borderId="260" xfId="0" applyNumberFormat="1" applyFont="1" applyFill="1" applyBorder="1">
      <alignment horizontal="center" vertical="center"/>
    </xf>
    <xf numFmtId="49" fontId="0" fillId="0" borderId="249" xfId="0" applyNumberFormat="1" applyBorder="1" applyAlignment="1"/>
    <xf numFmtId="0" fontId="4" fillId="0" borderId="262" xfId="0" applyFont="1" applyBorder="1" applyAlignment="1" applyProtection="1">
      <alignment horizontal="center"/>
      <protection locked="0"/>
    </xf>
    <xf numFmtId="0" fontId="6" fillId="0" borderId="262" xfId="0" applyFont="1" applyBorder="1" applyAlignment="1">
      <alignment horizontal="center"/>
    </xf>
    <xf numFmtId="0" fontId="0" fillId="0" borderId="264" xfId="0" applyBorder="1" applyAlignment="1">
      <alignment horizontal="left" vertical="center"/>
    </xf>
    <xf numFmtId="0" fontId="0" fillId="0" borderId="259" xfId="0" applyBorder="1" applyAlignment="1" applyProtection="1">
      <alignment horizontal="left"/>
      <protection locked="0"/>
    </xf>
    <xf numFmtId="0" fontId="7" fillId="52" borderId="265" xfId="48" applyBorder="1">
      <alignment horizontal="center" vertical="center"/>
    </xf>
    <xf numFmtId="0" fontId="0" fillId="51" borderId="265" xfId="0" applyFill="1" applyBorder="1">
      <alignment horizontal="center" vertical="center"/>
    </xf>
    <xf numFmtId="0" fontId="7" fillId="52" borderId="266" xfId="48" applyBorder="1">
      <alignment horizontal="center" vertical="center"/>
    </xf>
    <xf numFmtId="0" fontId="7" fillId="54" borderId="250" xfId="50" applyBorder="1">
      <alignment horizontal="center" vertical="center"/>
    </xf>
    <xf numFmtId="0" fontId="0" fillId="0" borderId="267" xfId="0" applyBorder="1" applyAlignment="1">
      <alignment vertical="center"/>
    </xf>
    <xf numFmtId="0" fontId="0" fillId="0" borderId="246" xfId="0" applyBorder="1">
      <alignment horizontal="center" vertical="center"/>
    </xf>
    <xf numFmtId="49" fontId="0" fillId="51" borderId="268" xfId="0" applyNumberFormat="1" applyFill="1" applyBorder="1">
      <alignment horizontal="center" vertical="center"/>
    </xf>
    <xf numFmtId="49" fontId="0" fillId="51" borderId="262" xfId="0" applyNumberFormat="1" applyFill="1" applyBorder="1">
      <alignment horizontal="center" vertical="center"/>
    </xf>
    <xf numFmtId="0" fontId="0" fillId="51" borderId="262" xfId="0" applyFill="1" applyBorder="1">
      <alignment horizontal="center" vertical="center"/>
    </xf>
    <xf numFmtId="49" fontId="0" fillId="51" borderId="269" xfId="0" applyNumberFormat="1" applyFill="1" applyBorder="1">
      <alignment horizontal="center" vertical="center"/>
    </xf>
    <xf numFmtId="0" fontId="6" fillId="44" borderId="249" xfId="0" applyFont="1" applyFill="1" applyBorder="1" applyAlignment="1">
      <alignment horizontal="left"/>
    </xf>
    <xf numFmtId="0" fontId="6" fillId="25" borderId="249" xfId="0" applyFont="1" applyFill="1" applyBorder="1">
      <alignment horizontal="center" vertical="center"/>
    </xf>
    <xf numFmtId="0" fontId="7" fillId="25" borderId="247" xfId="0" applyFont="1" applyFill="1" applyBorder="1">
      <alignment horizontal="center" vertical="center"/>
    </xf>
    <xf numFmtId="0" fontId="6" fillId="29" borderId="249" xfId="0" applyFont="1" applyFill="1" applyBorder="1" applyAlignment="1">
      <alignment horizontal="left"/>
    </xf>
    <xf numFmtId="0" fontId="6" fillId="29" borderId="247" xfId="0" applyFont="1" applyFill="1" applyBorder="1" applyAlignment="1">
      <alignment horizontal="left"/>
    </xf>
    <xf numFmtId="0" fontId="7" fillId="29" borderId="247" xfId="0" applyFont="1" applyFill="1" applyBorder="1">
      <alignment horizontal="center" vertical="center"/>
    </xf>
    <xf numFmtId="0" fontId="7" fillId="29" borderId="248" xfId="0" applyFont="1" applyFill="1" applyBorder="1">
      <alignment horizontal="center" vertical="center"/>
    </xf>
    <xf numFmtId="0" fontId="6" fillId="37" borderId="249" xfId="0" applyFont="1" applyFill="1" applyBorder="1" applyAlignment="1">
      <alignment horizontal="left"/>
    </xf>
    <xf numFmtId="0" fontId="6" fillId="37" borderId="247" xfId="0" applyFont="1" applyFill="1" applyBorder="1" applyAlignment="1">
      <alignment horizontal="left"/>
    </xf>
    <xf numFmtId="0" fontId="0" fillId="37" borderId="247" xfId="0" applyFill="1" applyBorder="1">
      <alignment horizontal="center" vertical="center"/>
    </xf>
    <xf numFmtId="0" fontId="6" fillId="45" borderId="249" xfId="0" applyFont="1" applyFill="1" applyBorder="1" applyAlignment="1">
      <alignment horizontal="left"/>
    </xf>
    <xf numFmtId="0" fontId="0" fillId="45" borderId="247" xfId="0" applyFill="1" applyBorder="1">
      <alignment horizontal="center" vertical="center"/>
    </xf>
    <xf numFmtId="0" fontId="7" fillId="45" borderId="247" xfId="0" applyFont="1" applyFill="1" applyBorder="1">
      <alignment horizontal="center" vertical="center"/>
    </xf>
    <xf numFmtId="0" fontId="7" fillId="45" borderId="248" xfId="0" applyFont="1" applyFill="1" applyBorder="1">
      <alignment horizontal="center" vertical="center"/>
    </xf>
    <xf numFmtId="0" fontId="6" fillId="24" borderId="249" xfId="0" applyFont="1" applyFill="1" applyBorder="1">
      <alignment horizontal="center" vertical="center"/>
    </xf>
    <xf numFmtId="0" fontId="0" fillId="24" borderId="247" xfId="0" applyFill="1" applyBorder="1">
      <alignment horizontal="center" vertical="center"/>
    </xf>
    <xf numFmtId="0" fontId="7" fillId="24" borderId="247" xfId="0" applyFont="1" applyFill="1" applyBorder="1">
      <alignment horizontal="center" vertical="center"/>
    </xf>
    <xf numFmtId="0" fontId="6" fillId="40" borderId="249" xfId="0" applyFont="1" applyFill="1" applyBorder="1" applyAlignment="1">
      <alignment horizontal="left"/>
    </xf>
    <xf numFmtId="0" fontId="7" fillId="40" borderId="247" xfId="0" applyFont="1" applyFill="1" applyBorder="1">
      <alignment horizontal="center" vertical="center"/>
    </xf>
    <xf numFmtId="0" fontId="0" fillId="40" borderId="248" xfId="0" applyFill="1" applyBorder="1">
      <alignment horizontal="center" vertical="center"/>
    </xf>
    <xf numFmtId="0" fontId="0" fillId="46" borderId="270" xfId="0" applyFill="1" applyBorder="1">
      <alignment horizontal="center" vertical="center"/>
    </xf>
    <xf numFmtId="0" fontId="7" fillId="46" borderId="270" xfId="0" applyFont="1" applyFill="1" applyBorder="1">
      <alignment horizontal="center" vertical="center"/>
    </xf>
    <xf numFmtId="0" fontId="7" fillId="46" borderId="271" xfId="0" applyFont="1" applyFill="1" applyBorder="1">
      <alignment horizontal="center" vertical="center"/>
    </xf>
    <xf numFmtId="0" fontId="6" fillId="0" borderId="264" xfId="0" applyFont="1" applyBorder="1" applyAlignment="1">
      <alignment horizontal="left" vertical="center"/>
    </xf>
    <xf numFmtId="0" fontId="7" fillId="0" borderId="270" xfId="0" applyFont="1" applyBorder="1">
      <alignment horizontal="center" vertical="center"/>
    </xf>
    <xf numFmtId="0" fontId="7" fillId="0" borderId="271" xfId="0" applyFont="1" applyBorder="1">
      <alignment horizontal="center" vertical="center"/>
    </xf>
    <xf numFmtId="0" fontId="6" fillId="39" borderId="259" xfId="0" applyFont="1" applyFill="1" applyBorder="1" applyAlignment="1">
      <alignment horizontal="left"/>
    </xf>
    <xf numFmtId="0" fontId="6" fillId="47" borderId="249" xfId="0" applyFont="1" applyFill="1" applyBorder="1">
      <alignment horizontal="center" vertical="center"/>
    </xf>
    <xf numFmtId="0" fontId="7" fillId="47" borderId="247" xfId="0" applyFont="1" applyFill="1" applyBorder="1">
      <alignment horizontal="center" vertical="center"/>
    </xf>
    <xf numFmtId="0" fontId="7" fillId="0" borderId="249" xfId="0" applyFont="1" applyBorder="1" applyAlignment="1">
      <alignment horizontal="left"/>
    </xf>
    <xf numFmtId="0" fontId="0" fillId="0" borderId="247" xfId="0" applyBorder="1">
      <alignment horizontal="center" vertical="center"/>
    </xf>
    <xf numFmtId="0" fontId="7" fillId="0" borderId="247" xfId="0" applyFont="1" applyBorder="1" applyAlignment="1">
      <alignment horizontal="left"/>
    </xf>
    <xf numFmtId="0" fontId="7" fillId="0" borderId="247" xfId="0" applyFont="1" applyBorder="1">
      <alignment horizontal="center" vertical="center"/>
    </xf>
    <xf numFmtId="0" fontId="7" fillId="0" borderId="248" xfId="0" applyFont="1" applyBorder="1">
      <alignment horizontal="center" vertical="center"/>
    </xf>
    <xf numFmtId="0" fontId="7" fillId="48" borderId="249" xfId="0" applyFont="1" applyFill="1" applyBorder="1" applyAlignment="1">
      <alignment horizontal="left" vertical="center"/>
    </xf>
    <xf numFmtId="0" fontId="7" fillId="48" borderId="247" xfId="0" applyFont="1" applyFill="1" applyBorder="1">
      <alignment horizontal="center" vertical="center"/>
    </xf>
    <xf numFmtId="0" fontId="7" fillId="48" borderId="248" xfId="0" applyFont="1" applyFill="1" applyBorder="1">
      <alignment horizontal="center" vertical="center"/>
    </xf>
    <xf numFmtId="0" fontId="4" fillId="0" borderId="249" xfId="0" applyFont="1" applyBorder="1" applyAlignment="1">
      <alignment horizontal="left" vertical="center"/>
    </xf>
    <xf numFmtId="0" fontId="0" fillId="0" borderId="248" xfId="0" applyBorder="1">
      <alignment horizontal="center" vertical="center"/>
    </xf>
    <xf numFmtId="0" fontId="0" fillId="0" borderId="272" xfId="0" applyBorder="1">
      <alignment horizontal="center" vertical="center"/>
    </xf>
    <xf numFmtId="0" fontId="4" fillId="0" borderId="247" xfId="0" applyFont="1" applyBorder="1" applyAlignment="1">
      <alignment horizontal="left" vertical="center"/>
    </xf>
    <xf numFmtId="0" fontId="0" fillId="0" borderId="273" xfId="0" applyBorder="1">
      <alignment horizontal="center" vertical="center"/>
    </xf>
    <xf numFmtId="0" fontId="14" fillId="0" borderId="264" xfId="0" applyFont="1" applyBorder="1">
      <alignment horizontal="center" vertical="center"/>
    </xf>
    <xf numFmtId="0" fontId="0" fillId="0" borderId="270" xfId="0" applyBorder="1">
      <alignment horizontal="center" vertical="center"/>
    </xf>
    <xf numFmtId="0" fontId="0" fillId="0" borderId="271" xfId="0" applyBorder="1">
      <alignment horizontal="center" vertical="center"/>
    </xf>
    <xf numFmtId="0" fontId="4" fillId="0" borderId="249" xfId="0" applyFont="1" applyBorder="1">
      <alignment horizontal="center" vertical="center"/>
    </xf>
    <xf numFmtId="0" fontId="0" fillId="0" borderId="260" xfId="0" applyBorder="1" applyAlignment="1" applyProtection="1">
      <alignment horizontal="center"/>
      <protection locked="0"/>
    </xf>
    <xf numFmtId="0" fontId="6" fillId="51" borderId="260" xfId="0" applyFont="1" applyFill="1" applyBorder="1">
      <alignment horizontal="center" vertical="center"/>
    </xf>
    <xf numFmtId="0" fontId="0" fillId="51" borderId="260" xfId="0" applyFill="1" applyBorder="1">
      <alignment horizontal="center" vertical="center"/>
    </xf>
    <xf numFmtId="0" fontId="0" fillId="71" borderId="260" xfId="0" applyFill="1" applyBorder="1">
      <alignment horizontal="center" vertical="center"/>
    </xf>
    <xf numFmtId="0" fontId="0" fillId="51" borderId="274" xfId="0" applyFill="1" applyBorder="1">
      <alignment horizontal="center" vertical="center"/>
    </xf>
    <xf numFmtId="0" fontId="6" fillId="0" borderId="250" xfId="0" applyFont="1" applyBorder="1">
      <alignment horizontal="center" vertical="center"/>
    </xf>
    <xf numFmtId="0" fontId="0" fillId="51" borderId="231" xfId="0" applyFill="1" applyBorder="1" applyProtection="1">
      <alignment horizontal="center" vertical="center"/>
      <protection locked="0"/>
    </xf>
    <xf numFmtId="0" fontId="0" fillId="0" borderId="250" xfId="0" applyBorder="1" applyAlignment="1">
      <alignment horizontal="left" vertical="center"/>
    </xf>
    <xf numFmtId="0" fontId="0" fillId="51" borderId="250" xfId="43" applyFont="1" applyFill="1" applyBorder="1">
      <alignment horizontal="center" vertical="center"/>
    </xf>
    <xf numFmtId="0" fontId="0" fillId="52" borderId="250" xfId="43" applyFont="1" applyFill="1" applyBorder="1">
      <alignment horizontal="center" vertical="center"/>
    </xf>
    <xf numFmtId="0" fontId="0" fillId="51" borderId="250" xfId="0" applyFill="1" applyBorder="1">
      <alignment horizontal="center" vertical="center"/>
    </xf>
    <xf numFmtId="0" fontId="0" fillId="51" borderId="250" xfId="32" applyFont="1" applyFill="1" applyBorder="1" applyAlignment="1">
      <alignment horizontal="center" vertical="center"/>
    </xf>
    <xf numFmtId="0" fontId="7" fillId="51" borderId="250" xfId="48" applyFill="1" applyBorder="1">
      <alignment horizontal="center" vertical="center"/>
    </xf>
    <xf numFmtId="0" fontId="7" fillId="52" borderId="250" xfId="48" applyBorder="1">
      <alignment horizontal="center" vertical="center"/>
    </xf>
    <xf numFmtId="0" fontId="4" fillId="24" borderId="259" xfId="0" applyFont="1" applyFill="1" applyBorder="1" applyAlignment="1">
      <alignment horizontal="left" vertical="center"/>
    </xf>
    <xf numFmtId="0" fontId="0" fillId="24" borderId="259" xfId="0" applyFill="1" applyBorder="1">
      <alignment horizontal="center" vertical="center"/>
    </xf>
    <xf numFmtId="0" fontId="0" fillId="24" borderId="266" xfId="0" applyFill="1" applyBorder="1">
      <alignment horizontal="center" vertical="center"/>
    </xf>
    <xf numFmtId="0" fontId="0" fillId="43" borderId="259" xfId="0" applyFill="1" applyBorder="1" applyAlignment="1" applyProtection="1">
      <alignment horizontal="center"/>
      <protection locked="0"/>
    </xf>
    <xf numFmtId="0" fontId="0" fillId="53" borderId="259" xfId="43" applyFont="1" applyBorder="1">
      <alignment horizontal="center" vertical="center"/>
    </xf>
    <xf numFmtId="0" fontId="0" fillId="51" borderId="259" xfId="43" applyFont="1" applyFill="1" applyBorder="1">
      <alignment horizontal="center" vertical="center"/>
    </xf>
    <xf numFmtId="1" fontId="0" fillId="51" borderId="259" xfId="0" applyNumberFormat="1" applyFill="1" applyBorder="1">
      <alignment horizontal="center" vertical="center"/>
    </xf>
    <xf numFmtId="1" fontId="0" fillId="51" borderId="259" xfId="32" applyNumberFormat="1" applyFont="1" applyFill="1" applyBorder="1" applyAlignment="1">
      <alignment horizontal="center" vertical="center"/>
    </xf>
    <xf numFmtId="0" fontId="0" fillId="51" borderId="259" xfId="0" applyFill="1" applyBorder="1">
      <alignment horizontal="center" vertical="center"/>
    </xf>
    <xf numFmtId="0" fontId="0" fillId="51" borderId="259" xfId="44" applyFont="1" applyFill="1" applyBorder="1">
      <alignment horizontal="center" vertical="center"/>
    </xf>
    <xf numFmtId="0" fontId="0" fillId="0" borderId="259" xfId="0" applyBorder="1" applyAlignment="1">
      <alignment horizontal="left" vertical="center"/>
    </xf>
    <xf numFmtId="1" fontId="0" fillId="51" borderId="105" xfId="0" applyNumberFormat="1" applyFill="1" applyBorder="1">
      <alignment horizontal="center" vertical="center"/>
    </xf>
    <xf numFmtId="1" fontId="0" fillId="51" borderId="266" xfId="0" applyNumberFormat="1" applyFill="1" applyBorder="1">
      <alignment horizontal="center" vertical="center"/>
    </xf>
    <xf numFmtId="0" fontId="6" fillId="0" borderId="259" xfId="0" applyFont="1" applyBorder="1" applyAlignment="1">
      <alignment horizontal="left" vertical="center"/>
    </xf>
    <xf numFmtId="0" fontId="7" fillId="53" borderId="259" xfId="48" applyFill="1" applyBorder="1">
      <alignment horizontal="center" vertical="center"/>
    </xf>
    <xf numFmtId="0" fontId="0" fillId="53" borderId="259" xfId="44" applyFont="1" applyFill="1" applyBorder="1">
      <alignment horizontal="center" vertical="center"/>
    </xf>
    <xf numFmtId="1" fontId="0" fillId="53" borderId="259" xfId="0" applyNumberFormat="1" applyFill="1" applyBorder="1">
      <alignment horizontal="center" vertical="center"/>
    </xf>
    <xf numFmtId="1" fontId="0" fillId="53" borderId="259" xfId="32" applyNumberFormat="1" applyFont="1" applyFill="1" applyBorder="1" applyAlignment="1">
      <alignment horizontal="center" vertical="center"/>
    </xf>
    <xf numFmtId="0" fontId="6" fillId="53" borderId="259" xfId="44" applyFont="1" applyFill="1" applyBorder="1">
      <alignment horizontal="center" vertical="center"/>
    </xf>
    <xf numFmtId="1" fontId="0" fillId="53" borderId="266" xfId="0" applyNumberFormat="1" applyFill="1" applyBorder="1">
      <alignment horizontal="center" vertical="center"/>
    </xf>
    <xf numFmtId="0" fontId="0" fillId="51" borderId="259" xfId="49" applyFont="1" applyFill="1" applyBorder="1">
      <alignment horizontal="center" vertical="center"/>
    </xf>
    <xf numFmtId="0" fontId="7" fillId="55" borderId="266" xfId="45" applyBorder="1">
      <alignment horizontal="center" vertical="center"/>
    </xf>
    <xf numFmtId="0" fontId="0" fillId="51" borderId="259" xfId="48" applyFont="1" applyFill="1" applyBorder="1">
      <alignment horizontal="center" vertical="center"/>
    </xf>
    <xf numFmtId="1" fontId="0" fillId="54" borderId="259" xfId="0" applyNumberFormat="1" applyFill="1" applyBorder="1">
      <alignment horizontal="center" vertical="center"/>
    </xf>
    <xf numFmtId="1" fontId="0" fillId="51" borderId="259" xfId="44" applyNumberFormat="1" applyFont="1" applyFill="1" applyBorder="1">
      <alignment horizontal="center" vertical="center"/>
    </xf>
    <xf numFmtId="0" fontId="4" fillId="24" borderId="260" xfId="0" applyFont="1" applyFill="1" applyBorder="1" applyAlignment="1" applyProtection="1">
      <alignment horizontal="left"/>
      <protection locked="0"/>
    </xf>
    <xf numFmtId="0" fontId="4" fillId="24" borderId="260" xfId="0" applyFont="1" applyFill="1" applyBorder="1">
      <alignment horizontal="center" vertical="center"/>
    </xf>
    <xf numFmtId="1" fontId="0" fillId="24" borderId="260" xfId="0" applyNumberFormat="1" applyFill="1" applyBorder="1">
      <alignment horizontal="center" vertical="center"/>
    </xf>
    <xf numFmtId="0" fontId="0" fillId="24" borderId="274" xfId="0" applyFill="1" applyBorder="1">
      <alignment horizontal="center" vertical="center"/>
    </xf>
    <xf numFmtId="0" fontId="0" fillId="43" borderId="275" xfId="0" applyFill="1" applyBorder="1" applyAlignment="1" applyProtection="1">
      <alignment horizontal="center"/>
      <protection locked="0"/>
    </xf>
    <xf numFmtId="0" fontId="0" fillId="0" borderId="275" xfId="0" applyBorder="1" applyAlignment="1">
      <alignment horizontal="left" vertical="center"/>
    </xf>
    <xf numFmtId="0" fontId="0" fillId="51" borderId="231" xfId="0" applyFill="1" applyBorder="1">
      <alignment horizontal="center" vertical="center"/>
    </xf>
    <xf numFmtId="0" fontId="0" fillId="55" borderId="231" xfId="32" applyFont="1" applyFill="1" applyBorder="1" applyAlignment="1">
      <alignment horizontal="center" vertical="center"/>
    </xf>
    <xf numFmtId="0" fontId="7" fillId="53" borderId="231" xfId="43" applyBorder="1">
      <alignment horizontal="center" vertical="center"/>
    </xf>
    <xf numFmtId="0" fontId="0" fillId="51" borderId="231" xfId="32" applyFont="1" applyFill="1" applyBorder="1" applyAlignment="1">
      <alignment horizontal="center" vertical="center"/>
    </xf>
    <xf numFmtId="0" fontId="0" fillId="52" borderId="231" xfId="32" applyFont="1" applyFill="1" applyBorder="1" applyAlignment="1">
      <alignment horizontal="center" vertical="center"/>
    </xf>
    <xf numFmtId="0" fontId="0" fillId="0" borderId="250" xfId="0" applyBorder="1">
      <alignment horizontal="center" vertical="center"/>
    </xf>
    <xf numFmtId="173" fontId="0" fillId="0" borderId="250" xfId="0" applyNumberFormat="1" applyBorder="1">
      <alignment horizontal="center" vertical="center"/>
    </xf>
    <xf numFmtId="0" fontId="0" fillId="43" borderId="250" xfId="0" applyFill="1" applyBorder="1" applyAlignment="1" applyProtection="1">
      <alignment horizontal="center"/>
      <protection locked="0"/>
    </xf>
    <xf numFmtId="0" fontId="7" fillId="0" borderId="250" xfId="0" applyFont="1" applyBorder="1" applyAlignment="1">
      <alignment horizontal="left" vertical="center"/>
    </xf>
    <xf numFmtId="49" fontId="0" fillId="51" borderId="250" xfId="0" applyNumberFormat="1" applyFill="1" applyBorder="1">
      <alignment horizontal="center" vertical="center"/>
    </xf>
    <xf numFmtId="0" fontId="0" fillId="51" borderId="250" xfId="48" applyFont="1" applyFill="1" applyBorder="1">
      <alignment horizontal="center" vertical="center"/>
    </xf>
    <xf numFmtId="0" fontId="7" fillId="55" borderId="259" xfId="45" applyBorder="1">
      <alignment horizontal="center" vertical="center"/>
    </xf>
    <xf numFmtId="0" fontId="0" fillId="51" borderId="250" xfId="44" applyFont="1" applyFill="1" applyBorder="1">
      <alignment horizontal="center" vertical="center"/>
    </xf>
    <xf numFmtId="1" fontId="0" fillId="51" borderId="250" xfId="0" applyNumberFormat="1" applyFill="1" applyBorder="1">
      <alignment horizontal="center" vertical="center"/>
    </xf>
    <xf numFmtId="0" fontId="0" fillId="43" borderId="150" xfId="0" applyFill="1" applyBorder="1" applyAlignment="1" applyProtection="1">
      <alignment horizontal="center"/>
      <protection locked="0"/>
    </xf>
    <xf numFmtId="0" fontId="0" fillId="0" borderId="150" xfId="0" applyBorder="1" applyAlignment="1">
      <alignment vertical="center"/>
    </xf>
    <xf numFmtId="0" fontId="0" fillId="53" borderId="150" xfId="0" applyFill="1" applyBorder="1">
      <alignment horizontal="center" vertical="center"/>
    </xf>
    <xf numFmtId="0" fontId="0" fillId="0" borderId="276" xfId="0" applyBorder="1" applyAlignment="1">
      <alignment horizontal="left"/>
    </xf>
    <xf numFmtId="0" fontId="4" fillId="0" borderId="277" xfId="0" applyFont="1" applyBorder="1" applyAlignment="1">
      <alignment vertical="center"/>
    </xf>
    <xf numFmtId="0" fontId="0" fillId="0" borderId="276" xfId="0" applyBorder="1">
      <alignment horizontal="center" vertical="center"/>
    </xf>
    <xf numFmtId="0" fontId="4" fillId="0" borderId="278" xfId="0" applyFont="1" applyBorder="1" applyAlignment="1">
      <alignment horizontal="left" vertical="center"/>
    </xf>
    <xf numFmtId="0" fontId="4" fillId="0" borderId="278" xfId="0" applyFont="1" applyBorder="1" applyAlignment="1">
      <alignment horizontal="left"/>
    </xf>
    <xf numFmtId="0" fontId="4" fillId="0" borderId="279" xfId="0" applyFont="1" applyBorder="1" applyAlignment="1">
      <alignment vertical="center"/>
    </xf>
    <xf numFmtId="0" fontId="0" fillId="0" borderId="279" xfId="0" applyBorder="1">
      <alignment horizontal="center" vertical="center"/>
    </xf>
    <xf numFmtId="0" fontId="0" fillId="0" borderId="281" xfId="0" applyBorder="1">
      <alignment horizontal="center" vertical="center"/>
    </xf>
    <xf numFmtId="0" fontId="0" fillId="24" borderId="282" xfId="0" applyFill="1" applyBorder="1" applyAlignment="1" applyProtection="1">
      <alignment horizontal="center"/>
      <protection locked="0"/>
    </xf>
    <xf numFmtId="0" fontId="0" fillId="0" borderId="283" xfId="0" applyBorder="1" applyAlignment="1">
      <alignment horizontal="left" vertical="center"/>
    </xf>
    <xf numFmtId="0" fontId="7" fillId="52" borderId="283" xfId="48" applyBorder="1">
      <alignment horizontal="center" vertical="center"/>
    </xf>
    <xf numFmtId="0" fontId="0" fillId="51" borderId="283" xfId="44" applyFont="1" applyFill="1" applyBorder="1">
      <alignment horizontal="center" vertical="center"/>
    </xf>
    <xf numFmtId="49" fontId="0" fillId="51" borderId="283" xfId="0" applyNumberFormat="1" applyFill="1" applyBorder="1">
      <alignment horizontal="center" vertical="center"/>
    </xf>
    <xf numFmtId="0" fontId="0" fillId="51" borderId="105" xfId="43" applyFont="1" applyFill="1" applyBorder="1">
      <alignment horizontal="center" vertical="center"/>
    </xf>
    <xf numFmtId="0" fontId="7" fillId="0" borderId="283" xfId="53" applyBorder="1">
      <alignment horizontal="center" vertical="center"/>
    </xf>
    <xf numFmtId="0" fontId="7" fillId="55" borderId="284" xfId="45" applyBorder="1">
      <alignment horizontal="center" vertical="center"/>
    </xf>
    <xf numFmtId="0" fontId="0" fillId="53" borderId="119" xfId="43" applyFont="1" applyBorder="1">
      <alignment horizontal="center" vertical="center"/>
    </xf>
    <xf numFmtId="0" fontId="0" fillId="51" borderId="105" xfId="44" applyFont="1" applyFill="1" applyBorder="1">
      <alignment horizontal="center" vertical="center"/>
    </xf>
    <xf numFmtId="49" fontId="0" fillId="51" borderId="284" xfId="0" applyNumberFormat="1" applyFill="1" applyBorder="1">
      <alignment horizontal="center" vertical="center"/>
    </xf>
    <xf numFmtId="0" fontId="0" fillId="51" borderId="283" xfId="0" applyFill="1" applyBorder="1" applyAlignment="1">
      <alignment horizontal="left" vertical="center" wrapText="1"/>
    </xf>
    <xf numFmtId="0" fontId="7" fillId="53" borderId="283" xfId="48" applyFill="1" applyBorder="1">
      <alignment horizontal="center" vertical="center"/>
    </xf>
    <xf numFmtId="0" fontId="0" fillId="53" borderId="283" xfId="44" applyFont="1" applyFill="1" applyBorder="1">
      <alignment horizontal="center" vertical="center"/>
    </xf>
    <xf numFmtId="49" fontId="0" fillId="53" borderId="283" xfId="0" applyNumberFormat="1" applyFill="1" applyBorder="1">
      <alignment horizontal="center" vertical="center"/>
    </xf>
    <xf numFmtId="0" fontId="0" fillId="53" borderId="283" xfId="0" applyFill="1" applyBorder="1">
      <alignment horizontal="center" vertical="center"/>
    </xf>
    <xf numFmtId="1" fontId="0" fillId="53" borderId="283" xfId="32" applyNumberFormat="1" applyFont="1" applyFill="1" applyBorder="1" applyAlignment="1">
      <alignment horizontal="center" vertical="center"/>
    </xf>
    <xf numFmtId="49" fontId="0" fillId="53" borderId="284" xfId="0" applyNumberFormat="1" applyFill="1" applyBorder="1">
      <alignment horizontal="center" vertical="center"/>
    </xf>
    <xf numFmtId="0" fontId="0" fillId="55" borderId="283" xfId="44" applyFont="1" applyFill="1" applyBorder="1">
      <alignment horizontal="center" vertical="center"/>
    </xf>
    <xf numFmtId="0" fontId="0" fillId="55" borderId="283" xfId="0" applyFill="1" applyBorder="1">
      <alignment horizontal="center" vertical="center"/>
    </xf>
    <xf numFmtId="49" fontId="0" fillId="52" borderId="283" xfId="0" applyNumberFormat="1" applyFill="1" applyBorder="1">
      <alignment horizontal="center" vertical="center"/>
    </xf>
    <xf numFmtId="1" fontId="0" fillId="52" borderId="283" xfId="32" applyNumberFormat="1" applyFont="1" applyFill="1" applyBorder="1" applyAlignment="1">
      <alignment horizontal="center" vertical="center"/>
    </xf>
    <xf numFmtId="0" fontId="0" fillId="52" borderId="283" xfId="44" applyFont="1" applyFill="1" applyBorder="1">
      <alignment horizontal="center" vertical="center"/>
    </xf>
    <xf numFmtId="49" fontId="0" fillId="52" borderId="284" xfId="0" applyNumberFormat="1" applyFill="1" applyBorder="1">
      <alignment horizontal="center" vertical="center"/>
    </xf>
    <xf numFmtId="0" fontId="0" fillId="51" borderId="283" xfId="46" applyFont="1" applyFill="1" applyBorder="1">
      <alignment horizontal="center" vertical="center"/>
    </xf>
    <xf numFmtId="0" fontId="0" fillId="51" borderId="284" xfId="0" applyFill="1" applyBorder="1">
      <alignment horizontal="center" vertical="center"/>
    </xf>
    <xf numFmtId="0" fontId="0" fillId="56" borderId="147" xfId="43" applyFont="1" applyFill="1" applyBorder="1">
      <alignment horizontal="center" vertical="center"/>
    </xf>
    <xf numFmtId="0" fontId="0" fillId="0" borderId="270" xfId="0" applyBorder="1" applyAlignment="1">
      <alignment horizontal="left"/>
    </xf>
    <xf numFmtId="0" fontId="7" fillId="0" borderId="271" xfId="0" applyFont="1" applyBorder="1" applyAlignment="1">
      <alignment horizontal="left"/>
    </xf>
    <xf numFmtId="0" fontId="7" fillId="0" borderId="270" xfId="0" applyFont="1" applyBorder="1" applyAlignment="1">
      <alignment horizontal="left"/>
    </xf>
    <xf numFmtId="0" fontId="0" fillId="0" borderId="285" xfId="0" applyBorder="1" applyAlignment="1">
      <alignment vertical="center"/>
    </xf>
    <xf numFmtId="0" fontId="0" fillId="51" borderId="285" xfId="0" applyFill="1" applyBorder="1" applyAlignment="1" applyProtection="1">
      <alignment horizontal="left" vertical="center"/>
      <protection locked="0"/>
    </xf>
    <xf numFmtId="0" fontId="7" fillId="52" borderId="102" xfId="44" applyFill="1" applyBorder="1">
      <alignment horizontal="center" vertical="center"/>
    </xf>
    <xf numFmtId="0" fontId="7" fillId="52" borderId="285" xfId="44" applyFill="1" applyBorder="1">
      <alignment horizontal="center" vertical="center"/>
    </xf>
    <xf numFmtId="0" fontId="7" fillId="52" borderId="285" xfId="48" applyBorder="1">
      <alignment horizontal="center" vertical="center"/>
    </xf>
    <xf numFmtId="0" fontId="7" fillId="52" borderId="286" xfId="48" applyBorder="1">
      <alignment horizontal="center" vertical="center"/>
    </xf>
    <xf numFmtId="49" fontId="0" fillId="55" borderId="167" xfId="0" applyNumberFormat="1" applyFill="1" applyBorder="1">
      <alignment horizontal="center" vertical="center"/>
    </xf>
    <xf numFmtId="0" fontId="7" fillId="0" borderId="102" xfId="43" applyFill="1" applyBorder="1">
      <alignment horizontal="center" vertical="center"/>
    </xf>
    <xf numFmtId="0" fontId="0" fillId="51" borderId="102" xfId="47" applyFont="1" applyFill="1" applyBorder="1">
      <alignment horizontal="center" vertical="center"/>
    </xf>
    <xf numFmtId="0" fontId="7" fillId="51" borderId="102" xfId="47" applyFill="1" applyBorder="1">
      <alignment horizontal="center" vertical="center"/>
    </xf>
    <xf numFmtId="0" fontId="7" fillId="57" borderId="102" xfId="47" applyBorder="1">
      <alignment horizontal="center" vertical="center"/>
    </xf>
    <xf numFmtId="0" fontId="0" fillId="51" borderId="283" xfId="20" applyFont="1" applyFill="1" applyBorder="1" applyAlignment="1">
      <alignment horizontal="center" vertical="center"/>
    </xf>
    <xf numFmtId="49" fontId="0" fillId="53" borderId="102" xfId="0" applyNumberFormat="1" applyFill="1" applyBorder="1">
      <alignment horizontal="center" vertical="center"/>
    </xf>
    <xf numFmtId="0" fontId="0" fillId="53" borderId="101" xfId="48" applyFont="1" applyFill="1" applyBorder="1">
      <alignment horizontal="center" vertical="center"/>
    </xf>
    <xf numFmtId="0" fontId="19" fillId="0" borderId="287" xfId="0" applyFont="1" applyBorder="1" applyAlignment="1" applyProtection="1">
      <alignment horizontal="center"/>
      <protection locked="0"/>
    </xf>
    <xf numFmtId="0" fontId="59" fillId="0" borderId="132" xfId="0" applyFont="1" applyBorder="1" applyAlignment="1">
      <alignment horizontal="left" vertical="center"/>
    </xf>
    <xf numFmtId="1" fontId="0" fillId="51" borderId="132" xfId="32" applyNumberFormat="1" applyFont="1" applyFill="1" applyBorder="1" applyAlignment="1">
      <alignment horizontal="center" vertical="center"/>
    </xf>
    <xf numFmtId="49" fontId="0" fillId="51" borderId="133" xfId="0" applyNumberFormat="1" applyFill="1" applyBorder="1">
      <alignment horizontal="center" vertical="center"/>
    </xf>
    <xf numFmtId="0" fontId="7" fillId="51" borderId="115" xfId="48" applyFill="1" applyBorder="1">
      <alignment horizontal="center" vertical="center"/>
    </xf>
    <xf numFmtId="1" fontId="0" fillId="55" borderId="102" xfId="32" applyNumberFormat="1" applyFont="1" applyFill="1" applyBorder="1" applyAlignment="1">
      <alignment horizontal="center" vertical="center"/>
    </xf>
    <xf numFmtId="49" fontId="0" fillId="57" borderId="115" xfId="0" applyNumberFormat="1" applyFill="1" applyBorder="1">
      <alignment horizontal="center" vertical="center"/>
    </xf>
    <xf numFmtId="0" fontId="7" fillId="58" borderId="167" xfId="33" applyBorder="1">
      <alignment horizontal="center" vertical="center"/>
    </xf>
    <xf numFmtId="1" fontId="0" fillId="51" borderId="167" xfId="32" applyNumberFormat="1" applyFont="1" applyFill="1" applyBorder="1" applyAlignment="1">
      <alignment horizontal="center" vertical="center"/>
    </xf>
    <xf numFmtId="49" fontId="0" fillId="57" borderId="167" xfId="0" applyNumberFormat="1" applyFill="1" applyBorder="1">
      <alignment horizontal="center" vertical="center"/>
    </xf>
    <xf numFmtId="0" fontId="0" fillId="0" borderId="123" xfId="0" applyBorder="1">
      <alignment horizontal="center" vertical="center"/>
    </xf>
    <xf numFmtId="0" fontId="0" fillId="52" borderId="147" xfId="44" applyFont="1" applyFill="1" applyBorder="1">
      <alignment horizontal="center" vertical="center"/>
    </xf>
    <xf numFmtId="0" fontId="0" fillId="0" borderId="117" xfId="0" applyBorder="1">
      <alignment horizontal="center" vertical="center"/>
    </xf>
    <xf numFmtId="0" fontId="0" fillId="0" borderId="288" xfId="0" applyBorder="1">
      <alignment horizontal="center" vertical="center"/>
    </xf>
    <xf numFmtId="0" fontId="0" fillId="0" borderId="289" xfId="0" applyBorder="1">
      <alignment horizontal="center" vertical="center"/>
    </xf>
    <xf numFmtId="0" fontId="0" fillId="0" borderId="290" xfId="0" applyBorder="1">
      <alignment horizontal="center" vertical="center"/>
    </xf>
    <xf numFmtId="0" fontId="4" fillId="43" borderId="291" xfId="0" applyFont="1" applyFill="1" applyBorder="1" applyAlignment="1">
      <alignment horizontal="center"/>
    </xf>
    <xf numFmtId="0" fontId="0" fillId="0" borderId="291" xfId="0" applyBorder="1" applyAlignment="1">
      <alignment vertical="center"/>
    </xf>
    <xf numFmtId="0" fontId="0" fillId="51" borderId="291" xfId="48" applyFont="1" applyFill="1" applyBorder="1">
      <alignment horizontal="center" vertical="center"/>
    </xf>
    <xf numFmtId="0" fontId="0" fillId="51" borderId="291" xfId="20" applyNumberFormat="1" applyFont="1" applyFill="1" applyBorder="1" applyAlignment="1">
      <alignment horizontal="center" vertical="center"/>
    </xf>
    <xf numFmtId="0" fontId="0" fillId="51" borderId="129" xfId="0" applyFill="1" applyBorder="1">
      <alignment horizontal="center" vertical="center"/>
    </xf>
    <xf numFmtId="0" fontId="4" fillId="0" borderId="290" xfId="0" applyFont="1" applyBorder="1" applyAlignment="1">
      <alignment horizontal="center"/>
    </xf>
    <xf numFmtId="0" fontId="4" fillId="0" borderId="292" xfId="0" applyFont="1" applyBorder="1" applyAlignment="1">
      <alignment horizontal="left"/>
    </xf>
    <xf numFmtId="0" fontId="6" fillId="0" borderId="290" xfId="0" applyFont="1" applyBorder="1" applyAlignment="1">
      <alignment horizontal="center"/>
    </xf>
    <xf numFmtId="0" fontId="0" fillId="0" borderId="290" xfId="0" applyBorder="1" applyAlignment="1">
      <alignment horizontal="center"/>
    </xf>
    <xf numFmtId="0" fontId="4" fillId="0" borderId="292" xfId="0" applyFont="1" applyBorder="1" applyAlignment="1">
      <alignment horizontal="center"/>
    </xf>
    <xf numFmtId="0" fontId="6" fillId="0" borderId="293" xfId="0" applyFont="1" applyBorder="1" applyAlignment="1">
      <alignment horizontal="center"/>
    </xf>
    <xf numFmtId="0" fontId="6" fillId="0" borderId="292" xfId="0" applyFont="1" applyBorder="1" applyAlignment="1">
      <alignment horizontal="center"/>
    </xf>
    <xf numFmtId="0" fontId="0" fillId="0" borderId="292" xfId="0" applyBorder="1" applyAlignment="1">
      <alignment horizontal="center"/>
    </xf>
    <xf numFmtId="0" fontId="7" fillId="0" borderId="293" xfId="0" applyFont="1" applyBorder="1" applyAlignment="1">
      <alignment horizontal="left" vertical="center"/>
    </xf>
    <xf numFmtId="0" fontId="6" fillId="0" borderId="293" xfId="0" applyFont="1" applyBorder="1">
      <alignment horizontal="center" vertical="center"/>
    </xf>
    <xf numFmtId="0" fontId="6" fillId="0" borderId="292" xfId="0" applyFont="1" applyBorder="1">
      <alignment horizontal="center" vertical="center"/>
    </xf>
    <xf numFmtId="0" fontId="7" fillId="0" borderId="291" xfId="0" applyFont="1" applyBorder="1">
      <alignment horizontal="center" vertical="center"/>
    </xf>
    <xf numFmtId="0" fontId="7" fillId="0" borderId="291" xfId="0" applyFont="1" applyBorder="1" applyAlignment="1">
      <alignment horizontal="left" vertical="center"/>
    </xf>
    <xf numFmtId="0" fontId="0" fillId="0" borderId="290" xfId="0" applyBorder="1" applyAlignment="1"/>
    <xf numFmtId="0" fontId="4" fillId="0" borderId="293" xfId="0" applyFont="1" applyBorder="1" applyAlignment="1">
      <alignment horizontal="left"/>
    </xf>
    <xf numFmtId="0" fontId="0" fillId="0" borderId="293" xfId="0" applyBorder="1" applyAlignment="1"/>
    <xf numFmtId="0" fontId="0" fillId="0" borderId="292" xfId="0" applyBorder="1" applyAlignment="1"/>
    <xf numFmtId="0" fontId="4" fillId="0" borderId="290" xfId="0" applyFont="1" applyBorder="1" applyAlignment="1">
      <alignment horizontal="left"/>
    </xf>
    <xf numFmtId="0" fontId="0" fillId="0" borderId="294" xfId="0" applyBorder="1" applyAlignment="1"/>
    <xf numFmtId="0" fontId="0" fillId="0" borderId="270" xfId="0" applyBorder="1" applyAlignment="1"/>
    <xf numFmtId="0" fontId="0" fillId="0" borderId="271" xfId="0" applyBorder="1" applyAlignment="1">
      <alignment horizontal="left"/>
    </xf>
    <xf numFmtId="0" fontId="0" fillId="0" borderId="295" xfId="0" applyBorder="1" applyAlignment="1"/>
    <xf numFmtId="0" fontId="0" fillId="51" borderId="291" xfId="0" applyFill="1" applyBorder="1" applyAlignment="1">
      <alignment horizontal="left" vertical="center"/>
    </xf>
    <xf numFmtId="49" fontId="0" fillId="60" borderId="291" xfId="0" applyNumberFormat="1" applyFill="1" applyBorder="1">
      <alignment horizontal="center" vertical="center"/>
    </xf>
    <xf numFmtId="0" fontId="0" fillId="60" borderId="291" xfId="0" applyFill="1" applyBorder="1">
      <alignment horizontal="center" vertical="center"/>
    </xf>
    <xf numFmtId="0" fontId="0" fillId="60" borderId="291" xfId="44" applyFont="1" applyFill="1" applyBorder="1">
      <alignment horizontal="center" vertical="center"/>
    </xf>
    <xf numFmtId="49" fontId="0" fillId="60" borderId="296" xfId="0" applyNumberFormat="1" applyFill="1" applyBorder="1">
      <alignment horizontal="center" vertical="center"/>
    </xf>
    <xf numFmtId="0" fontId="7" fillId="72" borderId="147" xfId="48" applyFill="1" applyBorder="1">
      <alignment horizontal="center" vertical="center"/>
    </xf>
    <xf numFmtId="0" fontId="0" fillId="53" borderId="119" xfId="48" applyFont="1" applyFill="1" applyBorder="1">
      <alignment horizontal="center" vertical="center"/>
    </xf>
    <xf numFmtId="0" fontId="0" fillId="53" borderId="119" xfId="47" applyFont="1" applyFill="1" applyBorder="1">
      <alignment horizontal="center" vertical="center"/>
    </xf>
    <xf numFmtId="0" fontId="7" fillId="51" borderId="277" xfId="0" applyFont="1" applyFill="1" applyBorder="1" applyAlignment="1">
      <alignment vertical="center"/>
    </xf>
    <xf numFmtId="0" fontId="7" fillId="69" borderId="297" xfId="44" applyBorder="1">
      <alignment horizontal="center" vertical="center"/>
    </xf>
    <xf numFmtId="0" fontId="0" fillId="51" borderId="297" xfId="48" applyFont="1" applyFill="1" applyBorder="1">
      <alignment horizontal="center" vertical="center"/>
    </xf>
    <xf numFmtId="0" fontId="0" fillId="51" borderId="297" xfId="46" applyFont="1" applyFill="1" applyBorder="1">
      <alignment horizontal="center" vertical="center"/>
    </xf>
    <xf numFmtId="0" fontId="7" fillId="69" borderId="298" xfId="44" applyBorder="1">
      <alignment horizontal="center" vertical="center"/>
    </xf>
    <xf numFmtId="0" fontId="0" fillId="0" borderId="238" xfId="0" applyBorder="1">
      <alignment horizontal="center" vertical="center"/>
    </xf>
    <xf numFmtId="0" fontId="0" fillId="51" borderId="238" xfId="48" applyFont="1" applyFill="1" applyBorder="1">
      <alignment horizontal="center" vertical="center"/>
    </xf>
    <xf numFmtId="0" fontId="0" fillId="51" borderId="246" xfId="0" applyFill="1" applyBorder="1">
      <alignment horizontal="center" vertical="center"/>
    </xf>
    <xf numFmtId="0" fontId="0" fillId="51" borderId="299" xfId="0" applyFill="1" applyBorder="1">
      <alignment horizontal="center" vertical="center"/>
    </xf>
    <xf numFmtId="0" fontId="4" fillId="0" borderId="300" xfId="0" applyFont="1" applyBorder="1" applyAlignment="1">
      <alignment horizontal="center"/>
    </xf>
    <xf numFmtId="49" fontId="7" fillId="0" borderId="301" xfId="0" applyNumberFormat="1" applyFont="1" applyBorder="1">
      <alignment horizontal="center" vertical="center"/>
    </xf>
    <xf numFmtId="0" fontId="0" fillId="0" borderId="302" xfId="0" applyBorder="1">
      <alignment horizontal="center" vertical="center"/>
    </xf>
    <xf numFmtId="0" fontId="0" fillId="0" borderId="303" xfId="0" applyBorder="1">
      <alignment horizontal="center" vertical="center"/>
    </xf>
    <xf numFmtId="0" fontId="4" fillId="0" borderId="303" xfId="0" applyFont="1" applyBorder="1" applyAlignment="1">
      <alignment horizontal="left"/>
    </xf>
    <xf numFmtId="0" fontId="0" fillId="0" borderId="304" xfId="0" applyBorder="1">
      <alignment horizontal="center" vertical="center"/>
    </xf>
    <xf numFmtId="0" fontId="3" fillId="0" borderId="305" xfId="0" applyFont="1" applyBorder="1">
      <alignment horizontal="center" vertical="center"/>
    </xf>
    <xf numFmtId="49" fontId="3" fillId="0" borderId="306" xfId="0" applyNumberFormat="1" applyFont="1" applyBorder="1">
      <alignment horizontal="center" vertical="center"/>
    </xf>
    <xf numFmtId="0" fontId="7" fillId="0" borderId="306" xfId="0" applyFont="1" applyBorder="1">
      <alignment horizontal="center" vertical="center"/>
    </xf>
    <xf numFmtId="0" fontId="7" fillId="0" borderId="149" xfId="0" applyFont="1" applyBorder="1">
      <alignment horizontal="center" vertical="center"/>
    </xf>
    <xf numFmtId="0" fontId="7" fillId="0" borderId="305" xfId="0" applyFont="1" applyBorder="1">
      <alignment horizontal="center" vertical="center"/>
    </xf>
    <xf numFmtId="49" fontId="7" fillId="0" borderId="149" xfId="0" applyNumberFormat="1" applyFont="1" applyBorder="1">
      <alignment horizontal="center" vertical="center"/>
    </xf>
    <xf numFmtId="49" fontId="7" fillId="0" borderId="306" xfId="0" applyNumberFormat="1" applyFont="1" applyBorder="1">
      <alignment horizontal="center" vertical="center"/>
    </xf>
    <xf numFmtId="0" fontId="9" fillId="0" borderId="149" xfId="0" applyFont="1" applyBorder="1">
      <alignment horizontal="center" vertical="center"/>
    </xf>
    <xf numFmtId="0" fontId="9" fillId="0" borderId="307" xfId="0" applyFont="1" applyBorder="1">
      <alignment horizontal="center" vertical="center"/>
    </xf>
    <xf numFmtId="0" fontId="0" fillId="51" borderId="297" xfId="0" applyFill="1" applyBorder="1" applyAlignment="1">
      <alignment horizontal="left" vertical="center" wrapText="1"/>
    </xf>
    <xf numFmtId="49" fontId="0" fillId="51" borderId="308" xfId="0" applyNumberFormat="1" applyFill="1" applyBorder="1">
      <alignment horizontal="center" vertical="center"/>
    </xf>
    <xf numFmtId="49" fontId="0" fillId="51" borderId="309" xfId="0" applyNumberFormat="1" applyFill="1" applyBorder="1">
      <alignment horizontal="center" vertical="center"/>
    </xf>
    <xf numFmtId="0" fontId="7" fillId="52" borderId="309" xfId="48" applyBorder="1">
      <alignment horizontal="center" vertical="center"/>
    </xf>
    <xf numFmtId="0" fontId="7" fillId="53" borderId="309" xfId="43" applyBorder="1">
      <alignment horizontal="center" vertical="center"/>
    </xf>
    <xf numFmtId="0" fontId="0" fillId="0" borderId="309" xfId="0" applyBorder="1">
      <alignment horizontal="center" vertical="center"/>
    </xf>
    <xf numFmtId="0" fontId="0" fillId="51" borderId="309" xfId="0" applyFill="1" applyBorder="1">
      <alignment horizontal="center" vertical="center"/>
    </xf>
    <xf numFmtId="0" fontId="0" fillId="51" borderId="310" xfId="0" applyFill="1" applyBorder="1" applyAlignment="1">
      <alignment horizontal="left" vertical="center"/>
    </xf>
    <xf numFmtId="0" fontId="7" fillId="52" borderId="310" xfId="48" applyBorder="1">
      <alignment horizontal="center" vertical="center"/>
    </xf>
    <xf numFmtId="0" fontId="7" fillId="51" borderId="310" xfId="48" applyFill="1" applyBorder="1">
      <alignment horizontal="center" vertical="center"/>
    </xf>
    <xf numFmtId="0" fontId="7" fillId="53" borderId="310" xfId="43" applyBorder="1">
      <alignment horizontal="center" vertical="center"/>
    </xf>
    <xf numFmtId="0" fontId="4" fillId="0" borderId="277" xfId="0" applyFont="1" applyBorder="1" applyAlignment="1">
      <alignment horizontal="left" vertical="center"/>
    </xf>
    <xf numFmtId="0" fontId="0" fillId="0" borderId="280" xfId="0" applyBorder="1" applyAlignment="1">
      <alignment horizontal="left" vertical="center"/>
    </xf>
    <xf numFmtId="0" fontId="4" fillId="0" borderId="279" xfId="0" applyFont="1" applyBorder="1" applyAlignment="1">
      <alignment horizontal="left" vertical="center"/>
    </xf>
    <xf numFmtId="0" fontId="4" fillId="0" borderId="311" xfId="0" applyFont="1" applyBorder="1" applyAlignment="1">
      <alignment horizontal="left"/>
    </xf>
    <xf numFmtId="0" fontId="0" fillId="0" borderId="312" xfId="0" applyBorder="1" applyAlignment="1">
      <alignment horizontal="left" vertical="center"/>
    </xf>
    <xf numFmtId="0" fontId="0" fillId="0" borderId="313" xfId="0" applyBorder="1" applyAlignment="1">
      <alignment horizontal="left" vertical="center"/>
    </xf>
    <xf numFmtId="0" fontId="0" fillId="0" borderId="311" xfId="0" applyBorder="1" applyAlignment="1">
      <alignment horizontal="left" vertical="center"/>
    </xf>
    <xf numFmtId="49" fontId="0" fillId="0" borderId="313" xfId="0" applyNumberFormat="1" applyBorder="1" applyAlignment="1">
      <alignment horizontal="left"/>
    </xf>
    <xf numFmtId="49" fontId="0" fillId="0" borderId="313" xfId="0" applyNumberFormat="1" applyBorder="1" applyAlignment="1">
      <alignment horizontal="left" vertical="center"/>
    </xf>
    <xf numFmtId="0" fontId="0" fillId="0" borderId="314" xfId="0" applyBorder="1" applyAlignment="1">
      <alignment horizontal="left" vertical="center"/>
    </xf>
    <xf numFmtId="0" fontId="0" fillId="0" borderId="315" xfId="0" applyBorder="1" applyAlignment="1">
      <alignment horizontal="left" vertical="center"/>
    </xf>
    <xf numFmtId="0" fontId="0" fillId="0" borderId="316" xfId="0" applyBorder="1" applyAlignment="1">
      <alignment horizontal="left" vertical="center"/>
    </xf>
    <xf numFmtId="49" fontId="0" fillId="0" borderId="315" xfId="0" applyNumberFormat="1" applyBorder="1" applyAlignment="1">
      <alignment horizontal="left"/>
    </xf>
    <xf numFmtId="0" fontId="4" fillId="0" borderId="297" xfId="0" applyFont="1" applyBorder="1" applyAlignment="1" applyProtection="1">
      <alignment horizontal="center"/>
      <protection locked="0"/>
    </xf>
    <xf numFmtId="0" fontId="0" fillId="0" borderId="297" xfId="0" applyBorder="1" applyAlignment="1">
      <alignment horizontal="left"/>
    </xf>
    <xf numFmtId="0" fontId="4" fillId="0" borderId="317" xfId="0" applyFont="1" applyBorder="1" applyAlignment="1" applyProtection="1">
      <alignment horizontal="center"/>
      <protection locked="0"/>
    </xf>
    <xf numFmtId="0" fontId="4" fillId="0" borderId="317" xfId="0" applyFont="1" applyBorder="1" applyAlignment="1">
      <alignment horizontal="left"/>
    </xf>
    <xf numFmtId="0" fontId="0" fillId="51" borderId="318" xfId="0" applyFill="1" applyBorder="1">
      <alignment horizontal="center" vertical="center"/>
    </xf>
    <xf numFmtId="0" fontId="0" fillId="0" borderId="317" xfId="0" applyBorder="1" applyAlignment="1" applyProtection="1">
      <alignment horizontal="center"/>
      <protection locked="0"/>
    </xf>
    <xf numFmtId="0" fontId="0" fillId="0" borderId="317" xfId="0" applyBorder="1" applyAlignment="1">
      <alignment horizontal="left"/>
    </xf>
    <xf numFmtId="0" fontId="7" fillId="54" borderId="317" xfId="50" applyBorder="1">
      <alignment horizontal="center" vertical="center"/>
    </xf>
    <xf numFmtId="0" fontId="4" fillId="0" borderId="317" xfId="0" applyFont="1" applyBorder="1" applyAlignment="1">
      <alignment vertical="center"/>
    </xf>
    <xf numFmtId="0" fontId="0" fillId="0" borderId="317" xfId="0" applyBorder="1" applyAlignment="1">
      <alignment vertical="center"/>
    </xf>
    <xf numFmtId="0" fontId="0" fillId="55" borderId="317" xfId="48" applyFont="1" applyFill="1" applyBorder="1">
      <alignment horizontal="center" vertical="center"/>
    </xf>
    <xf numFmtId="0" fontId="7" fillId="69" borderId="317" xfId="44" applyBorder="1">
      <alignment horizontal="center" vertical="center"/>
    </xf>
    <xf numFmtId="0" fontId="52" fillId="56" borderId="317" xfId="46" applyBorder="1">
      <alignment horizontal="center" vertical="center"/>
    </xf>
    <xf numFmtId="0" fontId="0" fillId="51" borderId="317" xfId="50" applyFont="1" applyFill="1" applyBorder="1">
      <alignment horizontal="center" vertical="center"/>
    </xf>
    <xf numFmtId="0" fontId="3" fillId="0" borderId="317" xfId="0" applyFont="1" applyBorder="1" applyAlignment="1" applyProtection="1">
      <alignment horizontal="center"/>
      <protection locked="0"/>
    </xf>
    <xf numFmtId="0" fontId="52" fillId="56" borderId="318" xfId="46" applyBorder="1">
      <alignment horizontal="center" vertical="center"/>
    </xf>
    <xf numFmtId="0" fontId="7" fillId="58" borderId="317" xfId="33" applyBorder="1">
      <alignment horizontal="center" vertical="center"/>
    </xf>
    <xf numFmtId="0" fontId="0" fillId="51" borderId="318" xfId="51" applyFont="1" applyFill="1" applyBorder="1">
      <alignment horizontal="center" vertical="center"/>
    </xf>
    <xf numFmtId="0" fontId="0" fillId="78" borderId="317" xfId="0" applyFill="1" applyBorder="1">
      <alignment horizontal="center" vertical="center"/>
    </xf>
    <xf numFmtId="0" fontId="7" fillId="53" borderId="318" xfId="43" applyBorder="1">
      <alignment horizontal="center" vertical="center"/>
    </xf>
    <xf numFmtId="0" fontId="0" fillId="51" borderId="318" xfId="48" applyFont="1" applyFill="1" applyBorder="1">
      <alignment horizontal="center" vertical="center"/>
    </xf>
    <xf numFmtId="0" fontId="4" fillId="0" borderId="319" xfId="0" applyFont="1" applyBorder="1">
      <alignment horizontal="center" vertical="center"/>
    </xf>
    <xf numFmtId="0" fontId="0" fillId="51" borderId="317" xfId="33" applyFont="1" applyFill="1" applyBorder="1">
      <alignment horizontal="center" vertical="center"/>
    </xf>
    <xf numFmtId="49" fontId="0" fillId="51" borderId="318" xfId="0" applyNumberFormat="1" applyFill="1" applyBorder="1">
      <alignment horizontal="center" vertical="center"/>
    </xf>
    <xf numFmtId="0" fontId="7" fillId="0" borderId="317" xfId="0" applyFont="1" applyBorder="1" applyAlignment="1">
      <alignment vertical="center"/>
    </xf>
    <xf numFmtId="0" fontId="7" fillId="51" borderId="317" xfId="0" applyFont="1" applyFill="1" applyBorder="1" applyAlignment="1">
      <alignment vertical="center"/>
    </xf>
    <xf numFmtId="0" fontId="4" fillId="0" borderId="282" xfId="0" applyFont="1" applyBorder="1" applyAlignment="1">
      <alignment horizontal="center"/>
    </xf>
    <xf numFmtId="0" fontId="4" fillId="0" borderId="320" xfId="0" applyFont="1" applyBorder="1" applyAlignment="1">
      <alignment horizontal="center"/>
    </xf>
    <xf numFmtId="0" fontId="3" fillId="0" borderId="311" xfId="0" applyFont="1" applyBorder="1" applyAlignment="1">
      <alignment horizontal="left"/>
    </xf>
    <xf numFmtId="0" fontId="4" fillId="0" borderId="321" xfId="0" applyFont="1" applyBorder="1" applyAlignment="1">
      <alignment horizontal="center"/>
    </xf>
    <xf numFmtId="0" fontId="3" fillId="0" borderId="316" xfId="0" applyFont="1" applyBorder="1" applyAlignment="1">
      <alignment horizontal="center"/>
    </xf>
    <xf numFmtId="0" fontId="0" fillId="43" borderId="322" xfId="0" applyFill="1" applyBorder="1" applyAlignment="1">
      <alignment horizontal="center"/>
    </xf>
    <xf numFmtId="0" fontId="47" fillId="0" borderId="322" xfId="0" applyFont="1" applyBorder="1" applyAlignment="1">
      <alignment horizontal="left" vertical="center"/>
    </xf>
    <xf numFmtId="0" fontId="0" fillId="0" borderId="323" xfId="0" applyBorder="1" applyAlignment="1">
      <alignment horizontal="left" vertical="center"/>
    </xf>
    <xf numFmtId="49" fontId="7" fillId="51" borderId="75" xfId="0" applyNumberFormat="1" applyFont="1" applyFill="1" applyBorder="1">
      <alignment horizontal="center" vertical="center"/>
    </xf>
    <xf numFmtId="0" fontId="0" fillId="0" borderId="324" xfId="0" applyBorder="1" applyAlignment="1" applyProtection="1">
      <alignment horizontal="center"/>
      <protection locked="0"/>
    </xf>
    <xf numFmtId="0" fontId="7" fillId="52" borderId="322" xfId="48" applyBorder="1">
      <alignment horizontal="center" vertical="center"/>
    </xf>
    <xf numFmtId="0" fontId="4" fillId="0" borderId="324" xfId="0" applyFont="1" applyBorder="1" applyAlignment="1" applyProtection="1">
      <alignment horizontal="center"/>
      <protection locked="0"/>
    </xf>
    <xf numFmtId="0" fontId="6" fillId="0" borderId="324" xfId="0" applyFont="1" applyBorder="1" applyAlignment="1">
      <alignment horizontal="center"/>
    </xf>
    <xf numFmtId="0" fontId="0" fillId="51" borderId="317" xfId="43" applyFont="1" applyFill="1" applyBorder="1">
      <alignment horizontal="center" vertical="center"/>
    </xf>
    <xf numFmtId="0" fontId="7" fillId="52" borderId="74" xfId="48" applyBorder="1">
      <alignment horizontal="center" vertical="center"/>
    </xf>
    <xf numFmtId="0" fontId="7" fillId="52" borderId="317" xfId="48" applyBorder="1">
      <alignment horizontal="center" vertical="center"/>
    </xf>
    <xf numFmtId="0" fontId="0" fillId="0" borderId="54" xfId="0" applyBorder="1">
      <alignment horizontal="center" vertical="center"/>
    </xf>
    <xf numFmtId="0" fontId="0" fillId="0" borderId="54" xfId="0" applyBorder="1" applyAlignment="1">
      <alignment vertical="center"/>
    </xf>
    <xf numFmtId="49" fontId="0" fillId="51" borderId="325" xfId="0" applyNumberFormat="1" applyFill="1" applyBorder="1">
      <alignment horizontal="center" vertical="center"/>
    </xf>
    <xf numFmtId="49" fontId="0" fillId="51" borderId="324" xfId="0" applyNumberFormat="1" applyFill="1" applyBorder="1">
      <alignment horizontal="center" vertical="center"/>
    </xf>
    <xf numFmtId="0" fontId="0" fillId="51" borderId="324" xfId="0" applyFill="1" applyBorder="1">
      <alignment horizontal="center" vertical="center"/>
    </xf>
    <xf numFmtId="49" fontId="0" fillId="51" borderId="326" xfId="0" applyNumberFormat="1" applyFill="1" applyBorder="1">
      <alignment horizontal="center" vertical="center"/>
    </xf>
    <xf numFmtId="0" fontId="0" fillId="0" borderId="322" xfId="0" applyBorder="1" applyAlignment="1" applyProtection="1">
      <alignment horizontal="center"/>
      <protection locked="0"/>
    </xf>
    <xf numFmtId="0" fontId="6" fillId="51" borderId="322" xfId="0" applyFont="1" applyFill="1" applyBorder="1">
      <alignment horizontal="center" vertical="center"/>
    </xf>
    <xf numFmtId="0" fontId="0" fillId="51" borderId="322" xfId="0" applyFill="1" applyBorder="1">
      <alignment horizontal="center" vertical="center"/>
    </xf>
    <xf numFmtId="0" fontId="0" fillId="71" borderId="322" xfId="0" applyFill="1" applyBorder="1">
      <alignment horizontal="center" vertical="center"/>
    </xf>
    <xf numFmtId="0" fontId="0" fillId="51" borderId="327" xfId="0" applyFill="1" applyBorder="1">
      <alignment horizontal="center" vertical="center"/>
    </xf>
    <xf numFmtId="0" fontId="6" fillId="0" borderId="317" xfId="0" applyFont="1" applyBorder="1">
      <alignment horizontal="center" vertical="center"/>
    </xf>
    <xf numFmtId="0" fontId="0" fillId="51" borderId="283" xfId="0" applyFill="1" applyBorder="1" applyProtection="1">
      <alignment horizontal="center" vertical="center"/>
      <protection locked="0"/>
    </xf>
    <xf numFmtId="0" fontId="0" fillId="0" borderId="317" xfId="0" applyBorder="1" applyAlignment="1">
      <alignment horizontal="left" vertical="center"/>
    </xf>
    <xf numFmtId="0" fontId="0" fillId="0" borderId="317" xfId="0" applyBorder="1">
      <alignment horizontal="center" vertical="center"/>
    </xf>
    <xf numFmtId="0" fontId="7" fillId="60" borderId="317" xfId="51" applyBorder="1">
      <alignment horizontal="center" vertical="center"/>
    </xf>
    <xf numFmtId="0" fontId="7" fillId="51" borderId="317" xfId="51" applyFill="1" applyBorder="1">
      <alignment horizontal="center" vertical="center"/>
    </xf>
    <xf numFmtId="0" fontId="0" fillId="51" borderId="317" xfId="44" applyFont="1" applyFill="1" applyBorder="1">
      <alignment horizontal="center" vertical="center"/>
    </xf>
    <xf numFmtId="0" fontId="0" fillId="51" borderId="317" xfId="0" applyFill="1" applyBorder="1">
      <alignment horizontal="center" vertical="center"/>
    </xf>
    <xf numFmtId="0" fontId="0" fillId="51" borderId="328" xfId="0" applyFill="1" applyBorder="1">
      <alignment horizontal="center" vertical="center"/>
    </xf>
    <xf numFmtId="0" fontId="7" fillId="16" borderId="329" xfId="20" applyFont="1" applyBorder="1" applyAlignment="1">
      <alignment horizontal="center" vertical="center"/>
    </xf>
    <xf numFmtId="0" fontId="0" fillId="54" borderId="75" xfId="44" applyFont="1" applyFill="1" applyBorder="1">
      <alignment horizontal="center" vertical="center"/>
    </xf>
    <xf numFmtId="0" fontId="0" fillId="56" borderId="75" xfId="44" applyFont="1" applyFill="1" applyBorder="1">
      <alignment horizontal="center" vertical="center"/>
    </xf>
    <xf numFmtId="0" fontId="4" fillId="24" borderId="322" xfId="0" applyFont="1" applyFill="1" applyBorder="1" applyAlignment="1" applyProtection="1">
      <alignment horizontal="left"/>
      <protection locked="0"/>
    </xf>
    <xf numFmtId="0" fontId="4" fillId="24" borderId="322" xfId="0" applyFont="1" applyFill="1" applyBorder="1">
      <alignment horizontal="center" vertical="center"/>
    </xf>
    <xf numFmtId="1" fontId="0" fillId="24" borderId="322" xfId="0" applyNumberFormat="1" applyFill="1" applyBorder="1">
      <alignment horizontal="center" vertical="center"/>
    </xf>
    <xf numFmtId="0" fontId="0" fillId="24" borderId="327" xfId="0" applyFill="1" applyBorder="1">
      <alignment horizontal="center" vertical="center"/>
    </xf>
    <xf numFmtId="0" fontId="0" fillId="43" borderId="285" xfId="0" applyFill="1" applyBorder="1" applyAlignment="1" applyProtection="1">
      <alignment horizontal="center"/>
      <protection locked="0"/>
    </xf>
    <xf numFmtId="0" fontId="0" fillId="0" borderId="285" xfId="0" applyBorder="1" applyAlignment="1">
      <alignment horizontal="left" vertical="center"/>
    </xf>
    <xf numFmtId="0" fontId="0" fillId="52" borderId="283" xfId="0" applyFill="1" applyBorder="1">
      <alignment horizontal="center" vertical="center"/>
    </xf>
    <xf numFmtId="0" fontId="0" fillId="51" borderId="283" xfId="0" applyFill="1" applyBorder="1">
      <alignment horizontal="center" vertical="center"/>
    </xf>
    <xf numFmtId="0" fontId="0" fillId="54" borderId="283" xfId="0" applyFill="1" applyBorder="1">
      <alignment horizontal="center" vertical="center"/>
    </xf>
    <xf numFmtId="0" fontId="0" fillId="51" borderId="286" xfId="0" applyFill="1" applyBorder="1">
      <alignment horizontal="center" vertical="center"/>
    </xf>
    <xf numFmtId="173" fontId="0" fillId="0" borderId="317" xfId="0" applyNumberFormat="1" applyBorder="1">
      <alignment horizontal="center" vertical="center"/>
    </xf>
    <xf numFmtId="0" fontId="0" fillId="43" borderId="317" xfId="0" applyFill="1" applyBorder="1" applyAlignment="1" applyProtection="1">
      <alignment horizontal="center"/>
      <protection locked="0"/>
    </xf>
    <xf numFmtId="0" fontId="7" fillId="0" borderId="317" xfId="0" applyFont="1" applyBorder="1" applyAlignment="1">
      <alignment horizontal="left" vertical="center"/>
    </xf>
    <xf numFmtId="0" fontId="7" fillId="53" borderId="317" xfId="43" applyBorder="1">
      <alignment horizontal="center" vertical="center"/>
    </xf>
    <xf numFmtId="0" fontId="7" fillId="53" borderId="283" xfId="43" applyBorder="1">
      <alignment horizontal="center" vertical="center"/>
    </xf>
    <xf numFmtId="0" fontId="0" fillId="51" borderId="317" xfId="48" applyFont="1" applyFill="1" applyBorder="1">
      <alignment horizontal="center" vertical="center"/>
    </xf>
    <xf numFmtId="0" fontId="0" fillId="51" borderId="322" xfId="48" applyFont="1" applyFill="1" applyBorder="1">
      <alignment horizontal="center" vertical="center"/>
    </xf>
    <xf numFmtId="0" fontId="28" fillId="11" borderId="317" xfId="12" applyBorder="1" applyAlignment="1">
      <alignment horizontal="center" vertical="center"/>
    </xf>
    <xf numFmtId="0" fontId="0" fillId="72" borderId="75" xfId="44" applyFont="1" applyFill="1" applyBorder="1">
      <alignment horizontal="center" vertical="center"/>
    </xf>
    <xf numFmtId="0" fontId="0" fillId="51" borderId="328" xfId="48" applyFont="1" applyFill="1" applyBorder="1">
      <alignment horizontal="center" vertical="center"/>
    </xf>
    <xf numFmtId="0" fontId="0" fillId="51" borderId="317" xfId="32" applyFont="1" applyFill="1" applyBorder="1" applyAlignment="1">
      <alignment horizontal="center" vertical="center"/>
    </xf>
    <xf numFmtId="1" fontId="0" fillId="51" borderId="317" xfId="0" applyNumberFormat="1" applyFill="1" applyBorder="1">
      <alignment horizontal="center" vertical="center"/>
    </xf>
    <xf numFmtId="1" fontId="0" fillId="51" borderId="317" xfId="32" applyNumberFormat="1" applyFont="1" applyFill="1" applyBorder="1" applyAlignment="1">
      <alignment horizontal="center" vertical="center"/>
    </xf>
    <xf numFmtId="0" fontId="0" fillId="51" borderId="317" xfId="46" applyFont="1" applyFill="1" applyBorder="1">
      <alignment horizontal="center" vertical="center"/>
    </xf>
    <xf numFmtId="1" fontId="0" fillId="51" borderId="328" xfId="0" applyNumberFormat="1" applyFill="1" applyBorder="1">
      <alignment horizontal="center" vertical="center"/>
    </xf>
    <xf numFmtId="0" fontId="0" fillId="43" borderId="246" xfId="0" applyFill="1" applyBorder="1" applyAlignment="1" applyProtection="1">
      <alignment horizontal="center"/>
      <protection locked="0"/>
    </xf>
    <xf numFmtId="0" fontId="0" fillId="0" borderId="246" xfId="0" applyBorder="1" applyAlignment="1">
      <alignment vertical="center"/>
    </xf>
    <xf numFmtId="0" fontId="0" fillId="53" borderId="246" xfId="0" applyFill="1" applyBorder="1">
      <alignment horizontal="center" vertical="center"/>
    </xf>
    <xf numFmtId="0" fontId="0" fillId="52" borderId="246" xfId="0" applyFill="1" applyBorder="1">
      <alignment horizontal="center" vertical="center"/>
    </xf>
    <xf numFmtId="0" fontId="0" fillId="52" borderId="246" xfId="48" applyFont="1" applyBorder="1">
      <alignment horizontal="center" vertical="center"/>
    </xf>
    <xf numFmtId="0" fontId="0" fillId="52" borderId="246" xfId="44" applyFont="1" applyFill="1" applyBorder="1">
      <alignment horizontal="center" vertical="center"/>
    </xf>
    <xf numFmtId="0" fontId="4" fillId="0" borderId="330" xfId="0" applyFont="1" applyBorder="1" applyAlignment="1">
      <alignment horizontal="left" vertical="center"/>
    </xf>
    <xf numFmtId="0" fontId="0" fillId="0" borderId="331" xfId="0" applyBorder="1" applyAlignment="1">
      <alignment horizontal="left"/>
    </xf>
    <xf numFmtId="0" fontId="4" fillId="0" borderId="332" xfId="0" applyFont="1" applyBorder="1" applyAlignment="1">
      <alignment vertical="center"/>
    </xf>
    <xf numFmtId="0" fontId="0" fillId="0" borderId="331" xfId="0" applyBorder="1">
      <alignment horizontal="center" vertical="center"/>
    </xf>
    <xf numFmtId="0" fontId="4" fillId="0" borderId="333" xfId="0" applyFont="1" applyBorder="1" applyAlignment="1">
      <alignment horizontal="left" vertical="center"/>
    </xf>
    <xf numFmtId="0" fontId="4" fillId="0" borderId="333" xfId="0" applyFont="1" applyBorder="1" applyAlignment="1">
      <alignment horizontal="left"/>
    </xf>
    <xf numFmtId="0" fontId="4" fillId="0" borderId="334" xfId="0" applyFont="1" applyBorder="1" applyAlignment="1">
      <alignment vertical="center"/>
    </xf>
    <xf numFmtId="0" fontId="0" fillId="0" borderId="334" xfId="0" applyBorder="1">
      <alignment horizontal="center" vertical="center"/>
    </xf>
    <xf numFmtId="0" fontId="0" fillId="0" borderId="336" xfId="0" applyBorder="1">
      <alignment horizontal="center" vertical="center"/>
    </xf>
    <xf numFmtId="0" fontId="14" fillId="0" borderId="270" xfId="0" applyFont="1" applyBorder="1">
      <alignment horizontal="center" vertical="center"/>
    </xf>
    <xf numFmtId="0" fontId="4" fillId="0" borderId="270" xfId="0" applyFont="1" applyBorder="1">
      <alignment horizontal="center" vertical="center"/>
    </xf>
    <xf numFmtId="0" fontId="0" fillId="0" borderId="295" xfId="0" applyBorder="1">
      <alignment horizontal="center" vertical="center"/>
    </xf>
    <xf numFmtId="0" fontId="0" fillId="24" borderId="337" xfId="0" applyFill="1" applyBorder="1" applyAlignment="1" applyProtection="1">
      <alignment horizontal="center"/>
      <protection locked="0"/>
    </xf>
    <xf numFmtId="0" fontId="0" fillId="0" borderId="338" xfId="0" applyBorder="1" applyAlignment="1">
      <alignment horizontal="left" vertical="center"/>
    </xf>
    <xf numFmtId="49" fontId="0" fillId="51" borderId="338" xfId="0" applyNumberFormat="1" applyFill="1" applyBorder="1">
      <alignment horizontal="center" vertical="center"/>
    </xf>
    <xf numFmtId="0" fontId="7" fillId="55" borderId="338" xfId="45" applyBorder="1">
      <alignment horizontal="center" vertical="center"/>
    </xf>
    <xf numFmtId="0" fontId="0" fillId="0" borderId="338" xfId="0" applyBorder="1">
      <alignment horizontal="center" vertical="center"/>
    </xf>
    <xf numFmtId="0" fontId="0" fillId="55" borderId="338" xfId="45" applyFont="1" applyBorder="1">
      <alignment horizontal="center" vertical="center"/>
    </xf>
    <xf numFmtId="0" fontId="0" fillId="51" borderId="338" xfId="45" applyFont="1" applyFill="1" applyBorder="1">
      <alignment horizontal="center" vertical="center"/>
    </xf>
    <xf numFmtId="0" fontId="0" fillId="51" borderId="338" xfId="44" applyFont="1" applyFill="1" applyBorder="1">
      <alignment horizontal="center" vertical="center"/>
    </xf>
    <xf numFmtId="49" fontId="0" fillId="51" borderId="339" xfId="0" applyNumberFormat="1" applyFill="1" applyBorder="1">
      <alignment horizontal="center" vertical="center"/>
    </xf>
    <xf numFmtId="0" fontId="7" fillId="51" borderId="147" xfId="45" applyFill="1" applyBorder="1">
      <alignment horizontal="center" vertical="center"/>
    </xf>
    <xf numFmtId="0" fontId="0" fillId="51" borderId="338" xfId="48" applyFont="1" applyFill="1" applyBorder="1">
      <alignment horizontal="center" vertical="center"/>
    </xf>
    <xf numFmtId="0" fontId="0" fillId="51" borderId="338" xfId="0" applyFill="1" applyBorder="1" applyAlignment="1">
      <alignment horizontal="left" vertical="center" wrapText="1"/>
    </xf>
    <xf numFmtId="0" fontId="0" fillId="53" borderId="338" xfId="0" applyFill="1" applyBorder="1">
      <alignment horizontal="center" vertical="center"/>
    </xf>
    <xf numFmtId="0" fontId="0" fillId="53" borderId="338" xfId="44" applyFont="1" applyFill="1" applyBorder="1">
      <alignment horizontal="center" vertical="center"/>
    </xf>
    <xf numFmtId="49" fontId="0" fillId="53" borderId="338" xfId="0" applyNumberFormat="1" applyFill="1" applyBorder="1">
      <alignment horizontal="center" vertical="center"/>
    </xf>
    <xf numFmtId="1" fontId="0" fillId="53" borderId="338" xfId="32" applyNumberFormat="1" applyFont="1" applyFill="1" applyBorder="1" applyAlignment="1">
      <alignment horizontal="center" vertical="center"/>
    </xf>
    <xf numFmtId="49" fontId="0" fillId="53" borderId="339" xfId="0" applyNumberFormat="1" applyFill="1" applyBorder="1">
      <alignment horizontal="center" vertical="center"/>
    </xf>
    <xf numFmtId="49" fontId="0" fillId="52" borderId="147" xfId="0" applyNumberFormat="1" applyFill="1" applyBorder="1">
      <alignment horizontal="center" vertical="center"/>
    </xf>
    <xf numFmtId="0" fontId="0" fillId="0" borderId="76" xfId="0" applyBorder="1" applyAlignment="1">
      <alignment vertical="center"/>
    </xf>
    <xf numFmtId="49" fontId="0" fillId="52" borderId="338" xfId="0" applyNumberFormat="1" applyFill="1" applyBorder="1">
      <alignment horizontal="center" vertical="center"/>
    </xf>
    <xf numFmtId="0" fontId="0" fillId="52" borderId="338" xfId="44" applyFont="1" applyFill="1" applyBorder="1">
      <alignment horizontal="center" vertical="center"/>
    </xf>
    <xf numFmtId="1" fontId="0" fillId="51" borderId="338" xfId="32" applyNumberFormat="1" applyFont="1" applyFill="1" applyBorder="1" applyAlignment="1">
      <alignment horizontal="center" vertical="center"/>
    </xf>
    <xf numFmtId="0" fontId="7" fillId="69" borderId="338" xfId="44" applyBorder="1">
      <alignment horizontal="center" vertical="center"/>
    </xf>
    <xf numFmtId="0" fontId="52" fillId="56" borderId="338" xfId="46" applyBorder="1">
      <alignment horizontal="center" vertical="center"/>
    </xf>
    <xf numFmtId="49" fontId="0" fillId="72" borderId="338" xfId="0" applyNumberFormat="1" applyFill="1" applyBorder="1">
      <alignment horizontal="center" vertical="center"/>
    </xf>
    <xf numFmtId="0" fontId="0" fillId="72" borderId="338" xfId="44" applyFont="1" applyFill="1" applyBorder="1">
      <alignment horizontal="center" vertical="center"/>
    </xf>
    <xf numFmtId="0" fontId="7" fillId="52" borderId="338" xfId="48" applyBorder="1">
      <alignment horizontal="center" vertical="center"/>
    </xf>
    <xf numFmtId="0" fontId="7" fillId="54" borderId="338" xfId="50" applyBorder="1">
      <alignment horizontal="center" vertical="center"/>
    </xf>
    <xf numFmtId="0" fontId="0" fillId="51" borderId="339" xfId="0" applyFill="1" applyBorder="1">
      <alignment horizontal="center" vertical="center"/>
    </xf>
    <xf numFmtId="0" fontId="0" fillId="0" borderId="340" xfId="0" applyBorder="1" applyAlignment="1">
      <alignment vertical="center"/>
    </xf>
    <xf numFmtId="0" fontId="0" fillId="51" borderId="340" xfId="0" applyFill="1" applyBorder="1" applyAlignment="1" applyProtection="1">
      <alignment horizontal="left" vertical="center"/>
      <protection locked="0"/>
    </xf>
    <xf numFmtId="0" fontId="7" fillId="51" borderId="338" xfId="48" applyFill="1" applyBorder="1">
      <alignment horizontal="center" vertical="center"/>
    </xf>
    <xf numFmtId="1" fontId="0" fillId="55" borderId="102" xfId="0" applyNumberFormat="1" applyFill="1" applyBorder="1">
      <alignment horizontal="center" vertical="center"/>
    </xf>
    <xf numFmtId="0" fontId="1" fillId="55" borderId="102" xfId="0" applyFont="1" applyFill="1" applyBorder="1" applyAlignment="1">
      <alignment horizontal="center"/>
    </xf>
    <xf numFmtId="0" fontId="1" fillId="80" borderId="102" xfId="0" applyFont="1" applyFill="1" applyBorder="1" applyAlignment="1">
      <alignment horizontal="center"/>
    </xf>
    <xf numFmtId="0" fontId="1" fillId="0" borderId="25" xfId="0" applyFont="1" applyBorder="1" applyAlignment="1">
      <alignment horizontal="center"/>
    </xf>
    <xf numFmtId="0" fontId="1" fillId="0" borderId="102" xfId="0" applyFont="1" applyBorder="1" applyAlignment="1">
      <alignment horizontal="center"/>
    </xf>
    <xf numFmtId="0" fontId="1" fillId="52" borderId="102" xfId="0" applyFont="1" applyFill="1" applyBorder="1" applyAlignment="1">
      <alignment horizontal="center"/>
    </xf>
    <xf numFmtId="0" fontId="0" fillId="52" borderId="102" xfId="43" applyFont="1" applyFill="1" applyBorder="1">
      <alignment horizontal="center" vertical="center"/>
    </xf>
    <xf numFmtId="0" fontId="0" fillId="53" borderId="338" xfId="48" applyFont="1" applyFill="1" applyBorder="1">
      <alignment horizontal="center" vertical="center"/>
    </xf>
    <xf numFmtId="0" fontId="0" fillId="0" borderId="55" xfId="0" applyBorder="1" applyAlignment="1">
      <alignment horizontal="left" vertical="center"/>
    </xf>
    <xf numFmtId="0" fontId="7" fillId="55" borderId="132" xfId="45" applyBorder="1">
      <alignment horizontal="center" vertical="center"/>
    </xf>
    <xf numFmtId="0" fontId="0" fillId="51" borderId="132" xfId="51" applyFont="1" applyFill="1" applyBorder="1">
      <alignment horizontal="center" vertical="center"/>
    </xf>
    <xf numFmtId="0" fontId="0" fillId="51" borderId="132" xfId="48" applyFont="1" applyFill="1" applyBorder="1">
      <alignment horizontal="center" vertical="center"/>
    </xf>
    <xf numFmtId="0" fontId="7" fillId="0" borderId="132" xfId="53" applyBorder="1">
      <alignment horizontal="center" vertical="center"/>
    </xf>
    <xf numFmtId="0" fontId="0" fillId="55" borderId="132" xfId="51" applyFont="1" applyFill="1" applyBorder="1">
      <alignment horizontal="center" vertical="center"/>
    </xf>
    <xf numFmtId="0" fontId="0" fillId="51" borderId="132" xfId="43" applyFont="1" applyFill="1" applyBorder="1">
      <alignment horizontal="center" vertical="center"/>
    </xf>
    <xf numFmtId="0" fontId="7" fillId="53" borderId="132" xfId="43" applyBorder="1">
      <alignment horizontal="center" vertical="center"/>
    </xf>
    <xf numFmtId="0" fontId="0" fillId="0" borderId="133" xfId="0" applyBorder="1">
      <alignment horizontal="center" vertical="center"/>
    </xf>
    <xf numFmtId="0" fontId="4" fillId="0" borderId="341" xfId="0" applyFont="1" applyBorder="1" applyAlignment="1" applyProtection="1">
      <alignment horizontal="center"/>
      <protection locked="0"/>
    </xf>
    <xf numFmtId="0" fontId="0" fillId="0" borderId="341" xfId="0" applyBorder="1">
      <alignment horizontal="center" vertical="center"/>
    </xf>
    <xf numFmtId="49" fontId="0" fillId="51" borderId="341" xfId="0" applyNumberFormat="1" applyFill="1" applyBorder="1">
      <alignment horizontal="center" vertical="center"/>
    </xf>
    <xf numFmtId="0" fontId="0" fillId="51" borderId="341" xfId="44" applyFont="1" applyFill="1" applyBorder="1">
      <alignment horizontal="center" vertical="center"/>
    </xf>
    <xf numFmtId="0" fontId="0" fillId="51" borderId="341" xfId="0" applyFill="1" applyBorder="1">
      <alignment horizontal="center" vertical="center"/>
    </xf>
    <xf numFmtId="1" fontId="0" fillId="51" borderId="341" xfId="32" applyNumberFormat="1" applyFont="1" applyFill="1" applyBorder="1" applyAlignment="1">
      <alignment horizontal="center" vertical="center"/>
    </xf>
    <xf numFmtId="49" fontId="0" fillId="51" borderId="342" xfId="0" applyNumberFormat="1" applyFill="1" applyBorder="1">
      <alignment horizontal="center" vertical="center"/>
    </xf>
    <xf numFmtId="0" fontId="21" fillId="51" borderId="338" xfId="0" applyFont="1" applyFill="1" applyBorder="1" applyAlignment="1">
      <alignment horizontal="left" vertical="center"/>
    </xf>
    <xf numFmtId="0" fontId="62" fillId="0" borderId="167" xfId="0" applyFont="1" applyBorder="1" applyAlignment="1"/>
    <xf numFmtId="0" fontId="0" fillId="0" borderId="167" xfId="0" applyBorder="1" applyAlignment="1">
      <alignment horizontal="center"/>
    </xf>
    <xf numFmtId="0" fontId="0" fillId="82" borderId="167" xfId="0" applyFill="1" applyBorder="1" applyAlignment="1">
      <alignment horizontal="center"/>
    </xf>
    <xf numFmtId="0" fontId="1" fillId="52" borderId="76" xfId="0" applyFont="1" applyFill="1" applyBorder="1" applyAlignment="1">
      <alignment horizontal="center"/>
    </xf>
    <xf numFmtId="0" fontId="1" fillId="0" borderId="76" xfId="0" applyFont="1" applyBorder="1" applyAlignment="1">
      <alignment horizontal="center"/>
    </xf>
    <xf numFmtId="0" fontId="1" fillId="83" borderId="76" xfId="0" applyFont="1" applyFill="1" applyBorder="1" applyAlignment="1">
      <alignment horizontal="center"/>
    </xf>
    <xf numFmtId="0" fontId="1" fillId="51" borderId="25" xfId="0" applyFont="1" applyFill="1" applyBorder="1" applyAlignment="1">
      <alignment horizontal="center"/>
    </xf>
    <xf numFmtId="0" fontId="1" fillId="55" borderId="76" xfId="0" applyFont="1" applyFill="1" applyBorder="1" applyAlignment="1">
      <alignment horizontal="center"/>
    </xf>
    <xf numFmtId="0" fontId="1" fillId="84" borderId="76" xfId="0" applyFont="1" applyFill="1" applyBorder="1" applyAlignment="1">
      <alignment horizontal="center"/>
    </xf>
    <xf numFmtId="0" fontId="7" fillId="51" borderId="76" xfId="43" applyFill="1" applyBorder="1">
      <alignment horizontal="center" vertical="center"/>
    </xf>
    <xf numFmtId="0" fontId="1" fillId="57" borderId="25" xfId="0" applyFont="1" applyFill="1" applyBorder="1" applyAlignment="1">
      <alignment horizontal="center"/>
    </xf>
    <xf numFmtId="0" fontId="0" fillId="0" borderId="330" xfId="0" applyBorder="1">
      <alignment horizontal="center" vertical="center"/>
    </xf>
    <xf numFmtId="0" fontId="0" fillId="0" borderId="333" xfId="0" applyBorder="1">
      <alignment horizontal="center" vertical="center"/>
    </xf>
    <xf numFmtId="0" fontId="0" fillId="0" borderId="343" xfId="0" applyBorder="1">
      <alignment horizontal="center" vertical="center"/>
    </xf>
    <xf numFmtId="0" fontId="0" fillId="0" borderId="344" xfId="0" applyBorder="1">
      <alignment horizontal="center" vertical="center"/>
    </xf>
    <xf numFmtId="0" fontId="0" fillId="0" borderId="345" xfId="0" applyBorder="1">
      <alignment horizontal="center" vertical="center"/>
    </xf>
    <xf numFmtId="0" fontId="0" fillId="0" borderId="332" xfId="0" applyBorder="1" applyAlignment="1">
      <alignment horizontal="left" vertical="center"/>
    </xf>
    <xf numFmtId="0" fontId="0" fillId="0" borderId="335" xfId="0" applyBorder="1">
      <alignment horizontal="center" vertical="center"/>
    </xf>
    <xf numFmtId="0" fontId="0" fillId="0" borderId="334" xfId="0" applyBorder="1" applyAlignment="1">
      <alignment horizontal="left" vertical="center"/>
    </xf>
    <xf numFmtId="0" fontId="0" fillId="0" borderId="333" xfId="0" applyBorder="1" applyAlignment="1">
      <alignment horizontal="left" vertical="center"/>
    </xf>
    <xf numFmtId="0" fontId="0" fillId="0" borderId="331" xfId="0" applyBorder="1" applyAlignment="1">
      <alignment horizontal="left" vertical="center"/>
    </xf>
    <xf numFmtId="0" fontId="0" fillId="0" borderId="346" xfId="0" applyBorder="1">
      <alignment horizontal="center" vertical="center"/>
    </xf>
    <xf numFmtId="0" fontId="0" fillId="0" borderId="347" xfId="0" applyBorder="1">
      <alignment horizontal="center" vertical="center"/>
    </xf>
    <xf numFmtId="0" fontId="0" fillId="0" borderId="348" xfId="0" applyBorder="1">
      <alignment horizontal="center" vertical="center"/>
    </xf>
    <xf numFmtId="0" fontId="0" fillId="0" borderId="332" xfId="0" applyBorder="1">
      <alignment horizontal="center" vertical="center"/>
    </xf>
    <xf numFmtId="0" fontId="4" fillId="43" borderId="338" xfId="0" applyFont="1" applyFill="1" applyBorder="1" applyAlignment="1">
      <alignment horizontal="center"/>
    </xf>
    <xf numFmtId="0" fontId="0" fillId="0" borderId="338" xfId="0" applyBorder="1" applyAlignment="1">
      <alignment vertical="center"/>
    </xf>
    <xf numFmtId="0" fontId="0" fillId="51" borderId="338" xfId="20" applyNumberFormat="1" applyFont="1" applyFill="1" applyBorder="1" applyAlignment="1">
      <alignment horizontal="center" vertical="center"/>
    </xf>
    <xf numFmtId="0" fontId="0" fillId="55" borderId="147" xfId="20" applyFont="1" applyFill="1" applyBorder="1" applyAlignment="1">
      <alignment horizontal="center" vertical="center"/>
    </xf>
    <xf numFmtId="0" fontId="0" fillId="74" borderId="147" xfId="0" applyFill="1" applyBorder="1">
      <alignment horizontal="center" vertical="center"/>
    </xf>
    <xf numFmtId="0" fontId="0" fillId="55" borderId="76" xfId="43" applyFont="1" applyFill="1" applyBorder="1">
      <alignment horizontal="center" vertical="center"/>
    </xf>
    <xf numFmtId="0" fontId="4" fillId="0" borderId="330" xfId="0" applyFont="1" applyBorder="1" applyAlignment="1">
      <alignment horizontal="center"/>
    </xf>
    <xf numFmtId="0" fontId="4" fillId="0" borderId="332" xfId="0" applyFont="1" applyBorder="1" applyAlignment="1">
      <alignment horizontal="center"/>
    </xf>
    <xf numFmtId="0" fontId="4" fillId="0" borderId="335" xfId="0" applyFont="1" applyBorder="1" applyAlignment="1">
      <alignment horizontal="left"/>
    </xf>
    <xf numFmtId="0" fontId="6" fillId="0" borderId="332" xfId="0" applyFont="1" applyBorder="1" applyAlignment="1">
      <alignment horizontal="center"/>
    </xf>
    <xf numFmtId="0" fontId="0" fillId="0" borderId="332" xfId="0" applyBorder="1" applyAlignment="1">
      <alignment horizontal="center"/>
    </xf>
    <xf numFmtId="0" fontId="4" fillId="0" borderId="335" xfId="0" applyFont="1" applyBorder="1" applyAlignment="1">
      <alignment horizontal="center"/>
    </xf>
    <xf numFmtId="0" fontId="6" fillId="0" borderId="334" xfId="0" applyFont="1" applyBorder="1" applyAlignment="1">
      <alignment horizontal="center"/>
    </xf>
    <xf numFmtId="0" fontId="6" fillId="0" borderId="335" xfId="0" applyFont="1" applyBorder="1" applyAlignment="1">
      <alignment horizontal="center"/>
    </xf>
    <xf numFmtId="0" fontId="0" fillId="0" borderId="335" xfId="0" applyBorder="1" applyAlignment="1">
      <alignment horizontal="center"/>
    </xf>
    <xf numFmtId="0" fontId="7" fillId="0" borderId="334" xfId="0" applyFont="1" applyBorder="1" applyAlignment="1">
      <alignment horizontal="left" vertical="center"/>
    </xf>
    <xf numFmtId="0" fontId="6" fillId="0" borderId="334" xfId="0" applyFont="1" applyBorder="1">
      <alignment horizontal="center" vertical="center"/>
    </xf>
    <xf numFmtId="0" fontId="6" fillId="0" borderId="335" xfId="0" applyFont="1" applyBorder="1">
      <alignment horizontal="center" vertical="center"/>
    </xf>
    <xf numFmtId="0" fontId="6" fillId="0" borderId="331" xfId="0" applyFont="1" applyBorder="1">
      <alignment horizontal="center" vertical="center"/>
    </xf>
    <xf numFmtId="0" fontId="7" fillId="0" borderId="331" xfId="0" applyFont="1" applyBorder="1">
      <alignment horizontal="center" vertical="center"/>
    </xf>
    <xf numFmtId="0" fontId="7" fillId="0" borderId="344" xfId="0" applyFont="1" applyBorder="1">
      <alignment horizontal="center" vertical="center"/>
    </xf>
    <xf numFmtId="0" fontId="7" fillId="0" borderId="338" xfId="0" applyFont="1" applyBorder="1">
      <alignment horizontal="center" vertical="center"/>
    </xf>
    <xf numFmtId="0" fontId="7" fillId="0" borderId="338" xfId="0" applyFont="1" applyBorder="1" applyAlignment="1">
      <alignment horizontal="left" vertical="center"/>
    </xf>
    <xf numFmtId="0" fontId="0" fillId="0" borderId="332" xfId="0" applyBorder="1" applyAlignment="1"/>
    <xf numFmtId="0" fontId="4" fillId="0" borderId="334" xfId="0" applyFont="1" applyBorder="1" applyAlignment="1">
      <alignment horizontal="left"/>
    </xf>
    <xf numFmtId="0" fontId="0" fillId="0" borderId="334" xfId="0" applyBorder="1" applyAlignment="1"/>
    <xf numFmtId="0" fontId="0" fillId="0" borderId="335" xfId="0" applyBorder="1" applyAlignment="1"/>
    <xf numFmtId="0" fontId="4" fillId="0" borderId="332" xfId="0" applyFont="1" applyBorder="1" applyAlignment="1">
      <alignment horizontal="left"/>
    </xf>
    <xf numFmtId="0" fontId="0" fillId="0" borderId="336" xfId="0" applyBorder="1" applyAlignment="1"/>
    <xf numFmtId="0" fontId="0" fillId="51" borderId="338" xfId="0" applyFill="1" applyBorder="1" applyAlignment="1">
      <alignment horizontal="left" vertical="center"/>
    </xf>
    <xf numFmtId="49" fontId="0" fillId="60" borderId="338" xfId="0" applyNumberFormat="1" applyFill="1" applyBorder="1">
      <alignment horizontal="center" vertical="center"/>
    </xf>
    <xf numFmtId="0" fontId="0" fillId="60" borderId="338" xfId="0" applyFill="1" applyBorder="1">
      <alignment horizontal="center" vertical="center"/>
    </xf>
    <xf numFmtId="0" fontId="0" fillId="60" borderId="338" xfId="44" applyFont="1" applyFill="1" applyBorder="1">
      <alignment horizontal="center" vertical="center"/>
    </xf>
    <xf numFmtId="0" fontId="7" fillId="0" borderId="162" xfId="53" applyBorder="1">
      <alignment horizontal="center" vertical="center"/>
    </xf>
    <xf numFmtId="0" fontId="7" fillId="0" borderId="349" xfId="53" applyBorder="1">
      <alignment horizontal="center" vertical="center"/>
    </xf>
    <xf numFmtId="0" fontId="0" fillId="51" borderId="131" xfId="0" applyFill="1" applyBorder="1">
      <alignment horizontal="center" vertical="center"/>
    </xf>
    <xf numFmtId="0" fontId="4" fillId="43" borderId="350" xfId="0" applyFont="1" applyFill="1" applyBorder="1" applyAlignment="1">
      <alignment horizontal="center"/>
    </xf>
    <xf numFmtId="0" fontId="0" fillId="51" borderId="350" xfId="0" applyFill="1" applyBorder="1">
      <alignment horizontal="center" vertical="center"/>
    </xf>
    <xf numFmtId="0" fontId="0" fillId="51" borderId="350" xfId="44" applyFont="1" applyFill="1" applyBorder="1">
      <alignment horizontal="center" vertical="center"/>
    </xf>
    <xf numFmtId="49" fontId="0" fillId="51" borderId="350" xfId="0" applyNumberFormat="1" applyFill="1" applyBorder="1">
      <alignment horizontal="center" vertical="center"/>
    </xf>
    <xf numFmtId="0" fontId="0" fillId="51" borderId="351" xfId="0" applyFill="1" applyBorder="1">
      <alignment horizontal="center" vertical="center"/>
    </xf>
    <xf numFmtId="0" fontId="7" fillId="51" borderId="332" xfId="0" applyFont="1" applyFill="1" applyBorder="1" applyAlignment="1">
      <alignment vertical="center"/>
    </xf>
    <xf numFmtId="0" fontId="7" fillId="69" borderId="350" xfId="44" applyBorder="1">
      <alignment horizontal="center" vertical="center"/>
    </xf>
    <xf numFmtId="0" fontId="0" fillId="51" borderId="350" xfId="32" applyFont="1" applyFill="1" applyBorder="1" applyAlignment="1">
      <alignment horizontal="center" vertical="center"/>
    </xf>
    <xf numFmtId="0" fontId="0" fillId="0" borderId="350" xfId="0" applyBorder="1">
      <alignment horizontal="center" vertical="center"/>
    </xf>
    <xf numFmtId="0" fontId="0" fillId="0" borderId="76" xfId="0" applyBorder="1" applyAlignment="1">
      <alignment horizontal="left" vertical="center"/>
    </xf>
    <xf numFmtId="0" fontId="0" fillId="51" borderId="60" xfId="48" applyFont="1" applyFill="1" applyBorder="1">
      <alignment horizontal="center" vertical="center"/>
    </xf>
    <xf numFmtId="0" fontId="0" fillId="51" borderId="54" xfId="0" applyFill="1" applyBorder="1">
      <alignment horizontal="center" vertical="center"/>
    </xf>
    <xf numFmtId="0" fontId="0" fillId="51" borderId="352" xfId="0" applyFill="1" applyBorder="1">
      <alignment horizontal="center" vertical="center"/>
    </xf>
    <xf numFmtId="0" fontId="4" fillId="0" borderId="353" xfId="0" applyFont="1" applyBorder="1" applyAlignment="1">
      <alignment horizontal="center"/>
    </xf>
    <xf numFmtId="49" fontId="7" fillId="0" borderId="354" xfId="0" applyNumberFormat="1" applyFont="1" applyBorder="1">
      <alignment horizontal="center" vertical="center"/>
    </xf>
    <xf numFmtId="0" fontId="0" fillId="0" borderId="355" xfId="0" applyBorder="1">
      <alignment horizontal="center" vertical="center"/>
    </xf>
    <xf numFmtId="0" fontId="0" fillId="0" borderId="356" xfId="0" applyBorder="1">
      <alignment horizontal="center" vertical="center"/>
    </xf>
    <xf numFmtId="0" fontId="4" fillId="0" borderId="356" xfId="0" applyFont="1" applyBorder="1" applyAlignment="1">
      <alignment horizontal="left"/>
    </xf>
    <xf numFmtId="0" fontId="0" fillId="0" borderId="357" xfId="0" applyBorder="1">
      <alignment horizontal="center" vertical="center"/>
    </xf>
    <xf numFmtId="0" fontId="9" fillId="0" borderId="358" xfId="0" applyFont="1" applyBorder="1">
      <alignment horizontal="center" vertical="center"/>
    </xf>
    <xf numFmtId="0" fontId="0" fillId="0" borderId="359" xfId="0" applyBorder="1">
      <alignment horizontal="center" vertical="center"/>
    </xf>
    <xf numFmtId="49" fontId="7" fillId="0" borderId="359" xfId="0" applyNumberFormat="1" applyFont="1" applyBorder="1">
      <alignment horizontal="center" vertical="center"/>
    </xf>
    <xf numFmtId="0" fontId="9" fillId="0" borderId="360" xfId="0" applyFont="1" applyBorder="1">
      <alignment horizontal="center" vertical="center"/>
    </xf>
    <xf numFmtId="0" fontId="0" fillId="0" borderId="361" xfId="0" applyBorder="1">
      <alignment horizontal="center" vertical="center"/>
    </xf>
    <xf numFmtId="0" fontId="3" fillId="0" borderId="361" xfId="0" applyFont="1" applyBorder="1">
      <alignment horizontal="center" vertical="center"/>
    </xf>
    <xf numFmtId="0" fontId="3" fillId="0" borderId="362" xfId="0" applyFont="1" applyBorder="1">
      <alignment horizontal="center" vertical="center"/>
    </xf>
    <xf numFmtId="49" fontId="3" fillId="0" borderId="361" xfId="0" applyNumberFormat="1" applyFont="1" applyBorder="1">
      <alignment horizontal="center" vertical="center"/>
    </xf>
    <xf numFmtId="0" fontId="7" fillId="0" borderId="361" xfId="0" applyFont="1" applyBorder="1">
      <alignment horizontal="center" vertical="center"/>
    </xf>
    <xf numFmtId="0" fontId="7" fillId="0" borderId="362" xfId="0" applyFont="1" applyBorder="1">
      <alignment horizontal="center" vertical="center"/>
    </xf>
    <xf numFmtId="49" fontId="7" fillId="0" borderId="361" xfId="0" applyNumberFormat="1" applyFont="1" applyBorder="1">
      <alignment horizontal="center" vertical="center"/>
    </xf>
    <xf numFmtId="0" fontId="9" fillId="0" borderId="363" xfId="0" applyFont="1" applyBorder="1">
      <alignment horizontal="center" vertical="center"/>
    </xf>
    <xf numFmtId="0" fontId="0" fillId="51" borderId="350" xfId="0" applyFill="1" applyBorder="1" applyAlignment="1">
      <alignment horizontal="left" vertical="center" wrapText="1"/>
    </xf>
    <xf numFmtId="49" fontId="0" fillId="51" borderId="364" xfId="0" applyNumberFormat="1" applyFill="1" applyBorder="1">
      <alignment horizontal="center" vertical="center"/>
    </xf>
    <xf numFmtId="0" fontId="7" fillId="52" borderId="364" xfId="48" applyBorder="1">
      <alignment horizontal="center" vertical="center"/>
    </xf>
    <xf numFmtId="49" fontId="0" fillId="51" borderId="365" xfId="0" applyNumberFormat="1" applyFill="1" applyBorder="1">
      <alignment horizontal="center" vertical="center"/>
    </xf>
    <xf numFmtId="49" fontId="0" fillId="52" borderId="365" xfId="0" applyNumberFormat="1" applyFill="1" applyBorder="1">
      <alignment horizontal="center" vertical="center"/>
    </xf>
    <xf numFmtId="0" fontId="0" fillId="51" borderId="365" xfId="0" applyFill="1" applyBorder="1">
      <alignment horizontal="center" vertical="center"/>
    </xf>
    <xf numFmtId="49" fontId="0" fillId="56" borderId="76" xfId="0" applyNumberFormat="1" applyFill="1" applyBorder="1">
      <alignment horizontal="center" vertical="center"/>
    </xf>
    <xf numFmtId="49" fontId="0" fillId="52" borderId="76" xfId="0" applyNumberFormat="1" applyFill="1" applyBorder="1">
      <alignment horizontal="center" vertical="center"/>
    </xf>
    <xf numFmtId="0" fontId="0" fillId="51" borderId="366" xfId="0" applyFill="1" applyBorder="1" applyAlignment="1">
      <alignment horizontal="left" vertical="center"/>
    </xf>
    <xf numFmtId="0" fontId="7" fillId="53" borderId="366" xfId="43" applyBorder="1">
      <alignment horizontal="center" vertical="center"/>
    </xf>
    <xf numFmtId="0" fontId="4" fillId="0" borderId="332" xfId="0" applyFont="1" applyBorder="1" applyAlignment="1">
      <alignment horizontal="left" vertical="center"/>
    </xf>
    <xf numFmtId="0" fontId="0" fillId="0" borderId="335" xfId="0" applyBorder="1" applyAlignment="1">
      <alignment horizontal="left" vertical="center"/>
    </xf>
    <xf numFmtId="0" fontId="4" fillId="0" borderId="334" xfId="0" applyFont="1" applyBorder="1" applyAlignment="1">
      <alignment horizontal="left" vertical="center"/>
    </xf>
    <xf numFmtId="0" fontId="4" fillId="0" borderId="367" xfId="0" applyFont="1" applyBorder="1" applyAlignment="1">
      <alignment horizontal="left"/>
    </xf>
    <xf numFmtId="0" fontId="0" fillId="0" borderId="368" xfId="0" applyBorder="1" applyAlignment="1">
      <alignment horizontal="left" vertical="center"/>
    </xf>
    <xf numFmtId="0" fontId="0" fillId="0" borderId="367" xfId="0" applyBorder="1" applyAlignment="1">
      <alignment horizontal="left" vertical="center"/>
    </xf>
    <xf numFmtId="49" fontId="0" fillId="0" borderId="369" xfId="0" applyNumberFormat="1" applyBorder="1" applyAlignment="1">
      <alignment horizontal="left"/>
    </xf>
    <xf numFmtId="49" fontId="0" fillId="0" borderId="369" xfId="0" applyNumberFormat="1" applyBorder="1" applyAlignment="1">
      <alignment horizontal="left" vertical="center"/>
    </xf>
    <xf numFmtId="0" fontId="3" fillId="0" borderId="370" xfId="0" applyFont="1" applyBorder="1" applyAlignment="1">
      <alignment horizontal="center"/>
    </xf>
    <xf numFmtId="0" fontId="0" fillId="0" borderId="371" xfId="0" applyBorder="1" applyAlignment="1">
      <alignment horizontal="left" vertical="center"/>
    </xf>
    <xf numFmtId="0" fontId="0" fillId="0" borderId="372" xfId="0" applyBorder="1" applyAlignment="1">
      <alignment horizontal="left" vertical="center"/>
    </xf>
    <xf numFmtId="49" fontId="0" fillId="0" borderId="373" xfId="0" applyNumberFormat="1" applyBorder="1" applyAlignment="1">
      <alignment horizontal="left"/>
    </xf>
    <xf numFmtId="0" fontId="4" fillId="0" borderId="350" xfId="0" applyFont="1" applyBorder="1" applyAlignment="1" applyProtection="1">
      <alignment horizontal="center"/>
      <protection locked="0"/>
    </xf>
    <xf numFmtId="0" fontId="0" fillId="0" borderId="350" xfId="0" applyBorder="1" applyAlignment="1">
      <alignment horizontal="left"/>
    </xf>
    <xf numFmtId="0" fontId="0" fillId="51" borderId="370" xfId="53" applyFont="1" applyFill="1" applyBorder="1">
      <alignment horizontal="center" vertical="center"/>
    </xf>
    <xf numFmtId="0" fontId="4" fillId="0" borderId="370" xfId="0" applyFont="1" applyBorder="1" applyAlignment="1" applyProtection="1">
      <alignment horizontal="center"/>
      <protection locked="0"/>
    </xf>
    <xf numFmtId="0" fontId="4" fillId="0" borderId="370" xfId="0" applyFont="1" applyBorder="1" applyAlignment="1">
      <alignment horizontal="left"/>
    </xf>
    <xf numFmtId="0" fontId="0" fillId="51" borderId="374" xfId="0" applyFill="1" applyBorder="1">
      <alignment horizontal="center" vertical="center"/>
    </xf>
    <xf numFmtId="0" fontId="0" fillId="0" borderId="370" xfId="0" applyBorder="1" applyAlignment="1" applyProtection="1">
      <alignment horizontal="center"/>
      <protection locked="0"/>
    </xf>
    <xf numFmtId="0" fontId="0" fillId="0" borderId="370" xfId="0" applyBorder="1" applyAlignment="1">
      <alignment horizontal="left"/>
    </xf>
    <xf numFmtId="0" fontId="4" fillId="0" borderId="370" xfId="0" applyFont="1" applyBorder="1" applyAlignment="1">
      <alignment vertical="center"/>
    </xf>
    <xf numFmtId="0" fontId="7" fillId="54" borderId="370" xfId="50" applyBorder="1">
      <alignment horizontal="center" vertical="center"/>
    </xf>
    <xf numFmtId="0" fontId="0" fillId="55" borderId="370" xfId="48" applyFont="1" applyFill="1" applyBorder="1">
      <alignment horizontal="center" vertical="center"/>
    </xf>
    <xf numFmtId="0" fontId="7" fillId="69" borderId="370" xfId="44" applyBorder="1">
      <alignment horizontal="center" vertical="center"/>
    </xf>
    <xf numFmtId="0" fontId="52" fillId="56" borderId="370" xfId="46" applyBorder="1">
      <alignment horizontal="center" vertical="center"/>
    </xf>
    <xf numFmtId="0" fontId="7" fillId="52" borderId="370" xfId="48" applyBorder="1">
      <alignment horizontal="center" vertical="center"/>
    </xf>
    <xf numFmtId="0" fontId="0" fillId="0" borderId="370" xfId="0" applyBorder="1">
      <alignment horizontal="center" vertical="center"/>
    </xf>
    <xf numFmtId="0" fontId="3" fillId="0" borderId="370" xfId="0" applyFont="1" applyBorder="1" applyAlignment="1" applyProtection="1">
      <alignment horizontal="center"/>
      <protection locked="0"/>
    </xf>
    <xf numFmtId="0" fontId="0" fillId="51" borderId="374" xfId="48" applyFont="1" applyFill="1" applyBorder="1">
      <alignment horizontal="center" vertical="center"/>
    </xf>
    <xf numFmtId="0" fontId="0" fillId="51" borderId="374" xfId="51" applyFont="1" applyFill="1" applyBorder="1">
      <alignment horizontal="center" vertical="center"/>
    </xf>
    <xf numFmtId="0" fontId="0" fillId="0" borderId="374" xfId="0" applyBorder="1">
      <alignment horizontal="center" vertical="center"/>
    </xf>
    <xf numFmtId="0" fontId="0" fillId="79" borderId="370" xfId="0" applyFill="1" applyBorder="1">
      <alignment horizontal="center" vertical="center"/>
    </xf>
    <xf numFmtId="0" fontId="7" fillId="70" borderId="370" xfId="52" applyBorder="1">
      <alignment horizontal="center" vertical="center"/>
    </xf>
    <xf numFmtId="0" fontId="4" fillId="0" borderId="375" xfId="0" applyFont="1" applyBorder="1">
      <alignment horizontal="center" vertical="center"/>
    </xf>
    <xf numFmtId="0" fontId="0" fillId="51" borderId="370" xfId="33" applyFont="1" applyFill="1" applyBorder="1">
      <alignment horizontal="center" vertical="center"/>
    </xf>
    <xf numFmtId="49" fontId="0" fillId="51" borderId="374" xfId="0" applyNumberFormat="1" applyFill="1" applyBorder="1">
      <alignment horizontal="center" vertical="center"/>
    </xf>
    <xf numFmtId="0" fontId="7" fillId="0" borderId="370" xfId="0" applyFont="1" applyBorder="1" applyAlignment="1">
      <alignment vertical="center"/>
    </xf>
    <xf numFmtId="0" fontId="7" fillId="51" borderId="370" xfId="0" applyFont="1" applyFill="1" applyBorder="1" applyAlignment="1">
      <alignment vertical="center"/>
    </xf>
    <xf numFmtId="0" fontId="4" fillId="0" borderId="337" xfId="0" applyFont="1" applyBorder="1" applyAlignment="1">
      <alignment horizontal="center"/>
    </xf>
    <xf numFmtId="0" fontId="4" fillId="0" borderId="376" xfId="0" applyFont="1" applyBorder="1" applyAlignment="1">
      <alignment horizontal="center"/>
    </xf>
    <xf numFmtId="0" fontId="3" fillId="0" borderId="367" xfId="0" applyFont="1" applyBorder="1" applyAlignment="1">
      <alignment horizontal="left"/>
    </xf>
    <xf numFmtId="0" fontId="4" fillId="0" borderId="377" xfId="0" applyFont="1" applyBorder="1" applyAlignment="1">
      <alignment horizontal="center"/>
    </xf>
    <xf numFmtId="0" fontId="3" fillId="0" borderId="372" xfId="0" applyFont="1" applyBorder="1" applyAlignment="1">
      <alignment horizontal="center"/>
    </xf>
    <xf numFmtId="0" fontId="0" fillId="0" borderId="378" xfId="0" applyBorder="1" applyAlignment="1" applyProtection="1">
      <alignment horizontal="center"/>
      <protection locked="0"/>
    </xf>
    <xf numFmtId="0" fontId="0" fillId="0" borderId="369" xfId="0" applyBorder="1" applyAlignment="1" applyProtection="1">
      <alignment horizontal="center"/>
      <protection locked="0"/>
    </xf>
    <xf numFmtId="0" fontId="0" fillId="43" borderId="379" xfId="0" applyFill="1" applyBorder="1" applyAlignment="1">
      <alignment horizontal="center"/>
    </xf>
    <xf numFmtId="0" fontId="47" fillId="0" borderId="379" xfId="0" applyFont="1" applyBorder="1" applyAlignment="1">
      <alignment horizontal="left" vertical="center"/>
    </xf>
    <xf numFmtId="0" fontId="0" fillId="0" borderId="380" xfId="0" applyBorder="1" applyAlignment="1">
      <alignment horizontal="left" vertical="center"/>
    </xf>
    <xf numFmtId="0" fontId="7" fillId="52" borderId="378" xfId="48" applyBorder="1">
      <alignment horizontal="center" vertical="center"/>
    </xf>
    <xf numFmtId="49" fontId="7" fillId="51" borderId="378" xfId="0" applyNumberFormat="1" applyFont="1" applyFill="1" applyBorder="1">
      <alignment horizontal="center" vertical="center"/>
    </xf>
    <xf numFmtId="0" fontId="0" fillId="0" borderId="378" xfId="0" applyBorder="1">
      <alignment horizontal="center" vertical="center"/>
    </xf>
    <xf numFmtId="0" fontId="0" fillId="0" borderId="381" xfId="0" applyBorder="1" applyAlignment="1" applyProtection="1">
      <alignment horizontal="center"/>
      <protection locked="0"/>
    </xf>
    <xf numFmtId="0" fontId="0" fillId="0" borderId="382" xfId="0" applyBorder="1" applyAlignment="1">
      <alignment horizontal="left" vertical="center"/>
    </xf>
    <xf numFmtId="49" fontId="7" fillId="51" borderId="379" xfId="0" applyNumberFormat="1" applyFont="1" applyFill="1" applyBorder="1">
      <alignment horizontal="center" vertical="center"/>
    </xf>
    <xf numFmtId="49" fontId="0" fillId="0" borderId="369" xfId="0" applyNumberFormat="1" applyBorder="1" applyAlignment="1"/>
    <xf numFmtId="0" fontId="4" fillId="0" borderId="381" xfId="0" applyFont="1" applyBorder="1" applyAlignment="1" applyProtection="1">
      <alignment horizontal="center"/>
      <protection locked="0"/>
    </xf>
    <xf numFmtId="0" fontId="6" fillId="0" borderId="381" xfId="0" applyFont="1" applyBorder="1" applyAlignment="1">
      <alignment horizontal="center"/>
    </xf>
    <xf numFmtId="0" fontId="0" fillId="0" borderId="383" xfId="0" applyBorder="1" applyAlignment="1">
      <alignment horizontal="left" vertical="center"/>
    </xf>
    <xf numFmtId="0" fontId="0" fillId="0" borderId="378" xfId="0" applyBorder="1" applyAlignment="1" applyProtection="1">
      <alignment horizontal="left"/>
      <protection locked="0"/>
    </xf>
    <xf numFmtId="0" fontId="0" fillId="51" borderId="384" xfId="0" applyFill="1" applyBorder="1">
      <alignment horizontal="center" vertical="center"/>
    </xf>
    <xf numFmtId="0" fontId="0" fillId="0" borderId="375" xfId="0" applyBorder="1" applyAlignment="1" applyProtection="1">
      <alignment horizontal="center"/>
      <protection locked="0"/>
    </xf>
    <xf numFmtId="49" fontId="0" fillId="51" borderId="385" xfId="0" applyNumberFormat="1" applyFill="1" applyBorder="1">
      <alignment horizontal="center" vertical="center"/>
    </xf>
    <xf numFmtId="0" fontId="0" fillId="0" borderId="366" xfId="0" applyBorder="1">
      <alignment horizontal="center" vertical="center"/>
    </xf>
    <xf numFmtId="0" fontId="0" fillId="0" borderId="366" xfId="0" applyBorder="1" applyAlignment="1">
      <alignment vertical="center"/>
    </xf>
    <xf numFmtId="49" fontId="0" fillId="51" borderId="386" xfId="0" applyNumberFormat="1" applyFill="1" applyBorder="1">
      <alignment horizontal="center" vertical="center"/>
    </xf>
    <xf numFmtId="49" fontId="0" fillId="51" borderId="381" xfId="0" applyNumberFormat="1" applyFill="1" applyBorder="1">
      <alignment horizontal="center" vertical="center"/>
    </xf>
    <xf numFmtId="0" fontId="0" fillId="51" borderId="381" xfId="0" applyFill="1" applyBorder="1">
      <alignment horizontal="center" vertical="center"/>
    </xf>
    <xf numFmtId="49" fontId="0" fillId="51" borderId="387" xfId="0" applyNumberFormat="1" applyFill="1" applyBorder="1">
      <alignment horizontal="center" vertical="center"/>
    </xf>
    <xf numFmtId="0" fontId="6" fillId="44" borderId="369" xfId="0" applyFont="1" applyFill="1" applyBorder="1" applyAlignment="1">
      <alignment horizontal="left"/>
    </xf>
    <xf numFmtId="0" fontId="6" fillId="25" borderId="369" xfId="0" applyFont="1" applyFill="1" applyBorder="1">
      <alignment horizontal="center" vertical="center"/>
    </xf>
    <xf numFmtId="0" fontId="7" fillId="25" borderId="367" xfId="0" applyFont="1" applyFill="1" applyBorder="1">
      <alignment horizontal="center" vertical="center"/>
    </xf>
    <xf numFmtId="0" fontId="6" fillId="29" borderId="369" xfId="0" applyFont="1" applyFill="1" applyBorder="1" applyAlignment="1">
      <alignment horizontal="left"/>
    </xf>
    <xf numFmtId="0" fontId="6" fillId="29" borderId="367" xfId="0" applyFont="1" applyFill="1" applyBorder="1" applyAlignment="1">
      <alignment horizontal="left"/>
    </xf>
    <xf numFmtId="0" fontId="7" fillId="29" borderId="367" xfId="0" applyFont="1" applyFill="1" applyBorder="1">
      <alignment horizontal="center" vertical="center"/>
    </xf>
    <xf numFmtId="0" fontId="7" fillId="29" borderId="368" xfId="0" applyFont="1" applyFill="1" applyBorder="1">
      <alignment horizontal="center" vertical="center"/>
    </xf>
    <xf numFmtId="0" fontId="6" fillId="37" borderId="369" xfId="0" applyFont="1" applyFill="1" applyBorder="1" applyAlignment="1">
      <alignment horizontal="left"/>
    </xf>
    <xf numFmtId="0" fontId="6" fillId="37" borderId="367" xfId="0" applyFont="1" applyFill="1" applyBorder="1" applyAlignment="1">
      <alignment horizontal="left"/>
    </xf>
    <xf numFmtId="0" fontId="0" fillId="37" borderId="367" xfId="0" applyFill="1" applyBorder="1">
      <alignment horizontal="center" vertical="center"/>
    </xf>
    <xf numFmtId="0" fontId="6" fillId="45" borderId="369" xfId="0" applyFont="1" applyFill="1" applyBorder="1" applyAlignment="1">
      <alignment horizontal="left"/>
    </xf>
    <xf numFmtId="0" fontId="0" fillId="45" borderId="367" xfId="0" applyFill="1" applyBorder="1">
      <alignment horizontal="center" vertical="center"/>
    </xf>
    <xf numFmtId="0" fontId="7" fillId="45" borderId="367" xfId="0" applyFont="1" applyFill="1" applyBorder="1">
      <alignment horizontal="center" vertical="center"/>
    </xf>
    <xf numFmtId="0" fontId="7" fillId="45" borderId="368" xfId="0" applyFont="1" applyFill="1" applyBorder="1">
      <alignment horizontal="center" vertical="center"/>
    </xf>
    <xf numFmtId="0" fontId="6" fillId="24" borderId="369" xfId="0" applyFont="1" applyFill="1" applyBorder="1">
      <alignment horizontal="center" vertical="center"/>
    </xf>
    <xf numFmtId="0" fontId="0" fillId="24" borderId="367" xfId="0" applyFill="1" applyBorder="1">
      <alignment horizontal="center" vertical="center"/>
    </xf>
    <xf numFmtId="0" fontId="7" fillId="24" borderId="367" xfId="0" applyFont="1" applyFill="1" applyBorder="1">
      <alignment horizontal="center" vertical="center"/>
    </xf>
    <xf numFmtId="0" fontId="6" fillId="40" borderId="369" xfId="0" applyFont="1" applyFill="1" applyBorder="1" applyAlignment="1">
      <alignment horizontal="left"/>
    </xf>
    <xf numFmtId="0" fontId="7" fillId="40" borderId="367" xfId="0" applyFont="1" applyFill="1" applyBorder="1">
      <alignment horizontal="center" vertical="center"/>
    </xf>
    <xf numFmtId="0" fontId="0" fillId="40" borderId="368" xfId="0" applyFill="1" applyBorder="1">
      <alignment horizontal="center" vertical="center"/>
    </xf>
    <xf numFmtId="0" fontId="0" fillId="46" borderId="388" xfId="0" applyFill="1" applyBorder="1">
      <alignment horizontal="center" vertical="center"/>
    </xf>
    <xf numFmtId="0" fontId="7" fillId="46" borderId="388" xfId="0" applyFont="1" applyFill="1" applyBorder="1">
      <alignment horizontal="center" vertical="center"/>
    </xf>
    <xf numFmtId="0" fontId="7" fillId="77" borderId="389" xfId="0" applyFont="1" applyFill="1" applyBorder="1">
      <alignment horizontal="center" vertical="center"/>
    </xf>
    <xf numFmtId="0" fontId="6" fillId="0" borderId="383" xfId="0" applyFont="1" applyBorder="1" applyAlignment="1">
      <alignment horizontal="left" vertical="center"/>
    </xf>
    <xf numFmtId="0" fontId="7" fillId="0" borderId="388" xfId="0" applyFont="1" applyBorder="1">
      <alignment horizontal="center" vertical="center"/>
    </xf>
    <xf numFmtId="0" fontId="7" fillId="0" borderId="389" xfId="0" applyFont="1" applyBorder="1">
      <alignment horizontal="center" vertical="center"/>
    </xf>
    <xf numFmtId="0" fontId="6" fillId="39" borderId="378" xfId="0" applyFont="1" applyFill="1" applyBorder="1" applyAlignment="1">
      <alignment horizontal="left"/>
    </xf>
    <xf numFmtId="0" fontId="6" fillId="47" borderId="369" xfId="0" applyFont="1" applyFill="1" applyBorder="1">
      <alignment horizontal="center" vertical="center"/>
    </xf>
    <xf numFmtId="0" fontId="7" fillId="47" borderId="367" xfId="0" applyFont="1" applyFill="1" applyBorder="1">
      <alignment horizontal="center" vertical="center"/>
    </xf>
    <xf numFmtId="0" fontId="7" fillId="0" borderId="369" xfId="0" applyFont="1" applyBorder="1" applyAlignment="1">
      <alignment horizontal="left"/>
    </xf>
    <xf numFmtId="0" fontId="0" fillId="0" borderId="367" xfId="0" applyBorder="1">
      <alignment horizontal="center" vertical="center"/>
    </xf>
    <xf numFmtId="0" fontId="7" fillId="0" borderId="367" xfId="0" applyFont="1" applyBorder="1" applyAlignment="1">
      <alignment horizontal="left"/>
    </xf>
    <xf numFmtId="0" fontId="7" fillId="0" borderId="367" xfId="0" applyFont="1" applyBorder="1">
      <alignment horizontal="center" vertical="center"/>
    </xf>
    <xf numFmtId="0" fontId="7" fillId="0" borderId="368" xfId="0" applyFont="1" applyBorder="1">
      <alignment horizontal="center" vertical="center"/>
    </xf>
    <xf numFmtId="0" fontId="7" fillId="48" borderId="369" xfId="0" applyFont="1" applyFill="1" applyBorder="1" applyAlignment="1">
      <alignment horizontal="left" vertical="center"/>
    </xf>
    <xf numFmtId="0" fontId="7" fillId="48" borderId="367" xfId="0" applyFont="1" applyFill="1" applyBorder="1">
      <alignment horizontal="center" vertical="center"/>
    </xf>
    <xf numFmtId="0" fontId="7" fillId="48" borderId="368" xfId="0" applyFont="1" applyFill="1" applyBorder="1">
      <alignment horizontal="center" vertical="center"/>
    </xf>
    <xf numFmtId="0" fontId="4" fillId="0" borderId="369" xfId="0" applyFont="1" applyBorder="1" applyAlignment="1">
      <alignment horizontal="left" vertical="center"/>
    </xf>
    <xf numFmtId="0" fontId="0" fillId="0" borderId="368" xfId="0" applyBorder="1">
      <alignment horizontal="center" vertical="center"/>
    </xf>
    <xf numFmtId="0" fontId="0" fillId="0" borderId="390" xfId="0" applyBorder="1">
      <alignment horizontal="center" vertical="center"/>
    </xf>
    <xf numFmtId="0" fontId="4" fillId="0" borderId="367" xfId="0" applyFont="1" applyBorder="1" applyAlignment="1">
      <alignment horizontal="left" vertical="center"/>
    </xf>
    <xf numFmtId="0" fontId="0" fillId="0" borderId="391" xfId="0" applyBorder="1">
      <alignment horizontal="center" vertical="center"/>
    </xf>
    <xf numFmtId="0" fontId="14" fillId="0" borderId="383" xfId="0" applyFont="1" applyBorder="1">
      <alignment horizontal="center" vertical="center"/>
    </xf>
    <xf numFmtId="0" fontId="0" fillId="0" borderId="388" xfId="0" applyBorder="1">
      <alignment horizontal="center" vertical="center"/>
    </xf>
    <xf numFmtId="0" fontId="0" fillId="0" borderId="389" xfId="0" applyBorder="1">
      <alignment horizontal="center" vertical="center"/>
    </xf>
    <xf numFmtId="0" fontId="4" fillId="0" borderId="369" xfId="0" applyFont="1" applyBorder="1">
      <alignment horizontal="center" vertical="center"/>
    </xf>
    <xf numFmtId="0" fontId="0" fillId="0" borderId="379" xfId="0" applyBorder="1" applyAlignment="1" applyProtection="1">
      <alignment horizontal="center"/>
      <protection locked="0"/>
    </xf>
    <xf numFmtId="0" fontId="6" fillId="51" borderId="379" xfId="0" applyFont="1" applyFill="1" applyBorder="1">
      <alignment horizontal="center" vertical="center"/>
    </xf>
    <xf numFmtId="0" fontId="0" fillId="71" borderId="379" xfId="0" applyFill="1" applyBorder="1">
      <alignment horizontal="center" vertical="center"/>
    </xf>
    <xf numFmtId="0" fontId="0" fillId="51" borderId="379" xfId="0" applyFill="1" applyBorder="1">
      <alignment horizontal="center" vertical="center"/>
    </xf>
    <xf numFmtId="0" fontId="0" fillId="51" borderId="392" xfId="0" applyFill="1" applyBorder="1">
      <alignment horizontal="center" vertical="center"/>
    </xf>
    <xf numFmtId="0" fontId="6" fillId="0" borderId="370" xfId="0" applyFont="1" applyBorder="1">
      <alignment horizontal="center" vertical="center"/>
    </xf>
    <xf numFmtId="0" fontId="0" fillId="51" borderId="338" xfId="0" applyFill="1" applyBorder="1" applyProtection="1">
      <alignment horizontal="center" vertical="center"/>
      <protection locked="0"/>
    </xf>
    <xf numFmtId="0" fontId="0" fillId="0" borderId="370" xfId="0" applyBorder="1" applyAlignment="1">
      <alignment horizontal="left" vertical="center"/>
    </xf>
    <xf numFmtId="0" fontId="0" fillId="51" borderId="370" xfId="43" applyFont="1" applyFill="1" applyBorder="1">
      <alignment horizontal="center" vertical="center"/>
    </xf>
    <xf numFmtId="0" fontId="0" fillId="51" borderId="370" xfId="0" applyFill="1" applyBorder="1">
      <alignment horizontal="center" vertical="center"/>
    </xf>
    <xf numFmtId="0" fontId="0" fillId="51" borderId="370" xfId="32" applyFont="1" applyFill="1" applyBorder="1" applyAlignment="1">
      <alignment horizontal="center" vertical="center"/>
    </xf>
    <xf numFmtId="0" fontId="0" fillId="52" borderId="370" xfId="0" applyFill="1" applyBorder="1">
      <alignment horizontal="center" vertical="center"/>
    </xf>
    <xf numFmtId="0" fontId="0" fillId="51" borderId="370" xfId="44" applyFont="1" applyFill="1" applyBorder="1">
      <alignment horizontal="center" vertical="center"/>
    </xf>
    <xf numFmtId="0" fontId="0" fillId="51" borderId="393" xfId="0" applyFill="1" applyBorder="1">
      <alignment horizontal="center" vertical="center"/>
    </xf>
    <xf numFmtId="0" fontId="4" fillId="24" borderId="378" xfId="0" applyFont="1" applyFill="1" applyBorder="1" applyAlignment="1">
      <alignment horizontal="left" vertical="center"/>
    </xf>
    <xf numFmtId="0" fontId="0" fillId="24" borderId="378" xfId="0" applyFill="1" applyBorder="1">
      <alignment horizontal="center" vertical="center"/>
    </xf>
    <xf numFmtId="0" fontId="0" fillId="24" borderId="385" xfId="0" applyFill="1" applyBorder="1">
      <alignment horizontal="center" vertical="center"/>
    </xf>
    <xf numFmtId="0" fontId="0" fillId="43" borderId="378" xfId="0" applyFill="1" applyBorder="1" applyAlignment="1" applyProtection="1">
      <alignment horizontal="center"/>
      <protection locked="0"/>
    </xf>
    <xf numFmtId="0" fontId="0" fillId="51" borderId="378" xfId="43" applyFont="1" applyFill="1" applyBorder="1">
      <alignment horizontal="center" vertical="center"/>
    </xf>
    <xf numFmtId="1" fontId="0" fillId="51" borderId="378" xfId="0" applyNumberFormat="1" applyFill="1" applyBorder="1">
      <alignment horizontal="center" vertical="center"/>
    </xf>
    <xf numFmtId="1" fontId="0" fillId="51" borderId="378" xfId="32" applyNumberFormat="1" applyFont="1" applyFill="1" applyBorder="1" applyAlignment="1">
      <alignment horizontal="center" vertical="center"/>
    </xf>
    <xf numFmtId="0" fontId="0" fillId="51" borderId="378" xfId="0" applyFill="1" applyBorder="1">
      <alignment horizontal="center" vertical="center"/>
    </xf>
    <xf numFmtId="0" fontId="0" fillId="51" borderId="378" xfId="44" applyFont="1" applyFill="1" applyBorder="1">
      <alignment horizontal="center" vertical="center"/>
    </xf>
    <xf numFmtId="0" fontId="0" fillId="51" borderId="378" xfId="46" applyFont="1" applyFill="1" applyBorder="1">
      <alignment horizontal="center" vertical="center"/>
    </xf>
    <xf numFmtId="1" fontId="0" fillId="51" borderId="385" xfId="0" applyNumberFormat="1" applyFill="1" applyBorder="1">
      <alignment horizontal="center" vertical="center"/>
    </xf>
    <xf numFmtId="0" fontId="0" fillId="0" borderId="378" xfId="0" applyBorder="1" applyAlignment="1">
      <alignment horizontal="left" vertical="center"/>
    </xf>
    <xf numFmtId="0" fontId="6" fillId="0" borderId="378" xfId="0" applyFont="1" applyBorder="1" applyAlignment="1">
      <alignment horizontal="left" vertical="center"/>
    </xf>
    <xf numFmtId="0" fontId="0" fillId="53" borderId="378" xfId="44" applyFont="1" applyFill="1" applyBorder="1">
      <alignment horizontal="center" vertical="center"/>
    </xf>
    <xf numFmtId="1" fontId="0" fillId="53" borderId="378" xfId="0" applyNumberFormat="1" applyFill="1" applyBorder="1">
      <alignment horizontal="center" vertical="center"/>
    </xf>
    <xf numFmtId="0" fontId="0" fillId="53" borderId="378" xfId="43" applyFont="1" applyBorder="1">
      <alignment horizontal="center" vertical="center"/>
    </xf>
    <xf numFmtId="1" fontId="0" fillId="53" borderId="378" xfId="32" applyNumberFormat="1" applyFont="1" applyFill="1" applyBorder="1" applyAlignment="1">
      <alignment horizontal="center" vertical="center"/>
    </xf>
    <xf numFmtId="1" fontId="0" fillId="53" borderId="385" xfId="0" applyNumberFormat="1" applyFill="1" applyBorder="1">
      <alignment horizontal="center" vertical="center"/>
    </xf>
    <xf numFmtId="0" fontId="36" fillId="23" borderId="394" xfId="32" applyBorder="1" applyAlignment="1">
      <alignment horizontal="center" vertical="center"/>
    </xf>
    <xf numFmtId="1" fontId="0" fillId="72" borderId="378" xfId="0" applyNumberFormat="1" applyFill="1" applyBorder="1">
      <alignment horizontal="center" vertical="center"/>
    </xf>
    <xf numFmtId="0" fontId="0" fillId="72" borderId="378" xfId="49" applyFont="1" applyFill="1" applyBorder="1">
      <alignment horizontal="center" vertical="center"/>
    </xf>
    <xf numFmtId="0" fontId="0" fillId="51" borderId="378" xfId="49" applyFont="1" applyFill="1" applyBorder="1">
      <alignment horizontal="center" vertical="center"/>
    </xf>
    <xf numFmtId="0" fontId="0" fillId="51" borderId="378" xfId="48" applyFont="1" applyFill="1" applyBorder="1">
      <alignment horizontal="center" vertical="center"/>
    </xf>
    <xf numFmtId="1" fontId="0" fillId="69" borderId="378" xfId="0" applyNumberFormat="1" applyFill="1" applyBorder="1">
      <alignment horizontal="center" vertical="center"/>
    </xf>
    <xf numFmtId="0" fontId="0" fillId="54" borderId="378" xfId="44" applyFont="1" applyFill="1" applyBorder="1">
      <alignment horizontal="center" vertical="center"/>
    </xf>
    <xf numFmtId="1" fontId="0" fillId="51" borderId="378" xfId="44" applyNumberFormat="1" applyFont="1" applyFill="1" applyBorder="1">
      <alignment horizontal="center" vertical="center"/>
    </xf>
    <xf numFmtId="0" fontId="4" fillId="24" borderId="379" xfId="0" applyFont="1" applyFill="1" applyBorder="1" applyAlignment="1" applyProtection="1">
      <alignment horizontal="left"/>
      <protection locked="0"/>
    </xf>
    <xf numFmtId="0" fontId="4" fillId="24" borderId="379" xfId="0" applyFont="1" applyFill="1" applyBorder="1">
      <alignment horizontal="center" vertical="center"/>
    </xf>
    <xf numFmtId="1" fontId="0" fillId="24" borderId="379" xfId="0" applyNumberFormat="1" applyFill="1" applyBorder="1">
      <alignment horizontal="center" vertical="center"/>
    </xf>
    <xf numFmtId="0" fontId="0" fillId="24" borderId="392" xfId="0" applyFill="1" applyBorder="1">
      <alignment horizontal="center" vertical="center"/>
    </xf>
    <xf numFmtId="0" fontId="0" fillId="43" borderId="340" xfId="0" applyFill="1" applyBorder="1" applyAlignment="1" applyProtection="1">
      <alignment horizontal="center"/>
      <protection locked="0"/>
    </xf>
    <xf numFmtId="0" fontId="0" fillId="0" borderId="340" xfId="0" applyBorder="1" applyAlignment="1">
      <alignment horizontal="left" vertical="center"/>
    </xf>
    <xf numFmtId="0" fontId="0" fillId="51" borderId="340" xfId="0" applyFill="1" applyBorder="1">
      <alignment horizontal="center" vertical="center"/>
    </xf>
    <xf numFmtId="0" fontId="0" fillId="52" borderId="340" xfId="0" applyFill="1" applyBorder="1">
      <alignment horizontal="center" vertical="center"/>
    </xf>
    <xf numFmtId="0" fontId="0" fillId="52" borderId="340" xfId="32" applyFont="1" applyFill="1" applyBorder="1" applyAlignment="1">
      <alignment horizontal="center" vertical="center"/>
    </xf>
    <xf numFmtId="0" fontId="0" fillId="55" borderId="340" xfId="0" applyFill="1" applyBorder="1">
      <alignment horizontal="center" vertical="center"/>
    </xf>
    <xf numFmtId="0" fontId="0" fillId="55" borderId="379" xfId="48" applyFont="1" applyFill="1" applyBorder="1">
      <alignment horizontal="center" vertical="center"/>
    </xf>
    <xf numFmtId="0" fontId="0" fillId="51" borderId="395" xfId="0" applyFill="1" applyBorder="1">
      <alignment horizontal="center" vertical="center"/>
    </xf>
    <xf numFmtId="173" fontId="0" fillId="0" borderId="370" xfId="0" applyNumberFormat="1" applyBorder="1">
      <alignment horizontal="center" vertical="center"/>
    </xf>
    <xf numFmtId="0" fontId="0" fillId="43" borderId="370" xfId="0" applyFill="1" applyBorder="1" applyAlignment="1" applyProtection="1">
      <alignment horizontal="center"/>
      <protection locked="0"/>
    </xf>
    <xf numFmtId="0" fontId="7" fillId="0" borderId="370" xfId="0" applyFont="1" applyBorder="1" applyAlignment="1">
      <alignment horizontal="left" vertical="center"/>
    </xf>
    <xf numFmtId="0" fontId="7" fillId="53" borderId="370" xfId="43" applyBorder="1">
      <alignment horizontal="center" vertical="center"/>
    </xf>
    <xf numFmtId="0" fontId="7" fillId="53" borderId="379" xfId="43" applyBorder="1">
      <alignment horizontal="center" vertical="center"/>
    </xf>
    <xf numFmtId="0" fontId="0" fillId="51" borderId="370" xfId="48" applyFont="1" applyFill="1" applyBorder="1">
      <alignment horizontal="center" vertical="center"/>
    </xf>
    <xf numFmtId="0" fontId="0" fillId="51" borderId="379" xfId="48" applyFont="1" applyFill="1" applyBorder="1">
      <alignment horizontal="center" vertical="center"/>
    </xf>
    <xf numFmtId="1" fontId="0" fillId="51" borderId="370" xfId="0" applyNumberFormat="1" applyFill="1" applyBorder="1">
      <alignment horizontal="center" vertical="center"/>
    </xf>
    <xf numFmtId="1" fontId="0" fillId="51" borderId="370" xfId="32" applyNumberFormat="1" applyFont="1" applyFill="1" applyBorder="1" applyAlignment="1">
      <alignment horizontal="center" vertical="center"/>
    </xf>
    <xf numFmtId="0" fontId="0" fillId="51" borderId="370" xfId="46" applyFont="1" applyFill="1" applyBorder="1">
      <alignment horizontal="center" vertical="center"/>
    </xf>
    <xf numFmtId="1" fontId="0" fillId="51" borderId="393" xfId="0" applyNumberFormat="1" applyFill="1" applyBorder="1">
      <alignment horizontal="center" vertical="center"/>
    </xf>
    <xf numFmtId="0" fontId="0" fillId="43" borderId="54" xfId="0" applyFill="1" applyBorder="1" applyAlignment="1" applyProtection="1">
      <alignment horizontal="center"/>
      <protection locked="0"/>
    </xf>
    <xf numFmtId="0" fontId="0" fillId="51" borderId="54" xfId="48" applyFont="1" applyFill="1" applyBorder="1">
      <alignment horizontal="center" vertical="center"/>
    </xf>
    <xf numFmtId="0" fontId="0" fillId="51" borderId="54" xfId="44" applyFont="1" applyFill="1" applyBorder="1">
      <alignment horizontal="center" vertical="center"/>
    </xf>
    <xf numFmtId="0" fontId="7" fillId="55" borderId="54" xfId="45" applyBorder="1">
      <alignment horizontal="center" vertical="center"/>
    </xf>
    <xf numFmtId="0" fontId="0" fillId="51" borderId="338" xfId="46" applyFont="1" applyFill="1" applyBorder="1">
      <alignment horizontal="center" vertical="center"/>
    </xf>
    <xf numFmtId="0" fontId="4" fillId="0" borderId="396" xfId="0" applyFont="1" applyBorder="1" applyAlignment="1">
      <alignment horizontal="left" vertical="center"/>
    </xf>
    <xf numFmtId="0" fontId="0" fillId="0" borderId="397" xfId="0" applyBorder="1" applyAlignment="1">
      <alignment horizontal="left"/>
    </xf>
    <xf numFmtId="0" fontId="4" fillId="0" borderId="398" xfId="0" applyFont="1" applyBorder="1" applyAlignment="1">
      <alignment vertical="center"/>
    </xf>
    <xf numFmtId="0" fontId="0" fillId="0" borderId="397" xfId="0" applyBorder="1">
      <alignment horizontal="center" vertical="center"/>
    </xf>
    <xf numFmtId="0" fontId="4" fillId="0" borderId="399" xfId="0" applyFont="1" applyBorder="1" applyAlignment="1">
      <alignment horizontal="left" vertical="center"/>
    </xf>
    <xf numFmtId="0" fontId="4" fillId="0" borderId="399" xfId="0" applyFont="1" applyBorder="1" applyAlignment="1">
      <alignment horizontal="left"/>
    </xf>
    <xf numFmtId="0" fontId="4" fillId="0" borderId="400" xfId="0" applyFont="1" applyBorder="1" applyAlignment="1">
      <alignment vertical="center"/>
    </xf>
    <xf numFmtId="0" fontId="0" fillId="0" borderId="400" xfId="0" applyBorder="1">
      <alignment horizontal="center" vertical="center"/>
    </xf>
    <xf numFmtId="0" fontId="0" fillId="0" borderId="402" xfId="0" applyBorder="1">
      <alignment horizontal="center" vertical="center"/>
    </xf>
    <xf numFmtId="0" fontId="0" fillId="24" borderId="403" xfId="0" applyFill="1" applyBorder="1" applyAlignment="1" applyProtection="1">
      <alignment horizontal="center"/>
      <protection locked="0"/>
    </xf>
    <xf numFmtId="0" fontId="0" fillId="0" borderId="404" xfId="0" applyBorder="1" applyAlignment="1">
      <alignment horizontal="left" vertical="center"/>
    </xf>
    <xf numFmtId="0" fontId="0" fillId="51" borderId="404" xfId="0" applyFill="1" applyBorder="1">
      <alignment horizontal="center" vertical="center"/>
    </xf>
    <xf numFmtId="49" fontId="0" fillId="51" borderId="405" xfId="0" applyNumberFormat="1" applyFill="1" applyBorder="1">
      <alignment horizontal="center" vertical="center"/>
    </xf>
    <xf numFmtId="0" fontId="0" fillId="0" borderId="404" xfId="0" applyBorder="1">
      <alignment horizontal="center" vertical="center"/>
    </xf>
    <xf numFmtId="0" fontId="7" fillId="52" borderId="404" xfId="48" applyBorder="1">
      <alignment horizontal="center" vertical="center"/>
    </xf>
    <xf numFmtId="0" fontId="0" fillId="0" borderId="79" xfId="0" applyBorder="1" applyAlignment="1">
      <alignment horizontal="left" vertical="center"/>
    </xf>
    <xf numFmtId="0" fontId="0" fillId="51" borderId="61" xfId="0" applyFill="1" applyBorder="1" applyAlignment="1">
      <alignment horizontal="left" vertical="center"/>
    </xf>
    <xf numFmtId="0" fontId="0" fillId="53" borderId="119" xfId="44" applyFont="1" applyFill="1" applyBorder="1">
      <alignment horizontal="center" vertical="center"/>
    </xf>
    <xf numFmtId="0" fontId="0" fillId="51" borderId="404" xfId="0" applyFill="1" applyBorder="1" applyAlignment="1">
      <alignment horizontal="left" vertical="center" wrapText="1"/>
    </xf>
    <xf numFmtId="0" fontId="7" fillId="53" borderId="404" xfId="43" applyBorder="1">
      <alignment horizontal="center" vertical="center"/>
    </xf>
    <xf numFmtId="0" fontId="7" fillId="53" borderId="405" xfId="43" applyBorder="1">
      <alignment horizontal="center" vertical="center"/>
    </xf>
    <xf numFmtId="0" fontId="7" fillId="55" borderId="404" xfId="45" applyBorder="1">
      <alignment horizontal="center" vertical="center"/>
    </xf>
    <xf numFmtId="49" fontId="0" fillId="72" borderId="405" xfId="0" applyNumberFormat="1" applyFill="1" applyBorder="1">
      <alignment horizontal="center" vertical="center"/>
    </xf>
    <xf numFmtId="0" fontId="0" fillId="72" borderId="119" xfId="0" applyFill="1" applyBorder="1">
      <alignment horizontal="center" vertical="center"/>
    </xf>
    <xf numFmtId="49" fontId="0" fillId="56" borderId="119" xfId="0" applyNumberFormat="1" applyFill="1" applyBorder="1">
      <alignment horizontal="center" vertical="center"/>
    </xf>
    <xf numFmtId="0" fontId="0" fillId="51" borderId="405" xfId="0" applyFill="1" applyBorder="1">
      <alignment horizontal="center" vertical="center"/>
    </xf>
    <xf numFmtId="0" fontId="0" fillId="0" borderId="383" xfId="0" applyBorder="1" applyAlignment="1">
      <alignment horizontal="left"/>
    </xf>
    <xf numFmtId="0" fontId="0" fillId="0" borderId="388" xfId="0" applyBorder="1" applyAlignment="1">
      <alignment horizontal="left"/>
    </xf>
    <xf numFmtId="0" fontId="7" fillId="0" borderId="389" xfId="0" applyFont="1" applyBorder="1" applyAlignment="1">
      <alignment horizontal="left"/>
    </xf>
    <xf numFmtId="0" fontId="7" fillId="0" borderId="388" xfId="0" applyFont="1" applyBorder="1" applyAlignment="1">
      <alignment horizontal="left"/>
    </xf>
    <xf numFmtId="0" fontId="4" fillId="0" borderId="406" xfId="0" applyFont="1" applyBorder="1" applyAlignment="1" applyProtection="1">
      <alignment horizontal="center"/>
      <protection locked="0"/>
    </xf>
    <xf numFmtId="0" fontId="6" fillId="0" borderId="406" xfId="0" applyFont="1" applyBorder="1" applyAlignment="1">
      <alignment horizontal="center"/>
    </xf>
    <xf numFmtId="0" fontId="0" fillId="0" borderId="407" xfId="0" applyBorder="1" applyAlignment="1">
      <alignment vertical="center"/>
    </xf>
    <xf numFmtId="0" fontId="0" fillId="51" borderId="407" xfId="0" applyFill="1" applyBorder="1" applyAlignment="1" applyProtection="1">
      <alignment horizontal="left" vertical="center"/>
      <protection locked="0"/>
    </xf>
    <xf numFmtId="0" fontId="0" fillId="51" borderId="407" xfId="48" applyFont="1" applyFill="1" applyBorder="1">
      <alignment horizontal="center" vertical="center"/>
    </xf>
    <xf numFmtId="0" fontId="0" fillId="51" borderId="408" xfId="48" applyFont="1" applyFill="1" applyBorder="1">
      <alignment horizontal="center" vertical="center"/>
    </xf>
    <xf numFmtId="49" fontId="0" fillId="55" borderId="102" xfId="0" applyNumberFormat="1" applyFill="1" applyBorder="1">
      <alignment horizontal="center" vertical="center"/>
    </xf>
    <xf numFmtId="0" fontId="0" fillId="55" borderId="409" xfId="0" applyFill="1" applyBorder="1">
      <alignment horizontal="center" vertical="center"/>
    </xf>
    <xf numFmtId="0" fontId="0" fillId="51" borderId="410" xfId="0" applyFill="1" applyBorder="1">
      <alignment horizontal="center" vertical="center"/>
    </xf>
    <xf numFmtId="0" fontId="0" fillId="57" borderId="119" xfId="48" applyFont="1" applyFill="1" applyBorder="1">
      <alignment horizontal="center" vertical="center"/>
    </xf>
    <xf numFmtId="0" fontId="0" fillId="55" borderId="119" xfId="43" applyFont="1" applyFill="1" applyBorder="1">
      <alignment horizontal="center" vertical="center"/>
    </xf>
    <xf numFmtId="0" fontId="0" fillId="51" borderId="411" xfId="48" applyFont="1" applyFill="1" applyBorder="1">
      <alignment horizontal="center" vertical="center"/>
    </xf>
    <xf numFmtId="0" fontId="0" fillId="52" borderId="101" xfId="48" applyFont="1" applyBorder="1">
      <alignment horizontal="center" vertical="center"/>
    </xf>
    <xf numFmtId="0" fontId="19" fillId="0" borderId="76" xfId="0" applyFont="1" applyBorder="1" applyAlignment="1" applyProtection="1">
      <alignment horizontal="center"/>
      <protection locked="0"/>
    </xf>
    <xf numFmtId="0" fontId="19" fillId="0" borderId="55" xfId="0" applyFont="1" applyBorder="1" applyAlignment="1" applyProtection="1">
      <alignment horizontal="center"/>
      <protection locked="0"/>
    </xf>
    <xf numFmtId="0" fontId="0" fillId="71" borderId="64" xfId="0" applyFill="1" applyBorder="1">
      <alignment horizontal="center" vertical="center"/>
    </xf>
    <xf numFmtId="0" fontId="0" fillId="51" borderId="412" xfId="0" applyFill="1" applyBorder="1">
      <alignment horizontal="center" vertical="center"/>
    </xf>
    <xf numFmtId="0" fontId="19" fillId="0" borderId="132" xfId="0" applyFont="1" applyBorder="1" applyAlignment="1" applyProtection="1">
      <alignment horizontal="center"/>
      <protection locked="0"/>
    </xf>
    <xf numFmtId="0" fontId="0" fillId="0" borderId="132" xfId="0" applyBorder="1">
      <alignment horizontal="center" vertical="center"/>
    </xf>
    <xf numFmtId="0" fontId="7" fillId="55" borderId="413" xfId="45" applyBorder="1">
      <alignment horizontal="center" vertical="center"/>
    </xf>
    <xf numFmtId="0" fontId="0" fillId="53" borderId="147" xfId="45" applyFont="1" applyFill="1" applyBorder="1">
      <alignment horizontal="center" vertical="center"/>
    </xf>
    <xf numFmtId="0" fontId="0" fillId="51" borderId="291" xfId="43" applyFont="1" applyFill="1" applyBorder="1">
      <alignment horizontal="center" vertical="center"/>
    </xf>
    <xf numFmtId="0" fontId="7" fillId="51" borderId="411" xfId="43" applyFill="1" applyBorder="1">
      <alignment horizontal="center" vertical="center"/>
    </xf>
    <xf numFmtId="0" fontId="7" fillId="52" borderId="411" xfId="43" applyFill="1" applyBorder="1">
      <alignment horizontal="center" vertical="center"/>
    </xf>
    <xf numFmtId="0" fontId="7" fillId="51" borderId="414" xfId="43" applyFill="1" applyBorder="1">
      <alignment horizontal="center" vertical="center"/>
    </xf>
    <xf numFmtId="0" fontId="0" fillId="0" borderId="102" xfId="43" applyFont="1" applyFill="1" applyBorder="1">
      <alignment horizontal="center" vertical="center"/>
    </xf>
    <xf numFmtId="0" fontId="0" fillId="80" borderId="102" xfId="0" applyFill="1" applyBorder="1" applyAlignment="1"/>
    <xf numFmtId="0" fontId="0" fillId="51" borderId="341" xfId="43" applyFont="1" applyFill="1" applyBorder="1">
      <alignment horizontal="center" vertical="center"/>
    </xf>
    <xf numFmtId="0" fontId="0" fillId="51" borderId="341" xfId="48" applyFont="1" applyFill="1" applyBorder="1">
      <alignment horizontal="center" vertical="center"/>
    </xf>
    <xf numFmtId="0" fontId="0" fillId="51" borderId="342" xfId="48" applyFont="1" applyFill="1" applyBorder="1">
      <alignment horizontal="center" vertical="center"/>
    </xf>
    <xf numFmtId="0" fontId="0" fillId="0" borderId="415" xfId="0" applyBorder="1">
      <alignment horizontal="center" vertical="center"/>
    </xf>
    <xf numFmtId="173" fontId="0" fillId="0" borderId="415" xfId="0" applyNumberFormat="1" applyBorder="1">
      <alignment horizontal="center" vertical="center"/>
    </xf>
    <xf numFmtId="0" fontId="21" fillId="51" borderId="404" xfId="0" applyFont="1" applyFill="1" applyBorder="1" applyAlignment="1">
      <alignment horizontal="left" vertical="center"/>
    </xf>
    <xf numFmtId="1" fontId="0" fillId="51" borderId="404" xfId="32" applyNumberFormat="1" applyFont="1" applyFill="1" applyBorder="1" applyAlignment="1">
      <alignment horizontal="center" vertical="center"/>
    </xf>
    <xf numFmtId="0" fontId="0" fillId="0" borderId="102" xfId="0" applyBorder="1" applyAlignment="1"/>
    <xf numFmtId="49" fontId="0" fillId="51" borderId="407" xfId="0" applyNumberFormat="1" applyFill="1" applyBorder="1">
      <alignment horizontal="center" vertical="center"/>
    </xf>
    <xf numFmtId="49" fontId="0" fillId="55" borderId="407" xfId="0" applyNumberFormat="1" applyFill="1" applyBorder="1">
      <alignment horizontal="center" vertical="center"/>
    </xf>
    <xf numFmtId="0" fontId="0" fillId="84" borderId="102" xfId="0" applyFill="1" applyBorder="1" applyAlignment="1"/>
    <xf numFmtId="0" fontId="0" fillId="0" borderId="287" xfId="0" applyBorder="1" applyAlignment="1"/>
    <xf numFmtId="0" fontId="1" fillId="53" borderId="102" xfId="0" applyFont="1" applyFill="1" applyBorder="1" applyAlignment="1">
      <alignment horizontal="center"/>
    </xf>
    <xf numFmtId="0" fontId="0" fillId="0" borderId="396" xfId="0" applyBorder="1">
      <alignment horizontal="center" vertical="center"/>
    </xf>
    <xf numFmtId="0" fontId="0" fillId="0" borderId="399" xfId="0" applyBorder="1">
      <alignment horizontal="center" vertical="center"/>
    </xf>
    <xf numFmtId="0" fontId="0" fillId="0" borderId="416" xfId="0" applyBorder="1">
      <alignment horizontal="center" vertical="center"/>
    </xf>
    <xf numFmtId="0" fontId="0" fillId="0" borderId="417" xfId="0" applyBorder="1">
      <alignment horizontal="center" vertical="center"/>
    </xf>
    <xf numFmtId="0" fontId="0" fillId="0" borderId="418" xfId="0" applyBorder="1">
      <alignment horizontal="center" vertical="center"/>
    </xf>
    <xf numFmtId="0" fontId="0" fillId="0" borderId="398" xfId="0" applyBorder="1" applyAlignment="1">
      <alignment horizontal="left" vertical="center"/>
    </xf>
    <xf numFmtId="0" fontId="0" fillId="0" borderId="401" xfId="0" applyBorder="1">
      <alignment horizontal="center" vertical="center"/>
    </xf>
    <xf numFmtId="0" fontId="0" fillId="0" borderId="400" xfId="0" applyBorder="1" applyAlignment="1">
      <alignment horizontal="left" vertical="center"/>
    </xf>
    <xf numFmtId="0" fontId="0" fillId="0" borderId="399" xfId="0" applyBorder="1" applyAlignment="1">
      <alignment horizontal="left" vertical="center"/>
    </xf>
    <xf numFmtId="0" fontId="0" fillId="0" borderId="397" xfId="0" applyBorder="1" applyAlignment="1">
      <alignment horizontal="left" vertical="center"/>
    </xf>
    <xf numFmtId="0" fontId="0" fillId="0" borderId="398" xfId="0" applyBorder="1">
      <alignment horizontal="center" vertical="center"/>
    </xf>
    <xf numFmtId="0" fontId="0" fillId="0" borderId="79" xfId="0" applyBorder="1">
      <alignment horizontal="center" vertical="center"/>
    </xf>
    <xf numFmtId="0" fontId="4" fillId="43" borderId="404" xfId="0" applyFont="1" applyFill="1" applyBorder="1" applyAlignment="1">
      <alignment horizontal="center"/>
    </xf>
    <xf numFmtId="0" fontId="0" fillId="0" borderId="404" xfId="0" applyBorder="1" applyAlignment="1">
      <alignment vertical="center"/>
    </xf>
    <xf numFmtId="0" fontId="0" fillId="51" borderId="404" xfId="20" applyNumberFormat="1" applyFont="1" applyFill="1" applyBorder="1" applyAlignment="1">
      <alignment horizontal="center" vertical="center"/>
    </xf>
    <xf numFmtId="0" fontId="0" fillId="56" borderId="147" xfId="0" applyFill="1" applyBorder="1">
      <alignment horizontal="center" vertical="center"/>
    </xf>
    <xf numFmtId="0" fontId="52" fillId="56" borderId="147" xfId="46" applyBorder="1">
      <alignment horizontal="center" vertical="center"/>
    </xf>
    <xf numFmtId="0" fontId="4" fillId="0" borderId="396" xfId="0" applyFont="1" applyBorder="1" applyAlignment="1">
      <alignment horizontal="center"/>
    </xf>
    <xf numFmtId="0" fontId="4" fillId="0" borderId="398" xfId="0" applyFont="1" applyBorder="1" applyAlignment="1">
      <alignment horizontal="center"/>
    </xf>
    <xf numFmtId="0" fontId="4" fillId="0" borderId="401" xfId="0" applyFont="1" applyBorder="1" applyAlignment="1">
      <alignment horizontal="left"/>
    </xf>
    <xf numFmtId="0" fontId="6" fillId="0" borderId="398" xfId="0" applyFont="1" applyBorder="1" applyAlignment="1">
      <alignment horizontal="center"/>
    </xf>
    <xf numFmtId="0" fontId="0" fillId="0" borderId="398" xfId="0" applyBorder="1" applyAlignment="1">
      <alignment horizontal="center"/>
    </xf>
    <xf numFmtId="0" fontId="4" fillId="0" borderId="401" xfId="0" applyFont="1" applyBorder="1" applyAlignment="1">
      <alignment horizontal="center"/>
    </xf>
    <xf numFmtId="0" fontId="6" fillId="0" borderId="400" xfId="0" applyFont="1" applyBorder="1" applyAlignment="1">
      <alignment horizontal="center"/>
    </xf>
    <xf numFmtId="0" fontId="6" fillId="0" borderId="401" xfId="0" applyFont="1" applyBorder="1" applyAlignment="1">
      <alignment horizontal="center"/>
    </xf>
    <xf numFmtId="0" fontId="0" fillId="0" borderId="401" xfId="0" applyBorder="1" applyAlignment="1">
      <alignment horizontal="center"/>
    </xf>
    <xf numFmtId="0" fontId="7" fillId="0" borderId="400" xfId="0" applyFont="1" applyBorder="1" applyAlignment="1">
      <alignment horizontal="left" vertical="center"/>
    </xf>
    <xf numFmtId="0" fontId="6" fillId="0" borderId="400" xfId="0" applyFont="1" applyBorder="1">
      <alignment horizontal="center" vertical="center"/>
    </xf>
    <xf numFmtId="0" fontId="6" fillId="0" borderId="401" xfId="0" applyFont="1" applyBorder="1">
      <alignment horizontal="center" vertical="center"/>
    </xf>
    <xf numFmtId="0" fontId="6" fillId="0" borderId="397" xfId="0" applyFont="1" applyBorder="1">
      <alignment horizontal="center" vertical="center"/>
    </xf>
    <xf numFmtId="0" fontId="7" fillId="0" borderId="397" xfId="0" applyFont="1" applyBorder="1">
      <alignment horizontal="center" vertical="center"/>
    </xf>
    <xf numFmtId="0" fontId="7" fillId="0" borderId="417" xfId="0" applyFont="1" applyBorder="1">
      <alignment horizontal="center" vertical="center"/>
    </xf>
    <xf numFmtId="0" fontId="7" fillId="0" borderId="79" xfId="0" applyFont="1" applyBorder="1" applyAlignment="1">
      <alignment horizontal="left" vertical="center"/>
    </xf>
    <xf numFmtId="0" fontId="7" fillId="0" borderId="62" xfId="0" applyFont="1" applyBorder="1" applyAlignment="1">
      <alignment horizontal="left" vertical="center"/>
    </xf>
    <xf numFmtId="0" fontId="7" fillId="0" borderId="69" xfId="0" applyFont="1" applyBorder="1" applyAlignment="1">
      <alignment horizontal="left" vertical="center"/>
    </xf>
    <xf numFmtId="0" fontId="4" fillId="0" borderId="64" xfId="0" applyFont="1" applyBorder="1" applyAlignment="1" applyProtection="1">
      <alignment horizontal="center"/>
      <protection locked="0"/>
    </xf>
    <xf numFmtId="0" fontId="7" fillId="0" borderId="404" xfId="0" applyFont="1" applyBorder="1">
      <alignment horizontal="center" vertical="center"/>
    </xf>
    <xf numFmtId="0" fontId="7" fillId="0" borderId="404" xfId="0" applyFont="1" applyBorder="1" applyAlignment="1">
      <alignment horizontal="left" vertical="center"/>
    </xf>
    <xf numFmtId="0" fontId="0" fillId="0" borderId="398" xfId="0" applyBorder="1" applyAlignment="1"/>
    <xf numFmtId="0" fontId="4" fillId="0" borderId="400" xfId="0" applyFont="1" applyBorder="1" applyAlignment="1">
      <alignment horizontal="left"/>
    </xf>
    <xf numFmtId="0" fontId="0" fillId="0" borderId="400" xfId="0" applyBorder="1" applyAlignment="1"/>
    <xf numFmtId="0" fontId="0" fillId="0" borderId="401" xfId="0" applyBorder="1" applyAlignment="1"/>
    <xf numFmtId="0" fontId="4" fillId="0" borderId="398" xfId="0" applyFont="1" applyBorder="1" applyAlignment="1">
      <alignment horizontal="left"/>
    </xf>
    <xf numFmtId="0" fontId="0" fillId="0" borderId="402" xfId="0" applyBorder="1" applyAlignment="1"/>
    <xf numFmtId="0" fontId="4" fillId="0" borderId="79" xfId="0" applyFont="1" applyBorder="1" applyAlignment="1">
      <alignment horizontal="left"/>
    </xf>
    <xf numFmtId="0" fontId="0" fillId="0" borderId="62" xfId="0" applyBorder="1" applyAlignment="1"/>
    <xf numFmtId="0" fontId="0" fillId="0" borderId="63" xfId="0" applyBorder="1" applyAlignment="1">
      <alignment horizontal="left"/>
    </xf>
    <xf numFmtId="0" fontId="4" fillId="0" borderId="62" xfId="0" applyFont="1" applyBorder="1" applyAlignment="1"/>
    <xf numFmtId="0" fontId="4" fillId="0" borderId="63" xfId="0" applyFont="1" applyBorder="1" applyAlignment="1">
      <alignment horizontal="left"/>
    </xf>
    <xf numFmtId="0" fontId="0" fillId="0" borderId="79" xfId="0" applyBorder="1" applyAlignment="1">
      <alignment horizontal="center"/>
    </xf>
    <xf numFmtId="0" fontId="0" fillId="0" borderId="69" xfId="0" applyBorder="1" applyAlignment="1"/>
    <xf numFmtId="0" fontId="4" fillId="0" borderId="383" xfId="0" applyFont="1" applyBorder="1" applyAlignment="1">
      <alignment horizontal="left"/>
    </xf>
    <xf numFmtId="0" fontId="0" fillId="0" borderId="388" xfId="0" applyBorder="1" applyAlignment="1"/>
    <xf numFmtId="0" fontId="0" fillId="0" borderId="389" xfId="0" applyBorder="1" applyAlignment="1">
      <alignment horizontal="left"/>
    </xf>
    <xf numFmtId="0" fontId="9" fillId="0" borderId="383" xfId="0" applyFont="1" applyBorder="1" applyAlignment="1">
      <alignment horizontal="center"/>
    </xf>
    <xf numFmtId="0" fontId="0" fillId="0" borderId="419" xfId="0" applyBorder="1" applyAlignment="1"/>
    <xf numFmtId="0" fontId="0" fillId="51" borderId="404" xfId="0" applyFill="1" applyBorder="1" applyAlignment="1">
      <alignment horizontal="left" vertical="center"/>
    </xf>
    <xf numFmtId="0" fontId="7" fillId="58" borderId="404" xfId="33" applyBorder="1">
      <alignment horizontal="center" vertical="center"/>
    </xf>
    <xf numFmtId="0" fontId="7" fillId="52" borderId="405" xfId="48" applyBorder="1">
      <alignment horizontal="center" vertical="center"/>
    </xf>
    <xf numFmtId="0" fontId="4" fillId="43" borderId="420" xfId="0" applyFont="1" applyFill="1" applyBorder="1" applyAlignment="1">
      <alignment horizontal="center"/>
    </xf>
    <xf numFmtId="0" fontId="0" fillId="51" borderId="420" xfId="44" applyFont="1" applyFill="1" applyBorder="1">
      <alignment horizontal="center" vertical="center"/>
    </xf>
    <xf numFmtId="49" fontId="0" fillId="51" borderId="420" xfId="0" applyNumberFormat="1" applyFill="1" applyBorder="1">
      <alignment horizontal="center" vertical="center"/>
    </xf>
    <xf numFmtId="0" fontId="3" fillId="0" borderId="79" xfId="0" applyFont="1" applyBorder="1" applyAlignment="1">
      <alignment horizontal="left"/>
    </xf>
    <xf numFmtId="0" fontId="4" fillId="0" borderId="62" xfId="0" applyFont="1" applyBorder="1">
      <alignment horizontal="center" vertical="center"/>
    </xf>
    <xf numFmtId="0" fontId="7" fillId="51" borderId="398" xfId="0" applyFont="1" applyFill="1" applyBorder="1" applyAlignment="1">
      <alignment vertical="center"/>
    </xf>
    <xf numFmtId="0" fontId="7" fillId="53" borderId="420" xfId="43" applyBorder="1">
      <alignment horizontal="center" vertical="center"/>
    </xf>
    <xf numFmtId="0" fontId="0" fillId="0" borderId="420" xfId="0" applyBorder="1">
      <alignment horizontal="center" vertical="center"/>
    </xf>
    <xf numFmtId="0" fontId="7" fillId="69" borderId="420" xfId="44" applyBorder="1">
      <alignment horizontal="center" vertical="center"/>
    </xf>
    <xf numFmtId="0" fontId="0" fillId="51" borderId="420" xfId="48" applyFont="1" applyFill="1" applyBorder="1">
      <alignment horizontal="center" vertical="center"/>
    </xf>
    <xf numFmtId="0" fontId="0" fillId="51" borderId="420" xfId="46" applyFont="1" applyFill="1" applyBorder="1">
      <alignment horizontal="center" vertical="center"/>
    </xf>
    <xf numFmtId="0" fontId="0" fillId="0" borderId="421" xfId="0" applyBorder="1">
      <alignment horizontal="center" vertical="center"/>
    </xf>
    <xf numFmtId="0" fontId="7" fillId="51" borderId="79" xfId="0" applyFont="1" applyFill="1" applyBorder="1" applyAlignment="1">
      <alignment vertical="center"/>
    </xf>
    <xf numFmtId="0" fontId="0" fillId="51" borderId="79" xfId="0" applyFill="1" applyBorder="1" applyAlignment="1">
      <alignment vertical="center"/>
    </xf>
    <xf numFmtId="0" fontId="0" fillId="52" borderId="76" xfId="43" applyFont="1" applyFill="1" applyBorder="1">
      <alignment horizontal="center" vertical="center"/>
    </xf>
    <xf numFmtId="0" fontId="0" fillId="52" borderId="60" xfId="0" applyFill="1" applyBorder="1">
      <alignment horizontal="center" vertical="center"/>
    </xf>
    <xf numFmtId="0" fontId="4" fillId="0" borderId="422" xfId="0" applyFont="1" applyBorder="1" applyAlignment="1">
      <alignment horizontal="center"/>
    </xf>
    <xf numFmtId="49" fontId="7" fillId="0" borderId="423" xfId="0" applyNumberFormat="1" applyFont="1" applyBorder="1">
      <alignment horizontal="center" vertical="center"/>
    </xf>
    <xf numFmtId="0" fontId="0" fillId="0" borderId="424" xfId="0" applyBorder="1">
      <alignment horizontal="center" vertical="center"/>
    </xf>
    <xf numFmtId="0" fontId="0" fillId="0" borderId="425" xfId="0" applyBorder="1">
      <alignment horizontal="center" vertical="center"/>
    </xf>
    <xf numFmtId="0" fontId="4" fillId="0" borderId="425" xfId="0" applyFont="1" applyBorder="1" applyAlignment="1">
      <alignment horizontal="left"/>
    </xf>
    <xf numFmtId="0" fontId="0" fillId="0" borderId="426" xfId="0" applyBorder="1">
      <alignment horizontal="center" vertical="center"/>
    </xf>
    <xf numFmtId="0" fontId="0" fillId="51" borderId="420" xfId="0" applyFill="1" applyBorder="1" applyAlignment="1">
      <alignment horizontal="left" vertical="center" wrapText="1"/>
    </xf>
    <xf numFmtId="49" fontId="0" fillId="51" borderId="427" xfId="0" applyNumberFormat="1" applyFill="1" applyBorder="1">
      <alignment horizontal="center" vertical="center"/>
    </xf>
    <xf numFmtId="0" fontId="7" fillId="53" borderId="427" xfId="43" applyBorder="1">
      <alignment horizontal="center" vertical="center"/>
    </xf>
    <xf numFmtId="0" fontId="0" fillId="0" borderId="427" xfId="0" applyBorder="1">
      <alignment horizontal="center" vertical="center"/>
    </xf>
    <xf numFmtId="49" fontId="0" fillId="56" borderId="139" xfId="0" applyNumberFormat="1" applyFill="1" applyBorder="1">
      <alignment horizontal="center" vertical="center"/>
    </xf>
    <xf numFmtId="0" fontId="0" fillId="52" borderId="139" xfId="48" applyFont="1" applyBorder="1">
      <alignment horizontal="center" vertical="center"/>
    </xf>
    <xf numFmtId="49" fontId="0" fillId="52" borderId="366" xfId="0" applyNumberFormat="1" applyFill="1" applyBorder="1">
      <alignment horizontal="center" vertical="center"/>
    </xf>
    <xf numFmtId="0" fontId="7" fillId="52" borderId="366" xfId="48" applyBorder="1">
      <alignment horizontal="center" vertical="center"/>
    </xf>
    <xf numFmtId="0" fontId="4" fillId="0" borderId="398" xfId="0" applyFont="1" applyBorder="1" applyAlignment="1">
      <alignment horizontal="left" vertical="center"/>
    </xf>
    <xf numFmtId="0" fontId="0" fillId="0" borderId="401" xfId="0" applyBorder="1" applyAlignment="1">
      <alignment horizontal="left" vertical="center"/>
    </xf>
    <xf numFmtId="0" fontId="4" fillId="0" borderId="400" xfId="0" applyFont="1" applyBorder="1" applyAlignment="1">
      <alignment horizontal="left" vertical="center"/>
    </xf>
    <xf numFmtId="0" fontId="4" fillId="0" borderId="62" xfId="0" applyFont="1" applyBorder="1" applyAlignment="1">
      <alignment horizontal="left"/>
    </xf>
    <xf numFmtId="0" fontId="0" fillId="0" borderId="63" xfId="0" applyBorder="1" applyAlignment="1">
      <alignment horizontal="left" vertical="center"/>
    </xf>
    <xf numFmtId="49" fontId="0" fillId="0" borderId="79" xfId="0" applyNumberFormat="1" applyBorder="1" applyAlignment="1">
      <alignment horizontal="left"/>
    </xf>
    <xf numFmtId="49" fontId="0" fillId="0" borderId="79" xfId="0" applyNumberFormat="1" applyBorder="1" applyAlignment="1">
      <alignment horizontal="left" vertical="center"/>
    </xf>
    <xf numFmtId="0" fontId="4" fillId="0" borderId="420" xfId="0" applyFont="1" applyBorder="1" applyAlignment="1" applyProtection="1">
      <alignment horizontal="center"/>
      <protection locked="0"/>
    </xf>
    <xf numFmtId="0" fontId="0" fillId="0" borderId="420" xfId="0" applyBorder="1" applyAlignment="1">
      <alignment horizontal="left"/>
    </xf>
    <xf numFmtId="0" fontId="7" fillId="53" borderId="98" xfId="43" applyBorder="1">
      <alignment horizontal="center" vertical="center"/>
    </xf>
    <xf numFmtId="0" fontId="37" fillId="17" borderId="428" xfId="34" applyBorder="1" applyAlignment="1">
      <alignment horizontal="center" vertical="center"/>
    </xf>
    <xf numFmtId="0" fontId="4" fillId="0" borderId="64" xfId="0" applyFont="1" applyBorder="1">
      <alignment horizontal="center" vertical="center"/>
    </xf>
    <xf numFmtId="0" fontId="4" fillId="0" borderId="403" xfId="0" applyFont="1" applyBorder="1" applyAlignment="1">
      <alignment horizontal="center"/>
    </xf>
    <xf numFmtId="0" fontId="3" fillId="0" borderId="62" xfId="0" applyFont="1" applyBorder="1" applyAlignment="1">
      <alignment horizontal="left"/>
    </xf>
    <xf numFmtId="0" fontId="0" fillId="0" borderId="429" xfId="0" applyBorder="1">
      <alignment horizontal="center" vertical="center"/>
    </xf>
    <xf numFmtId="0" fontId="7" fillId="46" borderId="389" xfId="0" applyFont="1" applyFill="1" applyBorder="1">
      <alignment horizontal="center" vertical="center"/>
    </xf>
    <xf numFmtId="0" fontId="0" fillId="51" borderId="404" xfId="0" applyFill="1" applyBorder="1" applyProtection="1">
      <alignment horizontal="center" vertical="center"/>
      <protection locked="0"/>
    </xf>
    <xf numFmtId="0" fontId="0" fillId="55" borderId="147" xfId="45" applyFont="1" applyBorder="1">
      <alignment horizontal="center" vertical="center"/>
    </xf>
    <xf numFmtId="1" fontId="0" fillId="71" borderId="147" xfId="0" applyNumberFormat="1" applyFill="1" applyBorder="1">
      <alignment horizontal="center" vertical="center"/>
    </xf>
    <xf numFmtId="0" fontId="0" fillId="71" borderId="147" xfId="49" applyFont="1" applyFill="1" applyBorder="1">
      <alignment horizontal="center" vertical="center"/>
    </xf>
    <xf numFmtId="0" fontId="0" fillId="43" borderId="407" xfId="0" applyFill="1" applyBorder="1" applyAlignment="1" applyProtection="1">
      <alignment horizontal="center"/>
      <protection locked="0"/>
    </xf>
    <xf numFmtId="0" fontId="0" fillId="0" borderId="407" xfId="0" applyBorder="1" applyAlignment="1">
      <alignment horizontal="left" vertical="center"/>
    </xf>
    <xf numFmtId="0" fontId="0" fillId="55" borderId="404" xfId="0" applyFill="1" applyBorder="1">
      <alignment horizontal="center" vertical="center"/>
    </xf>
    <xf numFmtId="0" fontId="0" fillId="51" borderId="404" xfId="32" applyFont="1" applyFill="1" applyBorder="1" applyAlignment="1">
      <alignment horizontal="center" vertical="center"/>
    </xf>
    <xf numFmtId="0" fontId="0" fillId="51" borderId="408" xfId="0" applyFill="1" applyBorder="1">
      <alignment horizontal="center" vertical="center"/>
    </xf>
    <xf numFmtId="0" fontId="7" fillId="51" borderId="102" xfId="45" applyFill="1" applyBorder="1">
      <alignment horizontal="center" vertical="center"/>
    </xf>
    <xf numFmtId="0" fontId="0" fillId="72" borderId="167" xfId="48" applyFont="1" applyFill="1" applyBorder="1">
      <alignment horizontal="center" vertical="center"/>
    </xf>
    <xf numFmtId="0" fontId="4" fillId="0" borderId="430" xfId="0" applyFont="1" applyBorder="1" applyAlignment="1">
      <alignment horizontal="left" vertical="center"/>
    </xf>
    <xf numFmtId="0" fontId="0" fillId="0" borderId="431" xfId="0" applyBorder="1" applyAlignment="1">
      <alignment horizontal="left"/>
    </xf>
    <xf numFmtId="0" fontId="4" fillId="0" borderId="432" xfId="0" applyFont="1" applyBorder="1" applyAlignment="1">
      <alignment vertical="center"/>
    </xf>
    <xf numFmtId="0" fontId="0" fillId="0" borderId="431" xfId="0" applyBorder="1">
      <alignment horizontal="center" vertical="center"/>
    </xf>
    <xf numFmtId="0" fontId="4" fillId="0" borderId="433" xfId="0" applyFont="1" applyBorder="1" applyAlignment="1">
      <alignment horizontal="left" vertical="center"/>
    </xf>
    <xf numFmtId="0" fontId="4" fillId="0" borderId="433" xfId="0" applyFont="1" applyBorder="1" applyAlignment="1">
      <alignment horizontal="left"/>
    </xf>
    <xf numFmtId="0" fontId="4" fillId="0" borderId="434" xfId="0" applyFont="1" applyBorder="1" applyAlignment="1">
      <alignment vertical="center"/>
    </xf>
    <xf numFmtId="0" fontId="0" fillId="0" borderId="434" xfId="0" applyBorder="1">
      <alignment horizontal="center" vertical="center"/>
    </xf>
    <xf numFmtId="0" fontId="0" fillId="0" borderId="436" xfId="0" applyBorder="1">
      <alignment horizontal="center" vertical="center"/>
    </xf>
    <xf numFmtId="0" fontId="4" fillId="0" borderId="383" xfId="0" applyFont="1" applyBorder="1" applyAlignment="1">
      <alignment horizontal="left" vertical="center"/>
    </xf>
    <xf numFmtId="0" fontId="14" fillId="0" borderId="388" xfId="0" applyFont="1" applyBorder="1">
      <alignment horizontal="center" vertical="center"/>
    </xf>
    <xf numFmtId="0" fontId="4" fillId="0" borderId="388" xfId="0" applyFont="1" applyBorder="1">
      <alignment horizontal="center" vertical="center"/>
    </xf>
    <xf numFmtId="0" fontId="0" fillId="0" borderId="419" xfId="0" applyBorder="1">
      <alignment horizontal="center" vertical="center"/>
    </xf>
    <xf numFmtId="0" fontId="0" fillId="24" borderId="437" xfId="0" applyFill="1" applyBorder="1" applyAlignment="1" applyProtection="1">
      <alignment horizontal="center"/>
      <protection locked="0"/>
    </xf>
    <xf numFmtId="0" fontId="0" fillId="0" borderId="438" xfId="0" applyBorder="1" applyAlignment="1">
      <alignment horizontal="left" vertical="center"/>
    </xf>
    <xf numFmtId="49" fontId="0" fillId="51" borderId="438" xfId="0" applyNumberFormat="1" applyFill="1" applyBorder="1">
      <alignment horizontal="center" vertical="center"/>
    </xf>
    <xf numFmtId="0" fontId="0" fillId="51" borderId="438" xfId="44" applyFont="1" applyFill="1" applyBorder="1">
      <alignment horizontal="center" vertical="center"/>
    </xf>
    <xf numFmtId="49" fontId="0" fillId="52" borderId="438" xfId="0" applyNumberFormat="1" applyFill="1" applyBorder="1">
      <alignment horizontal="center" vertical="center"/>
    </xf>
    <xf numFmtId="0" fontId="0" fillId="52" borderId="438" xfId="44" applyFont="1" applyFill="1" applyBorder="1">
      <alignment horizontal="center" vertical="center"/>
    </xf>
    <xf numFmtId="49" fontId="0" fillId="51" borderId="439" xfId="0" applyNumberFormat="1" applyFill="1" applyBorder="1">
      <alignment horizontal="center" vertical="center"/>
    </xf>
    <xf numFmtId="0" fontId="0" fillId="54" borderId="147" xfId="43" applyFont="1" applyFill="1" applyBorder="1">
      <alignment horizontal="center" vertical="center"/>
    </xf>
    <xf numFmtId="0" fontId="0" fillId="51" borderId="438" xfId="48" applyFont="1" applyFill="1" applyBorder="1">
      <alignment horizontal="center" vertical="center"/>
    </xf>
    <xf numFmtId="0" fontId="7" fillId="51" borderId="119" xfId="48" applyFill="1" applyBorder="1">
      <alignment horizontal="center" vertical="center"/>
    </xf>
    <xf numFmtId="49" fontId="0" fillId="52" borderId="119" xfId="0" applyNumberFormat="1" applyFill="1" applyBorder="1">
      <alignment horizontal="center" vertical="center"/>
    </xf>
    <xf numFmtId="0" fontId="0" fillId="52" borderId="119" xfId="0" applyFill="1" applyBorder="1">
      <alignment horizontal="center" vertical="center"/>
    </xf>
    <xf numFmtId="0" fontId="0" fillId="51" borderId="438" xfId="0" applyFill="1" applyBorder="1" applyAlignment="1">
      <alignment horizontal="left" vertical="center" wrapText="1"/>
    </xf>
    <xf numFmtId="0" fontId="7" fillId="53" borderId="438" xfId="43" applyBorder="1">
      <alignment horizontal="center" vertical="center"/>
    </xf>
    <xf numFmtId="0" fontId="0" fillId="56" borderId="119" xfId="44" applyFont="1" applyFill="1" applyBorder="1">
      <alignment horizontal="center" vertical="center"/>
    </xf>
    <xf numFmtId="1" fontId="0" fillId="51" borderId="438" xfId="32" applyNumberFormat="1" applyFont="1" applyFill="1" applyBorder="1" applyAlignment="1">
      <alignment horizontal="center" vertical="center"/>
    </xf>
    <xf numFmtId="49" fontId="0" fillId="72" borderId="438" xfId="0" applyNumberFormat="1" applyFill="1" applyBorder="1">
      <alignment horizontal="center" vertical="center"/>
    </xf>
    <xf numFmtId="0" fontId="0" fillId="52" borderId="438" xfId="0" applyFill="1" applyBorder="1">
      <alignment horizontal="center" vertical="center"/>
    </xf>
    <xf numFmtId="49" fontId="0" fillId="72" borderId="147" xfId="0" applyNumberFormat="1" applyFill="1" applyBorder="1">
      <alignment horizontal="center" vertical="center"/>
    </xf>
    <xf numFmtId="0" fontId="0" fillId="51" borderId="438" xfId="46" applyFont="1" applyFill="1" applyBorder="1">
      <alignment horizontal="center" vertical="center"/>
    </xf>
    <xf numFmtId="0" fontId="7" fillId="52" borderId="438" xfId="48" applyBorder="1">
      <alignment horizontal="center" vertical="center"/>
    </xf>
    <xf numFmtId="0" fontId="7" fillId="52" borderId="439" xfId="48" applyBorder="1">
      <alignment horizontal="center" vertical="center"/>
    </xf>
    <xf numFmtId="0" fontId="7" fillId="53" borderId="147" xfId="48" applyFill="1" applyBorder="1">
      <alignment horizontal="center" vertical="center"/>
    </xf>
    <xf numFmtId="49" fontId="0" fillId="53" borderId="147" xfId="0" applyNumberFormat="1" applyFill="1" applyBorder="1">
      <alignment horizontal="center" vertical="center"/>
    </xf>
    <xf numFmtId="0" fontId="0" fillId="0" borderId="440" xfId="0" applyBorder="1" applyAlignment="1">
      <alignment vertical="center"/>
    </xf>
    <xf numFmtId="0" fontId="0" fillId="51" borderId="440" xfId="0" applyFill="1" applyBorder="1" applyAlignment="1" applyProtection="1">
      <alignment horizontal="left" vertical="center"/>
      <protection locked="0"/>
    </xf>
    <xf numFmtId="0" fontId="0" fillId="51" borderId="440" xfId="0" applyFill="1" applyBorder="1">
      <alignment horizontal="center" vertical="center"/>
    </xf>
    <xf numFmtId="0" fontId="0" fillId="55" borderId="440" xfId="0" applyFill="1" applyBorder="1">
      <alignment horizontal="center" vertical="center"/>
    </xf>
    <xf numFmtId="0" fontId="0" fillId="55" borderId="440" xfId="48" applyFont="1" applyFill="1" applyBorder="1">
      <alignment horizontal="center" vertical="center"/>
    </xf>
    <xf numFmtId="0" fontId="0" fillId="51" borderId="440" xfId="48" applyFont="1" applyFill="1" applyBorder="1">
      <alignment horizontal="center" vertical="center"/>
    </xf>
    <xf numFmtId="0" fontId="0" fillId="51" borderId="440" xfId="44" applyFont="1" applyFill="1" applyBorder="1">
      <alignment horizontal="center" vertical="center"/>
    </xf>
    <xf numFmtId="0" fontId="0" fillId="51" borderId="441" xfId="48" applyFont="1" applyFill="1" applyBorder="1">
      <alignment horizontal="center" vertical="center"/>
    </xf>
    <xf numFmtId="0" fontId="0" fillId="51" borderId="438" xfId="20" applyNumberFormat="1" applyFont="1" applyFill="1" applyBorder="1" applyAlignment="1">
      <alignment horizontal="center" vertical="center"/>
    </xf>
    <xf numFmtId="0" fontId="0" fillId="57" borderId="438" xfId="0" applyFill="1" applyBorder="1">
      <alignment horizontal="center" vertical="center"/>
    </xf>
    <xf numFmtId="0" fontId="59" fillId="0" borderId="442" xfId="0" applyFont="1" applyBorder="1" applyAlignment="1">
      <alignment horizontal="left" vertical="center"/>
    </xf>
    <xf numFmtId="0" fontId="7" fillId="51" borderId="102" xfId="43" applyFill="1" applyBorder="1">
      <alignment horizontal="center" vertical="center"/>
    </xf>
    <xf numFmtId="0" fontId="0" fillId="57" borderId="102" xfId="44" applyFont="1" applyFill="1" applyBorder="1">
      <alignment horizontal="center" vertical="center"/>
    </xf>
    <xf numFmtId="0" fontId="0" fillId="57" borderId="443" xfId="48" applyFont="1" applyFill="1" applyBorder="1">
      <alignment horizontal="center" vertical="center"/>
    </xf>
    <xf numFmtId="49" fontId="0" fillId="57" borderId="443" xfId="0" applyNumberFormat="1" applyFill="1" applyBorder="1">
      <alignment horizontal="center" vertical="center"/>
    </xf>
    <xf numFmtId="49" fontId="0" fillId="51" borderId="443" xfId="0" applyNumberFormat="1" applyFill="1" applyBorder="1">
      <alignment horizontal="center" vertical="center"/>
    </xf>
    <xf numFmtId="0" fontId="0" fillId="51" borderId="443" xfId="0" applyFill="1" applyBorder="1">
      <alignment horizontal="center" vertical="center"/>
    </xf>
    <xf numFmtId="0" fontId="0" fillId="0" borderId="287" xfId="0" applyBorder="1" applyAlignment="1">
      <alignment horizontal="left" vertical="center"/>
    </xf>
    <xf numFmtId="0" fontId="21" fillId="0" borderId="444" xfId="0" applyFont="1" applyBorder="1" applyAlignment="1">
      <alignment vertical="center"/>
    </xf>
    <xf numFmtId="0" fontId="0" fillId="51" borderId="445" xfId="0" applyFill="1" applyBorder="1">
      <alignment horizontal="center" vertical="center"/>
    </xf>
    <xf numFmtId="0" fontId="0" fillId="71" borderId="445" xfId="0" applyFill="1" applyBorder="1">
      <alignment horizontal="center" vertical="center"/>
    </xf>
    <xf numFmtId="0" fontId="0" fillId="51" borderId="446" xfId="0" applyFill="1" applyBorder="1">
      <alignment horizontal="center" vertical="center"/>
    </xf>
    <xf numFmtId="0" fontId="0" fillId="51" borderId="447" xfId="43" applyFont="1" applyFill="1" applyBorder="1">
      <alignment horizontal="center" vertical="center"/>
    </xf>
    <xf numFmtId="0" fontId="64" fillId="51" borderId="102" xfId="0" applyFont="1" applyFill="1" applyBorder="1">
      <alignment horizontal="center" vertical="center"/>
    </xf>
    <xf numFmtId="0" fontId="0" fillId="0" borderId="102" xfId="48" applyFont="1" applyFill="1" applyBorder="1">
      <alignment horizontal="center" vertical="center"/>
    </xf>
    <xf numFmtId="0" fontId="7" fillId="53" borderId="448" xfId="43" applyBorder="1">
      <alignment horizontal="center" vertical="center"/>
    </xf>
    <xf numFmtId="0" fontId="0" fillId="51" borderId="444" xfId="0" applyFill="1" applyBorder="1">
      <alignment horizontal="center" vertical="center"/>
    </xf>
    <xf numFmtId="1" fontId="0" fillId="51" borderId="444" xfId="32" applyNumberFormat="1" applyFont="1" applyFill="1" applyBorder="1" applyAlignment="1">
      <alignment horizontal="center" vertical="center"/>
    </xf>
    <xf numFmtId="0" fontId="0" fillId="51" borderId="444" xfId="43" applyFont="1" applyFill="1" applyBorder="1">
      <alignment horizontal="center" vertical="center"/>
    </xf>
    <xf numFmtId="0" fontId="0" fillId="51" borderId="449" xfId="0" applyFill="1" applyBorder="1">
      <alignment horizontal="center" vertical="center"/>
    </xf>
    <xf numFmtId="0" fontId="4" fillId="0" borderId="448" xfId="0" applyFont="1" applyBorder="1" applyAlignment="1" applyProtection="1">
      <alignment horizontal="center"/>
      <protection locked="0"/>
    </xf>
    <xf numFmtId="0" fontId="0" fillId="0" borderId="448" xfId="0" applyBorder="1">
      <alignment horizontal="center" vertical="center"/>
    </xf>
    <xf numFmtId="49" fontId="0" fillId="51" borderId="448" xfId="0" applyNumberFormat="1" applyFill="1" applyBorder="1">
      <alignment horizontal="center" vertical="center"/>
    </xf>
    <xf numFmtId="0" fontId="0" fillId="51" borderId="448" xfId="44" applyFont="1" applyFill="1" applyBorder="1">
      <alignment horizontal="center" vertical="center"/>
    </xf>
    <xf numFmtId="0" fontId="0" fillId="51" borderId="448" xfId="0" applyFill="1" applyBorder="1">
      <alignment horizontal="center" vertical="center"/>
    </xf>
    <xf numFmtId="1" fontId="0" fillId="51" borderId="448" xfId="32" applyNumberFormat="1" applyFont="1" applyFill="1" applyBorder="1" applyAlignment="1">
      <alignment horizontal="center" vertical="center"/>
    </xf>
    <xf numFmtId="49" fontId="0" fillId="51" borderId="450" xfId="0" applyNumberFormat="1" applyFill="1" applyBorder="1">
      <alignment horizontal="center" vertical="center"/>
    </xf>
    <xf numFmtId="0" fontId="4" fillId="0" borderId="443" xfId="0" applyFont="1" applyBorder="1" applyAlignment="1" applyProtection="1">
      <alignment horizontal="center"/>
      <protection locked="0"/>
    </xf>
    <xf numFmtId="0" fontId="21" fillId="51" borderId="447" xfId="0" applyFont="1" applyFill="1" applyBorder="1" applyAlignment="1">
      <alignment horizontal="left" vertical="center"/>
    </xf>
    <xf numFmtId="0" fontId="0" fillId="51" borderId="451" xfId="0" applyFill="1" applyBorder="1">
      <alignment horizontal="center" vertical="center"/>
    </xf>
    <xf numFmtId="0" fontId="0" fillId="51" borderId="443" xfId="47" applyFont="1" applyFill="1" applyBorder="1">
      <alignment horizontal="center" vertical="center"/>
    </xf>
    <xf numFmtId="0" fontId="0" fillId="51" borderId="452" xfId="47" applyFont="1" applyFill="1" applyBorder="1">
      <alignment horizontal="center" vertical="center"/>
    </xf>
    <xf numFmtId="0" fontId="0" fillId="51" borderId="406" xfId="47" applyFont="1" applyFill="1" applyBorder="1">
      <alignment horizontal="center" vertical="center"/>
    </xf>
    <xf numFmtId="0" fontId="62" fillId="0" borderId="453" xfId="0" applyFont="1" applyBorder="1" applyAlignment="1"/>
    <xf numFmtId="0" fontId="0" fillId="0" borderId="454" xfId="0" applyBorder="1" applyAlignment="1"/>
    <xf numFmtId="49" fontId="0" fillId="51" borderId="455" xfId="0" applyNumberFormat="1" applyFill="1" applyBorder="1">
      <alignment horizontal="center" vertical="center"/>
    </xf>
    <xf numFmtId="0" fontId="0" fillId="55" borderId="455" xfId="0" applyFill="1" applyBorder="1">
      <alignment horizontal="center" vertical="center"/>
    </xf>
    <xf numFmtId="0" fontId="0" fillId="52" borderId="454" xfId="0" applyFill="1" applyBorder="1">
      <alignment horizontal="center" vertical="center"/>
    </xf>
    <xf numFmtId="49" fontId="0" fillId="51" borderId="456" xfId="0" applyNumberFormat="1" applyFill="1" applyBorder="1">
      <alignment horizontal="center" vertical="center"/>
    </xf>
    <xf numFmtId="0" fontId="0" fillId="84" borderId="454" xfId="0" applyFill="1" applyBorder="1" applyAlignment="1"/>
    <xf numFmtId="0" fontId="0" fillId="51" borderId="454" xfId="0" applyFill="1" applyBorder="1">
      <alignment horizontal="center" vertical="center"/>
    </xf>
    <xf numFmtId="0" fontId="0" fillId="55" borderId="454" xfId="0" applyFill="1" applyBorder="1">
      <alignment horizontal="center" vertical="center"/>
    </xf>
    <xf numFmtId="49" fontId="0" fillId="51" borderId="454" xfId="0" applyNumberFormat="1" applyFill="1" applyBorder="1">
      <alignment horizontal="center" vertical="center"/>
    </xf>
    <xf numFmtId="0" fontId="0" fillId="0" borderId="454" xfId="0" applyBorder="1">
      <alignment horizontal="center" vertical="center"/>
    </xf>
    <xf numFmtId="0" fontId="0" fillId="80" borderId="454" xfId="0" applyFill="1" applyBorder="1" applyAlignment="1"/>
    <xf numFmtId="0" fontId="7" fillId="55" borderId="454" xfId="45" applyBorder="1">
      <alignment horizontal="center" vertical="center"/>
    </xf>
    <xf numFmtId="0" fontId="0" fillId="0" borderId="457" xfId="0" applyBorder="1">
      <alignment horizontal="center" vertical="center"/>
    </xf>
    <xf numFmtId="0" fontId="0" fillId="0" borderId="458" xfId="0" applyBorder="1">
      <alignment horizontal="center" vertical="center"/>
    </xf>
    <xf numFmtId="0" fontId="0" fillId="0" borderId="459" xfId="0" applyBorder="1">
      <alignment horizontal="center" vertical="center"/>
    </xf>
    <xf numFmtId="0" fontId="0" fillId="0" borderId="460" xfId="0" applyBorder="1">
      <alignment horizontal="center" vertical="center"/>
    </xf>
    <xf numFmtId="0" fontId="0" fillId="0" borderId="461" xfId="0" applyBorder="1">
      <alignment horizontal="center" vertical="center"/>
    </xf>
    <xf numFmtId="0" fontId="0" fillId="0" borderId="462" xfId="0" applyBorder="1" applyAlignment="1">
      <alignment horizontal="left" vertical="center"/>
    </xf>
    <xf numFmtId="0" fontId="0" fillId="0" borderId="463" xfId="0" applyBorder="1">
      <alignment horizontal="center" vertical="center"/>
    </xf>
    <xf numFmtId="0" fontId="0" fillId="0" borderId="464" xfId="0" applyBorder="1" applyAlignment="1">
      <alignment horizontal="left" vertical="center"/>
    </xf>
    <xf numFmtId="0" fontId="0" fillId="0" borderId="458" xfId="0" applyBorder="1" applyAlignment="1">
      <alignment horizontal="left" vertical="center"/>
    </xf>
    <xf numFmtId="0" fontId="0" fillId="0" borderId="465" xfId="0" applyBorder="1" applyAlignment="1">
      <alignment horizontal="left" vertical="center"/>
    </xf>
    <xf numFmtId="0" fontId="0" fillId="0" borderId="466" xfId="0" applyBorder="1">
      <alignment horizontal="center" vertical="center"/>
    </xf>
    <xf numFmtId="0" fontId="0" fillId="0" borderId="467" xfId="0" applyBorder="1">
      <alignment horizontal="center" vertical="center"/>
    </xf>
    <xf numFmtId="0" fontId="0" fillId="0" borderId="468" xfId="0" applyBorder="1">
      <alignment horizontal="center" vertical="center"/>
    </xf>
    <xf numFmtId="0" fontId="0" fillId="0" borderId="462" xfId="0" applyBorder="1">
      <alignment horizontal="center" vertical="center"/>
    </xf>
    <xf numFmtId="0" fontId="0" fillId="0" borderId="469" xfId="0" applyBorder="1">
      <alignment horizontal="center" vertical="center"/>
    </xf>
    <xf numFmtId="0" fontId="0" fillId="0" borderId="470" xfId="0" applyBorder="1" applyAlignment="1">
      <alignment horizontal="left" vertical="center"/>
    </xf>
    <xf numFmtId="0" fontId="0" fillId="0" borderId="470" xfId="0" applyBorder="1">
      <alignment horizontal="center" vertical="center"/>
    </xf>
    <xf numFmtId="0" fontId="0" fillId="0" borderId="471" xfId="0" applyBorder="1" applyAlignment="1">
      <alignment horizontal="left" vertical="center"/>
    </xf>
    <xf numFmtId="0" fontId="0" fillId="0" borderId="472" xfId="0" applyBorder="1" applyAlignment="1">
      <alignment horizontal="left" vertical="center"/>
    </xf>
    <xf numFmtId="0" fontId="0" fillId="0" borderId="473" xfId="0" applyBorder="1">
      <alignment horizontal="center" vertical="center"/>
    </xf>
    <xf numFmtId="0" fontId="0" fillId="0" borderId="472" xfId="0" applyBorder="1">
      <alignment horizontal="center" vertical="center"/>
    </xf>
    <xf numFmtId="0" fontId="4" fillId="43" borderId="447" xfId="0" applyFont="1" applyFill="1" applyBorder="1" applyAlignment="1">
      <alignment horizontal="center"/>
    </xf>
    <xf numFmtId="0" fontId="0" fillId="0" borderId="447" xfId="0" applyBorder="1" applyAlignment="1">
      <alignment vertical="center"/>
    </xf>
    <xf numFmtId="0" fontId="4" fillId="43" borderId="443" xfId="0" applyFont="1" applyFill="1" applyBorder="1" applyAlignment="1">
      <alignment horizontal="center"/>
    </xf>
    <xf numFmtId="0" fontId="0" fillId="0" borderId="443" xfId="0" applyBorder="1" applyAlignment="1">
      <alignment vertical="center"/>
    </xf>
    <xf numFmtId="0" fontId="0" fillId="51" borderId="443" xfId="20" applyNumberFormat="1" applyFont="1" applyFill="1" applyBorder="1" applyAlignment="1">
      <alignment horizontal="center" vertical="center"/>
    </xf>
    <xf numFmtId="0" fontId="0" fillId="55" borderId="443" xfId="0" applyFill="1" applyBorder="1">
      <alignment horizontal="center" vertical="center"/>
    </xf>
    <xf numFmtId="0" fontId="0" fillId="55" borderId="443" xfId="45" applyFont="1" applyBorder="1">
      <alignment horizontal="center" vertical="center"/>
    </xf>
    <xf numFmtId="0" fontId="0" fillId="55" borderId="443" xfId="20" applyNumberFormat="1" applyFont="1" applyFill="1" applyBorder="1" applyAlignment="1">
      <alignment horizontal="center" vertical="center"/>
    </xf>
    <xf numFmtId="0" fontId="7" fillId="51" borderId="443" xfId="43" applyFill="1" applyBorder="1">
      <alignment horizontal="center" vertical="center"/>
    </xf>
    <xf numFmtId="0" fontId="4" fillId="43" borderId="406" xfId="0" applyFont="1" applyFill="1" applyBorder="1" applyAlignment="1">
      <alignment horizontal="center"/>
    </xf>
    <xf numFmtId="0" fontId="0" fillId="0" borderId="406" xfId="0" applyBorder="1" applyAlignment="1">
      <alignment vertical="center"/>
    </xf>
    <xf numFmtId="0" fontId="0" fillId="51" borderId="406" xfId="51" applyFont="1" applyFill="1" applyBorder="1">
      <alignment horizontal="center" vertical="center"/>
    </xf>
    <xf numFmtId="0" fontId="4" fillId="0" borderId="457" xfId="0" applyFont="1" applyBorder="1" applyAlignment="1">
      <alignment horizontal="center"/>
    </xf>
    <xf numFmtId="0" fontId="4" fillId="0" borderId="462" xfId="0" applyFont="1" applyBorder="1" applyAlignment="1">
      <alignment horizontal="center"/>
    </xf>
    <xf numFmtId="0" fontId="4" fillId="0" borderId="463" xfId="0" applyFont="1" applyBorder="1" applyAlignment="1">
      <alignment horizontal="left"/>
    </xf>
    <xf numFmtId="0" fontId="6" fillId="0" borderId="462" xfId="0" applyFont="1" applyBorder="1" applyAlignment="1">
      <alignment horizontal="center"/>
    </xf>
    <xf numFmtId="0" fontId="0" fillId="0" borderId="462" xfId="0" applyBorder="1" applyAlignment="1">
      <alignment horizontal="center"/>
    </xf>
    <xf numFmtId="0" fontId="4" fillId="0" borderId="463" xfId="0" applyFont="1" applyBorder="1" applyAlignment="1">
      <alignment horizontal="center"/>
    </xf>
    <xf numFmtId="0" fontId="6" fillId="0" borderId="464" xfId="0" applyFont="1" applyBorder="1" applyAlignment="1">
      <alignment horizontal="center"/>
    </xf>
    <xf numFmtId="0" fontId="6" fillId="0" borderId="463" xfId="0" applyFont="1" applyBorder="1" applyAlignment="1">
      <alignment horizontal="center"/>
    </xf>
    <xf numFmtId="0" fontId="0" fillId="0" borderId="463" xfId="0" applyBorder="1" applyAlignment="1">
      <alignment horizontal="center"/>
    </xf>
    <xf numFmtId="0" fontId="7" fillId="0" borderId="464" xfId="0" applyFont="1" applyBorder="1" applyAlignment="1">
      <alignment horizontal="left" vertical="center"/>
    </xf>
    <xf numFmtId="0" fontId="6" fillId="0" borderId="464" xfId="0" applyFont="1" applyBorder="1">
      <alignment horizontal="center" vertical="center"/>
    </xf>
    <xf numFmtId="0" fontId="6" fillId="0" borderId="463" xfId="0" applyFont="1" applyBorder="1">
      <alignment horizontal="center" vertical="center"/>
    </xf>
    <xf numFmtId="0" fontId="6" fillId="0" borderId="465" xfId="0" applyFont="1" applyBorder="1">
      <alignment horizontal="center" vertical="center"/>
    </xf>
    <xf numFmtId="0" fontId="7" fillId="0" borderId="465" xfId="0" applyFont="1" applyBorder="1">
      <alignment horizontal="center" vertical="center"/>
    </xf>
    <xf numFmtId="0" fontId="7" fillId="0" borderId="460" xfId="0" applyFont="1" applyBorder="1">
      <alignment horizontal="center" vertical="center"/>
    </xf>
    <xf numFmtId="0" fontId="4" fillId="0" borderId="474" xfId="0" applyFont="1" applyBorder="1" applyAlignment="1">
      <alignment horizontal="center"/>
    </xf>
    <xf numFmtId="0" fontId="7" fillId="0" borderId="470" xfId="0" applyFont="1" applyBorder="1" applyAlignment="1">
      <alignment horizontal="left" vertical="center"/>
    </xf>
    <xf numFmtId="0" fontId="7" fillId="0" borderId="475" xfId="0" applyFont="1" applyBorder="1" applyAlignment="1">
      <alignment horizontal="left" vertical="center"/>
    </xf>
    <xf numFmtId="0" fontId="7" fillId="0" borderId="476" xfId="0" applyFont="1" applyBorder="1" applyAlignment="1">
      <alignment horizontal="left" vertical="center"/>
    </xf>
    <xf numFmtId="0" fontId="4" fillId="0" borderId="445" xfId="0" applyFont="1" applyBorder="1" applyAlignment="1" applyProtection="1">
      <alignment horizontal="center"/>
      <protection locked="0"/>
    </xf>
    <xf numFmtId="0" fontId="7" fillId="0" borderId="447" xfId="0" applyFont="1" applyBorder="1">
      <alignment horizontal="center" vertical="center"/>
    </xf>
    <xf numFmtId="0" fontId="7" fillId="0" borderId="447" xfId="0" applyFont="1" applyBorder="1" applyAlignment="1">
      <alignment horizontal="left" vertical="center"/>
    </xf>
    <xf numFmtId="0" fontId="7" fillId="52" borderId="447" xfId="48" applyBorder="1">
      <alignment horizontal="center" vertical="center"/>
    </xf>
    <xf numFmtId="0" fontId="0" fillId="0" borderId="462" xfId="0" applyBorder="1" applyAlignment="1"/>
    <xf numFmtId="0" fontId="4" fillId="0" borderId="464" xfId="0" applyFont="1" applyBorder="1" applyAlignment="1">
      <alignment horizontal="left"/>
    </xf>
    <xf numFmtId="0" fontId="0" fillId="0" borderId="464" xfId="0" applyBorder="1" applyAlignment="1"/>
    <xf numFmtId="0" fontId="0" fillId="0" borderId="463" xfId="0" applyBorder="1" applyAlignment="1"/>
    <xf numFmtId="0" fontId="4" fillId="0" borderId="462" xfId="0" applyFont="1" applyBorder="1" applyAlignment="1">
      <alignment horizontal="left"/>
    </xf>
    <xf numFmtId="0" fontId="0" fillId="0" borderId="477" xfId="0" applyBorder="1" applyAlignment="1"/>
    <xf numFmtId="0" fontId="0" fillId="0" borderId="469" xfId="0" applyBorder="1" applyAlignment="1">
      <alignment horizontal="center"/>
    </xf>
    <xf numFmtId="0" fontId="4" fillId="0" borderId="470" xfId="0" applyFont="1" applyBorder="1" applyAlignment="1">
      <alignment horizontal="left"/>
    </xf>
    <xf numFmtId="0" fontId="0" fillId="0" borderId="475" xfId="0" applyBorder="1" applyAlignment="1"/>
    <xf numFmtId="0" fontId="0" fillId="0" borderId="478" xfId="0" applyBorder="1" applyAlignment="1">
      <alignment horizontal="left"/>
    </xf>
    <xf numFmtId="0" fontId="4" fillId="0" borderId="475" xfId="0" applyFont="1" applyBorder="1" applyAlignment="1"/>
    <xf numFmtId="0" fontId="4" fillId="0" borderId="478" xfId="0" applyFont="1" applyBorder="1" applyAlignment="1">
      <alignment horizontal="left"/>
    </xf>
    <xf numFmtId="0" fontId="0" fillId="0" borderId="470" xfId="0" applyBorder="1" applyAlignment="1">
      <alignment horizontal="center"/>
    </xf>
    <xf numFmtId="0" fontId="0" fillId="0" borderId="476" xfId="0" applyBorder="1" applyAlignment="1"/>
    <xf numFmtId="0" fontId="4" fillId="0" borderId="479" xfId="0" applyFont="1" applyBorder="1" applyAlignment="1">
      <alignment horizontal="left"/>
    </xf>
    <xf numFmtId="0" fontId="0" fillId="0" borderId="480" xfId="0" applyBorder="1" applyAlignment="1"/>
    <xf numFmtId="0" fontId="0" fillId="0" borderId="481" xfId="0" applyBorder="1" applyAlignment="1">
      <alignment horizontal="left"/>
    </xf>
    <xf numFmtId="0" fontId="9" fillId="0" borderId="479" xfId="0" applyFont="1" applyBorder="1" applyAlignment="1">
      <alignment horizontal="center"/>
    </xf>
    <xf numFmtId="0" fontId="0" fillId="0" borderId="482" xfId="0" applyBorder="1" applyAlignment="1"/>
    <xf numFmtId="0" fontId="4" fillId="0" borderId="472" xfId="0" applyFont="1" applyBorder="1" applyAlignment="1">
      <alignment horizontal="left"/>
    </xf>
    <xf numFmtId="0" fontId="7" fillId="0" borderId="483" xfId="0" applyFont="1" applyBorder="1" applyAlignment="1">
      <alignment horizontal="left" vertical="center"/>
    </xf>
    <xf numFmtId="0" fontId="7" fillId="0" borderId="483" xfId="0" applyFont="1" applyBorder="1">
      <alignment horizontal="center" vertical="center"/>
    </xf>
    <xf numFmtId="0" fontId="7" fillId="0" borderId="484" xfId="0" applyFont="1" applyBorder="1">
      <alignment horizontal="center" vertical="center"/>
    </xf>
    <xf numFmtId="0" fontId="7" fillId="0" borderId="472" xfId="0" applyFont="1" applyBorder="1" applyAlignment="1">
      <alignment horizontal="left" vertical="center"/>
    </xf>
    <xf numFmtId="0" fontId="7" fillId="0" borderId="483" xfId="0" applyFont="1" applyBorder="1" applyAlignment="1">
      <alignment horizontal="left"/>
    </xf>
    <xf numFmtId="0" fontId="7" fillId="0" borderId="484" xfId="0" applyFont="1" applyBorder="1" applyAlignment="1">
      <alignment horizontal="left" vertical="center"/>
    </xf>
    <xf numFmtId="0" fontId="0" fillId="0" borderId="483" xfId="0" applyBorder="1" applyAlignment="1">
      <alignment horizontal="left"/>
    </xf>
    <xf numFmtId="0" fontId="0" fillId="0" borderId="485" xfId="0" applyBorder="1" applyAlignment="1"/>
    <xf numFmtId="0" fontId="0" fillId="51" borderId="447" xfId="0" applyFill="1" applyBorder="1" applyAlignment="1">
      <alignment horizontal="left" vertical="center"/>
    </xf>
    <xf numFmtId="0" fontId="0" fillId="51" borderId="443" xfId="0" applyFill="1" applyBorder="1" applyAlignment="1">
      <alignment horizontal="left" vertical="center"/>
    </xf>
    <xf numFmtId="49" fontId="0" fillId="55" borderId="443" xfId="0" applyNumberFormat="1" applyFill="1" applyBorder="1">
      <alignment horizontal="center" vertical="center"/>
    </xf>
    <xf numFmtId="0" fontId="0" fillId="86" borderId="443" xfId="0" applyFill="1" applyBorder="1">
      <alignment horizontal="center" vertical="center"/>
    </xf>
    <xf numFmtId="0" fontId="0" fillId="86" borderId="443" xfId="48" applyFont="1" applyFill="1" applyBorder="1">
      <alignment horizontal="center" vertical="center"/>
    </xf>
    <xf numFmtId="0" fontId="0" fillId="51" borderId="452" xfId="48" applyFont="1" applyFill="1" applyBorder="1">
      <alignment horizontal="center" vertical="center"/>
    </xf>
    <xf numFmtId="0" fontId="0" fillId="51" borderId="443" xfId="51" applyFont="1" applyFill="1" applyBorder="1">
      <alignment horizontal="center" vertical="center"/>
    </xf>
    <xf numFmtId="0" fontId="0" fillId="72" borderId="443" xfId="51" applyFont="1" applyFill="1" applyBorder="1">
      <alignment horizontal="center" vertical="center"/>
    </xf>
    <xf numFmtId="0" fontId="0" fillId="55" borderId="443" xfId="51" applyFont="1" applyFill="1" applyBorder="1">
      <alignment horizontal="center" vertical="center"/>
    </xf>
    <xf numFmtId="0" fontId="7" fillId="55" borderId="443" xfId="45" applyBorder="1">
      <alignment horizontal="center" vertical="center"/>
    </xf>
    <xf numFmtId="0" fontId="0" fillId="72" borderId="443" xfId="48" applyFont="1" applyFill="1" applyBorder="1">
      <alignment horizontal="center" vertical="center"/>
    </xf>
    <xf numFmtId="0" fontId="0" fillId="51" borderId="452" xfId="51" applyFont="1" applyFill="1" applyBorder="1">
      <alignment horizontal="center" vertical="center"/>
    </xf>
    <xf numFmtId="0" fontId="0" fillId="51" borderId="406" xfId="0" applyFill="1" applyBorder="1" applyAlignment="1">
      <alignment horizontal="left" vertical="center"/>
    </xf>
    <xf numFmtId="0" fontId="0" fillId="75" borderId="406" xfId="47" applyFont="1" applyFill="1" applyBorder="1">
      <alignment horizontal="center" vertical="center"/>
    </xf>
    <xf numFmtId="0" fontId="0" fillId="0" borderId="486" xfId="0" applyBorder="1">
      <alignment horizontal="center" vertical="center"/>
    </xf>
    <xf numFmtId="0" fontId="0" fillId="51" borderId="406" xfId="32" applyFont="1" applyFill="1" applyBorder="1" applyAlignment="1">
      <alignment horizontal="center" vertical="center"/>
    </xf>
    <xf numFmtId="0" fontId="0" fillId="0" borderId="472" xfId="0" applyBorder="1" applyAlignment="1">
      <alignment horizontal="left"/>
    </xf>
    <xf numFmtId="0" fontId="0" fillId="0" borderId="483" xfId="0" applyBorder="1" applyAlignment="1"/>
    <xf numFmtId="0" fontId="0" fillId="0" borderId="484" xfId="0" applyBorder="1" applyAlignment="1">
      <alignment horizontal="left"/>
    </xf>
    <xf numFmtId="0" fontId="0" fillId="0" borderId="472" xfId="0" applyBorder="1" applyAlignment="1">
      <alignment horizontal="center"/>
    </xf>
    <xf numFmtId="0" fontId="4" fillId="43" borderId="487" xfId="0" applyFont="1" applyFill="1" applyBorder="1" applyAlignment="1">
      <alignment horizontal="center"/>
    </xf>
    <xf numFmtId="0" fontId="0" fillId="51" borderId="487" xfId="0" applyFill="1" applyBorder="1">
      <alignment horizontal="center" vertical="center"/>
    </xf>
    <xf numFmtId="0" fontId="0" fillId="51" borderId="487" xfId="44" applyFont="1" applyFill="1" applyBorder="1">
      <alignment horizontal="center" vertical="center"/>
    </xf>
    <xf numFmtId="49" fontId="0" fillId="51" borderId="487" xfId="0" applyNumberFormat="1" applyFill="1" applyBorder="1">
      <alignment horizontal="center" vertical="center"/>
    </xf>
    <xf numFmtId="0" fontId="0" fillId="52" borderId="487" xfId="0" applyFill="1" applyBorder="1">
      <alignment horizontal="center" vertical="center"/>
    </xf>
    <xf numFmtId="0" fontId="0" fillId="51" borderId="488" xfId="0" applyFill="1" applyBorder="1">
      <alignment horizontal="center" vertical="center"/>
    </xf>
    <xf numFmtId="0" fontId="52" fillId="56" borderId="167" xfId="46" applyBorder="1">
      <alignment horizontal="center" vertical="center"/>
    </xf>
    <xf numFmtId="49" fontId="0" fillId="72" borderId="167" xfId="0" applyNumberFormat="1" applyFill="1" applyBorder="1">
      <alignment horizontal="center" vertical="center"/>
    </xf>
    <xf numFmtId="0" fontId="3" fillId="0" borderId="470" xfId="0" applyFont="1" applyBorder="1" applyAlignment="1">
      <alignment horizontal="left"/>
    </xf>
    <xf numFmtId="0" fontId="4" fillId="0" borderId="475" xfId="0" applyFont="1" applyBorder="1">
      <alignment horizontal="center" vertical="center"/>
    </xf>
    <xf numFmtId="167" fontId="9" fillId="0" borderId="472" xfId="0" applyNumberFormat="1" applyFont="1" applyBorder="1" applyAlignment="1">
      <alignment horizontal="center"/>
    </xf>
    <xf numFmtId="0" fontId="7" fillId="51" borderId="462" xfId="0" applyFont="1" applyFill="1" applyBorder="1" applyAlignment="1">
      <alignment vertical="center"/>
    </xf>
    <xf numFmtId="0" fontId="0" fillId="0" borderId="487" xfId="0" applyBorder="1">
      <alignment horizontal="center" vertical="center"/>
    </xf>
    <xf numFmtId="0" fontId="7" fillId="55" borderId="487" xfId="45" applyBorder="1">
      <alignment horizontal="center" vertical="center"/>
    </xf>
    <xf numFmtId="0" fontId="0" fillId="51" borderId="487" xfId="32" applyFont="1" applyFill="1" applyBorder="1" applyAlignment="1">
      <alignment horizontal="center" vertical="center"/>
    </xf>
    <xf numFmtId="0" fontId="7" fillId="69" borderId="487" xfId="44" applyBorder="1">
      <alignment horizontal="center" vertical="center"/>
    </xf>
    <xf numFmtId="0" fontId="7" fillId="52" borderId="487" xfId="48" applyBorder="1">
      <alignment horizontal="center" vertical="center"/>
    </xf>
    <xf numFmtId="0" fontId="7" fillId="51" borderId="470" xfId="0" applyFont="1" applyFill="1" applyBorder="1" applyAlignment="1">
      <alignment vertical="center"/>
    </xf>
    <xf numFmtId="0" fontId="0" fillId="51" borderId="454" xfId="48" applyFont="1" applyFill="1" applyBorder="1">
      <alignment horizontal="center" vertical="center"/>
    </xf>
    <xf numFmtId="0" fontId="0" fillId="55" borderId="447" xfId="45" applyFont="1" applyBorder="1">
      <alignment horizontal="center" vertical="center"/>
    </xf>
    <xf numFmtId="0" fontId="0" fillId="51" borderId="470" xfId="0" applyFill="1" applyBorder="1" applyAlignment="1">
      <alignment vertical="center"/>
    </xf>
    <xf numFmtId="0" fontId="7" fillId="69" borderId="454" xfId="44" applyBorder="1">
      <alignment horizontal="center" vertical="center"/>
    </xf>
    <xf numFmtId="0" fontId="0" fillId="72" borderId="454" xfId="0" applyFill="1" applyBorder="1">
      <alignment horizontal="center" vertical="center"/>
    </xf>
    <xf numFmtId="0" fontId="0" fillId="72" borderId="454" xfId="48" applyFont="1" applyFill="1" applyBorder="1">
      <alignment horizontal="center" vertical="center"/>
    </xf>
    <xf numFmtId="0" fontId="0" fillId="51" borderId="454" xfId="43" applyFont="1" applyFill="1" applyBorder="1">
      <alignment horizontal="center" vertical="center"/>
    </xf>
    <xf numFmtId="0" fontId="0" fillId="52" borderId="454" xfId="43" applyFont="1" applyFill="1" applyBorder="1">
      <alignment horizontal="center" vertical="center"/>
    </xf>
    <xf numFmtId="0" fontId="7" fillId="52" borderId="454" xfId="48" applyBorder="1">
      <alignment horizontal="center" vertical="center"/>
    </xf>
    <xf numFmtId="0" fontId="0" fillId="51" borderId="454" xfId="44" applyFont="1" applyFill="1" applyBorder="1">
      <alignment horizontal="center" vertical="center"/>
    </xf>
    <xf numFmtId="0" fontId="7" fillId="53" borderId="454" xfId="43" applyBorder="1">
      <alignment horizontal="center" vertical="center"/>
    </xf>
    <xf numFmtId="0" fontId="52" fillId="56" borderId="454" xfId="46" applyBorder="1">
      <alignment horizontal="center" vertical="center"/>
    </xf>
    <xf numFmtId="0" fontId="0" fillId="0" borderId="489" xfId="0" applyBorder="1">
      <alignment horizontal="center" vertical="center"/>
    </xf>
    <xf numFmtId="0" fontId="3" fillId="0" borderId="489" xfId="0" applyFont="1" applyBorder="1">
      <alignment horizontal="center" vertical="center"/>
    </xf>
    <xf numFmtId="49" fontId="3" fillId="0" borderId="489" xfId="0" applyNumberFormat="1" applyFont="1" applyBorder="1">
      <alignment horizontal="center" vertical="center"/>
    </xf>
    <xf numFmtId="49" fontId="7" fillId="0" borderId="489" xfId="0" applyNumberFormat="1" applyFont="1" applyBorder="1">
      <alignment horizontal="center" vertical="center"/>
    </xf>
    <xf numFmtId="0" fontId="9" fillId="0" borderId="490" xfId="0" applyFont="1" applyBorder="1">
      <alignment horizontal="center" vertical="center"/>
    </xf>
    <xf numFmtId="49" fontId="15" fillId="0" borderId="489" xfId="0" applyNumberFormat="1" applyFont="1" applyBorder="1">
      <alignment horizontal="center" vertical="center"/>
    </xf>
    <xf numFmtId="0" fontId="7" fillId="0" borderId="489" xfId="0" applyFont="1" applyBorder="1">
      <alignment horizontal="center" vertical="center"/>
    </xf>
    <xf numFmtId="0" fontId="3" fillId="0" borderId="491" xfId="0" applyFont="1" applyBorder="1" applyAlignment="1">
      <alignment horizontal="left" vertical="center"/>
    </xf>
    <xf numFmtId="0" fontId="3" fillId="0" borderId="491" xfId="0" applyFont="1" applyBorder="1">
      <alignment horizontal="center" vertical="center"/>
    </xf>
    <xf numFmtId="0" fontId="3" fillId="0" borderId="492" xfId="0" applyFont="1" applyBorder="1">
      <alignment horizontal="center" vertical="center"/>
    </xf>
    <xf numFmtId="49" fontId="3" fillId="0" borderId="493" xfId="0" applyNumberFormat="1" applyFont="1" applyBorder="1">
      <alignment horizontal="center" vertical="center"/>
    </xf>
    <xf numFmtId="0" fontId="7" fillId="0" borderId="493" xfId="0" applyFont="1" applyBorder="1">
      <alignment horizontal="center" vertical="center"/>
    </xf>
    <xf numFmtId="0" fontId="7" fillId="0" borderId="491" xfId="0" applyFont="1" applyBorder="1">
      <alignment horizontal="center" vertical="center"/>
    </xf>
    <xf numFmtId="0" fontId="7" fillId="0" borderId="492" xfId="0" applyFont="1" applyBorder="1">
      <alignment horizontal="center" vertical="center"/>
    </xf>
    <xf numFmtId="49" fontId="7" fillId="0" borderId="491" xfId="0" applyNumberFormat="1" applyFont="1" applyBorder="1">
      <alignment horizontal="center" vertical="center"/>
    </xf>
    <xf numFmtId="49" fontId="7" fillId="0" borderId="493" xfId="0" applyNumberFormat="1" applyFont="1" applyBorder="1">
      <alignment horizontal="center" vertical="center"/>
    </xf>
    <xf numFmtId="0" fontId="9" fillId="0" borderId="491" xfId="0" applyFont="1" applyBorder="1">
      <alignment horizontal="center" vertical="center"/>
    </xf>
    <xf numFmtId="0" fontId="9" fillId="0" borderId="494" xfId="0" applyFont="1" applyBorder="1">
      <alignment horizontal="center" vertical="center"/>
    </xf>
    <xf numFmtId="49" fontId="0" fillId="51" borderId="495" xfId="0" applyNumberFormat="1" applyFill="1" applyBorder="1">
      <alignment horizontal="center" vertical="center"/>
    </xf>
    <xf numFmtId="49" fontId="0" fillId="51" borderId="496" xfId="0" applyNumberFormat="1" applyFill="1" applyBorder="1">
      <alignment horizontal="center" vertical="center"/>
    </xf>
    <xf numFmtId="0" fontId="0" fillId="51" borderId="454" xfId="0" applyFill="1" applyBorder="1" applyAlignment="1">
      <alignment horizontal="left" vertical="center" wrapText="1"/>
    </xf>
    <xf numFmtId="49" fontId="0" fillId="55" borderId="495" xfId="0" applyNumberFormat="1" applyFill="1" applyBorder="1">
      <alignment horizontal="center" vertical="center"/>
    </xf>
    <xf numFmtId="49" fontId="0" fillId="52" borderId="495" xfId="0" applyNumberFormat="1" applyFill="1" applyBorder="1">
      <alignment horizontal="center" vertical="center"/>
    </xf>
    <xf numFmtId="49" fontId="0" fillId="87" borderId="495" xfId="0" applyNumberFormat="1" applyFill="1" applyBorder="1">
      <alignment horizontal="center" vertical="center"/>
    </xf>
    <xf numFmtId="0" fontId="7" fillId="53" borderId="495" xfId="43" applyBorder="1">
      <alignment horizontal="center" vertical="center"/>
    </xf>
    <xf numFmtId="0" fontId="7" fillId="51" borderId="495" xfId="43" applyFill="1" applyBorder="1">
      <alignment horizontal="center" vertical="center"/>
    </xf>
    <xf numFmtId="0" fontId="0" fillId="0" borderId="495" xfId="0" applyBorder="1">
      <alignment horizontal="center" vertical="center"/>
    </xf>
    <xf numFmtId="0" fontId="0" fillId="51" borderId="495" xfId="48" applyFont="1" applyFill="1" applyBorder="1">
      <alignment horizontal="center" vertical="center"/>
    </xf>
    <xf numFmtId="0" fontId="0" fillId="51" borderId="495" xfId="0" applyFill="1" applyBorder="1">
      <alignment horizontal="center" vertical="center"/>
    </xf>
    <xf numFmtId="0" fontId="0" fillId="52" borderId="495" xfId="0" applyFill="1" applyBorder="1">
      <alignment horizontal="center" vertical="center"/>
    </xf>
    <xf numFmtId="0" fontId="7" fillId="52" borderId="495" xfId="48" applyBorder="1">
      <alignment horizontal="center" vertical="center"/>
    </xf>
    <xf numFmtId="49" fontId="0" fillId="56" borderId="454" xfId="0" applyNumberFormat="1" applyFill="1" applyBorder="1">
      <alignment horizontal="center" vertical="center"/>
    </xf>
    <xf numFmtId="0" fontId="0" fillId="51" borderId="454" xfId="50" applyFont="1" applyFill="1" applyBorder="1">
      <alignment horizontal="center" vertical="center"/>
    </xf>
    <xf numFmtId="49" fontId="0" fillId="53" borderId="454" xfId="0" applyNumberFormat="1" applyFill="1" applyBorder="1">
      <alignment horizontal="center" vertical="center"/>
    </xf>
    <xf numFmtId="0" fontId="0" fillId="51" borderId="497" xfId="0" applyFill="1" applyBorder="1" applyAlignment="1">
      <alignment horizontal="left" vertical="center"/>
    </xf>
    <xf numFmtId="0" fontId="7" fillId="53" borderId="497" xfId="43" applyBorder="1">
      <alignment horizontal="center" vertical="center"/>
    </xf>
    <xf numFmtId="0" fontId="0" fillId="0" borderId="497" xfId="0" applyBorder="1">
      <alignment horizontal="center" vertical="center"/>
    </xf>
    <xf numFmtId="49" fontId="0" fillId="53" borderId="497" xfId="0" applyNumberFormat="1" applyFill="1" applyBorder="1">
      <alignment horizontal="center" vertical="center"/>
    </xf>
    <xf numFmtId="0" fontId="4" fillId="0" borderId="454" xfId="0" applyFont="1" applyBorder="1" applyAlignment="1">
      <alignment horizontal="center"/>
    </xf>
    <xf numFmtId="0" fontId="4" fillId="0" borderId="290" xfId="0" applyFont="1" applyBorder="1" applyAlignment="1">
      <alignment horizontal="left" vertical="center"/>
    </xf>
    <xf numFmtId="0" fontId="0" fillId="0" borderId="292" xfId="0" applyBorder="1" applyAlignment="1">
      <alignment horizontal="left" vertical="center"/>
    </xf>
    <xf numFmtId="0" fontId="4" fillId="0" borderId="293" xfId="0" applyFont="1" applyBorder="1" applyAlignment="1">
      <alignment horizontal="left" vertical="center"/>
    </xf>
    <xf numFmtId="0" fontId="4" fillId="0" borderId="498" xfId="0" applyFont="1" applyBorder="1" applyAlignment="1">
      <alignment horizontal="left"/>
    </xf>
    <xf numFmtId="0" fontId="0" fillId="0" borderId="499" xfId="0" applyBorder="1" applyAlignment="1">
      <alignment horizontal="left" vertical="center"/>
    </xf>
    <xf numFmtId="49" fontId="0" fillId="0" borderId="500" xfId="0" applyNumberFormat="1" applyBorder="1" applyAlignment="1">
      <alignment horizontal="left"/>
    </xf>
    <xf numFmtId="49" fontId="0" fillId="0" borderId="500" xfId="0" applyNumberFormat="1" applyBorder="1" applyAlignment="1">
      <alignment horizontal="left" vertical="center"/>
    </xf>
    <xf numFmtId="0" fontId="3" fillId="0" borderId="454" xfId="0" applyFont="1" applyBorder="1" applyAlignment="1">
      <alignment horizontal="center"/>
    </xf>
    <xf numFmtId="0" fontId="0" fillId="0" borderId="501" xfId="0" applyBorder="1" applyAlignment="1">
      <alignment horizontal="left" vertical="center"/>
    </xf>
    <xf numFmtId="49" fontId="0" fillId="0" borderId="502" xfId="0" applyNumberFormat="1" applyBorder="1" applyAlignment="1">
      <alignment horizontal="left"/>
    </xf>
    <xf numFmtId="0" fontId="0" fillId="51" borderId="503" xfId="53" applyFont="1" applyFill="1" applyBorder="1">
      <alignment horizontal="center" vertical="center"/>
    </xf>
    <xf numFmtId="0" fontId="4" fillId="0" borderId="503" xfId="0" applyFont="1" applyBorder="1" applyAlignment="1" applyProtection="1">
      <alignment horizontal="center"/>
      <protection locked="0"/>
    </xf>
    <xf numFmtId="0" fontId="4" fillId="0" borderId="503" xfId="0" applyFont="1" applyBorder="1" applyAlignment="1">
      <alignment horizontal="left"/>
    </xf>
    <xf numFmtId="0" fontId="0" fillId="51" borderId="504" xfId="0" applyFill="1" applyBorder="1">
      <alignment horizontal="center" vertical="center"/>
    </xf>
    <xf numFmtId="0" fontId="0" fillId="0" borderId="503" xfId="0" applyBorder="1" applyAlignment="1" applyProtection="1">
      <alignment horizontal="center"/>
      <protection locked="0"/>
    </xf>
    <xf numFmtId="0" fontId="0" fillId="0" borderId="503" xfId="0" applyBorder="1" applyAlignment="1">
      <alignment horizontal="left"/>
    </xf>
    <xf numFmtId="0" fontId="4" fillId="0" borderId="503" xfId="0" applyFont="1" applyBorder="1" applyAlignment="1">
      <alignment vertical="center"/>
    </xf>
    <xf numFmtId="0" fontId="0" fillId="0" borderId="504" xfId="0" applyBorder="1">
      <alignment horizontal="center" vertical="center"/>
    </xf>
    <xf numFmtId="0" fontId="7" fillId="53" borderId="504" xfId="43" applyBorder="1">
      <alignment horizontal="center" vertical="center"/>
    </xf>
    <xf numFmtId="0" fontId="7" fillId="69" borderId="503" xfId="44" applyBorder="1">
      <alignment horizontal="center" vertical="center"/>
    </xf>
    <xf numFmtId="0" fontId="0" fillId="51" borderId="503" xfId="50" applyFont="1" applyFill="1" applyBorder="1">
      <alignment horizontal="center" vertical="center"/>
    </xf>
    <xf numFmtId="0" fontId="3" fillId="0" borderId="503" xfId="0" applyFont="1" applyBorder="1" applyAlignment="1" applyProtection="1">
      <alignment horizontal="center"/>
      <protection locked="0"/>
    </xf>
    <xf numFmtId="0" fontId="0" fillId="51" borderId="504" xfId="48" applyFont="1" applyFill="1" applyBorder="1">
      <alignment horizontal="center" vertical="center"/>
    </xf>
    <xf numFmtId="0" fontId="0" fillId="51" borderId="504" xfId="51" applyFont="1" applyFill="1" applyBorder="1">
      <alignment horizontal="center" vertical="center"/>
    </xf>
    <xf numFmtId="0" fontId="0" fillId="51" borderId="503" xfId="48" applyFont="1" applyFill="1" applyBorder="1">
      <alignment horizontal="center" vertical="center"/>
    </xf>
    <xf numFmtId="0" fontId="7" fillId="58" borderId="503" xfId="33" applyBorder="1">
      <alignment horizontal="center" vertical="center"/>
    </xf>
    <xf numFmtId="0" fontId="0" fillId="79" borderId="503" xfId="44" applyFont="1" applyFill="1" applyBorder="1">
      <alignment horizontal="center" vertical="center"/>
    </xf>
    <xf numFmtId="0" fontId="7" fillId="0" borderId="503" xfId="43" applyFill="1" applyBorder="1">
      <alignment horizontal="center" vertical="center"/>
    </xf>
    <xf numFmtId="0" fontId="4" fillId="0" borderId="505" xfId="0" applyFont="1" applyBorder="1">
      <alignment horizontal="center" vertical="center"/>
    </xf>
    <xf numFmtId="0" fontId="0" fillId="51" borderId="503" xfId="33" applyFont="1" applyFill="1" applyBorder="1">
      <alignment horizontal="center" vertical="center"/>
    </xf>
    <xf numFmtId="49" fontId="0" fillId="51" borderId="504" xfId="0" applyNumberFormat="1" applyFill="1" applyBorder="1">
      <alignment horizontal="center" vertical="center"/>
    </xf>
    <xf numFmtId="0" fontId="7" fillId="0" borderId="503" xfId="0" applyFont="1" applyBorder="1" applyAlignment="1">
      <alignment vertical="center"/>
    </xf>
    <xf numFmtId="0" fontId="7" fillId="51" borderId="503" xfId="0" applyFont="1" applyFill="1" applyBorder="1" applyAlignment="1">
      <alignment vertical="center"/>
    </xf>
    <xf numFmtId="0" fontId="4" fillId="0" borderId="506" xfId="0" applyFont="1" applyBorder="1" applyAlignment="1">
      <alignment horizontal="center"/>
    </xf>
    <xf numFmtId="0" fontId="4" fillId="0" borderId="507" xfId="0" applyFont="1" applyBorder="1" applyAlignment="1">
      <alignment horizontal="center"/>
    </xf>
    <xf numFmtId="0" fontId="3" fillId="0" borderId="498" xfId="0" applyFont="1" applyBorder="1" applyAlignment="1">
      <alignment horizontal="left"/>
    </xf>
    <xf numFmtId="0" fontId="4" fillId="0" borderId="508" xfId="0" applyFont="1" applyBorder="1" applyAlignment="1">
      <alignment horizontal="center"/>
    </xf>
    <xf numFmtId="0" fontId="3" fillId="0" borderId="509" xfId="0" applyFont="1" applyBorder="1" applyAlignment="1">
      <alignment horizontal="center"/>
    </xf>
    <xf numFmtId="0" fontId="0" fillId="0" borderId="510" xfId="0" applyBorder="1" applyAlignment="1" applyProtection="1">
      <alignment horizontal="center"/>
      <protection locked="0"/>
    </xf>
    <xf numFmtId="0" fontId="0" fillId="0" borderId="500" xfId="0" applyBorder="1" applyAlignment="1" applyProtection="1">
      <alignment horizontal="center"/>
      <protection locked="0"/>
    </xf>
    <xf numFmtId="0" fontId="0" fillId="43" borderId="511" xfId="0" applyFill="1" applyBorder="1" applyAlignment="1">
      <alignment horizontal="center"/>
    </xf>
    <xf numFmtId="0" fontId="47" fillId="0" borderId="511" xfId="0" applyFont="1" applyBorder="1" applyAlignment="1">
      <alignment horizontal="left" vertical="center"/>
    </xf>
    <xf numFmtId="0" fontId="0" fillId="0" borderId="512" xfId="0" applyBorder="1" applyAlignment="1">
      <alignment horizontal="left" vertical="center"/>
    </xf>
    <xf numFmtId="0" fontId="7" fillId="53" borderId="510" xfId="43" applyBorder="1">
      <alignment horizontal="center" vertical="center"/>
    </xf>
    <xf numFmtId="0" fontId="7" fillId="51" borderId="510" xfId="43" applyFill="1" applyBorder="1">
      <alignment horizontal="center" vertical="center"/>
    </xf>
    <xf numFmtId="0" fontId="0" fillId="0" borderId="513" xfId="0" applyBorder="1" applyAlignment="1" applyProtection="1">
      <alignment horizontal="center"/>
      <protection locked="0"/>
    </xf>
    <xf numFmtId="0" fontId="0" fillId="0" borderId="514" xfId="0" applyBorder="1" applyAlignment="1">
      <alignment horizontal="left" vertical="center"/>
    </xf>
    <xf numFmtId="49" fontId="0" fillId="0" borderId="500" xfId="0" applyNumberFormat="1" applyBorder="1" applyAlignment="1"/>
    <xf numFmtId="0" fontId="4" fillId="0" borderId="513" xfId="0" applyFont="1" applyBorder="1" applyAlignment="1" applyProtection="1">
      <alignment horizontal="center"/>
      <protection locked="0"/>
    </xf>
    <xf numFmtId="0" fontId="6" fillId="0" borderId="513" xfId="0" applyFont="1" applyBorder="1" applyAlignment="1">
      <alignment horizontal="center"/>
    </xf>
    <xf numFmtId="0" fontId="0" fillId="0" borderId="515" xfId="0" applyBorder="1" applyAlignment="1">
      <alignment horizontal="left" vertical="center"/>
    </xf>
    <xf numFmtId="0" fontId="0" fillId="0" borderId="510" xfId="0" applyBorder="1" applyAlignment="1" applyProtection="1">
      <alignment horizontal="left"/>
      <protection locked="0"/>
    </xf>
    <xf numFmtId="0" fontId="0" fillId="0" borderId="489" xfId="0" applyBorder="1" applyAlignment="1">
      <alignment horizontal="left" vertical="center"/>
    </xf>
    <xf numFmtId="0" fontId="0" fillId="51" borderId="516" xfId="0" applyFill="1" applyBorder="1">
      <alignment horizontal="center" vertical="center"/>
    </xf>
    <xf numFmtId="0" fontId="7" fillId="52" borderId="516" xfId="48" applyBorder="1">
      <alignment horizontal="center" vertical="center"/>
    </xf>
    <xf numFmtId="0" fontId="0" fillId="0" borderId="454" xfId="0" applyBorder="1" applyAlignment="1" applyProtection="1">
      <alignment horizontal="center"/>
      <protection locked="0"/>
    </xf>
    <xf numFmtId="0" fontId="0" fillId="0" borderId="517" xfId="0" applyBorder="1">
      <alignment horizontal="center" vertical="center"/>
    </xf>
    <xf numFmtId="0" fontId="0" fillId="0" borderId="518" xfId="0" applyBorder="1" applyAlignment="1">
      <alignment vertical="center"/>
    </xf>
    <xf numFmtId="0" fontId="0" fillId="0" borderId="497" xfId="0" applyBorder="1" applyAlignment="1">
      <alignment vertical="center"/>
    </xf>
    <xf numFmtId="49" fontId="0" fillId="51" borderId="519" xfId="0" applyNumberFormat="1" applyFill="1" applyBorder="1">
      <alignment horizontal="center" vertical="center"/>
    </xf>
    <xf numFmtId="49" fontId="0" fillId="51" borderId="513" xfId="0" applyNumberFormat="1" applyFill="1" applyBorder="1">
      <alignment horizontal="center" vertical="center"/>
    </xf>
    <xf numFmtId="0" fontId="0" fillId="51" borderId="513" xfId="0" applyFill="1" applyBorder="1">
      <alignment horizontal="center" vertical="center"/>
    </xf>
    <xf numFmtId="49" fontId="0" fillId="51" borderId="520" xfId="0" applyNumberFormat="1" applyFill="1" applyBorder="1">
      <alignment horizontal="center" vertical="center"/>
    </xf>
    <xf numFmtId="0" fontId="6" fillId="44" borderId="500" xfId="0" applyFont="1" applyFill="1" applyBorder="1" applyAlignment="1">
      <alignment horizontal="left"/>
    </xf>
    <xf numFmtId="0" fontId="6" fillId="25" borderId="500" xfId="0" applyFont="1" applyFill="1" applyBorder="1">
      <alignment horizontal="center" vertical="center"/>
    </xf>
    <xf numFmtId="0" fontId="7" fillId="25" borderId="498" xfId="0" applyFont="1" applyFill="1" applyBorder="1">
      <alignment horizontal="center" vertical="center"/>
    </xf>
    <xf numFmtId="0" fontId="6" fillId="29" borderId="500" xfId="0" applyFont="1" applyFill="1" applyBorder="1" applyAlignment="1">
      <alignment horizontal="left"/>
    </xf>
    <xf numFmtId="0" fontId="6" fillId="29" borderId="498" xfId="0" applyFont="1" applyFill="1" applyBorder="1" applyAlignment="1">
      <alignment horizontal="left"/>
    </xf>
    <xf numFmtId="0" fontId="7" fillId="29" borderId="498" xfId="0" applyFont="1" applyFill="1" applyBorder="1">
      <alignment horizontal="center" vertical="center"/>
    </xf>
    <xf numFmtId="0" fontId="7" fillId="29" borderId="499" xfId="0" applyFont="1" applyFill="1" applyBorder="1">
      <alignment horizontal="center" vertical="center"/>
    </xf>
    <xf numFmtId="0" fontId="6" fillId="37" borderId="500" xfId="0" applyFont="1" applyFill="1" applyBorder="1" applyAlignment="1">
      <alignment horizontal="left"/>
    </xf>
    <xf numFmtId="0" fontId="6" fillId="37" borderId="498" xfId="0" applyFont="1" applyFill="1" applyBorder="1" applyAlignment="1">
      <alignment horizontal="left"/>
    </xf>
    <xf numFmtId="0" fontId="0" fillId="37" borderId="498" xfId="0" applyFill="1" applyBorder="1">
      <alignment horizontal="center" vertical="center"/>
    </xf>
    <xf numFmtId="0" fontId="6" fillId="45" borderId="500" xfId="0" applyFont="1" applyFill="1" applyBorder="1" applyAlignment="1">
      <alignment horizontal="left"/>
    </xf>
    <xf numFmtId="0" fontId="0" fillId="45" borderId="498" xfId="0" applyFill="1" applyBorder="1">
      <alignment horizontal="center" vertical="center"/>
    </xf>
    <xf numFmtId="0" fontId="7" fillId="45" borderId="498" xfId="0" applyFont="1" applyFill="1" applyBorder="1">
      <alignment horizontal="center" vertical="center"/>
    </xf>
    <xf numFmtId="0" fontId="7" fillId="45" borderId="499" xfId="0" applyFont="1" applyFill="1" applyBorder="1">
      <alignment horizontal="center" vertical="center"/>
    </xf>
    <xf numFmtId="0" fontId="6" fillId="24" borderId="500" xfId="0" applyFont="1" applyFill="1" applyBorder="1">
      <alignment horizontal="center" vertical="center"/>
    </xf>
    <xf numFmtId="0" fontId="0" fillId="24" borderId="498" xfId="0" applyFill="1" applyBorder="1">
      <alignment horizontal="center" vertical="center"/>
    </xf>
    <xf numFmtId="0" fontId="7" fillId="24" borderId="498" xfId="0" applyFont="1" applyFill="1" applyBorder="1">
      <alignment horizontal="center" vertical="center"/>
    </xf>
    <xf numFmtId="0" fontId="6" fillId="40" borderId="500" xfId="0" applyFont="1" applyFill="1" applyBorder="1" applyAlignment="1">
      <alignment horizontal="left"/>
    </xf>
    <xf numFmtId="0" fontId="7" fillId="40" borderId="498" xfId="0" applyFont="1" applyFill="1" applyBorder="1">
      <alignment horizontal="center" vertical="center"/>
    </xf>
    <xf numFmtId="0" fontId="0" fillId="40" borderId="499" xfId="0" applyFill="1" applyBorder="1">
      <alignment horizontal="center" vertical="center"/>
    </xf>
    <xf numFmtId="0" fontId="0" fillId="46" borderId="521" xfId="0" applyFill="1" applyBorder="1">
      <alignment horizontal="center" vertical="center"/>
    </xf>
    <xf numFmtId="0" fontId="7" fillId="46" borderId="521" xfId="0" applyFont="1" applyFill="1" applyBorder="1">
      <alignment horizontal="center" vertical="center"/>
    </xf>
    <xf numFmtId="0" fontId="7" fillId="46" borderId="522" xfId="0" applyFont="1" applyFill="1" applyBorder="1">
      <alignment horizontal="center" vertical="center"/>
    </xf>
    <xf numFmtId="0" fontId="6" fillId="0" borderId="515" xfId="0" applyFont="1" applyBorder="1" applyAlignment="1">
      <alignment horizontal="left" vertical="center"/>
    </xf>
    <xf numFmtId="0" fontId="7" fillId="0" borderId="521" xfId="0" applyFont="1" applyBorder="1">
      <alignment horizontal="center" vertical="center"/>
    </xf>
    <xf numFmtId="0" fontId="7" fillId="0" borderId="522" xfId="0" applyFont="1" applyBorder="1">
      <alignment horizontal="center" vertical="center"/>
    </xf>
    <xf numFmtId="0" fontId="6" fillId="39" borderId="510" xfId="0" applyFont="1" applyFill="1" applyBorder="1" applyAlignment="1">
      <alignment horizontal="left"/>
    </xf>
    <xf numFmtId="0" fontId="6" fillId="47" borderId="500" xfId="0" applyFont="1" applyFill="1" applyBorder="1">
      <alignment horizontal="center" vertical="center"/>
    </xf>
    <xf numFmtId="0" fontId="7" fillId="47" borderId="498" xfId="0" applyFont="1" applyFill="1" applyBorder="1">
      <alignment horizontal="center" vertical="center"/>
    </xf>
    <xf numFmtId="0" fontId="7" fillId="0" borderId="500" xfId="0" applyFont="1" applyBorder="1" applyAlignment="1">
      <alignment horizontal="left"/>
    </xf>
    <xf numFmtId="0" fontId="0" fillId="0" borderId="498" xfId="0" applyBorder="1">
      <alignment horizontal="center" vertical="center"/>
    </xf>
    <xf numFmtId="0" fontId="7" fillId="0" borderId="498" xfId="0" applyFont="1" applyBorder="1" applyAlignment="1">
      <alignment horizontal="left"/>
    </xf>
    <xf numFmtId="0" fontId="7" fillId="0" borderId="498" xfId="0" applyFont="1" applyBorder="1">
      <alignment horizontal="center" vertical="center"/>
    </xf>
    <xf numFmtId="0" fontId="7" fillId="0" borderId="499" xfId="0" applyFont="1" applyBorder="1">
      <alignment horizontal="center" vertical="center"/>
    </xf>
    <xf numFmtId="0" fontId="7" fillId="48" borderId="500" xfId="0" applyFont="1" applyFill="1" applyBorder="1" applyAlignment="1">
      <alignment horizontal="left" vertical="center"/>
    </xf>
    <xf numFmtId="0" fontId="7" fillId="48" borderId="498" xfId="0" applyFont="1" applyFill="1" applyBorder="1">
      <alignment horizontal="center" vertical="center"/>
    </xf>
    <xf numFmtId="0" fontId="7" fillId="48" borderId="499" xfId="0" applyFont="1" applyFill="1" applyBorder="1">
      <alignment horizontal="center" vertical="center"/>
    </xf>
    <xf numFmtId="0" fontId="4" fillId="0" borderId="500" xfId="0" applyFont="1" applyBorder="1" applyAlignment="1">
      <alignment horizontal="left" vertical="center"/>
    </xf>
    <xf numFmtId="0" fontId="0" fillId="0" borderId="499" xfId="0" applyBorder="1">
      <alignment horizontal="center" vertical="center"/>
    </xf>
    <xf numFmtId="0" fontId="0" fillId="0" borderId="523" xfId="0" applyBorder="1">
      <alignment horizontal="center" vertical="center"/>
    </xf>
    <xf numFmtId="0" fontId="4" fillId="0" borderId="498" xfId="0" applyFont="1" applyBorder="1" applyAlignment="1">
      <alignment horizontal="left" vertical="center"/>
    </xf>
    <xf numFmtId="0" fontId="0" fillId="0" borderId="524" xfId="0" applyBorder="1">
      <alignment horizontal="center" vertical="center"/>
    </xf>
    <xf numFmtId="0" fontId="14" fillId="0" borderId="515" xfId="0" applyFont="1" applyBorder="1">
      <alignment horizontal="center" vertical="center"/>
    </xf>
    <xf numFmtId="0" fontId="0" fillId="0" borderId="521" xfId="0" applyBorder="1">
      <alignment horizontal="center" vertical="center"/>
    </xf>
    <xf numFmtId="0" fontId="0" fillId="0" borderId="522" xfId="0" applyBorder="1">
      <alignment horizontal="center" vertical="center"/>
    </xf>
    <xf numFmtId="0" fontId="4" fillId="0" borderId="500" xfId="0" applyFont="1" applyBorder="1">
      <alignment horizontal="center" vertical="center"/>
    </xf>
    <xf numFmtId="0" fontId="0" fillId="0" borderId="511" xfId="0" applyBorder="1" applyAlignment="1" applyProtection="1">
      <alignment horizontal="center"/>
      <protection locked="0"/>
    </xf>
    <xf numFmtId="0" fontId="6" fillId="51" borderId="511" xfId="0" applyFont="1" applyFill="1" applyBorder="1">
      <alignment horizontal="center" vertical="center"/>
    </xf>
    <xf numFmtId="0" fontId="0" fillId="51" borderId="511" xfId="0" applyFill="1" applyBorder="1">
      <alignment horizontal="center" vertical="center"/>
    </xf>
    <xf numFmtId="0" fontId="0" fillId="71" borderId="511" xfId="0" applyFill="1" applyBorder="1">
      <alignment horizontal="center" vertical="center"/>
    </xf>
    <xf numFmtId="0" fontId="0" fillId="71" borderId="525" xfId="0" applyFill="1" applyBorder="1">
      <alignment horizontal="center" vertical="center"/>
    </xf>
    <xf numFmtId="0" fontId="6" fillId="0" borderId="503" xfId="0" applyFont="1" applyBorder="1">
      <alignment horizontal="center" vertical="center"/>
    </xf>
    <xf numFmtId="0" fontId="0" fillId="51" borderId="291" xfId="0" applyFill="1" applyBorder="1" applyProtection="1">
      <alignment horizontal="center" vertical="center"/>
      <protection locked="0"/>
    </xf>
    <xf numFmtId="0" fontId="0" fillId="0" borderId="503" xfId="0" applyBorder="1" applyAlignment="1">
      <alignment horizontal="left" vertical="center"/>
    </xf>
    <xf numFmtId="0" fontId="0" fillId="51" borderId="503" xfId="43" applyFont="1" applyFill="1" applyBorder="1">
      <alignment horizontal="center" vertical="center"/>
    </xf>
    <xf numFmtId="0" fontId="0" fillId="51" borderId="503" xfId="0" applyFill="1" applyBorder="1">
      <alignment horizontal="center" vertical="center"/>
    </xf>
    <xf numFmtId="0" fontId="0" fillId="51" borderId="503" xfId="32" applyFont="1" applyFill="1" applyBorder="1" applyAlignment="1">
      <alignment horizontal="center" vertical="center"/>
    </xf>
    <xf numFmtId="0" fontId="0" fillId="79" borderId="503" xfId="0" applyFill="1" applyBorder="1">
      <alignment horizontal="center" vertical="center"/>
    </xf>
    <xf numFmtId="0" fontId="7" fillId="52" borderId="503" xfId="48" applyBorder="1">
      <alignment horizontal="center" vertical="center"/>
    </xf>
    <xf numFmtId="0" fontId="0" fillId="51" borderId="503" xfId="44" applyFont="1" applyFill="1" applyBorder="1">
      <alignment horizontal="center" vertical="center"/>
    </xf>
    <xf numFmtId="0" fontId="0" fillId="52" borderId="503" xfId="43" applyFont="1" applyFill="1" applyBorder="1">
      <alignment horizontal="center" vertical="center"/>
    </xf>
    <xf numFmtId="0" fontId="0" fillId="51" borderId="526" xfId="0" applyFill="1" applyBorder="1">
      <alignment horizontal="center" vertical="center"/>
    </xf>
    <xf numFmtId="0" fontId="4" fillId="24" borderId="510" xfId="0" applyFont="1" applyFill="1" applyBorder="1" applyAlignment="1">
      <alignment horizontal="left" vertical="center"/>
    </xf>
    <xf numFmtId="0" fontId="0" fillId="24" borderId="510" xfId="0" applyFill="1" applyBorder="1">
      <alignment horizontal="center" vertical="center"/>
    </xf>
    <xf numFmtId="0" fontId="0" fillId="24" borderId="517" xfId="0" applyFill="1" applyBorder="1">
      <alignment horizontal="center" vertical="center"/>
    </xf>
    <xf numFmtId="0" fontId="0" fillId="43" borderId="510" xfId="0" applyFill="1" applyBorder="1" applyAlignment="1" applyProtection="1">
      <alignment horizontal="center"/>
      <protection locked="0"/>
    </xf>
    <xf numFmtId="0" fontId="0" fillId="51" borderId="510" xfId="43" applyFont="1" applyFill="1" applyBorder="1">
      <alignment horizontal="center" vertical="center"/>
    </xf>
    <xf numFmtId="1" fontId="0" fillId="51" borderId="510" xfId="0" applyNumberFormat="1" applyFill="1" applyBorder="1">
      <alignment horizontal="center" vertical="center"/>
    </xf>
    <xf numFmtId="1" fontId="0" fillId="51" borderId="510" xfId="32" applyNumberFormat="1" applyFont="1" applyFill="1" applyBorder="1" applyAlignment="1">
      <alignment horizontal="center" vertical="center"/>
    </xf>
    <xf numFmtId="0" fontId="0" fillId="51" borderId="510" xfId="0" applyFill="1" applyBorder="1">
      <alignment horizontal="center" vertical="center"/>
    </xf>
    <xf numFmtId="0" fontId="0" fillId="51" borderId="510" xfId="44" applyFont="1" applyFill="1" applyBorder="1">
      <alignment horizontal="center" vertical="center"/>
    </xf>
    <xf numFmtId="0" fontId="0" fillId="51" borderId="510" xfId="46" applyFont="1" applyFill="1" applyBorder="1">
      <alignment horizontal="center" vertical="center"/>
    </xf>
    <xf numFmtId="1" fontId="0" fillId="51" borderId="517" xfId="0" applyNumberFormat="1" applyFill="1" applyBorder="1">
      <alignment horizontal="center" vertical="center"/>
    </xf>
    <xf numFmtId="0" fontId="0" fillId="0" borderId="510" xfId="0" applyBorder="1" applyAlignment="1">
      <alignment horizontal="left" vertical="center"/>
    </xf>
    <xf numFmtId="1" fontId="0" fillId="52" borderId="510" xfId="0" applyNumberFormat="1" applyFill="1" applyBorder="1">
      <alignment horizontal="center" vertical="center"/>
    </xf>
    <xf numFmtId="1" fontId="0" fillId="53" borderId="510" xfId="0" applyNumberFormat="1" applyFill="1" applyBorder="1">
      <alignment horizontal="center" vertical="center"/>
    </xf>
    <xf numFmtId="0" fontId="6" fillId="0" borderId="510" xfId="0" applyFont="1" applyBorder="1" applyAlignment="1">
      <alignment horizontal="left" vertical="center"/>
    </xf>
    <xf numFmtId="0" fontId="0" fillId="53" borderId="510" xfId="44" applyFont="1" applyFill="1" applyBorder="1">
      <alignment horizontal="center" vertical="center"/>
    </xf>
    <xf numFmtId="0" fontId="0" fillId="53" borderId="510" xfId="43" applyFont="1" applyBorder="1">
      <alignment horizontal="center" vertical="center"/>
    </xf>
    <xf numFmtId="1" fontId="0" fillId="53" borderId="510" xfId="32" applyNumberFormat="1" applyFont="1" applyFill="1" applyBorder="1" applyAlignment="1">
      <alignment horizontal="center" vertical="center"/>
    </xf>
    <xf numFmtId="1" fontId="0" fillId="53" borderId="517" xfId="0" applyNumberFormat="1" applyFill="1" applyBorder="1">
      <alignment horizontal="center" vertical="center"/>
    </xf>
    <xf numFmtId="1" fontId="0" fillId="52" borderId="510" xfId="32" applyNumberFormat="1" applyFont="1" applyFill="1" applyBorder="1" applyAlignment="1">
      <alignment horizontal="center" vertical="center"/>
    </xf>
    <xf numFmtId="0" fontId="0" fillId="52" borderId="510" xfId="43" applyFont="1" applyFill="1" applyBorder="1">
      <alignment horizontal="center" vertical="center"/>
    </xf>
    <xf numFmtId="0" fontId="0" fillId="51" borderId="510" xfId="49" applyFont="1" applyFill="1" applyBorder="1">
      <alignment horizontal="center" vertical="center"/>
    </xf>
    <xf numFmtId="0" fontId="0" fillId="51" borderId="510" xfId="48" applyFont="1" applyFill="1" applyBorder="1">
      <alignment horizontal="center" vertical="center"/>
    </xf>
    <xf numFmtId="1" fontId="0" fillId="51" borderId="510" xfId="44" applyNumberFormat="1" applyFont="1" applyFill="1" applyBorder="1">
      <alignment horizontal="center" vertical="center"/>
    </xf>
    <xf numFmtId="0" fontId="4" fillId="24" borderId="511" xfId="0" applyFont="1" applyFill="1" applyBorder="1" applyAlignment="1" applyProtection="1">
      <alignment horizontal="left"/>
      <protection locked="0"/>
    </xf>
    <xf numFmtId="0" fontId="4" fillId="24" borderId="511" xfId="0" applyFont="1" applyFill="1" applyBorder="1">
      <alignment horizontal="center" vertical="center"/>
    </xf>
    <xf numFmtId="1" fontId="0" fillId="24" borderId="511" xfId="0" applyNumberFormat="1" applyFill="1" applyBorder="1">
      <alignment horizontal="center" vertical="center"/>
    </xf>
    <xf numFmtId="0" fontId="0" fillId="24" borderId="525" xfId="0" applyFill="1" applyBorder="1">
      <alignment horizontal="center" vertical="center"/>
    </xf>
    <xf numFmtId="0" fontId="0" fillId="43" borderId="413" xfId="0" applyFill="1" applyBorder="1" applyAlignment="1" applyProtection="1">
      <alignment horizontal="center"/>
      <protection locked="0"/>
    </xf>
    <xf numFmtId="0" fontId="0" fillId="0" borderId="413" xfId="0" applyBorder="1" applyAlignment="1">
      <alignment horizontal="left" vertical="center"/>
    </xf>
    <xf numFmtId="0" fontId="0" fillId="51" borderId="413" xfId="0" applyFill="1" applyBorder="1">
      <alignment horizontal="center" vertical="center"/>
    </xf>
    <xf numFmtId="0" fontId="0" fillId="55" borderId="413" xfId="0" applyFill="1" applyBorder="1">
      <alignment horizontal="center" vertical="center"/>
    </xf>
    <xf numFmtId="0" fontId="0" fillId="51" borderId="413" xfId="32" applyFont="1" applyFill="1" applyBorder="1" applyAlignment="1">
      <alignment horizontal="center" vertical="center"/>
    </xf>
    <xf numFmtId="0" fontId="0" fillId="52" borderId="413" xfId="0" applyFill="1" applyBorder="1">
      <alignment horizontal="center" vertical="center"/>
    </xf>
    <xf numFmtId="0" fontId="0" fillId="55" borderId="527" xfId="0" applyFill="1" applyBorder="1">
      <alignment horizontal="center" vertical="center"/>
    </xf>
    <xf numFmtId="0" fontId="0" fillId="0" borderId="503" xfId="0" applyBorder="1">
      <alignment horizontal="center" vertical="center"/>
    </xf>
    <xf numFmtId="173" fontId="0" fillId="0" borderId="503" xfId="0" applyNumberFormat="1" applyBorder="1">
      <alignment horizontal="center" vertical="center"/>
    </xf>
    <xf numFmtId="0" fontId="0" fillId="43" borderId="503" xfId="0" applyFill="1" applyBorder="1" applyAlignment="1" applyProtection="1">
      <alignment horizontal="center"/>
      <protection locked="0"/>
    </xf>
    <xf numFmtId="0" fontId="7" fillId="0" borderId="503" xfId="0" applyFont="1" applyBorder="1" applyAlignment="1">
      <alignment horizontal="left" vertical="center"/>
    </xf>
    <xf numFmtId="1" fontId="0" fillId="52" borderId="503" xfId="0" applyNumberFormat="1" applyFill="1" applyBorder="1">
      <alignment horizontal="center" vertical="center"/>
    </xf>
    <xf numFmtId="1" fontId="0" fillId="51" borderId="503" xfId="0" applyNumberFormat="1" applyFill="1" applyBorder="1">
      <alignment horizontal="center" vertical="center"/>
    </xf>
    <xf numFmtId="1" fontId="0" fillId="51" borderId="503" xfId="32" applyNumberFormat="1" applyFont="1" applyFill="1" applyBorder="1" applyAlignment="1">
      <alignment horizontal="center" vertical="center"/>
    </xf>
    <xf numFmtId="0" fontId="0" fillId="51" borderId="503" xfId="46" applyFont="1" applyFill="1" applyBorder="1">
      <alignment horizontal="center" vertical="center"/>
    </xf>
    <xf numFmtId="1" fontId="0" fillId="51" borderId="526" xfId="0" applyNumberFormat="1" applyFill="1" applyBorder="1">
      <alignment horizontal="center" vertical="center"/>
    </xf>
    <xf numFmtId="0" fontId="0" fillId="43" borderId="453" xfId="0" applyFill="1" applyBorder="1" applyAlignment="1" applyProtection="1">
      <alignment horizontal="center"/>
      <protection locked="0"/>
    </xf>
    <xf numFmtId="0" fontId="0" fillId="0" borderId="453" xfId="0" applyBorder="1" applyAlignment="1">
      <alignment vertical="center"/>
    </xf>
    <xf numFmtId="0" fontId="0" fillId="51" borderId="453" xfId="0" applyFill="1" applyBorder="1">
      <alignment horizontal="center" vertical="center"/>
    </xf>
    <xf numFmtId="0" fontId="0" fillId="51" borderId="453" xfId="48" applyFont="1" applyFill="1" applyBorder="1">
      <alignment horizontal="center" vertical="center"/>
    </xf>
    <xf numFmtId="0" fontId="0" fillId="51" borderId="453" xfId="44" applyFont="1" applyFill="1" applyBorder="1">
      <alignment horizontal="center" vertical="center"/>
    </xf>
    <xf numFmtId="0" fontId="0" fillId="52" borderId="453" xfId="0" applyFill="1" applyBorder="1">
      <alignment horizontal="center" vertical="center"/>
    </xf>
    <xf numFmtId="0" fontId="0" fillId="51" borderId="503" xfId="45" applyFont="1" applyFill="1" applyBorder="1">
      <alignment horizontal="center" vertical="center"/>
    </xf>
    <xf numFmtId="49" fontId="0" fillId="51" borderId="525" xfId="0" applyNumberFormat="1" applyFill="1" applyBorder="1">
      <alignment horizontal="center" vertical="center"/>
    </xf>
    <xf numFmtId="0" fontId="4" fillId="0" borderId="457" xfId="0" applyFont="1" applyBorder="1" applyAlignment="1">
      <alignment horizontal="left" vertical="center"/>
    </xf>
    <xf numFmtId="0" fontId="0" fillId="0" borderId="465" xfId="0" applyBorder="1" applyAlignment="1">
      <alignment horizontal="left"/>
    </xf>
    <xf numFmtId="0" fontId="4" fillId="0" borderId="462" xfId="0" applyFont="1" applyBorder="1" applyAlignment="1">
      <alignment vertical="center"/>
    </xf>
    <xf numFmtId="0" fontId="0" fillId="0" borderId="465" xfId="0" applyBorder="1">
      <alignment horizontal="center" vertical="center"/>
    </xf>
    <xf numFmtId="0" fontId="4" fillId="0" borderId="458" xfId="0" applyFont="1" applyBorder="1" applyAlignment="1">
      <alignment horizontal="left" vertical="center"/>
    </xf>
    <xf numFmtId="0" fontId="4" fillId="0" borderId="458" xfId="0" applyFont="1" applyBorder="1" applyAlignment="1">
      <alignment horizontal="left"/>
    </xf>
    <xf numFmtId="0" fontId="4" fillId="0" borderId="464" xfId="0" applyFont="1" applyBorder="1" applyAlignment="1">
      <alignment vertical="center"/>
    </xf>
    <xf numFmtId="0" fontId="0" fillId="0" borderId="464" xfId="0" applyBorder="1">
      <alignment horizontal="center" vertical="center"/>
    </xf>
    <xf numFmtId="0" fontId="0" fillId="0" borderId="477" xfId="0" applyBorder="1">
      <alignment horizontal="center" vertical="center"/>
    </xf>
    <xf numFmtId="0" fontId="4" fillId="0" borderId="528" xfId="0" applyFont="1" applyBorder="1" applyAlignment="1">
      <alignment horizontal="left" vertical="center"/>
    </xf>
    <xf numFmtId="0" fontId="4" fillId="0" borderId="500" xfId="0" applyFont="1" applyBorder="1" applyAlignment="1">
      <alignment vertical="center"/>
    </xf>
    <xf numFmtId="0" fontId="14" fillId="0" borderId="498" xfId="0" applyFont="1" applyBorder="1">
      <alignment horizontal="center" vertical="center"/>
    </xf>
    <xf numFmtId="0" fontId="4" fillId="0" borderId="515" xfId="0" applyFont="1" applyBorder="1" applyAlignment="1">
      <alignment horizontal="left" vertical="center"/>
    </xf>
    <xf numFmtId="0" fontId="14" fillId="0" borderId="521" xfId="0" applyFont="1" applyBorder="1">
      <alignment horizontal="center" vertical="center"/>
    </xf>
    <xf numFmtId="0" fontId="4" fillId="0" borderId="521" xfId="0" applyFont="1" applyBorder="1">
      <alignment horizontal="center" vertical="center"/>
    </xf>
    <xf numFmtId="0" fontId="4" fillId="0" borderId="507" xfId="0" applyFont="1" applyBorder="1" applyAlignment="1">
      <alignment horizontal="left" vertical="center"/>
    </xf>
    <xf numFmtId="0" fontId="0" fillId="0" borderId="500" xfId="0" applyBorder="1" applyAlignment="1">
      <alignment vertical="center"/>
    </xf>
    <xf numFmtId="0" fontId="0" fillId="0" borderId="498" xfId="0" applyBorder="1" applyAlignment="1">
      <alignment horizontal="left" vertical="center"/>
    </xf>
    <xf numFmtId="0" fontId="0" fillId="0" borderId="529" xfId="0" applyBorder="1">
      <alignment horizontal="center" vertical="center"/>
    </xf>
    <xf numFmtId="0" fontId="0" fillId="0" borderId="509" xfId="0" applyBorder="1">
      <alignment horizontal="center" vertical="center"/>
    </xf>
    <xf numFmtId="0" fontId="0" fillId="0" borderId="502" xfId="0" applyBorder="1" applyAlignment="1">
      <alignment vertical="center"/>
    </xf>
    <xf numFmtId="0" fontId="0" fillId="0" borderId="530" xfId="0" applyBorder="1">
      <alignment horizontal="center" vertical="center"/>
    </xf>
    <xf numFmtId="0" fontId="4" fillId="0" borderId="502" xfId="0" applyFont="1" applyBorder="1">
      <alignment horizontal="center" vertical="center"/>
    </xf>
    <xf numFmtId="0" fontId="0" fillId="0" borderId="509" xfId="0" applyBorder="1" applyAlignment="1">
      <alignment horizontal="left" vertical="center"/>
    </xf>
    <xf numFmtId="0" fontId="14" fillId="0" borderId="509" xfId="0" applyFont="1" applyBorder="1">
      <alignment horizontal="center" vertical="center"/>
    </xf>
    <xf numFmtId="0" fontId="4" fillId="0" borderId="509" xfId="0" applyFont="1" applyBorder="1" applyAlignment="1">
      <alignment horizontal="left" vertical="center"/>
    </xf>
    <xf numFmtId="0" fontId="0" fillId="0" borderId="531" xfId="0" applyBorder="1">
      <alignment horizontal="center" vertical="center"/>
    </xf>
    <xf numFmtId="0" fontId="0" fillId="0" borderId="505" xfId="0" applyBorder="1" applyAlignment="1" applyProtection="1">
      <alignment horizontal="center"/>
      <protection locked="0"/>
    </xf>
    <xf numFmtId="0" fontId="6" fillId="0" borderId="505" xfId="0" applyFont="1" applyBorder="1" applyAlignment="1">
      <alignment horizontal="center"/>
    </xf>
    <xf numFmtId="0" fontId="0" fillId="24" borderId="532" xfId="0" applyFill="1" applyBorder="1" applyAlignment="1" applyProtection="1">
      <alignment horizontal="center"/>
      <protection locked="0"/>
    </xf>
    <xf numFmtId="0" fontId="0" fillId="0" borderId="447" xfId="0" applyBorder="1" applyAlignment="1">
      <alignment horizontal="left" vertical="center"/>
    </xf>
    <xf numFmtId="49" fontId="0" fillId="52" borderId="447" xfId="0" applyNumberFormat="1" applyFill="1" applyBorder="1">
      <alignment horizontal="center" vertical="center"/>
    </xf>
    <xf numFmtId="0" fontId="0" fillId="52" borderId="447" xfId="0" applyFill="1" applyBorder="1">
      <alignment horizontal="center" vertical="center"/>
    </xf>
    <xf numFmtId="49" fontId="0" fillId="51" borderId="447" xfId="0" applyNumberFormat="1" applyFill="1" applyBorder="1">
      <alignment horizontal="center" vertical="center"/>
    </xf>
    <xf numFmtId="0" fontId="0" fillId="51" borderId="447" xfId="0" applyFill="1" applyBorder="1">
      <alignment horizontal="center" vertical="center"/>
    </xf>
    <xf numFmtId="0" fontId="0" fillId="53" borderId="447" xfId="0" applyFill="1" applyBorder="1">
      <alignment horizontal="center" vertical="center"/>
    </xf>
    <xf numFmtId="49" fontId="0" fillId="53" borderId="447" xfId="0" applyNumberFormat="1" applyFill="1" applyBorder="1">
      <alignment horizontal="center" vertical="center"/>
    </xf>
    <xf numFmtId="0" fontId="0" fillId="53" borderId="447" xfId="44" applyFont="1" applyFill="1" applyBorder="1">
      <alignment horizontal="center" vertical="center"/>
    </xf>
    <xf numFmtId="0" fontId="7" fillId="53" borderId="447" xfId="43" applyBorder="1">
      <alignment horizontal="center" vertical="center"/>
    </xf>
    <xf numFmtId="49" fontId="0" fillId="55" borderId="447" xfId="0" applyNumberFormat="1" applyFill="1" applyBorder="1">
      <alignment horizontal="center" vertical="center"/>
    </xf>
    <xf numFmtId="0" fontId="0" fillId="51" borderId="447" xfId="44" applyFont="1" applyFill="1" applyBorder="1">
      <alignment horizontal="center" vertical="center"/>
    </xf>
    <xf numFmtId="0" fontId="0" fillId="55" borderId="447" xfId="44" applyFont="1" applyFill="1" applyBorder="1">
      <alignment horizontal="center" vertical="center"/>
    </xf>
    <xf numFmtId="0" fontId="7" fillId="55" borderId="447" xfId="45" applyBorder="1">
      <alignment horizontal="center" vertical="center"/>
    </xf>
    <xf numFmtId="0" fontId="7" fillId="0" borderId="447" xfId="45" applyFill="1" applyBorder="1">
      <alignment horizontal="center" vertical="center"/>
    </xf>
    <xf numFmtId="49" fontId="0" fillId="51" borderId="451" xfId="0" applyNumberFormat="1" applyFill="1" applyBorder="1">
      <alignment horizontal="center" vertical="center"/>
    </xf>
    <xf numFmtId="0" fontId="0" fillId="43" borderId="533" xfId="0" applyFill="1" applyBorder="1" applyAlignment="1" applyProtection="1">
      <alignment horizontal="center"/>
      <protection locked="0"/>
    </xf>
    <xf numFmtId="0" fontId="0" fillId="55" borderId="510" xfId="43" applyFont="1" applyFill="1" applyBorder="1">
      <alignment horizontal="center" vertical="center"/>
    </xf>
    <xf numFmtId="0" fontId="7" fillId="55" borderId="510" xfId="45" applyBorder="1">
      <alignment horizontal="center" vertical="center"/>
    </xf>
    <xf numFmtId="0" fontId="7" fillId="52" borderId="510" xfId="48" applyBorder="1">
      <alignment horizontal="center" vertical="center"/>
    </xf>
    <xf numFmtId="0" fontId="0" fillId="51" borderId="517" xfId="0" applyFill="1" applyBorder="1">
      <alignment horizontal="center" vertical="center"/>
    </xf>
    <xf numFmtId="0" fontId="0" fillId="0" borderId="511" xfId="0" applyBorder="1" applyAlignment="1">
      <alignment horizontal="left" vertical="center"/>
    </xf>
    <xf numFmtId="49" fontId="0" fillId="51" borderId="511" xfId="0" applyNumberFormat="1" applyFill="1" applyBorder="1">
      <alignment horizontal="center" vertical="center"/>
    </xf>
    <xf numFmtId="49" fontId="0" fillId="53" borderId="511" xfId="0" applyNumberFormat="1" applyFill="1" applyBorder="1">
      <alignment horizontal="center" vertical="center"/>
    </xf>
    <xf numFmtId="0" fontId="0" fillId="51" borderId="511" xfId="48" applyFont="1" applyFill="1" applyBorder="1">
      <alignment horizontal="center" vertical="center"/>
    </xf>
    <xf numFmtId="0" fontId="0" fillId="51" borderId="511" xfId="43" applyFont="1" applyFill="1" applyBorder="1">
      <alignment horizontal="center" vertical="center"/>
    </xf>
    <xf numFmtId="0" fontId="0" fillId="51" borderId="447" xfId="48" applyFont="1" applyFill="1" applyBorder="1">
      <alignment horizontal="center" vertical="center"/>
    </xf>
    <xf numFmtId="49" fontId="0" fillId="51" borderId="510" xfId="0" applyNumberFormat="1" applyFill="1" applyBorder="1">
      <alignment horizontal="center" vertical="center"/>
    </xf>
    <xf numFmtId="0" fontId="52" fillId="52" borderId="510" xfId="46" applyFill="1" applyBorder="1">
      <alignment horizontal="center" vertical="center"/>
    </xf>
    <xf numFmtId="0" fontId="52" fillId="56" borderId="510" xfId="46" applyBorder="1">
      <alignment horizontal="center" vertical="center"/>
    </xf>
    <xf numFmtId="0" fontId="7" fillId="54" borderId="510" xfId="50" applyBorder="1">
      <alignment horizontal="center" vertical="center"/>
    </xf>
    <xf numFmtId="49" fontId="0" fillId="51" borderId="517" xfId="0" applyNumberFormat="1" applyFill="1" applyBorder="1">
      <alignment horizontal="center" vertical="center"/>
    </xf>
    <xf numFmtId="0" fontId="7" fillId="52" borderId="511" xfId="48" applyBorder="1">
      <alignment horizontal="center" vertical="center"/>
    </xf>
    <xf numFmtId="0" fontId="7" fillId="0" borderId="525" xfId="53" applyBorder="1">
      <alignment horizontal="center" vertical="center"/>
    </xf>
    <xf numFmtId="0" fontId="0" fillId="51" borderId="447" xfId="0" applyFill="1" applyBorder="1" applyAlignment="1">
      <alignment horizontal="left" vertical="center" wrapText="1"/>
    </xf>
    <xf numFmtId="1" fontId="0" fillId="53" borderId="447" xfId="32" applyNumberFormat="1" applyFont="1" applyFill="1" applyBorder="1" applyAlignment="1">
      <alignment horizontal="center" vertical="center"/>
    </xf>
    <xf numFmtId="49" fontId="0" fillId="53" borderId="451" xfId="0" applyNumberFormat="1" applyFill="1" applyBorder="1">
      <alignment horizontal="center" vertical="center"/>
    </xf>
    <xf numFmtId="0" fontId="0" fillId="51" borderId="511" xfId="44" applyFont="1" applyFill="1" applyBorder="1">
      <alignment horizontal="center" vertical="center"/>
    </xf>
    <xf numFmtId="0" fontId="7" fillId="53" borderId="511" xfId="43" applyBorder="1">
      <alignment horizontal="center" vertical="center"/>
    </xf>
    <xf numFmtId="49" fontId="0" fillId="0" borderId="511" xfId="0" applyNumberFormat="1" applyBorder="1">
      <alignment horizontal="center" vertical="center"/>
    </xf>
    <xf numFmtId="0" fontId="7" fillId="54" borderId="511" xfId="50" applyBorder="1">
      <alignment horizontal="center" vertical="center"/>
    </xf>
    <xf numFmtId="49" fontId="0" fillId="69" borderId="511" xfId="0" applyNumberFormat="1" applyFill="1" applyBorder="1">
      <alignment horizontal="center" vertical="center"/>
    </xf>
    <xf numFmtId="0" fontId="0" fillId="0" borderId="511" xfId="0" applyBorder="1">
      <alignment horizontal="center" vertical="center"/>
    </xf>
    <xf numFmtId="0" fontId="7" fillId="52" borderId="525" xfId="48" applyBorder="1">
      <alignment horizontal="center" vertical="center"/>
    </xf>
    <xf numFmtId="0" fontId="0" fillId="55" borderId="447" xfId="0" applyFill="1" applyBorder="1">
      <alignment horizontal="center" vertical="center"/>
    </xf>
    <xf numFmtId="1" fontId="0" fillId="51" borderId="447" xfId="32" applyNumberFormat="1" applyFont="1" applyFill="1" applyBorder="1" applyAlignment="1">
      <alignment horizontal="center" vertical="center"/>
    </xf>
    <xf numFmtId="49" fontId="0" fillId="72" borderId="510" xfId="0" applyNumberFormat="1" applyFill="1" applyBorder="1">
      <alignment horizontal="center" vertical="center"/>
    </xf>
    <xf numFmtId="49" fontId="0" fillId="52" borderId="510" xfId="0" applyNumberFormat="1" applyFill="1" applyBorder="1">
      <alignment horizontal="center" vertical="center"/>
    </xf>
    <xf numFmtId="0" fontId="7" fillId="55" borderId="511" xfId="45" applyBorder="1">
      <alignment horizontal="center" vertical="center"/>
    </xf>
    <xf numFmtId="0" fontId="0" fillId="55" borderId="511" xfId="0" applyFill="1" applyBorder="1">
      <alignment horizontal="center" vertical="center"/>
    </xf>
    <xf numFmtId="0" fontId="0" fillId="51" borderId="525" xfId="0" applyFill="1" applyBorder="1">
      <alignment horizontal="center" vertical="center"/>
    </xf>
    <xf numFmtId="0" fontId="0" fillId="51" borderId="447" xfId="46" applyFont="1" applyFill="1" applyBorder="1">
      <alignment horizontal="center" vertical="center"/>
    </xf>
    <xf numFmtId="49" fontId="0" fillId="56" borderId="447" xfId="0" applyNumberFormat="1" applyFill="1" applyBorder="1">
      <alignment horizontal="center" vertical="center"/>
    </xf>
    <xf numFmtId="49" fontId="0" fillId="53" borderId="510" xfId="0" applyNumberFormat="1" applyFill="1" applyBorder="1">
      <alignment horizontal="center" vertical="center"/>
    </xf>
    <xf numFmtId="0" fontId="0" fillId="0" borderId="510" xfId="0" applyBorder="1">
      <alignment horizontal="center" vertical="center"/>
    </xf>
    <xf numFmtId="0" fontId="0" fillId="56" borderId="510" xfId="44" applyFont="1" applyFill="1" applyBorder="1">
      <alignment horizontal="center" vertical="center"/>
    </xf>
    <xf numFmtId="0" fontId="0" fillId="53" borderId="510" xfId="0" applyFill="1" applyBorder="1">
      <alignment horizontal="center" vertical="center"/>
    </xf>
    <xf numFmtId="49" fontId="0" fillId="53" borderId="517" xfId="0" applyNumberFormat="1" applyFill="1" applyBorder="1">
      <alignment horizontal="center" vertical="center"/>
    </xf>
    <xf numFmtId="0" fontId="0" fillId="51" borderId="525" xfId="44" applyFont="1" applyFill="1" applyBorder="1">
      <alignment horizontal="center" vertical="center"/>
    </xf>
    <xf numFmtId="0" fontId="4" fillId="0" borderId="510" xfId="0" applyFont="1" applyBorder="1" applyAlignment="1">
      <alignment horizontal="center"/>
    </xf>
    <xf numFmtId="0" fontId="7" fillId="0" borderId="510" xfId="0" applyFont="1" applyBorder="1">
      <alignment horizontal="center" vertical="center"/>
    </xf>
    <xf numFmtId="0" fontId="0" fillId="0" borderId="505" xfId="0" applyBorder="1">
      <alignment horizontal="center" vertical="center"/>
    </xf>
    <xf numFmtId="0" fontId="4" fillId="0" borderId="505" xfId="0" applyFont="1" applyBorder="1" applyAlignment="1">
      <alignment horizontal="center"/>
    </xf>
    <xf numFmtId="0" fontId="6" fillId="0" borderId="510" xfId="0" applyFont="1" applyBorder="1" applyAlignment="1">
      <alignment horizontal="left"/>
    </xf>
    <xf numFmtId="0" fontId="7" fillId="0" borderId="500" xfId="0" applyFont="1" applyBorder="1">
      <alignment horizontal="center" vertical="center"/>
    </xf>
    <xf numFmtId="0" fontId="0" fillId="0" borderId="510" xfId="0" applyBorder="1" applyAlignment="1">
      <alignment horizontal="center"/>
    </xf>
    <xf numFmtId="0" fontId="0" fillId="43" borderId="500" xfId="0" applyFill="1" applyBorder="1" applyAlignment="1" applyProtection="1">
      <alignment horizontal="center"/>
      <protection locked="0"/>
    </xf>
    <xf numFmtId="0" fontId="0" fillId="0" borderId="500" xfId="0" applyBorder="1" applyAlignment="1">
      <alignment horizontal="left"/>
    </xf>
    <xf numFmtId="0" fontId="0" fillId="0" borderId="498" xfId="0" applyBorder="1" applyAlignment="1">
      <alignment horizontal="left"/>
    </xf>
    <xf numFmtId="0" fontId="0" fillId="0" borderId="515" xfId="0" applyBorder="1" applyAlignment="1">
      <alignment horizontal="left"/>
    </xf>
    <xf numFmtId="0" fontId="0" fillId="0" borderId="521" xfId="0" applyBorder="1" applyAlignment="1">
      <alignment horizontal="left"/>
    </xf>
    <xf numFmtId="0" fontId="7" fillId="0" borderId="522" xfId="0" applyFont="1" applyBorder="1" applyAlignment="1">
      <alignment horizontal="left"/>
    </xf>
    <xf numFmtId="0" fontId="7" fillId="0" borderId="521" xfId="0" applyFont="1" applyBorder="1" applyAlignment="1">
      <alignment horizontal="left"/>
    </xf>
    <xf numFmtId="0" fontId="7" fillId="0" borderId="499" xfId="0" applyFont="1" applyBorder="1" applyAlignment="1">
      <alignment horizontal="left"/>
    </xf>
    <xf numFmtId="0" fontId="6" fillId="0" borderId="500" xfId="0" applyFont="1" applyBorder="1" applyAlignment="1">
      <alignment horizontal="left"/>
    </xf>
    <xf numFmtId="0" fontId="22" fillId="0" borderId="510" xfId="0" applyFont="1" applyBorder="1" applyAlignment="1" applyProtection="1">
      <alignment horizontal="center"/>
      <protection locked="0"/>
    </xf>
    <xf numFmtId="0" fontId="0" fillId="0" borderId="489" xfId="0" applyBorder="1" applyAlignment="1">
      <alignment horizontal="left"/>
    </xf>
    <xf numFmtId="0" fontId="4" fillId="0" borderId="511" xfId="0" applyFont="1" applyBorder="1" applyAlignment="1" applyProtection="1">
      <alignment horizontal="center"/>
      <protection locked="0"/>
    </xf>
    <xf numFmtId="0" fontId="6" fillId="0" borderId="511" xfId="0" applyFont="1" applyBorder="1" applyAlignment="1">
      <alignment horizontal="center"/>
    </xf>
    <xf numFmtId="0" fontId="0" fillId="0" borderId="534" xfId="0" applyBorder="1" applyAlignment="1">
      <alignment vertical="center"/>
    </xf>
    <xf numFmtId="0" fontId="0" fillId="51" borderId="534" xfId="0" applyFill="1" applyBorder="1" applyAlignment="1" applyProtection="1">
      <alignment horizontal="left" vertical="center"/>
      <protection locked="0"/>
    </xf>
    <xf numFmtId="0" fontId="0" fillId="51" borderId="534" xfId="48" applyFont="1" applyFill="1" applyBorder="1">
      <alignment horizontal="center" vertical="center"/>
    </xf>
    <xf numFmtId="0" fontId="0" fillId="51" borderId="534" xfId="44" applyFont="1" applyFill="1" applyBorder="1">
      <alignment horizontal="center" vertical="center"/>
    </xf>
    <xf numFmtId="0" fontId="0" fillId="51" borderId="535" xfId="48" applyFont="1" applyFill="1" applyBorder="1">
      <alignment horizontal="center" vertical="center"/>
    </xf>
    <xf numFmtId="0" fontId="0" fillId="52" borderId="102" xfId="47" applyFont="1" applyFill="1" applyBorder="1">
      <alignment horizontal="center" vertical="center"/>
    </xf>
    <xf numFmtId="0" fontId="0" fillId="55" borderId="535" xfId="0" applyFill="1" applyBorder="1">
      <alignment horizontal="center" vertical="center"/>
    </xf>
    <xf numFmtId="49" fontId="0" fillId="52" borderId="511" xfId="0" applyNumberFormat="1" applyFill="1" applyBorder="1">
      <alignment horizontal="center" vertical="center"/>
    </xf>
    <xf numFmtId="0" fontId="0" fillId="52" borderId="511" xfId="48" applyFont="1" applyBorder="1">
      <alignment horizontal="center" vertical="center"/>
    </xf>
    <xf numFmtId="0" fontId="0" fillId="52" borderId="511" xfId="0" applyFill="1" applyBorder="1">
      <alignment horizontal="center" vertical="center"/>
    </xf>
    <xf numFmtId="0" fontId="0" fillId="52" borderId="511" xfId="44" applyFont="1" applyFill="1" applyBorder="1">
      <alignment horizontal="center" vertical="center"/>
    </xf>
    <xf numFmtId="0" fontId="7" fillId="53" borderId="102" xfId="48" applyFill="1" applyBorder="1">
      <alignment horizontal="center" vertical="center"/>
    </xf>
    <xf numFmtId="0" fontId="0" fillId="51" borderId="511" xfId="51" applyFont="1" applyFill="1" applyBorder="1">
      <alignment horizontal="center" vertical="center"/>
    </xf>
    <xf numFmtId="0" fontId="59" fillId="0" borderId="487" xfId="0" applyFont="1" applyBorder="1" applyAlignment="1">
      <alignment horizontal="left" vertical="center"/>
    </xf>
    <xf numFmtId="0" fontId="0" fillId="51" borderId="510" xfId="47" applyFont="1" applyFill="1" applyBorder="1">
      <alignment horizontal="center" vertical="center"/>
    </xf>
    <xf numFmtId="49" fontId="0" fillId="55" borderId="101" xfId="0" applyNumberFormat="1" applyFill="1" applyBorder="1">
      <alignment horizontal="center" vertical="center"/>
    </xf>
    <xf numFmtId="49" fontId="0" fillId="53" borderId="101" xfId="0" applyNumberFormat="1" applyFill="1" applyBorder="1">
      <alignment horizontal="center" vertical="center"/>
    </xf>
    <xf numFmtId="0" fontId="21" fillId="0" borderId="536" xfId="0" applyFont="1" applyBorder="1" applyAlignment="1">
      <alignment vertical="center"/>
    </xf>
    <xf numFmtId="0" fontId="0" fillId="51" borderId="505" xfId="0" applyFill="1" applyBorder="1">
      <alignment horizontal="center" vertical="center"/>
    </xf>
    <xf numFmtId="0" fontId="0" fillId="71" borderId="505" xfId="0" applyFill="1" applyBorder="1">
      <alignment horizontal="center" vertical="center"/>
    </xf>
    <xf numFmtId="0" fontId="0" fillId="71" borderId="537" xfId="0" applyFill="1" applyBorder="1">
      <alignment horizontal="center" vertical="center"/>
    </xf>
    <xf numFmtId="0" fontId="19" fillId="0" borderId="487" xfId="0" applyFont="1" applyBorder="1" applyAlignment="1" applyProtection="1">
      <alignment horizontal="center"/>
      <protection locked="0"/>
    </xf>
    <xf numFmtId="0" fontId="0" fillId="0" borderId="488" xfId="0" applyBorder="1">
      <alignment horizontal="center" vertical="center"/>
    </xf>
    <xf numFmtId="1" fontId="0" fillId="55" borderId="447" xfId="32" applyNumberFormat="1" applyFont="1" applyFill="1" applyBorder="1" applyAlignment="1">
      <alignment horizontal="center" vertical="center"/>
    </xf>
    <xf numFmtId="49" fontId="0" fillId="52" borderId="101" xfId="0" applyNumberFormat="1" applyFill="1" applyBorder="1">
      <alignment horizontal="center" vertical="center"/>
    </xf>
    <xf numFmtId="0" fontId="4" fillId="0" borderId="510" xfId="0" applyFont="1" applyBorder="1" applyAlignment="1" applyProtection="1">
      <alignment horizontal="center"/>
      <protection locked="0"/>
    </xf>
    <xf numFmtId="0" fontId="0" fillId="51" borderId="517" xfId="47" applyFont="1" applyFill="1" applyBorder="1">
      <alignment horizontal="center" vertical="center"/>
    </xf>
    <xf numFmtId="0" fontId="0" fillId="51" borderId="511" xfId="47" applyFont="1" applyFill="1" applyBorder="1">
      <alignment horizontal="center" vertical="center"/>
    </xf>
    <xf numFmtId="49" fontId="0" fillId="51" borderId="534" xfId="0" applyNumberFormat="1" applyFill="1" applyBorder="1">
      <alignment horizontal="center" vertical="center"/>
    </xf>
    <xf numFmtId="49" fontId="0" fillId="51" borderId="538" xfId="0" applyNumberFormat="1" applyFill="1" applyBorder="1">
      <alignment horizontal="center" vertical="center"/>
    </xf>
    <xf numFmtId="0" fontId="0" fillId="0" borderId="539" xfId="0" applyBorder="1">
      <alignment horizontal="center" vertical="center"/>
    </xf>
    <xf numFmtId="0" fontId="0" fillId="0" borderId="540" xfId="0" applyBorder="1">
      <alignment horizontal="center" vertical="center"/>
    </xf>
    <xf numFmtId="0" fontId="0" fillId="0" borderId="541" xfId="0" applyBorder="1">
      <alignment horizontal="center" vertical="center"/>
    </xf>
    <xf numFmtId="0" fontId="0" fillId="0" borderId="542" xfId="0" applyBorder="1">
      <alignment horizontal="center" vertical="center"/>
    </xf>
    <xf numFmtId="0" fontId="0" fillId="0" borderId="507" xfId="0" applyBorder="1">
      <alignment horizontal="center" vertical="center"/>
    </xf>
    <xf numFmtId="0" fontId="0" fillId="0" borderId="500" xfId="0" applyBorder="1" applyAlignment="1">
      <alignment horizontal="left" vertical="center"/>
    </xf>
    <xf numFmtId="0" fontId="0" fillId="0" borderId="500" xfId="0" applyBorder="1">
      <alignment horizontal="center" vertical="center"/>
    </xf>
    <xf numFmtId="0" fontId="0" fillId="0" borderId="543" xfId="0" applyBorder="1" applyAlignment="1">
      <alignment horizontal="left" vertical="center"/>
    </xf>
    <xf numFmtId="0" fontId="0" fillId="0" borderId="502" xfId="0" applyBorder="1" applyAlignment="1">
      <alignment horizontal="left" vertical="center"/>
    </xf>
    <xf numFmtId="0" fontId="0" fillId="0" borderId="544" xfId="0" applyBorder="1">
      <alignment horizontal="center" vertical="center"/>
    </xf>
    <xf numFmtId="0" fontId="0" fillId="0" borderId="502" xfId="0" applyBorder="1">
      <alignment horizontal="center" vertical="center"/>
    </xf>
    <xf numFmtId="0" fontId="4" fillId="43" borderId="545" xfId="0" applyFont="1" applyFill="1" applyBorder="1" applyAlignment="1">
      <alignment horizontal="center"/>
    </xf>
    <xf numFmtId="0" fontId="0" fillId="0" borderId="545" xfId="0" applyBorder="1" applyAlignment="1">
      <alignment vertical="center"/>
    </xf>
    <xf numFmtId="0" fontId="0" fillId="51" borderId="545" xfId="20" applyNumberFormat="1" applyFont="1" applyFill="1" applyBorder="1" applyAlignment="1">
      <alignment horizontal="center" vertical="center"/>
    </xf>
    <xf numFmtId="0" fontId="4" fillId="43" borderId="510" xfId="0" applyFont="1" applyFill="1" applyBorder="1" applyAlignment="1">
      <alignment horizontal="center"/>
    </xf>
    <xf numFmtId="0" fontId="0" fillId="0" borderId="510" xfId="0" applyBorder="1" applyAlignment="1">
      <alignment vertical="center"/>
    </xf>
    <xf numFmtId="0" fontId="0" fillId="51" borderId="510" xfId="20" applyNumberFormat="1" applyFont="1" applyFill="1" applyBorder="1" applyAlignment="1">
      <alignment horizontal="center" vertical="center"/>
    </xf>
    <xf numFmtId="0" fontId="0" fillId="55" borderId="510" xfId="0" applyFill="1" applyBorder="1">
      <alignment horizontal="center" vertical="center"/>
    </xf>
    <xf numFmtId="0" fontId="4" fillId="43" borderId="511" xfId="0" applyFont="1" applyFill="1" applyBorder="1" applyAlignment="1">
      <alignment horizontal="center"/>
    </xf>
    <xf numFmtId="0" fontId="0" fillId="0" borderId="511" xfId="0" applyBorder="1" applyAlignment="1">
      <alignment vertical="center"/>
    </xf>
    <xf numFmtId="0" fontId="4" fillId="0" borderId="542" xfId="0" applyFont="1" applyBorder="1" applyAlignment="1">
      <alignment horizontal="center"/>
    </xf>
    <xf numFmtId="0" fontId="4" fillId="0" borderId="546" xfId="0" applyFont="1" applyBorder="1" applyAlignment="1">
      <alignment horizontal="left"/>
    </xf>
    <xf numFmtId="0" fontId="6" fillId="0" borderId="542" xfId="0" applyFont="1" applyBorder="1" applyAlignment="1">
      <alignment horizontal="center"/>
    </xf>
    <xf numFmtId="0" fontId="0" fillId="0" borderId="542" xfId="0" applyBorder="1" applyAlignment="1">
      <alignment horizontal="center"/>
    </xf>
    <xf numFmtId="0" fontId="4" fillId="0" borderId="546" xfId="0" applyFont="1" applyBorder="1" applyAlignment="1">
      <alignment horizontal="center"/>
    </xf>
    <xf numFmtId="0" fontId="6" fillId="0" borderId="547" xfId="0" applyFont="1" applyBorder="1" applyAlignment="1">
      <alignment horizontal="center"/>
    </xf>
    <xf numFmtId="0" fontId="6" fillId="0" borderId="546" xfId="0" applyFont="1" applyBorder="1" applyAlignment="1">
      <alignment horizontal="center"/>
    </xf>
    <xf numFmtId="0" fontId="0" fillId="0" borderId="546" xfId="0" applyBorder="1" applyAlignment="1">
      <alignment horizontal="center"/>
    </xf>
    <xf numFmtId="0" fontId="7" fillId="0" borderId="547" xfId="0" applyFont="1" applyBorder="1" applyAlignment="1">
      <alignment horizontal="left" vertical="center"/>
    </xf>
    <xf numFmtId="0" fontId="6" fillId="0" borderId="547" xfId="0" applyFont="1" applyBorder="1">
      <alignment horizontal="center" vertical="center"/>
    </xf>
    <xf numFmtId="0" fontId="6" fillId="0" borderId="546" xfId="0" applyFont="1" applyBorder="1">
      <alignment horizontal="center" vertical="center"/>
    </xf>
    <xf numFmtId="0" fontId="4" fillId="0" borderId="533" xfId="0" applyFont="1" applyBorder="1" applyAlignment="1">
      <alignment horizontal="center"/>
    </xf>
    <xf numFmtId="0" fontId="7" fillId="0" borderId="500" xfId="0" applyFont="1" applyBorder="1" applyAlignment="1">
      <alignment horizontal="left" vertical="center"/>
    </xf>
    <xf numFmtId="0" fontId="7" fillId="0" borderId="498" xfId="0" applyFont="1" applyBorder="1" applyAlignment="1">
      <alignment horizontal="left" vertical="center"/>
    </xf>
    <xf numFmtId="0" fontId="7" fillId="0" borderId="523" xfId="0" applyFont="1" applyBorder="1" applyAlignment="1">
      <alignment horizontal="left" vertical="center"/>
    </xf>
    <xf numFmtId="0" fontId="4" fillId="0" borderId="505" xfId="0" applyFont="1" applyBorder="1" applyAlignment="1" applyProtection="1">
      <alignment horizontal="center"/>
      <protection locked="0"/>
    </xf>
    <xf numFmtId="0" fontId="7" fillId="0" borderId="545" xfId="0" applyFont="1" applyBorder="1">
      <alignment horizontal="center" vertical="center"/>
    </xf>
    <xf numFmtId="0" fontId="7" fillId="0" borderId="545" xfId="0" applyFont="1" applyBorder="1" applyAlignment="1">
      <alignment horizontal="left" vertical="center"/>
    </xf>
    <xf numFmtId="0" fontId="52" fillId="56" borderId="545" xfId="46" applyBorder="1">
      <alignment horizontal="center" vertical="center"/>
    </xf>
    <xf numFmtId="0" fontId="0" fillId="0" borderId="542" xfId="0" applyBorder="1" applyAlignment="1"/>
    <xf numFmtId="0" fontId="4" fillId="0" borderId="547" xfId="0" applyFont="1" applyBorder="1" applyAlignment="1">
      <alignment horizontal="left"/>
    </xf>
    <xf numFmtId="0" fontId="0" fillId="0" borderId="547" xfId="0" applyBorder="1" applyAlignment="1"/>
    <xf numFmtId="0" fontId="0" fillId="0" borderId="546" xfId="0" applyBorder="1" applyAlignment="1"/>
    <xf numFmtId="0" fontId="4" fillId="0" borderId="542" xfId="0" applyFont="1" applyBorder="1" applyAlignment="1">
      <alignment horizontal="left"/>
    </xf>
    <xf numFmtId="0" fontId="0" fillId="0" borderId="548" xfId="0" applyBorder="1" applyAlignment="1"/>
    <xf numFmtId="0" fontId="0" fillId="0" borderId="507" xfId="0" applyBorder="1" applyAlignment="1">
      <alignment horizontal="center"/>
    </xf>
    <xf numFmtId="0" fontId="4" fillId="0" borderId="500" xfId="0" applyFont="1" applyBorder="1" applyAlignment="1">
      <alignment horizontal="left"/>
    </xf>
    <xf numFmtId="0" fontId="0" fillId="0" borderId="498" xfId="0" applyBorder="1" applyAlignment="1"/>
    <xf numFmtId="0" fontId="0" fillId="0" borderId="499" xfId="0" applyBorder="1" applyAlignment="1">
      <alignment horizontal="left"/>
    </xf>
    <xf numFmtId="0" fontId="4" fillId="0" borderId="498" xfId="0" applyFont="1" applyBorder="1" applyAlignment="1"/>
    <xf numFmtId="0" fontId="4" fillId="0" borderId="499" xfId="0" applyFont="1" applyBorder="1" applyAlignment="1">
      <alignment horizontal="left"/>
    </xf>
    <xf numFmtId="0" fontId="0" fillId="0" borderId="500" xfId="0" applyBorder="1" applyAlignment="1">
      <alignment horizontal="center"/>
    </xf>
    <xf numFmtId="0" fontId="0" fillId="0" borderId="523" xfId="0" applyBorder="1" applyAlignment="1"/>
    <xf numFmtId="0" fontId="4" fillId="0" borderId="515" xfId="0" applyFont="1" applyBorder="1" applyAlignment="1">
      <alignment horizontal="left"/>
    </xf>
    <xf numFmtId="0" fontId="0" fillId="0" borderId="521" xfId="0" applyBorder="1" applyAlignment="1"/>
    <xf numFmtId="0" fontId="0" fillId="0" borderId="522" xfId="0" applyBorder="1" applyAlignment="1">
      <alignment horizontal="left"/>
    </xf>
    <xf numFmtId="0" fontId="9" fillId="0" borderId="515" xfId="0" applyFont="1" applyBorder="1" applyAlignment="1">
      <alignment horizontal="center"/>
    </xf>
    <xf numFmtId="0" fontId="0" fillId="0" borderId="529" xfId="0" applyBorder="1" applyAlignment="1"/>
    <xf numFmtId="0" fontId="4" fillId="0" borderId="502" xfId="0" applyFont="1" applyBorder="1" applyAlignment="1">
      <alignment horizontal="left"/>
    </xf>
    <xf numFmtId="0" fontId="7" fillId="0" borderId="509" xfId="0" applyFont="1" applyBorder="1" applyAlignment="1">
      <alignment horizontal="left" vertical="center"/>
    </xf>
    <xf numFmtId="0" fontId="7" fillId="0" borderId="509" xfId="0" applyFont="1" applyBorder="1">
      <alignment horizontal="center" vertical="center"/>
    </xf>
    <xf numFmtId="0" fontId="7" fillId="0" borderId="530" xfId="0" applyFont="1" applyBorder="1">
      <alignment horizontal="center" vertical="center"/>
    </xf>
    <xf numFmtId="0" fontId="7" fillId="0" borderId="502" xfId="0" applyFont="1" applyBorder="1" applyAlignment="1">
      <alignment horizontal="left" vertical="center"/>
    </xf>
    <xf numFmtId="0" fontId="7" fillId="0" borderId="509" xfId="0" applyFont="1" applyBorder="1" applyAlignment="1">
      <alignment horizontal="left"/>
    </xf>
    <xf numFmtId="0" fontId="7" fillId="0" borderId="530" xfId="0" applyFont="1" applyBorder="1" applyAlignment="1">
      <alignment horizontal="left" vertical="center"/>
    </xf>
    <xf numFmtId="0" fontId="0" fillId="0" borderId="509" xfId="0" applyBorder="1" applyAlignment="1">
      <alignment horizontal="left"/>
    </xf>
    <xf numFmtId="0" fontId="0" fillId="0" borderId="531" xfId="0" applyBorder="1" applyAlignment="1"/>
    <xf numFmtId="0" fontId="0" fillId="51" borderId="545" xfId="0" applyFill="1" applyBorder="1" applyAlignment="1">
      <alignment horizontal="left" vertical="center"/>
    </xf>
    <xf numFmtId="49" fontId="0" fillId="71" borderId="545" xfId="0" applyNumberFormat="1" applyFill="1" applyBorder="1">
      <alignment horizontal="center" vertical="center"/>
    </xf>
    <xf numFmtId="0" fontId="0" fillId="51" borderId="510" xfId="0" applyFill="1" applyBorder="1" applyAlignment="1">
      <alignment horizontal="left" vertical="center"/>
    </xf>
    <xf numFmtId="0" fontId="7" fillId="58" borderId="510" xfId="33" applyBorder="1">
      <alignment horizontal="center" vertical="center"/>
    </xf>
    <xf numFmtId="49" fontId="0" fillId="58" borderId="510" xfId="0" applyNumberFormat="1" applyFill="1" applyBorder="1">
      <alignment horizontal="center" vertical="center"/>
    </xf>
    <xf numFmtId="0" fontId="0" fillId="86" borderId="510" xfId="48" applyFont="1" applyFill="1" applyBorder="1">
      <alignment horizontal="center" vertical="center"/>
    </xf>
    <xf numFmtId="0" fontId="0" fillId="51" borderId="517" xfId="48" applyFont="1" applyFill="1" applyBorder="1">
      <alignment horizontal="center" vertical="center"/>
    </xf>
    <xf numFmtId="0" fontId="0" fillId="51" borderId="510" xfId="51" applyFont="1" applyFill="1" applyBorder="1">
      <alignment horizontal="center" vertical="center"/>
    </xf>
    <xf numFmtId="0" fontId="7" fillId="69" borderId="510" xfId="44" applyBorder="1">
      <alignment horizontal="center" vertical="center"/>
    </xf>
    <xf numFmtId="0" fontId="0" fillId="71" borderId="510" xfId="51" applyFont="1" applyFill="1" applyBorder="1">
      <alignment horizontal="center" vertical="center"/>
    </xf>
    <xf numFmtId="0" fontId="0" fillId="51" borderId="517" xfId="51" applyFont="1" applyFill="1" applyBorder="1">
      <alignment horizontal="center" vertical="center"/>
    </xf>
    <xf numFmtId="0" fontId="0" fillId="51" borderId="511" xfId="0" applyFill="1" applyBorder="1" applyAlignment="1">
      <alignment horizontal="left" vertical="center"/>
    </xf>
    <xf numFmtId="0" fontId="0" fillId="72" borderId="103" xfId="48" applyFont="1" applyFill="1" applyBorder="1">
      <alignment horizontal="center" vertical="center"/>
    </xf>
    <xf numFmtId="0" fontId="0" fillId="0" borderId="502" xfId="0" applyBorder="1" applyAlignment="1">
      <alignment horizontal="left"/>
    </xf>
    <xf numFmtId="0" fontId="0" fillId="0" borderId="509" xfId="0" applyBorder="1" applyAlignment="1"/>
    <xf numFmtId="0" fontId="0" fillId="0" borderId="530" xfId="0" applyBorder="1" applyAlignment="1">
      <alignment horizontal="left"/>
    </xf>
    <xf numFmtId="0" fontId="0" fillId="0" borderId="502" xfId="0" applyBorder="1" applyAlignment="1">
      <alignment horizontal="center"/>
    </xf>
    <xf numFmtId="0" fontId="7" fillId="53" borderId="487" xfId="43" applyBorder="1">
      <alignment horizontal="center" vertical="center"/>
    </xf>
    <xf numFmtId="0" fontId="0" fillId="55" borderId="487" xfId="44" applyFont="1" applyFill="1" applyBorder="1">
      <alignment horizontal="center" vertical="center"/>
    </xf>
    <xf numFmtId="0" fontId="7" fillId="54" borderId="167" xfId="50" applyBorder="1">
      <alignment horizontal="center" vertical="center"/>
    </xf>
    <xf numFmtId="0" fontId="3" fillId="0" borderId="500" xfId="0" applyFont="1" applyBorder="1" applyAlignment="1">
      <alignment horizontal="left"/>
    </xf>
    <xf numFmtId="0" fontId="4" fillId="0" borderId="498" xfId="0" applyFont="1" applyBorder="1">
      <alignment horizontal="center" vertical="center"/>
    </xf>
    <xf numFmtId="167" fontId="9" fillId="0" borderId="502" xfId="0" applyNumberFormat="1" applyFont="1" applyBorder="1" applyAlignment="1">
      <alignment horizontal="center"/>
    </xf>
    <xf numFmtId="0" fontId="7" fillId="51" borderId="542" xfId="0" applyFont="1" applyFill="1" applyBorder="1" applyAlignment="1">
      <alignment vertical="center"/>
    </xf>
    <xf numFmtId="0" fontId="0" fillId="51" borderId="487" xfId="46" applyFont="1" applyFill="1" applyBorder="1">
      <alignment horizontal="center" vertical="center"/>
    </xf>
    <xf numFmtId="0" fontId="52" fillId="56" borderId="487" xfId="46" applyBorder="1">
      <alignment horizontal="center" vertical="center"/>
    </xf>
    <xf numFmtId="0" fontId="7" fillId="51" borderId="500" xfId="0" applyFont="1" applyFill="1" applyBorder="1" applyAlignment="1">
      <alignment vertical="center"/>
    </xf>
    <xf numFmtId="0" fontId="0" fillId="51" borderId="549" xfId="0" applyFill="1" applyBorder="1">
      <alignment horizontal="center" vertical="center"/>
    </xf>
    <xf numFmtId="0" fontId="0" fillId="51" borderId="500" xfId="0" applyFill="1" applyBorder="1" applyAlignment="1">
      <alignment vertical="center"/>
    </xf>
    <xf numFmtId="0" fontId="7" fillId="54" borderId="454" xfId="50" applyBorder="1">
      <alignment horizontal="center" vertical="center"/>
    </xf>
    <xf numFmtId="0" fontId="0" fillId="0" borderId="549" xfId="0" applyBorder="1">
      <alignment horizontal="center" vertical="center"/>
    </xf>
    <xf numFmtId="0" fontId="0" fillId="51" borderId="549" xfId="48" applyFont="1" applyFill="1" applyBorder="1">
      <alignment horizontal="center" vertical="center"/>
    </xf>
    <xf numFmtId="0" fontId="0" fillId="51" borderId="497" xfId="0" applyFill="1" applyBorder="1">
      <alignment horizontal="center" vertical="center"/>
    </xf>
    <xf numFmtId="0" fontId="0" fillId="51" borderId="550" xfId="0" applyFill="1" applyBorder="1">
      <alignment horizontal="center" vertical="center"/>
    </xf>
    <xf numFmtId="0" fontId="4" fillId="0" borderId="551" xfId="0" applyFont="1" applyBorder="1" applyAlignment="1">
      <alignment horizontal="center"/>
    </xf>
    <xf numFmtId="49" fontId="7" fillId="0" borderId="552" xfId="0" applyNumberFormat="1" applyFont="1" applyBorder="1">
      <alignment horizontal="center" vertical="center"/>
    </xf>
    <xf numFmtId="0" fontId="0" fillId="0" borderId="553" xfId="0" applyBorder="1">
      <alignment horizontal="center" vertical="center"/>
    </xf>
    <xf numFmtId="0" fontId="0" fillId="0" borderId="554" xfId="0" applyBorder="1">
      <alignment horizontal="center" vertical="center"/>
    </xf>
    <xf numFmtId="0" fontId="4" fillId="0" borderId="554" xfId="0" applyFont="1" applyBorder="1" applyAlignment="1">
      <alignment horizontal="left"/>
    </xf>
    <xf numFmtId="0" fontId="0" fillId="0" borderId="555" xfId="0" applyBorder="1">
      <alignment horizontal="center" vertical="center"/>
    </xf>
    <xf numFmtId="0" fontId="0" fillId="0" borderId="118" xfId="0" applyBorder="1">
      <alignment horizontal="center" vertical="center"/>
    </xf>
    <xf numFmtId="0" fontId="3" fillId="0" borderId="118" xfId="0" applyFont="1" applyBorder="1">
      <alignment horizontal="center" vertical="center"/>
    </xf>
    <xf numFmtId="0" fontId="0" fillId="0" borderId="556" xfId="0" applyBorder="1">
      <alignment horizontal="center" vertical="center"/>
    </xf>
    <xf numFmtId="0" fontId="3" fillId="0" borderId="556" xfId="0" applyFont="1" applyBorder="1">
      <alignment horizontal="center" vertical="center"/>
    </xf>
    <xf numFmtId="0" fontId="3" fillId="0" borderId="557" xfId="0" applyFont="1" applyBorder="1">
      <alignment horizontal="center" vertical="center"/>
    </xf>
    <xf numFmtId="49" fontId="3" fillId="0" borderId="556" xfId="0" applyNumberFormat="1" applyFont="1" applyBorder="1">
      <alignment horizontal="center" vertical="center"/>
    </xf>
    <xf numFmtId="0" fontId="7" fillId="0" borderId="556" xfId="0" applyFont="1" applyBorder="1">
      <alignment horizontal="center" vertical="center"/>
    </xf>
    <xf numFmtId="0" fontId="7" fillId="0" borderId="557" xfId="0" applyFont="1" applyBorder="1">
      <alignment horizontal="center" vertical="center"/>
    </xf>
    <xf numFmtId="49" fontId="7" fillId="0" borderId="556" xfId="0" applyNumberFormat="1" applyFont="1" applyBorder="1">
      <alignment horizontal="center" vertical="center"/>
    </xf>
    <xf numFmtId="0" fontId="9" fillId="0" borderId="558" xfId="0" applyFont="1" applyBorder="1">
      <alignment horizontal="center" vertical="center"/>
    </xf>
    <xf numFmtId="0" fontId="0" fillId="51" borderId="487" xfId="0" applyFill="1" applyBorder="1" applyAlignment="1">
      <alignment horizontal="left" vertical="center" wrapText="1"/>
    </xf>
    <xf numFmtId="49" fontId="0" fillId="51" borderId="559" xfId="0" applyNumberFormat="1" applyFill="1" applyBorder="1">
      <alignment horizontal="center" vertical="center"/>
    </xf>
    <xf numFmtId="49" fontId="0" fillId="51" borderId="560" xfId="0" applyNumberFormat="1" applyFill="1" applyBorder="1">
      <alignment horizontal="center" vertical="center"/>
    </xf>
    <xf numFmtId="49" fontId="0" fillId="56" borderId="560" xfId="0" applyNumberFormat="1" applyFill="1" applyBorder="1">
      <alignment horizontal="center" vertical="center"/>
    </xf>
    <xf numFmtId="49" fontId="0" fillId="52" borderId="560" xfId="0" applyNumberFormat="1" applyFill="1" applyBorder="1">
      <alignment horizontal="center" vertical="center"/>
    </xf>
    <xf numFmtId="0" fontId="7" fillId="55" borderId="560" xfId="45" applyBorder="1">
      <alignment horizontal="center" vertical="center"/>
    </xf>
    <xf numFmtId="0" fontId="7" fillId="53" borderId="560" xfId="43" applyBorder="1">
      <alignment horizontal="center" vertical="center"/>
    </xf>
    <xf numFmtId="0" fontId="0" fillId="0" borderId="560" xfId="0" applyBorder="1">
      <alignment horizontal="center" vertical="center"/>
    </xf>
    <xf numFmtId="0" fontId="0" fillId="51" borderId="560" xfId="48" applyFont="1" applyFill="1" applyBorder="1">
      <alignment horizontal="center" vertical="center"/>
    </xf>
    <xf numFmtId="0" fontId="0" fillId="58" borderId="560" xfId="48" applyFont="1" applyFill="1" applyBorder="1">
      <alignment horizontal="center" vertical="center"/>
    </xf>
    <xf numFmtId="0" fontId="0" fillId="51" borderId="560" xfId="0" applyFill="1" applyBorder="1">
      <alignment horizontal="center" vertical="center"/>
    </xf>
    <xf numFmtId="0" fontId="0" fillId="52" borderId="560" xfId="46" applyFont="1" applyFill="1" applyBorder="1">
      <alignment horizontal="center" vertical="center"/>
    </xf>
    <xf numFmtId="0" fontId="52" fillId="56" borderId="560" xfId="46" applyBorder="1">
      <alignment horizontal="center" vertical="center"/>
    </xf>
    <xf numFmtId="0" fontId="52" fillId="56" borderId="561" xfId="46" applyBorder="1">
      <alignment horizontal="center" vertical="center"/>
    </xf>
    <xf numFmtId="49" fontId="0" fillId="53" borderId="561" xfId="0" applyNumberFormat="1" applyFill="1" applyBorder="1">
      <alignment horizontal="center" vertical="center"/>
    </xf>
    <xf numFmtId="49" fontId="0" fillId="52" borderId="561" xfId="0" applyNumberFormat="1" applyFill="1" applyBorder="1">
      <alignment horizontal="center" vertical="center"/>
    </xf>
    <xf numFmtId="0" fontId="0" fillId="51" borderId="561" xfId="50" applyFont="1" applyFill="1" applyBorder="1">
      <alignment horizontal="center" vertical="center"/>
    </xf>
    <xf numFmtId="49" fontId="0" fillId="54" borderId="561" xfId="0" applyNumberFormat="1" applyFill="1" applyBorder="1">
      <alignment horizontal="center" vertical="center"/>
    </xf>
    <xf numFmtId="49" fontId="0" fillId="58" borderId="497" xfId="0" applyNumberFormat="1" applyFill="1" applyBorder="1">
      <alignment horizontal="center" vertical="center"/>
    </xf>
    <xf numFmtId="0" fontId="52" fillId="56" borderId="497" xfId="46" applyBorder="1">
      <alignment horizontal="center" vertical="center"/>
    </xf>
    <xf numFmtId="49" fontId="0" fillId="52" borderId="497" xfId="0" applyNumberFormat="1" applyFill="1" applyBorder="1">
      <alignment horizontal="center" vertical="center"/>
    </xf>
    <xf numFmtId="0" fontId="0" fillId="52" borderId="497" xfId="44" applyFont="1" applyFill="1" applyBorder="1">
      <alignment horizontal="center" vertical="center"/>
    </xf>
    <xf numFmtId="0" fontId="4" fillId="0" borderId="561" xfId="0" applyFont="1" applyBorder="1" applyAlignment="1">
      <alignment horizontal="center"/>
    </xf>
    <xf numFmtId="0" fontId="4" fillId="0" borderId="542" xfId="0" applyFont="1" applyBorder="1" applyAlignment="1">
      <alignment horizontal="left" vertical="center"/>
    </xf>
    <xf numFmtId="0" fontId="0" fillId="0" borderId="546" xfId="0" applyBorder="1" applyAlignment="1">
      <alignment horizontal="left" vertical="center"/>
    </xf>
    <xf numFmtId="0" fontId="4" fillId="0" borderId="547" xfId="0" applyFont="1" applyBorder="1" applyAlignment="1">
      <alignment horizontal="left" vertical="center"/>
    </xf>
    <xf numFmtId="0" fontId="4" fillId="0" borderId="562" xfId="0" applyFont="1" applyBorder="1" applyAlignment="1">
      <alignment horizontal="left"/>
    </xf>
    <xf numFmtId="0" fontId="0" fillId="0" borderId="563" xfId="0" applyBorder="1" applyAlignment="1">
      <alignment horizontal="left" vertical="center"/>
    </xf>
    <xf numFmtId="49" fontId="0" fillId="0" borderId="564" xfId="0" applyNumberFormat="1" applyBorder="1" applyAlignment="1">
      <alignment horizontal="left"/>
    </xf>
    <xf numFmtId="49" fontId="0" fillId="0" borderId="564" xfId="0" applyNumberFormat="1" applyBorder="1" applyAlignment="1">
      <alignment horizontal="left" vertical="center"/>
    </xf>
    <xf numFmtId="0" fontId="3" fillId="0" borderId="561" xfId="0" applyFont="1" applyBorder="1" applyAlignment="1">
      <alignment horizontal="center"/>
    </xf>
    <xf numFmtId="0" fontId="0" fillId="0" borderId="565" xfId="0" applyBorder="1" applyAlignment="1">
      <alignment horizontal="left" vertical="center"/>
    </xf>
    <xf numFmtId="49" fontId="0" fillId="0" borderId="566" xfId="0" applyNumberFormat="1" applyBorder="1" applyAlignment="1">
      <alignment horizontal="left"/>
    </xf>
    <xf numFmtId="0" fontId="4" fillId="0" borderId="487" xfId="0" applyFont="1" applyBorder="1" applyAlignment="1" applyProtection="1">
      <alignment horizontal="center"/>
      <protection locked="0"/>
    </xf>
    <xf numFmtId="0" fontId="0" fillId="0" borderId="487" xfId="0" applyBorder="1" applyAlignment="1">
      <alignment horizontal="left"/>
    </xf>
    <xf numFmtId="0" fontId="4" fillId="0" borderId="561" xfId="0" applyFont="1" applyBorder="1" applyAlignment="1" applyProtection="1">
      <alignment horizontal="center"/>
      <protection locked="0"/>
    </xf>
    <xf numFmtId="0" fontId="4" fillId="0" borderId="561" xfId="0" applyFont="1" applyBorder="1" applyAlignment="1">
      <alignment horizontal="left"/>
    </xf>
    <xf numFmtId="0" fontId="0" fillId="0" borderId="561" xfId="0" applyBorder="1" applyAlignment="1" applyProtection="1">
      <alignment horizontal="center"/>
      <protection locked="0"/>
    </xf>
    <xf numFmtId="0" fontId="0" fillId="0" borderId="561" xfId="0" applyBorder="1" applyAlignment="1">
      <alignment horizontal="left"/>
    </xf>
    <xf numFmtId="0" fontId="7" fillId="54" borderId="561" xfId="50" applyBorder="1">
      <alignment horizontal="center" vertical="center"/>
    </xf>
    <xf numFmtId="0" fontId="4" fillId="0" borderId="561" xfId="0" applyFont="1" applyBorder="1" applyAlignment="1">
      <alignment vertical="center"/>
    </xf>
    <xf numFmtId="0" fontId="3" fillId="0" borderId="561" xfId="0" applyFont="1" applyBorder="1" applyAlignment="1" applyProtection="1">
      <alignment horizontal="center"/>
      <protection locked="0"/>
    </xf>
    <xf numFmtId="0" fontId="0" fillId="78" borderId="561" xfId="43" applyFont="1" applyFill="1" applyBorder="1">
      <alignment horizontal="center" vertical="center"/>
    </xf>
    <xf numFmtId="0" fontId="7" fillId="52" borderId="567" xfId="48" applyBorder="1">
      <alignment horizontal="center" vertical="center"/>
    </xf>
    <xf numFmtId="0" fontId="4" fillId="0" borderId="568" xfId="0" applyFont="1" applyBorder="1">
      <alignment horizontal="center" vertical="center"/>
    </xf>
    <xf numFmtId="0" fontId="0" fillId="51" borderId="569" xfId="0" applyFill="1" applyBorder="1">
      <alignment horizontal="center" vertical="center"/>
    </xf>
    <xf numFmtId="0" fontId="0" fillId="51" borderId="569" xfId="48" applyFont="1" applyFill="1" applyBorder="1">
      <alignment horizontal="center" vertical="center"/>
    </xf>
    <xf numFmtId="0" fontId="0" fillId="51" borderId="561" xfId="33" applyFont="1" applyFill="1" applyBorder="1">
      <alignment horizontal="center" vertical="center"/>
    </xf>
    <xf numFmtId="49" fontId="0" fillId="51" borderId="569" xfId="0" applyNumberFormat="1" applyFill="1" applyBorder="1">
      <alignment horizontal="center" vertical="center"/>
    </xf>
    <xf numFmtId="0" fontId="7" fillId="0" borderId="561" xfId="0" applyFont="1" applyBorder="1" applyAlignment="1">
      <alignment vertical="center"/>
    </xf>
    <xf numFmtId="0" fontId="7" fillId="51" borderId="561" xfId="0" applyFont="1" applyFill="1" applyBorder="1" applyAlignment="1">
      <alignment vertical="center"/>
    </xf>
    <xf numFmtId="0" fontId="4" fillId="0" borderId="570" xfId="0" applyFont="1" applyBorder="1" applyAlignment="1">
      <alignment horizontal="center"/>
    </xf>
    <xf numFmtId="0" fontId="4" fillId="0" borderId="571" xfId="0" applyFont="1" applyBorder="1" applyAlignment="1">
      <alignment horizontal="center"/>
    </xf>
    <xf numFmtId="0" fontId="3" fillId="0" borderId="562" xfId="0" applyFont="1" applyBorder="1" applyAlignment="1">
      <alignment horizontal="left"/>
    </xf>
    <xf numFmtId="0" fontId="4" fillId="0" borderId="572" xfId="0" applyFont="1" applyBorder="1" applyAlignment="1">
      <alignment horizontal="center"/>
    </xf>
    <xf numFmtId="0" fontId="3" fillId="0" borderId="573" xfId="0" applyFont="1" applyBorder="1" applyAlignment="1">
      <alignment horizontal="center"/>
    </xf>
    <xf numFmtId="0" fontId="0" fillId="0" borderId="574" xfId="0" applyBorder="1" applyAlignment="1" applyProtection="1">
      <alignment horizontal="center"/>
      <protection locked="0"/>
    </xf>
    <xf numFmtId="0" fontId="0" fillId="0" borderId="564" xfId="0" applyBorder="1" applyAlignment="1" applyProtection="1">
      <alignment horizontal="center"/>
      <protection locked="0"/>
    </xf>
    <xf numFmtId="0" fontId="0" fillId="43" borderId="575" xfId="0" applyFill="1" applyBorder="1" applyAlignment="1">
      <alignment horizontal="center"/>
    </xf>
    <xf numFmtId="0" fontId="47" fillId="0" borderId="575" xfId="0" applyFont="1" applyBorder="1" applyAlignment="1">
      <alignment horizontal="left" vertical="center"/>
    </xf>
    <xf numFmtId="0" fontId="0" fillId="0" borderId="576" xfId="0" applyBorder="1" applyAlignment="1">
      <alignment horizontal="left" vertical="center"/>
    </xf>
    <xf numFmtId="0" fontId="0" fillId="0" borderId="577" xfId="0" applyBorder="1" applyAlignment="1" applyProtection="1">
      <alignment horizontal="center"/>
      <protection locked="0"/>
    </xf>
    <xf numFmtId="0" fontId="0" fillId="0" borderId="578" xfId="0" applyBorder="1" applyAlignment="1">
      <alignment horizontal="left" vertical="center"/>
    </xf>
    <xf numFmtId="49" fontId="0" fillId="0" borderId="564" xfId="0" applyNumberFormat="1" applyBorder="1" applyAlignment="1"/>
    <xf numFmtId="0" fontId="4" fillId="0" borderId="577" xfId="0" applyFont="1" applyBorder="1" applyAlignment="1" applyProtection="1">
      <alignment horizontal="center"/>
      <protection locked="0"/>
    </xf>
    <xf numFmtId="0" fontId="6" fillId="0" borderId="577" xfId="0" applyFont="1" applyBorder="1" applyAlignment="1">
      <alignment horizontal="center"/>
    </xf>
    <xf numFmtId="0" fontId="0" fillId="0" borderId="579" xfId="0" applyBorder="1" applyAlignment="1">
      <alignment horizontal="left" vertical="center"/>
    </xf>
    <xf numFmtId="0" fontId="0" fillId="0" borderId="574" xfId="0" applyBorder="1" applyAlignment="1" applyProtection="1">
      <alignment horizontal="left"/>
      <protection locked="0"/>
    </xf>
    <xf numFmtId="0" fontId="7" fillId="52" borderId="580" xfId="48" applyBorder="1">
      <alignment horizontal="center" vertical="center"/>
    </xf>
    <xf numFmtId="0" fontId="0" fillId="51" borderId="580" xfId="0" applyFill="1" applyBorder="1">
      <alignment horizontal="center" vertical="center"/>
    </xf>
    <xf numFmtId="0" fontId="7" fillId="54" borderId="581" xfId="50" applyBorder="1">
      <alignment horizontal="center" vertical="center"/>
    </xf>
    <xf numFmtId="0" fontId="0" fillId="0" borderId="582" xfId="0" applyBorder="1">
      <alignment horizontal="center" vertical="center"/>
    </xf>
    <xf numFmtId="0" fontId="0" fillId="0" borderId="582" xfId="0" applyBorder="1" applyAlignment="1">
      <alignment vertical="center"/>
    </xf>
    <xf numFmtId="49" fontId="0" fillId="51" borderId="583" xfId="0" applyNumberFormat="1" applyFill="1" applyBorder="1">
      <alignment horizontal="center" vertical="center"/>
    </xf>
    <xf numFmtId="49" fontId="0" fillId="51" borderId="577" xfId="0" applyNumberFormat="1" applyFill="1" applyBorder="1">
      <alignment horizontal="center" vertical="center"/>
    </xf>
    <xf numFmtId="0" fontId="0" fillId="51" borderId="577" xfId="0" applyFill="1" applyBorder="1">
      <alignment horizontal="center" vertical="center"/>
    </xf>
    <xf numFmtId="49" fontId="0" fillId="51" borderId="584" xfId="0" applyNumberFormat="1" applyFill="1" applyBorder="1">
      <alignment horizontal="center" vertical="center"/>
    </xf>
    <xf numFmtId="0" fontId="6" fillId="44" borderId="564" xfId="0" applyFont="1" applyFill="1" applyBorder="1" applyAlignment="1">
      <alignment horizontal="left"/>
    </xf>
    <xf numFmtId="0" fontId="6" fillId="25" borderId="564" xfId="0" applyFont="1" applyFill="1" applyBorder="1">
      <alignment horizontal="center" vertical="center"/>
    </xf>
    <xf numFmtId="0" fontId="7" fillId="25" borderId="562" xfId="0" applyFont="1" applyFill="1" applyBorder="1">
      <alignment horizontal="center" vertical="center"/>
    </xf>
    <xf numFmtId="0" fontId="6" fillId="29" borderId="564" xfId="0" applyFont="1" applyFill="1" applyBorder="1" applyAlignment="1">
      <alignment horizontal="left"/>
    </xf>
    <xf numFmtId="0" fontId="6" fillId="29" borderId="562" xfId="0" applyFont="1" applyFill="1" applyBorder="1" applyAlignment="1">
      <alignment horizontal="left"/>
    </xf>
    <xf numFmtId="0" fontId="7" fillId="29" borderId="562" xfId="0" applyFont="1" applyFill="1" applyBorder="1">
      <alignment horizontal="center" vertical="center"/>
    </xf>
    <xf numFmtId="0" fontId="7" fillId="29" borderId="563" xfId="0" applyFont="1" applyFill="1" applyBorder="1">
      <alignment horizontal="center" vertical="center"/>
    </xf>
    <xf numFmtId="0" fontId="6" fillId="37" borderId="564" xfId="0" applyFont="1" applyFill="1" applyBorder="1" applyAlignment="1">
      <alignment horizontal="left"/>
    </xf>
    <xf numFmtId="0" fontId="6" fillId="37" borderId="562" xfId="0" applyFont="1" applyFill="1" applyBorder="1" applyAlignment="1">
      <alignment horizontal="left"/>
    </xf>
    <xf numFmtId="0" fontId="0" fillId="37" borderId="562" xfId="0" applyFill="1" applyBorder="1">
      <alignment horizontal="center" vertical="center"/>
    </xf>
    <xf numFmtId="0" fontId="6" fillId="45" borderId="564" xfId="0" applyFont="1" applyFill="1" applyBorder="1" applyAlignment="1">
      <alignment horizontal="left"/>
    </xf>
    <xf numFmtId="0" fontId="0" fillId="45" borderId="562" xfId="0" applyFill="1" applyBorder="1">
      <alignment horizontal="center" vertical="center"/>
    </xf>
    <xf numFmtId="0" fontId="7" fillId="45" borderId="562" xfId="0" applyFont="1" applyFill="1" applyBorder="1">
      <alignment horizontal="center" vertical="center"/>
    </xf>
    <xf numFmtId="0" fontId="7" fillId="45" borderId="563" xfId="0" applyFont="1" applyFill="1" applyBorder="1">
      <alignment horizontal="center" vertical="center"/>
    </xf>
    <xf numFmtId="0" fontId="6" fillId="24" borderId="564" xfId="0" applyFont="1" applyFill="1" applyBorder="1">
      <alignment horizontal="center" vertical="center"/>
    </xf>
    <xf numFmtId="0" fontId="0" fillId="24" borderId="562" xfId="0" applyFill="1" applyBorder="1">
      <alignment horizontal="center" vertical="center"/>
    </xf>
    <xf numFmtId="0" fontId="7" fillId="24" borderId="562" xfId="0" applyFont="1" applyFill="1" applyBorder="1">
      <alignment horizontal="center" vertical="center"/>
    </xf>
    <xf numFmtId="0" fontId="6" fillId="40" borderId="564" xfId="0" applyFont="1" applyFill="1" applyBorder="1" applyAlignment="1">
      <alignment horizontal="left"/>
    </xf>
    <xf numFmtId="0" fontId="7" fillId="40" borderId="562" xfId="0" applyFont="1" applyFill="1" applyBorder="1">
      <alignment horizontal="center" vertical="center"/>
    </xf>
    <xf numFmtId="0" fontId="0" fillId="40" borderId="563" xfId="0" applyFill="1" applyBorder="1">
      <alignment horizontal="center" vertical="center"/>
    </xf>
    <xf numFmtId="0" fontId="0" fillId="46" borderId="585" xfId="0" applyFill="1" applyBorder="1">
      <alignment horizontal="center" vertical="center"/>
    </xf>
    <xf numFmtId="0" fontId="7" fillId="46" borderId="585" xfId="0" applyFont="1" applyFill="1" applyBorder="1">
      <alignment horizontal="center" vertical="center"/>
    </xf>
    <xf numFmtId="0" fontId="7" fillId="46" borderId="586" xfId="0" applyFont="1" applyFill="1" applyBorder="1">
      <alignment horizontal="center" vertical="center"/>
    </xf>
    <xf numFmtId="0" fontId="6" fillId="0" borderId="579" xfId="0" applyFont="1" applyBorder="1" applyAlignment="1">
      <alignment horizontal="left" vertical="center"/>
    </xf>
    <xf numFmtId="0" fontId="7" fillId="0" borderId="585" xfId="0" applyFont="1" applyBorder="1">
      <alignment horizontal="center" vertical="center"/>
    </xf>
    <xf numFmtId="0" fontId="7" fillId="0" borderId="586" xfId="0" applyFont="1" applyBorder="1">
      <alignment horizontal="center" vertical="center"/>
    </xf>
    <xf numFmtId="0" fontId="6" fillId="39" borderId="574" xfId="0" applyFont="1" applyFill="1" applyBorder="1" applyAlignment="1">
      <alignment horizontal="left"/>
    </xf>
    <xf numFmtId="0" fontId="6" fillId="47" borderId="564" xfId="0" applyFont="1" applyFill="1" applyBorder="1">
      <alignment horizontal="center" vertical="center"/>
    </xf>
    <xf numFmtId="0" fontId="7" fillId="47" borderId="562" xfId="0" applyFont="1" applyFill="1" applyBorder="1">
      <alignment horizontal="center" vertical="center"/>
    </xf>
    <xf numFmtId="0" fontId="7" fillId="0" borderId="564" xfId="0" applyFont="1" applyBorder="1" applyAlignment="1">
      <alignment horizontal="left"/>
    </xf>
    <xf numFmtId="0" fontId="0" fillId="0" borderId="562" xfId="0" applyBorder="1">
      <alignment horizontal="center" vertical="center"/>
    </xf>
    <xf numFmtId="0" fontId="7" fillId="0" borderId="562" xfId="0" applyFont="1" applyBorder="1" applyAlignment="1">
      <alignment horizontal="left"/>
    </xf>
    <xf numFmtId="0" fontId="7" fillId="0" borderId="562" xfId="0" applyFont="1" applyBorder="1">
      <alignment horizontal="center" vertical="center"/>
    </xf>
    <xf numFmtId="0" fontId="7" fillId="0" borderId="563" xfId="0" applyFont="1" applyBorder="1">
      <alignment horizontal="center" vertical="center"/>
    </xf>
    <xf numFmtId="0" fontId="7" fillId="48" borderId="564" xfId="0" applyFont="1" applyFill="1" applyBorder="1" applyAlignment="1">
      <alignment horizontal="left" vertical="center"/>
    </xf>
    <xf numFmtId="0" fontId="7" fillId="48" borderId="562" xfId="0" applyFont="1" applyFill="1" applyBorder="1">
      <alignment horizontal="center" vertical="center"/>
    </xf>
    <xf numFmtId="0" fontId="7" fillId="48" borderId="563" xfId="0" applyFont="1" applyFill="1" applyBorder="1">
      <alignment horizontal="center" vertical="center"/>
    </xf>
    <xf numFmtId="0" fontId="4" fillId="0" borderId="564" xfId="0" applyFont="1" applyBorder="1" applyAlignment="1">
      <alignment horizontal="left" vertical="center"/>
    </xf>
    <xf numFmtId="0" fontId="0" fillId="0" borderId="563" xfId="0" applyBorder="1">
      <alignment horizontal="center" vertical="center"/>
    </xf>
    <xf numFmtId="0" fontId="0" fillId="0" borderId="587" xfId="0" applyBorder="1">
      <alignment horizontal="center" vertical="center"/>
    </xf>
    <xf numFmtId="0" fontId="4" fillId="0" borderId="562" xfId="0" applyFont="1" applyBorder="1" applyAlignment="1">
      <alignment horizontal="left" vertical="center"/>
    </xf>
    <xf numFmtId="0" fontId="0" fillId="0" borderId="588" xfId="0" applyBorder="1">
      <alignment horizontal="center" vertical="center"/>
    </xf>
    <xf numFmtId="0" fontId="14" fillId="0" borderId="579" xfId="0" applyFont="1" applyBorder="1">
      <alignment horizontal="center" vertical="center"/>
    </xf>
    <xf numFmtId="0" fontId="0" fillId="0" borderId="585" xfId="0" applyBorder="1">
      <alignment horizontal="center" vertical="center"/>
    </xf>
    <xf numFmtId="0" fontId="0" fillId="0" borderId="586" xfId="0" applyBorder="1">
      <alignment horizontal="center" vertical="center"/>
    </xf>
    <xf numFmtId="0" fontId="4" fillId="0" borderId="564" xfId="0" applyFont="1" applyBorder="1">
      <alignment horizontal="center" vertical="center"/>
    </xf>
    <xf numFmtId="0" fontId="0" fillId="0" borderId="575" xfId="0" applyBorder="1" applyAlignment="1" applyProtection="1">
      <alignment horizontal="center"/>
      <protection locked="0"/>
    </xf>
    <xf numFmtId="0" fontId="6" fillId="51" borderId="575" xfId="0" applyFont="1" applyFill="1" applyBorder="1">
      <alignment horizontal="center" vertical="center"/>
    </xf>
    <xf numFmtId="0" fontId="0" fillId="71" borderId="575" xfId="0" applyFill="1" applyBorder="1">
      <alignment horizontal="center" vertical="center"/>
    </xf>
    <xf numFmtId="0" fontId="0" fillId="51" borderId="575" xfId="0" applyFill="1" applyBorder="1">
      <alignment horizontal="center" vertical="center"/>
    </xf>
    <xf numFmtId="0" fontId="0" fillId="51" borderId="589" xfId="0" applyFill="1" applyBorder="1">
      <alignment horizontal="center" vertical="center"/>
    </xf>
    <xf numFmtId="0" fontId="6" fillId="0" borderId="561" xfId="0" applyFont="1" applyBorder="1">
      <alignment horizontal="center" vertical="center"/>
    </xf>
    <xf numFmtId="0" fontId="0" fillId="51" borderId="545" xfId="0" applyFill="1" applyBorder="1" applyProtection="1">
      <alignment horizontal="center" vertical="center"/>
      <protection locked="0"/>
    </xf>
    <xf numFmtId="0" fontId="0" fillId="0" borderId="561" xfId="0" applyBorder="1" applyAlignment="1">
      <alignment horizontal="left" vertical="center"/>
    </xf>
    <xf numFmtId="0" fontId="0" fillId="51" borderId="561" xfId="43" applyFont="1" applyFill="1" applyBorder="1">
      <alignment horizontal="center" vertical="center"/>
    </xf>
    <xf numFmtId="0" fontId="0" fillId="51" borderId="561" xfId="0" applyFill="1" applyBorder="1">
      <alignment horizontal="center" vertical="center"/>
    </xf>
    <xf numFmtId="0" fontId="0" fillId="51" borderId="561" xfId="32" applyFont="1" applyFill="1" applyBorder="1" applyAlignment="1">
      <alignment horizontal="center" vertical="center"/>
    </xf>
    <xf numFmtId="0" fontId="0" fillId="52" borderId="561" xfId="43" applyFont="1" applyFill="1" applyBorder="1">
      <alignment horizontal="center" vertical="center"/>
    </xf>
    <xf numFmtId="0" fontId="0" fillId="51" borderId="561" xfId="44" applyFont="1" applyFill="1" applyBorder="1">
      <alignment horizontal="center" vertical="center"/>
    </xf>
    <xf numFmtId="0" fontId="0" fillId="51" borderId="567" xfId="0" applyFill="1" applyBorder="1">
      <alignment horizontal="center" vertical="center"/>
    </xf>
    <xf numFmtId="0" fontId="4" fillId="24" borderId="574" xfId="0" applyFont="1" applyFill="1" applyBorder="1" applyAlignment="1">
      <alignment horizontal="left" vertical="center"/>
    </xf>
    <xf numFmtId="0" fontId="0" fillId="24" borderId="574" xfId="0" applyFill="1" applyBorder="1">
      <alignment horizontal="center" vertical="center"/>
    </xf>
    <xf numFmtId="0" fontId="0" fillId="24" borderId="581" xfId="0" applyFill="1" applyBorder="1">
      <alignment horizontal="center" vertical="center"/>
    </xf>
    <xf numFmtId="0" fontId="0" fillId="43" borderId="574" xfId="0" applyFill="1" applyBorder="1" applyAlignment="1" applyProtection="1">
      <alignment horizontal="center"/>
      <protection locked="0"/>
    </xf>
    <xf numFmtId="0" fontId="0" fillId="51" borderId="574" xfId="43" applyFont="1" applyFill="1" applyBorder="1">
      <alignment horizontal="center" vertical="center"/>
    </xf>
    <xf numFmtId="1" fontId="0" fillId="51" borderId="574" xfId="0" applyNumberFormat="1" applyFill="1" applyBorder="1">
      <alignment horizontal="center" vertical="center"/>
    </xf>
    <xf numFmtId="1" fontId="0" fillId="51" borderId="574" xfId="32" applyNumberFormat="1" applyFont="1" applyFill="1" applyBorder="1" applyAlignment="1">
      <alignment horizontal="center" vertical="center"/>
    </xf>
    <xf numFmtId="0" fontId="0" fillId="51" borderId="574" xfId="44" applyFont="1" applyFill="1" applyBorder="1">
      <alignment horizontal="center" vertical="center"/>
    </xf>
    <xf numFmtId="0" fontId="0" fillId="51" borderId="574" xfId="46" applyFont="1" applyFill="1" applyBorder="1">
      <alignment horizontal="center" vertical="center"/>
    </xf>
    <xf numFmtId="1" fontId="0" fillId="57" borderId="574" xfId="0" applyNumberFormat="1" applyFill="1" applyBorder="1">
      <alignment horizontal="center" vertical="center"/>
    </xf>
    <xf numFmtId="1" fontId="0" fillId="51" borderId="581" xfId="0" applyNumberFormat="1" applyFill="1" applyBorder="1">
      <alignment horizontal="center" vertical="center"/>
    </xf>
    <xf numFmtId="0" fontId="0" fillId="0" borderId="574" xfId="0" applyBorder="1" applyAlignment="1">
      <alignment horizontal="left" vertical="center"/>
    </xf>
    <xf numFmtId="0" fontId="7" fillId="55" borderId="574" xfId="45" applyBorder="1">
      <alignment horizontal="center" vertical="center"/>
    </xf>
    <xf numFmtId="0" fontId="7" fillId="69" borderId="590" xfId="44" applyBorder="1">
      <alignment horizontal="center" vertical="center"/>
    </xf>
    <xf numFmtId="0" fontId="6" fillId="0" borderId="574" xfId="0" applyFont="1" applyBorder="1" applyAlignment="1">
      <alignment horizontal="left" vertical="center"/>
    </xf>
    <xf numFmtId="0" fontId="0" fillId="53" borderId="574" xfId="44" applyFont="1" applyFill="1" applyBorder="1">
      <alignment horizontal="center" vertical="center"/>
    </xf>
    <xf numFmtId="1" fontId="0" fillId="53" borderId="574" xfId="0" applyNumberFormat="1" applyFill="1" applyBorder="1">
      <alignment horizontal="center" vertical="center"/>
    </xf>
    <xf numFmtId="0" fontId="0" fillId="53" borderId="574" xfId="43" applyFont="1" applyBorder="1">
      <alignment horizontal="center" vertical="center"/>
    </xf>
    <xf numFmtId="1" fontId="0" fillId="53" borderId="574" xfId="32" applyNumberFormat="1" applyFont="1" applyFill="1" applyBorder="1" applyAlignment="1">
      <alignment horizontal="center" vertical="center"/>
    </xf>
    <xf numFmtId="1" fontId="0" fillId="53" borderId="581" xfId="0" applyNumberFormat="1" applyFill="1" applyBorder="1">
      <alignment horizontal="center" vertical="center"/>
    </xf>
    <xf numFmtId="0" fontId="0" fillId="57" borderId="574" xfId="49" applyFont="1" applyFill="1" applyBorder="1">
      <alignment horizontal="center" vertical="center"/>
    </xf>
    <xf numFmtId="0" fontId="0" fillId="51" borderId="574" xfId="49" applyFont="1" applyFill="1" applyBorder="1">
      <alignment horizontal="center" vertical="center"/>
    </xf>
    <xf numFmtId="0" fontId="0" fillId="51" borderId="574" xfId="48" applyFont="1" applyFill="1" applyBorder="1">
      <alignment horizontal="center" vertical="center"/>
    </xf>
    <xf numFmtId="0" fontId="0" fillId="51" borderId="574" xfId="0" applyFill="1" applyBorder="1">
      <alignment horizontal="center" vertical="center"/>
    </xf>
    <xf numFmtId="1" fontId="0" fillId="54" borderId="574" xfId="0" applyNumberFormat="1" applyFill="1" applyBorder="1">
      <alignment horizontal="center" vertical="center"/>
    </xf>
    <xf numFmtId="1" fontId="0" fillId="69" borderId="574" xfId="44" applyNumberFormat="1" applyFont="1" applyBorder="1">
      <alignment horizontal="center" vertical="center"/>
    </xf>
    <xf numFmtId="0" fontId="4" fillId="24" borderId="575" xfId="0" applyFont="1" applyFill="1" applyBorder="1" applyAlignment="1" applyProtection="1">
      <alignment horizontal="left"/>
      <protection locked="0"/>
    </xf>
    <xf numFmtId="0" fontId="4" fillId="24" borderId="575" xfId="0" applyFont="1" applyFill="1" applyBorder="1">
      <alignment horizontal="center" vertical="center"/>
    </xf>
    <xf numFmtId="1" fontId="0" fillId="24" borderId="575" xfId="0" applyNumberFormat="1" applyFill="1" applyBorder="1">
      <alignment horizontal="center" vertical="center"/>
    </xf>
    <xf numFmtId="1" fontId="0" fillId="89" borderId="575" xfId="0" applyNumberFormat="1" applyFill="1" applyBorder="1">
      <alignment horizontal="center" vertical="center"/>
    </xf>
    <xf numFmtId="0" fontId="0" fillId="24" borderId="589" xfId="0" applyFill="1" applyBorder="1">
      <alignment horizontal="center" vertical="center"/>
    </xf>
    <xf numFmtId="0" fontId="0" fillId="43" borderId="591" xfId="0" applyFill="1" applyBorder="1" applyAlignment="1" applyProtection="1">
      <alignment horizontal="center"/>
      <protection locked="0"/>
    </xf>
    <xf numFmtId="0" fontId="0" fillId="0" borderId="591" xfId="0" applyBorder="1" applyAlignment="1">
      <alignment horizontal="left" vertical="center"/>
    </xf>
    <xf numFmtId="0" fontId="0" fillId="51" borderId="591" xfId="0" applyFill="1" applyBorder="1">
      <alignment horizontal="center" vertical="center"/>
    </xf>
    <xf numFmtId="0" fontId="0" fillId="54" borderId="591" xfId="0" applyFill="1" applyBorder="1">
      <alignment horizontal="center" vertical="center"/>
    </xf>
    <xf numFmtId="0" fontId="0" fillId="51" borderId="591" xfId="32" applyFont="1" applyFill="1" applyBorder="1" applyAlignment="1">
      <alignment horizontal="center" vertical="center"/>
    </xf>
    <xf numFmtId="0" fontId="0" fillId="55" borderId="591" xfId="0" applyFill="1" applyBorder="1">
      <alignment horizontal="center" vertical="center"/>
    </xf>
    <xf numFmtId="0" fontId="0" fillId="57" borderId="591" xfId="0" applyFill="1" applyBorder="1">
      <alignment horizontal="center" vertical="center"/>
    </xf>
    <xf numFmtId="0" fontId="0" fillId="51" borderId="592" xfId="0" applyFill="1" applyBorder="1">
      <alignment horizontal="center" vertical="center"/>
    </xf>
    <xf numFmtId="0" fontId="0" fillId="0" borderId="561" xfId="0" applyBorder="1">
      <alignment horizontal="center" vertical="center"/>
    </xf>
    <xf numFmtId="173" fontId="0" fillId="0" borderId="561" xfId="0" applyNumberFormat="1" applyBorder="1">
      <alignment horizontal="center" vertical="center"/>
    </xf>
    <xf numFmtId="0" fontId="0" fillId="43" borderId="561" xfId="0" applyFill="1" applyBorder="1" applyAlignment="1" applyProtection="1">
      <alignment horizontal="center"/>
      <protection locked="0"/>
    </xf>
    <xf numFmtId="0" fontId="7" fillId="0" borderId="561" xfId="0" applyFont="1" applyBorder="1" applyAlignment="1">
      <alignment horizontal="left" vertical="center"/>
    </xf>
    <xf numFmtId="0" fontId="7" fillId="69" borderId="561" xfId="44" applyBorder="1">
      <alignment horizontal="center" vertical="center"/>
    </xf>
    <xf numFmtId="0" fontId="0" fillId="55" borderId="561" xfId="32" applyFont="1" applyFill="1" applyBorder="1" applyAlignment="1">
      <alignment horizontal="center" vertical="center"/>
    </xf>
    <xf numFmtId="0" fontId="0" fillId="51" borderId="561" xfId="48" applyFont="1" applyFill="1" applyBorder="1">
      <alignment horizontal="center" vertical="center"/>
    </xf>
    <xf numFmtId="0" fontId="0" fillId="51" borderId="575" xfId="47" applyFont="1" applyFill="1" applyBorder="1">
      <alignment horizontal="center" vertical="center"/>
    </xf>
    <xf numFmtId="0" fontId="0" fillId="58" borderId="561" xfId="0" applyFill="1" applyBorder="1">
      <alignment horizontal="center" vertical="center"/>
    </xf>
    <xf numFmtId="1" fontId="0" fillId="51" borderId="561" xfId="0" applyNumberFormat="1" applyFill="1" applyBorder="1">
      <alignment horizontal="center" vertical="center"/>
    </xf>
    <xf numFmtId="0" fontId="7" fillId="53" borderId="574" xfId="43" applyBorder="1">
      <alignment horizontal="center" vertical="center"/>
    </xf>
    <xf numFmtId="1" fontId="0" fillId="51" borderId="561" xfId="32" applyNumberFormat="1" applyFont="1" applyFill="1" applyBorder="1" applyAlignment="1">
      <alignment horizontal="center" vertical="center"/>
    </xf>
    <xf numFmtId="0" fontId="0" fillId="51" borderId="561" xfId="46" applyFont="1" applyFill="1" applyBorder="1">
      <alignment horizontal="center" vertical="center"/>
    </xf>
    <xf numFmtId="1" fontId="0" fillId="51" borderId="567" xfId="0" applyNumberFormat="1" applyFill="1" applyBorder="1">
      <alignment horizontal="center" vertical="center"/>
    </xf>
    <xf numFmtId="0" fontId="0" fillId="43" borderId="497" xfId="0" applyFill="1" applyBorder="1" applyAlignment="1" applyProtection="1">
      <alignment horizontal="center"/>
      <protection locked="0"/>
    </xf>
    <xf numFmtId="0" fontId="0" fillId="51" borderId="497" xfId="48" applyFont="1" applyFill="1" applyBorder="1">
      <alignment horizontal="center" vertical="center"/>
    </xf>
    <xf numFmtId="0" fontId="0" fillId="51" borderId="497" xfId="44" applyFont="1" applyFill="1" applyBorder="1">
      <alignment horizontal="center" vertical="center"/>
    </xf>
    <xf numFmtId="0" fontId="4" fillId="0" borderId="542" xfId="0" applyFont="1" applyBorder="1" applyAlignment="1">
      <alignment vertical="center"/>
    </xf>
    <xf numFmtId="0" fontId="4" fillId="0" borderId="547" xfId="0" applyFont="1" applyBorder="1" applyAlignment="1">
      <alignment vertical="center"/>
    </xf>
    <xf numFmtId="0" fontId="0" fillId="0" borderId="547" xfId="0" applyBorder="1">
      <alignment horizontal="center" vertical="center"/>
    </xf>
    <xf numFmtId="0" fontId="0" fillId="0" borderId="548" xfId="0" applyBorder="1">
      <alignment horizontal="center" vertical="center"/>
    </xf>
    <xf numFmtId="0" fontId="0" fillId="24" borderId="570" xfId="0" applyFill="1" applyBorder="1" applyAlignment="1" applyProtection="1">
      <alignment horizontal="center"/>
      <protection locked="0"/>
    </xf>
    <xf numFmtId="0" fontId="0" fillId="0" borderId="545" xfId="0" applyBorder="1" applyAlignment="1">
      <alignment horizontal="left" vertical="center"/>
    </xf>
    <xf numFmtId="49" fontId="0" fillId="51" borderId="545" xfId="0" applyNumberFormat="1" applyFill="1" applyBorder="1">
      <alignment horizontal="center" vertical="center"/>
    </xf>
    <xf numFmtId="0" fontId="0" fillId="51" borderId="545" xfId="0" applyFill="1" applyBorder="1">
      <alignment horizontal="center" vertical="center"/>
    </xf>
    <xf numFmtId="0" fontId="0" fillId="51" borderId="545" xfId="44" applyFont="1" applyFill="1" applyBorder="1">
      <alignment horizontal="center" vertical="center"/>
    </xf>
    <xf numFmtId="0" fontId="7" fillId="55" borderId="545" xfId="45" applyBorder="1">
      <alignment horizontal="center" vertical="center"/>
    </xf>
    <xf numFmtId="0" fontId="0" fillId="51" borderId="545" xfId="48" applyFont="1" applyFill="1" applyBorder="1">
      <alignment horizontal="center" vertical="center"/>
    </xf>
    <xf numFmtId="0" fontId="7" fillId="52" borderId="545" xfId="48" applyBorder="1">
      <alignment horizontal="center" vertical="center"/>
    </xf>
    <xf numFmtId="49" fontId="0" fillId="51" borderId="593" xfId="0" applyNumberFormat="1" applyFill="1" applyBorder="1">
      <alignment horizontal="center" vertical="center"/>
    </xf>
    <xf numFmtId="0" fontId="0" fillId="51" borderId="510" xfId="45" applyFont="1" applyFill="1" applyBorder="1">
      <alignment horizontal="center" vertical="center"/>
    </xf>
    <xf numFmtId="49" fontId="0" fillId="69" borderId="510" xfId="0" applyNumberFormat="1" applyFill="1" applyBorder="1">
      <alignment horizontal="center" vertical="center"/>
    </xf>
    <xf numFmtId="0" fontId="0" fillId="51" borderId="454" xfId="0" applyFill="1" applyBorder="1" applyAlignment="1">
      <alignment horizontal="left" vertical="center"/>
    </xf>
    <xf numFmtId="0" fontId="7" fillId="0" borderId="511" xfId="53" applyBorder="1">
      <alignment horizontal="center" vertical="center"/>
    </xf>
    <xf numFmtId="0" fontId="0" fillId="51" borderId="545" xfId="0" applyFill="1" applyBorder="1" applyAlignment="1">
      <alignment horizontal="left" vertical="center" wrapText="1"/>
    </xf>
    <xf numFmtId="0" fontId="0" fillId="53" borderId="545" xfId="0" applyFill="1" applyBorder="1">
      <alignment horizontal="center" vertical="center"/>
    </xf>
    <xf numFmtId="0" fontId="0" fillId="53" borderId="545" xfId="44" applyFont="1" applyFill="1" applyBorder="1">
      <alignment horizontal="center" vertical="center"/>
    </xf>
    <xf numFmtId="49" fontId="0" fillId="53" borderId="545" xfId="0" applyNumberFormat="1" applyFill="1" applyBorder="1">
      <alignment horizontal="center" vertical="center"/>
    </xf>
    <xf numFmtId="49" fontId="0" fillId="0" borderId="545" xfId="0" applyNumberFormat="1" applyBorder="1">
      <alignment horizontal="center" vertical="center"/>
    </xf>
    <xf numFmtId="49" fontId="0" fillId="0" borderId="593" xfId="0" applyNumberFormat="1" applyBorder="1">
      <alignment horizontal="center" vertical="center"/>
    </xf>
    <xf numFmtId="49" fontId="0" fillId="88" borderId="511" xfId="0" applyNumberFormat="1" applyFill="1" applyBorder="1">
      <alignment horizontal="center" vertical="center"/>
    </xf>
    <xf numFmtId="0" fontId="0" fillId="88" borderId="511" xfId="0" applyFill="1" applyBorder="1">
      <alignment horizontal="center" vertical="center"/>
    </xf>
    <xf numFmtId="0" fontId="0" fillId="88" borderId="511" xfId="44" applyFont="1" applyFill="1" applyBorder="1">
      <alignment horizontal="center" vertical="center"/>
    </xf>
    <xf numFmtId="0" fontId="7" fillId="88" borderId="511" xfId="48" applyFill="1" applyBorder="1">
      <alignment horizontal="center" vertical="center"/>
    </xf>
    <xf numFmtId="49" fontId="0" fillId="88" borderId="103" xfId="0" applyNumberFormat="1" applyFill="1" applyBorder="1">
      <alignment horizontal="center" vertical="center"/>
    </xf>
    <xf numFmtId="0" fontId="7" fillId="69" borderId="545" xfId="44" applyBorder="1">
      <alignment horizontal="center" vertical="center"/>
    </xf>
    <xf numFmtId="1" fontId="0" fillId="51" borderId="545" xfId="32" applyNumberFormat="1" applyFont="1" applyFill="1" applyBorder="1" applyAlignment="1">
      <alignment horizontal="center" vertical="center"/>
    </xf>
    <xf numFmtId="49" fontId="0" fillId="72" borderId="545" xfId="0" applyNumberFormat="1" applyFill="1" applyBorder="1">
      <alignment horizontal="center" vertical="center"/>
    </xf>
    <xf numFmtId="0" fontId="0" fillId="72" borderId="545" xfId="44" applyFont="1" applyFill="1" applyBorder="1">
      <alignment horizontal="center" vertical="center"/>
    </xf>
    <xf numFmtId="0" fontId="0" fillId="51" borderId="545" xfId="46" applyFont="1" applyFill="1" applyBorder="1">
      <alignment horizontal="center" vertical="center"/>
    </xf>
    <xf numFmtId="0" fontId="0" fillId="51" borderId="593" xfId="0" applyFill="1" applyBorder="1">
      <alignment horizontal="center" vertical="center"/>
    </xf>
    <xf numFmtId="0" fontId="0" fillId="0" borderId="579" xfId="0" applyBorder="1" applyAlignment="1">
      <alignment horizontal="left"/>
    </xf>
    <xf numFmtId="0" fontId="0" fillId="0" borderId="585" xfId="0" applyBorder="1" applyAlignment="1">
      <alignment horizontal="left"/>
    </xf>
    <xf numFmtId="0" fontId="7" fillId="0" borderId="586" xfId="0" applyFont="1" applyBorder="1" applyAlignment="1">
      <alignment horizontal="left"/>
    </xf>
    <xf numFmtId="0" fontId="7" fillId="0" borderId="585" xfId="0" applyFont="1" applyBorder="1" applyAlignment="1">
      <alignment horizontal="left"/>
    </xf>
    <xf numFmtId="0" fontId="0" fillId="0" borderId="594" xfId="0" applyBorder="1" applyAlignment="1">
      <alignment vertical="center"/>
    </xf>
    <xf numFmtId="0" fontId="0" fillId="51" borderId="545" xfId="0" applyFill="1" applyBorder="1" applyAlignment="1" applyProtection="1">
      <alignment horizontal="left" vertical="center"/>
      <protection locked="0"/>
    </xf>
    <xf numFmtId="0" fontId="0" fillId="52" borderId="510" xfId="0" applyFill="1" applyBorder="1">
      <alignment horizontal="center" vertical="center"/>
    </xf>
    <xf numFmtId="0" fontId="0" fillId="53" borderId="517" xfId="43" applyFont="1" applyBorder="1">
      <alignment horizontal="center" vertical="center"/>
    </xf>
    <xf numFmtId="0" fontId="0" fillId="53" borderId="510" xfId="51" applyFont="1" applyFill="1" applyBorder="1">
      <alignment horizontal="center" vertical="center"/>
    </xf>
    <xf numFmtId="0" fontId="0" fillId="51" borderId="517" xfId="43" applyFont="1" applyFill="1" applyBorder="1">
      <alignment horizontal="center" vertical="center"/>
    </xf>
    <xf numFmtId="0" fontId="0" fillId="51" borderId="510" xfId="0" applyFill="1" applyBorder="1" applyAlignment="1">
      <alignment horizontal="left" vertical="center" indent="1"/>
    </xf>
    <xf numFmtId="0" fontId="0" fillId="53" borderId="510" xfId="0" applyFill="1" applyBorder="1" applyAlignment="1">
      <alignment horizontal="left" vertical="center" indent="1"/>
    </xf>
    <xf numFmtId="0" fontId="0" fillId="51" borderId="118" xfId="0" applyFill="1" applyBorder="1" applyAlignment="1">
      <alignment horizontal="left" vertical="center"/>
    </xf>
    <xf numFmtId="0" fontId="0" fillId="52" borderId="510" xfId="48" applyFont="1" applyBorder="1">
      <alignment horizontal="center" vertical="center"/>
    </xf>
    <xf numFmtId="0" fontId="59" fillId="0" borderId="510" xfId="0" applyFont="1" applyBorder="1" applyAlignment="1">
      <alignment horizontal="left" vertical="center"/>
    </xf>
    <xf numFmtId="0" fontId="0" fillId="53" borderId="510" xfId="48" applyFont="1" applyFill="1" applyBorder="1">
      <alignment horizontal="center" vertical="center"/>
    </xf>
    <xf numFmtId="0" fontId="7" fillId="0" borderId="510" xfId="53" applyBorder="1">
      <alignment horizontal="center" vertical="center"/>
    </xf>
    <xf numFmtId="0" fontId="0" fillId="52" borderId="510" xfId="0" applyFill="1" applyBorder="1" applyAlignment="1">
      <alignment horizontal="left" vertical="center" indent="1"/>
    </xf>
    <xf numFmtId="0" fontId="19" fillId="0" borderId="118" xfId="0" applyFont="1" applyBorder="1" applyAlignment="1" applyProtection="1">
      <alignment horizontal="center"/>
      <protection locked="0"/>
    </xf>
    <xf numFmtId="0" fontId="0" fillId="57" borderId="510" xfId="43" applyFont="1" applyFill="1" applyBorder="1">
      <alignment horizontal="center" vertical="center"/>
    </xf>
    <xf numFmtId="0" fontId="0" fillId="57" borderId="510" xfId="48" applyFont="1" applyFill="1" applyBorder="1">
      <alignment horizontal="center" vertical="center"/>
    </xf>
    <xf numFmtId="0" fontId="0" fillId="57" borderId="510" xfId="0" applyFill="1" applyBorder="1">
      <alignment horizontal="center" vertical="center"/>
    </xf>
    <xf numFmtId="0" fontId="7" fillId="57" borderId="510" xfId="47" applyBorder="1">
      <alignment horizontal="center" vertical="center"/>
    </xf>
    <xf numFmtId="0" fontId="0" fillId="57" borderId="510" xfId="20" applyNumberFormat="1" applyFont="1" applyFill="1" applyBorder="1" applyAlignment="1">
      <alignment horizontal="center" vertical="center"/>
    </xf>
    <xf numFmtId="49" fontId="0" fillId="57" borderId="510" xfId="0" applyNumberFormat="1" applyFill="1" applyBorder="1">
      <alignment horizontal="center" vertical="center"/>
    </xf>
    <xf numFmtId="0" fontId="0" fillId="57" borderId="510" xfId="44" applyFont="1" applyFill="1" applyBorder="1">
      <alignment horizontal="center" vertical="center"/>
    </xf>
    <xf numFmtId="173" fontId="0" fillId="0" borderId="454" xfId="0" applyNumberFormat="1" applyBorder="1">
      <alignment horizontal="center" vertical="center"/>
    </xf>
    <xf numFmtId="1" fontId="0" fillId="51" borderId="511" xfId="32" applyNumberFormat="1" applyFont="1" applyFill="1" applyBorder="1" applyAlignment="1">
      <alignment horizontal="center" vertical="center"/>
    </xf>
    <xf numFmtId="49" fontId="0" fillId="52" borderId="545" xfId="0" applyNumberFormat="1" applyFill="1" applyBorder="1">
      <alignment horizontal="center" vertical="center"/>
    </xf>
    <xf numFmtId="0" fontId="0" fillId="52" borderId="545" xfId="44" applyFont="1" applyFill="1" applyBorder="1">
      <alignment horizontal="center" vertical="center"/>
    </xf>
    <xf numFmtId="0" fontId="21" fillId="51" borderId="545" xfId="0" applyFont="1" applyFill="1" applyBorder="1" applyAlignment="1">
      <alignment horizontal="left" vertical="center"/>
    </xf>
    <xf numFmtId="49" fontId="0" fillId="51" borderId="591" xfId="0" applyNumberFormat="1" applyFill="1" applyBorder="1">
      <alignment horizontal="center" vertical="center"/>
    </xf>
    <xf numFmtId="0" fontId="0" fillId="0" borderId="595" xfId="0" applyBorder="1">
      <alignment horizontal="center" vertical="center"/>
    </xf>
    <xf numFmtId="0" fontId="0" fillId="0" borderId="542" xfId="0" applyBorder="1" applyAlignment="1">
      <alignment horizontal="left" vertical="center"/>
    </xf>
    <xf numFmtId="0" fontId="0" fillId="0" borderId="546" xfId="0" applyBorder="1">
      <alignment horizontal="center" vertical="center"/>
    </xf>
    <xf numFmtId="0" fontId="0" fillId="0" borderId="547" xfId="0" applyBorder="1" applyAlignment="1">
      <alignment horizontal="left" vertical="center"/>
    </xf>
    <xf numFmtId="0" fontId="0" fillId="0" borderId="594" xfId="0" applyBorder="1">
      <alignment horizontal="center" vertical="center"/>
    </xf>
    <xf numFmtId="0" fontId="0" fillId="0" borderId="596" xfId="0" applyBorder="1">
      <alignment horizontal="center" vertical="center"/>
    </xf>
    <xf numFmtId="0" fontId="0" fillId="0" borderId="597" xfId="0" applyBorder="1">
      <alignment horizontal="center" vertical="center"/>
    </xf>
    <xf numFmtId="0" fontId="4" fillId="43" borderId="598" xfId="0" applyFont="1" applyFill="1" applyBorder="1" applyAlignment="1">
      <alignment horizontal="center"/>
    </xf>
    <xf numFmtId="0" fontId="0" fillId="0" borderId="598" xfId="0" applyBorder="1" applyAlignment="1">
      <alignment vertical="center"/>
    </xf>
    <xf numFmtId="0" fontId="7" fillId="0" borderId="598" xfId="53" applyBorder="1">
      <alignment horizontal="center" vertical="center"/>
    </xf>
    <xf numFmtId="0" fontId="0" fillId="51" borderId="598" xfId="20" applyNumberFormat="1" applyFont="1" applyFill="1" applyBorder="1" applyAlignment="1">
      <alignment horizontal="center" vertical="center"/>
    </xf>
    <xf numFmtId="0" fontId="0" fillId="72" borderId="598" xfId="20" applyNumberFormat="1" applyFont="1" applyFill="1" applyBorder="1" applyAlignment="1">
      <alignment horizontal="center" vertical="center"/>
    </xf>
    <xf numFmtId="0" fontId="4" fillId="0" borderId="599" xfId="0" applyFont="1" applyBorder="1" applyAlignment="1">
      <alignment horizontal="center"/>
    </xf>
    <xf numFmtId="0" fontId="4" fillId="0" borderId="600" xfId="0" applyFont="1" applyBorder="1" applyAlignment="1">
      <alignment horizontal="left"/>
    </xf>
    <xf numFmtId="0" fontId="6" fillId="0" borderId="599" xfId="0" applyFont="1" applyBorder="1" applyAlignment="1">
      <alignment horizontal="center"/>
    </xf>
    <xf numFmtId="0" fontId="0" fillId="0" borderId="599" xfId="0" applyBorder="1" applyAlignment="1">
      <alignment horizontal="center"/>
    </xf>
    <xf numFmtId="0" fontId="4" fillId="0" borderId="600" xfId="0" applyFont="1" applyBorder="1" applyAlignment="1">
      <alignment horizontal="center"/>
    </xf>
    <xf numFmtId="0" fontId="6" fillId="0" borderId="601" xfId="0" applyFont="1" applyBorder="1" applyAlignment="1">
      <alignment horizontal="center"/>
    </xf>
    <xf numFmtId="0" fontId="6" fillId="0" borderId="600" xfId="0" applyFont="1" applyBorder="1" applyAlignment="1">
      <alignment horizontal="center"/>
    </xf>
    <xf numFmtId="0" fontId="0" fillId="0" borderId="600" xfId="0" applyBorder="1" applyAlignment="1">
      <alignment horizontal="center"/>
    </xf>
    <xf numFmtId="0" fontId="7" fillId="0" borderId="601" xfId="0" applyFont="1" applyBorder="1" applyAlignment="1">
      <alignment horizontal="left" vertical="center"/>
    </xf>
    <xf numFmtId="0" fontId="6" fillId="0" borderId="601" xfId="0" applyFont="1" applyBorder="1">
      <alignment horizontal="center" vertical="center"/>
    </xf>
    <xf numFmtId="0" fontId="6" fillId="0" borderId="600" xfId="0" applyFont="1" applyBorder="1">
      <alignment horizontal="center" vertical="center"/>
    </xf>
    <xf numFmtId="0" fontId="7" fillId="0" borderId="598" xfId="0" applyFont="1" applyBorder="1">
      <alignment horizontal="center" vertical="center"/>
    </xf>
    <xf numFmtId="0" fontId="7" fillId="0" borderId="598" xfId="0" applyFont="1" applyBorder="1" applyAlignment="1">
      <alignment horizontal="left" vertical="center"/>
    </xf>
    <xf numFmtId="0" fontId="0" fillId="0" borderId="599" xfId="0" applyBorder="1" applyAlignment="1"/>
    <xf numFmtId="0" fontId="4" fillId="0" borderId="601" xfId="0" applyFont="1" applyBorder="1" applyAlignment="1">
      <alignment horizontal="left"/>
    </xf>
    <xf numFmtId="0" fontId="0" fillId="0" borderId="601" xfId="0" applyBorder="1" applyAlignment="1"/>
    <xf numFmtId="0" fontId="0" fillId="0" borderId="600" xfId="0" applyBorder="1" applyAlignment="1"/>
    <xf numFmtId="0" fontId="4" fillId="0" borderId="599" xfId="0" applyFont="1" applyBorder="1" applyAlignment="1">
      <alignment horizontal="left"/>
    </xf>
    <xf numFmtId="0" fontId="0" fillId="0" borderId="602" xfId="0" applyBorder="1" applyAlignment="1"/>
    <xf numFmtId="0" fontId="4" fillId="0" borderId="579" xfId="0" applyFont="1" applyBorder="1" applyAlignment="1">
      <alignment horizontal="left"/>
    </xf>
    <xf numFmtId="0" fontId="0" fillId="0" borderId="585" xfId="0" applyBorder="1" applyAlignment="1"/>
    <xf numFmtId="0" fontId="0" fillId="0" borderId="586" xfId="0" applyBorder="1" applyAlignment="1">
      <alignment horizontal="left"/>
    </xf>
    <xf numFmtId="0" fontId="9" fillId="0" borderId="579" xfId="0" applyFont="1" applyBorder="1" applyAlignment="1">
      <alignment horizontal="center"/>
    </xf>
    <xf numFmtId="0" fontId="0" fillId="0" borderId="603" xfId="0" applyBorder="1" applyAlignment="1"/>
    <xf numFmtId="0" fontId="0" fillId="51" borderId="598" xfId="0" applyFill="1" applyBorder="1" applyAlignment="1">
      <alignment horizontal="left" vertical="center"/>
    </xf>
    <xf numFmtId="0" fontId="0" fillId="72" borderId="510" xfId="48" applyFont="1" applyFill="1" applyBorder="1">
      <alignment horizontal="center" vertical="center"/>
    </xf>
    <xf numFmtId="0" fontId="0" fillId="51" borderId="287" xfId="0" applyFill="1" applyBorder="1" applyAlignment="1">
      <alignment horizontal="left" vertical="center"/>
    </xf>
    <xf numFmtId="0" fontId="0" fillId="72" borderId="511" xfId="47" applyFont="1" applyFill="1" applyBorder="1">
      <alignment horizontal="center" vertical="center"/>
    </xf>
    <xf numFmtId="0" fontId="0" fillId="51" borderId="511" xfId="32" applyFont="1" applyFill="1" applyBorder="1" applyAlignment="1">
      <alignment horizontal="center" vertical="center"/>
    </xf>
    <xf numFmtId="0" fontId="0" fillId="55" borderId="510" xfId="48" applyFont="1" applyFill="1" applyBorder="1">
      <alignment horizontal="center" vertical="center"/>
    </xf>
    <xf numFmtId="0" fontId="0" fillId="72" borderId="487" xfId="0" applyFill="1" applyBorder="1">
      <alignment horizontal="center" vertical="center"/>
    </xf>
    <xf numFmtId="0" fontId="0" fillId="72" borderId="488" xfId="0" applyFill="1" applyBorder="1">
      <alignment horizontal="center" vertical="center"/>
    </xf>
    <xf numFmtId="0" fontId="0" fillId="51" borderId="537" xfId="0" applyFill="1" applyBorder="1">
      <alignment horizontal="center" vertical="center"/>
    </xf>
    <xf numFmtId="0" fontId="7" fillId="51" borderId="599" xfId="0" applyFont="1" applyFill="1" applyBorder="1" applyAlignment="1">
      <alignment vertical="center"/>
    </xf>
    <xf numFmtId="0" fontId="0" fillId="51" borderId="487" xfId="48" applyFont="1" applyFill="1" applyBorder="1">
      <alignment horizontal="center" vertical="center"/>
    </xf>
    <xf numFmtId="49" fontId="3" fillId="0" borderId="118" xfId="0" applyNumberFormat="1" applyFont="1" applyBorder="1">
      <alignment horizontal="center" vertical="center"/>
    </xf>
    <xf numFmtId="49" fontId="7" fillId="0" borderId="118" xfId="0" applyNumberFormat="1" applyFont="1" applyBorder="1">
      <alignment horizontal="center" vertical="center"/>
    </xf>
    <xf numFmtId="0" fontId="9" fillId="0" borderId="604" xfId="0" applyFont="1" applyBorder="1">
      <alignment horizontal="center" vertical="center"/>
    </xf>
    <xf numFmtId="49" fontId="15" fillId="0" borderId="118" xfId="0" applyNumberFormat="1" applyFont="1" applyBorder="1">
      <alignment horizontal="center" vertical="center"/>
    </xf>
    <xf numFmtId="0" fontId="15" fillId="0" borderId="605" xfId="0" applyFont="1" applyBorder="1" applyAlignment="1">
      <alignment horizontal="left" vertical="center"/>
    </xf>
    <xf numFmtId="0" fontId="15" fillId="0" borderId="605" xfId="0" applyFont="1" applyBorder="1">
      <alignment horizontal="center" vertical="center"/>
    </xf>
    <xf numFmtId="0" fontId="15" fillId="0" borderId="606" xfId="0" applyFont="1" applyBorder="1">
      <alignment horizontal="center" vertical="center"/>
    </xf>
    <xf numFmtId="0" fontId="7" fillId="0" borderId="118" xfId="0" applyFont="1" applyBorder="1">
      <alignment horizontal="center" vertical="center"/>
    </xf>
    <xf numFmtId="49" fontId="7" fillId="0" borderId="605" xfId="0" applyNumberFormat="1" applyFont="1" applyBorder="1">
      <alignment horizontal="center" vertical="center"/>
    </xf>
    <xf numFmtId="49" fontId="0" fillId="51" borderId="607" xfId="0" applyNumberFormat="1" applyFill="1" applyBorder="1">
      <alignment horizontal="center" vertical="center"/>
    </xf>
    <xf numFmtId="0" fontId="7" fillId="52" borderId="607" xfId="48" applyBorder="1">
      <alignment horizontal="center" vertical="center"/>
    </xf>
    <xf numFmtId="49" fontId="0" fillId="51" borderId="608" xfId="0" applyNumberFormat="1" applyFill="1" applyBorder="1">
      <alignment horizontal="center" vertical="center"/>
    </xf>
    <xf numFmtId="0" fontId="0" fillId="51" borderId="608" xfId="48" applyFont="1" applyFill="1" applyBorder="1">
      <alignment horizontal="center" vertical="center"/>
    </xf>
    <xf numFmtId="49" fontId="0" fillId="52" borderId="608" xfId="0" applyNumberFormat="1" applyFill="1" applyBorder="1">
      <alignment horizontal="center" vertical="center"/>
    </xf>
    <xf numFmtId="0" fontId="0" fillId="51" borderId="608" xfId="0" applyFill="1" applyBorder="1">
      <alignment horizontal="center" vertical="center"/>
    </xf>
    <xf numFmtId="0" fontId="0" fillId="51" borderId="609" xfId="50" applyFont="1" applyFill="1" applyBorder="1">
      <alignment horizontal="center" vertical="center"/>
    </xf>
    <xf numFmtId="0" fontId="0" fillId="51" borderId="610" xfId="0" applyFill="1" applyBorder="1" applyAlignment="1">
      <alignment horizontal="left" vertical="center"/>
    </xf>
    <xf numFmtId="49" fontId="0" fillId="56" borderId="610" xfId="0" applyNumberFormat="1" applyFill="1" applyBorder="1">
      <alignment horizontal="center" vertical="center"/>
    </xf>
    <xf numFmtId="0" fontId="4" fillId="0" borderId="609" xfId="0" applyFont="1" applyBorder="1" applyAlignment="1">
      <alignment horizontal="center"/>
    </xf>
    <xf numFmtId="0" fontId="4" fillId="0" borderId="599" xfId="0" applyFont="1" applyBorder="1" applyAlignment="1">
      <alignment horizontal="left" vertical="center"/>
    </xf>
    <xf numFmtId="0" fontId="0" fillId="0" borderId="600" xfId="0" applyBorder="1" applyAlignment="1">
      <alignment horizontal="left" vertical="center"/>
    </xf>
    <xf numFmtId="0" fontId="4" fillId="0" borderId="601" xfId="0" applyFont="1" applyBorder="1" applyAlignment="1">
      <alignment horizontal="left" vertical="center"/>
    </xf>
    <xf numFmtId="0" fontId="4" fillId="0" borderId="611" xfId="0" applyFont="1" applyBorder="1" applyAlignment="1">
      <alignment horizontal="left"/>
    </xf>
    <xf numFmtId="0" fontId="0" fillId="0" borderId="612" xfId="0" applyBorder="1" applyAlignment="1">
      <alignment horizontal="left" vertical="center"/>
    </xf>
    <xf numFmtId="49" fontId="0" fillId="0" borderId="613" xfId="0" applyNumberFormat="1" applyBorder="1" applyAlignment="1">
      <alignment horizontal="left"/>
    </xf>
    <xf numFmtId="49" fontId="0" fillId="0" borderId="613" xfId="0" applyNumberFormat="1" applyBorder="1" applyAlignment="1">
      <alignment horizontal="left" vertical="center"/>
    </xf>
    <xf numFmtId="0" fontId="0" fillId="0" borderId="614" xfId="0" applyBorder="1" applyAlignment="1">
      <alignment horizontal="left" vertical="center"/>
    </xf>
    <xf numFmtId="49" fontId="0" fillId="0" borderId="615" xfId="0" applyNumberFormat="1" applyBorder="1" applyAlignment="1">
      <alignment horizontal="left"/>
    </xf>
    <xf numFmtId="0" fontId="0" fillId="71" borderId="102" xfId="48" applyFont="1" applyFill="1" applyBorder="1">
      <alignment horizontal="center" vertical="center"/>
    </xf>
    <xf numFmtId="0" fontId="7" fillId="58" borderId="98" xfId="33" applyBorder="1">
      <alignment horizontal="center" vertical="center"/>
    </xf>
    <xf numFmtId="0" fontId="4" fillId="0" borderId="616" xfId="0" applyFont="1" applyBorder="1">
      <alignment horizontal="center" vertical="center"/>
    </xf>
    <xf numFmtId="0" fontId="4" fillId="0" borderId="617" xfId="0" applyFont="1" applyBorder="1" applyAlignment="1">
      <alignment horizontal="center"/>
    </xf>
    <xf numFmtId="0" fontId="3" fillId="0" borderId="611" xfId="0" applyFont="1" applyBorder="1" applyAlignment="1">
      <alignment horizontal="left"/>
    </xf>
    <xf numFmtId="0" fontId="4" fillId="0" borderId="618" xfId="0" applyFont="1" applyBorder="1" applyAlignment="1">
      <alignment horizontal="center"/>
    </xf>
    <xf numFmtId="0" fontId="3" fillId="0" borderId="619" xfId="0" applyFont="1" applyBorder="1" applyAlignment="1">
      <alignment horizontal="center"/>
    </xf>
    <xf numFmtId="0" fontId="0" fillId="0" borderId="620" xfId="0" applyBorder="1" applyAlignment="1" applyProtection="1">
      <alignment horizontal="center"/>
      <protection locked="0"/>
    </xf>
    <xf numFmtId="0" fontId="0" fillId="0" borderId="613" xfId="0" applyBorder="1" applyAlignment="1" applyProtection="1">
      <alignment horizontal="center"/>
      <protection locked="0"/>
    </xf>
    <xf numFmtId="0" fontId="0" fillId="43" borderId="621" xfId="0" applyFill="1" applyBorder="1" applyAlignment="1">
      <alignment horizontal="center"/>
    </xf>
    <xf numFmtId="0" fontId="47" fillId="0" borderId="621" xfId="0" applyFont="1" applyBorder="1" applyAlignment="1">
      <alignment horizontal="left" vertical="center"/>
    </xf>
    <xf numFmtId="0" fontId="7" fillId="54" borderId="620" xfId="50" applyBorder="1">
      <alignment horizontal="center" vertical="center"/>
    </xf>
    <xf numFmtId="0" fontId="7" fillId="52" borderId="620" xfId="48" applyBorder="1">
      <alignment horizontal="center" vertical="center"/>
    </xf>
    <xf numFmtId="0" fontId="0" fillId="0" borderId="622" xfId="0" applyBorder="1" applyAlignment="1" applyProtection="1">
      <alignment horizontal="center"/>
      <protection locked="0"/>
    </xf>
    <xf numFmtId="0" fontId="0" fillId="0" borderId="623" xfId="0" applyBorder="1" applyAlignment="1">
      <alignment horizontal="left" vertical="center"/>
    </xf>
    <xf numFmtId="49" fontId="0" fillId="0" borderId="613" xfId="0" applyNumberFormat="1" applyBorder="1" applyAlignment="1"/>
    <xf numFmtId="0" fontId="4" fillId="0" borderId="622" xfId="0" applyFont="1" applyBorder="1" applyAlignment="1" applyProtection="1">
      <alignment horizontal="center"/>
      <protection locked="0"/>
    </xf>
    <xf numFmtId="0" fontId="6" fillId="0" borderId="622" xfId="0" applyFont="1" applyBorder="1" applyAlignment="1">
      <alignment horizontal="center"/>
    </xf>
    <xf numFmtId="0" fontId="0" fillId="0" borderId="624" xfId="0" applyBorder="1" applyAlignment="1">
      <alignment horizontal="left" vertical="center"/>
    </xf>
    <xf numFmtId="0" fontId="0" fillId="0" borderId="620" xfId="0" applyBorder="1" applyAlignment="1" applyProtection="1">
      <alignment horizontal="left"/>
      <protection locked="0"/>
    </xf>
    <xf numFmtId="0" fontId="0" fillId="51" borderId="625" xfId="0" applyFill="1" applyBorder="1">
      <alignment horizontal="center" vertical="center"/>
    </xf>
    <xf numFmtId="0" fontId="0" fillId="0" borderId="609" xfId="0" applyBorder="1" applyAlignment="1" applyProtection="1">
      <alignment horizontal="center"/>
      <protection locked="0"/>
    </xf>
    <xf numFmtId="0" fontId="0" fillId="0" borderId="626" xfId="0" applyBorder="1" applyAlignment="1">
      <alignment vertical="center"/>
    </xf>
    <xf numFmtId="0" fontId="0" fillId="0" borderId="610" xfId="0" applyBorder="1">
      <alignment horizontal="center" vertical="center"/>
    </xf>
    <xf numFmtId="0" fontId="0" fillId="0" borderId="610" xfId="0" applyBorder="1" applyAlignment="1">
      <alignment vertical="center"/>
    </xf>
    <xf numFmtId="49" fontId="0" fillId="51" borderId="627" xfId="0" applyNumberFormat="1" applyFill="1" applyBorder="1">
      <alignment horizontal="center" vertical="center"/>
    </xf>
    <xf numFmtId="49" fontId="0" fillId="51" borderId="622" xfId="0" applyNumberFormat="1" applyFill="1" applyBorder="1">
      <alignment horizontal="center" vertical="center"/>
    </xf>
    <xf numFmtId="0" fontId="0" fillId="51" borderId="622" xfId="0" applyFill="1" applyBorder="1">
      <alignment horizontal="center" vertical="center"/>
    </xf>
    <xf numFmtId="49" fontId="0" fillId="51" borderId="628" xfId="0" applyNumberFormat="1" applyFill="1" applyBorder="1">
      <alignment horizontal="center" vertical="center"/>
    </xf>
    <xf numFmtId="0" fontId="6" fillId="44" borderId="613" xfId="0" applyFont="1" applyFill="1" applyBorder="1" applyAlignment="1">
      <alignment horizontal="left"/>
    </xf>
    <xf numFmtId="0" fontId="6" fillId="25" borderId="613" xfId="0" applyFont="1" applyFill="1" applyBorder="1">
      <alignment horizontal="center" vertical="center"/>
    </xf>
    <xf numFmtId="0" fontId="7" fillId="25" borderId="611" xfId="0" applyFont="1" applyFill="1" applyBorder="1">
      <alignment horizontal="center" vertical="center"/>
    </xf>
    <xf numFmtId="0" fontId="6" fillId="29" borderId="613" xfId="0" applyFont="1" applyFill="1" applyBorder="1" applyAlignment="1">
      <alignment horizontal="left"/>
    </xf>
    <xf numFmtId="0" fontId="6" fillId="29" borderId="611" xfId="0" applyFont="1" applyFill="1" applyBorder="1" applyAlignment="1">
      <alignment horizontal="left"/>
    </xf>
    <xf numFmtId="0" fontId="7" fillId="29" borderId="611" xfId="0" applyFont="1" applyFill="1" applyBorder="1">
      <alignment horizontal="center" vertical="center"/>
    </xf>
    <xf numFmtId="0" fontId="7" fillId="29" borderId="612" xfId="0" applyFont="1" applyFill="1" applyBorder="1">
      <alignment horizontal="center" vertical="center"/>
    </xf>
    <xf numFmtId="0" fontId="6" fillId="37" borderId="613" xfId="0" applyFont="1" applyFill="1" applyBorder="1" applyAlignment="1">
      <alignment horizontal="left"/>
    </xf>
    <xf numFmtId="0" fontId="6" fillId="37" borderId="611" xfId="0" applyFont="1" applyFill="1" applyBorder="1" applyAlignment="1">
      <alignment horizontal="left"/>
    </xf>
    <xf numFmtId="0" fontId="0" fillId="37" borderId="611" xfId="0" applyFill="1" applyBorder="1">
      <alignment horizontal="center" vertical="center"/>
    </xf>
    <xf numFmtId="0" fontId="6" fillId="45" borderId="613" xfId="0" applyFont="1" applyFill="1" applyBorder="1" applyAlignment="1">
      <alignment horizontal="left"/>
    </xf>
    <xf numFmtId="0" fontId="0" fillId="45" borderId="611" xfId="0" applyFill="1" applyBorder="1">
      <alignment horizontal="center" vertical="center"/>
    </xf>
    <xf numFmtId="0" fontId="7" fillId="45" borderId="611" xfId="0" applyFont="1" applyFill="1" applyBorder="1">
      <alignment horizontal="center" vertical="center"/>
    </xf>
    <xf numFmtId="0" fontId="7" fillId="45" borderId="612" xfId="0" applyFont="1" applyFill="1" applyBorder="1">
      <alignment horizontal="center" vertical="center"/>
    </xf>
    <xf numFmtId="0" fontId="6" fillId="24" borderId="613" xfId="0" applyFont="1" applyFill="1" applyBorder="1">
      <alignment horizontal="center" vertical="center"/>
    </xf>
    <xf numFmtId="0" fontId="0" fillId="24" borderId="611" xfId="0" applyFill="1" applyBorder="1">
      <alignment horizontal="center" vertical="center"/>
    </xf>
    <xf numFmtId="0" fontId="7" fillId="24" borderId="611" xfId="0" applyFont="1" applyFill="1" applyBorder="1">
      <alignment horizontal="center" vertical="center"/>
    </xf>
    <xf numFmtId="0" fontId="6" fillId="40" borderId="613" xfId="0" applyFont="1" applyFill="1" applyBorder="1" applyAlignment="1">
      <alignment horizontal="left"/>
    </xf>
    <xf numFmtId="0" fontId="7" fillId="40" borderId="611" xfId="0" applyFont="1" applyFill="1" applyBorder="1">
      <alignment horizontal="center" vertical="center"/>
    </xf>
    <xf numFmtId="0" fontId="0" fillId="40" borderId="612" xfId="0" applyFill="1" applyBorder="1">
      <alignment horizontal="center" vertical="center"/>
    </xf>
    <xf numFmtId="0" fontId="0" fillId="46" borderId="629" xfId="0" applyFill="1" applyBorder="1">
      <alignment horizontal="center" vertical="center"/>
    </xf>
    <xf numFmtId="0" fontId="7" fillId="46" borderId="629" xfId="0" applyFont="1" applyFill="1" applyBorder="1">
      <alignment horizontal="center" vertical="center"/>
    </xf>
    <xf numFmtId="0" fontId="7" fillId="46" borderId="630" xfId="0" applyFont="1" applyFill="1" applyBorder="1">
      <alignment horizontal="center" vertical="center"/>
    </xf>
    <xf numFmtId="0" fontId="6" fillId="0" borderId="624" xfId="0" applyFont="1" applyBorder="1" applyAlignment="1">
      <alignment horizontal="left" vertical="center"/>
    </xf>
    <xf numFmtId="0" fontId="7" fillId="0" borderId="629" xfId="0" applyFont="1" applyBorder="1">
      <alignment horizontal="center" vertical="center"/>
    </xf>
    <xf numFmtId="0" fontId="7" fillId="0" borderId="630" xfId="0" applyFont="1" applyBorder="1">
      <alignment horizontal="center" vertical="center"/>
    </xf>
    <xf numFmtId="0" fontId="6" fillId="39" borderId="620" xfId="0" applyFont="1" applyFill="1" applyBorder="1" applyAlignment="1">
      <alignment horizontal="left"/>
    </xf>
    <xf numFmtId="0" fontId="6" fillId="47" borderId="613" xfId="0" applyFont="1" applyFill="1" applyBorder="1">
      <alignment horizontal="center" vertical="center"/>
    </xf>
    <xf numFmtId="0" fontId="7" fillId="47" borderId="611" xfId="0" applyFont="1" applyFill="1" applyBorder="1">
      <alignment horizontal="center" vertical="center"/>
    </xf>
    <xf numFmtId="0" fontId="7" fillId="0" borderId="613" xfId="0" applyFont="1" applyBorder="1" applyAlignment="1">
      <alignment horizontal="left"/>
    </xf>
    <xf numFmtId="0" fontId="0" fillId="0" borderId="611" xfId="0" applyBorder="1">
      <alignment horizontal="center" vertical="center"/>
    </xf>
    <xf numFmtId="0" fontId="7" fillId="0" borderId="611" xfId="0" applyFont="1" applyBorder="1" applyAlignment="1">
      <alignment horizontal="left"/>
    </xf>
    <xf numFmtId="0" fontId="7" fillId="0" borderId="611" xfId="0" applyFont="1" applyBorder="1">
      <alignment horizontal="center" vertical="center"/>
    </xf>
    <xf numFmtId="0" fontId="7" fillId="0" borderId="612" xfId="0" applyFont="1" applyBorder="1">
      <alignment horizontal="center" vertical="center"/>
    </xf>
    <xf numFmtId="0" fontId="7" fillId="48" borderId="613" xfId="0" applyFont="1" applyFill="1" applyBorder="1" applyAlignment="1">
      <alignment horizontal="left" vertical="center"/>
    </xf>
    <xf numFmtId="0" fontId="7" fillId="48" borderId="611" xfId="0" applyFont="1" applyFill="1" applyBorder="1">
      <alignment horizontal="center" vertical="center"/>
    </xf>
    <xf numFmtId="0" fontId="7" fillId="48" borderId="612" xfId="0" applyFont="1" applyFill="1" applyBorder="1">
      <alignment horizontal="center" vertical="center"/>
    </xf>
    <xf numFmtId="0" fontId="4" fillId="0" borderId="613" xfId="0" applyFont="1" applyBorder="1" applyAlignment="1">
      <alignment horizontal="left" vertical="center"/>
    </xf>
    <xf numFmtId="0" fontId="0" fillId="0" borderId="612" xfId="0" applyBorder="1">
      <alignment horizontal="center" vertical="center"/>
    </xf>
    <xf numFmtId="0" fontId="0" fillId="0" borderId="631" xfId="0" applyBorder="1">
      <alignment horizontal="center" vertical="center"/>
    </xf>
    <xf numFmtId="0" fontId="4" fillId="0" borderId="611" xfId="0" applyFont="1" applyBorder="1" applyAlignment="1">
      <alignment horizontal="left" vertical="center"/>
    </xf>
    <xf numFmtId="0" fontId="0" fillId="0" borderId="632" xfId="0" applyBorder="1">
      <alignment horizontal="center" vertical="center"/>
    </xf>
    <xf numFmtId="0" fontId="14" fillId="0" borderId="624" xfId="0" applyFont="1" applyBorder="1">
      <alignment horizontal="center" vertical="center"/>
    </xf>
    <xf numFmtId="0" fontId="0" fillId="0" borderId="629" xfId="0" applyBorder="1">
      <alignment horizontal="center" vertical="center"/>
    </xf>
    <xf numFmtId="0" fontId="0" fillId="0" borderId="630" xfId="0" applyBorder="1">
      <alignment horizontal="center" vertical="center"/>
    </xf>
    <xf numFmtId="0" fontId="4" fillId="0" borderId="613" xfId="0" applyFont="1" applyBorder="1">
      <alignment horizontal="center" vertical="center"/>
    </xf>
    <xf numFmtId="0" fontId="0" fillId="0" borderId="621" xfId="0" applyBorder="1" applyAlignment="1" applyProtection="1">
      <alignment horizontal="center"/>
      <protection locked="0"/>
    </xf>
    <xf numFmtId="0" fontId="6" fillId="51" borderId="621" xfId="0" applyFont="1" applyFill="1" applyBorder="1">
      <alignment horizontal="center" vertical="center"/>
    </xf>
    <xf numFmtId="0" fontId="0" fillId="51" borderId="621" xfId="0" applyFill="1" applyBorder="1">
      <alignment horizontal="center" vertical="center"/>
    </xf>
    <xf numFmtId="0" fontId="0" fillId="71" borderId="621" xfId="0" applyFill="1" applyBorder="1">
      <alignment horizontal="center" vertical="center"/>
    </xf>
    <xf numFmtId="0" fontId="0" fillId="51" borderId="633" xfId="0" applyFill="1" applyBorder="1">
      <alignment horizontal="center" vertical="center"/>
    </xf>
    <xf numFmtId="0" fontId="4" fillId="24" borderId="620" xfId="0" applyFont="1" applyFill="1" applyBorder="1" applyAlignment="1">
      <alignment horizontal="left" vertical="center"/>
    </xf>
    <xf numFmtId="0" fontId="0" fillId="24" borderId="620" xfId="0" applyFill="1" applyBorder="1">
      <alignment horizontal="center" vertical="center"/>
    </xf>
    <xf numFmtId="0" fontId="0" fillId="24" borderId="634" xfId="0" applyFill="1" applyBorder="1">
      <alignment horizontal="center" vertical="center"/>
    </xf>
    <xf numFmtId="0" fontId="0" fillId="43" borderId="620" xfId="0" applyFill="1" applyBorder="1" applyAlignment="1" applyProtection="1">
      <alignment horizontal="center"/>
      <protection locked="0"/>
    </xf>
    <xf numFmtId="0" fontId="0" fillId="51" borderId="620" xfId="43" applyFont="1" applyFill="1" applyBorder="1">
      <alignment horizontal="center" vertical="center"/>
    </xf>
    <xf numFmtId="1" fontId="0" fillId="51" borderId="620" xfId="0" applyNumberFormat="1" applyFill="1" applyBorder="1">
      <alignment horizontal="center" vertical="center"/>
    </xf>
    <xf numFmtId="1" fontId="0" fillId="51" borderId="620" xfId="32" applyNumberFormat="1" applyFont="1" applyFill="1" applyBorder="1" applyAlignment="1">
      <alignment horizontal="center" vertical="center"/>
    </xf>
    <xf numFmtId="0" fontId="0" fillId="51" borderId="620" xfId="0" applyFill="1" applyBorder="1">
      <alignment horizontal="center" vertical="center"/>
    </xf>
    <xf numFmtId="0" fontId="0" fillId="51" borderId="620" xfId="44" applyFont="1" applyFill="1" applyBorder="1">
      <alignment horizontal="center" vertical="center"/>
    </xf>
    <xf numFmtId="0" fontId="0" fillId="51" borderId="620" xfId="46" applyFont="1" applyFill="1" applyBorder="1">
      <alignment horizontal="center" vertical="center"/>
    </xf>
    <xf numFmtId="1" fontId="0" fillId="51" borderId="634" xfId="0" applyNumberFormat="1" applyFill="1" applyBorder="1">
      <alignment horizontal="center" vertical="center"/>
    </xf>
    <xf numFmtId="0" fontId="0" fillId="0" borderId="620" xfId="0" applyBorder="1" applyAlignment="1">
      <alignment horizontal="left" vertical="center"/>
    </xf>
    <xf numFmtId="1" fontId="0" fillId="53" borderId="620" xfId="0" applyNumberFormat="1" applyFill="1" applyBorder="1">
      <alignment horizontal="center" vertical="center"/>
    </xf>
    <xf numFmtId="0" fontId="6" fillId="0" borderId="620" xfId="0" applyFont="1" applyBorder="1" applyAlignment="1">
      <alignment horizontal="left" vertical="center"/>
    </xf>
    <xf numFmtId="0" fontId="0" fillId="53" borderId="620" xfId="44" applyFont="1" applyFill="1" applyBorder="1">
      <alignment horizontal="center" vertical="center"/>
    </xf>
    <xf numFmtId="0" fontId="0" fillId="53" borderId="620" xfId="43" applyFont="1" applyBorder="1">
      <alignment horizontal="center" vertical="center"/>
    </xf>
    <xf numFmtId="1" fontId="0" fillId="53" borderId="620" xfId="32" applyNumberFormat="1" applyFont="1" applyFill="1" applyBorder="1" applyAlignment="1">
      <alignment horizontal="center" vertical="center"/>
    </xf>
    <xf numFmtId="1" fontId="0" fillId="53" borderId="634" xfId="0" applyNumberFormat="1" applyFill="1" applyBorder="1">
      <alignment horizontal="center" vertical="center"/>
    </xf>
    <xf numFmtId="0" fontId="0" fillId="51" borderId="620" xfId="49" applyFont="1" applyFill="1" applyBorder="1">
      <alignment horizontal="center" vertical="center"/>
    </xf>
    <xf numFmtId="0" fontId="0" fillId="51" borderId="620" xfId="48" applyFont="1" applyFill="1" applyBorder="1">
      <alignment horizontal="center" vertical="center"/>
    </xf>
    <xf numFmtId="0" fontId="4" fillId="24" borderId="621" xfId="0" applyFont="1" applyFill="1" applyBorder="1" applyAlignment="1" applyProtection="1">
      <alignment horizontal="left"/>
      <protection locked="0"/>
    </xf>
    <xf numFmtId="0" fontId="4" fillId="24" borderId="621" xfId="0" applyFont="1" applyFill="1" applyBorder="1">
      <alignment horizontal="center" vertical="center"/>
    </xf>
    <xf numFmtId="1" fontId="0" fillId="24" borderId="621" xfId="0" applyNumberFormat="1" applyFill="1" applyBorder="1">
      <alignment horizontal="center" vertical="center"/>
    </xf>
    <xf numFmtId="0" fontId="0" fillId="24" borderId="633" xfId="0" applyFill="1" applyBorder="1">
      <alignment horizontal="center" vertical="center"/>
    </xf>
    <xf numFmtId="0" fontId="0" fillId="43" borderId="635" xfId="0" applyFill="1" applyBorder="1" applyAlignment="1" applyProtection="1">
      <alignment horizontal="center"/>
      <protection locked="0"/>
    </xf>
    <xf numFmtId="0" fontId="0" fillId="0" borderId="635" xfId="0" applyBorder="1" applyAlignment="1">
      <alignment horizontal="left" vertical="center"/>
    </xf>
    <xf numFmtId="0" fontId="0" fillId="51" borderId="635" xfId="0" applyFill="1" applyBorder="1">
      <alignment horizontal="center" vertical="center"/>
    </xf>
    <xf numFmtId="0" fontId="0" fillId="51" borderId="635" xfId="32" applyFont="1" applyFill="1" applyBorder="1" applyAlignment="1">
      <alignment horizontal="center" vertical="center"/>
    </xf>
    <xf numFmtId="0" fontId="0" fillId="75" borderId="609" xfId="0" applyFill="1" applyBorder="1">
      <alignment horizontal="center" vertical="center"/>
    </xf>
    <xf numFmtId="0" fontId="0" fillId="52" borderId="635" xfId="0" applyFill="1" applyBorder="1">
      <alignment horizontal="center" vertical="center"/>
    </xf>
    <xf numFmtId="0" fontId="0" fillId="51" borderId="636" xfId="0" applyFill="1" applyBorder="1">
      <alignment horizontal="center" vertical="center"/>
    </xf>
    <xf numFmtId="0" fontId="0" fillId="0" borderId="609" xfId="0" applyBorder="1">
      <alignment horizontal="center" vertical="center"/>
    </xf>
    <xf numFmtId="173" fontId="0" fillId="0" borderId="609" xfId="0" applyNumberFormat="1" applyBorder="1">
      <alignment horizontal="center" vertical="center"/>
    </xf>
    <xf numFmtId="0" fontId="0" fillId="43" borderId="609" xfId="0" applyFill="1" applyBorder="1" applyAlignment="1" applyProtection="1">
      <alignment horizontal="center"/>
      <protection locked="0"/>
    </xf>
    <xf numFmtId="0" fontId="7" fillId="0" borderId="609" xfId="0" applyFont="1" applyBorder="1" applyAlignment="1">
      <alignment horizontal="left" vertical="center"/>
    </xf>
    <xf numFmtId="0" fontId="7" fillId="0" borderId="609" xfId="53" applyBorder="1">
      <alignment horizontal="center" vertical="center"/>
    </xf>
    <xf numFmtId="0" fontId="7" fillId="52" borderId="609" xfId="48" applyBorder="1">
      <alignment horizontal="center" vertical="center"/>
    </xf>
    <xf numFmtId="1" fontId="0" fillId="51" borderId="609" xfId="0" applyNumberFormat="1" applyFill="1" applyBorder="1">
      <alignment horizontal="center" vertical="center"/>
    </xf>
    <xf numFmtId="1" fontId="0" fillId="51" borderId="609" xfId="32" applyNumberFormat="1" applyFont="1" applyFill="1" applyBorder="1" applyAlignment="1">
      <alignment horizontal="center" vertical="center"/>
    </xf>
    <xf numFmtId="0" fontId="0" fillId="51" borderId="609" xfId="46" applyFont="1" applyFill="1" applyBorder="1">
      <alignment horizontal="center" vertical="center"/>
    </xf>
    <xf numFmtId="0" fontId="0" fillId="51" borderId="620" xfId="45" applyFont="1" applyFill="1" applyBorder="1">
      <alignment horizontal="center" vertical="center"/>
    </xf>
    <xf numFmtId="0" fontId="4" fillId="0" borderId="599" xfId="0" applyFont="1" applyBorder="1" applyAlignment="1">
      <alignment vertical="center"/>
    </xf>
    <xf numFmtId="0" fontId="4" fillId="0" borderId="601" xfId="0" applyFont="1" applyBorder="1" applyAlignment="1">
      <alignment vertical="center"/>
    </xf>
    <xf numFmtId="0" fontId="0" fillId="0" borderId="601" xfId="0" applyBorder="1">
      <alignment horizontal="center" vertical="center"/>
    </xf>
    <xf numFmtId="0" fontId="0" fillId="0" borderId="602" xfId="0" applyBorder="1">
      <alignment horizontal="center" vertical="center"/>
    </xf>
    <xf numFmtId="0" fontId="4" fillId="0" borderId="637" xfId="0" applyFont="1" applyBorder="1" applyAlignment="1">
      <alignment horizontal="left" vertical="center"/>
    </xf>
    <xf numFmtId="0" fontId="4" fillId="0" borderId="613" xfId="0" applyFont="1" applyBorder="1" applyAlignment="1">
      <alignment vertical="center"/>
    </xf>
    <xf numFmtId="0" fontId="14" fillId="0" borderId="611" xfId="0" applyFont="1" applyBorder="1">
      <alignment horizontal="center" vertical="center"/>
    </xf>
    <xf numFmtId="0" fontId="4" fillId="0" borderId="624" xfId="0" applyFont="1" applyBorder="1" applyAlignment="1">
      <alignment horizontal="left" vertical="center"/>
    </xf>
    <xf numFmtId="0" fontId="14" fillId="0" borderId="629" xfId="0" applyFont="1" applyBorder="1">
      <alignment horizontal="center" vertical="center"/>
    </xf>
    <xf numFmtId="0" fontId="4" fillId="0" borderId="629" xfId="0" applyFont="1" applyBorder="1">
      <alignment horizontal="center" vertical="center"/>
    </xf>
    <xf numFmtId="0" fontId="4" fillId="0" borderId="617" xfId="0" applyFont="1" applyBorder="1" applyAlignment="1">
      <alignment horizontal="left" vertical="center"/>
    </xf>
    <xf numFmtId="0" fontId="0" fillId="0" borderId="613" xfId="0" applyBorder="1" applyAlignment="1">
      <alignment vertical="center"/>
    </xf>
    <xf numFmtId="0" fontId="0" fillId="0" borderId="611" xfId="0" applyBorder="1" applyAlignment="1">
      <alignment horizontal="left" vertical="center"/>
    </xf>
    <xf numFmtId="0" fontId="0" fillId="0" borderId="638" xfId="0" applyBorder="1">
      <alignment horizontal="center" vertical="center"/>
    </xf>
    <xf numFmtId="0" fontId="4" fillId="0" borderId="618" xfId="0" applyFont="1" applyBorder="1" applyAlignment="1">
      <alignment horizontal="left" vertical="center"/>
    </xf>
    <xf numFmtId="0" fontId="0" fillId="0" borderId="619" xfId="0" applyBorder="1">
      <alignment horizontal="center" vertical="center"/>
    </xf>
    <xf numFmtId="0" fontId="0" fillId="0" borderId="615" xfId="0" applyBorder="1" applyAlignment="1">
      <alignment vertical="center"/>
    </xf>
    <xf numFmtId="0" fontId="0" fillId="0" borderId="639" xfId="0" applyBorder="1">
      <alignment horizontal="center" vertical="center"/>
    </xf>
    <xf numFmtId="0" fontId="4" fillId="0" borderId="615" xfId="0" applyFont="1" applyBorder="1">
      <alignment horizontal="center" vertical="center"/>
    </xf>
    <xf numFmtId="0" fontId="0" fillId="0" borderId="619" xfId="0" applyBorder="1" applyAlignment="1">
      <alignment horizontal="left" vertical="center"/>
    </xf>
    <xf numFmtId="0" fontId="14" fillId="0" borderId="619" xfId="0" applyFont="1" applyBorder="1">
      <alignment horizontal="center" vertical="center"/>
    </xf>
    <xf numFmtId="0" fontId="4" fillId="0" borderId="619" xfId="0" applyFont="1" applyBorder="1" applyAlignment="1">
      <alignment horizontal="left" vertical="center"/>
    </xf>
    <xf numFmtId="0" fontId="0" fillId="0" borderId="640" xfId="0" applyBorder="1">
      <alignment horizontal="center" vertical="center"/>
    </xf>
    <xf numFmtId="0" fontId="0" fillId="0" borderId="616" xfId="0" applyBorder="1" applyAlignment="1" applyProtection="1">
      <alignment horizontal="center"/>
      <protection locked="0"/>
    </xf>
    <xf numFmtId="0" fontId="6" fillId="0" borderId="616" xfId="0" applyFont="1" applyBorder="1" applyAlignment="1">
      <alignment horizontal="center"/>
    </xf>
    <xf numFmtId="0" fontId="0" fillId="55" borderId="620" xfId="43" applyFont="1" applyFill="1" applyBorder="1">
      <alignment horizontal="center" vertical="center"/>
    </xf>
    <xf numFmtId="0" fontId="7" fillId="53" borderId="545" xfId="43" applyBorder="1">
      <alignment horizontal="center" vertical="center"/>
    </xf>
    <xf numFmtId="0" fontId="0" fillId="0" borderId="545" xfId="0" applyBorder="1">
      <alignment horizontal="center" vertical="center"/>
    </xf>
    <xf numFmtId="0" fontId="7" fillId="0" borderId="545" xfId="53" applyBorder="1">
      <alignment horizontal="center" vertical="center"/>
    </xf>
    <xf numFmtId="0" fontId="0" fillId="43" borderId="641" xfId="0" applyFill="1" applyBorder="1" applyAlignment="1" applyProtection="1">
      <alignment horizontal="center"/>
      <protection locked="0"/>
    </xf>
    <xf numFmtId="0" fontId="7" fillId="53" borderId="620" xfId="43" applyBorder="1">
      <alignment horizontal="center" vertical="center"/>
    </xf>
    <xf numFmtId="0" fontId="7" fillId="0" borderId="620" xfId="53" applyBorder="1">
      <alignment horizontal="center" vertical="center"/>
    </xf>
    <xf numFmtId="0" fontId="7" fillId="55" borderId="620" xfId="45" applyBorder="1">
      <alignment horizontal="center" vertical="center"/>
    </xf>
    <xf numFmtId="0" fontId="0" fillId="0" borderId="620" xfId="0" applyBorder="1">
      <alignment horizontal="center" vertical="center"/>
    </xf>
    <xf numFmtId="0" fontId="0" fillId="51" borderId="634" xfId="0" applyFill="1" applyBorder="1">
      <alignment horizontal="center" vertical="center"/>
    </xf>
    <xf numFmtId="0" fontId="0" fillId="43" borderId="642" xfId="0" applyFill="1" applyBorder="1" applyAlignment="1" applyProtection="1">
      <alignment horizontal="center"/>
      <protection locked="0"/>
    </xf>
    <xf numFmtId="0" fontId="0" fillId="0" borderId="621" xfId="0" applyBorder="1" applyAlignment="1">
      <alignment horizontal="left" vertical="center"/>
    </xf>
    <xf numFmtId="49" fontId="0" fillId="53" borderId="621" xfId="0" applyNumberFormat="1" applyFill="1" applyBorder="1">
      <alignment horizontal="center" vertical="center"/>
    </xf>
    <xf numFmtId="49" fontId="0" fillId="51" borderId="621" xfId="0" applyNumberFormat="1" applyFill="1" applyBorder="1">
      <alignment horizontal="center" vertical="center"/>
    </xf>
    <xf numFmtId="0" fontId="0" fillId="51" borderId="621" xfId="48" applyFont="1" applyFill="1" applyBorder="1">
      <alignment horizontal="center" vertical="center"/>
    </xf>
    <xf numFmtId="49" fontId="0" fillId="72" borderId="621" xfId="0" applyNumberFormat="1" applyFill="1" applyBorder="1">
      <alignment horizontal="center" vertical="center"/>
    </xf>
    <xf numFmtId="0" fontId="0" fillId="51" borderId="621" xfId="43" applyFont="1" applyFill="1" applyBorder="1">
      <alignment horizontal="center" vertical="center"/>
    </xf>
    <xf numFmtId="0" fontId="0" fillId="51" borderId="621" xfId="44" applyFont="1" applyFill="1" applyBorder="1">
      <alignment horizontal="center" vertical="center"/>
    </xf>
    <xf numFmtId="49" fontId="0" fillId="51" borderId="633" xfId="0" applyNumberFormat="1" applyFill="1" applyBorder="1">
      <alignment horizontal="center" vertical="center"/>
    </xf>
    <xf numFmtId="49" fontId="0" fillId="51" borderId="620" xfId="0" applyNumberFormat="1" applyFill="1" applyBorder="1">
      <alignment horizontal="center" vertical="center"/>
    </xf>
    <xf numFmtId="49" fontId="0" fillId="51" borderId="634" xfId="0" applyNumberFormat="1" applyFill="1" applyBorder="1">
      <alignment horizontal="center" vertical="center"/>
    </xf>
    <xf numFmtId="0" fontId="0" fillId="0" borderId="545" xfId="44" applyFont="1" applyFill="1" applyBorder="1">
      <alignment horizontal="center" vertical="center"/>
    </xf>
    <xf numFmtId="1" fontId="0" fillId="0" borderId="545" xfId="32" applyNumberFormat="1" applyFont="1" applyFill="1" applyBorder="1" applyAlignment="1">
      <alignment horizontal="center" vertical="center"/>
    </xf>
    <xf numFmtId="0" fontId="0" fillId="52" borderId="620" xfId="46" applyFont="1" applyFill="1" applyBorder="1">
      <alignment horizontal="center" vertical="center"/>
    </xf>
    <xf numFmtId="0" fontId="0" fillId="52" borderId="620" xfId="44" applyFont="1" applyFill="1" applyBorder="1">
      <alignment horizontal="center" vertical="center"/>
    </xf>
    <xf numFmtId="0" fontId="0" fillId="88" borderId="621" xfId="0" applyFill="1" applyBorder="1">
      <alignment horizontal="center" vertical="center"/>
    </xf>
    <xf numFmtId="49" fontId="0" fillId="88" borderId="621" xfId="0" applyNumberFormat="1" applyFill="1" applyBorder="1">
      <alignment horizontal="center" vertical="center"/>
    </xf>
    <xf numFmtId="0" fontId="0" fillId="88" borderId="621" xfId="44" applyFont="1" applyFill="1" applyBorder="1">
      <alignment horizontal="center" vertical="center"/>
    </xf>
    <xf numFmtId="0" fontId="0" fillId="55" borderId="545" xfId="0" applyFill="1" applyBorder="1">
      <alignment horizontal="center" vertical="center"/>
    </xf>
    <xf numFmtId="49" fontId="0" fillId="54" borderId="620" xfId="0" applyNumberFormat="1" applyFill="1" applyBorder="1">
      <alignment horizontal="center" vertical="center"/>
    </xf>
    <xf numFmtId="0" fontId="0" fillId="54" borderId="620" xfId="0" applyFill="1" applyBorder="1">
      <alignment horizontal="center" vertical="center"/>
    </xf>
    <xf numFmtId="0" fontId="0" fillId="72" borderId="621" xfId="44" applyFont="1" applyFill="1" applyBorder="1">
      <alignment horizontal="center" vertical="center"/>
    </xf>
    <xf numFmtId="0" fontId="7" fillId="55" borderId="621" xfId="45" applyBorder="1">
      <alignment horizontal="center" vertical="center"/>
    </xf>
    <xf numFmtId="0" fontId="7" fillId="55" borderId="621" xfId="53" applyFill="1" applyBorder="1">
      <alignment horizontal="center" vertical="center"/>
    </xf>
    <xf numFmtId="0" fontId="0" fillId="55" borderId="621" xfId="53" applyFont="1" applyFill="1" applyBorder="1">
      <alignment horizontal="center" vertical="center"/>
    </xf>
    <xf numFmtId="0" fontId="7" fillId="52" borderId="621" xfId="48" applyBorder="1">
      <alignment horizontal="center" vertical="center"/>
    </xf>
    <xf numFmtId="0" fontId="0" fillId="51" borderId="633" xfId="44" applyFont="1" applyFill="1" applyBorder="1">
      <alignment horizontal="center" vertical="center"/>
    </xf>
    <xf numFmtId="49" fontId="0" fillId="51" borderId="105" xfId="0" applyNumberFormat="1" applyFill="1" applyBorder="1">
      <alignment horizontal="center" vertical="center"/>
    </xf>
    <xf numFmtId="0" fontId="4" fillId="0" borderId="620" xfId="0" applyFont="1" applyBorder="1" applyAlignment="1">
      <alignment horizontal="center"/>
    </xf>
    <xf numFmtId="0" fontId="7" fillId="0" borderId="620" xfId="0" applyFont="1" applyBorder="1">
      <alignment horizontal="center" vertical="center"/>
    </xf>
    <xf numFmtId="0" fontId="0" fillId="0" borderId="616" xfId="0" applyBorder="1">
      <alignment horizontal="center" vertical="center"/>
    </xf>
    <xf numFmtId="0" fontId="4" fillId="0" borderId="616" xfId="0" applyFont="1" applyBorder="1" applyAlignment="1">
      <alignment horizontal="center"/>
    </xf>
    <xf numFmtId="0" fontId="6" fillId="0" borderId="620" xfId="0" applyFont="1" applyBorder="1" applyAlignment="1">
      <alignment horizontal="left"/>
    </xf>
    <xf numFmtId="0" fontId="7" fillId="0" borderId="613" xfId="0" applyFont="1" applyBorder="1">
      <alignment horizontal="center" vertical="center"/>
    </xf>
    <xf numFmtId="0" fontId="0" fillId="0" borderId="620" xfId="0" applyBorder="1" applyAlignment="1">
      <alignment horizontal="center"/>
    </xf>
    <xf numFmtId="0" fontId="0" fillId="43" borderId="613" xfId="0" applyFill="1" applyBorder="1" applyAlignment="1" applyProtection="1">
      <alignment horizontal="center"/>
      <protection locked="0"/>
    </xf>
    <xf numFmtId="0" fontId="0" fillId="0" borderId="613" xfId="0" applyBorder="1" applyAlignment="1">
      <alignment horizontal="left"/>
    </xf>
    <xf numFmtId="0" fontId="0" fillId="0" borderId="611" xfId="0" applyBorder="1" applyAlignment="1">
      <alignment horizontal="left"/>
    </xf>
    <xf numFmtId="0" fontId="0" fillId="0" borderId="624" xfId="0" applyBorder="1" applyAlignment="1">
      <alignment horizontal="left"/>
    </xf>
    <xf numFmtId="0" fontId="0" fillId="0" borderId="629" xfId="0" applyBorder="1" applyAlignment="1">
      <alignment horizontal="left"/>
    </xf>
    <xf numFmtId="0" fontId="7" fillId="0" borderId="630" xfId="0" applyFont="1" applyBorder="1" applyAlignment="1">
      <alignment horizontal="left"/>
    </xf>
    <xf numFmtId="0" fontId="7" fillId="0" borderId="629" xfId="0" applyFont="1" applyBorder="1" applyAlignment="1">
      <alignment horizontal="left"/>
    </xf>
    <xf numFmtId="0" fontId="7" fillId="0" borderId="612" xfId="0" applyFont="1" applyBorder="1" applyAlignment="1">
      <alignment horizontal="left"/>
    </xf>
    <xf numFmtId="0" fontId="6" fillId="0" borderId="613" xfId="0" applyFont="1" applyBorder="1" applyAlignment="1">
      <alignment horizontal="left"/>
    </xf>
    <xf numFmtId="0" fontId="22" fillId="0" borderId="620" xfId="0" applyFont="1" applyBorder="1" applyAlignment="1" applyProtection="1">
      <alignment horizontal="center"/>
      <protection locked="0"/>
    </xf>
    <xf numFmtId="0" fontId="0" fillId="0" borderId="643" xfId="0" applyBorder="1" applyAlignment="1">
      <alignment horizontal="left"/>
    </xf>
    <xf numFmtId="0" fontId="0" fillId="0" borderId="605" xfId="0" applyBorder="1" applyAlignment="1">
      <alignment horizontal="left"/>
    </xf>
    <xf numFmtId="0" fontId="7" fillId="0" borderId="606" xfId="0" applyFont="1" applyBorder="1" applyAlignment="1">
      <alignment horizontal="left"/>
    </xf>
    <xf numFmtId="0" fontId="4" fillId="0" borderId="621" xfId="0" applyFont="1" applyBorder="1" applyAlignment="1" applyProtection="1">
      <alignment horizontal="center"/>
      <protection locked="0"/>
    </xf>
    <xf numFmtId="0" fontId="6" fillId="0" borderId="621" xfId="0" applyFont="1" applyBorder="1" applyAlignment="1">
      <alignment horizontal="center"/>
    </xf>
    <xf numFmtId="0" fontId="0" fillId="0" borderId="644" xfId="0" applyBorder="1" applyAlignment="1">
      <alignment vertical="center"/>
    </xf>
    <xf numFmtId="0" fontId="0" fillId="51" borderId="593" xfId="48" applyFont="1" applyFill="1" applyBorder="1">
      <alignment horizontal="center" vertical="center"/>
    </xf>
    <xf numFmtId="0" fontId="0" fillId="72" borderId="620" xfId="0" applyFill="1" applyBorder="1">
      <alignment horizontal="center" vertical="center"/>
    </xf>
    <xf numFmtId="0" fontId="0" fillId="55" borderId="621" xfId="45" applyFont="1" applyBorder="1">
      <alignment horizontal="center" vertical="center"/>
    </xf>
    <xf numFmtId="0" fontId="0" fillId="51" borderId="634" xfId="48" applyFont="1" applyFill="1" applyBorder="1">
      <alignment horizontal="center" vertical="center"/>
    </xf>
    <xf numFmtId="0" fontId="0" fillId="51" borderId="634" xfId="43" applyFont="1" applyFill="1" applyBorder="1">
      <alignment horizontal="center" vertical="center"/>
    </xf>
    <xf numFmtId="0" fontId="0" fillId="51" borderId="620" xfId="0" applyFill="1" applyBorder="1" applyAlignment="1">
      <alignment horizontal="left" vertical="center"/>
    </xf>
    <xf numFmtId="0" fontId="0" fillId="51" borderId="609" xfId="0" applyFill="1" applyBorder="1">
      <alignment horizontal="center" vertical="center"/>
    </xf>
    <xf numFmtId="0" fontId="0" fillId="0" borderId="643" xfId="0" applyBorder="1" applyAlignment="1">
      <alignment vertical="center"/>
    </xf>
    <xf numFmtId="0" fontId="0" fillId="51" borderId="620" xfId="51" applyFont="1" applyFill="1" applyBorder="1">
      <alignment horizontal="center" vertical="center"/>
    </xf>
    <xf numFmtId="0" fontId="0" fillId="53" borderId="620" xfId="0" applyFill="1" applyBorder="1">
      <alignment horizontal="center" vertical="center"/>
    </xf>
    <xf numFmtId="0" fontId="0" fillId="54" borderId="620" xfId="43" applyFont="1" applyFill="1" applyBorder="1">
      <alignment horizontal="center" vertical="center"/>
    </xf>
    <xf numFmtId="0" fontId="0" fillId="72" borderId="621" xfId="43" applyFont="1" applyFill="1" applyBorder="1">
      <alignment horizontal="center" vertical="center"/>
    </xf>
    <xf numFmtId="0" fontId="7" fillId="53" borderId="620" xfId="45" applyFill="1" applyBorder="1">
      <alignment horizontal="center" vertical="center"/>
    </xf>
    <xf numFmtId="0" fontId="7" fillId="51" borderId="620" xfId="45" applyFill="1" applyBorder="1">
      <alignment horizontal="center" vertical="center"/>
    </xf>
    <xf numFmtId="0" fontId="0" fillId="55" borderId="620" xfId="0" applyFill="1" applyBorder="1">
      <alignment horizontal="center" vertical="center"/>
    </xf>
    <xf numFmtId="0" fontId="7" fillId="51" borderId="620" xfId="43" applyFill="1" applyBorder="1">
      <alignment horizontal="center" vertical="center"/>
    </xf>
    <xf numFmtId="0" fontId="0" fillId="51" borderId="645" xfId="0" applyFill="1" applyBorder="1" applyAlignment="1">
      <alignment horizontal="left" vertical="center"/>
    </xf>
    <xf numFmtId="0" fontId="7" fillId="57" borderId="620" xfId="47" applyBorder="1">
      <alignment horizontal="center" vertical="center"/>
    </xf>
    <xf numFmtId="49" fontId="0" fillId="51" borderId="609" xfId="0" applyNumberFormat="1" applyFill="1" applyBorder="1">
      <alignment horizontal="center" vertical="center"/>
    </xf>
    <xf numFmtId="0" fontId="59" fillId="0" borderId="620" xfId="0" applyFont="1" applyBorder="1" applyAlignment="1">
      <alignment horizontal="left" vertical="center"/>
    </xf>
    <xf numFmtId="0" fontId="0" fillId="51" borderId="620" xfId="0" applyFill="1" applyBorder="1" applyAlignment="1">
      <alignment horizontal="left" vertical="center" indent="1"/>
    </xf>
    <xf numFmtId="0" fontId="0" fillId="52" borderId="620" xfId="48" applyFont="1" applyBorder="1">
      <alignment horizontal="center" vertical="center"/>
    </xf>
    <xf numFmtId="49" fontId="0" fillId="52" borderId="620" xfId="0" applyNumberFormat="1" applyFill="1" applyBorder="1">
      <alignment horizontal="center" vertical="center"/>
    </xf>
    <xf numFmtId="0" fontId="0" fillId="52" borderId="620" xfId="0" applyFill="1" applyBorder="1">
      <alignment horizontal="center" vertical="center"/>
    </xf>
    <xf numFmtId="0" fontId="0" fillId="55" borderId="609" xfId="0" applyFill="1" applyBorder="1">
      <alignment horizontal="center" vertical="center"/>
    </xf>
    <xf numFmtId="0" fontId="7" fillId="69" borderId="620" xfId="44" applyBorder="1">
      <alignment horizontal="center" vertical="center"/>
    </xf>
    <xf numFmtId="0" fontId="0" fillId="0" borderId="634" xfId="0" applyBorder="1">
      <alignment horizontal="center" vertical="center"/>
    </xf>
    <xf numFmtId="0" fontId="0" fillId="0" borderId="620" xfId="0" applyBorder="1" applyAlignment="1">
      <alignment vertical="center"/>
    </xf>
    <xf numFmtId="0" fontId="0" fillId="51" borderId="620" xfId="48" quotePrefix="1" applyFont="1" applyFill="1" applyBorder="1">
      <alignment horizontal="center" vertical="center"/>
    </xf>
    <xf numFmtId="0" fontId="0" fillId="55" borderId="620" xfId="48" applyFont="1" applyFill="1" applyBorder="1">
      <alignment horizontal="center" vertical="center"/>
    </xf>
    <xf numFmtId="0" fontId="0" fillId="57" borderId="620" xfId="48" applyFont="1" applyFill="1" applyBorder="1">
      <alignment horizontal="center" vertical="center"/>
    </xf>
    <xf numFmtId="0" fontId="0" fillId="57" borderId="620" xfId="47" applyFont="1" applyBorder="1">
      <alignment horizontal="center" vertical="center"/>
    </xf>
    <xf numFmtId="0" fontId="0" fillId="51" borderId="620" xfId="47" applyFont="1" applyFill="1" applyBorder="1">
      <alignment horizontal="center" vertical="center"/>
    </xf>
    <xf numFmtId="0" fontId="0" fillId="57" borderId="620" xfId="0" applyFill="1" applyBorder="1">
      <alignment horizontal="center" vertical="center"/>
    </xf>
    <xf numFmtId="0" fontId="19" fillId="0" borderId="359" xfId="0" applyFont="1" applyBorder="1" applyAlignment="1" applyProtection="1">
      <alignment horizontal="center"/>
      <protection locked="0"/>
    </xf>
    <xf numFmtId="0" fontId="0" fillId="0" borderId="646" xfId="0" applyBorder="1" applyAlignment="1">
      <alignment horizontal="left" vertical="center"/>
    </xf>
    <xf numFmtId="0" fontId="0" fillId="51" borderId="646" xfId="48" applyFont="1" applyFill="1" applyBorder="1">
      <alignment horizontal="center" vertical="center"/>
    </xf>
    <xf numFmtId="0" fontId="7" fillId="55" borderId="646" xfId="45" applyBorder="1">
      <alignment horizontal="center" vertical="center"/>
    </xf>
    <xf numFmtId="0" fontId="0" fillId="51" borderId="647" xfId="48" applyFont="1" applyFill="1" applyBorder="1">
      <alignment horizontal="center" vertical="center"/>
    </xf>
    <xf numFmtId="0" fontId="59" fillId="0" borderId="616" xfId="0" applyFont="1" applyBorder="1" applyAlignment="1">
      <alignment horizontal="left" vertical="center"/>
    </xf>
    <xf numFmtId="49" fontId="0" fillId="51" borderId="616" xfId="0" applyNumberFormat="1" applyFill="1" applyBorder="1">
      <alignment horizontal="center" vertical="center"/>
    </xf>
    <xf numFmtId="0" fontId="0" fillId="51" borderId="616" xfId="44" applyFont="1" applyFill="1" applyBorder="1">
      <alignment horizontal="center" vertical="center"/>
    </xf>
    <xf numFmtId="49" fontId="0" fillId="51" borderId="648" xfId="0" applyNumberFormat="1" applyFill="1" applyBorder="1">
      <alignment horizontal="center" vertical="center"/>
    </xf>
    <xf numFmtId="0" fontId="19" fillId="0" borderId="649" xfId="0" applyFont="1" applyBorder="1" applyAlignment="1" applyProtection="1">
      <alignment horizontal="center"/>
      <protection locked="0"/>
    </xf>
    <xf numFmtId="0" fontId="0" fillId="51" borderId="536" xfId="0" applyFill="1" applyBorder="1">
      <alignment horizontal="center" vertical="center"/>
    </xf>
    <xf numFmtId="1" fontId="0" fillId="51" borderId="536" xfId="32" applyNumberFormat="1" applyFont="1" applyFill="1" applyBorder="1" applyAlignment="1">
      <alignment horizontal="center" vertical="center"/>
    </xf>
    <xf numFmtId="0" fontId="0" fillId="51" borderId="536" xfId="43" applyFont="1" applyFill="1" applyBorder="1">
      <alignment horizontal="center" vertical="center"/>
    </xf>
    <xf numFmtId="0" fontId="0" fillId="51" borderId="650" xfId="0" applyFill="1" applyBorder="1">
      <alignment horizontal="center" vertical="center"/>
    </xf>
    <xf numFmtId="0" fontId="0" fillId="0" borderId="651" xfId="0" applyBorder="1">
      <alignment horizontal="center" vertical="center"/>
    </xf>
    <xf numFmtId="173" fontId="0" fillId="0" borderId="651" xfId="0" applyNumberFormat="1" applyBorder="1">
      <alignment horizontal="center" vertical="center"/>
    </xf>
    <xf numFmtId="0" fontId="4" fillId="0" borderId="652" xfId="0" applyFont="1" applyBorder="1" applyAlignment="1" applyProtection="1">
      <alignment horizontal="center"/>
      <protection locked="0"/>
    </xf>
    <xf numFmtId="0" fontId="0" fillId="0" borderId="652" xfId="0" applyBorder="1" applyAlignment="1">
      <alignment horizontal="left" vertical="center"/>
    </xf>
    <xf numFmtId="49" fontId="0" fillId="51" borderId="652" xfId="0" applyNumberFormat="1" applyFill="1" applyBorder="1">
      <alignment horizontal="center" vertical="center"/>
    </xf>
    <xf numFmtId="0" fontId="0" fillId="51" borderId="652" xfId="44" applyFont="1" applyFill="1" applyBorder="1">
      <alignment horizontal="center" vertical="center"/>
    </xf>
    <xf numFmtId="0" fontId="0" fillId="51" borderId="652" xfId="0" applyFill="1" applyBorder="1">
      <alignment horizontal="center" vertical="center"/>
    </xf>
    <xf numFmtId="1" fontId="0" fillId="51" borderId="652" xfId="32" applyNumberFormat="1" applyFont="1" applyFill="1" applyBorder="1" applyAlignment="1">
      <alignment horizontal="center" vertical="center"/>
    </xf>
    <xf numFmtId="49" fontId="0" fillId="51" borderId="653" xfId="0" applyNumberFormat="1" applyFill="1" applyBorder="1">
      <alignment horizontal="center" vertical="center"/>
    </xf>
    <xf numFmtId="0" fontId="4" fillId="0" borderId="620" xfId="0" applyFont="1" applyBorder="1" applyAlignment="1" applyProtection="1">
      <alignment horizontal="center"/>
      <protection locked="0"/>
    </xf>
    <xf numFmtId="0" fontId="21" fillId="51" borderId="654" xfId="0" applyFont="1" applyFill="1" applyBorder="1" applyAlignment="1">
      <alignment horizontal="left" vertical="center"/>
    </xf>
    <xf numFmtId="0" fontId="0" fillId="51" borderId="634" xfId="47" applyFont="1" applyFill="1" applyBorder="1">
      <alignment horizontal="center" vertical="center"/>
    </xf>
    <xf numFmtId="0" fontId="4" fillId="0" borderId="646" xfId="0" applyFont="1" applyBorder="1" applyAlignment="1" applyProtection="1">
      <alignment horizontal="center"/>
      <protection locked="0"/>
    </xf>
    <xf numFmtId="0" fontId="59" fillId="0" borderId="102" xfId="0" applyFont="1" applyBorder="1" applyAlignment="1">
      <alignment horizontal="left" vertical="center"/>
    </xf>
    <xf numFmtId="0" fontId="0" fillId="51" borderId="639" xfId="47" applyFont="1" applyFill="1" applyBorder="1">
      <alignment horizontal="center" vertical="center"/>
    </xf>
    <xf numFmtId="0" fontId="0" fillId="51" borderId="621" xfId="47" applyFont="1" applyFill="1" applyBorder="1">
      <alignment horizontal="center" vertical="center"/>
    </xf>
    <xf numFmtId="49" fontId="0" fillId="51" borderId="655" xfId="0" applyNumberFormat="1" applyFill="1" applyBorder="1">
      <alignment horizontal="center" vertical="center"/>
    </xf>
    <xf numFmtId="0" fontId="0" fillId="51" borderId="655" xfId="44" applyFont="1" applyFill="1" applyBorder="1">
      <alignment horizontal="center" vertical="center"/>
    </xf>
    <xf numFmtId="0" fontId="0" fillId="51" borderId="655" xfId="0" applyFill="1" applyBorder="1">
      <alignment horizontal="center" vertical="center"/>
    </xf>
    <xf numFmtId="0" fontId="0" fillId="55" borderId="655" xfId="0" applyFill="1" applyBorder="1">
      <alignment horizontal="center" vertical="center"/>
    </xf>
    <xf numFmtId="0" fontId="7" fillId="53" borderId="655" xfId="43" applyBorder="1">
      <alignment horizontal="center" vertical="center"/>
    </xf>
    <xf numFmtId="1" fontId="0" fillId="51" borderId="655" xfId="32" applyNumberFormat="1" applyFont="1" applyFill="1" applyBorder="1" applyAlignment="1">
      <alignment horizontal="center" vertical="center"/>
    </xf>
    <xf numFmtId="49" fontId="0" fillId="52" borderId="655" xfId="0" applyNumberFormat="1" applyFill="1" applyBorder="1">
      <alignment horizontal="center" vertical="center"/>
    </xf>
    <xf numFmtId="49" fontId="0" fillId="51" borderId="656" xfId="0" applyNumberFormat="1" applyFill="1" applyBorder="1">
      <alignment horizontal="center" vertical="center"/>
    </xf>
    <xf numFmtId="0" fontId="0" fillId="0" borderId="657" xfId="0" applyBorder="1" applyAlignment="1"/>
    <xf numFmtId="0" fontId="0" fillId="0" borderId="658" xfId="0" applyBorder="1">
      <alignment horizontal="center" vertical="center"/>
    </xf>
    <xf numFmtId="0" fontId="0" fillId="0" borderId="659" xfId="0" applyBorder="1">
      <alignment horizontal="center" vertical="center"/>
    </xf>
    <xf numFmtId="0" fontId="0" fillId="0" borderId="660" xfId="0" applyBorder="1">
      <alignment horizontal="center" vertical="center"/>
    </xf>
    <xf numFmtId="0" fontId="0" fillId="0" borderId="661" xfId="0" applyBorder="1">
      <alignment horizontal="center" vertical="center"/>
    </xf>
    <xf numFmtId="0" fontId="0" fillId="0" borderId="662" xfId="0" applyBorder="1">
      <alignment horizontal="center" vertical="center"/>
    </xf>
    <xf numFmtId="0" fontId="0" fillId="0" borderId="663" xfId="0" applyBorder="1" applyAlignment="1">
      <alignment horizontal="left" vertical="center"/>
    </xf>
    <xf numFmtId="0" fontId="0" fillId="0" borderId="664" xfId="0" applyBorder="1">
      <alignment horizontal="center" vertical="center"/>
    </xf>
    <xf numFmtId="0" fontId="0" fillId="0" borderId="665" xfId="0" applyBorder="1" applyAlignment="1">
      <alignment horizontal="left" vertical="center"/>
    </xf>
    <xf numFmtId="0" fontId="0" fillId="0" borderId="659" xfId="0" applyBorder="1" applyAlignment="1">
      <alignment horizontal="left" vertical="center"/>
    </xf>
    <xf numFmtId="0" fontId="0" fillId="0" borderId="666" xfId="0" applyBorder="1" applyAlignment="1">
      <alignment horizontal="left" vertical="center"/>
    </xf>
    <xf numFmtId="0" fontId="0" fillId="0" borderId="667" xfId="0" applyBorder="1">
      <alignment horizontal="center" vertical="center"/>
    </xf>
    <xf numFmtId="0" fontId="0" fillId="0" borderId="668" xfId="0" applyBorder="1">
      <alignment horizontal="center" vertical="center"/>
    </xf>
    <xf numFmtId="0" fontId="0" fillId="0" borderId="669" xfId="0" applyBorder="1">
      <alignment horizontal="center" vertical="center"/>
    </xf>
    <xf numFmtId="0" fontId="0" fillId="0" borderId="663" xfId="0" applyBorder="1">
      <alignment horizontal="center" vertical="center"/>
    </xf>
    <xf numFmtId="0" fontId="0" fillId="0" borderId="617" xfId="0" applyBorder="1">
      <alignment horizontal="center" vertical="center"/>
    </xf>
    <xf numFmtId="0" fontId="0" fillId="0" borderId="613" xfId="0" applyBorder="1" applyAlignment="1">
      <alignment horizontal="left" vertical="center"/>
    </xf>
    <xf numFmtId="0" fontId="0" fillId="0" borderId="613" xfId="0" applyBorder="1">
      <alignment horizontal="center" vertical="center"/>
    </xf>
    <xf numFmtId="0" fontId="0" fillId="0" borderId="670" xfId="0" applyBorder="1" applyAlignment="1">
      <alignment horizontal="left" vertical="center"/>
    </xf>
    <xf numFmtId="0" fontId="0" fillId="0" borderId="618" xfId="0" applyBorder="1">
      <alignment horizontal="center" vertical="center"/>
    </xf>
    <xf numFmtId="0" fontId="0" fillId="0" borderId="615" xfId="0" applyBorder="1" applyAlignment="1">
      <alignment horizontal="left" vertical="center"/>
    </xf>
    <xf numFmtId="0" fontId="0" fillId="0" borderId="614" xfId="0" applyBorder="1">
      <alignment horizontal="center" vertical="center"/>
    </xf>
    <xf numFmtId="0" fontId="0" fillId="0" borderId="671" xfId="0" applyBorder="1">
      <alignment horizontal="center" vertical="center"/>
    </xf>
    <xf numFmtId="0" fontId="0" fillId="0" borderId="615" xfId="0" applyBorder="1">
      <alignment horizontal="center" vertical="center"/>
    </xf>
    <xf numFmtId="0" fontId="4" fillId="43" borderId="654" xfId="0" applyFont="1" applyFill="1" applyBorder="1" applyAlignment="1">
      <alignment horizontal="center"/>
    </xf>
    <xf numFmtId="0" fontId="0" fillId="0" borderId="654" xfId="0" applyBorder="1" applyAlignment="1">
      <alignment vertical="center"/>
    </xf>
    <xf numFmtId="0" fontId="0" fillId="51" borderId="654" xfId="20" applyNumberFormat="1" applyFont="1" applyFill="1" applyBorder="1" applyAlignment="1">
      <alignment horizontal="center" vertical="center"/>
    </xf>
    <xf numFmtId="0" fontId="4" fillId="43" borderId="620" xfId="0" applyFont="1" applyFill="1" applyBorder="1" applyAlignment="1">
      <alignment horizontal="center"/>
    </xf>
    <xf numFmtId="0" fontId="0" fillId="51" borderId="620" xfId="20" applyNumberFormat="1" applyFont="1" applyFill="1" applyBorder="1" applyAlignment="1">
      <alignment horizontal="center" vertical="center"/>
    </xf>
    <xf numFmtId="0" fontId="0" fillId="56" borderId="620" xfId="0" applyFill="1" applyBorder="1">
      <alignment horizontal="center" vertical="center"/>
    </xf>
    <xf numFmtId="0" fontId="4" fillId="43" borderId="621" xfId="0" applyFont="1" applyFill="1" applyBorder="1" applyAlignment="1">
      <alignment horizontal="center"/>
    </xf>
    <xf numFmtId="0" fontId="0" fillId="0" borderId="621" xfId="0" applyBorder="1" applyAlignment="1">
      <alignment vertical="center"/>
    </xf>
    <xf numFmtId="0" fontId="0" fillId="51" borderId="621" xfId="51" applyFont="1" applyFill="1" applyBorder="1">
      <alignment horizontal="center" vertical="center"/>
    </xf>
    <xf numFmtId="0" fontId="4" fillId="0" borderId="658" xfId="0" applyFont="1" applyBorder="1" applyAlignment="1">
      <alignment horizontal="center"/>
    </xf>
    <xf numFmtId="0" fontId="4" fillId="0" borderId="663" xfId="0" applyFont="1" applyBorder="1" applyAlignment="1">
      <alignment horizontal="center"/>
    </xf>
    <xf numFmtId="0" fontId="4" fillId="0" borderId="664" xfId="0" applyFont="1" applyBorder="1" applyAlignment="1">
      <alignment horizontal="left"/>
    </xf>
    <xf numFmtId="0" fontId="6" fillId="0" borderId="663" xfId="0" applyFont="1" applyBorder="1" applyAlignment="1">
      <alignment horizontal="center"/>
    </xf>
    <xf numFmtId="0" fontId="0" fillId="0" borderId="663" xfId="0" applyBorder="1" applyAlignment="1">
      <alignment horizontal="center"/>
    </xf>
    <xf numFmtId="0" fontId="4" fillId="0" borderId="664" xfId="0" applyFont="1" applyBorder="1" applyAlignment="1">
      <alignment horizontal="center"/>
    </xf>
    <xf numFmtId="0" fontId="6" fillId="0" borderId="665" xfId="0" applyFont="1" applyBorder="1" applyAlignment="1">
      <alignment horizontal="center"/>
    </xf>
    <xf numFmtId="0" fontId="6" fillId="0" borderId="664" xfId="0" applyFont="1" applyBorder="1" applyAlignment="1">
      <alignment horizontal="center"/>
    </xf>
    <xf numFmtId="0" fontId="0" fillId="0" borderId="664" xfId="0" applyBorder="1" applyAlignment="1">
      <alignment horizontal="center"/>
    </xf>
    <xf numFmtId="0" fontId="7" fillId="0" borderId="665" xfId="0" applyFont="1" applyBorder="1" applyAlignment="1">
      <alignment horizontal="left" vertical="center"/>
    </xf>
    <xf numFmtId="0" fontId="6" fillId="0" borderId="665" xfId="0" applyFont="1" applyBorder="1">
      <alignment horizontal="center" vertical="center"/>
    </xf>
    <xf numFmtId="0" fontId="6" fillId="0" borderId="664" xfId="0" applyFont="1" applyBorder="1">
      <alignment horizontal="center" vertical="center"/>
    </xf>
    <xf numFmtId="0" fontId="6" fillId="0" borderId="666" xfId="0" applyFont="1" applyBorder="1">
      <alignment horizontal="center" vertical="center"/>
    </xf>
    <xf numFmtId="0" fontId="7" fillId="0" borderId="666" xfId="0" applyFont="1" applyBorder="1">
      <alignment horizontal="center" vertical="center"/>
    </xf>
    <xf numFmtId="0" fontId="7" fillId="0" borderId="661" xfId="0" applyFont="1" applyBorder="1">
      <alignment horizontal="center" vertical="center"/>
    </xf>
    <xf numFmtId="0" fontId="4" fillId="0" borderId="641" xfId="0" applyFont="1" applyBorder="1" applyAlignment="1">
      <alignment horizontal="center"/>
    </xf>
    <xf numFmtId="0" fontId="7" fillId="0" borderId="613" xfId="0" applyFont="1" applyBorder="1" applyAlignment="1">
      <alignment horizontal="left" vertical="center"/>
    </xf>
    <xf numFmtId="0" fontId="7" fillId="0" borderId="611" xfId="0" applyFont="1" applyBorder="1" applyAlignment="1">
      <alignment horizontal="left" vertical="center"/>
    </xf>
    <xf numFmtId="0" fontId="7" fillId="0" borderId="631" xfId="0" applyFont="1" applyBorder="1" applyAlignment="1">
      <alignment horizontal="left" vertical="center"/>
    </xf>
    <xf numFmtId="0" fontId="7" fillId="0" borderId="654" xfId="0" applyFont="1" applyBorder="1">
      <alignment horizontal="center" vertical="center"/>
    </xf>
    <xf numFmtId="0" fontId="7" fillId="0" borderId="654" xfId="0" applyFont="1" applyBorder="1" applyAlignment="1">
      <alignment horizontal="left" vertical="center"/>
    </xf>
    <xf numFmtId="0" fontId="0" fillId="0" borderId="663" xfId="0" applyBorder="1" applyAlignment="1"/>
    <xf numFmtId="0" fontId="4" fillId="0" borderId="665" xfId="0" applyFont="1" applyBorder="1" applyAlignment="1">
      <alignment horizontal="left"/>
    </xf>
    <xf numFmtId="0" fontId="0" fillId="0" borderId="665" xfId="0" applyBorder="1" applyAlignment="1"/>
    <xf numFmtId="0" fontId="0" fillId="0" borderId="664" xfId="0" applyBorder="1" applyAlignment="1"/>
    <xf numFmtId="0" fontId="4" fillId="0" borderId="663" xfId="0" applyFont="1" applyBorder="1" applyAlignment="1">
      <alignment horizontal="left"/>
    </xf>
    <xf numFmtId="0" fontId="0" fillId="0" borderId="672" xfId="0" applyBorder="1" applyAlignment="1"/>
    <xf numFmtId="0" fontId="0" fillId="0" borderId="617" xfId="0" applyBorder="1" applyAlignment="1">
      <alignment horizontal="center"/>
    </xf>
    <xf numFmtId="0" fontId="4" fillId="0" borderId="613" xfId="0" applyFont="1" applyBorder="1" applyAlignment="1">
      <alignment horizontal="left"/>
    </xf>
    <xf numFmtId="0" fontId="0" fillId="0" borderId="611" xfId="0" applyBorder="1" applyAlignment="1"/>
    <xf numFmtId="0" fontId="0" fillId="0" borderId="612" xfId="0" applyBorder="1" applyAlignment="1">
      <alignment horizontal="left"/>
    </xf>
    <xf numFmtId="0" fontId="4" fillId="0" borderId="611" xfId="0" applyFont="1" applyBorder="1" applyAlignment="1"/>
    <xf numFmtId="0" fontId="4" fillId="0" borderId="612" xfId="0" applyFont="1" applyBorder="1" applyAlignment="1">
      <alignment horizontal="left"/>
    </xf>
    <xf numFmtId="0" fontId="0" fillId="0" borderId="613" xfId="0" applyBorder="1" applyAlignment="1">
      <alignment horizontal="center"/>
    </xf>
    <xf numFmtId="0" fontId="0" fillId="0" borderId="631" xfId="0" applyBorder="1" applyAlignment="1"/>
    <xf numFmtId="0" fontId="4" fillId="0" borderId="673" xfId="0" applyFont="1" applyBorder="1" applyAlignment="1">
      <alignment horizontal="left"/>
    </xf>
    <xf numFmtId="0" fontId="0" fillId="0" borderId="674" xfId="0" applyBorder="1" applyAlignment="1"/>
    <xf numFmtId="0" fontId="0" fillId="0" borderId="675" xfId="0" applyBorder="1" applyAlignment="1">
      <alignment horizontal="left"/>
    </xf>
    <xf numFmtId="0" fontId="9" fillId="0" borderId="673" xfId="0" applyFont="1" applyBorder="1" applyAlignment="1">
      <alignment horizontal="center"/>
    </xf>
    <xf numFmtId="0" fontId="0" fillId="0" borderId="676" xfId="0" applyBorder="1" applyAlignment="1"/>
    <xf numFmtId="0" fontId="0" fillId="0" borderId="618" xfId="0" applyBorder="1" applyAlignment="1">
      <alignment horizontal="center"/>
    </xf>
    <xf numFmtId="0" fontId="4" fillId="0" borderId="615" xfId="0" applyFont="1" applyBorder="1" applyAlignment="1">
      <alignment horizontal="left"/>
    </xf>
    <xf numFmtId="0" fontId="7" fillId="0" borderId="619" xfId="0" applyFont="1" applyBorder="1" applyAlignment="1">
      <alignment horizontal="left" vertical="center"/>
    </xf>
    <xf numFmtId="0" fontId="7" fillId="0" borderId="619" xfId="0" applyFont="1" applyBorder="1">
      <alignment horizontal="center" vertical="center"/>
    </xf>
    <xf numFmtId="0" fontId="7" fillId="0" borderId="639" xfId="0" applyFont="1" applyBorder="1">
      <alignment horizontal="center" vertical="center"/>
    </xf>
    <xf numFmtId="0" fontId="7" fillId="0" borderId="615" xfId="0" applyFont="1" applyBorder="1" applyAlignment="1">
      <alignment horizontal="left" vertical="center"/>
    </xf>
    <xf numFmtId="0" fontId="7" fillId="0" borderId="619" xfId="0" applyFont="1" applyBorder="1" applyAlignment="1">
      <alignment horizontal="left"/>
    </xf>
    <xf numFmtId="0" fontId="7" fillId="0" borderId="639" xfId="0" applyFont="1" applyBorder="1" applyAlignment="1">
      <alignment horizontal="left" vertical="center"/>
    </xf>
    <xf numFmtId="0" fontId="0" fillId="0" borderId="619" xfId="0" applyBorder="1" applyAlignment="1">
      <alignment horizontal="left"/>
    </xf>
    <xf numFmtId="0" fontId="0" fillId="0" borderId="640" xfId="0" applyBorder="1" applyAlignment="1"/>
    <xf numFmtId="0" fontId="0" fillId="51" borderId="654" xfId="0" applyFill="1" applyBorder="1" applyAlignment="1">
      <alignment horizontal="left" vertical="center"/>
    </xf>
    <xf numFmtId="49" fontId="37" fillId="17" borderId="677" xfId="34" applyNumberFormat="1" applyBorder="1" applyAlignment="1">
      <alignment horizontal="center" vertical="center"/>
    </xf>
    <xf numFmtId="0" fontId="7" fillId="52" borderId="654" xfId="48" applyBorder="1">
      <alignment horizontal="center" vertical="center"/>
    </xf>
    <xf numFmtId="49" fontId="0" fillId="72" borderId="620" xfId="0" applyNumberFormat="1" applyFill="1" applyBorder="1">
      <alignment horizontal="center" vertical="center"/>
    </xf>
    <xf numFmtId="0" fontId="0" fillId="72" borderId="620" xfId="44" applyFont="1" applyFill="1" applyBorder="1">
      <alignment horizontal="center" vertical="center"/>
    </xf>
    <xf numFmtId="0" fontId="7" fillId="58" borderId="620" xfId="33" applyBorder="1">
      <alignment horizontal="center" vertical="center"/>
    </xf>
    <xf numFmtId="0" fontId="0" fillId="51" borderId="634" xfId="51" applyFont="1" applyFill="1" applyBorder="1">
      <alignment horizontal="center" vertical="center"/>
    </xf>
    <xf numFmtId="0" fontId="0" fillId="51" borderId="657" xfId="0" applyFill="1" applyBorder="1" applyAlignment="1">
      <alignment horizontal="left" vertical="center"/>
    </xf>
    <xf numFmtId="0" fontId="0" fillId="51" borderId="621" xfId="0" applyFill="1" applyBorder="1" applyAlignment="1">
      <alignment horizontal="left" vertical="center"/>
    </xf>
    <xf numFmtId="0" fontId="0" fillId="51" borderId="621" xfId="32" applyFont="1" applyFill="1" applyBorder="1" applyAlignment="1">
      <alignment horizontal="center" vertical="center"/>
    </xf>
    <xf numFmtId="0" fontId="0" fillId="75" borderId="621" xfId="47" applyFont="1" applyFill="1" applyBorder="1">
      <alignment horizontal="center" vertical="center"/>
    </xf>
    <xf numFmtId="0" fontId="36" fillId="16" borderId="678" xfId="20" applyFont="1" applyBorder="1" applyAlignment="1">
      <alignment horizontal="center" vertical="center"/>
    </xf>
    <xf numFmtId="0" fontId="0" fillId="51" borderId="633" xfId="48" applyFont="1" applyFill="1" applyBorder="1">
      <alignment horizontal="center" vertical="center"/>
    </xf>
    <xf numFmtId="0" fontId="0" fillId="0" borderId="615" xfId="0" applyBorder="1" applyAlignment="1">
      <alignment horizontal="left"/>
    </xf>
    <xf numFmtId="0" fontId="0" fillId="0" borderId="619" xfId="0" applyBorder="1" applyAlignment="1"/>
    <xf numFmtId="0" fontId="0" fillId="0" borderId="639" xfId="0" applyBorder="1" applyAlignment="1">
      <alignment horizontal="left"/>
    </xf>
    <xf numFmtId="0" fontId="0" fillId="0" borderId="615" xfId="0" applyBorder="1" applyAlignment="1">
      <alignment horizontal="center"/>
    </xf>
    <xf numFmtId="0" fontId="4" fillId="43" borderId="679" xfId="0" applyFont="1" applyFill="1" applyBorder="1" applyAlignment="1">
      <alignment horizontal="center"/>
    </xf>
    <xf numFmtId="0" fontId="0" fillId="72" borderId="679" xfId="0" applyFill="1" applyBorder="1">
      <alignment horizontal="center" vertical="center"/>
    </xf>
    <xf numFmtId="0" fontId="0" fillId="72" borderId="679" xfId="44" applyFont="1" applyFill="1" applyBorder="1">
      <alignment horizontal="center" vertical="center"/>
    </xf>
    <xf numFmtId="0" fontId="0" fillId="51" borderId="679" xfId="0" applyFill="1" applyBorder="1">
      <alignment horizontal="center" vertical="center"/>
    </xf>
    <xf numFmtId="49" fontId="0" fillId="51" borderId="679" xfId="0" applyNumberFormat="1" applyFill="1" applyBorder="1">
      <alignment horizontal="center" vertical="center"/>
    </xf>
    <xf numFmtId="0" fontId="0" fillId="51" borderId="679" xfId="44" applyFont="1" applyFill="1" applyBorder="1">
      <alignment horizontal="center" vertical="center"/>
    </xf>
    <xf numFmtId="0" fontId="0" fillId="51" borderId="680" xfId="0" applyFill="1" applyBorder="1">
      <alignment horizontal="center" vertical="center"/>
    </xf>
    <xf numFmtId="0" fontId="3" fillId="0" borderId="613" xfId="0" applyFont="1" applyBorder="1" applyAlignment="1">
      <alignment horizontal="left"/>
    </xf>
    <xf numFmtId="0" fontId="4" fillId="0" borderId="611" xfId="0" applyFont="1" applyBorder="1">
      <alignment horizontal="center" vertical="center"/>
    </xf>
    <xf numFmtId="167" fontId="9" fillId="0" borderId="615" xfId="0" applyNumberFormat="1" applyFont="1" applyBorder="1" applyAlignment="1">
      <alignment horizontal="center"/>
    </xf>
    <xf numFmtId="0" fontId="0" fillId="51" borderId="646" xfId="0" applyFill="1" applyBorder="1">
      <alignment horizontal="center" vertical="center"/>
    </xf>
    <xf numFmtId="0" fontId="0" fillId="71" borderId="646" xfId="0" applyFill="1" applyBorder="1">
      <alignment horizontal="center" vertical="center"/>
    </xf>
    <xf numFmtId="0" fontId="0" fillId="51" borderId="647" xfId="0" applyFill="1" applyBorder="1">
      <alignment horizontal="center" vertical="center"/>
    </xf>
    <xf numFmtId="0" fontId="7" fillId="51" borderId="663" xfId="0" applyFont="1" applyFill="1" applyBorder="1" applyAlignment="1">
      <alignment vertical="center"/>
    </xf>
    <xf numFmtId="0" fontId="7" fillId="69" borderId="679" xfId="44" applyBorder="1">
      <alignment horizontal="center" vertical="center"/>
    </xf>
    <xf numFmtId="0" fontId="7" fillId="52" borderId="679" xfId="48" applyBorder="1">
      <alignment horizontal="center" vertical="center"/>
    </xf>
    <xf numFmtId="0" fontId="0" fillId="51" borderId="679" xfId="46" applyFont="1" applyFill="1" applyBorder="1">
      <alignment horizontal="center" vertical="center"/>
    </xf>
    <xf numFmtId="0" fontId="52" fillId="56" borderId="679" xfId="46" applyBorder="1">
      <alignment horizontal="center" vertical="center"/>
    </xf>
    <xf numFmtId="0" fontId="7" fillId="54" borderId="679" xfId="50" applyBorder="1">
      <alignment horizontal="center" vertical="center"/>
    </xf>
    <xf numFmtId="0" fontId="7" fillId="51" borderId="613" xfId="0" applyFont="1" applyFill="1" applyBorder="1" applyAlignment="1">
      <alignment vertical="center"/>
    </xf>
    <xf numFmtId="0" fontId="0" fillId="51" borderId="681" xfId="48" applyFont="1" applyFill="1" applyBorder="1">
      <alignment horizontal="center" vertical="center"/>
    </xf>
    <xf numFmtId="0" fontId="7" fillId="52" borderId="681" xfId="48" applyBorder="1">
      <alignment horizontal="center" vertical="center"/>
    </xf>
    <xf numFmtId="0" fontId="0" fillId="51" borderId="613" xfId="0" applyFill="1" applyBorder="1" applyAlignment="1">
      <alignment vertical="center"/>
    </xf>
    <xf numFmtId="0" fontId="0" fillId="91" borderId="681" xfId="48" applyFont="1" applyFill="1" applyBorder="1">
      <alignment horizontal="center" vertical="center"/>
    </xf>
    <xf numFmtId="0" fontId="0" fillId="74" borderId="681" xfId="0" applyFill="1" applyBorder="1">
      <alignment horizontal="center" vertical="center"/>
    </xf>
    <xf numFmtId="0" fontId="0" fillId="51" borderId="681" xfId="43" applyFont="1" applyFill="1" applyBorder="1">
      <alignment horizontal="center" vertical="center"/>
    </xf>
    <xf numFmtId="0" fontId="0" fillId="51" borderId="681" xfId="46" applyFont="1" applyFill="1" applyBorder="1">
      <alignment horizontal="center" vertical="center"/>
    </xf>
    <xf numFmtId="0" fontId="0" fillId="51" borderId="682" xfId="48" applyFont="1" applyFill="1" applyBorder="1">
      <alignment horizontal="center" vertical="center"/>
    </xf>
    <xf numFmtId="0" fontId="0" fillId="51" borderId="683" xfId="0" applyFill="1" applyBorder="1">
      <alignment horizontal="center" vertical="center"/>
    </xf>
    <xf numFmtId="0" fontId="0" fillId="51" borderId="684" xfId="0" applyFill="1" applyBorder="1">
      <alignment horizontal="center" vertical="center"/>
    </xf>
    <xf numFmtId="0" fontId="4" fillId="0" borderId="685" xfId="0" applyFont="1" applyBorder="1" applyAlignment="1">
      <alignment horizontal="center"/>
    </xf>
    <xf numFmtId="49" fontId="7" fillId="0" borderId="686" xfId="0" applyNumberFormat="1" applyFont="1" applyBorder="1">
      <alignment horizontal="center" vertical="center"/>
    </xf>
    <xf numFmtId="0" fontId="0" fillId="0" borderId="687" xfId="0" applyBorder="1">
      <alignment horizontal="center" vertical="center"/>
    </xf>
    <xf numFmtId="0" fontId="0" fillId="0" borderId="688" xfId="0" applyBorder="1">
      <alignment horizontal="center" vertical="center"/>
    </xf>
    <xf numFmtId="0" fontId="4" fillId="0" borderId="688" xfId="0" applyFont="1" applyBorder="1" applyAlignment="1">
      <alignment horizontal="left"/>
    </xf>
    <xf numFmtId="0" fontId="0" fillId="0" borderId="689" xfId="0" applyBorder="1">
      <alignment horizontal="center" vertical="center"/>
    </xf>
    <xf numFmtId="0" fontId="0" fillId="0" borderId="690" xfId="0" applyBorder="1">
      <alignment horizontal="center" vertical="center"/>
    </xf>
    <xf numFmtId="0" fontId="3" fillId="0" borderId="690" xfId="0" applyFont="1" applyBorder="1">
      <alignment horizontal="center" vertical="center"/>
    </xf>
    <xf numFmtId="0" fontId="3" fillId="0" borderId="691" xfId="0" applyFont="1" applyBorder="1" applyAlignment="1">
      <alignment horizontal="left" vertical="center"/>
    </xf>
    <xf numFmtId="0" fontId="3" fillId="0" borderId="691" xfId="0" applyFont="1" applyBorder="1">
      <alignment horizontal="center" vertical="center"/>
    </xf>
    <xf numFmtId="0" fontId="3" fillId="0" borderId="692" xfId="0" applyFont="1" applyBorder="1">
      <alignment horizontal="center" vertical="center"/>
    </xf>
    <xf numFmtId="49" fontId="3" fillId="0" borderId="690" xfId="0" applyNumberFormat="1" applyFont="1" applyBorder="1">
      <alignment horizontal="center" vertical="center"/>
    </xf>
    <xf numFmtId="49" fontId="7" fillId="0" borderId="690" xfId="0" applyNumberFormat="1" applyFont="1" applyBorder="1">
      <alignment horizontal="center" vertical="center"/>
    </xf>
    <xf numFmtId="0" fontId="7" fillId="0" borderId="691" xfId="0" applyFont="1" applyBorder="1">
      <alignment horizontal="center" vertical="center"/>
    </xf>
    <xf numFmtId="0" fontId="7" fillId="0" borderId="692" xfId="0" applyFont="1" applyBorder="1">
      <alignment horizontal="center" vertical="center"/>
    </xf>
    <xf numFmtId="0" fontId="9" fillId="0" borderId="691" xfId="0" applyFont="1" applyBorder="1">
      <alignment horizontal="center" vertical="center"/>
    </xf>
    <xf numFmtId="0" fontId="9" fillId="0" borderId="693" xfId="0" applyFont="1" applyBorder="1">
      <alignment horizontal="center" vertical="center"/>
    </xf>
    <xf numFmtId="0" fontId="0" fillId="0" borderId="694" xfId="0" applyBorder="1">
      <alignment horizontal="center" vertical="center"/>
    </xf>
    <xf numFmtId="49" fontId="15" fillId="0" borderId="690" xfId="0" applyNumberFormat="1" applyFont="1" applyBorder="1">
      <alignment horizontal="center" vertical="center"/>
    </xf>
    <xf numFmtId="0" fontId="15" fillId="0" borderId="691" xfId="0" applyFont="1" applyBorder="1" applyAlignment="1">
      <alignment horizontal="left" vertical="center"/>
    </xf>
    <xf numFmtId="0" fontId="15" fillId="0" borderId="691" xfId="0" applyFont="1" applyBorder="1">
      <alignment horizontal="center" vertical="center"/>
    </xf>
    <xf numFmtId="0" fontId="15" fillId="0" borderId="692" xfId="0" applyFont="1" applyBorder="1">
      <alignment horizontal="center" vertical="center"/>
    </xf>
    <xf numFmtId="49" fontId="7" fillId="0" borderId="694" xfId="0" applyNumberFormat="1" applyFont="1" applyBorder="1">
      <alignment horizontal="center" vertical="center"/>
    </xf>
    <xf numFmtId="0" fontId="9" fillId="0" borderId="695" xfId="0" applyFont="1" applyBorder="1">
      <alignment horizontal="center" vertical="center"/>
    </xf>
    <xf numFmtId="0" fontId="7" fillId="0" borderId="690" xfId="0" applyFont="1" applyBorder="1">
      <alignment horizontal="center" vertical="center"/>
    </xf>
    <xf numFmtId="49" fontId="7" fillId="0" borderId="691" xfId="0" applyNumberFormat="1" applyFont="1" applyBorder="1">
      <alignment horizontal="center" vertical="center"/>
    </xf>
    <xf numFmtId="0" fontId="0" fillId="0" borderId="696" xfId="0" applyBorder="1">
      <alignment horizontal="center" vertical="center"/>
    </xf>
    <xf numFmtId="0" fontId="3" fillId="0" borderId="696" xfId="0" applyFont="1" applyBorder="1">
      <alignment horizontal="center" vertical="center"/>
    </xf>
    <xf numFmtId="0" fontId="3" fillId="0" borderId="697" xfId="0" applyFont="1" applyBorder="1" applyAlignment="1">
      <alignment horizontal="left" vertical="center"/>
    </xf>
    <xf numFmtId="0" fontId="3" fillId="0" borderId="697" xfId="0" applyFont="1" applyBorder="1">
      <alignment horizontal="center" vertical="center"/>
    </xf>
    <xf numFmtId="0" fontId="3" fillId="0" borderId="698" xfId="0" applyFont="1" applyBorder="1">
      <alignment horizontal="center" vertical="center"/>
    </xf>
    <xf numFmtId="49" fontId="3" fillId="0" borderId="696" xfId="0" applyNumberFormat="1" applyFont="1" applyBorder="1">
      <alignment horizontal="center" vertical="center"/>
    </xf>
    <xf numFmtId="0" fontId="7" fillId="0" borderId="696" xfId="0" applyFont="1" applyBorder="1">
      <alignment horizontal="center" vertical="center"/>
    </xf>
    <xf numFmtId="0" fontId="7" fillId="0" borderId="697" xfId="0" applyFont="1" applyBorder="1">
      <alignment horizontal="center" vertical="center"/>
    </xf>
    <xf numFmtId="0" fontId="7" fillId="0" borderId="698" xfId="0" applyFont="1" applyBorder="1">
      <alignment horizontal="center" vertical="center"/>
    </xf>
    <xf numFmtId="49" fontId="7" fillId="0" borderId="697" xfId="0" applyNumberFormat="1" applyFont="1" applyBorder="1">
      <alignment horizontal="center" vertical="center"/>
    </xf>
    <xf numFmtId="49" fontId="7" fillId="0" borderId="696" xfId="0" applyNumberFormat="1" applyFont="1" applyBorder="1">
      <alignment horizontal="center" vertical="center"/>
    </xf>
    <xf numFmtId="0" fontId="9" fillId="0" borderId="697" xfId="0" applyFont="1" applyBorder="1">
      <alignment horizontal="center" vertical="center"/>
    </xf>
    <xf numFmtId="0" fontId="9" fillId="0" borderId="699" xfId="0" applyFont="1" applyBorder="1">
      <alignment horizontal="center" vertical="center"/>
    </xf>
    <xf numFmtId="0" fontId="6" fillId="0" borderId="657" xfId="0" applyFont="1" applyBorder="1" applyAlignment="1">
      <alignment horizontal="center"/>
    </xf>
    <xf numFmtId="0" fontId="0" fillId="51" borderId="679" xfId="0" applyFill="1" applyBorder="1" applyAlignment="1">
      <alignment horizontal="left" vertical="center" wrapText="1"/>
    </xf>
    <xf numFmtId="0" fontId="7" fillId="52" borderId="700" xfId="48" applyBorder="1">
      <alignment horizontal="center" vertical="center"/>
    </xf>
    <xf numFmtId="49" fontId="0" fillId="51" borderId="700" xfId="0" applyNumberFormat="1" applyFill="1" applyBorder="1">
      <alignment horizontal="center" vertical="center"/>
    </xf>
    <xf numFmtId="0" fontId="0" fillId="55" borderId="701" xfId="45" applyFont="1" applyBorder="1">
      <alignment horizontal="center" vertical="center"/>
    </xf>
    <xf numFmtId="0" fontId="0" fillId="51" borderId="681" xfId="0" applyFill="1" applyBorder="1" applyAlignment="1">
      <alignment horizontal="left" vertical="center" wrapText="1"/>
    </xf>
    <xf numFmtId="49" fontId="0" fillId="51" borderId="702" xfId="0" applyNumberFormat="1" applyFill="1" applyBorder="1">
      <alignment horizontal="center" vertical="center"/>
    </xf>
    <xf numFmtId="0" fontId="0" fillId="55" borderId="701" xfId="0" applyFill="1" applyBorder="1">
      <alignment horizontal="center" vertical="center"/>
    </xf>
    <xf numFmtId="49" fontId="0" fillId="52" borderId="702" xfId="0" applyNumberFormat="1" applyFill="1" applyBorder="1">
      <alignment horizontal="center" vertical="center"/>
    </xf>
    <xf numFmtId="0" fontId="7" fillId="52" borderId="702" xfId="48" applyBorder="1">
      <alignment horizontal="center" vertical="center"/>
    </xf>
    <xf numFmtId="0" fontId="0" fillId="0" borderId="703" xfId="0" applyBorder="1" applyAlignment="1">
      <alignment vertical="center"/>
    </xf>
    <xf numFmtId="0" fontId="7" fillId="53" borderId="702" xfId="43" applyBorder="1">
      <alignment horizontal="center" vertical="center"/>
    </xf>
    <xf numFmtId="0" fontId="0" fillId="0" borderId="702" xfId="0" applyBorder="1">
      <alignment horizontal="center" vertical="center"/>
    </xf>
    <xf numFmtId="0" fontId="0" fillId="51" borderId="704" xfId="0" applyFill="1" applyBorder="1" applyAlignment="1">
      <alignment horizontal="left" vertical="center"/>
    </xf>
    <xf numFmtId="0" fontId="0" fillId="51" borderId="702" xfId="0" applyFill="1" applyBorder="1">
      <alignment horizontal="center" vertical="center"/>
    </xf>
    <xf numFmtId="0" fontId="0" fillId="52" borderId="702" xfId="0" applyFill="1" applyBorder="1">
      <alignment horizontal="center" vertical="center"/>
    </xf>
    <xf numFmtId="0" fontId="0" fillId="51" borderId="681" xfId="50" applyFont="1" applyFill="1" applyBorder="1">
      <alignment horizontal="center" vertical="center"/>
    </xf>
    <xf numFmtId="49" fontId="0" fillId="54" borderId="681" xfId="0" applyNumberFormat="1" applyFill="1" applyBorder="1">
      <alignment horizontal="center" vertical="center"/>
    </xf>
    <xf numFmtId="0" fontId="0" fillId="51" borderId="705" xfId="0" applyFill="1" applyBorder="1" applyAlignment="1">
      <alignment horizontal="left" vertical="center"/>
    </xf>
    <xf numFmtId="0" fontId="7" fillId="53" borderId="705" xfId="43" applyBorder="1">
      <alignment horizontal="center" vertical="center"/>
    </xf>
    <xf numFmtId="0" fontId="7" fillId="52" borderId="705" xfId="48" applyBorder="1">
      <alignment horizontal="center" vertical="center"/>
    </xf>
    <xf numFmtId="0" fontId="4" fillId="0" borderId="681" xfId="0" applyFont="1" applyBorder="1" applyAlignment="1">
      <alignment horizontal="center"/>
    </xf>
    <xf numFmtId="0" fontId="4" fillId="0" borderId="663" xfId="0" applyFont="1" applyBorder="1" applyAlignment="1">
      <alignment horizontal="left" vertical="center"/>
    </xf>
    <xf numFmtId="0" fontId="0" fillId="0" borderId="664" xfId="0" applyBorder="1" applyAlignment="1">
      <alignment horizontal="left" vertical="center"/>
    </xf>
    <xf numFmtId="0" fontId="4" fillId="0" borderId="665" xfId="0" applyFont="1" applyBorder="1" applyAlignment="1">
      <alignment horizontal="left" vertical="center"/>
    </xf>
    <xf numFmtId="0" fontId="4" fillId="0" borderId="704" xfId="0" applyFont="1" applyBorder="1" applyAlignment="1">
      <alignment horizontal="center"/>
    </xf>
    <xf numFmtId="0" fontId="4" fillId="0" borderId="706" xfId="0" applyFont="1" applyBorder="1" applyAlignment="1">
      <alignment horizontal="left"/>
    </xf>
    <xf numFmtId="0" fontId="0" fillId="0" borderId="707" xfId="0" applyBorder="1" applyAlignment="1">
      <alignment horizontal="left" vertical="center"/>
    </xf>
    <xf numFmtId="49" fontId="0" fillId="0" borderId="708" xfId="0" applyNumberFormat="1" applyBorder="1" applyAlignment="1">
      <alignment horizontal="left"/>
    </xf>
    <xf numFmtId="49" fontId="0" fillId="0" borderId="708" xfId="0" applyNumberFormat="1" applyBorder="1" applyAlignment="1">
      <alignment horizontal="left" vertical="center"/>
    </xf>
    <xf numFmtId="0" fontId="3" fillId="0" borderId="703" xfId="0" applyFont="1" applyBorder="1" applyAlignment="1">
      <alignment horizontal="center"/>
    </xf>
    <xf numFmtId="0" fontId="0" fillId="0" borderId="709" xfId="0" applyBorder="1" applyAlignment="1">
      <alignment horizontal="left" vertical="center"/>
    </xf>
    <xf numFmtId="49" fontId="0" fillId="0" borderId="710" xfId="0" applyNumberFormat="1" applyBorder="1" applyAlignment="1">
      <alignment horizontal="left"/>
    </xf>
    <xf numFmtId="0" fontId="4" fillId="0" borderId="679" xfId="0" applyFont="1" applyBorder="1" applyAlignment="1" applyProtection="1">
      <alignment horizontal="center"/>
      <protection locked="0"/>
    </xf>
    <xf numFmtId="0" fontId="0" fillId="0" borderId="679" xfId="0" applyBorder="1" applyAlignment="1">
      <alignment horizontal="left"/>
    </xf>
    <xf numFmtId="0" fontId="0" fillId="51" borderId="703" xfId="53" applyFont="1" applyFill="1" applyBorder="1">
      <alignment horizontal="center" vertical="center"/>
    </xf>
    <xf numFmtId="0" fontId="4" fillId="0" borderId="703" xfId="0" applyFont="1" applyBorder="1" applyAlignment="1" applyProtection="1">
      <alignment horizontal="center"/>
      <protection locked="0"/>
    </xf>
    <xf numFmtId="0" fontId="4" fillId="0" borderId="703" xfId="0" applyFont="1" applyBorder="1" applyAlignment="1">
      <alignment horizontal="left"/>
    </xf>
    <xf numFmtId="0" fontId="0" fillId="51" borderId="711" xfId="0" applyFill="1" applyBorder="1">
      <alignment horizontal="center" vertical="center"/>
    </xf>
    <xf numFmtId="0" fontId="0" fillId="0" borderId="703" xfId="0" applyBorder="1" applyAlignment="1" applyProtection="1">
      <alignment horizontal="center"/>
      <protection locked="0"/>
    </xf>
    <xf numFmtId="0" fontId="0" fillId="0" borderId="703" xfId="0" applyBorder="1" applyAlignment="1">
      <alignment horizontal="left"/>
    </xf>
    <xf numFmtId="0" fontId="7" fillId="69" borderId="703" xfId="44" applyBorder="1">
      <alignment horizontal="center" vertical="center"/>
    </xf>
    <xf numFmtId="0" fontId="4" fillId="0" borderId="703" xfId="0" applyFont="1" applyBorder="1" applyAlignment="1">
      <alignment vertical="center"/>
    </xf>
    <xf numFmtId="0" fontId="7" fillId="53" borderId="703" xfId="43" applyBorder="1">
      <alignment horizontal="center" vertical="center"/>
    </xf>
    <xf numFmtId="0" fontId="0" fillId="51" borderId="703" xfId="50" applyFont="1" applyFill="1" applyBorder="1">
      <alignment horizontal="center" vertical="center"/>
    </xf>
    <xf numFmtId="0" fontId="3" fillId="0" borderId="703" xfId="0" applyFont="1" applyBorder="1" applyAlignment="1" applyProtection="1">
      <alignment horizontal="center"/>
      <protection locked="0"/>
    </xf>
    <xf numFmtId="0" fontId="0" fillId="51" borderId="711" xfId="48" applyFont="1" applyFill="1" applyBorder="1">
      <alignment horizontal="center" vertical="center"/>
    </xf>
    <xf numFmtId="0" fontId="7" fillId="54" borderId="703" xfId="50" applyBorder="1">
      <alignment horizontal="center" vertical="center"/>
    </xf>
    <xf numFmtId="0" fontId="0" fillId="51" borderId="711" xfId="51" applyFont="1" applyFill="1" applyBorder="1">
      <alignment horizontal="center" vertical="center"/>
    </xf>
    <xf numFmtId="0" fontId="7" fillId="0" borderId="703" xfId="53" applyBorder="1">
      <alignment horizontal="center" vertical="center"/>
    </xf>
    <xf numFmtId="0" fontId="7" fillId="58" borderId="703" xfId="33" applyBorder="1">
      <alignment horizontal="center" vertical="center"/>
    </xf>
    <xf numFmtId="0" fontId="4" fillId="0" borderId="712" xfId="0" applyFont="1" applyBorder="1">
      <alignment horizontal="center" vertical="center"/>
    </xf>
    <xf numFmtId="0" fontId="0" fillId="51" borderId="703" xfId="33" applyFont="1" applyFill="1" applyBorder="1">
      <alignment horizontal="center" vertical="center"/>
    </xf>
    <xf numFmtId="49" fontId="0" fillId="51" borderId="711" xfId="0" applyNumberFormat="1" applyFill="1" applyBorder="1">
      <alignment horizontal="center" vertical="center"/>
    </xf>
    <xf numFmtId="0" fontId="7" fillId="0" borderId="703" xfId="0" applyFont="1" applyBorder="1" applyAlignment="1">
      <alignment vertical="center"/>
    </xf>
    <xf numFmtId="0" fontId="7" fillId="51" borderId="703" xfId="0" applyFont="1" applyFill="1" applyBorder="1" applyAlignment="1">
      <alignment vertical="center"/>
    </xf>
    <xf numFmtId="0" fontId="4" fillId="0" borderId="713" xfId="0" applyFont="1" applyBorder="1" applyAlignment="1">
      <alignment horizontal="center"/>
    </xf>
    <xf numFmtId="0" fontId="4" fillId="0" borderId="714" xfId="0" applyFont="1" applyBorder="1" applyAlignment="1">
      <alignment horizontal="center"/>
    </xf>
    <xf numFmtId="0" fontId="3" fillId="0" borderId="706" xfId="0" applyFont="1" applyBorder="1" applyAlignment="1">
      <alignment horizontal="left"/>
    </xf>
    <xf numFmtId="0" fontId="4" fillId="0" borderId="715" xfId="0" applyFont="1" applyBorder="1" applyAlignment="1">
      <alignment horizontal="center"/>
    </xf>
    <xf numFmtId="0" fontId="3" fillId="0" borderId="716" xfId="0" applyFont="1" applyBorder="1" applyAlignment="1">
      <alignment horizontal="center"/>
    </xf>
    <xf numFmtId="0" fontId="0" fillId="0" borderId="701" xfId="0" applyBorder="1" applyAlignment="1" applyProtection="1">
      <alignment horizontal="center"/>
      <protection locked="0"/>
    </xf>
    <xf numFmtId="0" fontId="0" fillId="0" borderId="708" xfId="0" applyBorder="1" applyAlignment="1" applyProtection="1">
      <alignment horizontal="center"/>
      <protection locked="0"/>
    </xf>
    <xf numFmtId="0" fontId="0" fillId="43" borderId="717" xfId="0" applyFill="1" applyBorder="1" applyAlignment="1">
      <alignment horizontal="center"/>
    </xf>
    <xf numFmtId="0" fontId="47" fillId="0" borderId="717" xfId="0" applyFont="1" applyBorder="1" applyAlignment="1">
      <alignment horizontal="left" vertical="center"/>
    </xf>
    <xf numFmtId="0" fontId="0" fillId="0" borderId="718" xfId="0" applyBorder="1" applyAlignment="1">
      <alignment horizontal="left" vertical="center"/>
    </xf>
    <xf numFmtId="0" fontId="0" fillId="0" borderId="719" xfId="0" applyBorder="1" applyAlignment="1" applyProtection="1">
      <alignment horizontal="center"/>
      <protection locked="0"/>
    </xf>
    <xf numFmtId="0" fontId="0" fillId="0" borderId="720" xfId="0" applyBorder="1" applyAlignment="1">
      <alignment horizontal="left" vertical="center"/>
    </xf>
    <xf numFmtId="0" fontId="7" fillId="0" borderId="717" xfId="53" applyBorder="1">
      <alignment horizontal="center" vertical="center"/>
    </xf>
    <xf numFmtId="49" fontId="0" fillId="0" borderId="708" xfId="0" applyNumberFormat="1" applyBorder="1" applyAlignment="1"/>
    <xf numFmtId="0" fontId="4" fillId="0" borderId="719" xfId="0" applyFont="1" applyBorder="1" applyAlignment="1" applyProtection="1">
      <alignment horizontal="center"/>
      <protection locked="0"/>
    </xf>
    <xf numFmtId="0" fontId="6" fillId="0" borderId="719" xfId="0" applyFont="1" applyBorder="1" applyAlignment="1">
      <alignment horizontal="center"/>
    </xf>
    <xf numFmtId="0" fontId="0" fillId="0" borderId="721" xfId="0" applyBorder="1" applyAlignment="1">
      <alignment horizontal="left" vertical="center"/>
    </xf>
    <xf numFmtId="0" fontId="0" fillId="0" borderId="701" xfId="0" applyBorder="1" applyAlignment="1" applyProtection="1">
      <alignment horizontal="left"/>
      <protection locked="0"/>
    </xf>
    <xf numFmtId="0" fontId="0" fillId="0" borderId="690" xfId="0" applyBorder="1" applyAlignment="1">
      <alignment horizontal="left" vertical="center"/>
    </xf>
    <xf numFmtId="0" fontId="0" fillId="51" borderId="722" xfId="0" applyFill="1" applyBorder="1">
      <alignment horizontal="center" vertical="center"/>
    </xf>
    <xf numFmtId="0" fontId="0" fillId="0" borderId="681" xfId="0" applyBorder="1" applyAlignment="1" applyProtection="1">
      <alignment horizontal="center"/>
      <protection locked="0"/>
    </xf>
    <xf numFmtId="0" fontId="52" fillId="56" borderId="681" xfId="46" applyBorder="1">
      <alignment horizontal="center" vertical="center"/>
    </xf>
    <xf numFmtId="0" fontId="0" fillId="0" borderId="723" xfId="0" applyBorder="1" applyAlignment="1">
      <alignment vertical="center"/>
    </xf>
    <xf numFmtId="0" fontId="0" fillId="0" borderId="705" xfId="0" applyBorder="1">
      <alignment horizontal="center" vertical="center"/>
    </xf>
    <xf numFmtId="0" fontId="0" fillId="0" borderId="705" xfId="0" applyBorder="1" applyAlignment="1">
      <alignment vertical="center"/>
    </xf>
    <xf numFmtId="49" fontId="0" fillId="51" borderId="724" xfId="0" applyNumberFormat="1" applyFill="1" applyBorder="1">
      <alignment horizontal="center" vertical="center"/>
    </xf>
    <xf numFmtId="49" fontId="0" fillId="51" borderId="719" xfId="0" applyNumberFormat="1" applyFill="1" applyBorder="1">
      <alignment horizontal="center" vertical="center"/>
    </xf>
    <xf numFmtId="0" fontId="0" fillId="51" borderId="719" xfId="0" applyFill="1" applyBorder="1">
      <alignment horizontal="center" vertical="center"/>
    </xf>
    <xf numFmtId="49" fontId="0" fillId="51" borderId="725" xfId="0" applyNumberFormat="1" applyFill="1" applyBorder="1">
      <alignment horizontal="center" vertical="center"/>
    </xf>
    <xf numFmtId="0" fontId="6" fillId="44" borderId="708" xfId="0" applyFont="1" applyFill="1" applyBorder="1" applyAlignment="1">
      <alignment horizontal="left"/>
    </xf>
    <xf numFmtId="0" fontId="6" fillId="25" borderId="708" xfId="0" applyFont="1" applyFill="1" applyBorder="1">
      <alignment horizontal="center" vertical="center"/>
    </xf>
    <xf numFmtId="0" fontId="7" fillId="25" borderId="706" xfId="0" applyFont="1" applyFill="1" applyBorder="1">
      <alignment horizontal="center" vertical="center"/>
    </xf>
    <xf numFmtId="0" fontId="6" fillId="29" borderId="708" xfId="0" applyFont="1" applyFill="1" applyBorder="1" applyAlignment="1">
      <alignment horizontal="left"/>
    </xf>
    <xf numFmtId="0" fontId="6" fillId="29" borderId="706" xfId="0" applyFont="1" applyFill="1" applyBorder="1" applyAlignment="1">
      <alignment horizontal="left"/>
    </xf>
    <xf numFmtId="0" fontId="7" fillId="29" borderId="706" xfId="0" applyFont="1" applyFill="1" applyBorder="1">
      <alignment horizontal="center" vertical="center"/>
    </xf>
    <xf numFmtId="0" fontId="7" fillId="29" borderId="707" xfId="0" applyFont="1" applyFill="1" applyBorder="1">
      <alignment horizontal="center" vertical="center"/>
    </xf>
    <xf numFmtId="0" fontId="6" fillId="37" borderId="708" xfId="0" applyFont="1" applyFill="1" applyBorder="1" applyAlignment="1">
      <alignment horizontal="left"/>
    </xf>
    <xf numFmtId="0" fontId="6" fillId="37" borderId="706" xfId="0" applyFont="1" applyFill="1" applyBorder="1" applyAlignment="1">
      <alignment horizontal="left"/>
    </xf>
    <xf numFmtId="0" fontId="0" fillId="37" borderId="706" xfId="0" applyFill="1" applyBorder="1">
      <alignment horizontal="center" vertical="center"/>
    </xf>
    <xf numFmtId="0" fontId="6" fillId="45" borderId="708" xfId="0" applyFont="1" applyFill="1" applyBorder="1" applyAlignment="1">
      <alignment horizontal="left"/>
    </xf>
    <xf numFmtId="0" fontId="0" fillId="45" borderId="706" xfId="0" applyFill="1" applyBorder="1">
      <alignment horizontal="center" vertical="center"/>
    </xf>
    <xf numFmtId="0" fontId="7" fillId="45" borderId="706" xfId="0" applyFont="1" applyFill="1" applyBorder="1">
      <alignment horizontal="center" vertical="center"/>
    </xf>
    <xf numFmtId="0" fontId="7" fillId="45" borderId="707" xfId="0" applyFont="1" applyFill="1" applyBorder="1">
      <alignment horizontal="center" vertical="center"/>
    </xf>
    <xf numFmtId="0" fontId="6" fillId="24" borderId="708" xfId="0" applyFont="1" applyFill="1" applyBorder="1">
      <alignment horizontal="center" vertical="center"/>
    </xf>
    <xf numFmtId="0" fontId="0" fillId="24" borderId="706" xfId="0" applyFill="1" applyBorder="1">
      <alignment horizontal="center" vertical="center"/>
    </xf>
    <xf numFmtId="0" fontId="7" fillId="24" borderId="706" xfId="0" applyFont="1" applyFill="1" applyBorder="1">
      <alignment horizontal="center" vertical="center"/>
    </xf>
    <xf numFmtId="0" fontId="6" fillId="40" borderId="708" xfId="0" applyFont="1" applyFill="1" applyBorder="1" applyAlignment="1">
      <alignment horizontal="left"/>
    </xf>
    <xf numFmtId="0" fontId="7" fillId="40" borderId="706" xfId="0" applyFont="1" applyFill="1" applyBorder="1">
      <alignment horizontal="center" vertical="center"/>
    </xf>
    <xf numFmtId="0" fontId="0" fillId="40" borderId="707" xfId="0" applyFill="1" applyBorder="1">
      <alignment horizontal="center" vertical="center"/>
    </xf>
    <xf numFmtId="0" fontId="0" fillId="46" borderId="726" xfId="0" applyFill="1" applyBorder="1">
      <alignment horizontal="center" vertical="center"/>
    </xf>
    <xf numFmtId="0" fontId="7" fillId="46" borderId="726" xfId="0" applyFont="1" applyFill="1" applyBorder="1">
      <alignment horizontal="center" vertical="center"/>
    </xf>
    <xf numFmtId="0" fontId="7" fillId="46" borderId="727" xfId="0" applyFont="1" applyFill="1" applyBorder="1">
      <alignment horizontal="center" vertical="center"/>
    </xf>
    <xf numFmtId="0" fontId="6" fillId="0" borderId="721" xfId="0" applyFont="1" applyBorder="1" applyAlignment="1">
      <alignment horizontal="left" vertical="center"/>
    </xf>
    <xf numFmtId="0" fontId="7" fillId="0" borderId="726" xfId="0" applyFont="1" applyBorder="1">
      <alignment horizontal="center" vertical="center"/>
    </xf>
    <xf numFmtId="0" fontId="7" fillId="0" borderId="727" xfId="0" applyFont="1" applyBorder="1">
      <alignment horizontal="center" vertical="center"/>
    </xf>
    <xf numFmtId="0" fontId="6" fillId="39" borderId="701" xfId="0" applyFont="1" applyFill="1" applyBorder="1" applyAlignment="1">
      <alignment horizontal="left"/>
    </xf>
    <xf numFmtId="0" fontId="6" fillId="47" borderId="708" xfId="0" applyFont="1" applyFill="1" applyBorder="1">
      <alignment horizontal="center" vertical="center"/>
    </xf>
    <xf numFmtId="0" fontId="7" fillId="47" borderId="706" xfId="0" applyFont="1" applyFill="1" applyBorder="1">
      <alignment horizontal="center" vertical="center"/>
    </xf>
    <xf numFmtId="0" fontId="7" fillId="0" borderId="708" xfId="0" applyFont="1" applyBorder="1" applyAlignment="1">
      <alignment horizontal="left"/>
    </xf>
    <xf numFmtId="0" fontId="0" fillId="0" borderId="706" xfId="0" applyBorder="1">
      <alignment horizontal="center" vertical="center"/>
    </xf>
    <xf numFmtId="0" fontId="7" fillId="0" borderId="706" xfId="0" applyFont="1" applyBorder="1" applyAlignment="1">
      <alignment horizontal="left"/>
    </xf>
    <xf numFmtId="0" fontId="7" fillId="0" borderId="706" xfId="0" applyFont="1" applyBorder="1">
      <alignment horizontal="center" vertical="center"/>
    </xf>
    <xf numFmtId="0" fontId="7" fillId="0" borderId="707" xfId="0" applyFont="1" applyBorder="1">
      <alignment horizontal="center" vertical="center"/>
    </xf>
    <xf numFmtId="0" fontId="7" fillId="48" borderId="708" xfId="0" applyFont="1" applyFill="1" applyBorder="1" applyAlignment="1">
      <alignment horizontal="left" vertical="center"/>
    </xf>
    <xf numFmtId="0" fontId="7" fillId="48" borderId="706" xfId="0" applyFont="1" applyFill="1" applyBorder="1">
      <alignment horizontal="center" vertical="center"/>
    </xf>
    <xf numFmtId="0" fontId="7" fillId="48" borderId="707" xfId="0" applyFont="1" applyFill="1" applyBorder="1">
      <alignment horizontal="center" vertical="center"/>
    </xf>
    <xf numFmtId="0" fontId="4" fillId="0" borderId="708" xfId="0" applyFont="1" applyBorder="1" applyAlignment="1">
      <alignment horizontal="left" vertical="center"/>
    </xf>
    <xf numFmtId="0" fontId="0" fillId="0" borderId="707" xfId="0" applyBorder="1">
      <alignment horizontal="center" vertical="center"/>
    </xf>
    <xf numFmtId="0" fontId="0" fillId="0" borderId="728" xfId="0" applyBorder="1">
      <alignment horizontal="center" vertical="center"/>
    </xf>
    <xf numFmtId="0" fontId="4" fillId="0" borderId="706" xfId="0" applyFont="1" applyBorder="1" applyAlignment="1">
      <alignment horizontal="left" vertical="center"/>
    </xf>
    <xf numFmtId="0" fontId="0" fillId="0" borderId="729" xfId="0" applyBorder="1">
      <alignment horizontal="center" vertical="center"/>
    </xf>
    <xf numFmtId="0" fontId="14" fillId="0" borderId="721" xfId="0" applyFont="1" applyBorder="1">
      <alignment horizontal="center" vertical="center"/>
    </xf>
    <xf numFmtId="0" fontId="0" fillId="0" borderId="726" xfId="0" applyBorder="1">
      <alignment horizontal="center" vertical="center"/>
    </xf>
    <xf numFmtId="0" fontId="0" fillId="0" borderId="727" xfId="0" applyBorder="1">
      <alignment horizontal="center" vertical="center"/>
    </xf>
    <xf numFmtId="0" fontId="4" fillId="0" borderId="708" xfId="0" applyFont="1" applyBorder="1">
      <alignment horizontal="center" vertical="center"/>
    </xf>
    <xf numFmtId="0" fontId="0" fillId="0" borderId="717" xfId="0" applyBorder="1" applyAlignment="1" applyProtection="1">
      <alignment horizontal="center"/>
      <protection locked="0"/>
    </xf>
    <xf numFmtId="0" fontId="6" fillId="51" borderId="717" xfId="0" applyFont="1" applyFill="1" applyBorder="1">
      <alignment horizontal="center" vertical="center"/>
    </xf>
    <xf numFmtId="0" fontId="0" fillId="51" borderId="717" xfId="0" applyFill="1" applyBorder="1">
      <alignment horizontal="center" vertical="center"/>
    </xf>
    <xf numFmtId="0" fontId="0" fillId="71" borderId="717" xfId="0" applyFill="1" applyBorder="1">
      <alignment horizontal="center" vertical="center"/>
    </xf>
    <xf numFmtId="0" fontId="0" fillId="51" borderId="730" xfId="0" applyFill="1" applyBorder="1">
      <alignment horizontal="center" vertical="center"/>
    </xf>
    <xf numFmtId="0" fontId="6" fillId="0" borderId="703" xfId="0" applyFont="1" applyBorder="1">
      <alignment horizontal="center" vertical="center"/>
    </xf>
    <xf numFmtId="0" fontId="0" fillId="51" borderId="654" xfId="0" applyFill="1" applyBorder="1" applyProtection="1">
      <alignment horizontal="center" vertical="center"/>
      <protection locked="0"/>
    </xf>
    <xf numFmtId="0" fontId="0" fillId="0" borderId="703" xfId="0" applyBorder="1" applyAlignment="1">
      <alignment horizontal="left" vertical="center"/>
    </xf>
    <xf numFmtId="0" fontId="0" fillId="51" borderId="703" xfId="43" applyFont="1" applyFill="1" applyBorder="1">
      <alignment horizontal="center" vertical="center"/>
    </xf>
    <xf numFmtId="0" fontId="0" fillId="51" borderId="703" xfId="0" applyFill="1" applyBorder="1">
      <alignment horizontal="center" vertical="center"/>
    </xf>
    <xf numFmtId="0" fontId="0" fillId="51" borderId="703" xfId="32" applyFont="1" applyFill="1" applyBorder="1" applyAlignment="1">
      <alignment horizontal="center" vertical="center"/>
    </xf>
    <xf numFmtId="0" fontId="0" fillId="51" borderId="703" xfId="44" applyFont="1" applyFill="1" applyBorder="1">
      <alignment horizontal="center" vertical="center"/>
    </xf>
    <xf numFmtId="0" fontId="0" fillId="51" borderId="731" xfId="0" applyFill="1" applyBorder="1">
      <alignment horizontal="center" vertical="center"/>
    </xf>
    <xf numFmtId="0" fontId="4" fillId="24" borderId="701" xfId="0" applyFont="1" applyFill="1" applyBorder="1" applyAlignment="1">
      <alignment horizontal="left" vertical="center"/>
    </xf>
    <xf numFmtId="0" fontId="0" fillId="24" borderId="701" xfId="0" applyFill="1" applyBorder="1">
      <alignment horizontal="center" vertical="center"/>
    </xf>
    <xf numFmtId="0" fontId="0" fillId="24" borderId="732" xfId="0" applyFill="1" applyBorder="1">
      <alignment horizontal="center" vertical="center"/>
    </xf>
    <xf numFmtId="0" fontId="0" fillId="43" borderId="701" xfId="0" applyFill="1" applyBorder="1" applyAlignment="1" applyProtection="1">
      <alignment horizontal="center"/>
      <protection locked="0"/>
    </xf>
    <xf numFmtId="0" fontId="0" fillId="51" borderId="701" xfId="43" applyFont="1" applyFill="1" applyBorder="1">
      <alignment horizontal="center" vertical="center"/>
    </xf>
    <xf numFmtId="0" fontId="7" fillId="53" borderId="701" xfId="43" applyBorder="1">
      <alignment horizontal="center" vertical="center"/>
    </xf>
    <xf numFmtId="0" fontId="65" fillId="53" borderId="701" xfId="43" applyFont="1" applyBorder="1">
      <alignment horizontal="center" vertical="center"/>
    </xf>
    <xf numFmtId="0" fontId="0" fillId="51" borderId="701" xfId="44" applyFont="1" applyFill="1" applyBorder="1">
      <alignment horizontal="center" vertical="center"/>
    </xf>
    <xf numFmtId="1" fontId="0" fillId="51" borderId="701" xfId="0" applyNumberFormat="1" applyFill="1" applyBorder="1">
      <alignment horizontal="center" vertical="center"/>
    </xf>
    <xf numFmtId="0" fontId="0" fillId="51" borderId="701" xfId="46" applyFont="1" applyFill="1" applyBorder="1">
      <alignment horizontal="center" vertical="center"/>
    </xf>
    <xf numFmtId="1" fontId="0" fillId="51" borderId="732" xfId="0" applyNumberFormat="1" applyFill="1" applyBorder="1">
      <alignment horizontal="center" vertical="center"/>
    </xf>
    <xf numFmtId="0" fontId="0" fillId="0" borderId="701" xfId="0" applyBorder="1" applyAlignment="1">
      <alignment horizontal="left" vertical="center"/>
    </xf>
    <xf numFmtId="1" fontId="0" fillId="53" borderId="701" xfId="32" applyNumberFormat="1" applyFont="1" applyFill="1" applyBorder="1" applyAlignment="1">
      <alignment horizontal="center" vertical="center"/>
    </xf>
    <xf numFmtId="1" fontId="0" fillId="72" borderId="701" xfId="0" applyNumberFormat="1" applyFill="1" applyBorder="1">
      <alignment horizontal="center" vertical="center"/>
    </xf>
    <xf numFmtId="1" fontId="0" fillId="51" borderId="701" xfId="32" applyNumberFormat="1" applyFont="1" applyFill="1" applyBorder="1" applyAlignment="1">
      <alignment horizontal="center" vertical="center"/>
    </xf>
    <xf numFmtId="0" fontId="6" fillId="0" borderId="701" xfId="0" applyFont="1" applyBorder="1" applyAlignment="1">
      <alignment horizontal="left" vertical="center"/>
    </xf>
    <xf numFmtId="0" fontId="0" fillId="53" borderId="701" xfId="44" applyFont="1" applyFill="1" applyBorder="1">
      <alignment horizontal="center" vertical="center"/>
    </xf>
    <xf numFmtId="1" fontId="0" fillId="53" borderId="701" xfId="0" applyNumberFormat="1" applyFill="1" applyBorder="1">
      <alignment horizontal="center" vertical="center"/>
    </xf>
    <xf numFmtId="0" fontId="0" fillId="53" borderId="701" xfId="43" applyFont="1" applyBorder="1">
      <alignment horizontal="center" vertical="center"/>
    </xf>
    <xf numFmtId="1" fontId="0" fillId="53" borderId="732" xfId="0" applyNumberFormat="1" applyFill="1" applyBorder="1">
      <alignment horizontal="center" vertical="center"/>
    </xf>
    <xf numFmtId="0" fontId="0" fillId="51" borderId="733" xfId="0" applyFill="1" applyBorder="1">
      <alignment horizontal="center" vertical="center"/>
    </xf>
    <xf numFmtId="0" fontId="0" fillId="51" borderId="701" xfId="49" applyFont="1" applyFill="1" applyBorder="1">
      <alignment horizontal="center" vertical="center"/>
    </xf>
    <xf numFmtId="0" fontId="7" fillId="52" borderId="701" xfId="48" applyBorder="1">
      <alignment horizontal="center" vertical="center"/>
    </xf>
    <xf numFmtId="0" fontId="0" fillId="51" borderId="701" xfId="0" applyFill="1" applyBorder="1">
      <alignment horizontal="center" vertical="center"/>
    </xf>
    <xf numFmtId="1" fontId="0" fillId="51" borderId="701" xfId="44" applyNumberFormat="1" applyFont="1" applyFill="1" applyBorder="1">
      <alignment horizontal="center" vertical="center"/>
    </xf>
    <xf numFmtId="0" fontId="4" fillId="24" borderId="717" xfId="0" applyFont="1" applyFill="1" applyBorder="1" applyAlignment="1" applyProtection="1">
      <alignment horizontal="left"/>
      <protection locked="0"/>
    </xf>
    <xf numFmtId="0" fontId="4" fillId="24" borderId="717" xfId="0" applyFont="1" applyFill="1" applyBorder="1">
      <alignment horizontal="center" vertical="center"/>
    </xf>
    <xf numFmtId="1" fontId="0" fillId="24" borderId="717" xfId="0" applyNumberFormat="1" applyFill="1" applyBorder="1">
      <alignment horizontal="center" vertical="center"/>
    </xf>
    <xf numFmtId="0" fontId="0" fillId="24" borderId="730" xfId="0" applyFill="1" applyBorder="1">
      <alignment horizontal="center" vertical="center"/>
    </xf>
    <xf numFmtId="0" fontId="0" fillId="43" borderId="733" xfId="0" applyFill="1" applyBorder="1" applyAlignment="1" applyProtection="1">
      <alignment horizontal="center"/>
      <protection locked="0"/>
    </xf>
    <xf numFmtId="0" fontId="0" fillId="0" borderId="733" xfId="0" applyBorder="1" applyAlignment="1">
      <alignment horizontal="left" vertical="center"/>
    </xf>
    <xf numFmtId="0" fontId="0" fillId="51" borderId="733" xfId="32" applyFont="1" applyFill="1" applyBorder="1" applyAlignment="1">
      <alignment horizontal="center" vertical="center"/>
    </xf>
    <xf numFmtId="0" fontId="0" fillId="52" borderId="733" xfId="0" applyFill="1" applyBorder="1">
      <alignment horizontal="center" vertical="center"/>
    </xf>
    <xf numFmtId="0" fontId="0" fillId="51" borderId="734" xfId="0" applyFill="1" applyBorder="1">
      <alignment horizontal="center" vertical="center"/>
    </xf>
    <xf numFmtId="0" fontId="0" fillId="0" borderId="703" xfId="0" applyBorder="1">
      <alignment horizontal="center" vertical="center"/>
    </xf>
    <xf numFmtId="173" fontId="0" fillId="0" borderId="703" xfId="0" applyNumberFormat="1" applyBorder="1">
      <alignment horizontal="center" vertical="center"/>
    </xf>
    <xf numFmtId="0" fontId="0" fillId="43" borderId="703" xfId="0" applyFill="1" applyBorder="1" applyAlignment="1" applyProtection="1">
      <alignment horizontal="center"/>
      <protection locked="0"/>
    </xf>
    <xf numFmtId="0" fontId="7" fillId="0" borderId="703" xfId="0" applyFont="1" applyBorder="1" applyAlignment="1">
      <alignment horizontal="left" vertical="center"/>
    </xf>
    <xf numFmtId="0" fontId="0" fillId="51" borderId="703" xfId="48" applyFont="1" applyFill="1" applyBorder="1">
      <alignment horizontal="center" vertical="center"/>
    </xf>
    <xf numFmtId="1" fontId="0" fillId="51" borderId="703" xfId="0" applyNumberFormat="1" applyFill="1" applyBorder="1">
      <alignment horizontal="center" vertical="center"/>
    </xf>
    <xf numFmtId="0" fontId="7" fillId="52" borderId="703" xfId="48" applyBorder="1">
      <alignment horizontal="center" vertical="center"/>
    </xf>
    <xf numFmtId="0" fontId="7" fillId="55" borderId="701" xfId="45" applyBorder="1">
      <alignment horizontal="center" vertical="center"/>
    </xf>
    <xf numFmtId="1" fontId="0" fillId="51" borderId="703" xfId="32" applyNumberFormat="1" applyFont="1" applyFill="1" applyBorder="1" applyAlignment="1">
      <alignment horizontal="center" vertical="center"/>
    </xf>
    <xf numFmtId="0" fontId="0" fillId="51" borderId="703" xfId="46" applyFont="1" applyFill="1" applyBorder="1">
      <alignment horizontal="center" vertical="center"/>
    </xf>
    <xf numFmtId="1" fontId="0" fillId="51" borderId="731" xfId="0" applyNumberFormat="1" applyFill="1" applyBorder="1">
      <alignment horizontal="center" vertical="center"/>
    </xf>
    <xf numFmtId="0" fontId="0" fillId="43" borderId="683" xfId="0" applyFill="1" applyBorder="1" applyAlignment="1" applyProtection="1">
      <alignment horizontal="center"/>
      <protection locked="0"/>
    </xf>
    <xf numFmtId="0" fontId="0" fillId="0" borderId="683" xfId="0" applyBorder="1" applyAlignment="1">
      <alignment vertical="center"/>
    </xf>
    <xf numFmtId="0" fontId="7" fillId="52" borderId="683" xfId="48" applyBorder="1">
      <alignment horizontal="center" vertical="center"/>
    </xf>
    <xf numFmtId="0" fontId="0" fillId="51" borderId="683" xfId="48" applyFont="1" applyFill="1" applyBorder="1">
      <alignment horizontal="center" vertical="center"/>
    </xf>
    <xf numFmtId="0" fontId="0" fillId="51" borderId="683" xfId="44" applyFont="1" applyFill="1" applyBorder="1">
      <alignment horizontal="center" vertical="center"/>
    </xf>
    <xf numFmtId="0" fontId="4" fillId="0" borderId="658" xfId="0" applyFont="1" applyBorder="1" applyAlignment="1">
      <alignment horizontal="left" vertical="center"/>
    </xf>
    <xf numFmtId="0" fontId="0" fillId="0" borderId="666" xfId="0" applyBorder="1" applyAlignment="1">
      <alignment horizontal="left"/>
    </xf>
    <xf numFmtId="0" fontId="4" fillId="0" borderId="663" xfId="0" applyFont="1" applyBorder="1" applyAlignment="1">
      <alignment vertical="center"/>
    </xf>
    <xf numFmtId="0" fontId="0" fillId="0" borderId="666" xfId="0" applyBorder="1">
      <alignment horizontal="center" vertical="center"/>
    </xf>
    <xf numFmtId="0" fontId="4" fillId="0" borderId="659" xfId="0" applyFont="1" applyBorder="1" applyAlignment="1">
      <alignment horizontal="left" vertical="center"/>
    </xf>
    <xf numFmtId="0" fontId="4" fillId="0" borderId="659" xfId="0" applyFont="1" applyBorder="1" applyAlignment="1">
      <alignment horizontal="left"/>
    </xf>
    <xf numFmtId="0" fontId="4" fillId="0" borderId="665" xfId="0" applyFont="1" applyBorder="1" applyAlignment="1">
      <alignment vertical="center"/>
    </xf>
    <xf numFmtId="0" fontId="0" fillId="0" borderId="665" xfId="0" applyBorder="1">
      <alignment horizontal="center" vertical="center"/>
    </xf>
    <xf numFmtId="0" fontId="0" fillId="0" borderId="672" xfId="0" applyBorder="1">
      <alignment horizontal="center" vertical="center"/>
    </xf>
    <xf numFmtId="0" fontId="4" fillId="0" borderId="673" xfId="0" applyFont="1" applyBorder="1" applyAlignment="1">
      <alignment horizontal="left" vertical="center"/>
    </xf>
    <xf numFmtId="0" fontId="14" fillId="0" borderId="674" xfId="0" applyFont="1" applyBorder="1">
      <alignment horizontal="center" vertical="center"/>
    </xf>
    <xf numFmtId="0" fontId="4" fillId="0" borderId="674" xfId="0" applyFont="1" applyBorder="1">
      <alignment horizontal="center" vertical="center"/>
    </xf>
    <xf numFmtId="0" fontId="0" fillId="0" borderId="676" xfId="0" applyBorder="1">
      <alignment horizontal="center" vertical="center"/>
    </xf>
    <xf numFmtId="0" fontId="0" fillId="0" borderId="646" xfId="0" applyBorder="1" applyAlignment="1" applyProtection="1">
      <alignment horizontal="center"/>
      <protection locked="0"/>
    </xf>
    <xf numFmtId="0" fontId="6" fillId="0" borderId="646" xfId="0" applyFont="1" applyBorder="1" applyAlignment="1">
      <alignment horizontal="center"/>
    </xf>
    <xf numFmtId="0" fontId="0" fillId="24" borderId="713" xfId="0" applyFill="1" applyBorder="1" applyAlignment="1" applyProtection="1">
      <alignment horizontal="center"/>
      <protection locked="0"/>
    </xf>
    <xf numFmtId="0" fontId="0" fillId="0" borderId="654" xfId="0" applyBorder="1" applyAlignment="1">
      <alignment horizontal="left" vertical="center"/>
    </xf>
    <xf numFmtId="49" fontId="0" fillId="51" borderId="654" xfId="0" applyNumberFormat="1" applyFill="1" applyBorder="1">
      <alignment horizontal="center" vertical="center"/>
    </xf>
    <xf numFmtId="0" fontId="0" fillId="51" borderId="654" xfId="0" applyFill="1" applyBorder="1">
      <alignment horizontal="center" vertical="center"/>
    </xf>
    <xf numFmtId="0" fontId="7" fillId="55" borderId="654" xfId="45" applyBorder="1">
      <alignment horizontal="center" vertical="center"/>
    </xf>
    <xf numFmtId="0" fontId="0" fillId="0" borderId="654" xfId="0" applyBorder="1">
      <alignment horizontal="center" vertical="center"/>
    </xf>
    <xf numFmtId="0" fontId="0" fillId="51" borderId="654" xfId="44" applyFont="1" applyFill="1" applyBorder="1">
      <alignment horizontal="center" vertical="center"/>
    </xf>
    <xf numFmtId="49" fontId="0" fillId="51" borderId="735" xfId="0" applyNumberFormat="1" applyFill="1" applyBorder="1">
      <alignment horizontal="center" vertical="center"/>
    </xf>
    <xf numFmtId="0" fontId="7" fillId="53" borderId="634" xfId="43" applyBorder="1">
      <alignment horizontal="center" vertical="center"/>
    </xf>
    <xf numFmtId="0" fontId="0" fillId="51" borderId="654" xfId="48" applyFont="1" applyFill="1" applyBorder="1">
      <alignment horizontal="center" vertical="center"/>
    </xf>
    <xf numFmtId="0" fontId="7" fillId="53" borderId="654" xfId="43" applyBorder="1">
      <alignment horizontal="center" vertical="center"/>
    </xf>
    <xf numFmtId="0" fontId="7" fillId="51" borderId="654" xfId="43" applyFill="1" applyBorder="1">
      <alignment horizontal="center" vertical="center"/>
    </xf>
    <xf numFmtId="0" fontId="7" fillId="52" borderId="634" xfId="48" applyBorder="1">
      <alignment horizontal="center" vertical="center"/>
    </xf>
    <xf numFmtId="0" fontId="7" fillId="53" borderId="621" xfId="43" applyBorder="1">
      <alignment horizontal="center" vertical="center"/>
    </xf>
    <xf numFmtId="0" fontId="0" fillId="51" borderId="654" xfId="0" applyFill="1" applyBorder="1" applyAlignment="1">
      <alignment horizontal="left" vertical="center" wrapText="1"/>
    </xf>
    <xf numFmtId="1" fontId="0" fillId="52" borderId="654" xfId="32" applyNumberFormat="1" applyFont="1" applyFill="1" applyBorder="1" applyAlignment="1">
      <alignment horizontal="center" vertical="center"/>
    </xf>
    <xf numFmtId="49" fontId="0" fillId="52" borderId="654" xfId="0" applyNumberFormat="1" applyFill="1" applyBorder="1">
      <alignment horizontal="center" vertical="center"/>
    </xf>
    <xf numFmtId="49" fontId="0" fillId="52" borderId="735" xfId="0" applyNumberFormat="1" applyFill="1" applyBorder="1">
      <alignment horizontal="center" vertical="center"/>
    </xf>
    <xf numFmtId="0" fontId="7" fillId="59" borderId="621" xfId="49" applyBorder="1">
      <alignment horizontal="center" vertical="center"/>
    </xf>
    <xf numFmtId="49" fontId="0" fillId="56" borderId="621" xfId="0" applyNumberFormat="1" applyFill="1" applyBorder="1">
      <alignment horizontal="center" vertical="center"/>
    </xf>
    <xf numFmtId="49" fontId="0" fillId="74" borderId="621" xfId="0" applyNumberFormat="1" applyFill="1" applyBorder="1">
      <alignment horizontal="center" vertical="center"/>
    </xf>
    <xf numFmtId="0" fontId="0" fillId="55" borderId="654" xfId="44" applyFont="1" applyFill="1" applyBorder="1">
      <alignment horizontal="center" vertical="center"/>
    </xf>
    <xf numFmtId="0" fontId="7" fillId="0" borderId="621" xfId="53" applyBorder="1">
      <alignment horizontal="center" vertical="center"/>
    </xf>
    <xf numFmtId="0" fontId="7" fillId="54" borderId="621" xfId="50" applyBorder="1">
      <alignment horizontal="center" vertical="center"/>
    </xf>
    <xf numFmtId="0" fontId="52" fillId="56" borderId="654" xfId="46" applyBorder="1">
      <alignment horizontal="center" vertical="center"/>
    </xf>
    <xf numFmtId="0" fontId="0" fillId="51" borderId="654" xfId="46" applyFont="1" applyFill="1" applyBorder="1">
      <alignment horizontal="center" vertical="center"/>
    </xf>
    <xf numFmtId="0" fontId="0" fillId="51" borderId="735" xfId="0" applyFill="1" applyBorder="1">
      <alignment horizontal="center" vertical="center"/>
    </xf>
    <xf numFmtId="0" fontId="0" fillId="0" borderId="646" xfId="0" applyBorder="1">
      <alignment horizontal="center" vertical="center"/>
    </xf>
    <xf numFmtId="0" fontId="4" fillId="0" borderId="646" xfId="0" applyFont="1" applyBorder="1" applyAlignment="1">
      <alignment horizontal="center"/>
    </xf>
    <xf numFmtId="0" fontId="0" fillId="0" borderId="673" xfId="0" applyBorder="1" applyAlignment="1">
      <alignment horizontal="left"/>
    </xf>
    <xf numFmtId="0" fontId="0" fillId="0" borderId="674" xfId="0" applyBorder="1" applyAlignment="1">
      <alignment horizontal="left"/>
    </xf>
    <xf numFmtId="0" fontId="7" fillId="0" borderId="675" xfId="0" applyFont="1" applyBorder="1" applyAlignment="1">
      <alignment horizontal="left"/>
    </xf>
    <xf numFmtId="0" fontId="7" fillId="0" borderId="674" xfId="0" applyFont="1" applyBorder="1" applyAlignment="1">
      <alignment horizontal="left"/>
    </xf>
    <xf numFmtId="0" fontId="0" fillId="0" borderId="690" xfId="0" applyBorder="1" applyAlignment="1">
      <alignment horizontal="left"/>
    </xf>
    <xf numFmtId="0" fontId="0" fillId="0" borderId="691" xfId="0" applyBorder="1" applyAlignment="1">
      <alignment horizontal="left"/>
    </xf>
    <xf numFmtId="0" fontId="7" fillId="0" borderId="692" xfId="0" applyFont="1" applyBorder="1" applyAlignment="1">
      <alignment horizontal="left"/>
    </xf>
    <xf numFmtId="0" fontId="0" fillId="0" borderId="736" xfId="0" applyBorder="1" applyAlignment="1">
      <alignment vertical="center"/>
    </xf>
    <xf numFmtId="0" fontId="0" fillId="51" borderId="654" xfId="0" applyFill="1" applyBorder="1" applyAlignment="1" applyProtection="1">
      <alignment horizontal="left" vertical="center"/>
      <protection locked="0"/>
    </xf>
    <xf numFmtId="0" fontId="0" fillId="72" borderId="654" xfId="48" applyFont="1" applyFill="1" applyBorder="1">
      <alignment horizontal="center" vertical="center"/>
    </xf>
    <xf numFmtId="0" fontId="0" fillId="51" borderId="681" xfId="0" applyFill="1" applyBorder="1">
      <alignment horizontal="center" vertical="center"/>
    </xf>
    <xf numFmtId="0" fontId="0" fillId="55" borderId="620" xfId="45" applyFont="1" applyBorder="1">
      <alignment horizontal="center" vertical="center"/>
    </xf>
    <xf numFmtId="0" fontId="0" fillId="55" borderId="681" xfId="0" applyFill="1" applyBorder="1">
      <alignment horizontal="center" vertical="center"/>
    </xf>
    <xf numFmtId="0" fontId="0" fillId="0" borderId="690" xfId="0" applyBorder="1" applyAlignment="1">
      <alignment vertical="center"/>
    </xf>
    <xf numFmtId="0" fontId="0" fillId="53" borderId="620" xfId="51" applyFont="1" applyFill="1" applyBorder="1">
      <alignment horizontal="center" vertical="center"/>
    </xf>
    <xf numFmtId="0" fontId="0" fillId="53" borderId="620" xfId="48" applyFont="1" applyFill="1" applyBorder="1">
      <alignment horizontal="center" vertical="center"/>
    </xf>
    <xf numFmtId="0" fontId="0" fillId="52" borderId="620" xfId="45" applyFont="1" applyFill="1" applyBorder="1">
      <alignment horizontal="center" vertical="center"/>
    </xf>
    <xf numFmtId="0" fontId="52" fillId="56" borderId="620" xfId="46" applyBorder="1">
      <alignment horizontal="center" vertical="center"/>
    </xf>
    <xf numFmtId="0" fontId="0" fillId="56" borderId="620" xfId="48" applyFont="1" applyFill="1" applyBorder="1">
      <alignment horizontal="center" vertical="center"/>
    </xf>
    <xf numFmtId="0" fontId="0" fillId="75" borderId="620" xfId="48" applyFont="1" applyFill="1" applyBorder="1">
      <alignment horizontal="center" vertical="center"/>
    </xf>
    <xf numFmtId="0" fontId="7" fillId="51" borderId="620" xfId="47" applyFill="1" applyBorder="1">
      <alignment horizontal="center" vertical="center"/>
    </xf>
    <xf numFmtId="0" fontId="7" fillId="55" borderId="634" xfId="45" applyBorder="1">
      <alignment horizontal="center" vertical="center"/>
    </xf>
    <xf numFmtId="0" fontId="0" fillId="75" borderId="620" xfId="0" applyFill="1" applyBorder="1">
      <alignment horizontal="center" vertical="center"/>
    </xf>
    <xf numFmtId="1" fontId="0" fillId="51" borderId="681" xfId="32" applyNumberFormat="1" applyFont="1" applyFill="1" applyBorder="1" applyAlignment="1">
      <alignment horizontal="center" vertical="center"/>
    </xf>
    <xf numFmtId="49" fontId="0" fillId="51" borderId="681" xfId="0" applyNumberFormat="1" applyFill="1" applyBorder="1">
      <alignment horizontal="center" vertical="center"/>
    </xf>
    <xf numFmtId="0" fontId="0" fillId="0" borderId="681" xfId="0" applyBorder="1">
      <alignment horizontal="center" vertical="center"/>
    </xf>
    <xf numFmtId="173" fontId="0" fillId="0" borderId="681" xfId="0" applyNumberFormat="1" applyBorder="1">
      <alignment horizontal="center" vertical="center"/>
    </xf>
    <xf numFmtId="0" fontId="0" fillId="57" borderId="681" xfId="0" applyFill="1" applyBorder="1">
      <alignment horizontal="center" vertical="center"/>
    </xf>
    <xf numFmtId="0" fontId="7" fillId="55" borderId="681" xfId="45" applyBorder="1">
      <alignment horizontal="center" vertical="center"/>
    </xf>
    <xf numFmtId="0" fontId="59" fillId="0" borderId="646" xfId="0" applyFont="1" applyBorder="1" applyAlignment="1">
      <alignment horizontal="left" vertical="center"/>
    </xf>
    <xf numFmtId="0" fontId="0" fillId="51" borderId="646" xfId="43" applyFont="1" applyFill="1" applyBorder="1">
      <alignment horizontal="center" vertical="center"/>
    </xf>
    <xf numFmtId="0" fontId="7" fillId="57" borderId="621" xfId="47" applyBorder="1">
      <alignment horizontal="center" vertical="center"/>
    </xf>
    <xf numFmtId="0" fontId="19" fillId="0" borderId="705" xfId="0" applyFont="1" applyBorder="1" applyAlignment="1" applyProtection="1">
      <alignment horizontal="center"/>
      <protection locked="0"/>
    </xf>
    <xf numFmtId="0" fontId="59" fillId="0" borderId="705" xfId="0" applyFont="1" applyBorder="1" applyAlignment="1">
      <alignment horizontal="left" vertical="center"/>
    </xf>
    <xf numFmtId="0" fontId="0" fillId="57" borderId="620" xfId="45" applyFont="1" applyFill="1" applyBorder="1">
      <alignment horizontal="center" vertical="center"/>
    </xf>
    <xf numFmtId="0" fontId="0" fillId="58" borderId="620" xfId="0" applyFill="1" applyBorder="1">
      <alignment horizontal="center" vertical="center"/>
    </xf>
    <xf numFmtId="0" fontId="19" fillId="0" borderId="737" xfId="0" applyFont="1" applyBorder="1" applyAlignment="1" applyProtection="1">
      <alignment horizontal="center"/>
      <protection locked="0"/>
    </xf>
    <xf numFmtId="0" fontId="21" fillId="0" borderId="737" xfId="0" applyFont="1" applyBorder="1" applyAlignment="1">
      <alignment vertical="center"/>
    </xf>
    <xf numFmtId="0" fontId="21" fillId="0" borderId="738" xfId="0" applyFont="1" applyBorder="1" applyAlignment="1">
      <alignment vertical="center"/>
    </xf>
    <xf numFmtId="0" fontId="4" fillId="0" borderId="739" xfId="0" applyFont="1" applyBorder="1" applyAlignment="1" applyProtection="1">
      <alignment horizontal="center"/>
      <protection locked="0"/>
    </xf>
    <xf numFmtId="0" fontId="21" fillId="51" borderId="740" xfId="0" applyFont="1" applyFill="1" applyBorder="1" applyAlignment="1">
      <alignment horizontal="left" vertical="center"/>
    </xf>
    <xf numFmtId="1" fontId="0" fillId="51" borderId="740" xfId="32" applyNumberFormat="1" applyFont="1" applyFill="1" applyBorder="1" applyAlignment="1">
      <alignment horizontal="center" vertical="center"/>
    </xf>
    <xf numFmtId="0" fontId="62" fillId="0" borderId="705" xfId="0" applyFont="1" applyBorder="1" applyAlignment="1"/>
    <xf numFmtId="0" fontId="0" fillId="0" borderId="681" xfId="0" applyBorder="1" applyAlignment="1"/>
    <xf numFmtId="49" fontId="0" fillId="51" borderId="741" xfId="0" applyNumberFormat="1" applyFill="1" applyBorder="1">
      <alignment horizontal="center" vertical="center"/>
    </xf>
    <xf numFmtId="0" fontId="0" fillId="51" borderId="741" xfId="44" applyFont="1" applyFill="1" applyBorder="1">
      <alignment horizontal="center" vertical="center"/>
    </xf>
    <xf numFmtId="0" fontId="0" fillId="55" borderId="741" xfId="0" applyFill="1" applyBorder="1">
      <alignment horizontal="center" vertical="center"/>
    </xf>
    <xf numFmtId="1" fontId="0" fillId="51" borderId="741" xfId="32" applyNumberFormat="1" applyFont="1" applyFill="1" applyBorder="1" applyAlignment="1">
      <alignment horizontal="center" vertical="center"/>
    </xf>
    <xf numFmtId="49" fontId="0" fillId="53" borderId="741" xfId="0" applyNumberFormat="1" applyFill="1" applyBorder="1">
      <alignment horizontal="center" vertical="center"/>
    </xf>
    <xf numFmtId="0" fontId="0" fillId="53" borderId="741" xfId="44" applyFont="1" applyFill="1" applyBorder="1">
      <alignment horizontal="center" vertical="center"/>
    </xf>
    <xf numFmtId="49" fontId="0" fillId="53" borderId="742" xfId="0" applyNumberFormat="1" applyFill="1" applyBorder="1">
      <alignment horizontal="center" vertical="center"/>
    </xf>
    <xf numFmtId="0" fontId="0" fillId="84" borderId="681" xfId="0" applyFill="1" applyBorder="1" applyAlignment="1"/>
    <xf numFmtId="0" fontId="0" fillId="51" borderId="681" xfId="44" applyFont="1" applyFill="1" applyBorder="1">
      <alignment horizontal="center" vertical="center"/>
    </xf>
    <xf numFmtId="49" fontId="0" fillId="55" borderId="681" xfId="0" applyNumberFormat="1" applyFill="1" applyBorder="1">
      <alignment horizontal="center" vertical="center"/>
    </xf>
    <xf numFmtId="49" fontId="0" fillId="51" borderId="682" xfId="0" applyNumberFormat="1" applyFill="1" applyBorder="1">
      <alignment horizontal="center" vertical="center"/>
    </xf>
    <xf numFmtId="0" fontId="0" fillId="80" borderId="681" xfId="0" applyFill="1" applyBorder="1" applyAlignment="1"/>
    <xf numFmtId="0" fontId="0" fillId="52" borderId="681" xfId="0" applyFill="1" applyBorder="1">
      <alignment horizontal="center" vertical="center"/>
    </xf>
    <xf numFmtId="49" fontId="0" fillId="55" borderId="741" xfId="0" applyNumberFormat="1" applyFill="1" applyBorder="1">
      <alignment horizontal="center" vertical="center"/>
    </xf>
    <xf numFmtId="0" fontId="0" fillId="0" borderId="743" xfId="0" applyBorder="1">
      <alignment horizontal="center" vertical="center"/>
    </xf>
    <xf numFmtId="0" fontId="0" fillId="0" borderId="744" xfId="0" applyBorder="1">
      <alignment horizontal="center" vertical="center"/>
    </xf>
    <xf numFmtId="0" fontId="0" fillId="0" borderId="745" xfId="0" applyBorder="1">
      <alignment horizontal="center" vertical="center"/>
    </xf>
    <xf numFmtId="0" fontId="0" fillId="0" borderId="746" xfId="0" applyBorder="1">
      <alignment horizontal="center" vertical="center"/>
    </xf>
    <xf numFmtId="0" fontId="0" fillId="0" borderId="747" xfId="0" applyBorder="1">
      <alignment horizontal="center" vertical="center"/>
    </xf>
    <xf numFmtId="0" fontId="0" fillId="0" borderId="748" xfId="0" applyBorder="1" applyAlignment="1">
      <alignment horizontal="left" vertical="center"/>
    </xf>
    <xf numFmtId="0" fontId="0" fillId="0" borderId="749" xfId="0" applyBorder="1">
      <alignment horizontal="center" vertical="center"/>
    </xf>
    <xf numFmtId="0" fontId="0" fillId="0" borderId="750" xfId="0" applyBorder="1" applyAlignment="1">
      <alignment horizontal="left" vertical="center"/>
    </xf>
    <xf numFmtId="0" fontId="0" fillId="0" borderId="744" xfId="0" applyBorder="1" applyAlignment="1">
      <alignment horizontal="left" vertical="center"/>
    </xf>
    <xf numFmtId="0" fontId="0" fillId="0" borderId="751" xfId="0" applyBorder="1" applyAlignment="1">
      <alignment horizontal="left" vertical="center"/>
    </xf>
    <xf numFmtId="0" fontId="0" fillId="0" borderId="752" xfId="0" applyBorder="1">
      <alignment horizontal="center" vertical="center"/>
    </xf>
    <xf numFmtId="0" fontId="0" fillId="0" borderId="753" xfId="0" applyBorder="1">
      <alignment horizontal="center" vertical="center"/>
    </xf>
    <xf numFmtId="0" fontId="0" fillId="0" borderId="754" xfId="0" applyBorder="1">
      <alignment horizontal="center" vertical="center"/>
    </xf>
    <xf numFmtId="0" fontId="0" fillId="0" borderId="755" xfId="0" applyBorder="1">
      <alignment horizontal="center" vertical="center"/>
    </xf>
    <xf numFmtId="0" fontId="4" fillId="43" borderId="756" xfId="0" applyFont="1" applyFill="1" applyBorder="1" applyAlignment="1">
      <alignment horizontal="center"/>
    </xf>
    <xf numFmtId="0" fontId="0" fillId="0" borderId="756" xfId="0" applyBorder="1" applyAlignment="1">
      <alignment vertical="center"/>
    </xf>
    <xf numFmtId="0" fontId="0" fillId="51" borderId="756" xfId="20" applyNumberFormat="1" applyFont="1" applyFill="1" applyBorder="1" applyAlignment="1">
      <alignment horizontal="center" vertical="center"/>
    </xf>
    <xf numFmtId="0" fontId="4" fillId="0" borderId="743" xfId="0" applyFont="1" applyBorder="1" applyAlignment="1">
      <alignment horizontal="center"/>
    </xf>
    <xf numFmtId="0" fontId="4" fillId="0" borderId="755" xfId="0" applyFont="1" applyBorder="1" applyAlignment="1">
      <alignment horizontal="center"/>
    </xf>
    <xf numFmtId="0" fontId="4" fillId="0" borderId="757" xfId="0" applyFont="1" applyBorder="1" applyAlignment="1">
      <alignment horizontal="left"/>
    </xf>
    <xf numFmtId="0" fontId="6" fillId="0" borderId="755" xfId="0" applyFont="1" applyBorder="1" applyAlignment="1">
      <alignment horizontal="center"/>
    </xf>
    <xf numFmtId="0" fontId="0" fillId="0" borderId="755" xfId="0" applyBorder="1" applyAlignment="1">
      <alignment horizontal="center"/>
    </xf>
    <xf numFmtId="0" fontId="4" fillId="0" borderId="757" xfId="0" applyFont="1" applyBorder="1" applyAlignment="1">
      <alignment horizontal="center"/>
    </xf>
    <xf numFmtId="0" fontId="6" fillId="0" borderId="758" xfId="0" applyFont="1" applyBorder="1" applyAlignment="1">
      <alignment horizontal="center"/>
    </xf>
    <xf numFmtId="0" fontId="6" fillId="0" borderId="757" xfId="0" applyFont="1" applyBorder="1" applyAlignment="1">
      <alignment horizontal="center"/>
    </xf>
    <xf numFmtId="0" fontId="0" fillId="0" borderId="757" xfId="0" applyBorder="1" applyAlignment="1">
      <alignment horizontal="center"/>
    </xf>
    <xf numFmtId="0" fontId="7" fillId="0" borderId="758" xfId="0" applyFont="1" applyBorder="1" applyAlignment="1">
      <alignment horizontal="left" vertical="center"/>
    </xf>
    <xf numFmtId="0" fontId="6" fillId="0" borderId="758" xfId="0" applyFont="1" applyBorder="1">
      <alignment horizontal="center" vertical="center"/>
    </xf>
    <xf numFmtId="0" fontId="6" fillId="0" borderId="757" xfId="0" applyFont="1" applyBorder="1">
      <alignment horizontal="center" vertical="center"/>
    </xf>
    <xf numFmtId="0" fontId="6" fillId="0" borderId="751" xfId="0" applyFont="1" applyBorder="1">
      <alignment horizontal="center" vertical="center"/>
    </xf>
    <xf numFmtId="0" fontId="7" fillId="0" borderId="751" xfId="0" applyFont="1" applyBorder="1">
      <alignment horizontal="center" vertical="center"/>
    </xf>
    <xf numFmtId="0" fontId="7" fillId="0" borderId="746" xfId="0" applyFont="1" applyBorder="1">
      <alignment horizontal="center" vertical="center"/>
    </xf>
    <xf numFmtId="0" fontId="7" fillId="0" borderId="756" xfId="0" applyFont="1" applyBorder="1">
      <alignment horizontal="center" vertical="center"/>
    </xf>
    <xf numFmtId="0" fontId="7" fillId="0" borderId="756" xfId="0" applyFont="1" applyBorder="1" applyAlignment="1">
      <alignment horizontal="left" vertical="center"/>
    </xf>
    <xf numFmtId="0" fontId="0" fillId="54" borderId="756" xfId="0" applyFill="1" applyBorder="1">
      <alignment horizontal="center" vertical="center"/>
    </xf>
    <xf numFmtId="0" fontId="0" fillId="0" borderId="755" xfId="0" applyBorder="1" applyAlignment="1"/>
    <xf numFmtId="0" fontId="4" fillId="0" borderId="758" xfId="0" applyFont="1" applyBorder="1" applyAlignment="1">
      <alignment horizontal="left"/>
    </xf>
    <xf numFmtId="0" fontId="0" fillId="0" borderId="758" xfId="0" applyBorder="1" applyAlignment="1"/>
    <xf numFmtId="0" fontId="0" fillId="0" borderId="757" xfId="0" applyBorder="1" applyAlignment="1"/>
    <xf numFmtId="0" fontId="4" fillId="0" borderId="755" xfId="0" applyFont="1" applyBorder="1" applyAlignment="1">
      <alignment horizontal="left"/>
    </xf>
    <xf numFmtId="0" fontId="0" fillId="0" borderId="759" xfId="0" applyBorder="1" applyAlignment="1"/>
    <xf numFmtId="0" fontId="0" fillId="0" borderId="726" xfId="0" applyBorder="1" applyAlignment="1"/>
    <xf numFmtId="0" fontId="0" fillId="51" borderId="756" xfId="0" applyFill="1" applyBorder="1" applyAlignment="1">
      <alignment horizontal="left" vertical="center"/>
    </xf>
    <xf numFmtId="49" fontId="0" fillId="90" borderId="756" xfId="0" applyNumberFormat="1" applyFill="1" applyBorder="1">
      <alignment horizontal="center" vertical="center"/>
    </xf>
    <xf numFmtId="0" fontId="0" fillId="90" borderId="756" xfId="44" applyFont="1" applyFill="1" applyBorder="1">
      <alignment horizontal="center" vertical="center"/>
    </xf>
    <xf numFmtId="0" fontId="7" fillId="58" borderId="756" xfId="33" applyBorder="1">
      <alignment horizontal="center" vertical="center"/>
    </xf>
    <xf numFmtId="0" fontId="0" fillId="55" borderId="620" xfId="51" applyFont="1" applyFill="1" applyBorder="1">
      <alignment horizontal="center" vertical="center"/>
    </xf>
    <xf numFmtId="0" fontId="0" fillId="69" borderId="621" xfId="47" applyFont="1" applyFill="1" applyBorder="1">
      <alignment horizontal="center" vertical="center"/>
    </xf>
    <xf numFmtId="0" fontId="4" fillId="43" borderId="760" xfId="0" applyFont="1" applyFill="1" applyBorder="1" applyAlignment="1">
      <alignment horizontal="center"/>
    </xf>
    <xf numFmtId="0" fontId="0" fillId="51" borderId="760" xfId="44" applyFont="1" applyFill="1" applyBorder="1">
      <alignment horizontal="center" vertical="center"/>
    </xf>
    <xf numFmtId="49" fontId="0" fillId="51" borderId="760" xfId="0" applyNumberFormat="1" applyFill="1" applyBorder="1">
      <alignment horizontal="center" vertical="center"/>
    </xf>
    <xf numFmtId="0" fontId="7" fillId="53" borderId="760" xfId="43" applyBorder="1">
      <alignment horizontal="center" vertical="center"/>
    </xf>
    <xf numFmtId="0" fontId="0" fillId="0" borderId="760" xfId="0" applyBorder="1">
      <alignment horizontal="center" vertical="center"/>
    </xf>
    <xf numFmtId="0" fontId="0" fillId="0" borderId="761" xfId="0" applyBorder="1">
      <alignment horizontal="center" vertical="center"/>
    </xf>
    <xf numFmtId="0" fontId="7" fillId="51" borderId="755" xfId="0" applyFont="1" applyFill="1" applyBorder="1" applyAlignment="1">
      <alignment vertical="center"/>
    </xf>
    <xf numFmtId="0" fontId="7" fillId="54" borderId="760" xfId="50" applyBorder="1">
      <alignment horizontal="center" vertical="center"/>
    </xf>
    <xf numFmtId="0" fontId="7" fillId="52" borderId="760" xfId="48" applyBorder="1">
      <alignment horizontal="center" vertical="center"/>
    </xf>
    <xf numFmtId="0" fontId="7" fillId="52" borderId="761" xfId="48" applyBorder="1">
      <alignment horizontal="center" vertical="center"/>
    </xf>
    <xf numFmtId="0" fontId="0" fillId="51" borderId="682" xfId="0" applyFill="1" applyBorder="1">
      <alignment horizontal="center" vertical="center"/>
    </xf>
    <xf numFmtId="0" fontId="0" fillId="72" borderId="681" xfId="0" applyFill="1" applyBorder="1">
      <alignment horizontal="center" vertical="center"/>
    </xf>
    <xf numFmtId="0" fontId="7" fillId="53" borderId="681" xfId="43" applyBorder="1">
      <alignment horizontal="center" vertical="center"/>
    </xf>
    <xf numFmtId="0" fontId="7" fillId="0" borderId="681" xfId="53" applyBorder="1">
      <alignment horizontal="center" vertical="center"/>
    </xf>
    <xf numFmtId="0" fontId="7" fillId="52" borderId="682" xfId="48" applyBorder="1">
      <alignment horizontal="center" vertical="center"/>
    </xf>
    <xf numFmtId="0" fontId="4" fillId="0" borderId="762" xfId="0" applyFont="1" applyBorder="1" applyAlignment="1">
      <alignment horizontal="center"/>
    </xf>
    <xf numFmtId="49" fontId="7" fillId="0" borderId="763" xfId="0" applyNumberFormat="1" applyFont="1" applyBorder="1">
      <alignment horizontal="center" vertical="center"/>
    </xf>
    <xf numFmtId="0" fontId="0" fillId="0" borderId="764" xfId="0" applyBorder="1">
      <alignment horizontal="center" vertical="center"/>
    </xf>
    <xf numFmtId="0" fontId="0" fillId="0" borderId="765" xfId="0" applyBorder="1">
      <alignment horizontal="center" vertical="center"/>
    </xf>
    <xf numFmtId="0" fontId="4" fillId="0" borderId="765" xfId="0" applyFont="1" applyBorder="1" applyAlignment="1">
      <alignment horizontal="left"/>
    </xf>
    <xf numFmtId="0" fontId="0" fillId="0" borderId="766" xfId="0" applyBorder="1">
      <alignment horizontal="center" vertical="center"/>
    </xf>
    <xf numFmtId="0" fontId="0" fillId="51" borderId="760" xfId="0" applyFill="1" applyBorder="1" applyAlignment="1">
      <alignment horizontal="left" vertical="center" wrapText="1"/>
    </xf>
    <xf numFmtId="49" fontId="0" fillId="51" borderId="767" xfId="0" applyNumberFormat="1" applyFill="1" applyBorder="1">
      <alignment horizontal="center" vertical="center"/>
    </xf>
    <xf numFmtId="0" fontId="7" fillId="53" borderId="608" xfId="43" applyBorder="1">
      <alignment horizontal="center" vertical="center"/>
    </xf>
    <xf numFmtId="0" fontId="0" fillId="0" borderId="608" xfId="0" applyBorder="1">
      <alignment horizontal="center" vertical="center"/>
    </xf>
    <xf numFmtId="0" fontId="7" fillId="58" borderId="608" xfId="33" applyBorder="1">
      <alignment horizontal="center" vertical="center"/>
    </xf>
    <xf numFmtId="0" fontId="0" fillId="52" borderId="608" xfId="0" applyFill="1" applyBorder="1">
      <alignment horizontal="center" vertical="center"/>
    </xf>
    <xf numFmtId="0" fontId="0" fillId="53" borderId="608" xfId="0" applyFill="1" applyBorder="1">
      <alignment horizontal="center" vertical="center"/>
    </xf>
    <xf numFmtId="49" fontId="0" fillId="53" borderId="681" xfId="0" applyNumberFormat="1" applyFill="1" applyBorder="1">
      <alignment horizontal="center" vertical="center"/>
    </xf>
    <xf numFmtId="0" fontId="7" fillId="51" borderId="681" xfId="48" applyFill="1" applyBorder="1">
      <alignment horizontal="center" vertical="center"/>
    </xf>
    <xf numFmtId="0" fontId="4" fillId="0" borderId="755" xfId="0" applyFont="1" applyBorder="1" applyAlignment="1">
      <alignment horizontal="left" vertical="center"/>
    </xf>
    <xf numFmtId="0" fontId="0" fillId="0" borderId="757" xfId="0" applyBorder="1" applyAlignment="1">
      <alignment horizontal="left" vertical="center"/>
    </xf>
    <xf numFmtId="0" fontId="4" fillId="0" borderId="758" xfId="0" applyFont="1" applyBorder="1" applyAlignment="1">
      <alignment horizontal="left" vertical="center"/>
    </xf>
    <xf numFmtId="0" fontId="4" fillId="0" borderId="657" xfId="0" applyFont="1" applyBorder="1" applyAlignment="1">
      <alignment horizontal="center"/>
    </xf>
    <xf numFmtId="0" fontId="0" fillId="0" borderId="768" xfId="0" applyBorder="1" applyAlignment="1">
      <alignment horizontal="left" vertical="center"/>
    </xf>
    <xf numFmtId="0" fontId="4" fillId="0" borderId="760" xfId="0" applyFont="1" applyBorder="1" applyAlignment="1" applyProtection="1">
      <alignment horizontal="center"/>
      <protection locked="0"/>
    </xf>
    <xf numFmtId="0" fontId="0" fillId="0" borderId="760" xfId="0" applyBorder="1" applyAlignment="1">
      <alignment horizontal="left"/>
    </xf>
    <xf numFmtId="0" fontId="36" fillId="23" borderId="102" xfId="32" applyBorder="1" applyAlignment="1">
      <alignment horizontal="center" vertical="center"/>
    </xf>
    <xf numFmtId="0" fontId="7" fillId="53" borderId="102" xfId="44" applyFill="1" applyBorder="1">
      <alignment horizontal="center" vertical="center"/>
    </xf>
    <xf numFmtId="0" fontId="0" fillId="53" borderId="102" xfId="46" applyFont="1" applyFill="1" applyBorder="1">
      <alignment horizontal="center" vertical="center"/>
    </xf>
    <xf numFmtId="0" fontId="0" fillId="58" borderId="102" xfId="0" applyFill="1" applyBorder="1">
      <alignment horizontal="center" vertical="center"/>
    </xf>
    <xf numFmtId="0" fontId="4" fillId="0" borderId="646" xfId="0" applyFont="1" applyBorder="1">
      <alignment horizontal="center" vertical="center"/>
    </xf>
    <xf numFmtId="0" fontId="4" fillId="0" borderId="769" xfId="0" applyFont="1" applyBorder="1" applyAlignment="1">
      <alignment horizontal="center"/>
    </xf>
    <xf numFmtId="0" fontId="4" fillId="24" borderId="770" xfId="0" applyFont="1" applyFill="1" applyBorder="1">
      <alignment horizontal="center" vertical="center"/>
    </xf>
    <xf numFmtId="0" fontId="0" fillId="24" borderId="770" xfId="0" applyFill="1" applyBorder="1">
      <alignment horizontal="center" vertical="center"/>
    </xf>
    <xf numFmtId="0" fontId="0" fillId="24" borderId="771" xfId="0" applyFill="1" applyBorder="1">
      <alignment horizontal="center" vertical="center"/>
    </xf>
    <xf numFmtId="0" fontId="0" fillId="0" borderId="673" xfId="0" applyBorder="1" applyAlignment="1">
      <alignment horizontal="left" vertical="center"/>
    </xf>
    <xf numFmtId="0" fontId="7" fillId="46" borderId="675" xfId="0" applyFont="1" applyFill="1" applyBorder="1">
      <alignment horizontal="center" vertical="center"/>
    </xf>
    <xf numFmtId="0" fontId="6" fillId="0" borderId="673" xfId="0" applyFont="1" applyBorder="1" applyAlignment="1">
      <alignment horizontal="left" vertical="center"/>
    </xf>
    <xf numFmtId="0" fontId="7" fillId="0" borderId="675" xfId="0" applyFont="1" applyBorder="1">
      <alignment horizontal="center" vertical="center"/>
    </xf>
    <xf numFmtId="0" fontId="14" fillId="0" borderId="673" xfId="0" applyFont="1" applyBorder="1">
      <alignment horizontal="center" vertical="center"/>
    </xf>
    <xf numFmtId="0" fontId="0" fillId="0" borderId="675" xfId="0" applyBorder="1">
      <alignment horizontal="center" vertical="center"/>
    </xf>
    <xf numFmtId="0" fontId="0" fillId="51" borderId="756" xfId="0" applyFill="1" applyBorder="1" applyProtection="1">
      <alignment horizontal="center" vertical="center"/>
      <protection locked="0"/>
    </xf>
    <xf numFmtId="0" fontId="0" fillId="16" borderId="678" xfId="20" applyFont="1" applyBorder="1" applyAlignment="1">
      <alignment horizontal="center" vertical="center"/>
    </xf>
    <xf numFmtId="1" fontId="0" fillId="16" borderId="678" xfId="20" applyNumberFormat="1" applyFont="1" applyBorder="1" applyAlignment="1">
      <alignment horizontal="center" vertical="center"/>
    </xf>
    <xf numFmtId="1" fontId="36" fillId="23" borderId="620" xfId="32" applyNumberFormat="1" applyBorder="1" applyAlignment="1">
      <alignment horizontal="center" vertical="center"/>
    </xf>
    <xf numFmtId="1" fontId="0" fillId="51" borderId="620" xfId="44" applyNumberFormat="1" applyFont="1" applyFill="1" applyBorder="1">
      <alignment horizontal="center" vertical="center"/>
    </xf>
    <xf numFmtId="0" fontId="0" fillId="43" borderId="772" xfId="0" applyFill="1" applyBorder="1" applyAlignment="1" applyProtection="1">
      <alignment horizontal="center"/>
      <protection locked="0"/>
    </xf>
    <xf numFmtId="0" fontId="0" fillId="0" borderId="772" xfId="0" applyBorder="1" applyAlignment="1">
      <alignment horizontal="left" vertical="center"/>
    </xf>
    <xf numFmtId="0" fontId="0" fillId="51" borderId="756" xfId="0" applyFill="1" applyBorder="1">
      <alignment horizontal="center" vertical="center"/>
    </xf>
    <xf numFmtId="0" fontId="0" fillId="52" borderId="756" xfId="0" applyFill="1" applyBorder="1">
      <alignment horizontal="center" vertical="center"/>
    </xf>
    <xf numFmtId="0" fontId="0" fillId="51" borderId="773" xfId="0" applyFill="1" applyBorder="1">
      <alignment horizontal="center" vertical="center"/>
    </xf>
    <xf numFmtId="0" fontId="0" fillId="43" borderId="681" xfId="0" applyFill="1" applyBorder="1" applyAlignment="1" applyProtection="1">
      <alignment horizontal="center"/>
      <protection locked="0"/>
    </xf>
    <xf numFmtId="0" fontId="7" fillId="0" borderId="681" xfId="0" applyFont="1" applyBorder="1" applyAlignment="1">
      <alignment horizontal="left" vertical="center"/>
    </xf>
    <xf numFmtId="0" fontId="7" fillId="54" borderId="681" xfId="50" applyBorder="1">
      <alignment horizontal="center" vertical="center"/>
    </xf>
    <xf numFmtId="0" fontId="7" fillId="69" borderId="681" xfId="44" applyBorder="1">
      <alignment horizontal="center" vertical="center"/>
    </xf>
    <xf numFmtId="0" fontId="0" fillId="0" borderId="677" xfId="0" applyBorder="1">
      <alignment horizontal="center" vertical="center"/>
    </xf>
    <xf numFmtId="0" fontId="7" fillId="69" borderId="167" xfId="44" applyBorder="1">
      <alignment horizontal="center" vertical="center"/>
    </xf>
    <xf numFmtId="0" fontId="7" fillId="0" borderId="167" xfId="53" applyBorder="1">
      <alignment horizontal="center" vertical="center"/>
    </xf>
    <xf numFmtId="0" fontId="4" fillId="0" borderId="774" xfId="0" applyFont="1" applyBorder="1" applyAlignment="1">
      <alignment horizontal="left" vertical="center"/>
    </xf>
    <xf numFmtId="0" fontId="0" fillId="0" borderId="775" xfId="0" applyBorder="1" applyAlignment="1">
      <alignment horizontal="left"/>
    </xf>
    <xf numFmtId="0" fontId="4" fillId="0" borderId="776" xfId="0" applyFont="1" applyBorder="1" applyAlignment="1">
      <alignment vertical="center"/>
    </xf>
    <xf numFmtId="0" fontId="0" fillId="0" borderId="775" xfId="0" applyBorder="1">
      <alignment horizontal="center" vertical="center"/>
    </xf>
    <xf numFmtId="0" fontId="4" fillId="0" borderId="777" xfId="0" applyFont="1" applyBorder="1" applyAlignment="1">
      <alignment horizontal="left" vertical="center"/>
    </xf>
    <xf numFmtId="0" fontId="4" fillId="0" borderId="777" xfId="0" applyFont="1" applyBorder="1" applyAlignment="1">
      <alignment horizontal="left"/>
    </xf>
    <xf numFmtId="0" fontId="4" fillId="0" borderId="778" xfId="0" applyFont="1" applyBorder="1" applyAlignment="1">
      <alignment vertical="center"/>
    </xf>
    <xf numFmtId="0" fontId="0" fillId="0" borderId="778" xfId="0" applyBorder="1">
      <alignment horizontal="center" vertical="center"/>
    </xf>
    <xf numFmtId="0" fontId="0" fillId="0" borderId="780" xfId="0" applyBorder="1">
      <alignment horizontal="center" vertical="center"/>
    </xf>
    <xf numFmtId="0" fontId="14" fillId="0" borderId="726" xfId="0" applyFont="1" applyBorder="1">
      <alignment horizontal="center" vertical="center"/>
    </xf>
    <xf numFmtId="0" fontId="4" fillId="0" borderId="726" xfId="0" applyFont="1" applyBorder="1">
      <alignment horizontal="center" vertical="center"/>
    </xf>
    <xf numFmtId="0" fontId="0" fillId="24" borderId="781" xfId="0" applyFill="1" applyBorder="1" applyAlignment="1" applyProtection="1">
      <alignment horizontal="center"/>
      <protection locked="0"/>
    </xf>
    <xf numFmtId="0" fontId="0" fillId="0" borderId="782" xfId="0" applyBorder="1" applyAlignment="1">
      <alignment horizontal="left" vertical="center"/>
    </xf>
    <xf numFmtId="49" fontId="0" fillId="51" borderId="782" xfId="0" applyNumberFormat="1" applyFill="1" applyBorder="1">
      <alignment horizontal="center" vertical="center"/>
    </xf>
    <xf numFmtId="0" fontId="7" fillId="52" borderId="782" xfId="48" applyBorder="1">
      <alignment horizontal="center" vertical="center"/>
    </xf>
    <xf numFmtId="0" fontId="0" fillId="51" borderId="782" xfId="44" applyFont="1" applyFill="1" applyBorder="1">
      <alignment horizontal="center" vertical="center"/>
    </xf>
    <xf numFmtId="49" fontId="0" fillId="51" borderId="783" xfId="0" applyNumberFormat="1" applyFill="1" applyBorder="1">
      <alignment horizontal="center" vertical="center"/>
    </xf>
    <xf numFmtId="0" fontId="0" fillId="51" borderId="782" xfId="48" applyFont="1" applyFill="1" applyBorder="1">
      <alignment horizontal="center" vertical="center"/>
    </xf>
    <xf numFmtId="0" fontId="7" fillId="53" borderId="782" xfId="43" applyBorder="1">
      <alignment horizontal="center" vertical="center"/>
    </xf>
    <xf numFmtId="0" fontId="0" fillId="0" borderId="782" xfId="0" applyBorder="1">
      <alignment horizontal="center" vertical="center"/>
    </xf>
    <xf numFmtId="0" fontId="0" fillId="51" borderId="782" xfId="0" applyFill="1" applyBorder="1" applyAlignment="1">
      <alignment horizontal="left" vertical="center" wrapText="1"/>
    </xf>
    <xf numFmtId="0" fontId="0" fillId="52" borderId="621" xfId="0" applyFill="1" applyBorder="1">
      <alignment horizontal="center" vertical="center"/>
    </xf>
    <xf numFmtId="49" fontId="0" fillId="52" borderId="621" xfId="0" applyNumberFormat="1" applyFill="1" applyBorder="1">
      <alignment horizontal="center" vertical="center"/>
    </xf>
    <xf numFmtId="0" fontId="0" fillId="52" borderId="621" xfId="44" applyFont="1" applyFill="1" applyBorder="1">
      <alignment horizontal="center" vertical="center"/>
    </xf>
    <xf numFmtId="49" fontId="6" fillId="52" borderId="621" xfId="0" applyNumberFormat="1" applyFont="1" applyFill="1" applyBorder="1">
      <alignment horizontal="center" vertical="center"/>
    </xf>
    <xf numFmtId="0" fontId="0" fillId="52" borderId="782" xfId="44" applyFont="1" applyFill="1" applyBorder="1">
      <alignment horizontal="center" vertical="center"/>
    </xf>
    <xf numFmtId="0" fontId="0" fillId="54" borderId="782" xfId="0" applyFill="1" applyBorder="1">
      <alignment horizontal="center" vertical="center"/>
    </xf>
    <xf numFmtId="49" fontId="0" fillId="54" borderId="782" xfId="0" applyNumberFormat="1" applyFill="1" applyBorder="1">
      <alignment horizontal="center" vertical="center"/>
    </xf>
    <xf numFmtId="1" fontId="0" fillId="54" borderId="782" xfId="32" applyNumberFormat="1" applyFont="1" applyFill="1" applyBorder="1" applyAlignment="1">
      <alignment horizontal="center" vertical="center"/>
    </xf>
    <xf numFmtId="49" fontId="0" fillId="72" borderId="782" xfId="0" applyNumberFormat="1" applyFill="1" applyBorder="1">
      <alignment horizontal="center" vertical="center"/>
    </xf>
    <xf numFmtId="0" fontId="0" fillId="51" borderId="782" xfId="46" applyFont="1" applyFill="1" applyBorder="1">
      <alignment horizontal="center" vertical="center"/>
    </xf>
    <xf numFmtId="0" fontId="52" fillId="56" borderId="782" xfId="46" applyBorder="1">
      <alignment horizontal="center" vertical="center"/>
    </xf>
    <xf numFmtId="0" fontId="0" fillId="54" borderId="782" xfId="44" applyFont="1" applyFill="1" applyBorder="1">
      <alignment horizontal="center" vertical="center"/>
    </xf>
    <xf numFmtId="0" fontId="0" fillId="51" borderId="783" xfId="0" applyFill="1" applyBorder="1">
      <alignment horizontal="center" vertical="center"/>
    </xf>
    <xf numFmtId="0" fontId="0" fillId="56" borderId="620" xfId="44" applyFont="1" applyFill="1" applyBorder="1">
      <alignment horizontal="center" vertical="center"/>
    </xf>
    <xf numFmtId="0" fontId="0" fillId="0" borderId="726" xfId="0" applyBorder="1" applyAlignment="1">
      <alignment horizontal="left"/>
    </xf>
    <xf numFmtId="0" fontId="7" fillId="0" borderId="726" xfId="0" applyFont="1" applyBorder="1" applyAlignment="1">
      <alignment horizontal="left"/>
    </xf>
    <xf numFmtId="0" fontId="7" fillId="0" borderId="771" xfId="0" applyFont="1" applyBorder="1" applyAlignment="1">
      <alignment horizontal="left"/>
    </xf>
    <xf numFmtId="0" fontId="6" fillId="0" borderId="771" xfId="0" applyFont="1" applyBorder="1" applyAlignment="1">
      <alignment horizontal="left"/>
    </xf>
    <xf numFmtId="0" fontId="0" fillId="0" borderId="784" xfId="0" applyBorder="1" applyAlignment="1">
      <alignment vertical="center"/>
    </xf>
    <xf numFmtId="0" fontId="0" fillId="51" borderId="782" xfId="0" applyFill="1" applyBorder="1" applyAlignment="1" applyProtection="1">
      <alignment horizontal="left" vertical="center"/>
      <protection locked="0"/>
    </xf>
    <xf numFmtId="0" fontId="0" fillId="51" borderId="782" xfId="0" applyFill="1" applyBorder="1">
      <alignment horizontal="center" vertical="center"/>
    </xf>
    <xf numFmtId="0" fontId="0" fillId="51" borderId="785" xfId="0" applyFill="1" applyBorder="1">
      <alignment horizontal="center" vertical="center"/>
    </xf>
    <xf numFmtId="0" fontId="7" fillId="69" borderId="782" xfId="44" applyBorder="1">
      <alignment horizontal="center" vertical="center"/>
    </xf>
    <xf numFmtId="0" fontId="0" fillId="55" borderId="782" xfId="48" applyFont="1" applyFill="1" applyBorder="1">
      <alignment horizontal="center" vertical="center"/>
    </xf>
    <xf numFmtId="0" fontId="0" fillId="51" borderId="783" xfId="48" applyFont="1" applyFill="1" applyBorder="1">
      <alignment horizontal="center" vertical="center"/>
    </xf>
    <xf numFmtId="0" fontId="7" fillId="0" borderId="613" xfId="53" applyBorder="1">
      <alignment horizontal="center" vertical="center"/>
    </xf>
    <xf numFmtId="0" fontId="7" fillId="55" borderId="782" xfId="45" applyBorder="1">
      <alignment horizontal="center" vertical="center"/>
    </xf>
    <xf numFmtId="0" fontId="0" fillId="55" borderId="681" xfId="45" applyFont="1" applyBorder="1">
      <alignment horizontal="center" vertical="center"/>
    </xf>
    <xf numFmtId="0" fontId="7" fillId="53" borderId="646" xfId="43" applyBorder="1">
      <alignment horizontal="center" vertical="center"/>
    </xf>
    <xf numFmtId="0" fontId="0" fillId="55" borderId="621" xfId="48" applyFont="1" applyFill="1" applyBorder="1">
      <alignment horizontal="center" vertical="center"/>
    </xf>
    <xf numFmtId="0" fontId="0" fillId="52" borderId="621" xfId="43" applyFont="1" applyFill="1" applyBorder="1">
      <alignment horizontal="center" vertical="center"/>
    </xf>
    <xf numFmtId="49" fontId="0" fillId="55" borderId="620" xfId="0" applyNumberFormat="1" applyFill="1" applyBorder="1">
      <alignment horizontal="center" vertical="center"/>
    </xf>
    <xf numFmtId="0" fontId="0" fillId="51" borderId="694" xfId="0" applyFill="1" applyBorder="1" applyAlignment="1">
      <alignment horizontal="left" vertical="center"/>
    </xf>
    <xf numFmtId="0" fontId="0" fillId="51" borderId="786" xfId="45" applyFont="1" applyFill="1" applyBorder="1">
      <alignment horizontal="center" vertical="center"/>
    </xf>
    <xf numFmtId="0" fontId="0" fillId="51" borderId="690" xfId="0" applyFill="1" applyBorder="1" applyAlignment="1">
      <alignment horizontal="left" vertical="center"/>
    </xf>
    <xf numFmtId="0" fontId="0" fillId="52" borderId="620" xfId="43" applyFont="1" applyFill="1" applyBorder="1">
      <alignment horizontal="center" vertical="center"/>
    </xf>
    <xf numFmtId="49" fontId="0" fillId="51" borderId="646" xfId="0" applyNumberFormat="1" applyFill="1" applyBorder="1">
      <alignment horizontal="center" vertical="center"/>
    </xf>
    <xf numFmtId="0" fontId="0" fillId="51" borderId="646" xfId="44" applyFont="1" applyFill="1" applyBorder="1">
      <alignment horizontal="center" vertical="center"/>
    </xf>
    <xf numFmtId="49" fontId="0" fillId="51" borderId="647" xfId="0" applyNumberFormat="1" applyFill="1" applyBorder="1">
      <alignment horizontal="center" vertical="center"/>
    </xf>
    <xf numFmtId="0" fontId="7" fillId="54" borderId="646" xfId="50" applyBorder="1">
      <alignment horizontal="center" vertical="center"/>
    </xf>
    <xf numFmtId="0" fontId="7" fillId="51" borderId="646" xfId="50" applyFill="1" applyBorder="1">
      <alignment horizontal="center" vertical="center"/>
    </xf>
    <xf numFmtId="0" fontId="0" fillId="0" borderId="647" xfId="0" applyBorder="1">
      <alignment horizontal="center" vertical="center"/>
    </xf>
    <xf numFmtId="0" fontId="59" fillId="0" borderId="681" xfId="0" applyFont="1" applyBorder="1" applyAlignment="1">
      <alignment horizontal="left" vertical="center"/>
    </xf>
    <xf numFmtId="0" fontId="7" fillId="57" borderId="681" xfId="47" applyBorder="1">
      <alignment horizontal="center" vertical="center"/>
    </xf>
    <xf numFmtId="0" fontId="7" fillId="57" borderId="681" xfId="53" applyFill="1" applyBorder="1">
      <alignment horizontal="center" vertical="center"/>
    </xf>
    <xf numFmtId="0" fontId="7" fillId="51" borderId="681" xfId="53" applyFill="1" applyBorder="1">
      <alignment horizontal="center" vertical="center"/>
    </xf>
    <xf numFmtId="0" fontId="0" fillId="57" borderId="646" xfId="0" applyFill="1" applyBorder="1">
      <alignment horizontal="center" vertical="center"/>
    </xf>
    <xf numFmtId="0" fontId="0" fillId="57" borderId="681" xfId="53" applyFont="1" applyFill="1" applyBorder="1">
      <alignment horizontal="center" vertical="center"/>
    </xf>
    <xf numFmtId="0" fontId="19" fillId="0" borderId="787" xfId="0" applyFont="1" applyBorder="1" applyAlignment="1" applyProtection="1">
      <alignment horizontal="center"/>
      <protection locked="0"/>
    </xf>
    <xf numFmtId="0" fontId="21" fillId="0" borderId="787" xfId="0" applyFont="1" applyBorder="1" applyAlignment="1">
      <alignment vertical="center"/>
    </xf>
    <xf numFmtId="0" fontId="0" fillId="71" borderId="770" xfId="0" applyFill="1" applyBorder="1">
      <alignment horizontal="center" vertical="center"/>
    </xf>
    <xf numFmtId="0" fontId="0" fillId="51" borderId="770" xfId="0" applyFill="1" applyBorder="1">
      <alignment horizontal="center" vertical="center"/>
    </xf>
    <xf numFmtId="0" fontId="0" fillId="51" borderId="788" xfId="0" applyFill="1" applyBorder="1">
      <alignment horizontal="center" vertical="center"/>
    </xf>
    <xf numFmtId="0" fontId="19" fillId="0" borderId="681" xfId="0" applyFont="1" applyBorder="1" applyAlignment="1" applyProtection="1">
      <alignment horizontal="center"/>
      <protection locked="0"/>
    </xf>
    <xf numFmtId="0" fontId="19" fillId="0" borderId="657" xfId="0" applyFont="1" applyBorder="1" applyAlignment="1" applyProtection="1">
      <alignment horizontal="center"/>
      <protection locked="0"/>
    </xf>
    <xf numFmtId="0" fontId="0" fillId="51" borderId="738" xfId="0" applyFill="1" applyBorder="1">
      <alignment horizontal="center" vertical="center"/>
    </xf>
    <xf numFmtId="1" fontId="0" fillId="51" borderId="738" xfId="32" applyNumberFormat="1" applyFont="1" applyFill="1" applyBorder="1" applyAlignment="1">
      <alignment horizontal="center" vertical="center"/>
    </xf>
    <xf numFmtId="0" fontId="0" fillId="51" borderId="738" xfId="43" applyFont="1" applyFill="1" applyBorder="1">
      <alignment horizontal="center" vertical="center"/>
    </xf>
    <xf numFmtId="0" fontId="0" fillId="51" borderId="789" xfId="0" applyFill="1" applyBorder="1">
      <alignment horizontal="center" vertical="center"/>
    </xf>
    <xf numFmtId="0" fontId="0" fillId="0" borderId="681" xfId="0" applyBorder="1" applyAlignment="1">
      <alignment vertical="center"/>
    </xf>
    <xf numFmtId="0" fontId="4" fillId="0" borderId="790" xfId="0" applyFont="1" applyBorder="1" applyAlignment="1" applyProtection="1">
      <alignment horizontal="center"/>
      <protection locked="0"/>
    </xf>
    <xf numFmtId="0" fontId="21" fillId="51" borderId="782" xfId="0" applyFont="1" applyFill="1" applyBorder="1" applyAlignment="1">
      <alignment horizontal="left" vertical="center"/>
    </xf>
    <xf numFmtId="1" fontId="0" fillId="51" borderId="782" xfId="32" applyNumberFormat="1" applyFont="1" applyFill="1" applyBorder="1" applyAlignment="1">
      <alignment horizontal="center" vertical="center"/>
    </xf>
    <xf numFmtId="49" fontId="0" fillId="53" borderId="791" xfId="0" applyNumberFormat="1" applyFill="1" applyBorder="1">
      <alignment horizontal="center" vertical="center"/>
    </xf>
    <xf numFmtId="0" fontId="0" fillId="53" borderId="791" xfId="44" applyFont="1" applyFill="1" applyBorder="1">
      <alignment horizontal="center" vertical="center"/>
    </xf>
    <xf numFmtId="0" fontId="0" fillId="0" borderId="791" xfId="0" applyBorder="1">
      <alignment horizontal="center" vertical="center"/>
    </xf>
    <xf numFmtId="0" fontId="0" fillId="51" borderId="791" xfId="0" applyFill="1" applyBorder="1">
      <alignment horizontal="center" vertical="center"/>
    </xf>
    <xf numFmtId="49" fontId="0" fillId="51" borderId="791" xfId="0" applyNumberFormat="1" applyFill="1" applyBorder="1">
      <alignment horizontal="center" vertical="center"/>
    </xf>
    <xf numFmtId="1" fontId="0" fillId="51" borderId="791" xfId="32" applyNumberFormat="1" applyFont="1" applyFill="1" applyBorder="1" applyAlignment="1">
      <alignment horizontal="center" vertical="center"/>
    </xf>
    <xf numFmtId="49" fontId="0" fillId="69" borderId="791" xfId="0" applyNumberFormat="1" applyFill="1" applyBorder="1">
      <alignment horizontal="center" vertical="center"/>
    </xf>
    <xf numFmtId="0" fontId="0" fillId="51" borderId="791" xfId="44" applyFont="1" applyFill="1" applyBorder="1">
      <alignment horizontal="center" vertical="center"/>
    </xf>
    <xf numFmtId="49" fontId="0" fillId="51" borderId="792" xfId="0" applyNumberFormat="1" applyFill="1" applyBorder="1">
      <alignment horizontal="center" vertical="center"/>
    </xf>
    <xf numFmtId="0" fontId="0" fillId="0" borderId="774" xfId="0" applyBorder="1">
      <alignment horizontal="center" vertical="center"/>
    </xf>
    <xf numFmtId="0" fontId="0" fillId="0" borderId="777" xfId="0" applyBorder="1">
      <alignment horizontal="center" vertical="center"/>
    </xf>
    <xf numFmtId="0" fontId="0" fillId="0" borderId="793" xfId="0" applyBorder="1">
      <alignment horizontal="center" vertical="center"/>
    </xf>
    <xf numFmtId="0" fontId="0" fillId="0" borderId="794" xfId="0" applyBorder="1">
      <alignment horizontal="center" vertical="center"/>
    </xf>
    <xf numFmtId="0" fontId="0" fillId="0" borderId="795" xfId="0" applyBorder="1">
      <alignment horizontal="center" vertical="center"/>
    </xf>
    <xf numFmtId="0" fontId="0" fillId="0" borderId="776" xfId="0" applyBorder="1" applyAlignment="1">
      <alignment horizontal="left" vertical="center"/>
    </xf>
    <xf numFmtId="0" fontId="0" fillId="0" borderId="779" xfId="0" applyBorder="1">
      <alignment horizontal="center" vertical="center"/>
    </xf>
    <xf numFmtId="0" fontId="0" fillId="0" borderId="778" xfId="0" applyBorder="1" applyAlignment="1">
      <alignment horizontal="left" vertical="center"/>
    </xf>
    <xf numFmtId="0" fontId="0" fillId="0" borderId="777" xfId="0" applyBorder="1" applyAlignment="1">
      <alignment horizontal="left" vertical="center"/>
    </xf>
    <xf numFmtId="0" fontId="0" fillId="0" borderId="775" xfId="0" applyBorder="1" applyAlignment="1">
      <alignment horizontal="left" vertical="center"/>
    </xf>
    <xf numFmtId="0" fontId="0" fillId="0" borderId="796" xfId="0" applyBorder="1">
      <alignment horizontal="center" vertical="center"/>
    </xf>
    <xf numFmtId="0" fontId="0" fillId="0" borderId="797" xfId="0" applyBorder="1">
      <alignment horizontal="center" vertical="center"/>
    </xf>
    <xf numFmtId="0" fontId="0" fillId="0" borderId="798" xfId="0" applyBorder="1">
      <alignment horizontal="center" vertical="center"/>
    </xf>
    <xf numFmtId="0" fontId="0" fillId="0" borderId="776" xfId="0" applyBorder="1">
      <alignment horizontal="center" vertical="center"/>
    </xf>
    <xf numFmtId="0" fontId="4" fillId="43" borderId="782" xfId="0" applyFont="1" applyFill="1" applyBorder="1" applyAlignment="1">
      <alignment horizontal="center"/>
    </xf>
    <xf numFmtId="0" fontId="0" fillId="0" borderId="782" xfId="0" applyBorder="1" applyAlignment="1">
      <alignment vertical="center"/>
    </xf>
    <xf numFmtId="0" fontId="0" fillId="51" borderId="782" xfId="20" applyNumberFormat="1" applyFont="1" applyFill="1" applyBorder="1" applyAlignment="1">
      <alignment horizontal="center" vertical="center"/>
    </xf>
    <xf numFmtId="0" fontId="4" fillId="0" borderId="774" xfId="0" applyFont="1" applyBorder="1" applyAlignment="1">
      <alignment horizontal="center"/>
    </xf>
    <xf numFmtId="0" fontId="4" fillId="0" borderId="776" xfId="0" applyFont="1" applyBorder="1" applyAlignment="1">
      <alignment horizontal="center"/>
    </xf>
    <xf numFmtId="0" fontId="4" fillId="0" borderId="779" xfId="0" applyFont="1" applyBorder="1" applyAlignment="1">
      <alignment horizontal="left"/>
    </xf>
    <xf numFmtId="0" fontId="6" fillId="0" borderId="776" xfId="0" applyFont="1" applyBorder="1" applyAlignment="1">
      <alignment horizontal="center"/>
    </xf>
    <xf numFmtId="0" fontId="0" fillId="0" borderId="776" xfId="0" applyBorder="1" applyAlignment="1">
      <alignment horizontal="center"/>
    </xf>
    <xf numFmtId="0" fontId="4" fillId="0" borderId="779" xfId="0" applyFont="1" applyBorder="1" applyAlignment="1">
      <alignment horizontal="center"/>
    </xf>
    <xf numFmtId="0" fontId="6" fillId="0" borderId="778" xfId="0" applyFont="1" applyBorder="1" applyAlignment="1">
      <alignment horizontal="center"/>
    </xf>
    <xf numFmtId="0" fontId="6" fillId="0" borderId="779" xfId="0" applyFont="1" applyBorder="1" applyAlignment="1">
      <alignment horizontal="center"/>
    </xf>
    <xf numFmtId="0" fontId="0" fillId="0" borderId="779" xfId="0" applyBorder="1" applyAlignment="1">
      <alignment horizontal="center"/>
    </xf>
    <xf numFmtId="0" fontId="7" fillId="0" borderId="778" xfId="0" applyFont="1" applyBorder="1" applyAlignment="1">
      <alignment horizontal="left" vertical="center"/>
    </xf>
    <xf numFmtId="0" fontId="6" fillId="0" borderId="778" xfId="0" applyFont="1" applyBorder="1">
      <alignment horizontal="center" vertical="center"/>
    </xf>
    <xf numFmtId="0" fontId="6" fillId="0" borderId="779" xfId="0" applyFont="1" applyBorder="1">
      <alignment horizontal="center" vertical="center"/>
    </xf>
    <xf numFmtId="0" fontId="6" fillId="0" borderId="775" xfId="0" applyFont="1" applyBorder="1">
      <alignment horizontal="center" vertical="center"/>
    </xf>
    <xf numFmtId="0" fontId="7" fillId="0" borderId="775" xfId="0" applyFont="1" applyBorder="1">
      <alignment horizontal="center" vertical="center"/>
    </xf>
    <xf numFmtId="0" fontId="7" fillId="0" borderId="794" xfId="0" applyFont="1" applyBorder="1">
      <alignment horizontal="center" vertical="center"/>
    </xf>
    <xf numFmtId="0" fontId="7" fillId="0" borderId="782" xfId="0" applyFont="1" applyBorder="1">
      <alignment horizontal="center" vertical="center"/>
    </xf>
    <xf numFmtId="0" fontId="7" fillId="0" borderId="782" xfId="0" applyFont="1" applyBorder="1" applyAlignment="1">
      <alignment horizontal="left" vertical="center"/>
    </xf>
    <xf numFmtId="0" fontId="0" fillId="0" borderId="776" xfId="0" applyBorder="1" applyAlignment="1"/>
    <xf numFmtId="0" fontId="4" fillId="0" borderId="778" xfId="0" applyFont="1" applyBorder="1" applyAlignment="1">
      <alignment horizontal="left"/>
    </xf>
    <xf numFmtId="0" fontId="0" fillId="0" borderId="778" xfId="0" applyBorder="1" applyAlignment="1"/>
    <xf numFmtId="0" fontId="0" fillId="0" borderId="779" xfId="0" applyBorder="1" applyAlignment="1"/>
    <xf numFmtId="0" fontId="4" fillId="0" borderId="776" xfId="0" applyFont="1" applyBorder="1" applyAlignment="1">
      <alignment horizontal="left"/>
    </xf>
    <xf numFmtId="0" fontId="0" fillId="0" borderId="780" xfId="0" applyBorder="1" applyAlignment="1"/>
    <xf numFmtId="0" fontId="0" fillId="51" borderId="782" xfId="0" applyFill="1" applyBorder="1" applyAlignment="1">
      <alignment horizontal="left" vertical="center"/>
    </xf>
    <xf numFmtId="0" fontId="7" fillId="51" borderId="782" xfId="43" applyFill="1" applyBorder="1">
      <alignment horizontal="center" vertical="center"/>
    </xf>
    <xf numFmtId="49" fontId="0" fillId="53" borderId="782" xfId="0" applyNumberFormat="1" applyFill="1" applyBorder="1">
      <alignment horizontal="center" vertical="center"/>
    </xf>
    <xf numFmtId="0" fontId="0" fillId="53" borderId="782" xfId="44" applyFont="1" applyFill="1" applyBorder="1">
      <alignment horizontal="center" vertical="center"/>
    </xf>
    <xf numFmtId="0" fontId="0" fillId="53" borderId="782" xfId="0" applyFill="1" applyBorder="1">
      <alignment horizontal="center" vertical="center"/>
    </xf>
    <xf numFmtId="0" fontId="36" fillId="23" borderId="620" xfId="32" applyBorder="1" applyAlignment="1">
      <alignment horizontal="center" vertical="center"/>
    </xf>
    <xf numFmtId="0" fontId="0" fillId="51" borderId="649" xfId="0" applyFill="1" applyBorder="1" applyAlignment="1">
      <alignment horizontal="left" vertical="center"/>
    </xf>
    <xf numFmtId="0" fontId="0" fillId="55" borderId="621" xfId="0" applyFill="1" applyBorder="1">
      <alignment horizontal="center" vertical="center"/>
    </xf>
    <xf numFmtId="0" fontId="0" fillId="75" borderId="621" xfId="0" applyFill="1" applyBorder="1">
      <alignment horizontal="center" vertical="center"/>
    </xf>
    <xf numFmtId="0" fontId="0" fillId="72" borderId="621" xfId="0" applyFill="1" applyBorder="1">
      <alignment horizontal="center" vertical="center"/>
    </xf>
    <xf numFmtId="0" fontId="4" fillId="43" borderId="799" xfId="0" applyFont="1" applyFill="1" applyBorder="1" applyAlignment="1">
      <alignment horizontal="center"/>
    </xf>
    <xf numFmtId="0" fontId="0" fillId="51" borderId="799" xfId="0" applyFill="1" applyBorder="1">
      <alignment horizontal="center" vertical="center"/>
    </xf>
    <xf numFmtId="0" fontId="0" fillId="51" borderId="799" xfId="44" applyFont="1" applyFill="1" applyBorder="1">
      <alignment horizontal="center" vertical="center"/>
    </xf>
    <xf numFmtId="49" fontId="0" fillId="51" borderId="799" xfId="0" applyNumberFormat="1" applyFill="1" applyBorder="1">
      <alignment horizontal="center" vertical="center"/>
    </xf>
    <xf numFmtId="0" fontId="0" fillId="51" borderId="800" xfId="0" applyFill="1" applyBorder="1">
      <alignment horizontal="center" vertical="center"/>
    </xf>
    <xf numFmtId="0" fontId="7" fillId="51" borderId="776" xfId="0" applyFont="1" applyFill="1" applyBorder="1" applyAlignment="1">
      <alignment vertical="center"/>
    </xf>
    <xf numFmtId="0" fontId="0" fillId="51" borderId="799" xfId="32" applyFont="1" applyFill="1" applyBorder="1" applyAlignment="1">
      <alignment horizontal="center" vertical="center"/>
    </xf>
    <xf numFmtId="0" fontId="4" fillId="0" borderId="801" xfId="0" applyFont="1" applyBorder="1" applyAlignment="1">
      <alignment horizontal="center"/>
    </xf>
    <xf numFmtId="49" fontId="7" fillId="0" borderId="802" xfId="0" applyNumberFormat="1" applyFont="1" applyBorder="1">
      <alignment horizontal="center" vertical="center"/>
    </xf>
    <xf numFmtId="0" fontId="0" fillId="0" borderId="803" xfId="0" applyBorder="1">
      <alignment horizontal="center" vertical="center"/>
    </xf>
    <xf numFmtId="0" fontId="0" fillId="0" borderId="804" xfId="0" applyBorder="1">
      <alignment horizontal="center" vertical="center"/>
    </xf>
    <xf numFmtId="0" fontId="4" fillId="0" borderId="804" xfId="0" applyFont="1" applyBorder="1" applyAlignment="1">
      <alignment horizontal="left"/>
    </xf>
    <xf numFmtId="0" fontId="0" fillId="0" borderId="805" xfId="0" applyBorder="1">
      <alignment horizontal="center" vertical="center"/>
    </xf>
    <xf numFmtId="0" fontId="0" fillId="51" borderId="799" xfId="0" applyFill="1" applyBorder="1" applyAlignment="1">
      <alignment horizontal="left" vertical="center" wrapText="1"/>
    </xf>
    <xf numFmtId="49" fontId="0" fillId="51" borderId="806" xfId="0" applyNumberFormat="1" applyFill="1" applyBorder="1">
      <alignment horizontal="center" vertical="center"/>
    </xf>
    <xf numFmtId="0" fontId="7" fillId="51" borderId="608" xfId="48" applyFill="1" applyBorder="1">
      <alignment horizontal="center" vertical="center"/>
    </xf>
    <xf numFmtId="49" fontId="0" fillId="52" borderId="681" xfId="0" applyNumberFormat="1" applyFill="1" applyBorder="1">
      <alignment horizontal="center" vertical="center"/>
    </xf>
    <xf numFmtId="49" fontId="0" fillId="56" borderId="681" xfId="0" applyNumberFormat="1" applyFill="1" applyBorder="1">
      <alignment horizontal="center" vertical="center"/>
    </xf>
    <xf numFmtId="49" fontId="0" fillId="54" borderId="705" xfId="0" applyNumberFormat="1" applyFill="1" applyBorder="1">
      <alignment horizontal="center" vertical="center"/>
    </xf>
    <xf numFmtId="0" fontId="4" fillId="0" borderId="776" xfId="0" applyFont="1" applyBorder="1" applyAlignment="1">
      <alignment horizontal="left" vertical="center"/>
    </xf>
    <xf numFmtId="0" fontId="0" fillId="0" borderId="779" xfId="0" applyBorder="1" applyAlignment="1">
      <alignment horizontal="left" vertical="center"/>
    </xf>
    <xf numFmtId="0" fontId="4" fillId="0" borderId="778" xfId="0" applyFont="1" applyBorder="1" applyAlignment="1">
      <alignment horizontal="left" vertical="center"/>
    </xf>
    <xf numFmtId="0" fontId="4" fillId="0" borderId="799" xfId="0" applyFont="1" applyBorder="1" applyAlignment="1" applyProtection="1">
      <alignment horizontal="center"/>
      <protection locked="0"/>
    </xf>
    <xf numFmtId="0" fontId="0" fillId="0" borderId="799" xfId="0" applyBorder="1" applyAlignment="1">
      <alignment horizontal="left"/>
    </xf>
    <xf numFmtId="0" fontId="4" fillId="0" borderId="807" xfId="0" applyFont="1" applyBorder="1">
      <alignment horizontal="center" vertical="center"/>
    </xf>
    <xf numFmtId="0" fontId="4" fillId="0" borderId="781" xfId="0" applyFont="1" applyBorder="1" applyAlignment="1">
      <alignment horizontal="center"/>
    </xf>
    <xf numFmtId="0" fontId="3" fillId="0" borderId="808" xfId="0" applyFont="1" applyBorder="1" applyAlignment="1">
      <alignment horizontal="left"/>
    </xf>
    <xf numFmtId="0" fontId="0" fillId="0" borderId="786" xfId="0" applyBorder="1" applyAlignment="1" applyProtection="1">
      <alignment horizontal="center"/>
      <protection locked="0"/>
    </xf>
    <xf numFmtId="0" fontId="0" fillId="0" borderId="809" xfId="0" applyBorder="1" applyAlignment="1" applyProtection="1">
      <alignment horizontal="center"/>
      <protection locked="0"/>
    </xf>
    <xf numFmtId="0" fontId="7" fillId="0" borderId="786" xfId="53" applyBorder="1">
      <alignment horizontal="center" vertical="center"/>
    </xf>
    <xf numFmtId="0" fontId="0" fillId="53" borderId="621" xfId="48" applyFont="1" applyFill="1" applyBorder="1">
      <alignment horizontal="center" vertical="center"/>
    </xf>
    <xf numFmtId="49" fontId="0" fillId="0" borderId="809" xfId="0" applyNumberFormat="1" applyBorder="1" applyAlignment="1"/>
    <xf numFmtId="0" fontId="0" fillId="0" borderId="810" xfId="0" applyBorder="1" applyAlignment="1">
      <alignment horizontal="left" vertical="center"/>
    </xf>
    <xf numFmtId="0" fontId="0" fillId="0" borderId="786" xfId="0" applyBorder="1" applyAlignment="1" applyProtection="1">
      <alignment horizontal="left"/>
      <protection locked="0"/>
    </xf>
    <xf numFmtId="0" fontId="0" fillId="0" borderId="811" xfId="0" applyBorder="1" applyAlignment="1" applyProtection="1">
      <alignment horizontal="center"/>
      <protection locked="0"/>
    </xf>
    <xf numFmtId="0" fontId="0" fillId="0" borderId="812" xfId="0" applyBorder="1" applyAlignment="1">
      <alignment vertical="center"/>
    </xf>
    <xf numFmtId="0" fontId="0" fillId="0" borderId="813" xfId="0" applyBorder="1">
      <alignment horizontal="center" vertical="center"/>
    </xf>
    <xf numFmtId="0" fontId="0" fillId="0" borderId="813" xfId="0" applyBorder="1" applyAlignment="1">
      <alignment vertical="center"/>
    </xf>
    <xf numFmtId="0" fontId="53" fillId="63" borderId="809" xfId="0" applyFont="1" applyFill="1" applyBorder="1" applyAlignment="1">
      <alignment horizontal="center" wrapText="1"/>
    </xf>
    <xf numFmtId="0" fontId="20" fillId="63" borderId="102" xfId="0" applyFont="1" applyFill="1" applyBorder="1" applyAlignment="1">
      <alignment horizontal="center" wrapText="1"/>
    </xf>
    <xf numFmtId="0" fontId="20" fillId="63" borderId="102" xfId="0" applyFont="1" applyFill="1" applyBorder="1" applyAlignment="1">
      <alignment horizontal="left" wrapText="1"/>
    </xf>
    <xf numFmtId="0" fontId="20" fillId="64" borderId="814" xfId="0" applyFont="1" applyFill="1" applyBorder="1">
      <alignment horizontal="center" vertical="center"/>
    </xf>
    <xf numFmtId="0" fontId="20" fillId="64" borderId="814" xfId="0" applyFont="1" applyFill="1" applyBorder="1" applyAlignment="1">
      <alignment horizontal="center" vertical="center" wrapText="1"/>
    </xf>
    <xf numFmtId="171" fontId="20" fillId="0" borderId="811" xfId="0" applyNumberFormat="1" applyFont="1" applyBorder="1" applyAlignment="1">
      <alignment horizontal="left" wrapText="1"/>
    </xf>
    <xf numFmtId="171" fontId="24" fillId="0" borderId="811" xfId="0" applyNumberFormat="1" applyFont="1" applyBorder="1" applyAlignment="1">
      <alignment horizontal="left" wrapText="1"/>
    </xf>
    <xf numFmtId="0" fontId="23" fillId="0" borderId="809" xfId="0" applyFont="1" applyBorder="1" applyAlignment="1">
      <alignment wrapText="1"/>
    </xf>
    <xf numFmtId="171" fontId="24" fillId="0" borderId="811" xfId="0" applyNumberFormat="1" applyFont="1" applyBorder="1" applyAlignment="1">
      <alignment horizontal="left"/>
    </xf>
    <xf numFmtId="171" fontId="24" fillId="0" borderId="815" xfId="0" applyNumberFormat="1" applyFont="1" applyBorder="1" applyAlignment="1">
      <alignment horizontal="left"/>
    </xf>
    <xf numFmtId="0" fontId="58" fillId="0" borderId="809" xfId="0" applyFont="1" applyBorder="1" applyAlignment="1">
      <alignment wrapText="1"/>
    </xf>
    <xf numFmtId="171" fontId="24" fillId="0" borderId="645" xfId="0" applyNumberFormat="1" applyFont="1" applyBorder="1" applyAlignment="1">
      <alignment horizontal="left"/>
    </xf>
    <xf numFmtId="0" fontId="20" fillId="0" borderId="645" xfId="0" applyFont="1" applyBorder="1">
      <alignment horizontal="center" vertical="center"/>
    </xf>
    <xf numFmtId="0" fontId="20" fillId="39" borderId="809" xfId="0" applyFont="1" applyFill="1" applyBorder="1" applyAlignment="1">
      <alignment wrapText="1"/>
    </xf>
    <xf numFmtId="171" fontId="24" fillId="39" borderId="811" xfId="0" applyNumberFormat="1" applyFont="1" applyFill="1" applyBorder="1" applyAlignment="1">
      <alignment horizontal="left" wrapText="1"/>
    </xf>
    <xf numFmtId="0" fontId="23" fillId="39" borderId="809" xfId="0" applyFont="1" applyFill="1" applyBorder="1" applyAlignment="1">
      <alignment wrapText="1"/>
    </xf>
    <xf numFmtId="0" fontId="23" fillId="0" borderId="809" xfId="0" applyFont="1" applyBorder="1" applyAlignment="1"/>
    <xf numFmtId="0" fontId="23" fillId="65" borderId="809" xfId="0" applyFont="1" applyFill="1" applyBorder="1" applyAlignment="1"/>
    <xf numFmtId="171" fontId="24" fillId="65" borderId="811" xfId="0" applyNumberFormat="1" applyFont="1" applyFill="1" applyBorder="1" applyAlignment="1">
      <alignment horizontal="left" wrapText="1"/>
    </xf>
    <xf numFmtId="0" fontId="23" fillId="65" borderId="809" xfId="0" applyFont="1" applyFill="1" applyBorder="1" applyAlignment="1">
      <alignment horizontal="left" vertical="center"/>
    </xf>
    <xf numFmtId="172" fontId="24" fillId="65" borderId="811" xfId="0" applyNumberFormat="1" applyFont="1" applyFill="1" applyBorder="1" applyAlignment="1">
      <alignment horizontal="left" wrapText="1"/>
    </xf>
    <xf numFmtId="0" fontId="23" fillId="65" borderId="809" xfId="0" applyFont="1" applyFill="1" applyBorder="1" applyAlignment="1">
      <alignment horizontal="left" vertical="center" wrapText="1"/>
    </xf>
    <xf numFmtId="3" fontId="55" fillId="0" borderId="811" xfId="0" applyNumberFormat="1" applyFont="1" applyBorder="1">
      <alignment horizontal="center" vertical="center"/>
    </xf>
    <xf numFmtId="0" fontId="23" fillId="66" borderId="809" xfId="0" applyFont="1" applyFill="1" applyBorder="1" applyAlignment="1">
      <alignment horizontal="left" vertical="center" wrapText="1"/>
    </xf>
    <xf numFmtId="172" fontId="24" fillId="66" borderId="811" xfId="0" applyNumberFormat="1" applyFont="1" applyFill="1" applyBorder="1" applyAlignment="1">
      <alignment horizontal="left" wrapText="1"/>
    </xf>
    <xf numFmtId="0" fontId="23" fillId="67" borderId="809" xfId="0" applyFont="1" applyFill="1" applyBorder="1" applyAlignment="1">
      <alignment horizontal="left" vertical="center" wrapText="1"/>
    </xf>
    <xf numFmtId="172" fontId="24" fillId="66" borderId="815" xfId="0" applyNumberFormat="1" applyFont="1" applyFill="1" applyBorder="1" applyAlignment="1">
      <alignment horizontal="left" wrapText="1"/>
    </xf>
    <xf numFmtId="3" fontId="55" fillId="0" borderId="816" xfId="0" applyNumberFormat="1" applyFont="1" applyBorder="1">
      <alignment horizontal="center" vertical="center"/>
    </xf>
    <xf numFmtId="0" fontId="23" fillId="68" borderId="809" xfId="0" applyFont="1" applyFill="1" applyBorder="1" applyAlignment="1">
      <alignment horizontal="left" vertical="center"/>
    </xf>
    <xf numFmtId="171" fontId="24" fillId="66" borderId="811" xfId="0" applyNumberFormat="1" applyFont="1" applyFill="1" applyBorder="1" applyAlignment="1">
      <alignment horizontal="left" wrapText="1"/>
    </xf>
    <xf numFmtId="0" fontId="23" fillId="0" borderId="809" xfId="0" applyFont="1" applyBorder="1">
      <alignment horizontal="center" vertical="center"/>
    </xf>
    <xf numFmtId="0" fontId="23" fillId="38" borderId="809" xfId="0" applyFont="1" applyFill="1" applyBorder="1" applyAlignment="1">
      <alignment horizontal="left" vertical="center"/>
    </xf>
    <xf numFmtId="171" fontId="24" fillId="38" borderId="817" xfId="0" applyNumberFormat="1" applyFont="1" applyFill="1" applyBorder="1" applyAlignment="1">
      <alignment horizontal="left" wrapText="1"/>
    </xf>
    <xf numFmtId="0" fontId="20" fillId="38" borderId="809" xfId="0" applyFont="1" applyFill="1" applyBorder="1" applyAlignment="1">
      <alignment horizontal="left" vertical="center"/>
    </xf>
    <xf numFmtId="171" fontId="24" fillId="38" borderId="102" xfId="0" applyNumberFormat="1" applyFont="1" applyFill="1" applyBorder="1" applyAlignment="1">
      <alignment horizontal="left" wrapText="1"/>
    </xf>
    <xf numFmtId="171" fontId="24" fillId="38" borderId="818" xfId="0" applyNumberFormat="1" applyFont="1" applyFill="1" applyBorder="1" applyAlignment="1">
      <alignment horizontal="left" wrapText="1"/>
    </xf>
    <xf numFmtId="0" fontId="20" fillId="0" borderId="809" xfId="0" applyFont="1" applyBorder="1" applyAlignment="1">
      <alignment wrapText="1"/>
    </xf>
    <xf numFmtId="171" fontId="67" fillId="39" borderId="811" xfId="0" applyNumberFormat="1" applyFont="1" applyFill="1" applyBorder="1" applyAlignment="1">
      <alignment horizontal="left" wrapText="1"/>
    </xf>
    <xf numFmtId="171" fontId="24" fillId="66" borderId="815" xfId="0" applyNumberFormat="1" applyFont="1" applyFill="1" applyBorder="1" applyAlignment="1">
      <alignment horizontal="left" wrapText="1"/>
    </xf>
    <xf numFmtId="171" fontId="67" fillId="66" borderId="811" xfId="0" applyNumberFormat="1" applyFont="1" applyFill="1" applyBorder="1" applyAlignment="1">
      <alignment horizontal="left" wrapText="1"/>
    </xf>
    <xf numFmtId="171" fontId="24" fillId="38" borderId="811" xfId="0" applyNumberFormat="1" applyFont="1" applyFill="1" applyBorder="1" applyAlignment="1">
      <alignment horizontal="left" wrapText="1"/>
    </xf>
    <xf numFmtId="0" fontId="45" fillId="50" borderId="811" xfId="0" applyFont="1" applyFill="1" applyBorder="1" applyAlignment="1">
      <alignment horizontal="center"/>
    </xf>
    <xf numFmtId="0" fontId="45" fillId="50" borderId="815" xfId="0" applyFont="1" applyFill="1" applyBorder="1" applyAlignment="1">
      <alignment horizontal="center"/>
    </xf>
    <xf numFmtId="169" fontId="45" fillId="50" borderId="815" xfId="0" applyNumberFormat="1" applyFont="1" applyFill="1" applyBorder="1" applyAlignment="1">
      <alignment horizontal="center"/>
    </xf>
    <xf numFmtId="0" fontId="0" fillId="24" borderId="807" xfId="0" applyFill="1" applyBorder="1" applyAlignment="1">
      <alignment horizontal="center"/>
    </xf>
    <xf numFmtId="0" fontId="21" fillId="0" borderId="811" xfId="0" applyFont="1" applyBorder="1">
      <alignment horizontal="center" vertical="center"/>
    </xf>
    <xf numFmtId="0" fontId="45" fillId="0" borderId="811" xfId="0" applyFont="1" applyBorder="1" applyAlignment="1">
      <alignment vertical="center"/>
    </xf>
    <xf numFmtId="0" fontId="21" fillId="0" borderId="811" xfId="0" applyFont="1" applyBorder="1" applyAlignment="1">
      <alignment vertical="center"/>
    </xf>
    <xf numFmtId="49" fontId="45" fillId="0" borderId="811" xfId="0" applyNumberFormat="1" applyFont="1" applyBorder="1">
      <alignment horizontal="center" vertical="center"/>
    </xf>
    <xf numFmtId="0" fontId="21" fillId="0" borderId="782" xfId="0" applyFont="1" applyBorder="1" applyAlignment="1">
      <alignment horizontal="left" vertical="center"/>
    </xf>
    <xf numFmtId="0" fontId="0" fillId="0" borderId="783" xfId="0" applyBorder="1">
      <alignment horizontal="center" vertical="center"/>
    </xf>
    <xf numFmtId="0" fontId="45" fillId="0" borderId="102" xfId="0" applyFont="1" applyBorder="1">
      <alignment horizontal="center" vertical="center"/>
    </xf>
    <xf numFmtId="0" fontId="21" fillId="0" borderId="102" xfId="0" applyFont="1" applyBorder="1" applyAlignment="1">
      <alignment horizontal="left" vertical="center"/>
    </xf>
    <xf numFmtId="0" fontId="21" fillId="0" borderId="786" xfId="0" applyFont="1" applyBorder="1" applyAlignment="1">
      <alignment horizontal="left" vertical="center"/>
    </xf>
    <xf numFmtId="0" fontId="45" fillId="0" borderId="819" xfId="0" applyFont="1" applyBorder="1">
      <alignment horizontal="center" vertical="center"/>
    </xf>
    <xf numFmtId="0" fontId="21" fillId="0" borderId="621" xfId="0" applyFont="1" applyBorder="1" applyAlignment="1">
      <alignment horizontal="left" vertical="center"/>
    </xf>
    <xf numFmtId="0" fontId="0" fillId="0" borderId="820" xfId="0" applyBorder="1">
      <alignment horizontal="center" vertical="center"/>
    </xf>
    <xf numFmtId="0" fontId="21" fillId="51" borderId="811" xfId="0" applyFont="1" applyFill="1" applyBorder="1" applyAlignment="1">
      <alignment horizontal="left" vertical="center"/>
    </xf>
    <xf numFmtId="49" fontId="45" fillId="0" borderId="101" xfId="0" applyNumberFormat="1" applyFont="1" applyBorder="1">
      <alignment horizontal="center" vertical="center"/>
    </xf>
    <xf numFmtId="0" fontId="45" fillId="0" borderId="799" xfId="0" applyFont="1" applyBorder="1" applyAlignment="1">
      <alignment vertical="center"/>
    </xf>
    <xf numFmtId="0" fontId="15" fillId="0" borderId="811" xfId="0" applyFont="1" applyBorder="1" applyAlignment="1">
      <alignment horizontal="left" vertical="center"/>
    </xf>
    <xf numFmtId="0" fontId="21" fillId="0" borderId="815" xfId="0" applyFont="1" applyBorder="1" applyAlignment="1">
      <alignment vertical="center"/>
    </xf>
    <xf numFmtId="49" fontId="45" fillId="0" borderId="821" xfId="0" applyNumberFormat="1" applyFont="1" applyBorder="1">
      <alignment horizontal="center" vertical="center"/>
    </xf>
    <xf numFmtId="0" fontId="45" fillId="0" borderId="822" xfId="0" applyFont="1" applyBorder="1" applyAlignment="1">
      <alignment vertical="center"/>
    </xf>
    <xf numFmtId="0" fontId="21" fillId="51" borderId="823" xfId="0" applyFont="1" applyFill="1" applyBorder="1" applyAlignment="1">
      <alignment horizontal="left" vertical="center" wrapText="1"/>
    </xf>
    <xf numFmtId="0" fontId="21" fillId="51" borderId="823" xfId="0" applyFont="1" applyFill="1" applyBorder="1" applyAlignment="1">
      <alignment horizontal="left" vertical="center"/>
    </xf>
    <xf numFmtId="169" fontId="45" fillId="0" borderId="823" xfId="0" applyNumberFormat="1" applyFont="1" applyBorder="1">
      <alignment horizontal="center" vertical="center"/>
    </xf>
    <xf numFmtId="0" fontId="45" fillId="49" borderId="823" xfId="0" applyFont="1" applyFill="1" applyBorder="1" applyAlignment="1">
      <alignment vertical="center"/>
    </xf>
    <xf numFmtId="0" fontId="45" fillId="0" borderId="194" xfId="0" applyFont="1" applyBorder="1" applyAlignment="1">
      <alignment vertical="center"/>
    </xf>
    <xf numFmtId="0" fontId="0" fillId="0" borderId="824" xfId="0" applyBorder="1">
      <alignment horizontal="center" vertical="center"/>
    </xf>
    <xf numFmtId="17" fontId="45" fillId="0" borderId="811" xfId="0" applyNumberFormat="1" applyFont="1" applyBorder="1">
      <alignment horizontal="center" vertical="center"/>
    </xf>
    <xf numFmtId="0" fontId="14" fillId="0" borderId="811" xfId="0" applyFont="1" applyBorder="1" applyAlignment="1">
      <alignment vertical="center"/>
    </xf>
    <xf numFmtId="0" fontId="21" fillId="0" borderId="811" xfId="0" applyFont="1" applyBorder="1" applyAlignment="1"/>
    <xf numFmtId="0" fontId="21" fillId="51" borderId="825" xfId="0" applyFont="1" applyFill="1" applyBorder="1" applyAlignment="1">
      <alignment horizontal="left" vertical="center" wrapText="1"/>
    </xf>
    <xf numFmtId="49" fontId="45" fillId="0" borderId="811" xfId="0" applyNumberFormat="1" applyFont="1" applyBorder="1" applyAlignment="1">
      <alignment horizontal="right"/>
    </xf>
    <xf numFmtId="0" fontId="45" fillId="0" borderId="167" xfId="0" applyFont="1" applyBorder="1">
      <alignment horizontal="center" vertical="center"/>
    </xf>
    <xf numFmtId="0" fontId="21" fillId="0" borderId="815" xfId="0" applyFont="1" applyBorder="1">
      <alignment horizontal="center" vertical="center"/>
    </xf>
    <xf numFmtId="0" fontId="14" fillId="0" borderId="811" xfId="0" applyFont="1" applyBorder="1" applyAlignment="1">
      <alignment horizontal="left" vertical="center"/>
    </xf>
    <xf numFmtId="0" fontId="0" fillId="0" borderId="811" xfId="0" applyBorder="1">
      <alignment horizontal="center" vertical="center"/>
    </xf>
    <xf numFmtId="0" fontId="21" fillId="51" borderId="811" xfId="0" applyFont="1" applyFill="1" applyBorder="1" applyAlignment="1" applyProtection="1">
      <alignment horizontal="left" vertical="center"/>
      <protection locked="0"/>
    </xf>
    <xf numFmtId="0" fontId="21" fillId="0" borderId="815" xfId="0" applyFont="1" applyBorder="1" applyAlignment="1"/>
    <xf numFmtId="0" fontId="21" fillId="0" borderId="167" xfId="0" applyFont="1" applyBorder="1" applyAlignment="1">
      <alignment vertical="center"/>
    </xf>
    <xf numFmtId="0" fontId="21" fillId="0" borderId="826" xfId="0" applyFont="1" applyBorder="1">
      <alignment horizontal="center" vertical="center"/>
    </xf>
    <xf numFmtId="0" fontId="0" fillId="0" borderId="811" xfId="0" applyBorder="1" applyAlignment="1">
      <alignment horizontal="left" vertical="center"/>
    </xf>
    <xf numFmtId="0" fontId="45" fillId="0" borderId="811" xfId="0" applyFont="1" applyBorder="1" applyAlignment="1">
      <alignment horizontal="left"/>
    </xf>
    <xf numFmtId="0" fontId="21" fillId="51" borderId="815" xfId="0" applyFont="1" applyFill="1" applyBorder="1" applyAlignment="1">
      <alignment horizontal="left" vertical="center"/>
    </xf>
    <xf numFmtId="0" fontId="0" fillId="0" borderId="811" xfId="0" applyBorder="1" applyAlignment="1">
      <alignment vertical="center"/>
    </xf>
    <xf numFmtId="0" fontId="21" fillId="0" borderId="815" xfId="0" applyFont="1" applyBorder="1" applyAlignment="1">
      <alignment horizontal="left" vertical="center"/>
    </xf>
    <xf numFmtId="0" fontId="0" fillId="51" borderId="799" xfId="0" applyFill="1" applyBorder="1" applyAlignment="1">
      <alignment horizontal="left" vertical="center"/>
    </xf>
    <xf numFmtId="0" fontId="45" fillId="0" borderId="815" xfId="0" applyFont="1" applyBorder="1" applyAlignment="1">
      <alignment horizontal="center"/>
    </xf>
    <xf numFmtId="0" fontId="45" fillId="51" borderId="811" xfId="0" applyFont="1" applyFill="1" applyBorder="1" applyAlignment="1">
      <alignment horizontal="left" vertical="center"/>
    </xf>
    <xf numFmtId="0" fontId="0" fillId="0" borderId="815" xfId="0" applyBorder="1" applyAlignment="1">
      <alignment horizontal="left" vertical="center"/>
    </xf>
    <xf numFmtId="0" fontId="50" fillId="51" borderId="811" xfId="0" applyFont="1" applyFill="1" applyBorder="1" applyAlignment="1">
      <alignment horizontal="center"/>
    </xf>
    <xf numFmtId="0" fontId="21" fillId="51" borderId="811" xfId="0" applyFont="1" applyFill="1" applyBorder="1" applyAlignment="1">
      <alignment vertical="center"/>
    </xf>
    <xf numFmtId="0" fontId="49" fillId="51" borderId="811" xfId="0" applyFont="1" applyFill="1" applyBorder="1" applyAlignment="1">
      <alignment wrapText="1"/>
    </xf>
    <xf numFmtId="0" fontId="46" fillId="51" borderId="811" xfId="0" applyFont="1" applyFill="1" applyBorder="1" applyAlignment="1">
      <alignment wrapText="1"/>
    </xf>
    <xf numFmtId="0" fontId="45" fillId="0" borderId="811" xfId="0" applyFont="1" applyBorder="1" applyAlignment="1">
      <alignment horizontal="left" vertical="center"/>
    </xf>
    <xf numFmtId="0" fontId="45" fillId="51" borderId="811" xfId="0" applyFont="1" applyFill="1" applyBorder="1" applyAlignment="1">
      <alignment wrapText="1"/>
    </xf>
    <xf numFmtId="0" fontId="45" fillId="0" borderId="811" xfId="0" applyFont="1" applyBorder="1" applyAlignment="1"/>
    <xf numFmtId="0" fontId="3" fillId="0" borderId="811" xfId="0" applyFont="1" applyBorder="1" applyAlignment="1">
      <alignment horizontal="left" vertical="center"/>
    </xf>
    <xf numFmtId="0" fontId="45" fillId="0" borderId="811" xfId="0" applyFont="1" applyBorder="1" applyAlignment="1">
      <alignment wrapText="1"/>
    </xf>
    <xf numFmtId="0" fontId="21" fillId="0" borderId="811" xfId="0" applyFont="1" applyBorder="1" applyAlignment="1">
      <alignment horizontal="left"/>
    </xf>
    <xf numFmtId="169" fontId="0" fillId="0" borderId="811" xfId="0" applyNumberFormat="1" applyBorder="1">
      <alignment horizontal="center" vertical="center"/>
    </xf>
    <xf numFmtId="0" fontId="14" fillId="51" borderId="827" xfId="0" applyFont="1" applyFill="1" applyBorder="1" applyAlignment="1">
      <alignment vertical="center"/>
    </xf>
    <xf numFmtId="0" fontId="21" fillId="51" borderId="827" xfId="0" applyFont="1" applyFill="1" applyBorder="1" applyAlignment="1">
      <alignment horizontal="left" vertical="center"/>
    </xf>
    <xf numFmtId="0" fontId="46" fillId="0" borderId="811" xfId="0" applyFont="1" applyBorder="1" applyAlignment="1">
      <alignment vertical="top" wrapText="1"/>
    </xf>
    <xf numFmtId="0" fontId="21" fillId="0" borderId="811" xfId="0" applyFont="1" applyBorder="1" applyAlignment="1">
      <alignment vertical="top" wrapText="1"/>
    </xf>
    <xf numFmtId="0" fontId="21" fillId="51" borderId="828" xfId="0" applyFont="1" applyFill="1" applyBorder="1" applyAlignment="1">
      <alignment horizontal="left" vertical="center"/>
    </xf>
    <xf numFmtId="0" fontId="51" fillId="0" borderId="811" xfId="0" applyFont="1" applyBorder="1" applyAlignment="1">
      <alignment vertical="top" wrapText="1"/>
    </xf>
    <xf numFmtId="0" fontId="4" fillId="0" borderId="795" xfId="0" applyFont="1" applyBorder="1" applyAlignment="1">
      <alignment horizontal="center"/>
    </xf>
    <xf numFmtId="0" fontId="4" fillId="0" borderId="782" xfId="0" applyFont="1" applyBorder="1" applyAlignment="1">
      <alignment horizontal="center"/>
    </xf>
    <xf numFmtId="0" fontId="6" fillId="0" borderId="782" xfId="0" applyFont="1" applyBorder="1" applyAlignment="1">
      <alignment horizontal="center"/>
    </xf>
    <xf numFmtId="0" fontId="6" fillId="0" borderId="783" xfId="0" applyFont="1" applyBorder="1" applyAlignment="1">
      <alignment horizontal="left"/>
    </xf>
    <xf numFmtId="0" fontId="4" fillId="0" borderId="785" xfId="0" applyFont="1" applyBorder="1" applyAlignment="1">
      <alignment horizontal="center"/>
    </xf>
    <xf numFmtId="0" fontId="6" fillId="0" borderId="785" xfId="0" applyFont="1" applyBorder="1" applyAlignment="1">
      <alignment horizontal="center"/>
    </xf>
    <xf numFmtId="0" fontId="6" fillId="0" borderId="777" xfId="0" applyFont="1" applyBorder="1" applyAlignment="1">
      <alignment horizontal="center"/>
    </xf>
    <xf numFmtId="0" fontId="6" fillId="0" borderId="829" xfId="0" applyFont="1" applyBorder="1" applyAlignment="1">
      <alignment horizontal="left"/>
    </xf>
    <xf numFmtId="0" fontId="0" fillId="0" borderId="781" xfId="0" applyBorder="1" applyAlignment="1">
      <alignment horizontal="center"/>
    </xf>
    <xf numFmtId="0" fontId="0" fillId="0" borderId="782" xfId="0" applyBorder="1" applyAlignment="1">
      <alignment horizontal="center"/>
    </xf>
    <xf numFmtId="0" fontId="7" fillId="0" borderId="782" xfId="0" applyFont="1" applyBorder="1" applyAlignment="1">
      <alignment horizontal="center"/>
    </xf>
    <xf numFmtId="0" fontId="7" fillId="0" borderId="783" xfId="0" applyFont="1" applyBorder="1" applyAlignment="1">
      <alignment horizontal="left"/>
    </xf>
    <xf numFmtId="0" fontId="0" fillId="0" borderId="830" xfId="0" applyBorder="1" applyAlignment="1">
      <alignment horizontal="center"/>
    </xf>
    <xf numFmtId="0" fontId="0" fillId="0" borderId="831" xfId="0" applyBorder="1" applyAlignment="1">
      <alignment horizontal="center"/>
    </xf>
    <xf numFmtId="0" fontId="0" fillId="0" borderId="795" xfId="0" applyBorder="1" applyAlignment="1">
      <alignment horizontal="center"/>
    </xf>
    <xf numFmtId="0" fontId="7" fillId="0" borderId="778" xfId="0" applyFont="1" applyBorder="1" applyAlignment="1">
      <alignment horizontal="center"/>
    </xf>
    <xf numFmtId="0" fontId="0" fillId="25" borderId="782" xfId="0" applyFill="1" applyBorder="1" applyAlignment="1">
      <alignment horizontal="center"/>
    </xf>
    <xf numFmtId="0" fontId="0" fillId="25" borderId="782" xfId="0" applyFill="1" applyBorder="1">
      <alignment horizontal="center" vertical="center"/>
    </xf>
    <xf numFmtId="0" fontId="0" fillId="0" borderId="832" xfId="0" applyBorder="1" applyAlignment="1">
      <alignment horizontal="center"/>
    </xf>
    <xf numFmtId="0" fontId="0" fillId="0" borderId="833" xfId="0" applyBorder="1" applyAlignment="1">
      <alignment horizontal="center"/>
    </xf>
    <xf numFmtId="0" fontId="0" fillId="0" borderId="782" xfId="0" applyBorder="1" applyAlignment="1">
      <alignment horizontal="left"/>
    </xf>
    <xf numFmtId="0" fontId="0" fillId="0" borderId="831" xfId="0" applyBorder="1">
      <alignment horizontal="center" vertical="center"/>
    </xf>
    <xf numFmtId="0" fontId="0" fillId="0" borderId="833" xfId="0" applyBorder="1">
      <alignment horizontal="center" vertical="center"/>
    </xf>
    <xf numFmtId="0" fontId="0" fillId="0" borderId="834" xfId="0" applyBorder="1" applyAlignment="1">
      <alignment horizontal="left"/>
    </xf>
    <xf numFmtId="0" fontId="0" fillId="0" borderId="835" xfId="0" applyBorder="1" applyAlignment="1">
      <alignment horizontal="center"/>
    </xf>
    <xf numFmtId="0" fontId="0" fillId="0" borderId="835" xfId="0" applyBorder="1">
      <alignment horizontal="center" vertical="center"/>
    </xf>
    <xf numFmtId="0" fontId="4" fillId="0" borderId="836" xfId="0" applyFont="1" applyBorder="1" applyAlignment="1">
      <alignment horizontal="center"/>
    </xf>
    <xf numFmtId="0" fontId="4" fillId="0" borderId="790" xfId="0" applyFont="1" applyBorder="1" applyAlignment="1">
      <alignment horizontal="center"/>
    </xf>
    <xf numFmtId="0" fontId="6" fillId="0" borderId="790" xfId="0" applyFont="1" applyBorder="1" applyAlignment="1">
      <alignment horizontal="center"/>
    </xf>
    <xf numFmtId="0" fontId="6" fillId="0" borderId="837" xfId="0" applyFont="1" applyBorder="1" applyAlignment="1">
      <alignment horizontal="center"/>
    </xf>
    <xf numFmtId="0" fontId="0" fillId="0" borderId="837" xfId="0" applyBorder="1">
      <alignment horizontal="center" vertical="center"/>
    </xf>
    <xf numFmtId="0" fontId="6" fillId="0" borderId="838" xfId="0" applyFont="1" applyBorder="1" applyAlignment="1">
      <alignment horizontal="left"/>
    </xf>
    <xf numFmtId="0" fontId="7" fillId="0" borderId="776" xfId="0" applyFont="1" applyBorder="1" applyAlignment="1">
      <alignment horizontal="left"/>
    </xf>
    <xf numFmtId="0" fontId="0" fillId="24" borderId="835" xfId="0" applyFill="1" applyBorder="1" applyAlignment="1">
      <alignment horizontal="center"/>
    </xf>
    <xf numFmtId="0" fontId="7" fillId="0" borderId="835" xfId="0" applyFont="1" applyBorder="1" applyAlignment="1">
      <alignment horizontal="left"/>
    </xf>
    <xf numFmtId="0" fontId="0" fillId="27" borderId="782" xfId="0" applyFill="1" applyBorder="1" applyAlignment="1">
      <alignment horizontal="center"/>
    </xf>
    <xf numFmtId="0" fontId="7" fillId="27" borderId="782" xfId="0" applyFont="1" applyFill="1" applyBorder="1" applyAlignment="1">
      <alignment horizontal="center"/>
    </xf>
    <xf numFmtId="0" fontId="7" fillId="27" borderId="778" xfId="0" applyFont="1" applyFill="1" applyBorder="1" applyAlignment="1">
      <alignment horizontal="center"/>
    </xf>
    <xf numFmtId="0" fontId="4" fillId="0" borderId="832" xfId="0" applyFont="1" applyBorder="1" applyAlignment="1">
      <alignment horizontal="left"/>
    </xf>
    <xf numFmtId="0" fontId="0" fillId="26" borderId="770" xfId="0" applyFill="1" applyBorder="1" applyAlignment="1">
      <alignment horizontal="center"/>
    </xf>
    <xf numFmtId="0" fontId="0" fillId="27" borderId="831" xfId="0" applyFill="1" applyBorder="1" applyAlignment="1">
      <alignment horizontal="center"/>
    </xf>
    <xf numFmtId="0" fontId="7" fillId="0" borderId="788" xfId="0" applyFont="1" applyBorder="1" applyAlignment="1">
      <alignment horizontal="left"/>
    </xf>
    <xf numFmtId="0" fontId="0" fillId="0" borderId="795" xfId="0" applyBorder="1" applyAlignment="1">
      <alignment horizontal="left"/>
    </xf>
    <xf numFmtId="0" fontId="7" fillId="25" borderId="782" xfId="0" applyFont="1" applyFill="1" applyBorder="1" applyAlignment="1">
      <alignment horizontal="center"/>
    </xf>
    <xf numFmtId="0" fontId="7" fillId="25" borderId="778" xfId="0" applyFont="1" applyFill="1" applyBorder="1" applyAlignment="1">
      <alignment horizontal="center"/>
    </xf>
    <xf numFmtId="0" fontId="0" fillId="24" borderId="795" xfId="0" applyFill="1" applyBorder="1" applyAlignment="1">
      <alignment horizontal="left"/>
    </xf>
    <xf numFmtId="0" fontId="0" fillId="29" borderId="782" xfId="0" applyFill="1" applyBorder="1" applyAlignment="1">
      <alignment horizontal="center"/>
    </xf>
    <xf numFmtId="0" fontId="0" fillId="30" borderId="782" xfId="0" applyFill="1" applyBorder="1" applyAlignment="1">
      <alignment horizontal="center"/>
    </xf>
    <xf numFmtId="0" fontId="0" fillId="30" borderId="831" xfId="0" applyFill="1" applyBorder="1" applyAlignment="1">
      <alignment horizontal="center"/>
    </xf>
    <xf numFmtId="0" fontId="8" fillId="31" borderId="831" xfId="0" applyFont="1" applyFill="1" applyBorder="1" applyAlignment="1">
      <alignment horizontal="center"/>
    </xf>
    <xf numFmtId="0" fontId="8" fillId="31" borderId="834" xfId="0" applyFont="1" applyFill="1" applyBorder="1" applyAlignment="1">
      <alignment horizontal="center"/>
    </xf>
    <xf numFmtId="0" fontId="0" fillId="24" borderId="782" xfId="0" applyFill="1" applyBorder="1" applyAlignment="1">
      <alignment horizontal="center"/>
    </xf>
    <xf numFmtId="0" fontId="7" fillId="24" borderId="778" xfId="0" applyFont="1" applyFill="1" applyBorder="1" applyAlignment="1">
      <alignment horizontal="center"/>
    </xf>
    <xf numFmtId="0" fontId="0" fillId="28" borderId="782" xfId="0" applyFill="1" applyBorder="1" applyAlignment="1">
      <alignment horizontal="center"/>
    </xf>
    <xf numFmtId="0" fontId="0" fillId="28" borderId="831" xfId="0" applyFill="1" applyBorder="1" applyAlignment="1">
      <alignment horizontal="center"/>
    </xf>
    <xf numFmtId="0" fontId="0" fillId="0" borderId="839" xfId="0" applyBorder="1" applyAlignment="1">
      <alignment horizontal="left"/>
    </xf>
    <xf numFmtId="0" fontId="0" fillId="0" borderId="770" xfId="0" applyBorder="1" applyAlignment="1">
      <alignment horizontal="center"/>
    </xf>
    <xf numFmtId="0" fontId="7" fillId="0" borderId="770" xfId="0" applyFont="1" applyBorder="1" applyAlignment="1">
      <alignment horizontal="center"/>
    </xf>
    <xf numFmtId="0" fontId="6" fillId="0" borderId="770" xfId="0" applyFont="1" applyBorder="1" applyAlignment="1">
      <alignment horizontal="center"/>
    </xf>
    <xf numFmtId="0" fontId="0" fillId="0" borderId="839" xfId="0" applyBorder="1" applyAlignment="1">
      <alignment horizontal="center"/>
    </xf>
    <xf numFmtId="0" fontId="0" fillId="0" borderId="840" xfId="0" applyBorder="1" applyAlignment="1">
      <alignment horizontal="center"/>
    </xf>
    <xf numFmtId="0" fontId="0" fillId="0" borderId="827" xfId="0" applyBorder="1" applyAlignment="1">
      <alignment horizontal="center"/>
    </xf>
    <xf numFmtId="0" fontId="0" fillId="0" borderId="841" xfId="0" applyBorder="1" applyAlignment="1">
      <alignment horizontal="center"/>
    </xf>
    <xf numFmtId="0" fontId="0" fillId="0" borderId="842" xfId="0" applyBorder="1" applyAlignment="1">
      <alignment horizontal="center"/>
    </xf>
    <xf numFmtId="0" fontId="0" fillId="0" borderId="843" xfId="0" applyBorder="1" applyAlignment="1">
      <alignment horizontal="center"/>
    </xf>
    <xf numFmtId="0" fontId="0" fillId="0" borderId="843" xfId="0" applyBorder="1">
      <alignment horizontal="center" vertical="center"/>
    </xf>
    <xf numFmtId="0" fontId="0" fillId="0" borderId="844" xfId="0" applyBorder="1">
      <alignment horizontal="center" vertical="center"/>
    </xf>
    <xf numFmtId="0" fontId="0" fillId="0" borderId="845" xfId="0" applyBorder="1">
      <alignment horizontal="center" vertical="center"/>
    </xf>
    <xf numFmtId="0" fontId="0" fillId="0" borderId="774" xfId="0" applyBorder="1" applyAlignment="1">
      <alignment horizontal="center"/>
    </xf>
    <xf numFmtId="0" fontId="7" fillId="0" borderId="831" xfId="0" applyFont="1" applyBorder="1" applyAlignment="1">
      <alignment horizontal="center"/>
    </xf>
    <xf numFmtId="0" fontId="0" fillId="24" borderId="834" xfId="0" applyFill="1" applyBorder="1" applyAlignment="1">
      <alignment horizontal="center"/>
    </xf>
    <xf numFmtId="0" fontId="7" fillId="0" borderId="824" xfId="0" applyFont="1" applyBorder="1" applyAlignment="1">
      <alignment horizontal="left"/>
    </xf>
    <xf numFmtId="0" fontId="0" fillId="0" borderId="771" xfId="0" applyBorder="1" applyAlignment="1">
      <alignment horizontal="center"/>
    </xf>
    <xf numFmtId="0" fontId="0" fillId="24" borderId="831" xfId="0" applyFill="1" applyBorder="1" applyAlignment="1">
      <alignment horizontal="center"/>
    </xf>
    <xf numFmtId="0" fontId="4" fillId="0" borderId="846" xfId="0" applyFont="1" applyBorder="1" applyAlignment="1">
      <alignment horizontal="center"/>
    </xf>
    <xf numFmtId="0" fontId="6" fillId="0" borderId="838" xfId="0" applyFont="1" applyBorder="1" applyAlignment="1">
      <alignment horizontal="center"/>
    </xf>
    <xf numFmtId="0" fontId="0" fillId="0" borderId="847" xfId="0" applyBorder="1" applyAlignment="1">
      <alignment horizontal="center"/>
    </xf>
    <xf numFmtId="0" fontId="0" fillId="0" borderId="827" xfId="0" applyBorder="1">
      <alignment horizontal="center" vertical="center"/>
    </xf>
    <xf numFmtId="0" fontId="0" fillId="0" borderId="839" xfId="0" applyBorder="1">
      <alignment horizontal="center" vertical="center"/>
    </xf>
    <xf numFmtId="2" fontId="0" fillId="0" borderId="827" xfId="0" applyNumberFormat="1" applyBorder="1">
      <alignment horizontal="center" vertical="center"/>
    </xf>
    <xf numFmtId="0" fontId="0" fillId="0" borderId="841" xfId="0" applyBorder="1">
      <alignment horizontal="center" vertical="center"/>
    </xf>
    <xf numFmtId="0" fontId="0" fillId="0" borderId="848" xfId="0" applyBorder="1">
      <alignment horizontal="center" vertical="center"/>
    </xf>
    <xf numFmtId="2" fontId="0" fillId="24" borderId="849" xfId="0" applyNumberFormat="1" applyFill="1" applyBorder="1">
      <alignment horizontal="center" vertical="center"/>
    </xf>
    <xf numFmtId="2" fontId="0" fillId="0" borderId="848" xfId="0" applyNumberFormat="1" applyBorder="1">
      <alignment horizontal="center" vertical="center"/>
    </xf>
    <xf numFmtId="0" fontId="4" fillId="0" borderId="850" xfId="0" applyFont="1" applyBorder="1" applyAlignment="1">
      <alignment horizontal="center"/>
    </xf>
    <xf numFmtId="0" fontId="7" fillId="0" borderId="827" xfId="0" applyFont="1" applyBorder="1" applyAlignment="1">
      <alignment horizontal="center"/>
    </xf>
    <xf numFmtId="0" fontId="6" fillId="0" borderId="827" xfId="0" applyFont="1" applyBorder="1" applyAlignment="1">
      <alignment horizontal="center"/>
    </xf>
    <xf numFmtId="0" fontId="6" fillId="0" borderId="851" xfId="0" applyFont="1" applyBorder="1" applyAlignment="1">
      <alignment horizontal="left"/>
    </xf>
    <xf numFmtId="0" fontId="8" fillId="32" borderId="827" xfId="0" applyFont="1" applyFill="1" applyBorder="1" applyAlignment="1">
      <alignment horizontal="center"/>
    </xf>
    <xf numFmtId="2" fontId="0" fillId="0" borderId="827" xfId="0" applyNumberFormat="1" applyBorder="1" applyAlignment="1">
      <alignment horizontal="center"/>
    </xf>
    <xf numFmtId="0" fontId="9" fillId="0" borderId="781" xfId="0" applyFont="1" applyBorder="1" applyAlignment="1">
      <alignment horizontal="left"/>
    </xf>
    <xf numFmtId="0" fontId="6" fillId="24" borderId="794" xfId="0" applyFont="1" applyFill="1" applyBorder="1">
      <alignment horizontal="center" vertical="center"/>
    </xf>
    <xf numFmtId="0" fontId="4" fillId="0" borderId="827" xfId="0" applyFont="1" applyBorder="1">
      <alignment horizontal="center" vertical="center"/>
    </xf>
    <xf numFmtId="0" fontId="7" fillId="0" borderId="771" xfId="0" applyFont="1" applyBorder="1" applyAlignment="1">
      <alignment horizontal="center"/>
    </xf>
    <xf numFmtId="0" fontId="0" fillId="0" borderId="850" xfId="0" applyBorder="1">
      <alignment horizontal="center" vertical="center"/>
    </xf>
    <xf numFmtId="0" fontId="0" fillId="0" borderId="851" xfId="0" applyBorder="1" applyAlignment="1">
      <alignment horizontal="center"/>
    </xf>
    <xf numFmtId="0" fontId="7" fillId="0" borderId="776" xfId="0" applyFont="1" applyBorder="1">
      <alignment horizontal="center" vertical="center"/>
    </xf>
    <xf numFmtId="0" fontId="6" fillId="24" borderId="783" xfId="0" applyFont="1" applyFill="1" applyBorder="1" applyAlignment="1">
      <alignment horizontal="left"/>
    </xf>
    <xf numFmtId="0" fontId="7" fillId="0" borderId="831" xfId="0" applyFont="1" applyBorder="1">
      <alignment horizontal="center" vertical="center"/>
    </xf>
    <xf numFmtId="0" fontId="6" fillId="0" borderId="782" xfId="0" applyFont="1" applyBorder="1">
      <alignment horizontal="center" vertical="center"/>
    </xf>
    <xf numFmtId="0" fontId="6" fillId="0" borderId="827" xfId="0" applyFont="1" applyBorder="1">
      <alignment horizontal="center" vertical="center"/>
    </xf>
    <xf numFmtId="0" fontId="9" fillId="0" borderId="795" xfId="0" applyFont="1" applyBorder="1" applyAlignment="1">
      <alignment horizontal="left"/>
    </xf>
    <xf numFmtId="0" fontId="7" fillId="0" borderId="782" xfId="0" applyFont="1" applyBorder="1" applyAlignment="1">
      <alignment horizontal="left"/>
    </xf>
    <xf numFmtId="0" fontId="7" fillId="0" borderId="778" xfId="0" applyFont="1" applyBorder="1">
      <alignment horizontal="center" vertical="center"/>
    </xf>
    <xf numFmtId="0" fontId="0" fillId="0" borderId="830" xfId="0" applyBorder="1">
      <alignment horizontal="center" vertical="center"/>
    </xf>
    <xf numFmtId="0" fontId="0" fillId="24" borderId="824" xfId="0" applyFill="1" applyBorder="1" applyAlignment="1">
      <alignment horizontal="center"/>
    </xf>
    <xf numFmtId="0" fontId="7" fillId="0" borderId="833" xfId="0" applyFont="1" applyBorder="1">
      <alignment horizontal="center" vertical="center"/>
    </xf>
    <xf numFmtId="0" fontId="7" fillId="0" borderId="834" xfId="0" applyFont="1" applyBorder="1" applyAlignment="1">
      <alignment horizontal="left"/>
    </xf>
    <xf numFmtId="0" fontId="7" fillId="24" borderId="835" xfId="0" applyFont="1" applyFill="1" applyBorder="1" applyAlignment="1">
      <alignment horizontal="center"/>
    </xf>
    <xf numFmtId="0" fontId="7" fillId="0" borderId="835" xfId="0" applyFont="1" applyBorder="1" applyAlignment="1">
      <alignment horizontal="center"/>
    </xf>
    <xf numFmtId="2" fontId="0" fillId="24" borderId="847" xfId="0" applyNumberFormat="1" applyFill="1" applyBorder="1">
      <alignment horizontal="center" vertical="center"/>
    </xf>
    <xf numFmtId="0" fontId="4" fillId="0" borderId="774" xfId="0" applyFont="1" applyBorder="1" applyAlignment="1">
      <alignment horizontal="left"/>
    </xf>
    <xf numFmtId="0" fontId="6" fillId="0" borderId="793" xfId="0" applyFont="1" applyBorder="1" applyAlignment="1">
      <alignment horizontal="center"/>
    </xf>
    <xf numFmtId="0" fontId="0" fillId="0" borderId="785" xfId="0" applyBorder="1">
      <alignment horizontal="center" vertical="center"/>
    </xf>
    <xf numFmtId="0" fontId="6" fillId="0" borderId="794" xfId="0" applyFont="1" applyBorder="1" applyAlignment="1">
      <alignment horizontal="left"/>
    </xf>
    <xf numFmtId="0" fontId="0" fillId="0" borderId="836" xfId="0" applyBorder="1">
      <alignment horizontal="center" vertical="center"/>
    </xf>
    <xf numFmtId="0" fontId="0" fillId="0" borderId="852" xfId="0" applyBorder="1">
      <alignment horizontal="center" vertical="center"/>
    </xf>
    <xf numFmtId="0" fontId="0" fillId="24" borderId="774" xfId="0" applyFill="1" applyBorder="1" applyAlignment="1">
      <alignment horizontal="left"/>
    </xf>
    <xf numFmtId="0" fontId="4" fillId="33" borderId="785" xfId="0" applyFont="1" applyFill="1" applyBorder="1" applyAlignment="1">
      <alignment horizontal="center"/>
    </xf>
    <xf numFmtId="0" fontId="10" fillId="34" borderId="785" xfId="0" applyFont="1" applyFill="1" applyBorder="1">
      <alignment horizontal="center" vertical="center"/>
    </xf>
    <xf numFmtId="0" fontId="0" fillId="24" borderId="853" xfId="0" applyFill="1" applyBorder="1" applyAlignment="1">
      <alignment horizontal="left"/>
    </xf>
    <xf numFmtId="0" fontId="4" fillId="40" borderId="839" xfId="0" applyFont="1" applyFill="1" applyBorder="1">
      <alignment horizontal="center" vertical="center"/>
    </xf>
    <xf numFmtId="0" fontId="0" fillId="40" borderId="841" xfId="0" applyFill="1" applyBorder="1">
      <alignment horizontal="center" vertical="center"/>
    </xf>
    <xf numFmtId="0" fontId="7" fillId="40" borderId="841" xfId="0" applyFont="1" applyFill="1" applyBorder="1">
      <alignment horizontal="center" vertical="center"/>
    </xf>
    <xf numFmtId="0" fontId="4" fillId="26" borderId="839" xfId="0" applyFont="1" applyFill="1" applyBorder="1">
      <alignment horizontal="center" vertical="center"/>
    </xf>
    <xf numFmtId="0" fontId="0" fillId="26" borderId="841" xfId="0" applyFill="1" applyBorder="1">
      <alignment horizontal="center" vertical="center"/>
    </xf>
    <xf numFmtId="0" fontId="0" fillId="0" borderId="774" xfId="0" applyBorder="1" applyAlignment="1">
      <alignment horizontal="left"/>
    </xf>
    <xf numFmtId="0" fontId="6" fillId="25" borderId="785" xfId="0" applyFont="1" applyFill="1" applyBorder="1" applyAlignment="1">
      <alignment horizontal="center"/>
    </xf>
    <xf numFmtId="0" fontId="10" fillId="35" borderId="785" xfId="0" applyFont="1" applyFill="1" applyBorder="1">
      <alignment horizontal="center" vertical="center"/>
    </xf>
    <xf numFmtId="0" fontId="10" fillId="35" borderId="793" xfId="0" applyFont="1" applyFill="1" applyBorder="1">
      <alignment horizontal="center" vertical="center"/>
    </xf>
    <xf numFmtId="0" fontId="0" fillId="0" borderId="853" xfId="0" applyBorder="1" applyAlignment="1">
      <alignment horizontal="left"/>
    </xf>
    <xf numFmtId="0" fontId="4" fillId="42" borderId="839" xfId="0" applyFont="1" applyFill="1" applyBorder="1" applyAlignment="1">
      <alignment horizontal="left"/>
    </xf>
    <xf numFmtId="0" fontId="0" fillId="42" borderId="841" xfId="0" applyFill="1" applyBorder="1">
      <alignment horizontal="center" vertical="center"/>
    </xf>
    <xf numFmtId="0" fontId="4" fillId="39" borderId="839" xfId="0" applyFont="1" applyFill="1" applyBorder="1">
      <alignment horizontal="center" vertical="center"/>
    </xf>
    <xf numFmtId="0" fontId="0" fillId="39" borderId="841" xfId="0" applyFill="1" applyBorder="1">
      <alignment horizontal="center" vertical="center"/>
    </xf>
    <xf numFmtId="0" fontId="6" fillId="36" borderId="785" xfId="0" applyFont="1" applyFill="1" applyBorder="1" applyAlignment="1">
      <alignment horizontal="center"/>
    </xf>
    <xf numFmtId="0" fontId="7" fillId="0" borderId="785" xfId="0" applyFont="1" applyBorder="1" applyAlignment="1">
      <alignment horizontal="center"/>
    </xf>
    <xf numFmtId="0" fontId="7" fillId="0" borderId="793" xfId="0" applyFont="1" applyBorder="1" applyAlignment="1">
      <alignment horizontal="center"/>
    </xf>
    <xf numFmtId="0" fontId="0" fillId="0" borderId="785" xfId="0" applyBorder="1" applyAlignment="1">
      <alignment horizontal="center"/>
    </xf>
    <xf numFmtId="0" fontId="4" fillId="37" borderId="839" xfId="0" applyFont="1" applyFill="1" applyBorder="1">
      <alignment horizontal="center" vertical="center"/>
    </xf>
    <xf numFmtId="0" fontId="0" fillId="37" borderId="841" xfId="0" applyFill="1" applyBorder="1">
      <alignment horizontal="center" vertical="center"/>
    </xf>
    <xf numFmtId="0" fontId="4" fillId="37" borderId="785" xfId="0" applyFont="1" applyFill="1" applyBorder="1" applyAlignment="1">
      <alignment horizontal="center"/>
    </xf>
    <xf numFmtId="0" fontId="4" fillId="37" borderId="793" xfId="0" applyFont="1" applyFill="1" applyBorder="1" applyAlignment="1">
      <alignment horizontal="center"/>
    </xf>
    <xf numFmtId="0" fontId="4" fillId="0" borderId="853" xfId="0" applyFont="1" applyBorder="1" applyAlignment="1">
      <alignment horizontal="left"/>
    </xf>
    <xf numFmtId="0" fontId="4" fillId="38" borderId="785" xfId="0" applyFont="1" applyFill="1" applyBorder="1" applyAlignment="1">
      <alignment horizontal="center"/>
    </xf>
    <xf numFmtId="0" fontId="4" fillId="41" borderId="854" xfId="0" applyFont="1" applyFill="1" applyBorder="1" applyAlignment="1">
      <alignment horizontal="left"/>
    </xf>
    <xf numFmtId="0" fontId="0" fillId="41" borderId="844" xfId="0" applyFill="1" applyBorder="1">
      <alignment horizontal="center" vertical="center"/>
    </xf>
    <xf numFmtId="0" fontId="4" fillId="24" borderId="785" xfId="0" applyFont="1" applyFill="1" applyBorder="1" applyAlignment="1">
      <alignment horizontal="center"/>
    </xf>
    <xf numFmtId="0" fontId="4" fillId="24" borderId="854" xfId="0" applyFont="1" applyFill="1" applyBorder="1">
      <alignment horizontal="center" vertical="center"/>
    </xf>
    <xf numFmtId="0" fontId="0" fillId="24" borderId="844" xfId="0" applyFill="1" applyBorder="1">
      <alignment horizontal="center" vertical="center"/>
    </xf>
    <xf numFmtId="0" fontId="0" fillId="24" borderId="770" xfId="0" applyFill="1" applyBorder="1" applyAlignment="1">
      <alignment horizontal="center"/>
    </xf>
    <xf numFmtId="0" fontId="0" fillId="37" borderId="770" xfId="0" applyFill="1" applyBorder="1" applyAlignment="1">
      <alignment horizontal="center"/>
    </xf>
    <xf numFmtId="0" fontId="10" fillId="31" borderId="854" xfId="0" applyFont="1" applyFill="1" applyBorder="1">
      <alignment horizontal="center" vertical="center"/>
    </xf>
    <xf numFmtId="0" fontId="8" fillId="31" borderId="844" xfId="0" applyFont="1" applyFill="1" applyBorder="1">
      <alignment horizontal="center" vertical="center"/>
    </xf>
    <xf numFmtId="0" fontId="0" fillId="31" borderId="844" xfId="0" applyFill="1" applyBorder="1">
      <alignment horizontal="center" vertical="center"/>
    </xf>
    <xf numFmtId="0" fontId="10" fillId="31" borderId="770" xfId="0" applyFont="1" applyFill="1" applyBorder="1" applyAlignment="1">
      <alignment horizontal="center"/>
    </xf>
    <xf numFmtId="0" fontId="4" fillId="38" borderId="839" xfId="0" applyFont="1" applyFill="1" applyBorder="1">
      <alignment horizontal="center" vertical="center"/>
    </xf>
    <xf numFmtId="0" fontId="0" fillId="38" borderId="841" xfId="0" applyFill="1" applyBorder="1">
      <alignment horizontal="center" vertical="center"/>
    </xf>
    <xf numFmtId="0" fontId="8" fillId="31" borderId="770" xfId="0" applyFont="1" applyFill="1" applyBorder="1" applyAlignment="1">
      <alignment horizontal="center"/>
    </xf>
    <xf numFmtId="0" fontId="4" fillId="25" borderId="839" xfId="0" applyFont="1" applyFill="1" applyBorder="1">
      <alignment horizontal="center" vertical="center"/>
    </xf>
    <xf numFmtId="0" fontId="0" fillId="25" borderId="855" xfId="0" applyFill="1" applyBorder="1">
      <alignment horizontal="center" vertical="center"/>
    </xf>
    <xf numFmtId="0" fontId="4" fillId="36" borderId="839" xfId="0" applyFont="1" applyFill="1" applyBorder="1">
      <alignment horizontal="center" vertical="center"/>
    </xf>
    <xf numFmtId="0" fontId="0" fillId="36" borderId="855" xfId="0" applyFill="1" applyBorder="1">
      <alignment horizontal="center" vertical="center"/>
    </xf>
    <xf numFmtId="0" fontId="0" fillId="0" borderId="770" xfId="0" applyBorder="1">
      <alignment horizontal="center" vertical="center"/>
    </xf>
    <xf numFmtId="0" fontId="4" fillId="33" borderId="839" xfId="0" applyFont="1" applyFill="1" applyBorder="1">
      <alignment horizontal="center" vertical="center"/>
    </xf>
    <xf numFmtId="0" fontId="0" fillId="33" borderId="855" xfId="0" applyFill="1" applyBorder="1">
      <alignment horizontal="center" vertical="center"/>
    </xf>
    <xf numFmtId="0" fontId="6" fillId="39" borderId="785" xfId="0" applyFont="1" applyFill="1" applyBorder="1" applyAlignment="1">
      <alignment horizontal="center"/>
    </xf>
    <xf numFmtId="0" fontId="0" fillId="0" borderId="785" xfId="0" applyBorder="1" applyAlignment="1">
      <alignment horizontal="left"/>
    </xf>
    <xf numFmtId="0" fontId="7" fillId="39" borderId="770" xfId="0" applyFont="1" applyFill="1" applyBorder="1" applyAlignment="1">
      <alignment horizontal="center"/>
    </xf>
    <xf numFmtId="0" fontId="4" fillId="35" borderId="839" xfId="0" applyFont="1" applyFill="1" applyBorder="1">
      <alignment horizontal="center" vertical="center"/>
    </xf>
    <xf numFmtId="0" fontId="0" fillId="35" borderId="841" xfId="0" applyFill="1" applyBorder="1">
      <alignment horizontal="center" vertical="center"/>
    </xf>
    <xf numFmtId="0" fontId="0" fillId="35" borderId="855" xfId="0" applyFill="1" applyBorder="1">
      <alignment horizontal="center" vertical="center"/>
    </xf>
    <xf numFmtId="0" fontId="4" fillId="40" borderId="785" xfId="0" applyFont="1" applyFill="1" applyBorder="1" applyAlignment="1">
      <alignment horizontal="center"/>
    </xf>
    <xf numFmtId="0" fontId="4" fillId="0" borderId="793" xfId="0" applyFont="1" applyBorder="1" applyAlignment="1">
      <alignment horizontal="center"/>
    </xf>
    <xf numFmtId="0" fontId="4" fillId="41" borderId="793" xfId="0" applyFont="1" applyFill="1" applyBorder="1" applyAlignment="1">
      <alignment horizontal="center"/>
    </xf>
    <xf numFmtId="0" fontId="0" fillId="0" borderId="829" xfId="0" applyBorder="1">
      <alignment horizontal="center" vertical="center"/>
    </xf>
    <xf numFmtId="0" fontId="4" fillId="34" borderId="839" xfId="0" applyFont="1" applyFill="1" applyBorder="1">
      <alignment horizontal="center" vertical="center"/>
    </xf>
    <xf numFmtId="0" fontId="0" fillId="34" borderId="841" xfId="0" applyFill="1" applyBorder="1">
      <alignment horizontal="center" vertical="center"/>
    </xf>
    <xf numFmtId="0" fontId="0" fillId="34" borderId="855" xfId="0" applyFill="1" applyBorder="1">
      <alignment horizontal="center" vertical="center"/>
    </xf>
    <xf numFmtId="0" fontId="4" fillId="42" borderId="793" xfId="0" applyFont="1" applyFill="1" applyBorder="1" applyAlignment="1">
      <alignment horizontal="center"/>
    </xf>
    <xf numFmtId="0" fontId="4" fillId="42" borderId="785" xfId="0" applyFont="1" applyFill="1" applyBorder="1" applyAlignment="1">
      <alignment horizontal="center"/>
    </xf>
    <xf numFmtId="0" fontId="0" fillId="0" borderId="829" xfId="0" applyBorder="1" applyAlignment="1">
      <alignment horizontal="center"/>
    </xf>
    <xf numFmtId="0" fontId="7" fillId="0" borderId="775" xfId="0" applyFont="1" applyBorder="1" applyAlignment="1">
      <alignment horizontal="center"/>
    </xf>
    <xf numFmtId="0" fontId="7" fillId="0" borderId="777" xfId="0" applyFont="1" applyBorder="1" applyAlignment="1">
      <alignment horizontal="center"/>
    </xf>
    <xf numFmtId="0" fontId="4" fillId="0" borderId="775" xfId="0" applyFont="1" applyBorder="1" applyAlignment="1">
      <alignment horizontal="center"/>
    </xf>
    <xf numFmtId="0" fontId="4" fillId="0" borderId="777" xfId="0" applyFont="1" applyBorder="1" applyAlignment="1">
      <alignment horizontal="center"/>
    </xf>
    <xf numFmtId="0" fontId="4" fillId="0" borderId="782" xfId="0" applyFont="1" applyBorder="1" applyAlignment="1">
      <alignment horizontal="left"/>
    </xf>
    <xf numFmtId="0" fontId="4" fillId="0" borderId="856" xfId="0" applyFont="1" applyBorder="1" applyAlignment="1">
      <alignment horizontal="center"/>
    </xf>
    <xf numFmtId="0" fontId="7" fillId="0" borderId="843" xfId="0" applyFont="1" applyBorder="1" applyAlignment="1">
      <alignment horizontal="center"/>
    </xf>
    <xf numFmtId="0" fontId="6" fillId="0" borderId="843" xfId="0" applyFont="1" applyBorder="1" applyAlignment="1">
      <alignment horizontal="center"/>
    </xf>
    <xf numFmtId="0" fontId="7" fillId="0" borderId="845" xfId="0" applyFont="1" applyBorder="1" applyAlignment="1">
      <alignment horizontal="left"/>
    </xf>
    <xf numFmtId="165" fontId="7" fillId="0" borderId="782" xfId="0" applyNumberFormat="1" applyFont="1" applyBorder="1" applyAlignment="1">
      <alignment horizontal="center"/>
    </xf>
    <xf numFmtId="0" fontId="4" fillId="0" borderId="830" xfId="0" applyFont="1" applyBorder="1" applyAlignment="1">
      <alignment horizontal="center"/>
    </xf>
    <xf numFmtId="0" fontId="4" fillId="0" borderId="830" xfId="0" applyFont="1" applyBorder="1" applyAlignment="1">
      <alignment horizontal="left"/>
    </xf>
    <xf numFmtId="0" fontId="4" fillId="0" borderId="857" xfId="0" applyFont="1" applyBorder="1" applyAlignment="1">
      <alignment horizontal="left"/>
    </xf>
    <xf numFmtId="0" fontId="0" fillId="0" borderId="777" xfId="0" applyBorder="1" applyAlignment="1">
      <alignment horizontal="center"/>
    </xf>
    <xf numFmtId="0" fontId="7" fillId="0" borderId="829" xfId="0" applyFont="1" applyBorder="1" applyAlignment="1">
      <alignment horizontal="left"/>
    </xf>
    <xf numFmtId="0" fontId="7" fillId="0" borderId="774" xfId="0" applyFont="1" applyBorder="1" applyAlignment="1">
      <alignment horizontal="left"/>
    </xf>
    <xf numFmtId="0" fontId="0" fillId="0" borderId="856" xfId="0" applyBorder="1">
      <alignment horizontal="center" vertical="center"/>
    </xf>
    <xf numFmtId="0" fontId="0" fillId="0" borderId="845" xfId="0" applyBorder="1" applyAlignment="1">
      <alignment horizontal="center"/>
    </xf>
    <xf numFmtId="0" fontId="7" fillId="0" borderId="795" xfId="0" applyFont="1" applyBorder="1" applyAlignment="1">
      <alignment horizontal="left"/>
    </xf>
    <xf numFmtId="0" fontId="7" fillId="40" borderId="831" xfId="0" applyFont="1" applyFill="1" applyBorder="1" applyAlignment="1">
      <alignment horizontal="center"/>
    </xf>
    <xf numFmtId="0" fontId="7" fillId="24" borderId="774" xfId="0" applyFont="1" applyFill="1" applyBorder="1" applyAlignment="1">
      <alignment horizontal="left"/>
    </xf>
    <xf numFmtId="0" fontId="7" fillId="24" borderId="782" xfId="0" applyFont="1" applyFill="1" applyBorder="1" applyAlignment="1">
      <alignment horizontal="center"/>
    </xf>
    <xf numFmtId="0" fontId="7" fillId="24" borderId="776" xfId="0" applyFont="1" applyFill="1" applyBorder="1">
      <alignment horizontal="center" vertical="center"/>
    </xf>
    <xf numFmtId="0" fontId="7" fillId="24" borderId="783" xfId="0" applyFont="1" applyFill="1" applyBorder="1" applyAlignment="1">
      <alignment horizontal="left"/>
    </xf>
    <xf numFmtId="0" fontId="7" fillId="24" borderId="831" xfId="0" applyFont="1" applyFill="1" applyBorder="1" applyAlignment="1">
      <alignment horizontal="center"/>
    </xf>
    <xf numFmtId="0" fontId="6" fillId="24" borderId="782" xfId="0" applyFont="1" applyFill="1" applyBorder="1" applyAlignment="1">
      <alignment horizontal="center"/>
    </xf>
    <xf numFmtId="0" fontId="0" fillId="0" borderId="781" xfId="0" applyBorder="1">
      <alignment horizontal="center" vertical="center"/>
    </xf>
    <xf numFmtId="2" fontId="0" fillId="0" borderId="783" xfId="0" applyNumberFormat="1" applyBorder="1">
      <alignment horizontal="center" vertical="center"/>
    </xf>
    <xf numFmtId="0" fontId="0" fillId="0" borderId="840" xfId="0" applyBorder="1">
      <alignment horizontal="center" vertical="center"/>
    </xf>
    <xf numFmtId="2" fontId="0" fillId="0" borderId="851" xfId="0" applyNumberFormat="1" applyBorder="1">
      <alignment horizontal="center" vertical="center"/>
    </xf>
    <xf numFmtId="0" fontId="0" fillId="0" borderId="832" xfId="0" applyBorder="1">
      <alignment horizontal="center" vertical="center"/>
    </xf>
    <xf numFmtId="2" fontId="0" fillId="24" borderId="824" xfId="0" applyNumberFormat="1" applyFill="1" applyBorder="1">
      <alignment horizontal="center" vertical="center"/>
    </xf>
    <xf numFmtId="0" fontId="0" fillId="0" borderId="781" xfId="0" applyBorder="1" applyAlignment="1" applyProtection="1">
      <alignment horizontal="center"/>
      <protection locked="0"/>
    </xf>
    <xf numFmtId="0" fontId="13" fillId="0" borderId="830" xfId="0" applyFont="1" applyBorder="1" applyAlignment="1">
      <alignment horizontal="left"/>
    </xf>
    <xf numFmtId="0" fontId="0" fillId="0" borderId="830" xfId="0" applyBorder="1" applyAlignment="1">
      <alignment horizontal="left"/>
    </xf>
    <xf numFmtId="0" fontId="0" fillId="0" borderId="827" xfId="0" applyBorder="1" applyAlignment="1" applyProtection="1">
      <alignment horizontal="center"/>
      <protection locked="0"/>
    </xf>
    <xf numFmtId="0" fontId="6" fillId="0" borderId="788" xfId="0" applyFont="1" applyBorder="1" applyAlignment="1">
      <alignment horizontal="left"/>
    </xf>
    <xf numFmtId="0" fontId="4" fillId="0" borderId="831" xfId="0" applyFont="1" applyBorder="1" applyAlignment="1">
      <alignment horizontal="center"/>
    </xf>
    <xf numFmtId="0" fontId="6" fillId="0" borderId="831" xfId="0" applyFont="1" applyBorder="1" applyAlignment="1">
      <alignment horizontal="center"/>
    </xf>
    <xf numFmtId="0" fontId="6" fillId="0" borderId="824" xfId="0" applyFont="1" applyBorder="1" applyAlignment="1">
      <alignment horizontal="left"/>
    </xf>
    <xf numFmtId="0" fontId="0" fillId="0" borderId="850" xfId="0" applyBorder="1" applyAlignment="1">
      <alignment horizontal="center"/>
    </xf>
    <xf numFmtId="0" fontId="7" fillId="0" borderId="851" xfId="0" applyFont="1" applyBorder="1" applyAlignment="1">
      <alignment horizontal="left"/>
    </xf>
    <xf numFmtId="0" fontId="4" fillId="0" borderId="856" xfId="0" applyFont="1" applyBorder="1">
      <alignment horizontal="center" vertical="center"/>
    </xf>
    <xf numFmtId="0" fontId="6" fillId="24" borderId="788" xfId="0" applyFont="1" applyFill="1" applyBorder="1" applyAlignment="1">
      <alignment horizontal="left"/>
    </xf>
    <xf numFmtId="0" fontId="6" fillId="24" borderId="845" xfId="0" applyFont="1" applyFill="1" applyBorder="1" applyAlignment="1">
      <alignment horizontal="left"/>
    </xf>
    <xf numFmtId="0" fontId="4" fillId="0" borderId="850" xfId="0" applyFont="1" applyBorder="1">
      <alignment horizontal="center" vertical="center"/>
    </xf>
    <xf numFmtId="0" fontId="7" fillId="0" borderId="827" xfId="0" applyFont="1" applyBorder="1">
      <alignment horizontal="center" vertical="center"/>
    </xf>
    <xf numFmtId="0" fontId="6" fillId="24" borderId="851" xfId="0" applyFont="1" applyFill="1" applyBorder="1" applyAlignment="1">
      <alignment horizontal="left"/>
    </xf>
    <xf numFmtId="0" fontId="7" fillId="0" borderId="843" xfId="0" applyFont="1" applyBorder="1">
      <alignment horizontal="center" vertical="center"/>
    </xf>
    <xf numFmtId="0" fontId="6" fillId="0" borderId="850" xfId="0" applyFont="1" applyBorder="1">
      <alignment horizontal="center" vertical="center"/>
    </xf>
    <xf numFmtId="0" fontId="0" fillId="0" borderId="851" xfId="0" applyBorder="1">
      <alignment horizontal="center" vertical="center"/>
    </xf>
    <xf numFmtId="0" fontId="7" fillId="0" borderId="827" xfId="0" applyFont="1" applyBorder="1" applyAlignment="1">
      <alignment horizontal="left"/>
    </xf>
    <xf numFmtId="0" fontId="7" fillId="0" borderId="831" xfId="0" applyFont="1" applyBorder="1" applyAlignment="1">
      <alignment horizontal="left"/>
    </xf>
    <xf numFmtId="0" fontId="4" fillId="0" borderId="843" xfId="0" applyFont="1" applyBorder="1" applyAlignment="1">
      <alignment horizontal="center"/>
    </xf>
    <xf numFmtId="49" fontId="4" fillId="33" borderId="770" xfId="0" applyNumberFormat="1" applyFont="1" applyFill="1" applyBorder="1" applyAlignment="1">
      <alignment horizontal="center"/>
    </xf>
    <xf numFmtId="0" fontId="10" fillId="34" borderId="770" xfId="0" applyFont="1" applyFill="1" applyBorder="1" applyAlignment="1">
      <alignment horizontal="center"/>
    </xf>
    <xf numFmtId="0" fontId="0" fillId="0" borderId="771" xfId="0" applyBorder="1">
      <alignment horizontal="center" vertical="center"/>
    </xf>
    <xf numFmtId="49" fontId="6" fillId="25" borderId="770" xfId="0" applyNumberFormat="1" applyFont="1" applyFill="1" applyBorder="1" applyAlignment="1">
      <alignment horizontal="center"/>
    </xf>
    <xf numFmtId="0" fontId="10" fillId="35" borderId="770" xfId="0" applyFont="1" applyFill="1" applyBorder="1" applyAlignment="1">
      <alignment horizontal="center"/>
    </xf>
    <xf numFmtId="49" fontId="6" fillId="36" borderId="770" xfId="0" applyNumberFormat="1" applyFont="1" applyFill="1" applyBorder="1" applyAlignment="1">
      <alignment horizontal="center"/>
    </xf>
    <xf numFmtId="0" fontId="4" fillId="37" borderId="770" xfId="0" applyFont="1" applyFill="1" applyBorder="1" applyAlignment="1">
      <alignment horizontal="center"/>
    </xf>
    <xf numFmtId="49" fontId="4" fillId="38" borderId="770" xfId="0" applyNumberFormat="1" applyFont="1" applyFill="1" applyBorder="1" applyAlignment="1">
      <alignment horizontal="center"/>
    </xf>
    <xf numFmtId="49" fontId="4" fillId="24" borderId="770" xfId="0" applyNumberFormat="1" applyFont="1" applyFill="1" applyBorder="1" applyAlignment="1">
      <alignment horizontal="center"/>
    </xf>
    <xf numFmtId="49" fontId="10" fillId="31" borderId="770" xfId="0" applyNumberFormat="1" applyFont="1" applyFill="1" applyBorder="1" applyAlignment="1">
      <alignment horizontal="center"/>
    </xf>
    <xf numFmtId="0" fontId="4" fillId="0" borderId="770" xfId="0" applyFont="1" applyBorder="1" applyAlignment="1">
      <alignment horizontal="center"/>
    </xf>
    <xf numFmtId="49" fontId="6" fillId="39" borderId="770" xfId="0" applyNumberFormat="1" applyFont="1" applyFill="1" applyBorder="1" applyAlignment="1">
      <alignment horizontal="center"/>
    </xf>
    <xf numFmtId="0" fontId="0" fillId="0" borderId="770" xfId="0" applyBorder="1" applyAlignment="1">
      <alignment horizontal="left"/>
    </xf>
    <xf numFmtId="49" fontId="4" fillId="40" borderId="770" xfId="0" applyNumberFormat="1" applyFont="1" applyFill="1" applyBorder="1" applyAlignment="1">
      <alignment horizontal="center"/>
    </xf>
    <xf numFmtId="0" fontId="0" fillId="0" borderId="788" xfId="0" applyBorder="1" applyAlignment="1">
      <alignment horizontal="center"/>
    </xf>
    <xf numFmtId="0" fontId="0" fillId="0" borderId="781" xfId="0" applyBorder="1" applyAlignment="1">
      <alignment horizontal="left"/>
    </xf>
    <xf numFmtId="0" fontId="10" fillId="34" borderId="782" xfId="0" applyFont="1" applyFill="1" applyBorder="1">
      <alignment horizontal="center" vertical="center"/>
    </xf>
    <xf numFmtId="0" fontId="10" fillId="34" borderId="783" xfId="0" applyFont="1" applyFill="1" applyBorder="1">
      <alignment horizontal="center" vertical="center"/>
    </xf>
    <xf numFmtId="0" fontId="11" fillId="34" borderId="831" xfId="0" applyFont="1" applyFill="1" applyBorder="1" applyAlignment="1">
      <alignment horizontal="center"/>
    </xf>
    <xf numFmtId="0" fontId="11" fillId="34" borderId="824" xfId="0" applyFont="1" applyFill="1" applyBorder="1" applyAlignment="1">
      <alignment horizontal="center"/>
    </xf>
    <xf numFmtId="0" fontId="7" fillId="0" borderId="783" xfId="0" applyFont="1" applyBorder="1" applyAlignment="1">
      <alignment horizontal="center"/>
    </xf>
    <xf numFmtId="0" fontId="7" fillId="0" borderId="824" xfId="0" applyFont="1" applyBorder="1" applyAlignment="1">
      <alignment horizontal="center"/>
    </xf>
    <xf numFmtId="0" fontId="4" fillId="0" borderId="783" xfId="0" applyFont="1" applyBorder="1" applyAlignment="1">
      <alignment horizontal="center"/>
    </xf>
    <xf numFmtId="0" fontId="0" fillId="0" borderId="824" xfId="0" applyBorder="1" applyAlignment="1">
      <alignment horizontal="center"/>
    </xf>
    <xf numFmtId="0" fontId="4" fillId="0" borderId="781" xfId="0" applyFont="1" applyBorder="1" applyAlignment="1">
      <alignment horizontal="left"/>
    </xf>
    <xf numFmtId="0" fontId="0" fillId="0" borderId="856" xfId="0" applyBorder="1" applyAlignment="1">
      <alignment horizontal="center"/>
    </xf>
    <xf numFmtId="0" fontId="4" fillId="0" borderId="827" xfId="0" applyFont="1" applyBorder="1" applyAlignment="1">
      <alignment horizontal="center"/>
    </xf>
    <xf numFmtId="0" fontId="0" fillId="0" borderId="836" xfId="0" applyBorder="1" applyAlignment="1">
      <alignment horizontal="center"/>
    </xf>
    <xf numFmtId="0" fontId="0" fillId="0" borderId="790" xfId="0" applyBorder="1" applyAlignment="1">
      <alignment horizontal="center"/>
    </xf>
    <xf numFmtId="0" fontId="6" fillId="0" borderId="858" xfId="0" applyFont="1" applyBorder="1" applyAlignment="1">
      <alignment horizontal="center"/>
    </xf>
    <xf numFmtId="0" fontId="0" fillId="0" borderId="837" xfId="0" applyBorder="1" applyAlignment="1">
      <alignment horizontal="center"/>
    </xf>
    <xf numFmtId="0" fontId="7" fillId="0" borderId="838" xfId="0" applyFont="1" applyBorder="1" applyAlignment="1">
      <alignment horizontal="left"/>
    </xf>
    <xf numFmtId="0" fontId="4" fillId="29" borderId="782" xfId="0" applyFont="1" applyFill="1" applyBorder="1" applyAlignment="1">
      <alignment horizontal="left"/>
    </xf>
    <xf numFmtId="0" fontId="7" fillId="29" borderId="827" xfId="0" applyFont="1" applyFill="1" applyBorder="1" applyAlignment="1">
      <alignment horizontal="center"/>
    </xf>
    <xf numFmtId="0" fontId="4" fillId="29" borderId="843" xfId="0" applyFont="1" applyFill="1" applyBorder="1" applyAlignment="1">
      <alignment horizontal="center"/>
    </xf>
    <xf numFmtId="0" fontId="0" fillId="29" borderId="827" xfId="0" applyFill="1" applyBorder="1" applyAlignment="1">
      <alignment horizontal="center"/>
    </xf>
    <xf numFmtId="0" fontId="4" fillId="29" borderId="831" xfId="0" applyFont="1" applyFill="1" applyBorder="1" applyAlignment="1">
      <alignment horizontal="center"/>
    </xf>
    <xf numFmtId="0" fontId="4" fillId="0" borderId="850" xfId="0" applyFont="1" applyBorder="1" applyAlignment="1">
      <alignment horizontal="left"/>
    </xf>
    <xf numFmtId="0" fontId="4" fillId="0" borderId="856" xfId="0" applyFont="1" applyBorder="1" applyAlignment="1">
      <alignment horizontal="left"/>
    </xf>
    <xf numFmtId="0" fontId="4" fillId="0" borderId="857" xfId="0" applyFont="1" applyBorder="1" applyAlignment="1">
      <alignment horizontal="center"/>
    </xf>
    <xf numFmtId="0" fontId="0" fillId="43" borderId="781" xfId="0" applyFill="1" applyBorder="1" applyAlignment="1" applyProtection="1">
      <alignment horizontal="center"/>
      <protection locked="0"/>
    </xf>
    <xf numFmtId="0" fontId="0" fillId="43" borderId="842" xfId="0" applyFill="1" applyBorder="1" applyAlignment="1" applyProtection="1">
      <alignment horizontal="center"/>
      <protection locked="0"/>
    </xf>
    <xf numFmtId="0" fontId="0" fillId="0" borderId="827" xfId="0" applyBorder="1" applyAlignment="1">
      <alignment horizontal="left"/>
    </xf>
    <xf numFmtId="0" fontId="0" fillId="43" borderId="832" xfId="0" applyFill="1" applyBorder="1" applyAlignment="1" applyProtection="1">
      <alignment horizontal="center"/>
      <protection locked="0"/>
    </xf>
    <xf numFmtId="2" fontId="0" fillId="0" borderId="831" xfId="0" applyNumberFormat="1" applyBorder="1" applyAlignment="1">
      <alignment horizontal="left"/>
    </xf>
    <xf numFmtId="2" fontId="7" fillId="0" borderId="831" xfId="0" applyNumberFormat="1" applyFont="1" applyBorder="1" applyAlignment="1">
      <alignment horizontal="left"/>
    </xf>
    <xf numFmtId="2" fontId="7" fillId="0" borderId="824" xfId="0" applyNumberFormat="1" applyFont="1" applyBorder="1" applyAlignment="1">
      <alignment horizontal="left"/>
    </xf>
    <xf numFmtId="0" fontId="18" fillId="24" borderId="774" xfId="0" applyFont="1" applyFill="1" applyBorder="1">
      <alignment horizontal="center" vertical="center"/>
    </xf>
    <xf numFmtId="0" fontId="18" fillId="24" borderId="775" xfId="0" applyFont="1" applyFill="1" applyBorder="1" applyAlignment="1">
      <alignment horizontal="center"/>
    </xf>
    <xf numFmtId="0" fontId="18" fillId="24" borderId="775" xfId="0" applyFont="1" applyFill="1" applyBorder="1" applyAlignment="1">
      <alignment wrapText="1"/>
    </xf>
    <xf numFmtId="0" fontId="18" fillId="24" borderId="775" xfId="0" applyFont="1" applyFill="1" applyBorder="1">
      <alignment horizontal="center" vertical="center"/>
    </xf>
    <xf numFmtId="0" fontId="18" fillId="24" borderId="794" xfId="0" applyFont="1" applyFill="1" applyBorder="1">
      <alignment horizontal="center" vertical="center"/>
    </xf>
    <xf numFmtId="0" fontId="22" fillId="39" borderId="827" xfId="0" applyFont="1" applyFill="1" applyBorder="1" applyAlignment="1">
      <alignment wrapText="1"/>
    </xf>
    <xf numFmtId="0" fontId="7" fillId="0" borderId="827" xfId="0" applyFont="1" applyBorder="1" applyAlignment="1">
      <alignment wrapText="1"/>
    </xf>
    <xf numFmtId="0" fontId="9" fillId="0" borderId="855" xfId="0" applyFont="1" applyBorder="1" applyAlignment="1">
      <alignment wrapText="1"/>
    </xf>
    <xf numFmtId="0" fontId="18" fillId="0" borderId="827" xfId="0" applyFont="1" applyBorder="1" applyAlignment="1">
      <alignment wrapText="1"/>
    </xf>
    <xf numFmtId="0" fontId="25" fillId="0" borderId="839" xfId="0" applyFont="1" applyBorder="1" applyAlignment="1">
      <alignment horizontal="center" wrapText="1"/>
    </xf>
    <xf numFmtId="3" fontId="25" fillId="0" borderId="850" xfId="0" applyNumberFormat="1" applyFont="1" applyBorder="1" applyAlignment="1"/>
    <xf numFmtId="3" fontId="25" fillId="0" borderId="839" xfId="0" applyNumberFormat="1" applyFont="1" applyBorder="1" applyAlignment="1"/>
    <xf numFmtId="3" fontId="25" fillId="0" borderId="827" xfId="0" applyNumberFormat="1" applyFont="1" applyBorder="1" applyAlignment="1"/>
    <xf numFmtId="3" fontId="25" fillId="0" borderId="851" xfId="0" applyNumberFormat="1" applyFont="1" applyBorder="1" applyAlignment="1"/>
    <xf numFmtId="0" fontId="18" fillId="0" borderId="859" xfId="0" applyFont="1" applyBorder="1">
      <alignment horizontal="center" vertical="center"/>
    </xf>
    <xf numFmtId="0" fontId="25" fillId="24" borderId="774" xfId="0" applyFont="1" applyFill="1" applyBorder="1">
      <alignment horizontal="center" vertical="center"/>
    </xf>
    <xf numFmtId="0" fontId="25" fillId="24" borderId="775" xfId="0" applyFont="1" applyFill="1" applyBorder="1">
      <alignment horizontal="center" vertical="center"/>
    </xf>
    <xf numFmtId="0" fontId="25" fillId="24" borderId="794" xfId="0" applyFont="1" applyFill="1" applyBorder="1">
      <alignment horizontal="center" vertical="center"/>
    </xf>
    <xf numFmtId="0" fontId="9" fillId="0" borderId="827" xfId="0" applyFont="1" applyBorder="1" applyAlignment="1">
      <alignment wrapText="1"/>
    </xf>
    <xf numFmtId="0" fontId="25" fillId="0" borderId="839" xfId="0" applyFont="1" applyBorder="1" applyAlignment="1">
      <alignment horizontal="center"/>
    </xf>
    <xf numFmtId="1" fontId="25" fillId="0" borderId="850" xfId="0" applyNumberFormat="1" applyFont="1" applyBorder="1" applyAlignment="1">
      <alignment horizontal="center"/>
    </xf>
    <xf numFmtId="1" fontId="25" fillId="0" borderId="827" xfId="0" applyNumberFormat="1" applyFont="1" applyBorder="1" applyAlignment="1">
      <alignment horizontal="center"/>
    </xf>
    <xf numFmtId="1" fontId="25" fillId="0" borderId="851" xfId="0" applyNumberFormat="1" applyFont="1" applyBorder="1" applyAlignment="1">
      <alignment horizontal="center"/>
    </xf>
    <xf numFmtId="0" fontId="9" fillId="0" borderId="859" xfId="0" applyFont="1" applyBorder="1" applyAlignment="1">
      <alignment horizontal="center" wrapText="1"/>
    </xf>
    <xf numFmtId="0" fontId="25" fillId="0" borderId="827" xfId="0" applyFont="1" applyBorder="1" applyAlignment="1">
      <alignment wrapText="1"/>
    </xf>
    <xf numFmtId="0" fontId="9" fillId="0" borderId="827" xfId="0" applyFont="1" applyBorder="1" applyAlignment="1">
      <alignment vertical="top" wrapText="1"/>
    </xf>
    <xf numFmtId="0" fontId="18" fillId="0" borderId="859" xfId="0" applyFont="1" applyBorder="1" applyAlignment="1">
      <alignment horizontal="center"/>
    </xf>
    <xf numFmtId="0" fontId="25" fillId="0" borderId="831" xfId="0" applyFont="1" applyBorder="1" applyAlignment="1">
      <alignment wrapText="1"/>
    </xf>
    <xf numFmtId="0" fontId="9" fillId="0" borderId="831" xfId="0" applyFont="1" applyBorder="1" applyAlignment="1">
      <alignment vertical="top" wrapText="1"/>
    </xf>
    <xf numFmtId="0" fontId="25" fillId="0" borderId="834" xfId="0" applyFont="1" applyBorder="1" applyAlignment="1">
      <alignment horizontal="center"/>
    </xf>
    <xf numFmtId="1" fontId="25" fillId="0" borderId="830" xfId="0" applyNumberFormat="1" applyFont="1" applyBorder="1" applyAlignment="1">
      <alignment horizontal="center"/>
    </xf>
    <xf numFmtId="1" fontId="25" fillId="0" borderId="831" xfId="0" applyNumberFormat="1" applyFont="1" applyBorder="1" applyAlignment="1">
      <alignment horizontal="center"/>
    </xf>
    <xf numFmtId="1" fontId="25" fillId="0" borderId="824" xfId="0" applyNumberFormat="1" applyFont="1" applyBorder="1" applyAlignment="1">
      <alignment horizontal="center"/>
    </xf>
    <xf numFmtId="0" fontId="18" fillId="0" borderId="860" xfId="0" applyFont="1" applyBorder="1" applyAlignment="1">
      <alignment horizontal="center"/>
    </xf>
    <xf numFmtId="170" fontId="25" fillId="0" borderId="840" xfId="0" applyNumberFormat="1" applyFont="1" applyBorder="1" applyAlignment="1"/>
    <xf numFmtId="170" fontId="25" fillId="0" borderId="827" xfId="0" applyNumberFormat="1" applyFont="1" applyBorder="1" applyAlignment="1"/>
    <xf numFmtId="170" fontId="25" fillId="0" borderId="851" xfId="0" applyNumberFormat="1" applyFont="1" applyBorder="1" applyAlignment="1"/>
    <xf numFmtId="0" fontId="9" fillId="0" borderId="859" xfId="0" applyFont="1" applyBorder="1" applyAlignment="1">
      <alignment wrapText="1"/>
    </xf>
    <xf numFmtId="3" fontId="25" fillId="0" borderId="830" xfId="0" applyNumberFormat="1" applyFont="1" applyBorder="1" applyAlignment="1"/>
    <xf numFmtId="3" fontId="25" fillId="0" borderId="831" xfId="0" applyNumberFormat="1" applyFont="1" applyBorder="1" applyAlignment="1"/>
    <xf numFmtId="3" fontId="25" fillId="0" borderId="824" xfId="0" applyNumberFormat="1" applyFont="1" applyBorder="1" applyAlignment="1"/>
    <xf numFmtId="0" fontId="18" fillId="0" borderId="860" xfId="0" applyFont="1" applyBorder="1">
      <alignment horizontal="center" vertical="center"/>
    </xf>
    <xf numFmtId="0" fontId="4" fillId="0" borderId="171" xfId="0" applyFont="1" applyBorder="1" applyAlignment="1">
      <alignment wrapText="1"/>
    </xf>
    <xf numFmtId="0" fontId="4" fillId="0" borderId="173" xfId="0" applyFont="1" applyBorder="1" applyAlignment="1">
      <alignment wrapText="1"/>
    </xf>
    <xf numFmtId="0" fontId="4" fillId="0" borderId="174" xfId="0" applyFont="1" applyBorder="1" applyAlignment="1">
      <alignment wrapText="1"/>
    </xf>
    <xf numFmtId="0" fontId="4" fillId="0" borderId="212" xfId="0" applyFont="1" applyBorder="1" applyAlignment="1">
      <alignment wrapText="1"/>
    </xf>
    <xf numFmtId="0" fontId="4" fillId="0" borderId="214" xfId="0" applyFont="1" applyBorder="1" applyAlignment="1">
      <alignment wrapText="1"/>
    </xf>
    <xf numFmtId="0" fontId="4" fillId="0" borderId="215" xfId="0" applyFont="1" applyBorder="1" applyAlignment="1">
      <alignment wrapText="1"/>
    </xf>
    <xf numFmtId="0" fontId="4" fillId="0" borderId="277" xfId="0" applyFont="1" applyBorder="1" applyAlignment="1">
      <alignment wrapText="1"/>
    </xf>
    <xf numFmtId="0" fontId="4" fillId="0" borderId="279" xfId="0" applyFont="1" applyBorder="1" applyAlignment="1">
      <alignment wrapText="1"/>
    </xf>
    <xf numFmtId="0" fontId="4" fillId="0" borderId="280" xfId="0" applyFont="1" applyBorder="1" applyAlignment="1">
      <alignment wrapText="1"/>
    </xf>
    <xf numFmtId="0" fontId="4" fillId="0" borderId="332" xfId="0" applyFont="1" applyBorder="1" applyAlignment="1">
      <alignment wrapText="1"/>
    </xf>
    <xf numFmtId="0" fontId="4" fillId="0" borderId="334" xfId="0" applyFont="1" applyBorder="1" applyAlignment="1">
      <alignment wrapText="1"/>
    </xf>
    <xf numFmtId="0" fontId="4" fillId="0" borderId="335" xfId="0" applyFont="1" applyBorder="1" applyAlignment="1">
      <alignment wrapText="1"/>
    </xf>
    <xf numFmtId="0" fontId="4" fillId="0" borderId="398" xfId="0" applyFont="1" applyBorder="1" applyAlignment="1">
      <alignment wrapText="1"/>
    </xf>
    <xf numFmtId="0" fontId="4" fillId="0" borderId="400" xfId="0" applyFont="1" applyBorder="1" applyAlignment="1">
      <alignment wrapText="1"/>
    </xf>
    <xf numFmtId="0" fontId="4" fillId="0" borderId="401" xfId="0" applyFont="1" applyBorder="1" applyAlignment="1">
      <alignment wrapText="1"/>
    </xf>
    <xf numFmtId="0" fontId="4" fillId="0" borderId="432" xfId="0" applyFont="1" applyBorder="1" applyAlignment="1">
      <alignment wrapText="1"/>
    </xf>
    <xf numFmtId="0" fontId="4" fillId="0" borderId="434" xfId="0" applyFont="1" applyBorder="1" applyAlignment="1">
      <alignment wrapText="1"/>
    </xf>
    <xf numFmtId="0" fontId="4" fillId="0" borderId="435" xfId="0" applyFont="1" applyBorder="1" applyAlignment="1">
      <alignment wrapText="1"/>
    </xf>
    <xf numFmtId="0" fontId="4" fillId="0" borderId="462" xfId="0" applyFont="1" applyBorder="1" applyAlignment="1">
      <alignment wrapText="1"/>
    </xf>
    <xf numFmtId="0" fontId="4" fillId="0" borderId="464" xfId="0" applyFont="1" applyBorder="1" applyAlignment="1">
      <alignment wrapText="1"/>
    </xf>
    <xf numFmtId="0" fontId="4" fillId="0" borderId="463" xfId="0" applyFont="1" applyBorder="1" applyAlignment="1">
      <alignment wrapText="1"/>
    </xf>
    <xf numFmtId="0" fontId="4" fillId="0" borderId="542" xfId="0" applyFont="1" applyBorder="1" applyAlignment="1">
      <alignment wrapText="1"/>
    </xf>
    <xf numFmtId="0" fontId="4" fillId="0" borderId="547" xfId="0" applyFont="1" applyBorder="1" applyAlignment="1">
      <alignment wrapText="1"/>
    </xf>
    <xf numFmtId="0" fontId="4" fillId="0" borderId="546" xfId="0" applyFont="1" applyBorder="1" applyAlignment="1">
      <alignment wrapText="1"/>
    </xf>
    <xf numFmtId="0" fontId="4" fillId="0" borderId="599" xfId="0" applyFont="1" applyBorder="1" applyAlignment="1">
      <alignment wrapText="1"/>
    </xf>
    <xf numFmtId="0" fontId="4" fillId="0" borderId="601" xfId="0" applyFont="1" applyBorder="1" applyAlignment="1">
      <alignment wrapText="1"/>
    </xf>
    <xf numFmtId="0" fontId="4" fillId="0" borderId="600" xfId="0" applyFont="1" applyBorder="1" applyAlignment="1">
      <alignment wrapText="1"/>
    </xf>
    <xf numFmtId="0" fontId="4" fillId="0" borderId="663" xfId="0" applyFont="1" applyBorder="1" applyAlignment="1">
      <alignment wrapText="1"/>
    </xf>
    <xf numFmtId="0" fontId="4" fillId="0" borderId="665" xfId="0" applyFont="1" applyBorder="1" applyAlignment="1">
      <alignment wrapText="1"/>
    </xf>
    <xf numFmtId="0" fontId="4" fillId="0" borderId="664" xfId="0" applyFont="1" applyBorder="1" applyAlignment="1">
      <alignment wrapText="1"/>
    </xf>
    <xf numFmtId="0" fontId="4" fillId="0" borderId="776" xfId="0" applyFont="1" applyBorder="1" applyAlignment="1">
      <alignment wrapText="1"/>
    </xf>
    <xf numFmtId="0" fontId="4" fillId="0" borderId="778" xfId="0" applyFont="1" applyBorder="1" applyAlignment="1">
      <alignment wrapText="1"/>
    </xf>
    <xf numFmtId="0" fontId="4" fillId="0" borderId="779" xfId="0" applyFont="1" applyBorder="1" applyAlignment="1">
      <alignment wrapText="1"/>
    </xf>
    <xf numFmtId="0" fontId="20" fillId="0" borderId="41" xfId="0" applyFont="1" applyBorder="1" applyAlignment="1">
      <alignment horizontal="center"/>
    </xf>
  </cellXfs>
  <cellStyles count="57">
    <cellStyle name="20 % - Farve1" xfId="1" builtinId="30" customBuiltin="1"/>
    <cellStyle name="20 % - Farve2" xfId="2" builtinId="34" customBuiltin="1"/>
    <cellStyle name="20 % - Farve3" xfId="3" builtinId="38" customBuiltin="1"/>
    <cellStyle name="20 % - Farve4" xfId="4" builtinId="42" customBuiltin="1"/>
    <cellStyle name="20 % - Farve5" xfId="5" builtinId="46" customBuiltin="1"/>
    <cellStyle name="20 % - Farve6" xfId="6" builtinId="50" customBuiltin="1"/>
    <cellStyle name="40 % - Farve1" xfId="7" builtinId="31" customBuiltin="1"/>
    <cellStyle name="40 % - Farve2" xfId="8" builtinId="35" customBuiltin="1"/>
    <cellStyle name="40 % - Farve3" xfId="9" builtinId="39" customBuiltin="1"/>
    <cellStyle name="40 % - Farve4" xfId="10" builtinId="43" customBuiltin="1"/>
    <cellStyle name="40 % - Farve5" xfId="11" builtinId="47" customBuiltin="1"/>
    <cellStyle name="40 % - Farve6" xfId="12" builtinId="51" customBuiltin="1"/>
    <cellStyle name="60 % - Farve1" xfId="13" builtinId="32" customBuiltin="1"/>
    <cellStyle name="60 % - Farve2" xfId="14" builtinId="36" customBuiltin="1"/>
    <cellStyle name="60 % - Farve3" xfId="15" builtinId="40" customBuiltin="1"/>
    <cellStyle name="60 % - Farve4" xfId="16" builtinId="44" customBuiltin="1"/>
    <cellStyle name="60 % - Farve5" xfId="17" builtinId="48" customBuiltin="1"/>
    <cellStyle name="60 % - Farve6" xfId="18" builtinId="52" customBuiltin="1"/>
    <cellStyle name="Advarselstekst" xfId="19" builtinId="11" customBuiltin="1"/>
    <cellStyle name="Afspadsering" xfId="44" xr:uid="{00000000-0005-0000-0000-000013000000}"/>
    <cellStyle name="Barn Syg" xfId="33" xr:uid="{00000000-0005-0000-0000-000014000000}"/>
    <cellStyle name="Barsel" xfId="51" xr:uid="{00000000-0005-0000-0000-000015000000}"/>
    <cellStyle name="Bemærk!" xfId="20" builtinId="10" customBuiltin="1"/>
    <cellStyle name="Beregning" xfId="21" builtinId="22" customBuiltin="1"/>
    <cellStyle name="Covid-19" xfId="52" xr:uid="{914B8FD2-7F15-4717-AAE9-FC0B1319214C}"/>
    <cellStyle name="Farve1" xfId="26" builtinId="29" customBuiltin="1"/>
    <cellStyle name="Farve2" xfId="27" builtinId="33" customBuiltin="1"/>
    <cellStyle name="Farve3" xfId="28" builtinId="37" customBuiltin="1"/>
    <cellStyle name="Farve4" xfId="29" builtinId="41" customBuiltin="1"/>
    <cellStyle name="Farve5" xfId="30" builtinId="45" customBuiltin="1"/>
    <cellStyle name="Farve6" xfId="31" builtinId="49" customBuiltin="1"/>
    <cellStyle name="Ferie" xfId="48" xr:uid="{00000000-0005-0000-0000-00001E000000}"/>
    <cellStyle name="FerieFridag" xfId="50" xr:uid="{00000000-0005-0000-0000-00001F000000}"/>
    <cellStyle name="Forklarende tekst" xfId="22" builtinId="53" customBuiltin="1"/>
    <cellStyle name="God" xfId="23" builtinId="26" customBuiltin="1"/>
    <cellStyle name="Input" xfId="24" builtinId="20" customBuiltin="1"/>
    <cellStyle name="Kontrollér celle" xfId="25" builtinId="23" customBuiltin="1"/>
    <cellStyle name="Neutral" xfId="32" builtinId="28" customBuiltin="1"/>
    <cellStyle name="Normal" xfId="0" builtinId="0" customBuiltin="1"/>
    <cellStyle name="Normal 2" xfId="53" xr:uid="{130BB17D-D5B0-4A4A-8663-391BA36288D9}"/>
    <cellStyle name="Normal 2 2" xfId="55" xr:uid="{6D9AC72A-5AE7-4CBB-9CDB-3E6B97494505}"/>
    <cellStyle name="Normal 3" xfId="54" xr:uid="{5ECD478F-A4BF-481A-A0D3-98BEA4F3592F}"/>
    <cellStyle name="Oplæring" xfId="47" xr:uid="{00000000-0005-0000-0000-000029000000}"/>
    <cellStyle name="Orlov" xfId="49" xr:uid="{00000000-0005-0000-0000-00002A000000}"/>
    <cellStyle name="Output" xfId="34" builtinId="21" customBuiltin="1"/>
    <cellStyle name="Overskrift 1" xfId="35" builtinId="16" customBuiltin="1"/>
    <cellStyle name="Overskrift 2" xfId="36" builtinId="17" customBuiltin="1"/>
    <cellStyle name="Overskrift 3" xfId="37" builtinId="18" customBuiltin="1"/>
    <cellStyle name="Overskrift 4" xfId="38" builtinId="19" customBuiltin="1"/>
    <cellStyle name="OverTid" xfId="45" xr:uid="{00000000-0005-0000-0000-000030000000}"/>
    <cellStyle name="Sammenkædet celle" xfId="39" builtinId="24" customBuiltin="1"/>
    <cellStyle name="Seniordag" xfId="46" xr:uid="{00000000-0005-0000-0000-000032000000}"/>
    <cellStyle name="Syg" xfId="43" xr:uid="{00000000-0005-0000-0000-000033000000}"/>
    <cellStyle name="Titel" xfId="40" builtinId="15" customBuiltin="1"/>
    <cellStyle name="Total" xfId="41" builtinId="25" customBuiltin="1"/>
    <cellStyle name="Ugyldig" xfId="42" builtinId="27" customBuiltin="1"/>
    <cellStyle name="Valuta" xfId="56" builtinId="4"/>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09090"/>
      <rgbColor rgb="00003366"/>
      <rgbColor rgb="00339966"/>
      <rgbColor rgb="00003300"/>
      <rgbColor rgb="00333300"/>
      <rgbColor rgb="00993300"/>
      <rgbColor rgb="00993366"/>
      <rgbColor rgb="00333399"/>
      <rgbColor rgb="00333333"/>
    </indexedColors>
    <mruColors>
      <color rgb="FFFFCC99"/>
      <color rgb="FFCC99FF"/>
      <color rgb="FFFFFF99"/>
      <color rgb="FF99CCFF"/>
      <color rgb="FF0000FF"/>
      <color rgb="FFF79443"/>
      <color rgb="FF9966FF"/>
      <color rgb="FF1F12C8"/>
      <color rgb="FFFF99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F9D0E583-66B4-4743-BA0E-65F3B4FC452E}"/>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51B2FC9D-5AE6-4EAF-AD6F-3815587C9A8D}"/>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FC1713B5-7821-4228-9CBC-A06D3B86BF66}"/>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4B074765-7D0A-4709-A97A-6FE6D9FD8FAF}"/>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1340F627-E893-427A-93C1-5687BED84788}"/>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33763821-DFE8-456D-AF42-D990FFAEF513}"/>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6942EAD2-0FFA-4544-BB01-29FB007F9061}"/>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6FF401F7-D834-41A4-B9E4-F3A663C25B93}"/>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6EE19D2C-BEEE-4158-A2AB-5D799B2762A4}"/>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0FD65756-DDE3-43D0-B462-A8C82FA11DEA}"/>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1E862778-2DD3-4144-B451-E90B71F6C70D}"/>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02F5E3BC-B3A7-4A16-8396-701AC7AA812D}"/>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C5480619-4553-4B17-B6CF-85A21C04390B}"/>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BBD7FE91-8FA9-412B-88AF-676E2CA29727}"/>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96E12A24-0C78-4F0E-80C6-AE686FBE1CE4}"/>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AB1C9A82-578A-4B2A-9BA6-326809E50BB8}"/>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AF6387A2-9144-4D7E-BD0F-BF606BC35516}"/>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22FE4BBC-D4FD-4975-9C62-D27BFB32AFE3}"/>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483B2940-534E-4F76-BECA-4C69674C748E}"/>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E2518C27-F0B1-4312-95FA-5A05BAC0B5A1}"/>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8BDFEAE1-1A32-4D81-8197-FF0F5B277777}"/>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3116AC72-8AC7-47F2-B112-DB4D81FD3B2A}"/>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C9F7B554-A71F-4ECF-AF8A-03415484F054}"/>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DD3CCB4C-E192-4D82-A7B6-F8A025DCD7BA}"/>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25F8F4CD-D6A4-4C89-9527-3DB9A9EFDF7E}"/>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59F3F321-1ECE-4887-A422-DA89C65564CF}"/>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CAFBDF0D-123D-44E3-B97A-E09B17212E99}"/>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65A80BE4-3682-4AB0-8E23-AB5A64AED31A}"/>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567853B4-6B68-46AC-B630-9718E04C2E2C}"/>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C9A15319-F459-40EB-970A-ED056ED13A61}"/>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74DF65E0-AC15-4910-A640-9B2CAB48D0A3}"/>
            </a:ext>
          </a:extLst>
        </xdr:cNvPr>
        <xdr:cNvSpPr>
          <a:spLocks noChangeArrowheads="1"/>
        </xdr:cNvSpPr>
      </xdr:nvSpPr>
      <xdr:spPr bwMode="auto">
        <a:xfrm>
          <a:off x="4600575"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56BD4E01-E489-4CD2-A41A-4240A367091B}"/>
            </a:ext>
          </a:extLst>
        </xdr:cNvPr>
        <xdr:cNvSpPr>
          <a:spLocks noChangeArrowheads="1"/>
        </xdr:cNvSpPr>
      </xdr:nvSpPr>
      <xdr:spPr bwMode="auto">
        <a:xfrm>
          <a:off x="4600575"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B1CC3240-27F6-49C3-9D24-99A253B179CA}"/>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CCDD4B11-BC12-401D-9D75-602739BE2630}"/>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AC85FCC1-1710-4E6C-B7F5-FEC3D505C2A0}"/>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EBB68319-4890-4A3A-90CD-4B4F15BF3878}"/>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1FD0829B-0F3D-46B0-9C58-23CC7E08E59E}"/>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20BDA719-099A-4013-93D7-A5B5A21511DC}"/>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F54D306A-1944-4900-9654-92AD7A52DFBE}"/>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8D540A1E-670D-4B4D-A798-D5541C756CE6}"/>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1038225</xdr:colOff>
      <xdr:row>34</xdr:row>
      <xdr:rowOff>210608</xdr:rowOff>
    </xdr:from>
    <xdr:to>
      <xdr:col>1</xdr:col>
      <xdr:colOff>1457325</xdr:colOff>
      <xdr:row>34</xdr:row>
      <xdr:rowOff>210608</xdr:rowOff>
    </xdr:to>
    <xdr:sp macro="" textlink="">
      <xdr:nvSpPr>
        <xdr:cNvPr id="6" name="Line 1">
          <a:extLst>
            <a:ext uri="{FF2B5EF4-FFF2-40B4-BE49-F238E27FC236}">
              <a16:creationId xmlns:a16="http://schemas.microsoft.com/office/drawing/2014/main" id="{C7CBC0D2-FE3D-42CA-B29B-335977C78058}"/>
            </a:ext>
          </a:extLst>
        </xdr:cNvPr>
        <xdr:cNvSpPr>
          <a:spLocks noChangeShapeType="1"/>
        </xdr:cNvSpPr>
      </xdr:nvSpPr>
      <xdr:spPr bwMode="auto">
        <a:xfrm>
          <a:off x="1419225" y="9068858"/>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6AEF2A57-0C53-418A-AC5E-6B68DA014D2C}"/>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1C8C56B6-2286-4214-8154-9F7BB05CC11E}"/>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502197F2-B532-4ABD-A027-A2B18B4B8156}"/>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1038225</xdr:colOff>
      <xdr:row>34</xdr:row>
      <xdr:rowOff>200025</xdr:rowOff>
    </xdr:from>
    <xdr:to>
      <xdr:col>1</xdr:col>
      <xdr:colOff>1457325</xdr:colOff>
      <xdr:row>34</xdr:row>
      <xdr:rowOff>200025</xdr:rowOff>
    </xdr:to>
    <xdr:sp macro="" textlink="">
      <xdr:nvSpPr>
        <xdr:cNvPr id="2" name="Line 1">
          <a:extLst>
            <a:ext uri="{FF2B5EF4-FFF2-40B4-BE49-F238E27FC236}">
              <a16:creationId xmlns:a16="http://schemas.microsoft.com/office/drawing/2014/main" id="{CB1551CA-B8B9-4F1B-8675-F3FF9AFC41C0}"/>
            </a:ext>
          </a:extLst>
        </xdr:cNvPr>
        <xdr:cNvSpPr>
          <a:spLocks noChangeShapeType="1"/>
        </xdr:cNvSpPr>
      </xdr:nvSpPr>
      <xdr:spPr bwMode="auto">
        <a:xfrm>
          <a:off x="1419225" y="9105900"/>
          <a:ext cx="419100" cy="0"/>
        </a:xfrm>
        <a:prstGeom prst="line">
          <a:avLst/>
        </a:prstGeom>
        <a:noFill/>
        <a:ln w="9360">
          <a:solidFill>
            <a:srgbClr val="000000"/>
          </a:solidFill>
          <a:miter lim="800000"/>
          <a:headEnd/>
          <a:tailEnd type="triangle" w="med" len="med"/>
        </a:ln>
      </xdr:spPr>
    </xdr:sp>
    <xdr:clientData/>
  </xdr:twoCellAnchor>
  <xdr:twoCellAnchor>
    <xdr:from>
      <xdr:col>1</xdr:col>
      <xdr:colOff>1000125</xdr:colOff>
      <xdr:row>9</xdr:row>
      <xdr:rowOff>219075</xdr:rowOff>
    </xdr:from>
    <xdr:to>
      <xdr:col>1</xdr:col>
      <xdr:colOff>1447800</xdr:colOff>
      <xdr:row>9</xdr:row>
      <xdr:rowOff>219075</xdr:rowOff>
    </xdr:to>
    <xdr:sp macro="" textlink="">
      <xdr:nvSpPr>
        <xdr:cNvPr id="3" name="Line 2">
          <a:extLst>
            <a:ext uri="{FF2B5EF4-FFF2-40B4-BE49-F238E27FC236}">
              <a16:creationId xmlns:a16="http://schemas.microsoft.com/office/drawing/2014/main" id="{12EB7BF3-6383-4708-BE73-1FBD0A621E90}"/>
            </a:ext>
          </a:extLst>
        </xdr:cNvPr>
        <xdr:cNvSpPr>
          <a:spLocks noChangeShapeType="1"/>
        </xdr:cNvSpPr>
      </xdr:nvSpPr>
      <xdr:spPr bwMode="auto">
        <a:xfrm>
          <a:off x="1381125" y="2247900"/>
          <a:ext cx="447675" cy="0"/>
        </a:xfrm>
        <a:prstGeom prst="line">
          <a:avLst/>
        </a:prstGeom>
        <a:noFill/>
        <a:ln w="9360">
          <a:solidFill>
            <a:srgbClr val="000000"/>
          </a:solidFill>
          <a:miter lim="800000"/>
          <a:headEnd/>
          <a:tailEnd type="triangle" w="med" len="me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4" name="AutoShape 3">
          <a:extLst>
            <a:ext uri="{FF2B5EF4-FFF2-40B4-BE49-F238E27FC236}">
              <a16:creationId xmlns:a16="http://schemas.microsoft.com/office/drawing/2014/main" id="{A562AFE6-2C70-456D-8C79-9277870414EB}"/>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twoCellAnchor>
    <xdr:from>
      <xdr:col>11</xdr:col>
      <xdr:colOff>38100</xdr:colOff>
      <xdr:row>2</xdr:row>
      <xdr:rowOff>28575</xdr:rowOff>
    </xdr:from>
    <xdr:to>
      <xdr:col>11</xdr:col>
      <xdr:colOff>171450</xdr:colOff>
      <xdr:row>2</xdr:row>
      <xdr:rowOff>152400</xdr:rowOff>
    </xdr:to>
    <xdr:sp macro="" textlink="">
      <xdr:nvSpPr>
        <xdr:cNvPr id="5" name="AutoShape 4">
          <a:extLst>
            <a:ext uri="{FF2B5EF4-FFF2-40B4-BE49-F238E27FC236}">
              <a16:creationId xmlns:a16="http://schemas.microsoft.com/office/drawing/2014/main" id="{9E643738-22C9-4642-96BE-B5112B572C33}"/>
            </a:ext>
          </a:extLst>
        </xdr:cNvPr>
        <xdr:cNvSpPr>
          <a:spLocks noChangeArrowheads="1"/>
        </xdr:cNvSpPr>
      </xdr:nvSpPr>
      <xdr:spPr bwMode="auto">
        <a:xfrm>
          <a:off x="4591050" y="352425"/>
          <a:ext cx="133350" cy="123825"/>
        </a:xfrm>
        <a:prstGeom prst="flowChartSummingJunction">
          <a:avLst/>
        </a:prstGeom>
        <a:solidFill>
          <a:srgbClr val="FFFFFF"/>
        </a:solidFill>
        <a:ln w="9360">
          <a:solidFill>
            <a:srgbClr val="000000"/>
          </a:solidFill>
          <a:miter lim="800000"/>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514350</xdr:colOff>
      <xdr:row>51</xdr:row>
      <xdr:rowOff>28575</xdr:rowOff>
    </xdr:from>
    <xdr:to>
      <xdr:col>5</xdr:col>
      <xdr:colOff>809625</xdr:colOff>
      <xdr:row>52</xdr:row>
      <xdr:rowOff>57150</xdr:rowOff>
    </xdr:to>
    <xdr:sp macro="" textlink="">
      <xdr:nvSpPr>
        <xdr:cNvPr id="3167" name="Oval 1">
          <a:extLst>
            <a:ext uri="{FF2B5EF4-FFF2-40B4-BE49-F238E27FC236}">
              <a16:creationId xmlns:a16="http://schemas.microsoft.com/office/drawing/2014/main" id="{00000000-0008-0000-0200-00005F0C0000}"/>
            </a:ext>
          </a:extLst>
        </xdr:cNvPr>
        <xdr:cNvSpPr>
          <a:spLocks noChangeArrowheads="1"/>
        </xdr:cNvSpPr>
      </xdr:nvSpPr>
      <xdr:spPr bwMode="auto">
        <a:xfrm>
          <a:off x="5619750" y="11763375"/>
          <a:ext cx="295275" cy="247650"/>
        </a:xfrm>
        <a:prstGeom prst="ellipse">
          <a:avLst/>
        </a:prstGeom>
        <a:noFill/>
        <a:ln w="9360">
          <a:solidFill>
            <a:srgbClr val="000000"/>
          </a:solidFill>
          <a:miter lim="800000"/>
          <a:headEnd/>
          <a:tailEnd/>
        </a:ln>
      </xdr:spPr>
    </xdr:sp>
    <xdr:clientData/>
  </xdr:twoCellAnchor>
  <xdr:twoCellAnchor>
    <xdr:from>
      <xdr:col>5</xdr:col>
      <xdr:colOff>485775</xdr:colOff>
      <xdr:row>80</xdr:row>
      <xdr:rowOff>19050</xdr:rowOff>
    </xdr:from>
    <xdr:to>
      <xdr:col>6</xdr:col>
      <xdr:colOff>76200</xdr:colOff>
      <xdr:row>80</xdr:row>
      <xdr:rowOff>219075</xdr:rowOff>
    </xdr:to>
    <xdr:sp macro="" textlink="">
      <xdr:nvSpPr>
        <xdr:cNvPr id="3168" name="Oval 2">
          <a:extLst>
            <a:ext uri="{FF2B5EF4-FFF2-40B4-BE49-F238E27FC236}">
              <a16:creationId xmlns:a16="http://schemas.microsoft.com/office/drawing/2014/main" id="{00000000-0008-0000-0200-0000600C0000}"/>
            </a:ext>
          </a:extLst>
        </xdr:cNvPr>
        <xdr:cNvSpPr>
          <a:spLocks noChangeArrowheads="1"/>
        </xdr:cNvSpPr>
      </xdr:nvSpPr>
      <xdr:spPr bwMode="auto">
        <a:xfrm>
          <a:off x="5591175" y="18049875"/>
          <a:ext cx="409575" cy="190500"/>
        </a:xfrm>
        <a:prstGeom prst="ellipse">
          <a:avLst/>
        </a:prstGeom>
        <a:noFill/>
        <a:ln w="9360">
          <a:solidFill>
            <a:srgbClr val="000000"/>
          </a:solidFill>
          <a:miter lim="800000"/>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485775</xdr:colOff>
      <xdr:row>88</xdr:row>
      <xdr:rowOff>19050</xdr:rowOff>
    </xdr:from>
    <xdr:to>
      <xdr:col>6</xdr:col>
      <xdr:colOff>76200</xdr:colOff>
      <xdr:row>89</xdr:row>
      <xdr:rowOff>85725</xdr:rowOff>
    </xdr:to>
    <xdr:sp macro="" textlink="">
      <xdr:nvSpPr>
        <xdr:cNvPr id="2143" name="Oval 1">
          <a:extLst>
            <a:ext uri="{FF2B5EF4-FFF2-40B4-BE49-F238E27FC236}">
              <a16:creationId xmlns:a16="http://schemas.microsoft.com/office/drawing/2014/main" id="{00000000-0008-0000-0100-00005F080000}"/>
            </a:ext>
          </a:extLst>
        </xdr:cNvPr>
        <xdr:cNvSpPr>
          <a:spLocks noChangeArrowheads="1"/>
        </xdr:cNvSpPr>
      </xdr:nvSpPr>
      <xdr:spPr bwMode="auto">
        <a:xfrm>
          <a:off x="5591175" y="20574000"/>
          <a:ext cx="409575" cy="285750"/>
        </a:xfrm>
        <a:prstGeom prst="ellipse">
          <a:avLst/>
        </a:prstGeom>
        <a:noFill/>
        <a:ln w="9360">
          <a:solidFill>
            <a:srgbClr val="000000"/>
          </a:solidFill>
          <a:miter lim="800000"/>
          <a:headEnd/>
          <a:tailEnd/>
        </a:ln>
      </xdr:spPr>
    </xdr:sp>
    <xdr:clientData/>
  </xdr:twoCellAnchor>
  <xdr:twoCellAnchor>
    <xdr:from>
      <xdr:col>5</xdr:col>
      <xdr:colOff>485775</xdr:colOff>
      <xdr:row>125</xdr:row>
      <xdr:rowOff>19050</xdr:rowOff>
    </xdr:from>
    <xdr:to>
      <xdr:col>6</xdr:col>
      <xdr:colOff>76200</xdr:colOff>
      <xdr:row>126</xdr:row>
      <xdr:rowOff>85725</xdr:rowOff>
    </xdr:to>
    <xdr:sp macro="" textlink="">
      <xdr:nvSpPr>
        <xdr:cNvPr id="2144" name="Oval 2">
          <a:extLst>
            <a:ext uri="{FF2B5EF4-FFF2-40B4-BE49-F238E27FC236}">
              <a16:creationId xmlns:a16="http://schemas.microsoft.com/office/drawing/2014/main" id="{00000000-0008-0000-0100-000060080000}"/>
            </a:ext>
          </a:extLst>
        </xdr:cNvPr>
        <xdr:cNvSpPr>
          <a:spLocks noChangeArrowheads="1"/>
        </xdr:cNvSpPr>
      </xdr:nvSpPr>
      <xdr:spPr bwMode="auto">
        <a:xfrm>
          <a:off x="5591175" y="28679775"/>
          <a:ext cx="409575" cy="285750"/>
        </a:xfrm>
        <a:prstGeom prst="ellipse">
          <a:avLst/>
        </a:prstGeom>
        <a:noFill/>
        <a:ln w="9360">
          <a:solidFill>
            <a:srgbClr val="000000"/>
          </a:solidFill>
          <a:miter lim="800000"/>
          <a:headEnd/>
          <a:tailEnd/>
        </a:ln>
      </xdr:spPr>
    </xdr:sp>
    <xdr:clientData/>
  </xdr:twoCellAnchor>
</xdr:wsDr>
</file>

<file path=xl/theme/theme1.xml><?xml version="1.0" encoding="utf-8"?>
<a:theme xmlns:a="http://schemas.openxmlformats.org/drawingml/2006/main" name="Kontortema">
  <a:themeElements>
    <a:clrScheme name="Gul">
      <a:dk1>
        <a:sysClr val="windowText" lastClr="000000"/>
      </a:dk1>
      <a:lt1>
        <a:sysClr val="window" lastClr="FFFFFF"/>
      </a:lt1>
      <a:dk2>
        <a:srgbClr val="39302A"/>
      </a:dk2>
      <a:lt2>
        <a:srgbClr val="E5DEDB"/>
      </a:lt2>
      <a:accent1>
        <a:srgbClr val="FFCA08"/>
      </a:accent1>
      <a:accent2>
        <a:srgbClr val="F8931D"/>
      </a:accent2>
      <a:accent3>
        <a:srgbClr val="CE8D3E"/>
      </a:accent3>
      <a:accent4>
        <a:srgbClr val="EC7016"/>
      </a:accent4>
      <a:accent5>
        <a:srgbClr val="E64823"/>
      </a:accent5>
      <a:accent6>
        <a:srgbClr val="9C6A6A"/>
      </a:accent6>
      <a:hlink>
        <a:srgbClr val="2998E3"/>
      </a:hlink>
      <a:folHlink>
        <a:srgbClr val="7F723D"/>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8B022-2087-4CD4-A80B-DDF96B63A855}">
  <sheetPr codeName="Ark10"/>
  <dimension ref="A1"/>
  <sheetViews>
    <sheetView workbookViewId="0"/>
  </sheetViews>
  <sheetFormatPr defaultRowHeight="12"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C73E2-3BBC-45C4-8357-497B8D2455DE}">
  <sheetPr codeName="Ark11"/>
  <dimension ref="A1"/>
  <sheetViews>
    <sheetView workbookViewId="0"/>
  </sheetViews>
  <sheetFormatPr defaultRowHeight="12"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6B260-C009-4FF5-BD37-D7EC08E557E7}">
  <sheetPr codeName="Ark12"/>
  <dimension ref="A1"/>
  <sheetViews>
    <sheetView workbookViewId="0"/>
  </sheetViews>
  <sheetFormatPr defaultRowHeight="12"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B76DE-BFD1-42BC-B4C5-28B139E0DE1B}">
  <sheetPr codeName="Ark13"/>
  <dimension ref="A1"/>
  <sheetViews>
    <sheetView workbookViewId="0"/>
  </sheetViews>
  <sheetFormatPr defaultRowHeight="12"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2E8D0-D0F4-4608-8046-E9F028296F6A}">
  <sheetPr codeName="Ark73"/>
  <dimension ref="A1:AO285"/>
  <sheetViews>
    <sheetView zoomScale="90" zoomScaleNormal="90" workbookViewId="0">
      <pane xSplit="2" ySplit="3" topLeftCell="C52" activePane="bottomRight" state="frozen"/>
      <selection pane="topRight" activeCell="W161" sqref="W161"/>
      <selection pane="bottomLeft" activeCell="W161" sqref="W161"/>
      <selection pane="bottomRight" activeCell="AM61" sqref="AM61"/>
    </sheetView>
  </sheetViews>
  <sheetFormatPr defaultColWidth="9.140625" defaultRowHeight="12" x14ac:dyDescent="0.2"/>
  <cols>
    <col min="1" max="1" width="5.7109375" customWidth="1"/>
    <col min="2" max="2" width="25.140625" customWidth="1"/>
    <col min="3" max="15" width="4.140625" customWidth="1"/>
    <col min="16" max="16" width="3.85546875" customWidth="1"/>
    <col min="17" max="33" width="4.140625" customWidth="1"/>
    <col min="34" max="34" width="4" customWidth="1"/>
    <col min="35" max="35" width="3.85546875" customWidth="1"/>
    <col min="36" max="37" width="12.140625" customWidth="1"/>
    <col min="38" max="38" width="15" customWidth="1"/>
    <col min="39" max="39" width="12.140625" customWidth="1"/>
    <col min="40" max="40" width="11.140625" bestFit="1" customWidth="1"/>
    <col min="41" max="41" width="12.5703125" customWidth="1"/>
    <col min="42" max="42" width="11.140625" bestFit="1" customWidth="1"/>
  </cols>
  <sheetData>
    <row r="1" spans="1:38" ht="13.35" customHeight="1" x14ac:dyDescent="0.2">
      <c r="A1" t="s">
        <v>0</v>
      </c>
      <c r="B1" s="1" t="s">
        <v>1</v>
      </c>
    </row>
    <row r="2" spans="1:38" ht="13.35" customHeight="1" x14ac:dyDescent="0.2">
      <c r="B2" s="754" t="s">
        <v>2</v>
      </c>
      <c r="C2" s="755" t="s">
        <v>3</v>
      </c>
      <c r="D2" s="756"/>
      <c r="E2" s="757" t="s">
        <v>4</v>
      </c>
      <c r="F2" s="758"/>
      <c r="G2" s="759"/>
      <c r="H2" s="759"/>
      <c r="I2" s="759"/>
      <c r="J2" s="759"/>
      <c r="K2" s="760"/>
      <c r="L2" s="761" t="s">
        <v>5</v>
      </c>
      <c r="M2" s="762"/>
      <c r="N2" s="747"/>
      <c r="O2" s="763" t="s">
        <v>6</v>
      </c>
      <c r="P2" s="764"/>
      <c r="Q2" s="765"/>
      <c r="R2" s="766"/>
      <c r="S2" s="767" t="s">
        <v>7</v>
      </c>
      <c r="T2" s="768"/>
      <c r="U2" s="769"/>
      <c r="V2" s="768"/>
      <c r="W2" s="770" t="s">
        <v>8</v>
      </c>
      <c r="X2" s="746"/>
      <c r="Y2" s="771"/>
      <c r="Z2" s="160" t="s">
        <v>9</v>
      </c>
      <c r="AA2" s="772"/>
      <c r="AB2" s="773"/>
      <c r="AC2" s="577"/>
      <c r="AD2" s="774" t="s">
        <v>10</v>
      </c>
      <c r="AE2" s="775"/>
      <c r="AF2" s="775"/>
      <c r="AG2" s="578"/>
    </row>
    <row r="3" spans="1:38" ht="13.35" customHeight="1" x14ac:dyDescent="0.2">
      <c r="A3" s="1"/>
      <c r="B3" s="776" t="s">
        <v>11</v>
      </c>
      <c r="C3" s="777" t="s">
        <v>12</v>
      </c>
      <c r="D3" s="778"/>
      <c r="E3" s="91"/>
      <c r="F3" s="92"/>
      <c r="G3" s="92"/>
      <c r="H3" s="161" t="s">
        <v>13</v>
      </c>
      <c r="I3" s="93"/>
      <c r="J3" s="93"/>
      <c r="K3" s="94"/>
      <c r="L3" s="779" t="s">
        <v>14</v>
      </c>
      <c r="M3" s="743"/>
      <c r="N3" s="780"/>
      <c r="O3" s="93"/>
      <c r="P3" s="93"/>
      <c r="Q3" s="93"/>
      <c r="R3" s="93"/>
      <c r="S3" s="14"/>
      <c r="T3" s="95" t="s">
        <v>15</v>
      </c>
      <c r="U3" s="96"/>
      <c r="V3" s="97"/>
      <c r="W3" s="98"/>
      <c r="X3" s="99"/>
      <c r="Y3" s="161" t="s">
        <v>16</v>
      </c>
      <c r="Z3" s="743"/>
      <c r="AA3" s="743"/>
      <c r="AB3" s="781"/>
      <c r="AC3" s="782"/>
      <c r="AD3" s="783" t="s">
        <v>17</v>
      </c>
      <c r="AE3" s="784"/>
      <c r="AF3" s="784"/>
      <c r="AG3" s="785"/>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786" t="s">
        <v>20</v>
      </c>
      <c r="B6" s="743"/>
      <c r="C6" s="787"/>
      <c r="D6" s="786" t="s">
        <v>21</v>
      </c>
      <c r="E6" s="743"/>
      <c r="F6" s="743"/>
      <c r="G6" s="743"/>
      <c r="H6" s="788"/>
      <c r="I6" s="743"/>
      <c r="J6" s="743"/>
      <c r="K6" s="743"/>
      <c r="L6" s="789" t="s">
        <v>22</v>
      </c>
      <c r="M6" s="743"/>
      <c r="N6" s="743"/>
      <c r="O6" s="743"/>
      <c r="P6" s="743"/>
      <c r="Q6" s="743"/>
      <c r="R6" s="743"/>
      <c r="S6" s="787"/>
      <c r="T6" s="790"/>
      <c r="U6" s="743"/>
      <c r="V6" s="743"/>
      <c r="W6" s="743"/>
      <c r="X6" s="743"/>
      <c r="Y6" s="743"/>
      <c r="Z6" s="743"/>
      <c r="AA6" s="787"/>
      <c r="AB6" s="791"/>
      <c r="AC6" s="740"/>
      <c r="AD6" s="740"/>
      <c r="AE6" s="740"/>
      <c r="AF6" s="740"/>
      <c r="AG6" s="579"/>
    </row>
    <row r="7" spans="1:38" ht="22.35" customHeight="1" x14ac:dyDescent="0.2">
      <c r="A7" s="786" t="s">
        <v>23</v>
      </c>
      <c r="B7" s="743"/>
      <c r="C7" s="743"/>
      <c r="D7" s="743"/>
      <c r="E7" s="743"/>
      <c r="F7" s="743"/>
      <c r="G7" s="743"/>
      <c r="H7" s="743"/>
      <c r="I7" s="743"/>
      <c r="J7" s="743"/>
      <c r="K7" s="787"/>
      <c r="L7" s="153" t="s">
        <v>24</v>
      </c>
      <c r="M7" s="14"/>
      <c r="N7" s="14"/>
      <c r="O7" s="14"/>
      <c r="P7" s="14"/>
      <c r="Q7" s="14"/>
      <c r="R7" s="14"/>
      <c r="S7" s="14"/>
      <c r="T7" s="14"/>
      <c r="U7" s="743"/>
      <c r="V7" s="743"/>
      <c r="W7" s="743"/>
      <c r="X7" s="743"/>
      <c r="Y7" s="743"/>
      <c r="Z7" s="743"/>
      <c r="AA7" s="743"/>
      <c r="AB7" s="792"/>
      <c r="AC7" s="743"/>
      <c r="AD7" s="743"/>
      <c r="AE7" s="743"/>
      <c r="AF7" s="743"/>
      <c r="AG7" s="787"/>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793" t="s">
        <v>28</v>
      </c>
      <c r="B11" s="794" t="s">
        <v>29</v>
      </c>
      <c r="C11" s="795">
        <v>1</v>
      </c>
      <c r="D11" s="796">
        <v>2</v>
      </c>
      <c r="E11" s="796">
        <v>3</v>
      </c>
      <c r="F11" s="796">
        <v>4</v>
      </c>
      <c r="G11" s="796">
        <v>5</v>
      </c>
      <c r="H11" s="796">
        <v>6</v>
      </c>
      <c r="I11" s="795">
        <v>7</v>
      </c>
      <c r="J11" s="795">
        <v>8</v>
      </c>
      <c r="K11" s="796">
        <v>9</v>
      </c>
      <c r="L11" s="796">
        <v>10</v>
      </c>
      <c r="M11" s="796">
        <v>11</v>
      </c>
      <c r="N11" s="796">
        <v>12</v>
      </c>
      <c r="O11" s="795">
        <v>13</v>
      </c>
      <c r="P11" s="795">
        <v>14</v>
      </c>
      <c r="Q11" s="795">
        <v>15</v>
      </c>
      <c r="R11" s="796">
        <v>16</v>
      </c>
      <c r="S11" s="796">
        <v>17</v>
      </c>
      <c r="T11" s="796">
        <v>18</v>
      </c>
      <c r="U11" s="796">
        <v>19</v>
      </c>
      <c r="V11" s="796">
        <v>20</v>
      </c>
      <c r="W11" s="795">
        <v>21</v>
      </c>
      <c r="X11" s="795">
        <v>22</v>
      </c>
      <c r="Y11" s="796">
        <v>23</v>
      </c>
      <c r="Z11" s="796">
        <v>24</v>
      </c>
      <c r="AA11" s="796">
        <v>25</v>
      </c>
      <c r="AB11" s="795">
        <v>26</v>
      </c>
      <c r="AC11" s="796">
        <v>27</v>
      </c>
      <c r="AD11" s="795">
        <v>28</v>
      </c>
      <c r="AE11" s="795">
        <v>29</v>
      </c>
      <c r="AF11" s="796">
        <v>30</v>
      </c>
      <c r="AG11" s="797">
        <v>31</v>
      </c>
      <c r="AH11" s="173"/>
      <c r="AI11" s="174"/>
      <c r="AJ11" s="798" t="s">
        <v>30</v>
      </c>
    </row>
    <row r="12" spans="1:38" ht="22.35" customHeight="1" x14ac:dyDescent="0.2">
      <c r="A12" s="799">
        <v>8500</v>
      </c>
      <c r="B12" s="733" t="s">
        <v>31</v>
      </c>
      <c r="C12" s="800"/>
      <c r="D12" s="800" t="s">
        <v>32</v>
      </c>
      <c r="E12" s="800" t="s">
        <v>32</v>
      </c>
      <c r="F12" s="801" t="s">
        <v>32</v>
      </c>
      <c r="G12" s="802" t="s">
        <v>32</v>
      </c>
      <c r="H12" s="800" t="s">
        <v>32</v>
      </c>
      <c r="I12" s="803"/>
      <c r="J12" s="800"/>
      <c r="K12" s="800" t="s">
        <v>32</v>
      </c>
      <c r="L12" s="802" t="s">
        <v>32</v>
      </c>
      <c r="M12" s="801" t="s">
        <v>32</v>
      </c>
      <c r="N12" s="801" t="s">
        <v>32</v>
      </c>
      <c r="O12" s="800"/>
      <c r="P12" s="800"/>
      <c r="Q12" s="800"/>
      <c r="R12" s="800" t="s">
        <v>32</v>
      </c>
      <c r="S12" s="800" t="s">
        <v>32</v>
      </c>
      <c r="T12" s="801" t="s">
        <v>32</v>
      </c>
      <c r="U12" s="801" t="s">
        <v>32</v>
      </c>
      <c r="V12" s="801" t="s">
        <v>32</v>
      </c>
      <c r="W12" s="801"/>
      <c r="X12" s="801"/>
      <c r="Y12" s="804" t="s">
        <v>32</v>
      </c>
      <c r="Z12" s="804" t="s">
        <v>32</v>
      </c>
      <c r="AA12" s="801" t="s">
        <v>32</v>
      </c>
      <c r="AB12" s="801"/>
      <c r="AC12" s="800" t="s">
        <v>32</v>
      </c>
      <c r="AD12" s="800"/>
      <c r="AE12" s="800"/>
      <c r="AF12" s="800" t="s">
        <v>32</v>
      </c>
      <c r="AG12" s="613" t="s">
        <v>32</v>
      </c>
      <c r="AH12" s="179"/>
      <c r="AI12" s="179"/>
      <c r="AJ12" s="798">
        <v>160.33000000000001</v>
      </c>
    </row>
    <row r="13" spans="1:38" ht="22.35" customHeight="1" x14ac:dyDescent="0.2">
      <c r="A13" s="805" t="s">
        <v>33</v>
      </c>
      <c r="B13" s="806"/>
      <c r="C13" s="806"/>
      <c r="D13" s="806"/>
      <c r="E13" s="806"/>
      <c r="F13" s="806"/>
      <c r="G13" s="806"/>
      <c r="H13" s="806"/>
      <c r="I13" s="806"/>
      <c r="J13" s="806"/>
      <c r="K13" s="806"/>
      <c r="L13" s="806"/>
      <c r="M13" s="806"/>
      <c r="N13" s="806"/>
      <c r="O13" s="806"/>
      <c r="P13" s="806"/>
      <c r="Q13" s="806"/>
      <c r="R13" s="806"/>
      <c r="S13" s="806"/>
      <c r="T13" s="806"/>
      <c r="U13" s="806"/>
      <c r="V13" s="806"/>
      <c r="W13" s="806"/>
      <c r="X13" s="806"/>
      <c r="Y13" s="806"/>
      <c r="Z13" s="806"/>
      <c r="AA13" s="806"/>
      <c r="AB13" s="806"/>
      <c r="AC13" s="806"/>
      <c r="AD13" s="806"/>
      <c r="AE13" s="806"/>
      <c r="AF13" s="806"/>
      <c r="AG13" s="807"/>
      <c r="AH13" s="177"/>
      <c r="AI13" s="177"/>
    </row>
    <row r="14" spans="1:38" ht="22.35" customHeight="1" x14ac:dyDescent="0.2">
      <c r="A14" s="808">
        <v>8546</v>
      </c>
      <c r="B14" s="733" t="s">
        <v>34</v>
      </c>
      <c r="C14" s="809" t="s">
        <v>35</v>
      </c>
      <c r="D14" s="809" t="s">
        <v>36</v>
      </c>
      <c r="E14" s="810" t="s">
        <v>36</v>
      </c>
      <c r="F14" s="810" t="s">
        <v>36</v>
      </c>
      <c r="G14" s="810" t="s">
        <v>36</v>
      </c>
      <c r="H14" s="811" t="s">
        <v>36</v>
      </c>
      <c r="I14" s="811"/>
      <c r="J14" s="811"/>
      <c r="K14" s="812">
        <v>1</v>
      </c>
      <c r="L14" s="813">
        <v>1</v>
      </c>
      <c r="M14" s="814">
        <v>1</v>
      </c>
      <c r="N14" s="809">
        <v>1</v>
      </c>
      <c r="O14" s="809">
        <v>1</v>
      </c>
      <c r="P14" s="815"/>
      <c r="Q14" s="815"/>
      <c r="R14" s="811">
        <v>2</v>
      </c>
      <c r="S14" s="816">
        <v>2</v>
      </c>
      <c r="T14" s="815">
        <v>2</v>
      </c>
      <c r="U14" s="815">
        <v>2</v>
      </c>
      <c r="V14" s="811">
        <v>2</v>
      </c>
      <c r="W14" s="811" t="s">
        <v>37</v>
      </c>
      <c r="X14" s="811" t="s">
        <v>37</v>
      </c>
      <c r="Y14" s="817" t="s">
        <v>36</v>
      </c>
      <c r="Z14" s="813" t="s">
        <v>36</v>
      </c>
      <c r="AA14" s="817" t="s">
        <v>36</v>
      </c>
      <c r="AB14" s="811" t="s">
        <v>36</v>
      </c>
      <c r="AC14" s="817" t="s">
        <v>36</v>
      </c>
      <c r="AD14" s="815"/>
      <c r="AE14" s="811"/>
      <c r="AF14" s="811">
        <v>4</v>
      </c>
      <c r="AG14" s="818">
        <v>4</v>
      </c>
      <c r="AH14" s="179"/>
      <c r="AI14" s="179"/>
    </row>
    <row r="15" spans="1:38" ht="22.35" customHeight="1" x14ac:dyDescent="0.2">
      <c r="A15" s="808">
        <v>8546</v>
      </c>
      <c r="B15" s="819" t="s">
        <v>38</v>
      </c>
      <c r="C15" s="812"/>
      <c r="D15" s="820">
        <v>4</v>
      </c>
      <c r="E15" s="820">
        <v>4</v>
      </c>
      <c r="F15" s="820">
        <v>4</v>
      </c>
      <c r="G15" s="821">
        <v>4</v>
      </c>
      <c r="H15" s="820">
        <v>4</v>
      </c>
      <c r="I15" s="820" t="s">
        <v>35</v>
      </c>
      <c r="J15" s="820" t="s">
        <v>35</v>
      </c>
      <c r="K15" s="820" t="s">
        <v>36</v>
      </c>
      <c r="L15" s="820" t="s">
        <v>39</v>
      </c>
      <c r="M15" s="811" t="s">
        <v>36</v>
      </c>
      <c r="N15" s="811" t="s">
        <v>36</v>
      </c>
      <c r="O15" s="811" t="s">
        <v>36</v>
      </c>
      <c r="P15" s="811"/>
      <c r="Q15" s="811"/>
      <c r="R15" s="811">
        <v>1</v>
      </c>
      <c r="S15" s="811">
        <v>1</v>
      </c>
      <c r="T15" s="811">
        <v>1</v>
      </c>
      <c r="U15" s="811">
        <v>1</v>
      </c>
      <c r="V15" s="811">
        <v>1</v>
      </c>
      <c r="W15" s="811"/>
      <c r="X15" s="811"/>
      <c r="Y15" s="811">
        <v>2</v>
      </c>
      <c r="Z15" s="811">
        <v>2</v>
      </c>
      <c r="AA15" s="811">
        <v>2</v>
      </c>
      <c r="AB15" s="811">
        <v>2</v>
      </c>
      <c r="AC15" s="811">
        <v>2</v>
      </c>
      <c r="AD15" s="822" t="s">
        <v>37</v>
      </c>
      <c r="AE15" s="811" t="s">
        <v>37</v>
      </c>
      <c r="AF15" s="811" t="s">
        <v>36</v>
      </c>
      <c r="AG15" s="818" t="s">
        <v>36</v>
      </c>
      <c r="AH15" s="179"/>
      <c r="AI15" s="179"/>
      <c r="AL15" t="s">
        <v>0</v>
      </c>
    </row>
    <row r="16" spans="1:38" ht="22.35" customHeight="1" x14ac:dyDescent="0.2">
      <c r="A16" s="808">
        <v>8546</v>
      </c>
      <c r="B16" s="823" t="s">
        <v>40</v>
      </c>
      <c r="C16" s="821"/>
      <c r="D16" s="824">
        <v>2</v>
      </c>
      <c r="E16" s="824">
        <v>2</v>
      </c>
      <c r="F16" s="824">
        <v>2</v>
      </c>
      <c r="G16" s="824">
        <v>2</v>
      </c>
      <c r="H16" s="824">
        <v>2</v>
      </c>
      <c r="I16" s="825" t="s">
        <v>37</v>
      </c>
      <c r="J16" s="824" t="s">
        <v>37</v>
      </c>
      <c r="K16" s="824" t="s">
        <v>36</v>
      </c>
      <c r="L16" s="824" t="s">
        <v>36</v>
      </c>
      <c r="M16" s="824" t="s">
        <v>36</v>
      </c>
      <c r="N16" s="821" t="s">
        <v>36</v>
      </c>
      <c r="O16" s="821" t="s">
        <v>36</v>
      </c>
      <c r="P16" s="821"/>
      <c r="Q16" s="821"/>
      <c r="R16" s="820">
        <v>4</v>
      </c>
      <c r="S16" s="820">
        <v>4</v>
      </c>
      <c r="T16" s="820">
        <v>4</v>
      </c>
      <c r="U16" s="820">
        <v>4</v>
      </c>
      <c r="V16" s="820">
        <v>4</v>
      </c>
      <c r="W16" s="820" t="s">
        <v>35</v>
      </c>
      <c r="X16" s="820" t="s">
        <v>35</v>
      </c>
      <c r="Y16" s="821" t="s">
        <v>36</v>
      </c>
      <c r="Z16" s="821" t="s">
        <v>36</v>
      </c>
      <c r="AA16" s="821" t="s">
        <v>36</v>
      </c>
      <c r="AB16" s="821" t="s">
        <v>36</v>
      </c>
      <c r="AC16" s="821" t="s">
        <v>36</v>
      </c>
      <c r="AD16" s="824"/>
      <c r="AE16" s="824"/>
      <c r="AF16" s="824">
        <v>1</v>
      </c>
      <c r="AG16" s="826">
        <v>1</v>
      </c>
      <c r="AH16" s="179"/>
      <c r="AI16" s="179"/>
    </row>
    <row r="17" spans="1:41" ht="22.35" customHeight="1" x14ac:dyDescent="0.2">
      <c r="A17" s="808">
        <v>8546</v>
      </c>
      <c r="B17" s="819" t="s">
        <v>41</v>
      </c>
      <c r="C17" s="811"/>
      <c r="D17" s="812">
        <v>1</v>
      </c>
      <c r="E17" s="811">
        <v>1</v>
      </c>
      <c r="F17" s="815">
        <v>1</v>
      </c>
      <c r="G17" s="813">
        <v>1</v>
      </c>
      <c r="H17" s="811">
        <v>1</v>
      </c>
      <c r="I17" s="812"/>
      <c r="J17" s="813"/>
      <c r="K17" s="811">
        <v>2</v>
      </c>
      <c r="L17" s="811">
        <v>2</v>
      </c>
      <c r="M17" s="809">
        <v>2</v>
      </c>
      <c r="N17" s="809">
        <v>2</v>
      </c>
      <c r="O17" s="809">
        <v>2</v>
      </c>
      <c r="P17" s="809" t="s">
        <v>37</v>
      </c>
      <c r="Q17" s="809" t="s">
        <v>37</v>
      </c>
      <c r="R17" s="809" t="s">
        <v>36</v>
      </c>
      <c r="S17" s="809" t="s">
        <v>36</v>
      </c>
      <c r="T17" s="811" t="s">
        <v>36</v>
      </c>
      <c r="U17" s="811" t="s">
        <v>36</v>
      </c>
      <c r="V17" s="811" t="s">
        <v>36</v>
      </c>
      <c r="W17" s="817"/>
      <c r="X17" s="817"/>
      <c r="Y17" s="811">
        <v>4</v>
      </c>
      <c r="Z17" s="811">
        <v>4</v>
      </c>
      <c r="AA17" s="827">
        <v>4</v>
      </c>
      <c r="AB17" s="827">
        <v>4</v>
      </c>
      <c r="AC17" s="827">
        <v>4</v>
      </c>
      <c r="AD17" s="827" t="s">
        <v>0</v>
      </c>
      <c r="AE17" s="827" t="s">
        <v>0</v>
      </c>
      <c r="AF17" s="827" t="s">
        <v>32</v>
      </c>
      <c r="AG17" s="827">
        <v>1</v>
      </c>
      <c r="AH17" s="179"/>
      <c r="AI17" s="179"/>
    </row>
    <row r="18" spans="1:41" ht="22.35" customHeight="1" x14ac:dyDescent="0.2">
      <c r="A18" s="808">
        <v>8546</v>
      </c>
      <c r="B18" s="823" t="s">
        <v>42</v>
      </c>
      <c r="C18" s="812" t="s">
        <v>37</v>
      </c>
      <c r="D18" s="828" t="s">
        <v>36</v>
      </c>
      <c r="E18" s="828" t="s">
        <v>36</v>
      </c>
      <c r="F18" s="811" t="s">
        <v>36</v>
      </c>
      <c r="G18" s="811" t="s">
        <v>36</v>
      </c>
      <c r="H18" s="811" t="s">
        <v>36</v>
      </c>
      <c r="I18" s="811"/>
      <c r="J18" s="815"/>
      <c r="K18" s="815">
        <v>4</v>
      </c>
      <c r="L18" s="811">
        <v>4</v>
      </c>
      <c r="M18" s="815">
        <v>4</v>
      </c>
      <c r="N18" s="815">
        <v>4</v>
      </c>
      <c r="O18" s="811">
        <v>4</v>
      </c>
      <c r="P18" s="815" t="s">
        <v>35</v>
      </c>
      <c r="Q18" s="815" t="s">
        <v>35</v>
      </c>
      <c r="R18" s="815" t="s">
        <v>36</v>
      </c>
      <c r="S18" s="815" t="s">
        <v>36</v>
      </c>
      <c r="T18" s="815" t="s">
        <v>36</v>
      </c>
      <c r="U18" s="814" t="s">
        <v>36</v>
      </c>
      <c r="V18" s="814" t="s">
        <v>36</v>
      </c>
      <c r="W18" s="811"/>
      <c r="X18" s="811"/>
      <c r="Y18" s="811">
        <v>1</v>
      </c>
      <c r="Z18" s="811">
        <v>1</v>
      </c>
      <c r="AA18" s="811">
        <v>1</v>
      </c>
      <c r="AB18" s="811">
        <v>1</v>
      </c>
      <c r="AC18" s="829">
        <v>1</v>
      </c>
      <c r="AD18" s="811"/>
      <c r="AE18" s="811"/>
      <c r="AF18" s="811">
        <v>2</v>
      </c>
      <c r="AG18" s="818">
        <v>2</v>
      </c>
      <c r="AH18" s="179"/>
      <c r="AI18" s="179"/>
    </row>
    <row r="19" spans="1:41" ht="22.35" customHeight="1" thickBot="1" x14ac:dyDescent="0.25">
      <c r="A19" s="830" t="s">
        <v>43</v>
      </c>
      <c r="B19" s="831"/>
      <c r="C19" s="832"/>
      <c r="D19" s="832"/>
      <c r="E19" s="832"/>
      <c r="F19" s="832"/>
      <c r="G19" s="832"/>
      <c r="H19" s="832"/>
      <c r="I19" s="832"/>
      <c r="J19" s="832"/>
      <c r="K19" s="832"/>
      <c r="L19" s="832"/>
      <c r="M19" s="832"/>
      <c r="N19" s="832"/>
      <c r="O19" s="832"/>
      <c r="P19" s="832"/>
      <c r="Q19" s="832"/>
      <c r="R19" s="832"/>
      <c r="S19" s="832"/>
      <c r="T19" s="832"/>
      <c r="U19" s="832"/>
      <c r="V19" s="832"/>
      <c r="W19" s="832"/>
      <c r="X19" s="832"/>
      <c r="Y19" s="832"/>
      <c r="Z19" s="832"/>
      <c r="AA19" s="832"/>
      <c r="AB19" s="832"/>
      <c r="AC19" s="832"/>
      <c r="AD19" s="832"/>
      <c r="AE19" s="832"/>
      <c r="AF19" s="832"/>
      <c r="AG19" s="833"/>
      <c r="AH19" s="177"/>
      <c r="AI19" s="177"/>
      <c r="AJ19" s="798" t="s">
        <v>30</v>
      </c>
      <c r="AK19" s="798" t="s">
        <v>44</v>
      </c>
      <c r="AL19" s="798" t="s">
        <v>45</v>
      </c>
      <c r="AM19" s="798" t="s">
        <v>46</v>
      </c>
      <c r="AN19" s="798" t="s">
        <v>47</v>
      </c>
      <c r="AO19" s="798" t="s">
        <v>48</v>
      </c>
    </row>
    <row r="20" spans="1:41" ht="22.35" customHeight="1" x14ac:dyDescent="0.2">
      <c r="A20" s="834">
        <v>8500</v>
      </c>
      <c r="B20" s="835" t="s">
        <v>49</v>
      </c>
      <c r="C20" s="836"/>
      <c r="D20" s="814" t="s">
        <v>50</v>
      </c>
      <c r="E20" s="836" t="s">
        <v>32</v>
      </c>
      <c r="F20" s="836" t="s">
        <v>32</v>
      </c>
      <c r="G20" s="836" t="s">
        <v>32</v>
      </c>
      <c r="H20" s="836" t="s">
        <v>32</v>
      </c>
      <c r="I20" s="837"/>
      <c r="J20" s="836"/>
      <c r="K20" s="836" t="s">
        <v>32</v>
      </c>
      <c r="L20" s="836" t="s">
        <v>32</v>
      </c>
      <c r="M20" s="836" t="s">
        <v>32</v>
      </c>
      <c r="N20" s="836" t="s">
        <v>32</v>
      </c>
      <c r="O20" s="836"/>
      <c r="P20" s="836"/>
      <c r="Q20" s="836"/>
      <c r="R20" s="836" t="s">
        <v>32</v>
      </c>
      <c r="S20" s="836" t="s">
        <v>32</v>
      </c>
      <c r="T20" s="836" t="s">
        <v>32</v>
      </c>
      <c r="U20" s="838" t="s">
        <v>32</v>
      </c>
      <c r="V20" s="839" t="s">
        <v>32</v>
      </c>
      <c r="W20" s="836"/>
      <c r="X20" s="836"/>
      <c r="Y20" s="840" t="s">
        <v>51</v>
      </c>
      <c r="Z20" s="841" t="s">
        <v>32</v>
      </c>
      <c r="AA20" s="841" t="s">
        <v>32</v>
      </c>
      <c r="AB20" s="842"/>
      <c r="AC20" s="843" t="s">
        <v>32</v>
      </c>
      <c r="AD20" s="836"/>
      <c r="AE20" s="836"/>
      <c r="AF20" s="836">
        <v>1</v>
      </c>
      <c r="AG20" s="844" t="s">
        <v>32</v>
      </c>
      <c r="AH20" s="179"/>
      <c r="AI20" s="179"/>
      <c r="AJ20" s="845">
        <f>$AJ$12</f>
        <v>160.33000000000001</v>
      </c>
      <c r="AK20" s="845"/>
      <c r="AL20" s="845">
        <f>IF(AJ20="","",SUM(AJ20:AK20))</f>
        <v>160.33000000000001</v>
      </c>
      <c r="AM20" s="846">
        <f>IF(AJ20="","",AL20-AJ20)</f>
        <v>0</v>
      </c>
      <c r="AN20" s="846">
        <f>IF(AM20="","",AM20+AO20)</f>
        <v>0</v>
      </c>
      <c r="AO20" s="845"/>
    </row>
    <row r="21" spans="1:41" ht="22.35" customHeight="1" x14ac:dyDescent="0.2">
      <c r="A21" s="847">
        <v>8500</v>
      </c>
      <c r="B21" s="492" t="s">
        <v>52</v>
      </c>
      <c r="C21" s="493"/>
      <c r="D21" s="813">
        <v>2</v>
      </c>
      <c r="E21" s="816">
        <v>2</v>
      </c>
      <c r="F21" s="815">
        <v>2</v>
      </c>
      <c r="G21" s="815">
        <v>2</v>
      </c>
      <c r="H21" s="811">
        <v>2</v>
      </c>
      <c r="I21" s="811" t="s">
        <v>37</v>
      </c>
      <c r="J21" s="811" t="s">
        <v>37</v>
      </c>
      <c r="K21" s="493" t="s">
        <v>36</v>
      </c>
      <c r="L21" s="494" t="s">
        <v>36</v>
      </c>
      <c r="M21" s="495" t="s">
        <v>36</v>
      </c>
      <c r="N21" s="495" t="s">
        <v>36</v>
      </c>
      <c r="O21" s="493" t="s">
        <v>53</v>
      </c>
      <c r="P21" s="493" t="s">
        <v>53</v>
      </c>
      <c r="Q21" s="493" t="s">
        <v>53</v>
      </c>
      <c r="R21" s="815">
        <v>4</v>
      </c>
      <c r="S21" s="815">
        <v>4</v>
      </c>
      <c r="T21" s="815">
        <v>4</v>
      </c>
      <c r="U21" s="815">
        <v>4</v>
      </c>
      <c r="V21" s="811">
        <v>4</v>
      </c>
      <c r="W21" s="815" t="s">
        <v>35</v>
      </c>
      <c r="X21" s="815" t="s">
        <v>35</v>
      </c>
      <c r="Y21" s="848" t="s">
        <v>36</v>
      </c>
      <c r="Z21" s="848" t="s">
        <v>36</v>
      </c>
      <c r="AA21" s="848" t="s">
        <v>36</v>
      </c>
      <c r="AB21" s="496"/>
      <c r="AC21" s="497">
        <v>69</v>
      </c>
      <c r="AD21" s="497" t="s">
        <v>35</v>
      </c>
      <c r="AE21" s="497" t="s">
        <v>35</v>
      </c>
      <c r="AF21" s="497" t="s">
        <v>36</v>
      </c>
      <c r="AG21" s="849" t="s">
        <v>36</v>
      </c>
      <c r="AH21" s="179"/>
      <c r="AI21" s="179"/>
      <c r="AJ21" s="845">
        <v>175.25</v>
      </c>
      <c r="AK21" s="845">
        <v>6.25</v>
      </c>
      <c r="AL21" s="845">
        <f>IF(AJ21="","",SUM(AJ21:AK21))</f>
        <v>181.5</v>
      </c>
      <c r="AM21" s="846">
        <f>IF(AJ21="","",AL21-AJ21)</f>
        <v>6.25</v>
      </c>
      <c r="AN21" s="846">
        <f>IF(AM21="","",AM21+AO21)</f>
        <v>33.53</v>
      </c>
      <c r="AO21" s="845">
        <v>27.28</v>
      </c>
    </row>
    <row r="22" spans="1:41" ht="22.35" customHeight="1" x14ac:dyDescent="0.2">
      <c r="A22" s="847">
        <v>8500</v>
      </c>
      <c r="B22" s="733" t="s">
        <v>54</v>
      </c>
      <c r="C22" s="800">
        <v>26</v>
      </c>
      <c r="D22" s="850">
        <v>1</v>
      </c>
      <c r="E22" s="850">
        <v>1</v>
      </c>
      <c r="F22" s="850">
        <v>1</v>
      </c>
      <c r="G22" s="850">
        <v>1</v>
      </c>
      <c r="H22" s="850">
        <v>1</v>
      </c>
      <c r="I22" s="314"/>
      <c r="J22" s="851"/>
      <c r="K22" s="852">
        <v>2</v>
      </c>
      <c r="L22" s="852">
        <v>2</v>
      </c>
      <c r="M22" s="853">
        <v>2</v>
      </c>
      <c r="N22" s="853">
        <v>2</v>
      </c>
      <c r="O22" s="810" t="s">
        <v>32</v>
      </c>
      <c r="P22" s="853" t="s">
        <v>37</v>
      </c>
      <c r="Q22" s="853" t="s">
        <v>37</v>
      </c>
      <c r="R22" s="810" t="s">
        <v>36</v>
      </c>
      <c r="S22" s="810" t="s">
        <v>36</v>
      </c>
      <c r="T22" s="810" t="s">
        <v>36</v>
      </c>
      <c r="U22" s="810" t="s">
        <v>36</v>
      </c>
      <c r="V22" s="809">
        <v>7</v>
      </c>
      <c r="W22" s="809" t="s">
        <v>0</v>
      </c>
      <c r="X22" s="809" t="s">
        <v>0</v>
      </c>
      <c r="Y22" s="854">
        <v>2</v>
      </c>
      <c r="Z22" s="848" t="s">
        <v>36</v>
      </c>
      <c r="AA22" s="801" t="s">
        <v>36</v>
      </c>
      <c r="AB22" s="801" t="s">
        <v>53</v>
      </c>
      <c r="AC22" s="855" t="s">
        <v>50</v>
      </c>
      <c r="AD22" s="801"/>
      <c r="AE22" s="801">
        <v>26</v>
      </c>
      <c r="AF22" s="498" t="s">
        <v>32</v>
      </c>
      <c r="AG22" s="856" t="s">
        <v>36</v>
      </c>
      <c r="AH22" s="179"/>
      <c r="AI22" s="179"/>
      <c r="AJ22" s="845">
        <v>166.25</v>
      </c>
      <c r="AK22" s="845">
        <v>7</v>
      </c>
      <c r="AL22" s="845">
        <f>IF(AJ22="","",SUM(AJ22:AK22))</f>
        <v>173.25</v>
      </c>
      <c r="AM22" s="846">
        <f>IF(AJ22="","",AL22-AJ22)</f>
        <v>7</v>
      </c>
      <c r="AN22" s="846">
        <f t="shared" ref="AN22:AN23" si="0">IF(AM22="","",AM22+AO22)</f>
        <v>-18.32</v>
      </c>
      <c r="AO22" s="845">
        <v>-25.32</v>
      </c>
    </row>
    <row r="23" spans="1:41" ht="22.35" customHeight="1" x14ac:dyDescent="0.2">
      <c r="A23" s="847"/>
      <c r="B23" s="634" t="s">
        <v>55</v>
      </c>
      <c r="C23" s="801"/>
      <c r="D23" s="857" t="s">
        <v>32</v>
      </c>
      <c r="E23" s="857" t="s">
        <v>32</v>
      </c>
      <c r="F23" s="857" t="s">
        <v>32</v>
      </c>
      <c r="G23" s="857" t="s">
        <v>32</v>
      </c>
      <c r="H23" s="857" t="s">
        <v>32</v>
      </c>
      <c r="I23" s="801"/>
      <c r="J23" s="801"/>
      <c r="K23" s="858" t="s">
        <v>32</v>
      </c>
      <c r="L23" s="858" t="s">
        <v>32</v>
      </c>
      <c r="M23" s="858" t="s">
        <v>32</v>
      </c>
      <c r="N23" s="858" t="s">
        <v>32</v>
      </c>
      <c r="O23" s="801"/>
      <c r="P23" s="801"/>
      <c r="Q23" s="801"/>
      <c r="R23" s="858" t="s">
        <v>32</v>
      </c>
      <c r="S23" s="859" t="s">
        <v>32</v>
      </c>
      <c r="T23" s="859" t="s">
        <v>32</v>
      </c>
      <c r="U23" s="859" t="s">
        <v>32</v>
      </c>
      <c r="V23" s="859" t="s">
        <v>32</v>
      </c>
      <c r="W23" s="801"/>
      <c r="X23" s="801"/>
      <c r="Y23" s="859" t="s">
        <v>32</v>
      </c>
      <c r="Z23" s="859" t="s">
        <v>32</v>
      </c>
      <c r="AA23" s="859" t="s">
        <v>32</v>
      </c>
      <c r="AB23" s="801"/>
      <c r="AC23" s="859" t="s">
        <v>32</v>
      </c>
      <c r="AD23" s="801"/>
      <c r="AE23" s="801"/>
      <c r="AF23" s="859" t="s">
        <v>32</v>
      </c>
      <c r="AG23" s="860" t="s">
        <v>32</v>
      </c>
      <c r="AJ23" s="845">
        <f t="shared" ref="AJ23" si="1">$AJ$12</f>
        <v>160.33000000000001</v>
      </c>
      <c r="AK23" s="845"/>
      <c r="AL23" s="845">
        <f t="shared" ref="AL23" si="2">IF(AJ23="","",SUM(AJ23:AK23))</f>
        <v>160.33000000000001</v>
      </c>
      <c r="AM23" s="846">
        <f t="shared" ref="AM23" si="3">IF(AJ23="","",AL23-AJ23)</f>
        <v>0</v>
      </c>
      <c r="AN23" s="846">
        <f t="shared" si="0"/>
        <v>0</v>
      </c>
      <c r="AO23" s="845"/>
    </row>
    <row r="24" spans="1:41" ht="22.35" customHeight="1" thickBot="1" x14ac:dyDescent="0.25">
      <c r="A24" s="861"/>
      <c r="B24" s="862" t="s">
        <v>56</v>
      </c>
      <c r="C24" s="863"/>
      <c r="D24" s="863" t="s">
        <v>32</v>
      </c>
      <c r="E24" s="863" t="s">
        <v>32</v>
      </c>
      <c r="F24" s="863" t="s">
        <v>32</v>
      </c>
      <c r="G24" s="863" t="s">
        <v>32</v>
      </c>
      <c r="H24" s="863" t="s">
        <v>32</v>
      </c>
      <c r="I24" s="863"/>
      <c r="J24" s="863"/>
      <c r="K24" s="863" t="s">
        <v>32</v>
      </c>
      <c r="L24" s="863" t="s">
        <v>32</v>
      </c>
      <c r="M24" s="863" t="s">
        <v>32</v>
      </c>
      <c r="N24" s="864" t="s">
        <v>32</v>
      </c>
      <c r="O24" s="864"/>
      <c r="P24" s="864"/>
      <c r="Q24" s="865"/>
      <c r="R24" s="864" t="s">
        <v>32</v>
      </c>
      <c r="S24" s="863" t="s">
        <v>32</v>
      </c>
      <c r="T24" s="863" t="s">
        <v>32</v>
      </c>
      <c r="U24" s="864" t="s">
        <v>32</v>
      </c>
      <c r="V24" s="864" t="s">
        <v>32</v>
      </c>
      <c r="W24" s="864"/>
      <c r="X24" s="863"/>
      <c r="Y24" s="864" t="s">
        <v>32</v>
      </c>
      <c r="Z24" s="863" t="s">
        <v>32</v>
      </c>
      <c r="AA24" s="863" t="s">
        <v>32</v>
      </c>
      <c r="AB24" s="863"/>
      <c r="AC24" s="866" t="s">
        <v>32</v>
      </c>
      <c r="AD24" s="863"/>
      <c r="AE24" s="863"/>
      <c r="AF24" s="863" t="s">
        <v>32</v>
      </c>
      <c r="AG24" s="867" t="s">
        <v>32</v>
      </c>
    </row>
    <row r="25" spans="1:41" ht="22.35" customHeight="1" x14ac:dyDescent="0.2">
      <c r="A25" s="363"/>
      <c r="D25">
        <v>69</v>
      </c>
      <c r="E25" t="s">
        <v>0</v>
      </c>
      <c r="G25" t="s">
        <v>0</v>
      </c>
      <c r="H25" t="s">
        <v>0</v>
      </c>
      <c r="I25" t="s">
        <v>57</v>
      </c>
      <c r="K25" t="s">
        <v>0</v>
      </c>
      <c r="L25" t="s">
        <v>0</v>
      </c>
      <c r="M25" t="s">
        <v>0</v>
      </c>
      <c r="N25" s="220" t="s">
        <v>0</v>
      </c>
      <c r="P25">
        <v>89</v>
      </c>
      <c r="R25" s="809">
        <v>3</v>
      </c>
      <c r="S25" s="809">
        <v>3</v>
      </c>
      <c r="T25" s="809" t="s">
        <v>0</v>
      </c>
      <c r="U25" s="809" t="s">
        <v>0</v>
      </c>
      <c r="V25" s="809" t="s">
        <v>0</v>
      </c>
      <c r="W25" s="809" t="s">
        <v>0</v>
      </c>
      <c r="X25" s="809" t="s">
        <v>0</v>
      </c>
      <c r="Y25" s="315" t="s">
        <v>58</v>
      </c>
      <c r="Z25" s="315"/>
      <c r="AA25" s="315" t="s">
        <v>59</v>
      </c>
      <c r="AB25" s="183"/>
      <c r="AC25" s="199">
        <v>89</v>
      </c>
      <c r="AG25" t="s">
        <v>0</v>
      </c>
    </row>
    <row r="26" spans="1:41" ht="22.35" customHeight="1" x14ac:dyDescent="0.2">
      <c r="A26" s="291"/>
      <c r="N26" t="s">
        <v>0</v>
      </c>
      <c r="O26" t="s">
        <v>0</v>
      </c>
      <c r="V26" t="s">
        <v>0</v>
      </c>
      <c r="Y26">
        <v>22</v>
      </c>
      <c r="Z26">
        <v>22</v>
      </c>
      <c r="AA26">
        <v>22</v>
      </c>
      <c r="AC26" t="s">
        <v>0</v>
      </c>
    </row>
    <row r="27" spans="1:41" ht="22.35" customHeight="1" x14ac:dyDescent="0.2">
      <c r="A27" s="291"/>
      <c r="Y27" s="815"/>
      <c r="Z27" s="868" t="s">
        <v>0</v>
      </c>
      <c r="AA27" s="814"/>
      <c r="AB27" s="868" t="s">
        <v>0</v>
      </c>
      <c r="AC27" s="868" t="s">
        <v>32</v>
      </c>
      <c r="AD27" s="868" t="s">
        <v>0</v>
      </c>
      <c r="AE27" s="801"/>
      <c r="AF27" s="828" t="s">
        <v>0</v>
      </c>
      <c r="AG27" s="828" t="s">
        <v>0</v>
      </c>
    </row>
    <row r="28" spans="1:41" ht="22.35" customHeight="1" x14ac:dyDescent="0.2">
      <c r="A28" s="291"/>
      <c r="AA28" s="199" t="s">
        <v>60</v>
      </c>
      <c r="AC28" t="s">
        <v>0</v>
      </c>
    </row>
    <row r="29" spans="1:41" ht="22.35" customHeight="1" x14ac:dyDescent="0.2">
      <c r="A29" s="291"/>
      <c r="AC29">
        <v>21</v>
      </c>
      <c r="AD29">
        <v>21</v>
      </c>
    </row>
    <row r="30" spans="1:41" ht="12.75" customHeight="1" thickBot="1" x14ac:dyDescent="0.25">
      <c r="A30" s="158" t="s">
        <v>61</v>
      </c>
      <c r="Z30" s="72"/>
      <c r="AA30" s="72"/>
      <c r="AB30" s="72"/>
      <c r="AC30" s="72"/>
      <c r="AD30" s="72"/>
      <c r="AE30" s="72"/>
      <c r="AF30" s="72"/>
      <c r="AG30" s="72"/>
      <c r="AK30" s="1"/>
    </row>
    <row r="31" spans="1:41" ht="28.5" customHeight="1" x14ac:dyDescent="0.2">
      <c r="A31" s="869" t="s">
        <v>62</v>
      </c>
      <c r="B31" s="870"/>
      <c r="C31" s="870"/>
      <c r="D31" s="871" t="s">
        <v>63</v>
      </c>
      <c r="E31" s="872"/>
      <c r="F31" s="872"/>
      <c r="G31" s="872"/>
      <c r="H31" s="872"/>
      <c r="I31" s="872"/>
      <c r="J31" s="872"/>
      <c r="K31" s="872"/>
      <c r="L31" s="872" t="s">
        <v>64</v>
      </c>
      <c r="M31" s="873" t="s">
        <v>65</v>
      </c>
      <c r="N31" s="872"/>
      <c r="O31" s="872"/>
      <c r="P31" s="872"/>
      <c r="Q31" s="872"/>
      <c r="R31" s="872"/>
      <c r="S31" s="874"/>
      <c r="T31" s="4927" t="s">
        <v>66</v>
      </c>
      <c r="U31" s="4928"/>
      <c r="V31" s="4928"/>
      <c r="W31" s="4928"/>
      <c r="X31" s="4928"/>
      <c r="Y31" s="4928"/>
      <c r="Z31" s="4929"/>
      <c r="AA31" s="875" t="s">
        <v>67</v>
      </c>
      <c r="AB31" s="876"/>
      <c r="AC31" s="876"/>
      <c r="AD31" s="876"/>
      <c r="AE31" s="876"/>
      <c r="AF31" s="876"/>
      <c r="AG31" s="877"/>
      <c r="AK31" s="1"/>
    </row>
    <row r="32" spans="1:41" ht="22.35" customHeight="1" x14ac:dyDescent="0.2">
      <c r="A32" s="878" t="s">
        <v>68</v>
      </c>
      <c r="B32" s="740"/>
      <c r="C32" s="740"/>
      <c r="D32" s="879" t="s">
        <v>69</v>
      </c>
      <c r="E32" s="880"/>
      <c r="F32" s="743"/>
      <c r="G32" s="743"/>
      <c r="H32" s="743"/>
      <c r="I32" s="743"/>
      <c r="J32" s="743"/>
      <c r="K32" s="743"/>
      <c r="L32" s="787"/>
      <c r="M32" s="881" t="s">
        <v>70</v>
      </c>
      <c r="N32" s="740"/>
      <c r="O32" s="882"/>
      <c r="P32" s="740"/>
      <c r="Q32" s="740"/>
      <c r="R32" s="740"/>
      <c r="S32" s="883"/>
      <c r="T32" s="879" t="s">
        <v>71</v>
      </c>
      <c r="U32" s="743"/>
      <c r="V32" s="880"/>
      <c r="W32" s="743"/>
      <c r="X32" s="743"/>
      <c r="Y32" s="743"/>
      <c r="Z32" s="787"/>
      <c r="AA32" s="159" t="s">
        <v>72</v>
      </c>
      <c r="AD32" s="100"/>
      <c r="AG32" s="103"/>
      <c r="AK32" s="1"/>
    </row>
    <row r="33" spans="1:38" ht="22.35" customHeight="1" x14ac:dyDescent="0.2">
      <c r="A33" s="884" t="s">
        <v>73</v>
      </c>
      <c r="B33" s="743"/>
      <c r="C33" s="743"/>
      <c r="D33" s="885"/>
      <c r="E33" s="743"/>
      <c r="F33" s="743"/>
      <c r="G33" s="787"/>
      <c r="H33" s="792" t="s">
        <v>74</v>
      </c>
      <c r="I33" s="743"/>
      <c r="J33" s="743"/>
      <c r="K33" s="743"/>
      <c r="L33" s="743"/>
      <c r="M33" s="886"/>
      <c r="N33" s="743"/>
      <c r="O33" s="743"/>
      <c r="P33" s="743"/>
      <c r="Q33" s="743"/>
      <c r="R33" s="743"/>
      <c r="S33" s="743"/>
      <c r="T33" s="885"/>
      <c r="U33" s="158" t="s">
        <v>75</v>
      </c>
      <c r="AA33" s="882"/>
      <c r="AB33" s="740"/>
      <c r="AC33" s="740"/>
      <c r="AD33" s="740"/>
      <c r="AE33" s="740"/>
      <c r="AF33" s="740"/>
      <c r="AG33" s="887"/>
      <c r="AK33" s="64"/>
    </row>
    <row r="34" spans="1:38" ht="22.35" customHeight="1" thickBot="1" x14ac:dyDescent="0.25">
      <c r="A34" s="631" t="s">
        <v>76</v>
      </c>
      <c r="B34" s="734"/>
      <c r="C34" s="734"/>
      <c r="D34" s="888"/>
      <c r="E34" s="734"/>
      <c r="F34" s="734"/>
      <c r="G34" s="889"/>
      <c r="H34" s="890" t="s">
        <v>77</v>
      </c>
      <c r="I34" s="889"/>
      <c r="J34" s="734"/>
      <c r="K34" s="734"/>
      <c r="L34" s="734"/>
      <c r="M34" s="891"/>
      <c r="N34" s="734"/>
      <c r="O34" s="734"/>
      <c r="P34" s="734"/>
      <c r="Q34" s="892"/>
      <c r="R34" s="892"/>
      <c r="S34" s="892"/>
      <c r="T34" s="888"/>
      <c r="U34" s="893" t="s">
        <v>78</v>
      </c>
      <c r="V34" s="734"/>
      <c r="W34" s="734"/>
      <c r="X34" s="734"/>
      <c r="Y34" s="734"/>
      <c r="Z34" s="734"/>
      <c r="AA34" s="734"/>
      <c r="AB34" s="734"/>
      <c r="AC34" s="734"/>
      <c r="AD34" s="734"/>
      <c r="AE34" s="734"/>
      <c r="AF34" s="734"/>
      <c r="AG34" s="894"/>
      <c r="AJ34" s="183"/>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895" t="s">
        <v>28</v>
      </c>
      <c r="B36" s="748" t="s">
        <v>29</v>
      </c>
      <c r="C36" s="795">
        <v>1</v>
      </c>
      <c r="D36" s="796">
        <v>2</v>
      </c>
      <c r="E36" s="796">
        <v>3</v>
      </c>
      <c r="F36" s="796">
        <v>4</v>
      </c>
      <c r="G36" s="796">
        <v>5</v>
      </c>
      <c r="H36" s="796">
        <v>6</v>
      </c>
      <c r="I36" s="795">
        <v>7</v>
      </c>
      <c r="J36" s="795">
        <v>8</v>
      </c>
      <c r="K36" s="796">
        <v>9</v>
      </c>
      <c r="L36" s="796">
        <v>10</v>
      </c>
      <c r="M36" s="796">
        <v>11</v>
      </c>
      <c r="N36" s="796">
        <v>12</v>
      </c>
      <c r="O36" s="795">
        <v>13</v>
      </c>
      <c r="P36" s="795">
        <v>14</v>
      </c>
      <c r="Q36" s="795">
        <v>15</v>
      </c>
      <c r="R36" s="796">
        <v>16</v>
      </c>
      <c r="S36" s="796">
        <v>17</v>
      </c>
      <c r="T36" s="796">
        <v>18</v>
      </c>
      <c r="U36" s="796">
        <v>19</v>
      </c>
      <c r="V36" s="796">
        <v>20</v>
      </c>
      <c r="W36" s="795">
        <v>21</v>
      </c>
      <c r="X36" s="795">
        <v>22</v>
      </c>
      <c r="Y36" s="796">
        <v>23</v>
      </c>
      <c r="Z36" s="796">
        <v>24</v>
      </c>
      <c r="AA36" s="796">
        <v>25</v>
      </c>
      <c r="AB36" s="795">
        <v>26</v>
      </c>
      <c r="AC36" s="796">
        <v>27</v>
      </c>
      <c r="AD36" s="795">
        <v>28</v>
      </c>
      <c r="AE36" s="795">
        <v>29</v>
      </c>
      <c r="AF36" s="796">
        <v>30</v>
      </c>
      <c r="AG36" s="797">
        <v>31</v>
      </c>
      <c r="AH36" s="173"/>
      <c r="AI36" s="174"/>
      <c r="AL36" t="s">
        <v>0</v>
      </c>
    </row>
    <row r="37" spans="1:38" ht="22.35" customHeight="1" x14ac:dyDescent="0.2">
      <c r="A37" s="896">
        <v>1</v>
      </c>
      <c r="B37" s="897" t="s">
        <v>79</v>
      </c>
      <c r="C37" s="898"/>
      <c r="D37" s="899">
        <v>9</v>
      </c>
      <c r="E37" s="900">
        <v>9</v>
      </c>
      <c r="F37" s="900">
        <v>9</v>
      </c>
      <c r="G37" s="900">
        <v>9</v>
      </c>
      <c r="H37" s="900">
        <v>9</v>
      </c>
      <c r="I37" s="900" t="s">
        <v>80</v>
      </c>
      <c r="J37" s="899" t="s">
        <v>81</v>
      </c>
      <c r="K37" s="900" t="s">
        <v>36</v>
      </c>
      <c r="L37" s="900" t="s">
        <v>36</v>
      </c>
      <c r="M37" s="900" t="s">
        <v>36</v>
      </c>
      <c r="N37" s="900" t="s">
        <v>36</v>
      </c>
      <c r="O37" s="899" t="s">
        <v>36</v>
      </c>
      <c r="P37" s="900" t="s">
        <v>82</v>
      </c>
      <c r="Q37" s="901" t="s">
        <v>83</v>
      </c>
      <c r="R37" s="899">
        <v>6</v>
      </c>
      <c r="S37" s="900">
        <v>6</v>
      </c>
      <c r="T37" s="900">
        <v>6</v>
      </c>
      <c r="U37" s="900">
        <v>6</v>
      </c>
      <c r="V37" s="900">
        <v>6</v>
      </c>
      <c r="W37" s="900"/>
      <c r="X37" s="901"/>
      <c r="Y37" s="898" t="s">
        <v>36</v>
      </c>
      <c r="Z37" s="898" t="s">
        <v>36</v>
      </c>
      <c r="AA37" s="898" t="s">
        <v>36</v>
      </c>
      <c r="AB37" s="901" t="s">
        <v>36</v>
      </c>
      <c r="AC37" s="902" t="s">
        <v>50</v>
      </c>
      <c r="AD37" s="901"/>
      <c r="AE37" s="900"/>
      <c r="AF37" s="900">
        <v>5</v>
      </c>
      <c r="AG37" s="903">
        <v>5</v>
      </c>
      <c r="AH37" s="178"/>
      <c r="AI37" s="179"/>
    </row>
    <row r="38" spans="1:38" ht="22.35" customHeight="1" x14ac:dyDescent="0.2">
      <c r="A38" s="904">
        <v>6</v>
      </c>
      <c r="B38" s="733" t="s">
        <v>84</v>
      </c>
      <c r="C38" s="810"/>
      <c r="D38" s="809">
        <v>10</v>
      </c>
      <c r="E38" s="809">
        <v>10</v>
      </c>
      <c r="F38" s="810">
        <v>10</v>
      </c>
      <c r="G38" s="810">
        <v>10</v>
      </c>
      <c r="H38" s="810">
        <v>10</v>
      </c>
      <c r="I38" s="809" t="s">
        <v>81</v>
      </c>
      <c r="J38" s="809" t="s">
        <v>81</v>
      </c>
      <c r="K38" s="809" t="s">
        <v>36</v>
      </c>
      <c r="L38" s="810" t="s">
        <v>36</v>
      </c>
      <c r="M38" s="810" t="s">
        <v>36</v>
      </c>
      <c r="N38" s="810" t="s">
        <v>36</v>
      </c>
      <c r="O38" s="809" t="s">
        <v>36</v>
      </c>
      <c r="P38" s="809" t="s">
        <v>57</v>
      </c>
      <c r="Q38" s="809" t="s">
        <v>57</v>
      </c>
      <c r="R38" s="809">
        <v>7</v>
      </c>
      <c r="S38" s="809">
        <v>7</v>
      </c>
      <c r="T38" s="809">
        <v>7</v>
      </c>
      <c r="U38" s="809">
        <v>7</v>
      </c>
      <c r="V38" s="809">
        <v>7</v>
      </c>
      <c r="W38" s="809"/>
      <c r="X38" s="809"/>
      <c r="Y38" s="809">
        <v>4</v>
      </c>
      <c r="Z38" s="809">
        <v>4</v>
      </c>
      <c r="AA38" s="809">
        <v>4</v>
      </c>
      <c r="AB38" s="809">
        <v>4</v>
      </c>
      <c r="AC38" s="809">
        <v>4</v>
      </c>
      <c r="AD38" s="809"/>
      <c r="AE38" s="809"/>
      <c r="AF38" s="810">
        <v>3</v>
      </c>
      <c r="AG38" s="810">
        <v>3</v>
      </c>
      <c r="AH38" s="178"/>
      <c r="AI38" s="179"/>
    </row>
    <row r="39" spans="1:38" ht="22.35" customHeight="1" thickBot="1" x14ac:dyDescent="0.25">
      <c r="A39" s="673">
        <v>11</v>
      </c>
      <c r="B39" s="905" t="s">
        <v>85</v>
      </c>
      <c r="C39" s="796"/>
      <c r="D39" s="906" t="s">
        <v>86</v>
      </c>
      <c r="E39" s="906" t="s">
        <v>86</v>
      </c>
      <c r="F39" s="906" t="s">
        <v>32</v>
      </c>
      <c r="G39" s="906" t="s">
        <v>86</v>
      </c>
      <c r="H39" s="906" t="s">
        <v>86</v>
      </c>
      <c r="I39" s="907" t="s">
        <v>0</v>
      </c>
      <c r="J39" s="908" t="s">
        <v>0</v>
      </c>
      <c r="K39" s="796" t="s">
        <v>32</v>
      </c>
      <c r="L39" s="796" t="s">
        <v>32</v>
      </c>
      <c r="M39" s="909" t="s">
        <v>32</v>
      </c>
      <c r="N39" s="796" t="s">
        <v>32</v>
      </c>
      <c r="O39" s="907" t="s">
        <v>0</v>
      </c>
      <c r="P39" s="908" t="s">
        <v>0</v>
      </c>
      <c r="Q39" s="796" t="s">
        <v>0</v>
      </c>
      <c r="R39" s="796" t="s">
        <v>32</v>
      </c>
      <c r="S39" s="796" t="s">
        <v>32</v>
      </c>
      <c r="T39" s="909" t="s">
        <v>32</v>
      </c>
      <c r="U39" s="809">
        <v>3</v>
      </c>
      <c r="V39" s="809" t="s">
        <v>87</v>
      </c>
      <c r="W39" s="910"/>
      <c r="X39" s="910"/>
      <c r="Y39" s="911" t="s">
        <v>36</v>
      </c>
      <c r="Z39" s="911" t="s">
        <v>36</v>
      </c>
      <c r="AA39" s="911" t="s">
        <v>36</v>
      </c>
      <c r="AB39" s="911" t="s">
        <v>36</v>
      </c>
      <c r="AC39" s="911" t="s">
        <v>36</v>
      </c>
      <c r="AD39" s="911"/>
      <c r="AE39" s="911"/>
      <c r="AF39" s="911">
        <v>1</v>
      </c>
      <c r="AG39" s="912">
        <v>1</v>
      </c>
      <c r="AH39" s="178"/>
      <c r="AI39" s="179"/>
    </row>
    <row r="40" spans="1:38" ht="22.35" customHeight="1" x14ac:dyDescent="0.2">
      <c r="A40" s="896">
        <v>2</v>
      </c>
      <c r="B40" s="172" t="s">
        <v>88</v>
      </c>
      <c r="C40" s="913" t="s">
        <v>81</v>
      </c>
      <c r="D40" s="913" t="s">
        <v>36</v>
      </c>
      <c r="E40" s="913" t="s">
        <v>36</v>
      </c>
      <c r="F40" s="913" t="s">
        <v>36</v>
      </c>
      <c r="G40" s="913" t="s">
        <v>36</v>
      </c>
      <c r="H40" s="900" t="s">
        <v>36</v>
      </c>
      <c r="I40" s="900" t="s">
        <v>82</v>
      </c>
      <c r="J40" s="899" t="s">
        <v>83</v>
      </c>
      <c r="K40" s="899">
        <v>6</v>
      </c>
      <c r="L40" s="900">
        <v>6</v>
      </c>
      <c r="M40" s="900">
        <v>6</v>
      </c>
      <c r="N40" s="900">
        <v>6</v>
      </c>
      <c r="O40" s="901">
        <v>6</v>
      </c>
      <c r="P40" s="900"/>
      <c r="Q40" s="901"/>
      <c r="R40" s="901" t="s">
        <v>36</v>
      </c>
      <c r="S40" s="899" t="s">
        <v>36</v>
      </c>
      <c r="T40" s="901" t="s">
        <v>36</v>
      </c>
      <c r="U40" s="901" t="s">
        <v>36</v>
      </c>
      <c r="V40" s="901" t="s">
        <v>36</v>
      </c>
      <c r="W40" s="901"/>
      <c r="X40" s="901"/>
      <c r="Y40" s="914" t="s">
        <v>89</v>
      </c>
      <c r="Z40" s="900">
        <v>5</v>
      </c>
      <c r="AA40" s="900">
        <v>5</v>
      </c>
      <c r="AB40" s="900" t="s">
        <v>90</v>
      </c>
      <c r="AC40" s="915">
        <v>5</v>
      </c>
      <c r="AD40" s="901"/>
      <c r="AE40" s="900"/>
      <c r="AF40" s="900">
        <v>10</v>
      </c>
      <c r="AG40" s="903">
        <v>10</v>
      </c>
      <c r="AH40" s="178"/>
      <c r="AI40" s="179"/>
    </row>
    <row r="41" spans="1:38" ht="22.35" customHeight="1" x14ac:dyDescent="0.2">
      <c r="A41" s="904">
        <v>7</v>
      </c>
      <c r="B41" s="819" t="s">
        <v>91</v>
      </c>
      <c r="C41" s="815" t="s">
        <v>81</v>
      </c>
      <c r="D41" s="815" t="s">
        <v>36</v>
      </c>
      <c r="E41" s="815" t="s">
        <v>36</v>
      </c>
      <c r="F41" s="815" t="s">
        <v>36</v>
      </c>
      <c r="G41" s="868" t="s">
        <v>36</v>
      </c>
      <c r="H41" s="813" t="s">
        <v>92</v>
      </c>
      <c r="I41" s="814" t="s">
        <v>35</v>
      </c>
      <c r="J41" s="828" t="s">
        <v>35</v>
      </c>
      <c r="K41" s="828">
        <v>7</v>
      </c>
      <c r="L41" s="828">
        <v>7</v>
      </c>
      <c r="M41" s="828">
        <v>7</v>
      </c>
      <c r="N41" s="828">
        <v>7</v>
      </c>
      <c r="O41" s="828">
        <v>7</v>
      </c>
      <c r="P41" s="815"/>
      <c r="Q41" s="815"/>
      <c r="R41" s="815">
        <v>4</v>
      </c>
      <c r="S41" s="815">
        <v>4</v>
      </c>
      <c r="T41" s="815">
        <v>4</v>
      </c>
      <c r="U41" s="916">
        <v>4</v>
      </c>
      <c r="V41" s="916">
        <v>4</v>
      </c>
      <c r="W41" s="916"/>
      <c r="X41" s="868"/>
      <c r="Y41" s="868">
        <v>3</v>
      </c>
      <c r="Z41" s="868">
        <v>3</v>
      </c>
      <c r="AA41" s="868">
        <v>3</v>
      </c>
      <c r="AB41" s="868">
        <v>3</v>
      </c>
      <c r="AC41" s="868">
        <v>3</v>
      </c>
      <c r="AD41" s="868"/>
      <c r="AE41" s="868"/>
      <c r="AF41" s="868">
        <v>11</v>
      </c>
      <c r="AG41" s="917">
        <v>11</v>
      </c>
      <c r="AH41" s="178"/>
      <c r="AI41" s="179"/>
    </row>
    <row r="42" spans="1:38" ht="22.35" customHeight="1" thickBot="1" x14ac:dyDescent="0.25">
      <c r="A42" s="673">
        <v>12</v>
      </c>
      <c r="B42" s="634" t="s">
        <v>93</v>
      </c>
      <c r="C42" s="907" t="s">
        <v>94</v>
      </c>
      <c r="D42" s="918" t="s">
        <v>36</v>
      </c>
      <c r="E42" s="918" t="s">
        <v>36</v>
      </c>
      <c r="F42" s="918" t="s">
        <v>36</v>
      </c>
      <c r="G42" s="918" t="s">
        <v>36</v>
      </c>
      <c r="H42" s="918" t="s">
        <v>36</v>
      </c>
      <c r="I42" s="918" t="s">
        <v>83</v>
      </c>
      <c r="J42" s="918" t="s">
        <v>83</v>
      </c>
      <c r="K42" s="918">
        <v>8</v>
      </c>
      <c r="L42" s="918">
        <v>8</v>
      </c>
      <c r="M42" s="918">
        <v>8</v>
      </c>
      <c r="N42" s="918">
        <v>8</v>
      </c>
      <c r="O42" s="918">
        <v>8</v>
      </c>
      <c r="P42" s="918"/>
      <c r="Q42" s="918"/>
      <c r="R42" s="918" t="s">
        <v>36</v>
      </c>
      <c r="S42" s="918" t="s">
        <v>36</v>
      </c>
      <c r="T42" s="918" t="s">
        <v>36</v>
      </c>
      <c r="U42" s="918" t="s">
        <v>36</v>
      </c>
      <c r="V42" s="918" t="s">
        <v>36</v>
      </c>
      <c r="W42" s="918"/>
      <c r="X42" s="918"/>
      <c r="Y42" s="908">
        <v>1</v>
      </c>
      <c r="Z42" s="908">
        <v>1</v>
      </c>
      <c r="AA42" s="908">
        <v>1</v>
      </c>
      <c r="AB42" s="908">
        <v>1</v>
      </c>
      <c r="AC42" s="796" t="s">
        <v>95</v>
      </c>
      <c r="AD42" s="919" t="s">
        <v>80</v>
      </c>
      <c r="AE42" s="919" t="s">
        <v>81</v>
      </c>
      <c r="AF42" s="796">
        <v>9</v>
      </c>
      <c r="AG42" s="920">
        <v>9</v>
      </c>
      <c r="AH42" s="178"/>
      <c r="AI42" s="179"/>
    </row>
    <row r="43" spans="1:38" ht="22.35" customHeight="1" x14ac:dyDescent="0.2">
      <c r="A43" s="896">
        <v>3</v>
      </c>
      <c r="B43" s="921" t="s">
        <v>96</v>
      </c>
      <c r="C43" s="899" t="s">
        <v>83</v>
      </c>
      <c r="D43" s="901">
        <v>6</v>
      </c>
      <c r="E43" s="900">
        <v>6</v>
      </c>
      <c r="F43" s="900">
        <v>6</v>
      </c>
      <c r="G43" s="900">
        <v>6</v>
      </c>
      <c r="H43" s="900">
        <v>6</v>
      </c>
      <c r="I43" s="900"/>
      <c r="J43" s="901"/>
      <c r="K43" s="901" t="s">
        <v>36</v>
      </c>
      <c r="L43" s="901" t="s">
        <v>36</v>
      </c>
      <c r="M43" s="901" t="s">
        <v>36</v>
      </c>
      <c r="N43" s="901" t="s">
        <v>36</v>
      </c>
      <c r="O43" s="901" t="s">
        <v>36</v>
      </c>
      <c r="P43" s="901"/>
      <c r="Q43" s="901"/>
      <c r="R43" s="922">
        <v>5</v>
      </c>
      <c r="S43" s="922">
        <v>5</v>
      </c>
      <c r="T43" s="922">
        <v>5</v>
      </c>
      <c r="U43" s="922">
        <v>5</v>
      </c>
      <c r="V43" s="923">
        <v>5</v>
      </c>
      <c r="W43" s="901"/>
      <c r="X43" s="899"/>
      <c r="Y43" s="900">
        <v>10</v>
      </c>
      <c r="Z43" s="900">
        <v>10</v>
      </c>
      <c r="AA43" s="900">
        <v>10</v>
      </c>
      <c r="AB43" s="900">
        <v>10</v>
      </c>
      <c r="AC43" s="924">
        <v>10</v>
      </c>
      <c r="AD43" s="900" t="s">
        <v>81</v>
      </c>
      <c r="AE43" s="900" t="s">
        <v>81</v>
      </c>
      <c r="AF43" s="900" t="s">
        <v>36</v>
      </c>
      <c r="AG43" s="903" t="s">
        <v>36</v>
      </c>
      <c r="AH43" s="178"/>
      <c r="AI43" s="179"/>
    </row>
    <row r="44" spans="1:38" ht="22.35" customHeight="1" x14ac:dyDescent="0.2">
      <c r="A44" s="904">
        <v>8</v>
      </c>
      <c r="B44" s="819" t="s">
        <v>97</v>
      </c>
      <c r="C44" s="925" t="s">
        <v>57</v>
      </c>
      <c r="D44" s="816">
        <v>7</v>
      </c>
      <c r="E44" s="816">
        <v>7</v>
      </c>
      <c r="F44" s="816">
        <v>7</v>
      </c>
      <c r="G44" s="815">
        <v>7</v>
      </c>
      <c r="H44" s="815">
        <v>7</v>
      </c>
      <c r="I44" s="868"/>
      <c r="J44" s="814"/>
      <c r="K44" s="809">
        <v>4</v>
      </c>
      <c r="L44" s="809">
        <v>4</v>
      </c>
      <c r="M44" s="809">
        <v>4</v>
      </c>
      <c r="N44" s="815">
        <v>4</v>
      </c>
      <c r="O44" s="828">
        <v>4</v>
      </c>
      <c r="P44" s="828"/>
      <c r="Q44" s="828"/>
      <c r="R44" s="926">
        <v>3</v>
      </c>
      <c r="S44" s="828">
        <v>3</v>
      </c>
      <c r="T44" s="828">
        <v>3</v>
      </c>
      <c r="U44" s="828">
        <v>3</v>
      </c>
      <c r="V44" s="868">
        <v>3</v>
      </c>
      <c r="W44" s="927" t="s">
        <v>94</v>
      </c>
      <c r="X44" s="814" t="s">
        <v>0</v>
      </c>
      <c r="Y44" s="928">
        <v>11</v>
      </c>
      <c r="Z44" s="928">
        <v>11</v>
      </c>
      <c r="AA44" s="928">
        <v>11</v>
      </c>
      <c r="AB44" s="928">
        <v>11</v>
      </c>
      <c r="AC44" s="928">
        <v>11</v>
      </c>
      <c r="AD44" s="928" t="s">
        <v>94</v>
      </c>
      <c r="AE44" s="928" t="s">
        <v>94</v>
      </c>
      <c r="AF44" s="928" t="s">
        <v>36</v>
      </c>
      <c r="AG44" s="929" t="s">
        <v>36</v>
      </c>
      <c r="AH44" s="178"/>
      <c r="AI44" s="179"/>
    </row>
    <row r="45" spans="1:38" ht="22.35" customHeight="1" thickBot="1" x14ac:dyDescent="0.25">
      <c r="A45" s="673">
        <v>13</v>
      </c>
      <c r="B45" s="905" t="s">
        <v>98</v>
      </c>
      <c r="C45" s="796" t="s">
        <v>83</v>
      </c>
      <c r="D45" s="796">
        <v>8</v>
      </c>
      <c r="E45" s="908">
        <v>8</v>
      </c>
      <c r="F45" s="908">
        <v>8</v>
      </c>
      <c r="G45" s="908">
        <v>8</v>
      </c>
      <c r="H45" s="908">
        <v>8</v>
      </c>
      <c r="I45" s="908"/>
      <c r="J45" s="796"/>
      <c r="K45" s="908" t="s">
        <v>36</v>
      </c>
      <c r="L45" s="930" t="s">
        <v>36</v>
      </c>
      <c r="M45" s="908" t="s">
        <v>36</v>
      </c>
      <c r="N45" s="930" t="s">
        <v>36</v>
      </c>
      <c r="O45" s="930" t="s">
        <v>36</v>
      </c>
      <c r="P45" s="930"/>
      <c r="Q45" s="908"/>
      <c r="R45" s="908">
        <v>1</v>
      </c>
      <c r="S45" s="908">
        <v>1</v>
      </c>
      <c r="T45" s="908">
        <v>1</v>
      </c>
      <c r="U45" s="908">
        <v>1</v>
      </c>
      <c r="V45" s="908">
        <v>1</v>
      </c>
      <c r="W45" s="908"/>
      <c r="X45" s="908"/>
      <c r="Y45" s="796">
        <v>9</v>
      </c>
      <c r="Z45" s="908">
        <v>9</v>
      </c>
      <c r="AA45" s="908">
        <v>9</v>
      </c>
      <c r="AB45" s="931">
        <v>9</v>
      </c>
      <c r="AC45" s="931">
        <v>9</v>
      </c>
      <c r="AD45" s="931" t="s">
        <v>80</v>
      </c>
      <c r="AE45" s="909" t="s">
        <v>81</v>
      </c>
      <c r="AF45" s="931" t="s">
        <v>36</v>
      </c>
      <c r="AG45" s="932" t="s">
        <v>39</v>
      </c>
      <c r="AH45" s="178"/>
      <c r="AI45" s="179"/>
    </row>
    <row r="46" spans="1:38" ht="22.35" customHeight="1" x14ac:dyDescent="0.2">
      <c r="A46" s="896">
        <v>4</v>
      </c>
      <c r="B46" s="933" t="s">
        <v>99</v>
      </c>
      <c r="C46" s="810"/>
      <c r="D46" s="902" t="s">
        <v>36</v>
      </c>
      <c r="E46" s="902" t="s">
        <v>36</v>
      </c>
      <c r="F46" s="934" t="s">
        <v>36</v>
      </c>
      <c r="G46" s="902" t="s">
        <v>36</v>
      </c>
      <c r="H46" s="902" t="s">
        <v>36</v>
      </c>
      <c r="I46" s="899"/>
      <c r="J46" s="899"/>
      <c r="K46" s="934">
        <v>5</v>
      </c>
      <c r="L46" s="934">
        <v>5</v>
      </c>
      <c r="M46" s="934">
        <v>5</v>
      </c>
      <c r="N46" s="934">
        <v>5</v>
      </c>
      <c r="O46" s="899"/>
      <c r="P46" s="899"/>
      <c r="Q46" s="899"/>
      <c r="R46" s="934">
        <v>10</v>
      </c>
      <c r="S46" s="934">
        <v>10</v>
      </c>
      <c r="T46" s="900">
        <v>10</v>
      </c>
      <c r="U46" s="900">
        <v>10</v>
      </c>
      <c r="V46" s="924">
        <v>10</v>
      </c>
      <c r="W46" s="900" t="s">
        <v>81</v>
      </c>
      <c r="X46" s="900" t="s">
        <v>81</v>
      </c>
      <c r="Y46" s="899" t="s">
        <v>36</v>
      </c>
      <c r="Z46" s="898" t="s">
        <v>36</v>
      </c>
      <c r="AA46" s="898" t="s">
        <v>36</v>
      </c>
      <c r="AB46" s="900" t="s">
        <v>36</v>
      </c>
      <c r="AC46" s="898" t="s">
        <v>36</v>
      </c>
      <c r="AD46" s="900" t="s">
        <v>57</v>
      </c>
      <c r="AE46" s="901" t="s">
        <v>57</v>
      </c>
      <c r="AF46" s="900">
        <v>7</v>
      </c>
      <c r="AG46" s="935">
        <v>7</v>
      </c>
      <c r="AH46" s="178"/>
      <c r="AI46" s="179"/>
    </row>
    <row r="47" spans="1:38" ht="22.35" customHeight="1" x14ac:dyDescent="0.2">
      <c r="A47" s="904">
        <v>9</v>
      </c>
      <c r="B47" s="819" t="s">
        <v>100</v>
      </c>
      <c r="C47" s="820"/>
      <c r="D47" s="820">
        <v>4</v>
      </c>
      <c r="E47" s="820">
        <v>4</v>
      </c>
      <c r="F47" s="820">
        <v>4</v>
      </c>
      <c r="G47" s="820">
        <v>4</v>
      </c>
      <c r="H47" s="820">
        <v>4</v>
      </c>
      <c r="I47" s="820"/>
      <c r="J47" s="820" t="s">
        <v>101</v>
      </c>
      <c r="K47" s="936">
        <v>3</v>
      </c>
      <c r="L47" s="936">
        <v>3</v>
      </c>
      <c r="M47" s="936">
        <v>3</v>
      </c>
      <c r="N47" s="936">
        <v>3</v>
      </c>
      <c r="O47" s="936">
        <v>3</v>
      </c>
      <c r="P47" s="936"/>
      <c r="Q47" s="936"/>
      <c r="R47" s="936">
        <v>11</v>
      </c>
      <c r="S47" s="936">
        <v>11</v>
      </c>
      <c r="T47" s="936">
        <v>11</v>
      </c>
      <c r="U47" s="936">
        <v>11</v>
      </c>
      <c r="V47" s="936">
        <v>11</v>
      </c>
      <c r="W47" s="936" t="s">
        <v>94</v>
      </c>
      <c r="X47" s="936" t="s">
        <v>94</v>
      </c>
      <c r="Y47" s="936" t="s">
        <v>36</v>
      </c>
      <c r="Z47" s="936" t="s">
        <v>36</v>
      </c>
      <c r="AA47" s="936" t="s">
        <v>36</v>
      </c>
      <c r="AB47" s="936" t="s">
        <v>36</v>
      </c>
      <c r="AC47" s="936" t="s">
        <v>36</v>
      </c>
      <c r="AD47" s="868" t="s">
        <v>83</v>
      </c>
      <c r="AE47" s="868" t="s">
        <v>83</v>
      </c>
      <c r="AF47" s="868">
        <v>8</v>
      </c>
      <c r="AG47" s="917">
        <v>8</v>
      </c>
      <c r="AH47" s="178"/>
      <c r="AI47" s="179"/>
    </row>
    <row r="48" spans="1:38" ht="22.35" customHeight="1" thickBot="1" x14ac:dyDescent="0.25">
      <c r="A48" s="673">
        <v>14</v>
      </c>
      <c r="B48" s="905" t="s">
        <v>102</v>
      </c>
      <c r="C48" s="796"/>
      <c r="D48" s="908" t="s">
        <v>36</v>
      </c>
      <c r="E48" s="908" t="s">
        <v>36</v>
      </c>
      <c r="F48" s="908" t="s">
        <v>36</v>
      </c>
      <c r="G48" s="930" t="s">
        <v>36</v>
      </c>
      <c r="H48" s="930" t="s">
        <v>36</v>
      </c>
      <c r="I48" s="930"/>
      <c r="J48" s="908"/>
      <c r="K48" s="908">
        <v>1</v>
      </c>
      <c r="L48" s="908">
        <v>1</v>
      </c>
      <c r="M48" s="908">
        <v>1</v>
      </c>
      <c r="N48" s="908">
        <v>1</v>
      </c>
      <c r="O48" s="796">
        <v>1</v>
      </c>
      <c r="P48" s="908"/>
      <c r="Q48" s="908"/>
      <c r="R48" s="796">
        <v>9</v>
      </c>
      <c r="S48" s="908">
        <v>9</v>
      </c>
      <c r="T48" s="908">
        <v>9</v>
      </c>
      <c r="U48" s="908">
        <v>9</v>
      </c>
      <c r="V48" s="908">
        <v>9</v>
      </c>
      <c r="W48" s="908" t="s">
        <v>80</v>
      </c>
      <c r="X48" s="796" t="s">
        <v>81</v>
      </c>
      <c r="Y48" s="908" t="s">
        <v>36</v>
      </c>
      <c r="Z48" s="908" t="s">
        <v>36</v>
      </c>
      <c r="AA48" s="937" t="s">
        <v>36</v>
      </c>
      <c r="AB48" s="908" t="s">
        <v>36</v>
      </c>
      <c r="AC48" s="796" t="s">
        <v>36</v>
      </c>
      <c r="AD48" s="908" t="s">
        <v>82</v>
      </c>
      <c r="AE48" s="908" t="s">
        <v>83</v>
      </c>
      <c r="AF48" s="796">
        <v>6</v>
      </c>
      <c r="AG48" s="919">
        <v>6</v>
      </c>
      <c r="AH48" s="178"/>
      <c r="AI48" s="179"/>
    </row>
    <row r="49" spans="1:41" ht="22.35" customHeight="1" x14ac:dyDescent="0.2">
      <c r="A49" s="896">
        <v>5</v>
      </c>
      <c r="B49" s="819" t="s">
        <v>103</v>
      </c>
      <c r="C49" s="901"/>
      <c r="D49" s="938">
        <v>5</v>
      </c>
      <c r="E49" s="938">
        <v>5</v>
      </c>
      <c r="F49" s="939">
        <v>5</v>
      </c>
      <c r="G49" s="939">
        <v>5</v>
      </c>
      <c r="H49" s="939">
        <v>5</v>
      </c>
      <c r="I49" s="901"/>
      <c r="J49" s="901"/>
      <c r="K49" s="900">
        <v>10</v>
      </c>
      <c r="L49" s="900">
        <v>10</v>
      </c>
      <c r="M49" s="900">
        <v>10</v>
      </c>
      <c r="N49" s="940">
        <v>10</v>
      </c>
      <c r="O49" s="899">
        <v>10</v>
      </c>
      <c r="P49" s="900" t="s">
        <v>81</v>
      </c>
      <c r="Q49" s="900" t="s">
        <v>81</v>
      </c>
      <c r="R49" s="899" t="s">
        <v>36</v>
      </c>
      <c r="S49" s="900" t="s">
        <v>36</v>
      </c>
      <c r="T49" s="900" t="s">
        <v>36</v>
      </c>
      <c r="U49" s="901" t="s">
        <v>36</v>
      </c>
      <c r="V49" s="901" t="s">
        <v>36</v>
      </c>
      <c r="W49" s="901" t="s">
        <v>57</v>
      </c>
      <c r="X49" s="901" t="s">
        <v>57</v>
      </c>
      <c r="Y49" s="940">
        <v>7</v>
      </c>
      <c r="Z49" s="901">
        <v>7</v>
      </c>
      <c r="AA49" s="901">
        <v>7</v>
      </c>
      <c r="AB49" s="901">
        <v>7</v>
      </c>
      <c r="AC49" s="901">
        <v>7</v>
      </c>
      <c r="AD49" s="900"/>
      <c r="AE49" s="900"/>
      <c r="AF49" s="899">
        <v>4</v>
      </c>
      <c r="AG49" s="941">
        <v>4</v>
      </c>
      <c r="AH49" s="178"/>
      <c r="AI49" s="179"/>
    </row>
    <row r="50" spans="1:41" ht="22.35" customHeight="1" x14ac:dyDescent="0.2">
      <c r="A50" s="904">
        <v>10</v>
      </c>
      <c r="B50" s="819" t="s">
        <v>104</v>
      </c>
      <c r="C50" s="868"/>
      <c r="D50" s="868">
        <v>3</v>
      </c>
      <c r="E50" s="868">
        <v>3</v>
      </c>
      <c r="F50" s="815">
        <v>3</v>
      </c>
      <c r="G50" s="809">
        <v>3</v>
      </c>
      <c r="H50" s="809">
        <v>3</v>
      </c>
      <c r="I50" s="809"/>
      <c r="J50" s="809"/>
      <c r="K50" s="809">
        <v>11</v>
      </c>
      <c r="L50" s="809">
        <v>11</v>
      </c>
      <c r="M50" s="809">
        <v>11</v>
      </c>
      <c r="N50" s="809">
        <v>11</v>
      </c>
      <c r="O50" s="809">
        <v>11</v>
      </c>
      <c r="P50" s="809" t="s">
        <v>94</v>
      </c>
      <c r="Q50" s="809" t="s">
        <v>94</v>
      </c>
      <c r="R50" s="809" t="s">
        <v>36</v>
      </c>
      <c r="S50" s="809" t="s">
        <v>36</v>
      </c>
      <c r="T50" s="809" t="s">
        <v>36</v>
      </c>
      <c r="U50" s="809" t="s">
        <v>36</v>
      </c>
      <c r="V50" s="809" t="s">
        <v>36</v>
      </c>
      <c r="W50" s="815" t="s">
        <v>83</v>
      </c>
      <c r="X50" s="868" t="s">
        <v>83</v>
      </c>
      <c r="Y50" s="814">
        <v>8</v>
      </c>
      <c r="Z50" s="868">
        <v>8</v>
      </c>
      <c r="AA50" s="868">
        <v>8</v>
      </c>
      <c r="AB50" s="868">
        <v>8</v>
      </c>
      <c r="AC50" s="868">
        <v>8</v>
      </c>
      <c r="AD50" s="868"/>
      <c r="AE50" s="868"/>
      <c r="AF50" s="868" t="s">
        <v>36</v>
      </c>
      <c r="AG50" s="917" t="s">
        <v>36</v>
      </c>
      <c r="AH50" s="178"/>
      <c r="AI50" s="179"/>
    </row>
    <row r="51" spans="1:41" ht="22.35" customHeight="1" thickBot="1" x14ac:dyDescent="0.25">
      <c r="A51" s="673">
        <v>15</v>
      </c>
      <c r="B51" s="905" t="s">
        <v>105</v>
      </c>
      <c r="C51" s="908"/>
      <c r="D51" s="911">
        <v>1</v>
      </c>
      <c r="E51" s="911">
        <v>1</v>
      </c>
      <c r="F51" s="911">
        <v>1</v>
      </c>
      <c r="G51" s="911">
        <v>1</v>
      </c>
      <c r="H51" s="911">
        <v>1</v>
      </c>
      <c r="I51" s="911"/>
      <c r="J51" s="911"/>
      <c r="K51" s="911">
        <v>9</v>
      </c>
      <c r="L51" s="911">
        <v>9</v>
      </c>
      <c r="M51" s="911">
        <v>9</v>
      </c>
      <c r="N51" s="911">
        <v>9</v>
      </c>
      <c r="O51" s="911">
        <v>9</v>
      </c>
      <c r="P51" s="911" t="s">
        <v>80</v>
      </c>
      <c r="Q51" s="911" t="s">
        <v>81</v>
      </c>
      <c r="R51" s="911" t="s">
        <v>36</v>
      </c>
      <c r="S51" s="911" t="s">
        <v>36</v>
      </c>
      <c r="T51" s="911" t="s">
        <v>36</v>
      </c>
      <c r="U51" s="911" t="s">
        <v>36</v>
      </c>
      <c r="V51" s="911" t="s">
        <v>36</v>
      </c>
      <c r="W51" s="911" t="s">
        <v>82</v>
      </c>
      <c r="X51" s="911" t="s">
        <v>83</v>
      </c>
      <c r="Y51" s="796">
        <v>6</v>
      </c>
      <c r="Z51" s="908">
        <v>6</v>
      </c>
      <c r="AA51" s="908">
        <v>6</v>
      </c>
      <c r="AB51" s="908">
        <v>6</v>
      </c>
      <c r="AC51" s="908">
        <v>6</v>
      </c>
      <c r="AD51" s="908"/>
      <c r="AE51" s="796"/>
      <c r="AF51" s="930" t="s">
        <v>36</v>
      </c>
      <c r="AG51" s="635" t="s">
        <v>36</v>
      </c>
      <c r="AH51" s="178"/>
      <c r="AI51" s="179"/>
    </row>
    <row r="52" spans="1:41"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1"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1" ht="22.35" customHeight="1" x14ac:dyDescent="0.2">
      <c r="A54" s="753" t="s">
        <v>28</v>
      </c>
      <c r="B54" s="753"/>
      <c r="C54" s="741"/>
      <c r="D54" s="753" t="s">
        <v>107</v>
      </c>
      <c r="E54" s="751"/>
      <c r="F54" s="741"/>
      <c r="G54" s="753" t="s">
        <v>108</v>
      </c>
      <c r="H54" s="751"/>
      <c r="I54" s="741"/>
      <c r="J54" s="753" t="s">
        <v>109</v>
      </c>
      <c r="K54" s="751"/>
      <c r="L54" s="741"/>
      <c r="M54" s="753" t="s">
        <v>110</v>
      </c>
      <c r="N54" s="751"/>
      <c r="O54" s="741"/>
      <c r="P54" s="753" t="s">
        <v>111</v>
      </c>
      <c r="Q54" s="751"/>
      <c r="R54" s="739"/>
      <c r="S54" s="752" t="s">
        <v>112</v>
      </c>
      <c r="T54" s="751"/>
      <c r="U54" s="741"/>
      <c r="V54" s="753" t="s">
        <v>113</v>
      </c>
      <c r="W54" s="751"/>
      <c r="X54" s="942" t="s">
        <v>114</v>
      </c>
      <c r="Y54" s="751"/>
      <c r="Z54" s="751"/>
      <c r="AA54" s="943"/>
      <c r="AB54" s="781"/>
      <c r="AC54" s="781"/>
      <c r="AD54" s="781"/>
      <c r="AE54" s="781"/>
      <c r="AF54" s="781"/>
      <c r="AG54" s="782"/>
      <c r="AH54" s="1"/>
    </row>
    <row r="55" spans="1:41" ht="22.35" customHeight="1" x14ac:dyDescent="0.2">
      <c r="A55" s="738">
        <v>8517</v>
      </c>
      <c r="B55" s="944" t="s">
        <v>115</v>
      </c>
      <c r="C55" s="735" t="s">
        <v>116</v>
      </c>
      <c r="D55" s="945"/>
      <c r="E55" s="780"/>
      <c r="F55" s="735" t="s">
        <v>116</v>
      </c>
      <c r="G55" s="945"/>
      <c r="H55" s="780"/>
      <c r="I55" s="735" t="s">
        <v>116</v>
      </c>
      <c r="J55" s="945"/>
      <c r="K55" s="780"/>
      <c r="L55" s="735" t="s">
        <v>116</v>
      </c>
      <c r="M55" s="945"/>
      <c r="N55" s="780"/>
      <c r="O55" s="735" t="s">
        <v>117</v>
      </c>
      <c r="P55" s="945"/>
      <c r="Q55" s="780"/>
      <c r="R55" s="735"/>
      <c r="S55" s="945"/>
      <c r="T55" s="780"/>
      <c r="U55" s="735" t="s">
        <v>118</v>
      </c>
      <c r="V55" s="945"/>
      <c r="W55" s="780"/>
      <c r="X55" s="779"/>
      <c r="Y55" s="781"/>
      <c r="Z55" s="781"/>
      <c r="AA55" s="781"/>
      <c r="AB55" s="781"/>
      <c r="AC55" s="781"/>
      <c r="AD55" s="781"/>
      <c r="AE55" s="781"/>
      <c r="AF55" s="781"/>
      <c r="AG55" s="782"/>
      <c r="AH55" s="1"/>
    </row>
    <row r="56" spans="1:41" ht="22.35" customHeight="1" x14ac:dyDescent="0.2">
      <c r="B56" s="808" t="s">
        <v>119</v>
      </c>
      <c r="C56" s="946" t="s">
        <v>120</v>
      </c>
      <c r="D56" s="947"/>
      <c r="E56" s="580"/>
      <c r="F56" s="946" t="s">
        <v>120</v>
      </c>
      <c r="G56" s="948"/>
      <c r="H56" s="580"/>
      <c r="I56" s="735" t="s">
        <v>120</v>
      </c>
      <c r="J56" s="945"/>
      <c r="K56" s="949"/>
      <c r="L56" s="735" t="s">
        <v>120</v>
      </c>
      <c r="M56" s="945"/>
      <c r="N56" s="949"/>
      <c r="O56" s="735" t="s">
        <v>121</v>
      </c>
      <c r="P56" s="945"/>
      <c r="Q56" s="780"/>
      <c r="R56" s="950" t="s">
        <v>0</v>
      </c>
      <c r="S56" s="945"/>
      <c r="T56" s="949"/>
      <c r="U56" s="945" t="s">
        <v>0</v>
      </c>
      <c r="V56" s="945"/>
      <c r="W56" s="780"/>
      <c r="X56" s="675" t="s">
        <v>0</v>
      </c>
      <c r="Y56" s="72"/>
      <c r="Z56" s="72"/>
      <c r="AA56" s="72"/>
      <c r="AB56" s="72"/>
      <c r="AC56" s="72"/>
      <c r="AD56" s="72"/>
      <c r="AE56" s="72"/>
      <c r="AF56" s="72"/>
      <c r="AG56" s="111"/>
      <c r="AH56" s="1"/>
    </row>
    <row r="57" spans="1:41" ht="22.35" customHeight="1" x14ac:dyDescent="0.2">
      <c r="A57" s="951"/>
      <c r="B57" s="944" t="s">
        <v>122</v>
      </c>
      <c r="C57" s="946" t="s">
        <v>123</v>
      </c>
      <c r="D57" s="947"/>
      <c r="E57" s="948"/>
      <c r="F57" s="946" t="s">
        <v>123</v>
      </c>
      <c r="G57" s="947"/>
      <c r="H57" s="948"/>
      <c r="I57" s="946" t="s">
        <v>123</v>
      </c>
      <c r="J57" s="947"/>
      <c r="K57" s="948"/>
      <c r="L57" s="946" t="s">
        <v>123</v>
      </c>
      <c r="M57" s="947"/>
      <c r="N57" s="948"/>
      <c r="O57" s="946" t="s">
        <v>124</v>
      </c>
      <c r="P57" s="947"/>
      <c r="Q57" s="948"/>
      <c r="R57" s="676"/>
      <c r="S57" s="294"/>
      <c r="T57" s="580"/>
      <c r="U57" s="947"/>
      <c r="V57" s="947"/>
      <c r="W57" s="948"/>
      <c r="X57" s="779"/>
      <c r="Y57" s="781"/>
      <c r="Z57" s="781"/>
      <c r="AA57" s="781"/>
      <c r="AB57" s="781"/>
      <c r="AC57" s="781"/>
      <c r="AD57" s="781"/>
      <c r="AE57" s="781"/>
      <c r="AF57" s="781"/>
      <c r="AG57" s="782"/>
      <c r="AH57" s="1"/>
    </row>
    <row r="58" spans="1:41" ht="22.35" customHeight="1" x14ac:dyDescent="0.2">
      <c r="A58" s="753"/>
      <c r="B58" s="944"/>
      <c r="C58" s="952"/>
      <c r="D58" s="499"/>
      <c r="E58" s="500"/>
      <c r="F58" s="952"/>
      <c r="G58" s="499"/>
      <c r="H58" s="500"/>
      <c r="I58" s="952"/>
      <c r="J58" s="499"/>
      <c r="K58" s="500"/>
      <c r="L58" s="952"/>
      <c r="M58" s="499"/>
      <c r="N58" s="500"/>
      <c r="O58" s="952"/>
      <c r="P58" s="499"/>
      <c r="Q58" s="500"/>
      <c r="R58" s="952"/>
      <c r="S58" s="499"/>
      <c r="T58" s="500"/>
      <c r="U58" s="952"/>
      <c r="V58" s="499"/>
      <c r="W58" s="500"/>
      <c r="X58" s="780"/>
      <c r="Y58" s="781"/>
      <c r="Z58" s="781"/>
      <c r="AA58" s="781"/>
      <c r="AB58" s="781"/>
      <c r="AC58" s="781"/>
      <c r="AD58" s="781"/>
      <c r="AE58" s="781"/>
      <c r="AF58" s="781"/>
      <c r="AG58" s="782"/>
      <c r="AH58" s="1"/>
      <c r="AJ58" t="s">
        <v>125</v>
      </c>
    </row>
    <row r="59" spans="1:41"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1" ht="22.35" customHeight="1" thickBot="1" x14ac:dyDescent="0.25">
      <c r="A60" s="953"/>
      <c r="B60" s="954" t="s">
        <v>29</v>
      </c>
      <c r="C60" s="795">
        <v>1</v>
      </c>
      <c r="D60" s="796">
        <v>2</v>
      </c>
      <c r="E60" s="796">
        <v>3</v>
      </c>
      <c r="F60" s="796">
        <v>4</v>
      </c>
      <c r="G60" s="796">
        <v>5</v>
      </c>
      <c r="H60" s="796">
        <v>6</v>
      </c>
      <c r="I60" s="795">
        <v>7</v>
      </c>
      <c r="J60" s="795">
        <v>8</v>
      </c>
      <c r="K60" s="796">
        <v>9</v>
      </c>
      <c r="L60" s="796">
        <v>10</v>
      </c>
      <c r="M60" s="796">
        <v>11</v>
      </c>
      <c r="N60" s="796">
        <v>12</v>
      </c>
      <c r="O60" s="795">
        <v>13</v>
      </c>
      <c r="P60" s="795">
        <v>14</v>
      </c>
      <c r="Q60" s="795">
        <v>15</v>
      </c>
      <c r="R60" s="796">
        <v>16</v>
      </c>
      <c r="S60" s="796">
        <v>17</v>
      </c>
      <c r="T60" s="796">
        <v>18</v>
      </c>
      <c r="U60" s="796">
        <v>19</v>
      </c>
      <c r="V60" s="796">
        <v>20</v>
      </c>
      <c r="W60" s="795">
        <v>21</v>
      </c>
      <c r="X60" s="795">
        <v>22</v>
      </c>
      <c r="Y60" s="796">
        <v>23</v>
      </c>
      <c r="Z60" s="796">
        <v>24</v>
      </c>
      <c r="AA60" s="796">
        <v>25</v>
      </c>
      <c r="AB60" s="795">
        <v>26</v>
      </c>
      <c r="AC60" s="796">
        <v>27</v>
      </c>
      <c r="AD60" s="795">
        <v>28</v>
      </c>
      <c r="AE60" s="795">
        <v>29</v>
      </c>
      <c r="AF60" s="796">
        <v>30</v>
      </c>
      <c r="AG60" s="797">
        <v>31</v>
      </c>
      <c r="AH60" s="1"/>
      <c r="AJ60" s="798" t="s">
        <v>30</v>
      </c>
      <c r="AK60" s="798" t="s">
        <v>44</v>
      </c>
      <c r="AL60" s="798" t="s">
        <v>45</v>
      </c>
      <c r="AM60" s="798" t="s">
        <v>46</v>
      </c>
      <c r="AN60" s="798" t="s">
        <v>47</v>
      </c>
      <c r="AO60" s="798" t="s">
        <v>48</v>
      </c>
    </row>
    <row r="61" spans="1:41" ht="22.35" customHeight="1" thickBot="1" x14ac:dyDescent="0.25">
      <c r="A61" s="955"/>
      <c r="B61" s="956" t="s">
        <v>126</v>
      </c>
      <c r="C61" s="836" t="s">
        <v>0</v>
      </c>
      <c r="D61" s="899">
        <v>5</v>
      </c>
      <c r="E61" s="899">
        <v>5</v>
      </c>
      <c r="F61" s="899">
        <v>5</v>
      </c>
      <c r="G61" s="899">
        <v>5</v>
      </c>
      <c r="H61" s="836">
        <v>5</v>
      </c>
      <c r="I61" s="839" t="s">
        <v>127</v>
      </c>
      <c r="J61" s="836"/>
      <c r="K61" s="848">
        <v>25</v>
      </c>
      <c r="L61" s="848">
        <v>25</v>
      </c>
      <c r="M61" s="848">
        <v>25</v>
      </c>
      <c r="N61" s="848">
        <v>25</v>
      </c>
      <c r="O61" s="848">
        <v>3</v>
      </c>
      <c r="P61" s="957"/>
      <c r="Q61" s="957"/>
      <c r="R61" s="958" t="s">
        <v>128</v>
      </c>
      <c r="S61" s="958" t="s">
        <v>128</v>
      </c>
      <c r="T61" s="958">
        <v>26</v>
      </c>
      <c r="U61" s="958">
        <v>26</v>
      </c>
      <c r="V61" s="801">
        <v>26</v>
      </c>
      <c r="W61" s="957"/>
      <c r="X61" s="836">
        <v>26</v>
      </c>
      <c r="Y61" s="957">
        <v>26</v>
      </c>
      <c r="Z61" s="957" t="s">
        <v>128</v>
      </c>
      <c r="AA61" s="836" t="s">
        <v>128</v>
      </c>
      <c r="AB61" s="836" t="s">
        <v>127</v>
      </c>
      <c r="AC61" s="836" t="s">
        <v>128</v>
      </c>
      <c r="AD61" s="836" t="s">
        <v>127</v>
      </c>
      <c r="AE61" s="836" t="s">
        <v>127</v>
      </c>
      <c r="AF61" s="836" t="s">
        <v>36</v>
      </c>
      <c r="AG61" s="959">
        <v>5</v>
      </c>
      <c r="AH61" s="1"/>
      <c r="AJ61" s="845">
        <v>213.75</v>
      </c>
      <c r="AK61" s="845">
        <v>13</v>
      </c>
      <c r="AL61" s="845">
        <f t="shared" ref="AL61:AL72" si="4">IF(AJ61="","",SUM(AJ61:AK61))</f>
        <v>226.75</v>
      </c>
      <c r="AM61" s="846">
        <f>IF(AJ61="","",AL61-NormTid)</f>
        <v>66.419999999999987</v>
      </c>
      <c r="AN61" s="846">
        <f>IF(AM61="","",AM61+AO61)</f>
        <v>118.85</v>
      </c>
      <c r="AO61" s="845">
        <v>52.43</v>
      </c>
    </row>
    <row r="62" spans="1:41" ht="22.35" customHeight="1" thickBot="1" x14ac:dyDescent="0.25">
      <c r="A62" s="733"/>
      <c r="B62" s="733" t="s">
        <v>129</v>
      </c>
      <c r="C62" s="801" t="s">
        <v>127</v>
      </c>
      <c r="D62" s="802" t="s">
        <v>36</v>
      </c>
      <c r="E62" s="801" t="s">
        <v>36</v>
      </c>
      <c r="F62" s="960" t="s">
        <v>36</v>
      </c>
      <c r="G62" s="802" t="s">
        <v>36</v>
      </c>
      <c r="H62" s="801" t="s">
        <v>36</v>
      </c>
      <c r="I62" s="800"/>
      <c r="J62" s="800"/>
      <c r="K62" s="961">
        <v>26</v>
      </c>
      <c r="L62" s="800">
        <v>26</v>
      </c>
      <c r="M62" s="800">
        <v>26</v>
      </c>
      <c r="N62" s="800" t="s">
        <v>58</v>
      </c>
      <c r="O62" s="801" t="s">
        <v>53</v>
      </c>
      <c r="P62" s="801" t="s">
        <v>53</v>
      </c>
      <c r="Q62" s="801" t="s">
        <v>53</v>
      </c>
      <c r="R62" s="960">
        <v>5</v>
      </c>
      <c r="S62" s="960">
        <v>5</v>
      </c>
      <c r="T62" s="960">
        <v>5</v>
      </c>
      <c r="U62" s="801">
        <v>5</v>
      </c>
      <c r="V62" s="848">
        <v>5</v>
      </c>
      <c r="W62" s="802"/>
      <c r="X62" s="802"/>
      <c r="Y62" s="809">
        <v>11</v>
      </c>
      <c r="Z62" s="809">
        <v>11</v>
      </c>
      <c r="AA62" s="813">
        <v>11</v>
      </c>
      <c r="AB62" s="813">
        <v>11</v>
      </c>
      <c r="AC62" s="813">
        <v>11</v>
      </c>
      <c r="AD62" s="809" t="s">
        <v>94</v>
      </c>
      <c r="AE62" s="809" t="s">
        <v>94</v>
      </c>
      <c r="AF62" s="801" t="s">
        <v>36</v>
      </c>
      <c r="AG62" s="856" t="s">
        <v>36</v>
      </c>
      <c r="AH62" s="1"/>
      <c r="AJ62" s="845">
        <v>154.75</v>
      </c>
      <c r="AK62" s="845">
        <v>10</v>
      </c>
      <c r="AL62" s="845">
        <f>IF(AJ62="","",SUM(AJ62:AK62))</f>
        <v>164.75</v>
      </c>
      <c r="AM62" s="846">
        <f t="shared" ref="AM62:AM72" si="5">IF(AJ62="","",AL62-NormTid)</f>
        <v>4.4199999999999875</v>
      </c>
      <c r="AN62" s="846">
        <f t="shared" ref="AN62:AN72" si="6">IF(AM62="","",AM62+AO62)</f>
        <v>0.84999999999998765</v>
      </c>
      <c r="AO62" s="845">
        <v>-3.57</v>
      </c>
    </row>
    <row r="63" spans="1:41" ht="22.35" customHeight="1" x14ac:dyDescent="0.2">
      <c r="A63" s="733"/>
      <c r="B63" s="733" t="s">
        <v>130</v>
      </c>
      <c r="C63" s="800"/>
      <c r="D63" s="961" t="s">
        <v>32</v>
      </c>
      <c r="E63" s="961" t="s">
        <v>32</v>
      </c>
      <c r="F63" s="800">
        <v>25</v>
      </c>
      <c r="G63" s="961" t="s">
        <v>32</v>
      </c>
      <c r="H63" s="800">
        <v>25</v>
      </c>
      <c r="I63" s="800"/>
      <c r="J63" s="961" t="s">
        <v>0</v>
      </c>
      <c r="K63" s="800" t="s">
        <v>36</v>
      </c>
      <c r="L63" s="800" t="s">
        <v>36</v>
      </c>
      <c r="M63" s="961" t="s">
        <v>36</v>
      </c>
      <c r="N63" s="961" t="s">
        <v>36</v>
      </c>
      <c r="O63" s="961" t="s">
        <v>0</v>
      </c>
      <c r="P63" s="961" t="s">
        <v>0</v>
      </c>
      <c r="Q63" s="961" t="s">
        <v>131</v>
      </c>
      <c r="R63" s="801" t="s">
        <v>36</v>
      </c>
      <c r="S63" s="801" t="s">
        <v>36</v>
      </c>
      <c r="T63" s="801" t="s">
        <v>36</v>
      </c>
      <c r="U63" s="801">
        <v>11</v>
      </c>
      <c r="V63" s="801">
        <v>11</v>
      </c>
      <c r="W63" s="800"/>
      <c r="X63" s="800"/>
      <c r="Y63" s="962" t="s">
        <v>128</v>
      </c>
      <c r="Z63" s="962">
        <v>26</v>
      </c>
      <c r="AA63" s="962">
        <v>26</v>
      </c>
      <c r="AB63" s="899"/>
      <c r="AC63" s="962">
        <v>26</v>
      </c>
      <c r="AD63" s="899"/>
      <c r="AE63" s="899">
        <v>21</v>
      </c>
      <c r="AF63" s="800" t="s">
        <v>36</v>
      </c>
      <c r="AG63" s="311" t="s">
        <v>32</v>
      </c>
      <c r="AH63" s="1"/>
      <c r="AJ63" s="845">
        <v>129.5</v>
      </c>
      <c r="AK63" s="845">
        <v>6.75</v>
      </c>
      <c r="AL63" s="845">
        <f>IF(AJ63="","",SUM(AJ63:AK63))</f>
        <v>136.25</v>
      </c>
      <c r="AM63" s="846">
        <f t="shared" si="5"/>
        <v>-24.080000000000013</v>
      </c>
      <c r="AN63" s="846">
        <f t="shared" si="6"/>
        <v>-28.650000000000013</v>
      </c>
      <c r="AO63" s="845">
        <v>-4.57</v>
      </c>
    </row>
    <row r="64" spans="1:41" ht="22.35" customHeight="1" thickBot="1" x14ac:dyDescent="0.25">
      <c r="A64" s="733"/>
      <c r="B64" s="634" t="s">
        <v>132</v>
      </c>
      <c r="C64" s="802"/>
      <c r="D64" s="848">
        <v>25</v>
      </c>
      <c r="E64" s="848">
        <v>25</v>
      </c>
      <c r="F64" s="961" t="s">
        <v>32</v>
      </c>
      <c r="G64" s="848">
        <v>25</v>
      </c>
      <c r="H64" s="961" t="s">
        <v>32</v>
      </c>
      <c r="I64" s="961" t="s">
        <v>0</v>
      </c>
      <c r="J64" s="801"/>
      <c r="K64" s="961" t="s">
        <v>32</v>
      </c>
      <c r="L64" s="961" t="s">
        <v>32</v>
      </c>
      <c r="M64" s="801" t="s">
        <v>32</v>
      </c>
      <c r="N64" s="801">
        <v>26</v>
      </c>
      <c r="O64" s="801"/>
      <c r="P64" s="801"/>
      <c r="Q64" s="800"/>
      <c r="R64" s="961" t="s">
        <v>32</v>
      </c>
      <c r="S64" s="961" t="s">
        <v>32</v>
      </c>
      <c r="T64" s="961" t="s">
        <v>32</v>
      </c>
      <c r="U64" s="961" t="s">
        <v>32</v>
      </c>
      <c r="V64" s="958" t="s">
        <v>32</v>
      </c>
      <c r="W64" s="958" t="s">
        <v>0</v>
      </c>
      <c r="X64" s="920" t="s">
        <v>0</v>
      </c>
      <c r="Y64" s="802" t="s">
        <v>32</v>
      </c>
      <c r="Z64" s="801" t="s">
        <v>32</v>
      </c>
      <c r="AA64" s="801" t="s">
        <v>32</v>
      </c>
      <c r="AB64" s="801" t="s">
        <v>53</v>
      </c>
      <c r="AC64" s="801" t="s">
        <v>36</v>
      </c>
      <c r="AD64" s="961" t="s">
        <v>0</v>
      </c>
      <c r="AE64" s="800"/>
      <c r="AF64" s="801">
        <v>25</v>
      </c>
      <c r="AG64" s="960">
        <v>25</v>
      </c>
      <c r="AH64" s="1"/>
      <c r="AJ64" s="845">
        <v>170.25</v>
      </c>
      <c r="AK64" s="845">
        <v>5.25</v>
      </c>
      <c r="AL64" s="845">
        <f t="shared" si="4"/>
        <v>175.5</v>
      </c>
      <c r="AM64" s="846">
        <f t="shared" si="5"/>
        <v>15.169999999999987</v>
      </c>
      <c r="AN64" s="846">
        <f t="shared" si="6"/>
        <v>-59.150000000000006</v>
      </c>
      <c r="AO64" s="845">
        <v>-74.319999999999993</v>
      </c>
    </row>
    <row r="65" spans="1:41" ht="22.35" customHeight="1" x14ac:dyDescent="0.2">
      <c r="A65" s="933"/>
      <c r="B65" s="733" t="s">
        <v>133</v>
      </c>
      <c r="C65" s="800"/>
      <c r="D65" s="800" t="s">
        <v>134</v>
      </c>
      <c r="E65" s="800" t="s">
        <v>134</v>
      </c>
      <c r="F65" s="800" t="s">
        <v>134</v>
      </c>
      <c r="G65" s="800" t="s">
        <v>134</v>
      </c>
      <c r="H65" s="800" t="s">
        <v>134</v>
      </c>
      <c r="I65" s="963"/>
      <c r="J65" s="963"/>
      <c r="K65" s="800" t="s">
        <v>134</v>
      </c>
      <c r="L65" s="800" t="s">
        <v>134</v>
      </c>
      <c r="M65" s="800" t="s">
        <v>134</v>
      </c>
      <c r="N65" s="800" t="s">
        <v>134</v>
      </c>
      <c r="O65" s="800"/>
      <c r="P65" s="800"/>
      <c r="Q65" s="800"/>
      <c r="R65" s="800" t="s">
        <v>134</v>
      </c>
      <c r="S65" s="800" t="s">
        <v>134</v>
      </c>
      <c r="T65" s="800" t="s">
        <v>134</v>
      </c>
      <c r="U65" s="800" t="s">
        <v>134</v>
      </c>
      <c r="V65" s="800" t="s">
        <v>134</v>
      </c>
      <c r="W65" s="848"/>
      <c r="X65" s="848"/>
      <c r="Y65" s="800" t="s">
        <v>134</v>
      </c>
      <c r="Z65" s="964" t="s">
        <v>134</v>
      </c>
      <c r="AA65" s="964" t="s">
        <v>135</v>
      </c>
      <c r="AB65" s="965"/>
      <c r="AC65" s="965" t="s">
        <v>134</v>
      </c>
      <c r="AD65" s="800"/>
      <c r="AE65" s="800"/>
      <c r="AF65" s="800" t="s">
        <v>134</v>
      </c>
      <c r="AG65" s="800" t="s">
        <v>134</v>
      </c>
      <c r="AH65" s="1"/>
      <c r="AJ65" s="845">
        <v>163</v>
      </c>
      <c r="AK65" s="845">
        <v>0.5</v>
      </c>
      <c r="AL65" s="845">
        <f t="shared" si="4"/>
        <v>163.5</v>
      </c>
      <c r="AM65" s="846">
        <f t="shared" si="5"/>
        <v>3.1699999999999875</v>
      </c>
      <c r="AN65" s="846">
        <f t="shared" si="6"/>
        <v>-6.1500000000000128</v>
      </c>
      <c r="AO65" s="845">
        <v>-9.32</v>
      </c>
    </row>
    <row r="66" spans="1:41" ht="22.35" customHeight="1" thickBot="1" x14ac:dyDescent="0.25">
      <c r="A66" s="733"/>
      <c r="B66" s="733" t="s">
        <v>136</v>
      </c>
      <c r="C66" s="800"/>
      <c r="D66" s="800" t="s">
        <v>137</v>
      </c>
      <c r="E66" s="800" t="s">
        <v>137</v>
      </c>
      <c r="F66" s="800" t="s">
        <v>137</v>
      </c>
      <c r="G66" s="800" t="s">
        <v>137</v>
      </c>
      <c r="H66" s="800" t="s">
        <v>137</v>
      </c>
      <c r="I66" s="801"/>
      <c r="J66" s="801"/>
      <c r="K66" s="800" t="s">
        <v>137</v>
      </c>
      <c r="L66" s="800" t="s">
        <v>137</v>
      </c>
      <c r="M66" s="800" t="s">
        <v>137</v>
      </c>
      <c r="N66" s="800" t="s">
        <v>137</v>
      </c>
      <c r="O66" s="801"/>
      <c r="P66" s="801"/>
      <c r="Q66" s="801"/>
      <c r="R66" s="800" t="s">
        <v>137</v>
      </c>
      <c r="S66" s="800" t="s">
        <v>137</v>
      </c>
      <c r="T66" s="800" t="s">
        <v>137</v>
      </c>
      <c r="U66" s="800" t="s">
        <v>137</v>
      </c>
      <c r="V66" s="800" t="s">
        <v>137</v>
      </c>
      <c r="W66" s="801"/>
      <c r="X66" s="801"/>
      <c r="Y66" s="800" t="s">
        <v>137</v>
      </c>
      <c r="Z66" s="800" t="s">
        <v>137</v>
      </c>
      <c r="AA66" s="800" t="s">
        <v>137</v>
      </c>
      <c r="AB66" s="801"/>
      <c r="AC66" s="800" t="s">
        <v>137</v>
      </c>
      <c r="AD66" s="801"/>
      <c r="AE66" s="801"/>
      <c r="AF66" s="800" t="s">
        <v>137</v>
      </c>
      <c r="AG66" s="800" t="s">
        <v>137</v>
      </c>
      <c r="AH66" s="1"/>
      <c r="AJ66" s="845">
        <v>163</v>
      </c>
      <c r="AK66" s="845">
        <v>0</v>
      </c>
      <c r="AL66" s="845">
        <f t="shared" si="4"/>
        <v>163</v>
      </c>
      <c r="AM66" s="846">
        <f t="shared" si="5"/>
        <v>2.6699999999999875</v>
      </c>
      <c r="AN66" s="846">
        <f t="shared" si="6"/>
        <v>-9.4000000000000625</v>
      </c>
      <c r="AO66" s="845">
        <v>-12.07000000000005</v>
      </c>
    </row>
    <row r="67" spans="1:41" ht="22.35" customHeight="1" thickBot="1" x14ac:dyDescent="0.25">
      <c r="A67" s="733"/>
      <c r="B67" s="501" t="s">
        <v>138</v>
      </c>
      <c r="C67" s="801"/>
      <c r="D67" s="908">
        <v>11</v>
      </c>
      <c r="E67" s="908">
        <v>11</v>
      </c>
      <c r="F67" s="908">
        <v>11</v>
      </c>
      <c r="G67" s="908">
        <v>11</v>
      </c>
      <c r="H67" s="908">
        <v>11</v>
      </c>
      <c r="I67" s="907" t="s">
        <v>94</v>
      </c>
      <c r="J67" s="908" t="s">
        <v>94</v>
      </c>
      <c r="K67" s="801" t="s">
        <v>36</v>
      </c>
      <c r="L67" s="801" t="s">
        <v>36</v>
      </c>
      <c r="M67" s="801" t="s">
        <v>36</v>
      </c>
      <c r="N67" s="801" t="s">
        <v>36</v>
      </c>
      <c r="O67" s="848"/>
      <c r="P67" s="815" t="s">
        <v>83</v>
      </c>
      <c r="Q67" s="848"/>
      <c r="R67" s="851" t="s">
        <v>139</v>
      </c>
      <c r="S67" s="851" t="s">
        <v>139</v>
      </c>
      <c r="T67" s="800">
        <v>25</v>
      </c>
      <c r="U67" s="801">
        <v>25</v>
      </c>
      <c r="V67" s="801">
        <v>25</v>
      </c>
      <c r="W67" s="900" t="s">
        <v>82</v>
      </c>
      <c r="X67" s="899" t="s">
        <v>83</v>
      </c>
      <c r="Y67" s="960" t="s">
        <v>36</v>
      </c>
      <c r="Z67" s="801" t="s">
        <v>36</v>
      </c>
      <c r="AA67" s="801" t="s">
        <v>36</v>
      </c>
      <c r="AB67" s="960">
        <v>9</v>
      </c>
      <c r="AC67" s="960">
        <v>9</v>
      </c>
      <c r="AD67" s="801"/>
      <c r="AE67" s="801"/>
      <c r="AF67" s="801">
        <v>1</v>
      </c>
      <c r="AG67" s="613">
        <v>1</v>
      </c>
      <c r="AH67" s="1"/>
      <c r="AJ67" s="845">
        <v>175</v>
      </c>
      <c r="AK67" s="845">
        <v>10.75</v>
      </c>
      <c r="AL67" s="845">
        <f t="shared" si="4"/>
        <v>185.75</v>
      </c>
      <c r="AM67" s="846">
        <f t="shared" si="5"/>
        <v>25.419999999999987</v>
      </c>
      <c r="AN67" s="846">
        <f t="shared" si="6"/>
        <v>53.599999999999987</v>
      </c>
      <c r="AO67" s="845">
        <v>28.18</v>
      </c>
    </row>
    <row r="68" spans="1:41" ht="22.35" customHeight="1" x14ac:dyDescent="0.2">
      <c r="A68" s="733"/>
      <c r="B68" s="501" t="s">
        <v>140</v>
      </c>
      <c r="C68" s="801"/>
      <c r="D68" s="966" t="s">
        <v>128</v>
      </c>
      <c r="E68" s="966" t="s">
        <v>128</v>
      </c>
      <c r="F68" s="966" t="s">
        <v>128</v>
      </c>
      <c r="G68" s="966" t="s">
        <v>128</v>
      </c>
      <c r="H68" s="966" t="s">
        <v>128</v>
      </c>
      <c r="I68" s="814" t="s">
        <v>0</v>
      </c>
      <c r="J68" s="814" t="s">
        <v>127</v>
      </c>
      <c r="K68" s="801" t="s">
        <v>36</v>
      </c>
      <c r="L68" s="801" t="s">
        <v>36</v>
      </c>
      <c r="M68" s="801" t="s">
        <v>36</v>
      </c>
      <c r="N68" s="801" t="s">
        <v>36</v>
      </c>
      <c r="O68" s="960"/>
      <c r="P68" s="960"/>
      <c r="Q68" s="801">
        <v>26</v>
      </c>
      <c r="R68" s="801">
        <v>26</v>
      </c>
      <c r="S68" s="801">
        <v>26</v>
      </c>
      <c r="T68" s="647">
        <v>26</v>
      </c>
      <c r="U68" s="647">
        <v>26</v>
      </c>
      <c r="V68" s="647">
        <v>26</v>
      </c>
      <c r="W68" s="967" t="s">
        <v>0</v>
      </c>
      <c r="X68" s="967" t="s">
        <v>0</v>
      </c>
      <c r="Y68" s="859" t="s">
        <v>32</v>
      </c>
      <c r="Z68" s="859" t="s">
        <v>32</v>
      </c>
      <c r="AA68" s="859" t="s">
        <v>32</v>
      </c>
      <c r="AB68" s="859"/>
      <c r="AC68" s="859" t="s">
        <v>32</v>
      </c>
      <c r="AD68" s="859"/>
      <c r="AE68" s="859"/>
      <c r="AF68" s="859" t="s">
        <v>32</v>
      </c>
      <c r="AG68" s="968" t="s">
        <v>32</v>
      </c>
      <c r="AH68" s="1"/>
      <c r="AJ68" s="845">
        <v>161.25</v>
      </c>
      <c r="AK68" s="845">
        <v>7</v>
      </c>
      <c r="AL68" s="845">
        <f t="shared" si="4"/>
        <v>168.25</v>
      </c>
      <c r="AM68" s="846">
        <f t="shared" si="5"/>
        <v>7.9199999999999875</v>
      </c>
      <c r="AN68" s="846">
        <f>IF(AM68="","",AM68+AO68)</f>
        <v>20.099999999999987</v>
      </c>
      <c r="AO68" s="845">
        <v>12.18</v>
      </c>
    </row>
    <row r="69" spans="1:41" ht="22.35" customHeight="1" x14ac:dyDescent="0.2">
      <c r="A69" s="501"/>
      <c r="B69" s="634" t="s">
        <v>141</v>
      </c>
      <c r="C69" s="848"/>
      <c r="D69" s="859" t="s">
        <v>32</v>
      </c>
      <c r="E69" s="859" t="s">
        <v>32</v>
      </c>
      <c r="F69" s="859" t="s">
        <v>32</v>
      </c>
      <c r="G69" s="859" t="s">
        <v>32</v>
      </c>
      <c r="H69" s="859" t="s">
        <v>32</v>
      </c>
      <c r="I69" s="859"/>
      <c r="J69" s="859"/>
      <c r="K69" s="859" t="s">
        <v>32</v>
      </c>
      <c r="L69" s="859" t="s">
        <v>32</v>
      </c>
      <c r="M69" s="859" t="s">
        <v>32</v>
      </c>
      <c r="N69" s="859" t="s">
        <v>32</v>
      </c>
      <c r="O69" s="859"/>
      <c r="P69" s="859"/>
      <c r="Q69" s="859"/>
      <c r="R69" s="859" t="s">
        <v>32</v>
      </c>
      <c r="S69" s="859" t="s">
        <v>32</v>
      </c>
      <c r="T69" s="859" t="s">
        <v>32</v>
      </c>
      <c r="U69" s="859" t="s">
        <v>32</v>
      </c>
      <c r="V69" s="859" t="s">
        <v>32</v>
      </c>
      <c r="W69" s="859"/>
      <c r="X69" s="859"/>
      <c r="Y69" s="815" t="s">
        <v>142</v>
      </c>
      <c r="Z69" s="815" t="s">
        <v>142</v>
      </c>
      <c r="AA69" s="815" t="s">
        <v>142</v>
      </c>
      <c r="AB69" s="868" t="s">
        <v>0</v>
      </c>
      <c r="AC69" s="815" t="s">
        <v>142</v>
      </c>
      <c r="AD69" s="815">
        <v>89</v>
      </c>
      <c r="AE69" s="801"/>
      <c r="AF69" s="815" t="s">
        <v>142</v>
      </c>
      <c r="AG69" s="815" t="s">
        <v>142</v>
      </c>
      <c r="AJ69" s="845">
        <v>161.25</v>
      </c>
      <c r="AK69" s="845">
        <v>0.5</v>
      </c>
      <c r="AL69" s="845">
        <f t="shared" si="4"/>
        <v>161.75</v>
      </c>
      <c r="AM69" s="846">
        <f t="shared" si="5"/>
        <v>1.4199999999999875</v>
      </c>
      <c r="AN69" s="846">
        <f t="shared" si="6"/>
        <v>51.099999999999987</v>
      </c>
      <c r="AO69" s="845">
        <v>49.68</v>
      </c>
    </row>
    <row r="70" spans="1:41" ht="22.35" customHeight="1" thickBot="1" x14ac:dyDescent="0.25">
      <c r="A70" s="634"/>
      <c r="B70" s="634" t="s">
        <v>143</v>
      </c>
      <c r="C70" s="969">
        <v>26</v>
      </c>
      <c r="D70" s="848" t="s">
        <v>36</v>
      </c>
      <c r="E70" s="801" t="s">
        <v>36</v>
      </c>
      <c r="F70" s="801" t="s">
        <v>36</v>
      </c>
      <c r="G70" s="801" t="s">
        <v>36</v>
      </c>
      <c r="H70" s="801" t="s">
        <v>36</v>
      </c>
      <c r="I70" s="801"/>
      <c r="J70" s="801"/>
      <c r="K70" s="796">
        <v>9</v>
      </c>
      <c r="L70" s="908">
        <v>9</v>
      </c>
      <c r="M70" s="908">
        <v>9</v>
      </c>
      <c r="N70" s="908">
        <v>9</v>
      </c>
      <c r="O70" s="908">
        <v>9</v>
      </c>
      <c r="P70" s="908" t="s">
        <v>80</v>
      </c>
      <c r="Q70" s="796" t="s">
        <v>81</v>
      </c>
      <c r="R70" s="801" t="s">
        <v>36</v>
      </c>
      <c r="S70" s="801" t="s">
        <v>36</v>
      </c>
      <c r="T70" s="801" t="s">
        <v>36</v>
      </c>
      <c r="U70" s="801" t="s">
        <v>36</v>
      </c>
      <c r="V70" s="958" t="s">
        <v>128</v>
      </c>
      <c r="W70" s="958" t="s">
        <v>127</v>
      </c>
      <c r="X70" s="958" t="s">
        <v>127</v>
      </c>
      <c r="Y70" s="801" t="s">
        <v>36</v>
      </c>
      <c r="Z70" s="801" t="s">
        <v>36</v>
      </c>
      <c r="AA70" s="801" t="s">
        <v>36</v>
      </c>
      <c r="AB70" s="801"/>
      <c r="AC70" s="801">
        <v>5</v>
      </c>
      <c r="AD70" s="801"/>
      <c r="AE70" s="801"/>
      <c r="AF70" s="801">
        <v>26</v>
      </c>
      <c r="AG70" s="856">
        <v>26</v>
      </c>
      <c r="AJ70" s="845">
        <v>130.5</v>
      </c>
      <c r="AK70" s="845">
        <v>9.5</v>
      </c>
      <c r="AL70" s="845">
        <f t="shared" si="4"/>
        <v>140</v>
      </c>
      <c r="AM70" s="846">
        <f t="shared" si="5"/>
        <v>-20.330000000000013</v>
      </c>
      <c r="AN70" s="846">
        <f>IF(AM70="","",AM70+AO70)</f>
        <v>77.849999999999994</v>
      </c>
      <c r="AO70" s="845">
        <v>98.18</v>
      </c>
    </row>
    <row r="71" spans="1:41" ht="22.35" customHeight="1" x14ac:dyDescent="0.2">
      <c r="A71" s="289"/>
      <c r="B71" s="634" t="s">
        <v>144</v>
      </c>
      <c r="C71" s="801"/>
      <c r="D71" s="809">
        <v>4</v>
      </c>
      <c r="E71" s="813">
        <v>4</v>
      </c>
      <c r="F71" s="813">
        <v>4</v>
      </c>
      <c r="G71" s="815">
        <v>4</v>
      </c>
      <c r="H71" s="828">
        <v>4</v>
      </c>
      <c r="I71" s="960"/>
      <c r="J71" s="960"/>
      <c r="K71" s="801">
        <v>3</v>
      </c>
      <c r="L71" s="801">
        <v>3</v>
      </c>
      <c r="M71" s="801">
        <v>3</v>
      </c>
      <c r="N71" s="802">
        <v>3</v>
      </c>
      <c r="O71" s="851" t="s">
        <v>0</v>
      </c>
      <c r="P71" s="970" t="s">
        <v>0</v>
      </c>
      <c r="Q71" s="868" t="s">
        <v>83</v>
      </c>
      <c r="R71" s="814">
        <v>8</v>
      </c>
      <c r="S71" s="868">
        <v>8</v>
      </c>
      <c r="T71" s="868">
        <v>8</v>
      </c>
      <c r="U71" s="868">
        <v>8</v>
      </c>
      <c r="V71" s="813">
        <v>8</v>
      </c>
      <c r="W71" s="802"/>
      <c r="X71" s="802"/>
      <c r="Y71" s="801">
        <v>21</v>
      </c>
      <c r="Z71" s="851">
        <v>21</v>
      </c>
      <c r="AA71" s="801">
        <v>21</v>
      </c>
      <c r="AB71" s="801">
        <v>21</v>
      </c>
      <c r="AC71" s="855">
        <v>21</v>
      </c>
      <c r="AD71" s="855">
        <v>21</v>
      </c>
      <c r="AE71" s="801" t="s">
        <v>0</v>
      </c>
      <c r="AF71" s="802" t="s">
        <v>36</v>
      </c>
      <c r="AG71" s="971" t="s">
        <v>137</v>
      </c>
      <c r="AH71" s="1"/>
      <c r="AJ71" s="845">
        <v>191.75</v>
      </c>
      <c r="AK71" s="845">
        <v>6</v>
      </c>
      <c r="AL71" s="845">
        <f t="shared" si="4"/>
        <v>197.75</v>
      </c>
      <c r="AM71" s="846">
        <f t="shared" si="5"/>
        <v>37.419999999999987</v>
      </c>
      <c r="AN71" s="846">
        <f t="shared" si="6"/>
        <v>4.2599999999999909</v>
      </c>
      <c r="AO71" s="845">
        <v>-33.159999999999997</v>
      </c>
    </row>
    <row r="72" spans="1:41" ht="22.35" customHeight="1" x14ac:dyDescent="0.2">
      <c r="A72" s="634"/>
      <c r="B72" s="634" t="s">
        <v>145</v>
      </c>
      <c r="C72" s="800" t="s">
        <v>57</v>
      </c>
      <c r="D72" s="848" t="s">
        <v>36</v>
      </c>
      <c r="E72" s="969">
        <v>25</v>
      </c>
      <c r="F72" s="969">
        <v>25</v>
      </c>
      <c r="G72" s="969">
        <v>25</v>
      </c>
      <c r="H72" s="965" t="s">
        <v>32</v>
      </c>
      <c r="I72" s="801"/>
      <c r="J72" s="801"/>
      <c r="K72" s="814" t="s">
        <v>128</v>
      </c>
      <c r="L72" s="814" t="s">
        <v>128</v>
      </c>
      <c r="M72" s="972" t="s">
        <v>128</v>
      </c>
      <c r="N72" s="183" t="s">
        <v>128</v>
      </c>
      <c r="O72" s="814" t="s">
        <v>127</v>
      </c>
      <c r="P72" s="814" t="s">
        <v>127</v>
      </c>
      <c r="Q72" s="814" t="s">
        <v>127</v>
      </c>
      <c r="R72" s="801" t="s">
        <v>36</v>
      </c>
      <c r="S72" s="801" t="s">
        <v>36</v>
      </c>
      <c r="T72" s="802" t="s">
        <v>36</v>
      </c>
      <c r="U72" s="801" t="s">
        <v>128</v>
      </c>
      <c r="V72" s="801">
        <v>6</v>
      </c>
      <c r="W72" s="809" t="s">
        <v>0</v>
      </c>
      <c r="X72" s="810" t="s">
        <v>94</v>
      </c>
      <c r="Y72" s="848">
        <v>25</v>
      </c>
      <c r="Z72" s="802">
        <v>25</v>
      </c>
      <c r="AA72" s="801">
        <v>25</v>
      </c>
      <c r="AB72" s="801"/>
      <c r="AC72" s="973" t="s">
        <v>146</v>
      </c>
      <c r="AD72" s="965"/>
      <c r="AE72" s="965"/>
      <c r="AF72" s="965">
        <v>99</v>
      </c>
      <c r="AG72" s="613">
        <v>7</v>
      </c>
      <c r="AH72" s="1"/>
      <c r="AJ72" s="845">
        <v>195.5</v>
      </c>
      <c r="AK72" s="845">
        <v>11.25</v>
      </c>
      <c r="AL72" s="845">
        <f t="shared" si="4"/>
        <v>206.75</v>
      </c>
      <c r="AM72" s="846">
        <f t="shared" si="5"/>
        <v>46.419999999999987</v>
      </c>
      <c r="AN72" s="846">
        <f t="shared" si="6"/>
        <v>37.589999999999989</v>
      </c>
      <c r="AO72" s="845">
        <v>-8.83</v>
      </c>
    </row>
    <row r="73" spans="1:41" ht="22.35" customHeight="1" x14ac:dyDescent="0.2">
      <c r="A73" s="634"/>
      <c r="B73" s="634"/>
      <c r="C73" s="800"/>
      <c r="D73" s="800"/>
      <c r="E73" s="800"/>
      <c r="F73" s="974"/>
      <c r="G73" s="974"/>
      <c r="H73" s="851"/>
      <c r="I73" s="851"/>
      <c r="J73" s="851"/>
      <c r="K73" s="851"/>
      <c r="L73" s="851"/>
      <c r="M73" s="974"/>
      <c r="N73" s="974"/>
      <c r="O73" s="975"/>
      <c r="P73" s="851"/>
      <c r="Q73" s="801"/>
      <c r="R73" s="801"/>
      <c r="S73" s="851"/>
      <c r="T73" s="801"/>
      <c r="U73" s="801"/>
      <c r="V73" s="851"/>
      <c r="W73" s="851"/>
      <c r="X73" s="851"/>
      <c r="Y73" s="851"/>
      <c r="Z73" s="851"/>
      <c r="AA73" s="801"/>
      <c r="AB73" s="801"/>
      <c r="AC73" s="974"/>
      <c r="AD73" s="974"/>
      <c r="AE73" s="974"/>
      <c r="AF73" s="974"/>
      <c r="AG73" s="976"/>
      <c r="AH73" s="1"/>
      <c r="AJ73" s="845"/>
      <c r="AK73" s="845"/>
      <c r="AL73" s="845"/>
      <c r="AM73" s="846"/>
      <c r="AN73" s="846"/>
      <c r="AO73" s="845"/>
    </row>
    <row r="74" spans="1:41" ht="22.35" customHeight="1" x14ac:dyDescent="0.2">
      <c r="A74" s="634"/>
      <c r="B74" s="634"/>
      <c r="C74" s="801"/>
      <c r="D74" s="974"/>
      <c r="E74" s="974"/>
      <c r="F74" s="974"/>
      <c r="G74" s="974"/>
      <c r="H74" s="974"/>
      <c r="I74" s="801"/>
      <c r="J74" s="801"/>
      <c r="K74" s="974"/>
      <c r="L74" s="974"/>
      <c r="M74" s="974"/>
      <c r="N74" s="974"/>
      <c r="O74" s="974"/>
      <c r="P74" s="801"/>
      <c r="Q74" s="801"/>
      <c r="R74" s="801"/>
      <c r="S74" s="800"/>
      <c r="T74" s="800"/>
      <c r="U74" s="800"/>
      <c r="V74" s="801"/>
      <c r="W74" s="801"/>
      <c r="X74" s="801"/>
      <c r="Y74" s="801"/>
      <c r="Z74" s="801"/>
      <c r="AA74" s="801"/>
      <c r="AB74" s="801"/>
      <c r="AC74" s="801"/>
      <c r="AD74" s="801"/>
      <c r="AE74" s="801"/>
      <c r="AF74" s="801"/>
      <c r="AG74" s="613"/>
      <c r="AH74" s="1"/>
      <c r="AJ74" s="845"/>
      <c r="AK74" s="845"/>
      <c r="AL74" s="845"/>
      <c r="AM74" s="846"/>
      <c r="AN74" s="846"/>
      <c r="AO74" s="845"/>
    </row>
    <row r="75" spans="1:41" ht="22.35" customHeight="1" x14ac:dyDescent="0.2">
      <c r="A75" s="634"/>
      <c r="AH75" s="1"/>
      <c r="AJ75" s="326"/>
      <c r="AK75" s="326"/>
      <c r="AL75" s="326"/>
      <c r="AM75" s="327"/>
      <c r="AN75" s="327"/>
      <c r="AO75" s="326"/>
    </row>
    <row r="76" spans="1:41" ht="22.35" customHeight="1" x14ac:dyDescent="0.2">
      <c r="A76" s="977"/>
      <c r="B76" s="933" t="s">
        <v>0</v>
      </c>
      <c r="C76" s="801"/>
      <c r="D76" s="801" t="s">
        <v>32</v>
      </c>
      <c r="E76" s="801" t="s">
        <v>32</v>
      </c>
      <c r="F76" s="801" t="s">
        <v>32</v>
      </c>
      <c r="G76" s="801" t="s">
        <v>32</v>
      </c>
      <c r="H76" s="801" t="s">
        <v>32</v>
      </c>
      <c r="I76" s="801"/>
      <c r="J76" s="801"/>
      <c r="K76" s="801" t="s">
        <v>32</v>
      </c>
      <c r="L76" s="801" t="s">
        <v>32</v>
      </c>
      <c r="M76" s="848" t="s">
        <v>32</v>
      </c>
      <c r="N76" s="801" t="s">
        <v>32</v>
      </c>
      <c r="O76" s="801"/>
      <c r="P76" s="801"/>
      <c r="Q76" s="801"/>
      <c r="R76" s="801" t="s">
        <v>32</v>
      </c>
      <c r="S76" s="801" t="s">
        <v>32</v>
      </c>
      <c r="T76" s="801" t="s">
        <v>32</v>
      </c>
      <c r="U76" s="801" t="s">
        <v>32</v>
      </c>
      <c r="V76" s="848" t="s">
        <v>32</v>
      </c>
      <c r="W76" s="848"/>
      <c r="X76" s="848"/>
      <c r="Y76" s="848" t="s">
        <v>32</v>
      </c>
      <c r="Z76" s="848" t="s">
        <v>32</v>
      </c>
      <c r="AA76" s="848" t="s">
        <v>32</v>
      </c>
      <c r="AB76" s="848"/>
      <c r="AC76" s="848" t="s">
        <v>32</v>
      </c>
      <c r="AD76" s="848"/>
      <c r="AE76" s="848"/>
      <c r="AF76" s="848" t="s">
        <v>32</v>
      </c>
      <c r="AG76" s="856" t="s">
        <v>32</v>
      </c>
      <c r="AH76" s="1"/>
      <c r="AJ76" s="190"/>
      <c r="AK76" s="190"/>
      <c r="AL76" s="190"/>
      <c r="AM76" s="328"/>
      <c r="AN76" s="328"/>
      <c r="AO76" s="190"/>
    </row>
    <row r="77" spans="1:41" ht="22.35" customHeight="1" x14ac:dyDescent="0.2">
      <c r="A77" s="977"/>
      <c r="B77" s="733" t="s">
        <v>0</v>
      </c>
      <c r="C77" s="851"/>
      <c r="D77" s="975" t="s">
        <v>32</v>
      </c>
      <c r="E77" s="851" t="s">
        <v>32</v>
      </c>
      <c r="F77" s="801" t="s">
        <v>32</v>
      </c>
      <c r="G77" s="801" t="s">
        <v>32</v>
      </c>
      <c r="H77" s="801" t="s">
        <v>32</v>
      </c>
      <c r="I77" s="801"/>
      <c r="J77" s="801"/>
      <c r="K77" s="801" t="s">
        <v>32</v>
      </c>
      <c r="L77" s="801" t="s">
        <v>32</v>
      </c>
      <c r="M77" s="801" t="s">
        <v>32</v>
      </c>
      <c r="N77" s="801" t="s">
        <v>32</v>
      </c>
      <c r="O77" s="801"/>
      <c r="P77" s="801"/>
      <c r="Q77" s="801"/>
      <c r="R77" s="801" t="s">
        <v>32</v>
      </c>
      <c r="S77" s="801" t="s">
        <v>32</v>
      </c>
      <c r="T77" s="851" t="s">
        <v>32</v>
      </c>
      <c r="U77" s="851" t="s">
        <v>32</v>
      </c>
      <c r="V77" s="974" t="s">
        <v>32</v>
      </c>
      <c r="W77" s="851"/>
      <c r="X77" s="851"/>
      <c r="Y77" s="801" t="s">
        <v>32</v>
      </c>
      <c r="Z77" s="851" t="s">
        <v>32</v>
      </c>
      <c r="AA77" s="851" t="s">
        <v>32</v>
      </c>
      <c r="AB77" s="851"/>
      <c r="AC77" s="851" t="s">
        <v>32</v>
      </c>
      <c r="AD77" s="851"/>
      <c r="AE77" s="975"/>
      <c r="AF77" s="851" t="s">
        <v>32</v>
      </c>
      <c r="AG77" s="978" t="s">
        <v>32</v>
      </c>
      <c r="AH77" s="1"/>
      <c r="AJ77" s="190"/>
      <c r="AK77" s="190"/>
      <c r="AL77" s="190"/>
      <c r="AM77" s="328"/>
      <c r="AN77" s="328"/>
      <c r="AO77" s="190"/>
    </row>
    <row r="78" spans="1:41" ht="22.35" customHeight="1" thickBot="1" x14ac:dyDescent="0.25">
      <c r="A78" s="977"/>
      <c r="B78" s="502"/>
      <c r="C78" s="851"/>
      <c r="D78" s="975"/>
      <c r="E78" s="851"/>
      <c r="F78" s="801"/>
      <c r="G78" s="801"/>
      <c r="H78" s="801"/>
      <c r="I78" s="801"/>
      <c r="J78" s="801"/>
      <c r="K78" s="801"/>
      <c r="L78" s="801"/>
      <c r="M78" s="801"/>
      <c r="N78" s="801"/>
      <c r="O78" s="801"/>
      <c r="P78" s="801"/>
      <c r="Q78" s="801"/>
      <c r="R78" s="801"/>
      <c r="S78" s="801"/>
      <c r="T78" s="851"/>
      <c r="U78" s="851"/>
      <c r="V78" s="974"/>
      <c r="W78" s="851"/>
      <c r="X78" s="851"/>
      <c r="Y78" s="801"/>
      <c r="Z78" s="851"/>
      <c r="AA78" s="851"/>
      <c r="AB78" s="851"/>
      <c r="AC78" s="851"/>
      <c r="AD78" s="851"/>
      <c r="AE78" s="975"/>
      <c r="AF78" s="851"/>
      <c r="AG78" s="978"/>
      <c r="AH78" s="1"/>
      <c r="AJ78" s="190"/>
      <c r="AK78" s="190"/>
      <c r="AL78" s="190"/>
      <c r="AM78" s="328"/>
      <c r="AN78" s="328"/>
      <c r="AO78" s="190"/>
    </row>
    <row r="79" spans="1:41" ht="22.35" customHeight="1" thickBot="1" x14ac:dyDescent="0.25">
      <c r="A79" s="977"/>
      <c r="B79" s="194" t="s">
        <v>147</v>
      </c>
      <c r="C79" s="795">
        <v>1</v>
      </c>
      <c r="D79" s="796">
        <v>2</v>
      </c>
      <c r="E79" s="796">
        <v>3</v>
      </c>
      <c r="F79" s="796">
        <v>4</v>
      </c>
      <c r="G79" s="796">
        <v>5</v>
      </c>
      <c r="H79" s="796">
        <v>6</v>
      </c>
      <c r="I79" s="795">
        <v>7</v>
      </c>
      <c r="J79" s="795">
        <v>8</v>
      </c>
      <c r="K79" s="796">
        <v>9</v>
      </c>
      <c r="L79" s="796">
        <v>10</v>
      </c>
      <c r="M79" s="796">
        <v>11</v>
      </c>
      <c r="N79" s="796">
        <v>12</v>
      </c>
      <c r="O79" s="795">
        <v>13</v>
      </c>
      <c r="P79" s="795">
        <v>14</v>
      </c>
      <c r="Q79" s="795">
        <v>15</v>
      </c>
      <c r="R79" s="796">
        <v>16</v>
      </c>
      <c r="S79" s="796">
        <v>17</v>
      </c>
      <c r="T79" s="796">
        <v>18</v>
      </c>
      <c r="U79" s="796">
        <v>19</v>
      </c>
      <c r="V79" s="796">
        <v>20</v>
      </c>
      <c r="W79" s="795">
        <v>21</v>
      </c>
      <c r="X79" s="795">
        <v>22</v>
      </c>
      <c r="Y79" s="796">
        <v>23</v>
      </c>
      <c r="Z79" s="796">
        <v>24</v>
      </c>
      <c r="AA79" s="796">
        <v>25</v>
      </c>
      <c r="AB79" s="795">
        <v>26</v>
      </c>
      <c r="AC79" s="796">
        <v>27</v>
      </c>
      <c r="AD79" s="795">
        <v>28</v>
      </c>
      <c r="AE79" s="795">
        <v>29</v>
      </c>
      <c r="AF79" s="796">
        <v>30</v>
      </c>
      <c r="AG79" s="797">
        <v>31</v>
      </c>
      <c r="AH79" s="1"/>
      <c r="AJ79" s="190"/>
      <c r="AK79" s="190"/>
      <c r="AL79" s="190"/>
      <c r="AM79" s="190"/>
      <c r="AN79" s="190"/>
      <c r="AO79" s="190"/>
    </row>
    <row r="80" spans="1:41" ht="22.35" customHeight="1" thickBot="1" x14ac:dyDescent="0.25">
      <c r="A80" s="979"/>
      <c r="B80" s="634" t="s">
        <v>148</v>
      </c>
      <c r="C80" s="964" t="s">
        <v>149</v>
      </c>
      <c r="D80" s="845" t="s">
        <v>36</v>
      </c>
      <c r="E80" s="845" t="s">
        <v>36</v>
      </c>
      <c r="F80" s="845" t="s">
        <v>36</v>
      </c>
      <c r="G80" s="845" t="s">
        <v>36</v>
      </c>
      <c r="H80" s="845" t="s">
        <v>36</v>
      </c>
      <c r="I80" s="848"/>
      <c r="J80" s="848"/>
      <c r="K80" s="848">
        <v>22</v>
      </c>
      <c r="L80" s="848">
        <v>22</v>
      </c>
      <c r="M80" s="848">
        <v>22</v>
      </c>
      <c r="N80" s="848">
        <v>22</v>
      </c>
      <c r="O80" s="848">
        <v>22</v>
      </c>
      <c r="P80" s="801">
        <v>22</v>
      </c>
      <c r="Q80" s="801">
        <v>22</v>
      </c>
      <c r="R80" s="980" t="s">
        <v>36</v>
      </c>
      <c r="S80" s="980" t="s">
        <v>36</v>
      </c>
      <c r="T80" s="801" t="s">
        <v>36</v>
      </c>
      <c r="U80" s="975" t="s">
        <v>36</v>
      </c>
      <c r="V80" s="975" t="s">
        <v>36</v>
      </c>
      <c r="W80" s="851"/>
      <c r="X80" s="801"/>
      <c r="Y80" s="801">
        <v>23</v>
      </c>
      <c r="Z80" s="851">
        <v>23</v>
      </c>
      <c r="AA80" s="801">
        <v>23</v>
      </c>
      <c r="AB80" s="801">
        <v>23</v>
      </c>
      <c r="AC80" s="801">
        <v>23</v>
      </c>
      <c r="AD80" s="801">
        <v>23</v>
      </c>
      <c r="AE80" s="801">
        <v>23</v>
      </c>
      <c r="AF80" s="801" t="s">
        <v>36</v>
      </c>
      <c r="AG80" s="613" t="s">
        <v>36</v>
      </c>
      <c r="AH80" s="1"/>
    </row>
    <row r="81" spans="1:35" ht="22.35" customHeight="1" thickBot="1" x14ac:dyDescent="0.25">
      <c r="A81" s="64"/>
      <c r="B81" s="194" t="s">
        <v>150</v>
      </c>
      <c r="C81" s="193"/>
      <c r="D81" s="195"/>
      <c r="E81" s="195"/>
      <c r="F81" s="195"/>
      <c r="G81" s="195"/>
      <c r="H81" s="195"/>
      <c r="I81" s="193"/>
      <c r="J81" s="193"/>
      <c r="K81" s="195"/>
      <c r="L81" s="195"/>
      <c r="M81" s="195"/>
      <c r="N81" s="195"/>
      <c r="O81" s="195"/>
      <c r="P81" s="193"/>
      <c r="Q81" s="193"/>
      <c r="R81" s="193"/>
      <c r="S81" s="196"/>
      <c r="T81" s="196"/>
      <c r="U81" s="196"/>
      <c r="V81" s="193"/>
      <c r="W81" s="193"/>
      <c r="X81" s="193"/>
      <c r="Y81" s="193"/>
      <c r="Z81" s="193"/>
      <c r="AA81" s="193"/>
      <c r="AB81" s="193"/>
      <c r="AC81" s="193"/>
      <c r="AD81" s="193"/>
      <c r="AE81" s="193"/>
      <c r="AF81" s="193"/>
      <c r="AG81" s="213"/>
      <c r="AH81" s="1"/>
    </row>
    <row r="82" spans="1:35" ht="22.35" customHeight="1" thickBot="1" x14ac:dyDescent="0.25">
      <c r="A82" s="981"/>
      <c r="B82" s="275" t="s">
        <v>151</v>
      </c>
      <c r="C82" s="193"/>
      <c r="D82" s="193" t="s">
        <v>32</v>
      </c>
      <c r="E82" s="868">
        <v>3</v>
      </c>
      <c r="F82" s="815">
        <v>3</v>
      </c>
      <c r="G82" s="809">
        <v>3</v>
      </c>
      <c r="H82" s="809">
        <v>3</v>
      </c>
      <c r="I82" s="809"/>
      <c r="J82" s="809"/>
      <c r="K82" s="809">
        <v>11</v>
      </c>
      <c r="L82" s="809">
        <v>11</v>
      </c>
      <c r="M82" s="809">
        <v>11</v>
      </c>
      <c r="N82" s="809">
        <v>11</v>
      </c>
      <c r="O82" s="809">
        <v>11</v>
      </c>
      <c r="P82" s="809" t="s">
        <v>94</v>
      </c>
      <c r="Q82" s="809" t="s">
        <v>94</v>
      </c>
      <c r="R82" s="809" t="s">
        <v>36</v>
      </c>
      <c r="S82" s="809" t="s">
        <v>36</v>
      </c>
      <c r="T82" s="809" t="s">
        <v>36</v>
      </c>
      <c r="U82" s="809" t="s">
        <v>36</v>
      </c>
      <c r="V82" s="809" t="s">
        <v>36</v>
      </c>
      <c r="W82" s="815" t="s">
        <v>83</v>
      </c>
      <c r="X82" s="868" t="s">
        <v>83</v>
      </c>
      <c r="Y82" s="814">
        <v>8</v>
      </c>
      <c r="Z82" s="868">
        <v>8</v>
      </c>
      <c r="AA82" s="868">
        <v>8</v>
      </c>
      <c r="AB82" s="868">
        <v>8</v>
      </c>
      <c r="AC82" s="868">
        <v>8</v>
      </c>
      <c r="AD82" s="868"/>
      <c r="AE82" s="868"/>
      <c r="AF82" s="868" t="s">
        <v>36</v>
      </c>
      <c r="AG82" s="917" t="s">
        <v>36</v>
      </c>
      <c r="AH82" s="1"/>
    </row>
    <row r="83" spans="1:35" ht="22.35" customHeight="1" x14ac:dyDescent="0.2">
      <c r="A83" s="982"/>
      <c r="AH83" s="1"/>
    </row>
    <row r="84" spans="1:35" ht="22.35" customHeight="1" thickBot="1" x14ac:dyDescent="0.25">
      <c r="A84" s="983"/>
      <c r="B84" s="748" t="s">
        <v>29</v>
      </c>
      <c r="C84" s="795">
        <v>1</v>
      </c>
      <c r="D84" s="796">
        <v>2</v>
      </c>
      <c r="E84" s="796">
        <v>3</v>
      </c>
      <c r="F84" s="796">
        <v>4</v>
      </c>
      <c r="G84" s="796">
        <v>5</v>
      </c>
      <c r="H84" s="796">
        <v>6</v>
      </c>
      <c r="I84" s="795">
        <v>7</v>
      </c>
      <c r="J84" s="795">
        <v>8</v>
      </c>
      <c r="K84" s="796">
        <v>9</v>
      </c>
      <c r="L84" s="796">
        <v>10</v>
      </c>
      <c r="M84" s="796">
        <v>11</v>
      </c>
      <c r="N84" s="796">
        <v>12</v>
      </c>
      <c r="O84" s="795">
        <v>13</v>
      </c>
      <c r="P84" s="795">
        <v>14</v>
      </c>
      <c r="Q84" s="795">
        <v>15</v>
      </c>
      <c r="R84" s="796">
        <v>16</v>
      </c>
      <c r="S84" s="796">
        <v>17</v>
      </c>
      <c r="T84" s="796">
        <v>18</v>
      </c>
      <c r="U84" s="796">
        <v>19</v>
      </c>
      <c r="V84" s="796">
        <v>20</v>
      </c>
      <c r="W84" s="795">
        <v>21</v>
      </c>
      <c r="X84" s="795">
        <v>22</v>
      </c>
      <c r="Y84" s="796">
        <v>23</v>
      </c>
      <c r="Z84" s="796">
        <v>24</v>
      </c>
      <c r="AA84" s="796">
        <v>25</v>
      </c>
      <c r="AB84" s="795">
        <v>26</v>
      </c>
      <c r="AC84" s="796">
        <v>27</v>
      </c>
      <c r="AD84" s="795">
        <v>28</v>
      </c>
      <c r="AE84" s="795">
        <v>29</v>
      </c>
      <c r="AF84" s="796">
        <v>30</v>
      </c>
      <c r="AG84" s="797">
        <v>31</v>
      </c>
      <c r="AH84" s="1"/>
    </row>
    <row r="85" spans="1:35" ht="22.35" customHeight="1" x14ac:dyDescent="0.2">
      <c r="A85" s="983"/>
      <c r="B85" s="984" t="s">
        <v>152</v>
      </c>
      <c r="C85" s="899"/>
      <c r="D85" s="924"/>
      <c r="E85" s="899"/>
      <c r="F85" s="899"/>
      <c r="G85" s="899"/>
      <c r="H85" s="899"/>
      <c r="I85" s="899"/>
      <c r="J85" s="899"/>
      <c r="K85" s="899"/>
      <c r="L85" s="899"/>
      <c r="M85" s="899"/>
      <c r="N85" s="899"/>
      <c r="O85" s="899"/>
      <c r="P85" s="899"/>
      <c r="Q85" s="899"/>
      <c r="R85" s="899"/>
      <c r="S85" s="899"/>
      <c r="T85" s="899"/>
      <c r="U85" s="899"/>
      <c r="V85" s="899"/>
      <c r="W85" s="899"/>
      <c r="X85" s="899"/>
      <c r="Y85" s="899"/>
      <c r="Z85" s="899"/>
      <c r="AA85" s="899"/>
      <c r="AB85" s="899"/>
      <c r="AC85" s="899"/>
      <c r="AD85" s="899"/>
      <c r="AE85" s="899"/>
      <c r="AF85" s="899"/>
      <c r="AG85" s="941"/>
      <c r="AH85" s="1"/>
    </row>
    <row r="86" spans="1:35" ht="22.35" customHeight="1" x14ac:dyDescent="0.2">
      <c r="A86" s="983"/>
      <c r="B86" s="819" t="s">
        <v>153</v>
      </c>
      <c r="C86" s="985"/>
      <c r="D86" s="985">
        <v>79</v>
      </c>
      <c r="E86" s="985">
        <v>4</v>
      </c>
      <c r="F86" s="809" t="s">
        <v>154</v>
      </c>
      <c r="G86" s="809">
        <v>6</v>
      </c>
      <c r="H86" s="985">
        <v>6</v>
      </c>
      <c r="I86" s="985"/>
      <c r="J86" s="985"/>
      <c r="K86" s="985"/>
      <c r="L86" s="985"/>
      <c r="M86" s="985"/>
      <c r="N86" s="985"/>
      <c r="O86" s="985"/>
      <c r="P86" s="985"/>
      <c r="Q86" s="985"/>
      <c r="R86" s="985"/>
      <c r="S86" s="985"/>
      <c r="T86" s="814"/>
      <c r="U86" s="985"/>
      <c r="V86" s="985"/>
      <c r="W86" s="985"/>
      <c r="X86" s="985"/>
      <c r="Y86" s="985"/>
      <c r="Z86" s="985"/>
      <c r="AA86" s="985"/>
      <c r="AB86" s="985"/>
      <c r="AC86" s="985"/>
      <c r="AD86" s="985"/>
      <c r="AE86" s="985"/>
      <c r="AF86" s="985"/>
      <c r="AG86" s="986"/>
      <c r="AH86" s="1"/>
    </row>
    <row r="87" spans="1:35" ht="22.35" customHeight="1" thickBot="1" x14ac:dyDescent="0.25">
      <c r="A87" s="983"/>
      <c r="B87" s="819" t="s">
        <v>0</v>
      </c>
      <c r="C87" s="814"/>
      <c r="D87" s="987"/>
      <c r="E87" s="987"/>
      <c r="F87" s="987"/>
      <c r="G87" s="987"/>
      <c r="H87" s="987"/>
      <c r="I87" s="814"/>
      <c r="J87" s="814"/>
      <c r="K87" s="814" t="s">
        <v>32</v>
      </c>
      <c r="L87" s="814" t="s">
        <v>58</v>
      </c>
      <c r="M87" s="814" t="s">
        <v>58</v>
      </c>
      <c r="N87" s="814" t="s">
        <v>58</v>
      </c>
      <c r="O87" s="809" t="s">
        <v>0</v>
      </c>
      <c r="P87" s="809" t="s">
        <v>0</v>
      </c>
      <c r="Q87" s="809" t="s">
        <v>0</v>
      </c>
      <c r="R87" s="809" t="s">
        <v>128</v>
      </c>
      <c r="S87" s="809" t="s">
        <v>128</v>
      </c>
      <c r="T87" s="809" t="s">
        <v>128</v>
      </c>
      <c r="U87" s="809" t="s">
        <v>36</v>
      </c>
      <c r="V87" s="809" t="s">
        <v>36</v>
      </c>
      <c r="W87" s="815" t="s">
        <v>0</v>
      </c>
      <c r="X87" s="868" t="s">
        <v>0</v>
      </c>
      <c r="Y87" s="814">
        <v>8</v>
      </c>
      <c r="Z87" s="868">
        <v>8</v>
      </c>
      <c r="AA87" s="868">
        <v>8</v>
      </c>
      <c r="AB87" s="868" t="s">
        <v>0</v>
      </c>
      <c r="AC87" s="868" t="s">
        <v>0</v>
      </c>
      <c r="AD87" s="868"/>
      <c r="AE87" s="868"/>
      <c r="AF87" s="868" t="s">
        <v>92</v>
      </c>
      <c r="AG87" s="917" t="s">
        <v>92</v>
      </c>
      <c r="AH87" s="1"/>
    </row>
    <row r="88" spans="1:35" ht="22.35" customHeight="1" thickBot="1" x14ac:dyDescent="0.25">
      <c r="A88" s="197"/>
      <c r="B88" s="905" t="s">
        <v>155</v>
      </c>
      <c r="C88" s="987"/>
      <c r="D88" s="987"/>
      <c r="E88" s="987"/>
      <c r="F88" s="987"/>
      <c r="G88" s="987"/>
      <c r="H88" s="987"/>
      <c r="I88" s="987"/>
      <c r="J88" s="987"/>
      <c r="K88" s="814" t="s">
        <v>32</v>
      </c>
      <c r="L88" s="987">
        <v>89</v>
      </c>
      <c r="M88" s="987">
        <v>89</v>
      </c>
      <c r="N88" s="987">
        <v>89</v>
      </c>
      <c r="O88" s="899"/>
      <c r="P88" s="899"/>
      <c r="Q88" s="899"/>
      <c r="R88" s="899">
        <v>10</v>
      </c>
      <c r="S88" s="899">
        <v>10</v>
      </c>
      <c r="T88" s="900">
        <v>10</v>
      </c>
      <c r="U88" s="900" t="s">
        <v>36</v>
      </c>
      <c r="V88" s="924" t="s">
        <v>36</v>
      </c>
      <c r="W88" s="900" t="s">
        <v>0</v>
      </c>
      <c r="X88" s="900" t="s">
        <v>0</v>
      </c>
      <c r="Y88" s="899">
        <v>25</v>
      </c>
      <c r="Z88" s="900" t="s">
        <v>139</v>
      </c>
      <c r="AA88" s="900" t="s">
        <v>139</v>
      </c>
      <c r="AB88" s="900" t="s">
        <v>0</v>
      </c>
      <c r="AC88" s="900" t="s">
        <v>0</v>
      </c>
      <c r="AD88" s="900" t="s">
        <v>0</v>
      </c>
      <c r="AE88" s="901" t="s">
        <v>0</v>
      </c>
      <c r="AF88" s="900">
        <v>7</v>
      </c>
      <c r="AG88" s="903">
        <v>7</v>
      </c>
      <c r="AH88" s="1"/>
    </row>
    <row r="89" spans="1:35" ht="22.35" customHeight="1" x14ac:dyDescent="0.2">
      <c r="B89" s="198"/>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c r="AA89" s="199"/>
      <c r="AB89" s="199"/>
      <c r="AC89" s="199"/>
      <c r="AD89" s="199"/>
      <c r="AE89" s="199"/>
      <c r="AF89" s="199"/>
      <c r="AG89" s="199"/>
      <c r="AH89" s="1"/>
    </row>
    <row r="90" spans="1:35" ht="22.35" customHeight="1" x14ac:dyDescent="0.2">
      <c r="B90" s="198"/>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c r="AA90" s="199"/>
      <c r="AB90" s="199"/>
      <c r="AC90" s="199"/>
      <c r="AD90" s="199"/>
      <c r="AE90" s="199"/>
      <c r="AF90" s="199"/>
      <c r="AG90" s="199"/>
      <c r="AH90" s="1"/>
    </row>
    <row r="91" spans="1:35" ht="22.35" customHeight="1" thickBot="1" x14ac:dyDescent="0.25">
      <c r="A91" s="169" t="s">
        <v>156</v>
      </c>
    </row>
    <row r="92" spans="1:35" ht="22.35" customHeight="1" thickBot="1" x14ac:dyDescent="0.25">
      <c r="B92" s="988" t="s">
        <v>157</v>
      </c>
      <c r="C92" s="989"/>
      <c r="D92" s="872" t="s">
        <v>107</v>
      </c>
      <c r="E92" s="872"/>
      <c r="F92" s="990"/>
      <c r="G92" s="989"/>
      <c r="H92" s="872" t="s">
        <v>108</v>
      </c>
      <c r="I92" s="872"/>
      <c r="J92" s="990"/>
      <c r="K92" s="989"/>
      <c r="L92" s="872" t="s">
        <v>109</v>
      </c>
      <c r="M92" s="872"/>
      <c r="N92" s="990"/>
      <c r="O92" s="989"/>
      <c r="P92" s="872" t="s">
        <v>110</v>
      </c>
      <c r="Q92" s="872"/>
      <c r="R92" s="990"/>
      <c r="S92" s="989"/>
      <c r="T92" s="872" t="s">
        <v>111</v>
      </c>
      <c r="U92" s="872"/>
      <c r="V92" s="990"/>
      <c r="W92" s="989"/>
      <c r="X92" s="872" t="s">
        <v>112</v>
      </c>
      <c r="Y92" s="872"/>
      <c r="Z92" s="990"/>
      <c r="AA92" s="989"/>
      <c r="AB92" s="872" t="s">
        <v>113</v>
      </c>
      <c r="AC92" s="872"/>
      <c r="AD92" s="872"/>
      <c r="AE92" s="872" t="s">
        <v>158</v>
      </c>
      <c r="AF92" s="872"/>
      <c r="AG92" s="872"/>
      <c r="AH92" s="872"/>
      <c r="AI92" s="991"/>
    </row>
    <row r="93" spans="1:35" ht="22.35" customHeight="1" x14ac:dyDescent="0.2">
      <c r="B93" s="992" t="s">
        <v>159</v>
      </c>
      <c r="C93" s="993" t="s">
        <v>160</v>
      </c>
      <c r="D93" s="872"/>
      <c r="E93" s="876"/>
      <c r="F93" s="994"/>
      <c r="G93" s="993" t="s">
        <v>160</v>
      </c>
      <c r="H93" s="995"/>
      <c r="I93" s="876"/>
      <c r="J93" s="994"/>
      <c r="K93" s="996" t="s">
        <v>160</v>
      </c>
      <c r="L93" s="872"/>
      <c r="M93" s="872"/>
      <c r="N93" s="990"/>
      <c r="O93" s="996" t="s">
        <v>161</v>
      </c>
      <c r="P93" s="997"/>
      <c r="Q93" s="876"/>
      <c r="R93" s="994"/>
      <c r="S93" s="993" t="s">
        <v>162</v>
      </c>
      <c r="T93" s="876"/>
      <c r="U93" s="876"/>
      <c r="V93" s="876"/>
      <c r="W93" s="998"/>
      <c r="X93" s="999"/>
      <c r="Y93" s="999"/>
      <c r="Z93" s="1000"/>
      <c r="AA93" s="876"/>
      <c r="AB93" s="876"/>
      <c r="AC93" s="876"/>
      <c r="AD93" s="876"/>
      <c r="AE93" s="1001">
        <v>37</v>
      </c>
      <c r="AF93" s="872"/>
      <c r="AG93" s="876"/>
      <c r="AH93" s="876"/>
      <c r="AI93" s="877"/>
    </row>
    <row r="94" spans="1:35" ht="22.35" customHeight="1" x14ac:dyDescent="0.2">
      <c r="B94" s="749" t="s">
        <v>163</v>
      </c>
      <c r="C94" s="1002" t="s">
        <v>164</v>
      </c>
      <c r="D94" s="743"/>
      <c r="E94" s="743"/>
      <c r="F94" s="787"/>
      <c r="G94" s="1002" t="s">
        <v>165</v>
      </c>
      <c r="H94" s="886"/>
      <c r="I94" s="743"/>
      <c r="J94" s="787"/>
      <c r="K94" s="1002" t="s">
        <v>166</v>
      </c>
      <c r="L94" s="743" t="s">
        <v>167</v>
      </c>
      <c r="M94" s="743"/>
      <c r="N94" s="787"/>
      <c r="O94" s="1002" t="s">
        <v>166</v>
      </c>
      <c r="P94" s="886" t="s">
        <v>167</v>
      </c>
      <c r="Q94" s="743"/>
      <c r="R94" s="787"/>
      <c r="S94" s="1002" t="s">
        <v>165</v>
      </c>
      <c r="T94" s="743" t="s">
        <v>168</v>
      </c>
      <c r="U94" s="743"/>
      <c r="V94" s="787"/>
      <c r="W94" s="8" t="s">
        <v>127</v>
      </c>
      <c r="X94" s="14" t="s">
        <v>169</v>
      </c>
      <c r="Y94" s="14"/>
      <c r="Z94" s="14"/>
      <c r="AA94" s="742" t="s">
        <v>127</v>
      </c>
      <c r="AB94" s="743" t="s">
        <v>169</v>
      </c>
      <c r="AC94" s="742"/>
      <c r="AD94" s="742"/>
      <c r="AE94" s="742">
        <v>68</v>
      </c>
      <c r="AF94" s="743"/>
      <c r="AG94" s="743"/>
      <c r="AH94" s="743"/>
      <c r="AI94" s="788"/>
    </row>
    <row r="95" spans="1:35" ht="22.35" customHeight="1" x14ac:dyDescent="0.2">
      <c r="B95" s="749" t="s">
        <v>170</v>
      </c>
      <c r="C95" s="698" t="s">
        <v>171</v>
      </c>
      <c r="D95" s="743"/>
      <c r="E95" s="743"/>
      <c r="F95" s="787"/>
      <c r="G95" s="886" t="s">
        <v>171</v>
      </c>
      <c r="H95" s="886"/>
      <c r="I95" s="743"/>
      <c r="J95" s="787"/>
      <c r="K95" s="886" t="s">
        <v>171</v>
      </c>
      <c r="L95" s="743"/>
      <c r="M95" s="743"/>
      <c r="N95" s="787"/>
      <c r="O95" s="886" t="s">
        <v>171</v>
      </c>
      <c r="P95" s="886"/>
      <c r="Q95" s="743"/>
      <c r="R95" s="787"/>
      <c r="S95" s="886" t="s">
        <v>171</v>
      </c>
      <c r="T95" s="743"/>
      <c r="U95" s="743"/>
      <c r="V95" s="787"/>
      <c r="W95" s="742"/>
      <c r="X95" s="743"/>
      <c r="Y95" s="743"/>
      <c r="Z95" s="787"/>
      <c r="AA95" s="742"/>
      <c r="AB95" s="743"/>
      <c r="AC95" s="743"/>
      <c r="AD95" s="743"/>
      <c r="AE95" s="742">
        <v>0</v>
      </c>
      <c r="AF95" s="743"/>
      <c r="AG95" s="743"/>
      <c r="AH95" s="743"/>
      <c r="AI95" s="788"/>
    </row>
    <row r="96" spans="1:35" ht="22.35" customHeight="1" thickBot="1" x14ac:dyDescent="0.25">
      <c r="A96" s="739"/>
      <c r="B96" s="1003" t="s">
        <v>172</v>
      </c>
      <c r="C96" s="1004" t="s">
        <v>160</v>
      </c>
      <c r="D96" s="276"/>
      <c r="E96" s="734"/>
      <c r="F96" s="889"/>
      <c r="G96" s="1004" t="s">
        <v>160</v>
      </c>
      <c r="H96" s="278"/>
      <c r="I96" s="734"/>
      <c r="J96" s="889"/>
      <c r="K96" s="1004" t="s">
        <v>160</v>
      </c>
      <c r="L96" s="276"/>
      <c r="M96" s="734"/>
      <c r="N96" s="889"/>
      <c r="O96" s="1004" t="s">
        <v>161</v>
      </c>
      <c r="P96" s="891"/>
      <c r="Q96" s="734"/>
      <c r="R96" s="889"/>
      <c r="S96" s="1004" t="s">
        <v>162</v>
      </c>
      <c r="T96" s="734"/>
      <c r="U96" s="734"/>
      <c r="V96" s="734"/>
      <c r="W96" s="1005"/>
      <c r="X96" s="734"/>
      <c r="Y96" s="734"/>
      <c r="Z96" s="699"/>
      <c r="AA96" s="734"/>
      <c r="AB96" s="734"/>
      <c r="AC96" s="734"/>
      <c r="AD96" s="734"/>
      <c r="AE96" s="1006">
        <v>37</v>
      </c>
      <c r="AF96" s="734"/>
      <c r="AG96" s="734"/>
      <c r="AH96" s="734"/>
      <c r="AI96" s="894"/>
    </row>
    <row r="97" spans="1:35" ht="22.35" customHeight="1" x14ac:dyDescent="0.2">
      <c r="D97" s="14"/>
    </row>
    <row r="98" spans="1:35" ht="22.35" customHeight="1" thickBot="1" x14ac:dyDescent="0.25">
      <c r="B98" s="739" t="s">
        <v>29</v>
      </c>
      <c r="C98" s="795">
        <v>1</v>
      </c>
      <c r="D98" s="796">
        <v>2</v>
      </c>
      <c r="E98" s="796">
        <v>3</v>
      </c>
      <c r="F98" s="796">
        <v>4</v>
      </c>
      <c r="G98" s="796">
        <v>5</v>
      </c>
      <c r="H98" s="796">
        <v>6</v>
      </c>
      <c r="I98" s="795">
        <v>7</v>
      </c>
      <c r="J98" s="795">
        <v>8</v>
      </c>
      <c r="K98" s="796">
        <v>9</v>
      </c>
      <c r="L98" s="796">
        <v>10</v>
      </c>
      <c r="M98" s="796">
        <v>11</v>
      </c>
      <c r="N98" s="796">
        <v>12</v>
      </c>
      <c r="O98" s="795">
        <v>13</v>
      </c>
      <c r="P98" s="795">
        <v>14</v>
      </c>
      <c r="Q98" s="795">
        <v>15</v>
      </c>
      <c r="R98" s="796">
        <v>16</v>
      </c>
      <c r="S98" s="796">
        <v>17</v>
      </c>
      <c r="T98" s="796">
        <v>18</v>
      </c>
      <c r="U98" s="796">
        <v>19</v>
      </c>
      <c r="V98" s="796">
        <v>20</v>
      </c>
      <c r="W98" s="795">
        <v>21</v>
      </c>
      <c r="X98" s="795">
        <v>22</v>
      </c>
      <c r="Y98" s="796">
        <v>23</v>
      </c>
      <c r="Z98" s="796">
        <v>24</v>
      </c>
      <c r="AA98" s="796">
        <v>25</v>
      </c>
      <c r="AB98" s="795">
        <v>26</v>
      </c>
      <c r="AC98" s="796">
        <v>27</v>
      </c>
      <c r="AD98" s="795">
        <v>28</v>
      </c>
      <c r="AE98" s="795">
        <v>29</v>
      </c>
      <c r="AF98" s="796">
        <v>30</v>
      </c>
      <c r="AG98" s="797">
        <v>31</v>
      </c>
      <c r="AH98" s="173"/>
      <c r="AI98" s="174"/>
    </row>
    <row r="99" spans="1:35" ht="22.35" customHeight="1" x14ac:dyDescent="0.2">
      <c r="A99" s="1007">
        <v>1</v>
      </c>
      <c r="B99" s="1008" t="s">
        <v>173</v>
      </c>
      <c r="C99" s="899" t="s">
        <v>127</v>
      </c>
      <c r="D99" s="899" t="s">
        <v>36</v>
      </c>
      <c r="E99" s="899" t="s">
        <v>36</v>
      </c>
      <c r="F99" s="899" t="s">
        <v>36</v>
      </c>
      <c r="G99" s="899" t="s">
        <v>36</v>
      </c>
      <c r="H99" s="899" t="s">
        <v>36</v>
      </c>
      <c r="I99" s="899"/>
      <c r="J99" s="899"/>
      <c r="K99" s="899" t="s">
        <v>174</v>
      </c>
      <c r="L99" s="899" t="s">
        <v>174</v>
      </c>
      <c r="M99" s="899" t="s">
        <v>174</v>
      </c>
      <c r="N99" s="899" t="s">
        <v>174</v>
      </c>
      <c r="O99" s="899"/>
      <c r="P99" s="913"/>
      <c r="Q99" s="899"/>
      <c r="R99" s="899" t="s">
        <v>174</v>
      </c>
      <c r="S99" s="899" t="s">
        <v>174</v>
      </c>
      <c r="T99" s="899" t="s">
        <v>174</v>
      </c>
      <c r="U99" s="899" t="s">
        <v>174</v>
      </c>
      <c r="V99" s="899" t="s">
        <v>174</v>
      </c>
      <c r="W99" s="899"/>
      <c r="X99" s="1009"/>
      <c r="Y99" s="1009" t="s">
        <v>128</v>
      </c>
      <c r="Z99" s="1009" t="s">
        <v>128</v>
      </c>
      <c r="AA99" s="1009" t="s">
        <v>128</v>
      </c>
      <c r="AB99" s="899" t="s">
        <v>127</v>
      </c>
      <c r="AC99" s="899" t="s">
        <v>128</v>
      </c>
      <c r="AD99" s="899" t="s">
        <v>127</v>
      </c>
      <c r="AE99" s="899" t="s">
        <v>127</v>
      </c>
      <c r="AF99" s="899" t="s">
        <v>36</v>
      </c>
      <c r="AG99" s="899" t="s">
        <v>36</v>
      </c>
      <c r="AH99" s="178"/>
      <c r="AI99" s="179"/>
    </row>
    <row r="100" spans="1:35" ht="22.35" customHeight="1" x14ac:dyDescent="0.2">
      <c r="A100" s="1010">
        <v>2</v>
      </c>
      <c r="B100" s="1011" t="s">
        <v>175</v>
      </c>
      <c r="C100" s="1012"/>
      <c r="D100" s="1013" t="s">
        <v>128</v>
      </c>
      <c r="E100" s="1013" t="s">
        <v>128</v>
      </c>
      <c r="F100" s="1013" t="s">
        <v>128</v>
      </c>
      <c r="G100" s="1013" t="s">
        <v>128</v>
      </c>
      <c r="H100" s="1013" t="s">
        <v>128</v>
      </c>
      <c r="I100" s="1013" t="s">
        <v>127</v>
      </c>
      <c r="J100" s="1013" t="s">
        <v>127</v>
      </c>
      <c r="K100" s="1012" t="s">
        <v>36</v>
      </c>
      <c r="L100" s="1012" t="s">
        <v>36</v>
      </c>
      <c r="M100" s="801" t="s">
        <v>36</v>
      </c>
      <c r="N100" s="814" t="s">
        <v>36</v>
      </c>
      <c r="O100" s="814" t="s">
        <v>36</v>
      </c>
      <c r="P100" s="814"/>
      <c r="Q100" s="814"/>
      <c r="R100" s="814">
        <v>99</v>
      </c>
      <c r="S100" s="813" t="s">
        <v>58</v>
      </c>
      <c r="T100" s="813">
        <v>3</v>
      </c>
      <c r="U100" s="814" t="s">
        <v>176</v>
      </c>
      <c r="V100" s="814" t="s">
        <v>176</v>
      </c>
      <c r="W100" s="828"/>
      <c r="X100" s="814"/>
      <c r="Y100" s="814" t="s">
        <v>176</v>
      </c>
      <c r="Z100" s="814" t="s">
        <v>177</v>
      </c>
      <c r="AA100" s="1014" t="s">
        <v>174</v>
      </c>
      <c r="AB100" s="814"/>
      <c r="AC100" s="1014" t="s">
        <v>174</v>
      </c>
      <c r="AD100" s="814"/>
      <c r="AE100" s="814"/>
      <c r="AF100" s="814" t="s">
        <v>128</v>
      </c>
      <c r="AG100" s="814" t="s">
        <v>128</v>
      </c>
      <c r="AH100" s="178"/>
      <c r="AI100" s="179"/>
    </row>
    <row r="101" spans="1:35" ht="22.35" customHeight="1" x14ac:dyDescent="0.2">
      <c r="A101" s="1010">
        <v>3</v>
      </c>
      <c r="B101" s="1011" t="s">
        <v>178</v>
      </c>
      <c r="C101" s="814"/>
      <c r="D101" s="966" t="s">
        <v>177</v>
      </c>
      <c r="E101" s="966" t="s">
        <v>177</v>
      </c>
      <c r="F101" s="966" t="s">
        <v>177</v>
      </c>
      <c r="G101" s="814" t="s">
        <v>177</v>
      </c>
      <c r="H101" s="966" t="s">
        <v>177</v>
      </c>
      <c r="I101" s="814"/>
      <c r="J101" s="966">
        <v>26</v>
      </c>
      <c r="K101" s="814" t="s">
        <v>177</v>
      </c>
      <c r="L101" s="814" t="s">
        <v>177</v>
      </c>
      <c r="M101" s="814" t="s">
        <v>177</v>
      </c>
      <c r="N101" s="814" t="s">
        <v>177</v>
      </c>
      <c r="O101" s="814" t="s">
        <v>0</v>
      </c>
      <c r="P101" s="814" t="s">
        <v>0</v>
      </c>
      <c r="Q101" s="814" t="s">
        <v>0</v>
      </c>
      <c r="R101" s="814" t="s">
        <v>177</v>
      </c>
      <c r="S101" s="814" t="s">
        <v>177</v>
      </c>
      <c r="T101" s="814" t="s">
        <v>177</v>
      </c>
      <c r="U101" s="814" t="s">
        <v>177</v>
      </c>
      <c r="V101" s="814" t="s">
        <v>177</v>
      </c>
      <c r="W101" s="814"/>
      <c r="X101" s="814"/>
      <c r="Y101" s="820" t="s">
        <v>177</v>
      </c>
      <c r="Z101" s="820" t="s">
        <v>177</v>
      </c>
      <c r="AA101" s="820" t="s">
        <v>179</v>
      </c>
      <c r="AB101" s="1015"/>
      <c r="AC101" s="1015" t="s">
        <v>177</v>
      </c>
      <c r="AD101" s="814"/>
      <c r="AE101" s="814"/>
      <c r="AF101" s="814" t="s">
        <v>177</v>
      </c>
      <c r="AG101" s="814" t="s">
        <v>177</v>
      </c>
      <c r="AH101" s="178"/>
      <c r="AI101" s="179"/>
    </row>
    <row r="102" spans="1:35" ht="22.35" customHeight="1" thickBot="1" x14ac:dyDescent="0.25">
      <c r="A102" s="1016">
        <v>4</v>
      </c>
      <c r="B102" s="1017" t="s">
        <v>173</v>
      </c>
      <c r="C102" s="958"/>
      <c r="D102" s="958" t="s">
        <v>174</v>
      </c>
      <c r="E102" s="958" t="s">
        <v>174</v>
      </c>
      <c r="F102" s="958" t="s">
        <v>174</v>
      </c>
      <c r="G102" s="958" t="s">
        <v>174</v>
      </c>
      <c r="H102" s="958" t="s">
        <v>174</v>
      </c>
      <c r="I102" s="958"/>
      <c r="J102" s="958"/>
      <c r="K102" s="958" t="s">
        <v>174</v>
      </c>
      <c r="L102" s="958" t="s">
        <v>174</v>
      </c>
      <c r="M102" s="958" t="s">
        <v>174</v>
      </c>
      <c r="N102" s="958" t="s">
        <v>174</v>
      </c>
      <c r="O102" s="958"/>
      <c r="P102" s="958" t="s">
        <v>0</v>
      </c>
      <c r="Q102" s="958" t="s">
        <v>0</v>
      </c>
      <c r="R102" s="958" t="s">
        <v>128</v>
      </c>
      <c r="S102" s="958" t="s">
        <v>128</v>
      </c>
      <c r="T102" s="958" t="s">
        <v>128</v>
      </c>
      <c r="U102" s="958" t="s">
        <v>128</v>
      </c>
      <c r="V102" s="958" t="s">
        <v>128</v>
      </c>
      <c r="W102" s="958" t="s">
        <v>127</v>
      </c>
      <c r="X102" s="958" t="s">
        <v>127</v>
      </c>
      <c r="Y102" s="958" t="s">
        <v>36</v>
      </c>
      <c r="Z102" s="958" t="s">
        <v>36</v>
      </c>
      <c r="AA102" s="796" t="s">
        <v>36</v>
      </c>
      <c r="AB102" s="796" t="s">
        <v>36</v>
      </c>
      <c r="AC102" s="796" t="s">
        <v>36</v>
      </c>
      <c r="AD102" s="796"/>
      <c r="AE102" s="796"/>
      <c r="AF102" s="958" t="s">
        <v>174</v>
      </c>
      <c r="AG102" s="797" t="s">
        <v>174</v>
      </c>
      <c r="AH102" s="178"/>
      <c r="AI102" s="179"/>
    </row>
    <row r="103" spans="1:35" ht="22.35" customHeight="1" thickBot="1" x14ac:dyDescent="0.25">
      <c r="A103" s="200"/>
      <c r="B103" s="190"/>
      <c r="C103" s="201"/>
      <c r="D103" s="201"/>
      <c r="E103" s="201"/>
      <c r="F103" s="201"/>
      <c r="G103" s="201"/>
      <c r="H103" s="201"/>
      <c r="I103" s="201"/>
      <c r="J103" s="201"/>
      <c r="K103" s="201"/>
      <c r="L103" s="201"/>
      <c r="M103" s="201"/>
      <c r="N103" s="201"/>
      <c r="O103" s="201"/>
      <c r="P103" s="201"/>
      <c r="Q103" s="201"/>
      <c r="R103" s="201"/>
      <c r="S103" s="201"/>
      <c r="T103" s="201"/>
      <c r="U103" s="201"/>
      <c r="V103" s="201"/>
      <c r="W103" s="201"/>
      <c r="X103" s="201"/>
      <c r="Y103" s="201"/>
      <c r="Z103" s="201"/>
      <c r="AA103" s="201"/>
      <c r="AB103" s="201"/>
      <c r="AC103" s="201"/>
      <c r="AD103" s="201"/>
      <c r="AE103" s="201"/>
      <c r="AF103" s="201"/>
      <c r="AG103" s="202"/>
      <c r="AH103" s="203"/>
      <c r="AI103" s="179"/>
    </row>
    <row r="104" spans="1:35" ht="22.35" customHeight="1" x14ac:dyDescent="0.2">
      <c r="A104" s="72"/>
      <c r="B104" s="1018" t="s">
        <v>180</v>
      </c>
      <c r="C104" s="1001"/>
      <c r="D104" s="1019" t="s">
        <v>107</v>
      </c>
      <c r="E104" s="1020"/>
      <c r="F104" s="1001"/>
      <c r="G104" s="1021" t="s">
        <v>108</v>
      </c>
      <c r="H104" s="994"/>
      <c r="I104" s="1022"/>
      <c r="J104" s="1021" t="s">
        <v>109</v>
      </c>
      <c r="K104" s="1023"/>
      <c r="L104" s="1022"/>
      <c r="M104" s="1024" t="s">
        <v>110</v>
      </c>
      <c r="N104" s="1023"/>
      <c r="O104" s="1022"/>
      <c r="P104" s="1021" t="s">
        <v>111</v>
      </c>
      <c r="Q104" s="1025"/>
      <c r="R104" s="1022"/>
      <c r="S104" s="1021" t="s">
        <v>112</v>
      </c>
      <c r="T104" s="1026"/>
      <c r="U104" s="1022"/>
      <c r="V104" s="1021" t="s">
        <v>113</v>
      </c>
      <c r="W104" s="1025"/>
      <c r="X104" s="1027" t="s">
        <v>158</v>
      </c>
      <c r="Y104" s="1028"/>
      <c r="Z104" s="1028"/>
      <c r="AA104" s="1029"/>
      <c r="AB104" s="996" t="s">
        <v>114</v>
      </c>
      <c r="AC104" s="1030"/>
      <c r="AD104" s="1030"/>
      <c r="AE104" s="1031"/>
      <c r="AF104" s="1031"/>
      <c r="AG104" s="1032"/>
      <c r="AH104" s="203"/>
      <c r="AI104" s="179"/>
    </row>
    <row r="105" spans="1:35" ht="22.35" customHeight="1" x14ac:dyDescent="0.2">
      <c r="A105" s="72"/>
      <c r="B105" s="744" t="s">
        <v>181</v>
      </c>
      <c r="C105" s="1033" t="s">
        <v>182</v>
      </c>
      <c r="D105" s="781"/>
      <c r="E105" s="782"/>
      <c r="F105" s="1033" t="s">
        <v>182</v>
      </c>
      <c r="G105" s="781"/>
      <c r="H105" s="782"/>
      <c r="I105" s="1033" t="s">
        <v>182</v>
      </c>
      <c r="J105" s="781"/>
      <c r="K105" s="782"/>
      <c r="L105" s="1033" t="s">
        <v>182</v>
      </c>
      <c r="M105" s="781"/>
      <c r="N105" s="782"/>
      <c r="O105" s="1033" t="s">
        <v>183</v>
      </c>
      <c r="P105" s="781"/>
      <c r="Q105" s="782"/>
      <c r="R105" s="1033"/>
      <c r="S105" s="781"/>
      <c r="T105" s="782"/>
      <c r="U105" s="1033"/>
      <c r="V105" s="781"/>
      <c r="W105" s="782"/>
      <c r="X105" s="1033"/>
      <c r="Y105" s="1034"/>
      <c r="Z105" s="1034"/>
      <c r="AA105" s="1034"/>
      <c r="AB105" s="779"/>
      <c r="AC105" s="1034"/>
      <c r="AD105" s="1034"/>
      <c r="AE105" s="1034"/>
      <c r="AF105" s="1034"/>
      <c r="AG105" s="1035"/>
      <c r="AH105" s="203"/>
      <c r="AI105" s="179"/>
    </row>
    <row r="106" spans="1:35" ht="22.35" customHeight="1" x14ac:dyDescent="0.2">
      <c r="A106" s="72"/>
      <c r="B106" s="17"/>
      <c r="C106" s="72"/>
      <c r="D106" s="72"/>
      <c r="E106" s="72"/>
      <c r="F106" s="72"/>
      <c r="G106" s="72"/>
      <c r="H106" s="72"/>
      <c r="I106" s="72"/>
      <c r="J106" s="72"/>
      <c r="K106" s="72"/>
      <c r="L106" s="72"/>
      <c r="M106" s="72"/>
      <c r="N106" s="72"/>
      <c r="O106" s="72"/>
      <c r="P106" s="72"/>
      <c r="Q106" s="72"/>
      <c r="R106" s="72"/>
      <c r="S106" s="72"/>
      <c r="T106" s="72"/>
      <c r="U106" s="72"/>
      <c r="V106" s="72"/>
      <c r="W106" s="72"/>
      <c r="X106" s="72"/>
      <c r="Y106" s="72"/>
      <c r="Z106" s="72"/>
      <c r="AA106" s="72"/>
      <c r="AB106" s="72"/>
      <c r="AC106" s="72"/>
      <c r="AD106" s="72"/>
      <c r="AE106" s="72"/>
      <c r="AF106" s="72"/>
      <c r="AG106" s="72"/>
      <c r="AH106" s="203"/>
      <c r="AI106" s="179"/>
    </row>
    <row r="107" spans="1:35" ht="22.35" customHeight="1" thickBot="1" x14ac:dyDescent="0.25">
      <c r="A107" s="981" t="s">
        <v>28</v>
      </c>
      <c r="B107" s="748" t="s">
        <v>29</v>
      </c>
      <c r="C107" s="795">
        <v>1</v>
      </c>
      <c r="D107" s="796">
        <v>2</v>
      </c>
      <c r="E107" s="796">
        <v>3</v>
      </c>
      <c r="F107" s="796">
        <v>4</v>
      </c>
      <c r="G107" s="796">
        <v>5</v>
      </c>
      <c r="H107" s="796">
        <v>6</v>
      </c>
      <c r="I107" s="795">
        <v>7</v>
      </c>
      <c r="J107" s="795">
        <v>8</v>
      </c>
      <c r="K107" s="796">
        <v>9</v>
      </c>
      <c r="L107" s="796">
        <v>10</v>
      </c>
      <c r="M107" s="796">
        <v>11</v>
      </c>
      <c r="N107" s="796">
        <v>12</v>
      </c>
      <c r="O107" s="795">
        <v>13</v>
      </c>
      <c r="P107" s="795">
        <v>14</v>
      </c>
      <c r="Q107" s="795">
        <v>15</v>
      </c>
      <c r="R107" s="796">
        <v>16</v>
      </c>
      <c r="S107" s="796">
        <v>17</v>
      </c>
      <c r="T107" s="796">
        <v>18</v>
      </c>
      <c r="U107" s="796">
        <v>19</v>
      </c>
      <c r="V107" s="796">
        <v>20</v>
      </c>
      <c r="W107" s="795">
        <v>21</v>
      </c>
      <c r="X107" s="795">
        <v>22</v>
      </c>
      <c r="Y107" s="796">
        <v>23</v>
      </c>
      <c r="Z107" s="796">
        <v>24</v>
      </c>
      <c r="AA107" s="796">
        <v>25</v>
      </c>
      <c r="AB107" s="795">
        <v>26</v>
      </c>
      <c r="AC107" s="796">
        <v>27</v>
      </c>
      <c r="AD107" s="795">
        <v>28</v>
      </c>
      <c r="AE107" s="795">
        <v>29</v>
      </c>
      <c r="AF107" s="796">
        <v>30</v>
      </c>
      <c r="AG107" s="797">
        <v>31</v>
      </c>
      <c r="AH107" s="203"/>
      <c r="AI107" s="179"/>
    </row>
    <row r="108" spans="1:35" ht="22.35" customHeight="1" x14ac:dyDescent="0.2">
      <c r="A108" s="1036">
        <v>8520</v>
      </c>
      <c r="B108" s="1037" t="s">
        <v>184</v>
      </c>
      <c r="C108" s="899"/>
      <c r="D108" s="899" t="s">
        <v>60</v>
      </c>
      <c r="E108" s="899" t="s">
        <v>60</v>
      </c>
      <c r="F108" s="899" t="s">
        <v>60</v>
      </c>
      <c r="G108" s="1038" t="s">
        <v>60</v>
      </c>
      <c r="H108" s="899" t="s">
        <v>60</v>
      </c>
      <c r="I108" s="899"/>
      <c r="J108" s="899"/>
      <c r="K108" s="899" t="s">
        <v>60</v>
      </c>
      <c r="L108" s="1038" t="s">
        <v>60</v>
      </c>
      <c r="M108" s="899" t="s">
        <v>60</v>
      </c>
      <c r="N108" s="899" t="s">
        <v>60</v>
      </c>
      <c r="O108" s="899"/>
      <c r="P108" s="899"/>
      <c r="Q108" s="899"/>
      <c r="R108" s="899" t="s">
        <v>60</v>
      </c>
      <c r="S108" s="899" t="s">
        <v>60</v>
      </c>
      <c r="T108" s="899" t="s">
        <v>60</v>
      </c>
      <c r="U108" s="899" t="s">
        <v>60</v>
      </c>
      <c r="V108" s="899" t="s">
        <v>60</v>
      </c>
      <c r="W108" s="899"/>
      <c r="X108" s="899"/>
      <c r="Y108" s="1039" t="s">
        <v>60</v>
      </c>
      <c r="Z108" s="1039" t="s">
        <v>60</v>
      </c>
      <c r="AA108" s="1039" t="s">
        <v>60</v>
      </c>
      <c r="AB108" s="899"/>
      <c r="AC108" s="899" t="s">
        <v>60</v>
      </c>
      <c r="AD108" s="899"/>
      <c r="AE108" s="899"/>
      <c r="AF108" s="899" t="s">
        <v>60</v>
      </c>
      <c r="AG108" s="899" t="s">
        <v>60</v>
      </c>
      <c r="AH108" s="203"/>
      <c r="AI108" s="179"/>
    </row>
    <row r="109" spans="1:35" ht="22.35" customHeight="1" x14ac:dyDescent="0.2">
      <c r="A109" s="209"/>
      <c r="B109" s="208"/>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c r="AA109" s="199"/>
      <c r="AB109" s="199"/>
      <c r="AC109" s="199"/>
      <c r="AD109" s="199"/>
      <c r="AE109" s="199"/>
      <c r="AF109" s="199"/>
      <c r="AG109" s="199"/>
      <c r="AH109" s="203"/>
      <c r="AI109" s="179"/>
    </row>
    <row r="110" spans="1:35" ht="22.35" customHeight="1" x14ac:dyDescent="0.2">
      <c r="AH110" s="107"/>
      <c r="AI110" s="107"/>
    </row>
    <row r="111" spans="1:35" ht="22.35" customHeight="1" thickBot="1" x14ac:dyDescent="0.25">
      <c r="A111" s="169" t="s">
        <v>185</v>
      </c>
      <c r="B111" s="170"/>
      <c r="C111" s="170"/>
      <c r="D111" s="171"/>
      <c r="E111" s="171"/>
      <c r="F111" s="171"/>
      <c r="G111" s="105"/>
      <c r="H111" s="171"/>
      <c r="I111" s="171"/>
      <c r="J111" s="171"/>
      <c r="K111" s="171"/>
      <c r="L111" s="171"/>
      <c r="M111" s="171"/>
      <c r="N111" s="171"/>
      <c r="O111" s="171"/>
      <c r="P111" s="171"/>
      <c r="Q111" s="171"/>
      <c r="R111" s="171"/>
      <c r="S111" s="171"/>
      <c r="T111" s="171"/>
      <c r="U111" s="171"/>
      <c r="V111" s="171"/>
      <c r="W111" s="171"/>
      <c r="X111" s="171"/>
      <c r="Y111" s="171"/>
      <c r="Z111" s="171"/>
      <c r="AA111" s="171"/>
      <c r="AB111" s="171"/>
      <c r="AC111" s="171"/>
      <c r="AD111" s="171"/>
      <c r="AE111" s="171"/>
      <c r="AF111" s="171"/>
      <c r="AG111" s="171"/>
      <c r="AH111" s="170"/>
      <c r="AI111" s="170"/>
    </row>
    <row r="112" spans="1:35" ht="22.35" customHeight="1" x14ac:dyDescent="0.2">
      <c r="A112" s="169"/>
      <c r="B112" s="1018" t="s">
        <v>186</v>
      </c>
      <c r="C112" s="1040"/>
      <c r="D112" s="1041" t="s">
        <v>107</v>
      </c>
      <c r="E112" s="1042"/>
      <c r="F112" s="1043"/>
      <c r="G112" s="1040"/>
      <c r="H112" s="1041" t="s">
        <v>108</v>
      </c>
      <c r="I112" s="1042"/>
      <c r="J112" s="1043"/>
      <c r="K112" s="1040"/>
      <c r="L112" s="1041" t="s">
        <v>109</v>
      </c>
      <c r="M112" s="1042"/>
      <c r="N112" s="1043"/>
      <c r="O112" s="1040"/>
      <c r="P112" s="1041" t="s">
        <v>110</v>
      </c>
      <c r="Q112" s="1042"/>
      <c r="R112" s="1043"/>
      <c r="S112" s="1040"/>
      <c r="T112" s="1041" t="s">
        <v>111</v>
      </c>
      <c r="U112" s="1042"/>
      <c r="V112" s="1043"/>
      <c r="W112" s="1040"/>
      <c r="X112" s="1041" t="s">
        <v>112</v>
      </c>
      <c r="Y112" s="1042"/>
      <c r="Z112" s="1043"/>
      <c r="AA112" s="1040"/>
      <c r="AB112" s="1041" t="s">
        <v>113</v>
      </c>
      <c r="AC112" s="1042"/>
      <c r="AD112" s="1042"/>
      <c r="AE112" s="1044" t="s">
        <v>114</v>
      </c>
      <c r="AF112" s="1042"/>
      <c r="AG112" s="1042"/>
      <c r="AH112" s="1042"/>
      <c r="AI112" s="1045"/>
    </row>
    <row r="113" spans="1:35" ht="22.35" customHeight="1" x14ac:dyDescent="0.2">
      <c r="A113" s="169"/>
      <c r="B113" s="737" t="s">
        <v>159</v>
      </c>
      <c r="C113" s="1046">
        <v>69</v>
      </c>
      <c r="D113" s="1047" t="s">
        <v>187</v>
      </c>
      <c r="E113" s="1047"/>
      <c r="F113" s="1048"/>
      <c r="G113" s="1046">
        <v>69</v>
      </c>
      <c r="H113" s="1047" t="s">
        <v>187</v>
      </c>
      <c r="I113" s="1047"/>
      <c r="J113" s="1048"/>
      <c r="K113" s="1046">
        <v>69</v>
      </c>
      <c r="L113" s="1047" t="s">
        <v>187</v>
      </c>
      <c r="M113" s="1047"/>
      <c r="N113" s="1048"/>
      <c r="O113" s="1046">
        <v>69</v>
      </c>
      <c r="P113" s="1047" t="s">
        <v>187</v>
      </c>
      <c r="Q113" s="1047"/>
      <c r="R113" s="1048"/>
      <c r="S113" s="1046">
        <v>69</v>
      </c>
      <c r="T113" s="1047" t="s">
        <v>187</v>
      </c>
      <c r="U113" s="1047"/>
      <c r="V113" s="1048"/>
      <c r="W113" s="1046"/>
      <c r="X113" s="1049"/>
      <c r="Y113" s="1049"/>
      <c r="Z113" s="1050"/>
      <c r="AA113" s="1046"/>
      <c r="AB113" s="1047"/>
      <c r="AC113" s="1047"/>
      <c r="AD113" s="945"/>
      <c r="AE113" s="736">
        <v>35</v>
      </c>
      <c r="AF113" s="1047"/>
      <c r="AG113" s="1047"/>
      <c r="AH113" s="945"/>
      <c r="AI113" s="1051"/>
    </row>
    <row r="114" spans="1:35" ht="22.35" customHeight="1" x14ac:dyDescent="0.2">
      <c r="A114" s="169"/>
      <c r="B114" s="737" t="s">
        <v>163</v>
      </c>
      <c r="C114" s="1046">
        <v>79</v>
      </c>
      <c r="D114" s="1047" t="s">
        <v>188</v>
      </c>
      <c r="E114" s="1047"/>
      <c r="F114" s="1048"/>
      <c r="G114" s="1046">
        <v>79</v>
      </c>
      <c r="H114" s="1047" t="s">
        <v>188</v>
      </c>
      <c r="I114" s="1047"/>
      <c r="J114" s="1048"/>
      <c r="K114" s="1046">
        <v>79</v>
      </c>
      <c r="L114" s="1047" t="s">
        <v>188</v>
      </c>
      <c r="M114" s="1047"/>
      <c r="N114" s="1048"/>
      <c r="O114" s="1046">
        <v>79</v>
      </c>
      <c r="P114" s="1047" t="s">
        <v>188</v>
      </c>
      <c r="Q114" s="1047"/>
      <c r="R114" s="1048"/>
      <c r="S114" s="1046">
        <v>79</v>
      </c>
      <c r="T114" s="1047" t="s">
        <v>188</v>
      </c>
      <c r="U114" s="1047"/>
      <c r="V114" s="1048"/>
      <c r="W114" s="1046"/>
      <c r="X114" s="1047"/>
      <c r="Y114" s="1047"/>
      <c r="Z114" s="1048"/>
      <c r="AA114" s="1047"/>
      <c r="AB114" s="1047"/>
      <c r="AC114" s="1047"/>
      <c r="AD114" s="945"/>
      <c r="AE114" s="736">
        <v>40</v>
      </c>
      <c r="AF114" s="1047"/>
      <c r="AG114" s="1047"/>
      <c r="AH114" s="945"/>
      <c r="AI114" s="1051"/>
    </row>
    <row r="115" spans="1:35" ht="22.35" customHeight="1" x14ac:dyDescent="0.2">
      <c r="A115" s="169"/>
      <c r="B115" s="737" t="s">
        <v>170</v>
      </c>
      <c r="C115" s="1046">
        <v>89</v>
      </c>
      <c r="D115" s="1047" t="s">
        <v>189</v>
      </c>
      <c r="E115" s="1047"/>
      <c r="F115" s="1048"/>
      <c r="G115" s="1046">
        <v>89</v>
      </c>
      <c r="H115" s="1047" t="s">
        <v>189</v>
      </c>
      <c r="I115" s="1047"/>
      <c r="J115" s="1048"/>
      <c r="K115" s="1046">
        <v>89</v>
      </c>
      <c r="L115" s="1047" t="s">
        <v>189</v>
      </c>
      <c r="M115" s="1047"/>
      <c r="N115" s="1048"/>
      <c r="O115" s="1046">
        <v>89</v>
      </c>
      <c r="P115" s="1047" t="s">
        <v>189</v>
      </c>
      <c r="Q115" s="1047"/>
      <c r="R115" s="1048"/>
      <c r="S115" s="1046">
        <v>89</v>
      </c>
      <c r="T115" s="1047" t="s">
        <v>190</v>
      </c>
      <c r="U115" s="1047"/>
      <c r="V115" s="1048"/>
      <c r="W115" s="1052"/>
      <c r="X115" s="1053" t="s">
        <v>191</v>
      </c>
      <c r="Y115" s="1053"/>
      <c r="Z115" s="582"/>
      <c r="AA115" s="1052"/>
      <c r="AB115" s="1053"/>
      <c r="AC115" s="1053"/>
      <c r="AD115" s="947"/>
      <c r="AE115" s="736">
        <v>44</v>
      </c>
      <c r="AF115" s="1047"/>
      <c r="AG115" s="1047"/>
      <c r="AH115" s="945"/>
      <c r="AI115" s="1051"/>
    </row>
    <row r="116" spans="1:35" ht="22.35" customHeight="1" x14ac:dyDescent="0.2">
      <c r="A116" s="169"/>
      <c r="B116" s="38" t="s">
        <v>172</v>
      </c>
      <c r="C116" s="1052">
        <v>99</v>
      </c>
      <c r="D116" s="1053" t="s">
        <v>192</v>
      </c>
      <c r="E116" s="1053"/>
      <c r="F116" s="582"/>
      <c r="G116" s="1052">
        <v>99</v>
      </c>
      <c r="H116" s="1053" t="s">
        <v>192</v>
      </c>
      <c r="I116" s="1053"/>
      <c r="J116" s="582"/>
      <c r="K116" s="1052">
        <v>99</v>
      </c>
      <c r="L116" s="1053" t="s">
        <v>192</v>
      </c>
      <c r="M116" s="1053"/>
      <c r="N116" s="582"/>
      <c r="O116" s="1052">
        <v>99</v>
      </c>
      <c r="P116" s="1053" t="s">
        <v>192</v>
      </c>
      <c r="Q116" s="1053"/>
      <c r="R116" s="582"/>
      <c r="S116" s="1052">
        <v>99</v>
      </c>
      <c r="T116" s="1053" t="s">
        <v>171</v>
      </c>
      <c r="U116" s="1053"/>
      <c r="V116" s="947"/>
      <c r="W116" s="946"/>
      <c r="X116" s="947"/>
      <c r="Y116" s="1053"/>
      <c r="Z116" s="582"/>
      <c r="AA116" s="946"/>
      <c r="AB116" s="947"/>
      <c r="AC116" s="1053"/>
      <c r="AD116" s="582"/>
      <c r="AE116" s="1054">
        <v>28</v>
      </c>
      <c r="AF116" s="1053"/>
      <c r="AG116" s="1053"/>
      <c r="AH116" s="947"/>
      <c r="AI116" s="1055"/>
    </row>
    <row r="117" spans="1:35" ht="22.35" customHeight="1" thickBot="1" x14ac:dyDescent="0.25">
      <c r="A117" s="169"/>
      <c r="B117" s="1056" t="s">
        <v>193</v>
      </c>
      <c r="C117" s="1057" t="s">
        <v>58</v>
      </c>
      <c r="D117" s="1058" t="s">
        <v>194</v>
      </c>
      <c r="E117" s="745"/>
      <c r="F117" s="889"/>
      <c r="G117" s="1057" t="s">
        <v>58</v>
      </c>
      <c r="H117" s="1058" t="s">
        <v>194</v>
      </c>
      <c r="I117" s="734"/>
      <c r="J117" s="745"/>
      <c r="K117" s="1057" t="s">
        <v>58</v>
      </c>
      <c r="L117" s="1058" t="s">
        <v>194</v>
      </c>
      <c r="M117" s="745"/>
      <c r="N117" s="1059"/>
      <c r="O117" s="1057" t="s">
        <v>58</v>
      </c>
      <c r="P117" s="1058" t="s">
        <v>194</v>
      </c>
      <c r="Q117" s="745"/>
      <c r="R117" s="1058"/>
      <c r="S117" s="1057" t="s">
        <v>58</v>
      </c>
      <c r="T117" s="891" t="s">
        <v>195</v>
      </c>
      <c r="U117" s="1058"/>
      <c r="V117" s="1059"/>
      <c r="W117" s="745"/>
      <c r="X117" s="1058"/>
      <c r="Y117" s="1058"/>
      <c r="Z117" s="1058"/>
      <c r="AA117" s="1060"/>
      <c r="AB117" s="1061"/>
      <c r="AC117" s="1058"/>
      <c r="AD117" s="1062"/>
      <c r="AE117" s="1058"/>
      <c r="AF117" s="1058"/>
      <c r="AG117" s="1058"/>
      <c r="AH117" s="1063"/>
      <c r="AI117" s="1064"/>
    </row>
    <row r="118" spans="1:35" ht="22.35" customHeight="1" x14ac:dyDescent="0.2">
      <c r="A118" s="108"/>
      <c r="B118" s="169"/>
      <c r="C118" s="171"/>
      <c r="D118" s="171"/>
      <c r="E118" s="171"/>
      <c r="F118" s="171"/>
      <c r="G118" s="171"/>
      <c r="H118" s="171"/>
      <c r="I118" s="171"/>
      <c r="J118" s="171"/>
      <c r="K118" s="171"/>
      <c r="L118" s="171"/>
      <c r="M118" s="171"/>
      <c r="N118" s="171"/>
      <c r="O118" s="171"/>
      <c r="P118" s="171"/>
      <c r="Q118" s="171"/>
      <c r="R118" s="171"/>
      <c r="S118" s="171"/>
      <c r="T118" s="171"/>
      <c r="U118" s="171"/>
      <c r="V118" s="171"/>
      <c r="W118" s="171"/>
      <c r="X118" s="171"/>
      <c r="Y118" s="171"/>
      <c r="Z118" s="171"/>
      <c r="AA118" s="171"/>
      <c r="AB118" s="171"/>
      <c r="AC118" s="171"/>
      <c r="AD118" s="171"/>
      <c r="AE118" s="171"/>
      <c r="AF118" s="171"/>
      <c r="AG118" s="171"/>
      <c r="AH118" s="170"/>
      <c r="AI118" s="170"/>
    </row>
    <row r="119" spans="1:35" ht="22.35" customHeight="1" thickBot="1" x14ac:dyDescent="0.25">
      <c r="A119" s="981"/>
      <c r="B119" s="748" t="s">
        <v>29</v>
      </c>
      <c r="C119" s="795">
        <v>1</v>
      </c>
      <c r="D119" s="796">
        <v>2</v>
      </c>
      <c r="E119" s="796">
        <v>3</v>
      </c>
      <c r="F119" s="796">
        <v>4</v>
      </c>
      <c r="G119" s="796">
        <v>5</v>
      </c>
      <c r="H119" s="796">
        <v>6</v>
      </c>
      <c r="I119" s="795">
        <v>7</v>
      </c>
      <c r="J119" s="795">
        <v>8</v>
      </c>
      <c r="K119" s="796">
        <v>9</v>
      </c>
      <c r="L119" s="796">
        <v>10</v>
      </c>
      <c r="M119" s="796">
        <v>11</v>
      </c>
      <c r="N119" s="796">
        <v>12</v>
      </c>
      <c r="O119" s="795">
        <v>13</v>
      </c>
      <c r="P119" s="795">
        <v>14</v>
      </c>
      <c r="Q119" s="795">
        <v>15</v>
      </c>
      <c r="R119" s="796">
        <v>16</v>
      </c>
      <c r="S119" s="796">
        <v>17</v>
      </c>
      <c r="T119" s="796">
        <v>18</v>
      </c>
      <c r="U119" s="796">
        <v>19</v>
      </c>
      <c r="V119" s="796">
        <v>20</v>
      </c>
      <c r="W119" s="795">
        <v>21</v>
      </c>
      <c r="X119" s="795">
        <v>22</v>
      </c>
      <c r="Y119" s="796">
        <v>23</v>
      </c>
      <c r="Z119" s="796">
        <v>24</v>
      </c>
      <c r="AA119" s="796">
        <v>25</v>
      </c>
      <c r="AB119" s="795">
        <v>26</v>
      </c>
      <c r="AC119" s="796">
        <v>27</v>
      </c>
      <c r="AD119" s="795">
        <v>28</v>
      </c>
      <c r="AE119" s="795">
        <v>29</v>
      </c>
      <c r="AF119" s="796">
        <v>30</v>
      </c>
      <c r="AG119" s="797">
        <v>31</v>
      </c>
      <c r="AH119" s="173"/>
      <c r="AI119" s="174"/>
    </row>
    <row r="120" spans="1:35" ht="22.35" customHeight="1" x14ac:dyDescent="0.2">
      <c r="A120" s="1007">
        <v>1</v>
      </c>
      <c r="B120" s="1065" t="s">
        <v>196</v>
      </c>
      <c r="C120" s="900"/>
      <c r="D120" s="900" t="s">
        <v>58</v>
      </c>
      <c r="E120" s="899" t="s">
        <v>58</v>
      </c>
      <c r="F120" s="899" t="s">
        <v>58</v>
      </c>
      <c r="G120" s="1038" t="s">
        <v>58</v>
      </c>
      <c r="H120" s="900" t="s">
        <v>58</v>
      </c>
      <c r="I120" s="901"/>
      <c r="J120" s="901"/>
      <c r="K120" s="900">
        <v>69</v>
      </c>
      <c r="L120" s="1038">
        <v>69</v>
      </c>
      <c r="M120" s="899">
        <v>69</v>
      </c>
      <c r="N120" s="900">
        <v>69</v>
      </c>
      <c r="O120" s="900">
        <v>69</v>
      </c>
      <c r="P120" s="900"/>
      <c r="Q120" s="900"/>
      <c r="R120" s="900">
        <v>79</v>
      </c>
      <c r="S120" s="899">
        <v>79</v>
      </c>
      <c r="T120" s="899">
        <v>79</v>
      </c>
      <c r="U120" s="900">
        <v>79</v>
      </c>
      <c r="V120" s="900">
        <v>79</v>
      </c>
      <c r="W120" s="900"/>
      <c r="X120" s="900"/>
      <c r="Y120" s="1066">
        <v>89</v>
      </c>
      <c r="Z120" s="1066">
        <v>89</v>
      </c>
      <c r="AA120" s="1066">
        <v>89</v>
      </c>
      <c r="AB120" s="1066">
        <v>89</v>
      </c>
      <c r="AC120" s="1066">
        <v>89</v>
      </c>
      <c r="AD120" s="1066">
        <v>89</v>
      </c>
      <c r="AE120" s="1066"/>
      <c r="AF120" s="1066">
        <v>99</v>
      </c>
      <c r="AG120" s="1067">
        <v>99</v>
      </c>
      <c r="AH120" s="191"/>
      <c r="AI120" s="107"/>
    </row>
    <row r="121" spans="1:35" ht="22.35" customHeight="1" x14ac:dyDescent="0.2">
      <c r="A121" s="1010">
        <v>2</v>
      </c>
      <c r="B121" s="1068" t="s">
        <v>197</v>
      </c>
      <c r="C121" s="809"/>
      <c r="D121" s="1069">
        <v>69</v>
      </c>
      <c r="E121" s="809">
        <v>69</v>
      </c>
      <c r="F121" s="809">
        <v>69</v>
      </c>
      <c r="G121" s="813">
        <v>69</v>
      </c>
      <c r="H121" s="868">
        <v>69</v>
      </c>
      <c r="I121" s="868"/>
      <c r="J121" s="868"/>
      <c r="K121" s="868">
        <v>79</v>
      </c>
      <c r="L121" s="813">
        <v>79</v>
      </c>
      <c r="M121" s="814">
        <v>79</v>
      </c>
      <c r="N121" s="813">
        <v>79</v>
      </c>
      <c r="O121" s="868">
        <v>79</v>
      </c>
      <c r="P121" s="868"/>
      <c r="Q121" s="868"/>
      <c r="R121" s="815">
        <v>89</v>
      </c>
      <c r="S121" s="868">
        <v>89</v>
      </c>
      <c r="T121" s="814">
        <v>89</v>
      </c>
      <c r="U121" s="813">
        <v>89</v>
      </c>
      <c r="V121" s="868">
        <v>89</v>
      </c>
      <c r="W121" s="868">
        <v>89</v>
      </c>
      <c r="X121" s="868"/>
      <c r="Y121" s="868">
        <v>99</v>
      </c>
      <c r="Z121" s="868">
        <v>99</v>
      </c>
      <c r="AA121" s="814">
        <v>99</v>
      </c>
      <c r="AB121" s="815">
        <v>99</v>
      </c>
      <c r="AC121" s="926" t="s">
        <v>36</v>
      </c>
      <c r="AD121" s="828"/>
      <c r="AE121" s="828"/>
      <c r="AF121" s="828" t="s">
        <v>58</v>
      </c>
      <c r="AG121" s="1070" t="s">
        <v>58</v>
      </c>
      <c r="AH121" s="192"/>
      <c r="AI121" s="168"/>
    </row>
    <row r="122" spans="1:35" ht="22.35" customHeight="1" x14ac:dyDescent="0.2">
      <c r="A122" s="1010">
        <v>3</v>
      </c>
      <c r="B122" s="1068" t="s">
        <v>198</v>
      </c>
      <c r="C122" s="1071"/>
      <c r="D122" s="1071">
        <v>79</v>
      </c>
      <c r="E122" s="1071">
        <v>79</v>
      </c>
      <c r="F122" s="1072">
        <v>79</v>
      </c>
      <c r="G122" s="813">
        <v>79</v>
      </c>
      <c r="H122" s="1072">
        <v>79</v>
      </c>
      <c r="I122" s="1072"/>
      <c r="J122" s="1071"/>
      <c r="K122" s="1072">
        <v>89</v>
      </c>
      <c r="L122" s="813">
        <v>89</v>
      </c>
      <c r="M122" s="1071">
        <v>89</v>
      </c>
      <c r="N122" s="813">
        <v>89</v>
      </c>
      <c r="O122" s="828">
        <v>89</v>
      </c>
      <c r="P122" s="1073">
        <v>89</v>
      </c>
      <c r="Q122" s="828"/>
      <c r="R122" s="813">
        <v>99</v>
      </c>
      <c r="S122" s="926">
        <v>99</v>
      </c>
      <c r="T122" s="828">
        <v>99</v>
      </c>
      <c r="U122" s="926">
        <v>99</v>
      </c>
      <c r="V122" s="1072" t="s">
        <v>36</v>
      </c>
      <c r="W122" s="1072"/>
      <c r="X122" s="817"/>
      <c r="Y122" s="1071" t="s">
        <v>60</v>
      </c>
      <c r="Z122" s="1071" t="s">
        <v>60</v>
      </c>
      <c r="AA122" s="1074" t="s">
        <v>60</v>
      </c>
      <c r="AB122" s="1072" t="s">
        <v>58</v>
      </c>
      <c r="AC122" s="1071" t="s">
        <v>58</v>
      </c>
      <c r="AD122" s="1071" t="s">
        <v>0</v>
      </c>
      <c r="AE122" s="1071" t="s">
        <v>0</v>
      </c>
      <c r="AF122" s="1072">
        <v>69</v>
      </c>
      <c r="AG122" s="1075">
        <v>69</v>
      </c>
      <c r="AH122" s="191"/>
      <c r="AI122" s="107"/>
    </row>
    <row r="123" spans="1:35" ht="22.35" customHeight="1" x14ac:dyDescent="0.2">
      <c r="A123" s="1010">
        <v>4</v>
      </c>
      <c r="B123" s="501" t="s">
        <v>199</v>
      </c>
      <c r="C123" s="814"/>
      <c r="D123" s="814">
        <v>89</v>
      </c>
      <c r="E123" s="813">
        <v>89</v>
      </c>
      <c r="F123" s="814">
        <v>89</v>
      </c>
      <c r="G123" s="814">
        <v>89</v>
      </c>
      <c r="H123" s="814">
        <v>89</v>
      </c>
      <c r="I123" s="814">
        <v>89</v>
      </c>
      <c r="J123" s="813" t="s">
        <v>57</v>
      </c>
      <c r="K123" s="814">
        <v>99</v>
      </c>
      <c r="L123" s="813">
        <v>99</v>
      </c>
      <c r="M123" s="814">
        <v>99</v>
      </c>
      <c r="N123" s="813">
        <v>99</v>
      </c>
      <c r="O123" s="814" t="s">
        <v>36</v>
      </c>
      <c r="P123" s="814"/>
      <c r="Q123" s="985"/>
      <c r="R123" s="820" t="s">
        <v>58</v>
      </c>
      <c r="S123" s="820" t="s">
        <v>200</v>
      </c>
      <c r="T123" s="1015" t="s">
        <v>58</v>
      </c>
      <c r="U123" s="814" t="s">
        <v>201</v>
      </c>
      <c r="V123" s="814" t="s">
        <v>201</v>
      </c>
      <c r="W123" s="814"/>
      <c r="X123" s="814"/>
      <c r="Y123" s="985">
        <v>69</v>
      </c>
      <c r="Z123" s="985">
        <v>69</v>
      </c>
      <c r="AA123" s="814">
        <v>69</v>
      </c>
      <c r="AB123" s="814">
        <v>69</v>
      </c>
      <c r="AC123" s="1014">
        <v>69</v>
      </c>
      <c r="AD123" s="814"/>
      <c r="AE123" s="814"/>
      <c r="AF123" s="985">
        <v>79</v>
      </c>
      <c r="AG123" s="1070">
        <v>79</v>
      </c>
      <c r="AH123" s="191"/>
      <c r="AI123" s="107"/>
    </row>
    <row r="124" spans="1:35" ht="22.35" customHeight="1" thickBot="1" x14ac:dyDescent="0.25">
      <c r="A124" s="1016">
        <v>5</v>
      </c>
      <c r="B124" s="1076" t="s">
        <v>202</v>
      </c>
      <c r="C124" s="987"/>
      <c r="D124" s="1077">
        <v>99</v>
      </c>
      <c r="E124" s="1077">
        <v>99</v>
      </c>
      <c r="F124" s="920">
        <v>99</v>
      </c>
      <c r="G124" s="796">
        <v>99</v>
      </c>
      <c r="H124" s="908" t="s">
        <v>36</v>
      </c>
      <c r="I124" s="908"/>
      <c r="J124" s="908"/>
      <c r="K124" s="937" t="s">
        <v>58</v>
      </c>
      <c r="L124" s="920" t="s">
        <v>58</v>
      </c>
      <c r="M124" s="908" t="s">
        <v>58</v>
      </c>
      <c r="N124" s="1078" t="s">
        <v>58</v>
      </c>
      <c r="O124" s="937" t="s">
        <v>58</v>
      </c>
      <c r="P124" s="987"/>
      <c r="Q124" s="1077"/>
      <c r="R124" s="1078">
        <v>69</v>
      </c>
      <c r="S124" s="796">
        <v>69</v>
      </c>
      <c r="T124" s="937" t="s">
        <v>203</v>
      </c>
      <c r="U124" s="1077">
        <v>69</v>
      </c>
      <c r="V124" s="1077">
        <v>69</v>
      </c>
      <c r="W124" s="987"/>
      <c r="X124" s="987"/>
      <c r="Y124" s="1077">
        <v>79</v>
      </c>
      <c r="Z124" s="1077">
        <v>79</v>
      </c>
      <c r="AA124" s="907">
        <v>79</v>
      </c>
      <c r="AB124" s="987">
        <v>79</v>
      </c>
      <c r="AC124" s="987">
        <v>79</v>
      </c>
      <c r="AD124" s="1077"/>
      <c r="AE124" s="1077"/>
      <c r="AF124" s="987">
        <v>89</v>
      </c>
      <c r="AG124" s="1079">
        <v>89</v>
      </c>
      <c r="AH124" s="191"/>
      <c r="AI124" s="107"/>
    </row>
    <row r="125" spans="1:35" ht="22.35" customHeight="1" x14ac:dyDescent="0.2">
      <c r="A125" s="200"/>
      <c r="B125" s="217" t="s">
        <v>0</v>
      </c>
      <c r="C125" s="218"/>
      <c r="D125" s="218"/>
      <c r="E125" s="218"/>
      <c r="F125" s="199"/>
      <c r="G125" s="216"/>
      <c r="H125" s="216"/>
      <c r="I125" s="216"/>
      <c r="J125" s="216"/>
      <c r="K125" s="216"/>
      <c r="L125" s="199"/>
      <c r="M125" s="199"/>
      <c r="N125" s="218"/>
      <c r="O125" s="218"/>
      <c r="P125" s="218"/>
      <c r="Q125" s="218"/>
      <c r="R125" s="218"/>
      <c r="S125" s="199"/>
      <c r="T125" s="219"/>
      <c r="U125" s="218"/>
      <c r="V125" s="218"/>
      <c r="W125" s="218"/>
      <c r="X125" s="218"/>
      <c r="Y125" s="218"/>
      <c r="Z125" s="220"/>
      <c r="AA125" s="220"/>
      <c r="AB125" s="218"/>
      <c r="AC125" s="218"/>
      <c r="AD125" s="218"/>
      <c r="AE125" s="218"/>
      <c r="AF125" s="218"/>
      <c r="AG125" s="220"/>
      <c r="AH125" s="191"/>
      <c r="AI125" s="107"/>
    </row>
    <row r="126" spans="1:35" ht="22.35" customHeight="1" x14ac:dyDescent="0.2">
      <c r="A126" s="109"/>
      <c r="B126" s="110"/>
      <c r="C126" s="106"/>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c r="AD126" s="106"/>
      <c r="AE126" s="106"/>
      <c r="AF126" s="106"/>
      <c r="AG126" s="106"/>
      <c r="AH126" s="107"/>
      <c r="AI126" s="107"/>
    </row>
    <row r="127" spans="1:35" ht="22.35" customHeight="1" thickBot="1" x14ac:dyDescent="0.25">
      <c r="A127" s="169" t="s">
        <v>204</v>
      </c>
      <c r="B127" s="170"/>
      <c r="C127" s="170"/>
      <c r="D127" s="171"/>
      <c r="E127" s="171"/>
      <c r="F127" s="171"/>
      <c r="G127" s="105"/>
      <c r="H127" s="171"/>
      <c r="I127" s="171"/>
      <c r="J127" s="171"/>
      <c r="K127" s="171"/>
      <c r="L127" s="171"/>
      <c r="M127" s="171"/>
      <c r="N127" s="171"/>
      <c r="O127" s="171"/>
      <c r="P127" s="171"/>
      <c r="Q127" s="171"/>
      <c r="R127" s="171"/>
      <c r="S127" s="171"/>
      <c r="T127" s="171"/>
      <c r="U127" s="171"/>
      <c r="V127" s="171"/>
      <c r="W127" s="171"/>
      <c r="X127" s="171"/>
      <c r="Y127" s="171"/>
      <c r="Z127" s="171"/>
      <c r="AA127" s="171"/>
      <c r="AB127" s="171"/>
      <c r="AC127" s="171"/>
      <c r="AD127" s="171"/>
      <c r="AE127" s="171"/>
      <c r="AF127" s="171"/>
      <c r="AG127" s="171"/>
      <c r="AH127" s="170"/>
      <c r="AI127" s="170"/>
    </row>
    <row r="128" spans="1:35" ht="22.35" customHeight="1" x14ac:dyDescent="0.2">
      <c r="A128" s="169"/>
      <c r="B128" s="1018" t="s">
        <v>186</v>
      </c>
      <c r="C128" s="1040"/>
      <c r="D128" s="1041" t="s">
        <v>107</v>
      </c>
      <c r="E128" s="1042"/>
      <c r="F128" s="1043"/>
      <c r="G128" s="1040"/>
      <c r="H128" s="1041" t="s">
        <v>108</v>
      </c>
      <c r="I128" s="1042"/>
      <c r="J128" s="1043"/>
      <c r="K128" s="1040"/>
      <c r="L128" s="1041" t="s">
        <v>109</v>
      </c>
      <c r="M128" s="1042"/>
      <c r="N128" s="1043"/>
      <c r="O128" s="1040"/>
      <c r="P128" s="1041" t="s">
        <v>110</v>
      </c>
      <c r="Q128" s="1042"/>
      <c r="R128" s="1043"/>
      <c r="S128" s="1040"/>
      <c r="T128" s="1041" t="s">
        <v>111</v>
      </c>
      <c r="U128" s="1042"/>
      <c r="V128" s="1043"/>
      <c r="W128" s="1040"/>
      <c r="X128" s="1041" t="s">
        <v>112</v>
      </c>
      <c r="Y128" s="1042"/>
      <c r="Z128" s="1043"/>
      <c r="AA128" s="1040"/>
      <c r="AB128" s="1041" t="s">
        <v>113</v>
      </c>
      <c r="AC128" s="1042"/>
      <c r="AD128" s="1042"/>
      <c r="AE128" s="1044" t="s">
        <v>114</v>
      </c>
      <c r="AF128" s="1042"/>
      <c r="AG128" s="1042"/>
      <c r="AH128" s="1042"/>
      <c r="AI128" s="1045"/>
    </row>
    <row r="129" spans="1:35" ht="22.35" customHeight="1" x14ac:dyDescent="0.2">
      <c r="A129" s="169"/>
      <c r="B129" s="737" t="s">
        <v>205</v>
      </c>
      <c r="C129" s="735" t="s">
        <v>206</v>
      </c>
      <c r="D129" s="1047"/>
      <c r="E129" s="1047"/>
      <c r="F129" s="1048"/>
      <c r="G129" s="735" t="s">
        <v>206</v>
      </c>
      <c r="H129" s="1047"/>
      <c r="I129" s="1047"/>
      <c r="J129" s="1048"/>
      <c r="K129" s="735" t="s">
        <v>206</v>
      </c>
      <c r="L129" s="1047"/>
      <c r="M129" s="1047"/>
      <c r="N129" s="1048"/>
      <c r="O129" s="735" t="s">
        <v>206</v>
      </c>
      <c r="P129" s="1047"/>
      <c r="Q129" s="1047"/>
      <c r="R129" s="1048"/>
      <c r="S129" s="735" t="s">
        <v>206</v>
      </c>
      <c r="T129" s="1047"/>
      <c r="U129" s="1047"/>
      <c r="V129" s="1048"/>
      <c r="W129" s="735" t="s">
        <v>207</v>
      </c>
      <c r="X129" s="1049"/>
      <c r="Y129" s="1049"/>
      <c r="Z129" s="1050"/>
      <c r="AA129" s="735" t="s">
        <v>207</v>
      </c>
      <c r="AB129" s="1047"/>
      <c r="AC129" s="1047"/>
      <c r="AD129" s="945"/>
      <c r="AE129" s="736">
        <v>69</v>
      </c>
      <c r="AF129" s="185"/>
      <c r="AG129" s="185"/>
      <c r="AH129" s="185"/>
      <c r="AI129" s="186"/>
    </row>
    <row r="130" spans="1:35" ht="22.35" customHeight="1" x14ac:dyDescent="0.2">
      <c r="A130" s="169"/>
      <c r="B130" s="737" t="s">
        <v>163</v>
      </c>
      <c r="C130" s="735" t="s">
        <v>171</v>
      </c>
      <c r="D130" s="1047"/>
      <c r="E130" s="1047"/>
      <c r="F130" s="1048"/>
      <c r="G130" s="735" t="s">
        <v>171</v>
      </c>
      <c r="H130" s="1047"/>
      <c r="I130" s="1047"/>
      <c r="J130" s="1048"/>
      <c r="K130" s="735" t="s">
        <v>171</v>
      </c>
      <c r="L130" s="1047"/>
      <c r="M130" s="1047"/>
      <c r="N130" s="1048"/>
      <c r="O130" s="735" t="s">
        <v>171</v>
      </c>
      <c r="P130" s="1047"/>
      <c r="Q130" s="1047"/>
      <c r="R130" s="1048"/>
      <c r="S130" s="735" t="s">
        <v>171</v>
      </c>
      <c r="T130" s="1047"/>
      <c r="U130" s="1047"/>
      <c r="V130" s="1048"/>
      <c r="W130" s="735" t="s">
        <v>171</v>
      </c>
      <c r="X130" s="1047"/>
      <c r="Y130" s="1047"/>
      <c r="Z130" s="1048"/>
      <c r="AA130" s="1047" t="s">
        <v>171</v>
      </c>
      <c r="AB130" s="1047"/>
      <c r="AC130" s="1047"/>
      <c r="AD130" s="945"/>
      <c r="AE130" s="736">
        <v>0</v>
      </c>
      <c r="AF130" s="185"/>
      <c r="AG130" s="185"/>
      <c r="AH130" s="185"/>
      <c r="AI130" s="186"/>
    </row>
    <row r="131" spans="1:35" ht="22.35" customHeight="1" x14ac:dyDescent="0.2">
      <c r="A131" s="169"/>
      <c r="B131" s="737" t="s">
        <v>208</v>
      </c>
      <c r="C131" s="735" t="s">
        <v>206</v>
      </c>
      <c r="D131" s="1047"/>
      <c r="E131" s="1047"/>
      <c r="F131" s="1048"/>
      <c r="G131" s="735" t="s">
        <v>206</v>
      </c>
      <c r="H131" s="1047"/>
      <c r="I131" s="1047"/>
      <c r="J131" s="1048"/>
      <c r="K131" s="735" t="s">
        <v>206</v>
      </c>
      <c r="L131" s="1047"/>
      <c r="M131" s="1047"/>
      <c r="N131" s="1048"/>
      <c r="O131" s="735" t="s">
        <v>206</v>
      </c>
      <c r="P131" s="1047"/>
      <c r="Q131" s="1047"/>
      <c r="R131" s="1048"/>
      <c r="S131" s="735" t="s">
        <v>206</v>
      </c>
      <c r="T131" s="1047"/>
      <c r="U131" s="1047"/>
      <c r="V131" s="1048"/>
      <c r="W131" s="735" t="s">
        <v>207</v>
      </c>
      <c r="X131" s="1049"/>
      <c r="Y131" s="1049"/>
      <c r="Z131" s="1050"/>
      <c r="AA131" s="735" t="s">
        <v>207</v>
      </c>
      <c r="AB131" s="1047"/>
      <c r="AC131" s="1047"/>
      <c r="AD131" s="945"/>
      <c r="AE131" s="736">
        <v>69</v>
      </c>
      <c r="AF131" s="1047"/>
      <c r="AG131" s="1047" t="s">
        <v>0</v>
      </c>
      <c r="AH131" s="945"/>
      <c r="AI131" s="1051"/>
    </row>
    <row r="132" spans="1:35" ht="22.35" customHeight="1" x14ac:dyDescent="0.2">
      <c r="A132" s="169"/>
      <c r="B132" s="737" t="s">
        <v>172</v>
      </c>
      <c r="C132" s="735" t="s">
        <v>171</v>
      </c>
      <c r="D132" s="1047"/>
      <c r="E132" s="1047"/>
      <c r="F132" s="1048"/>
      <c r="G132" s="735" t="s">
        <v>171</v>
      </c>
      <c r="H132" s="1047"/>
      <c r="I132" s="1047"/>
      <c r="J132" s="1048"/>
      <c r="K132" s="735" t="s">
        <v>171</v>
      </c>
      <c r="L132" s="1047"/>
      <c r="M132" s="1047"/>
      <c r="N132" s="1048"/>
      <c r="O132" s="735" t="s">
        <v>171</v>
      </c>
      <c r="P132" s="1047"/>
      <c r="Q132" s="1047"/>
      <c r="R132" s="1048"/>
      <c r="S132" s="735" t="s">
        <v>171</v>
      </c>
      <c r="T132" s="1047"/>
      <c r="U132" s="1047"/>
      <c r="V132" s="1048"/>
      <c r="W132" s="735" t="s">
        <v>171</v>
      </c>
      <c r="X132" s="1047"/>
      <c r="Y132" s="1047"/>
      <c r="Z132" s="1048"/>
      <c r="AA132" s="1047" t="s">
        <v>171</v>
      </c>
      <c r="AB132" s="1047"/>
      <c r="AC132" s="1047"/>
      <c r="AD132" s="945"/>
      <c r="AE132" s="736">
        <v>0</v>
      </c>
      <c r="AF132" s="1047"/>
      <c r="AG132" s="1047"/>
      <c r="AH132" s="945"/>
      <c r="AI132" s="1051"/>
    </row>
    <row r="133" spans="1:35" ht="22.35" customHeight="1" x14ac:dyDescent="0.2">
      <c r="A133" s="169"/>
      <c r="B133" s="737" t="s">
        <v>209</v>
      </c>
      <c r="C133" s="735" t="s">
        <v>206</v>
      </c>
      <c r="D133" s="1047"/>
      <c r="E133" s="1047"/>
      <c r="F133" s="1048"/>
      <c r="G133" s="735" t="s">
        <v>206</v>
      </c>
      <c r="H133" s="1047"/>
      <c r="I133" s="1047"/>
      <c r="J133" s="1048"/>
      <c r="K133" s="735" t="s">
        <v>206</v>
      </c>
      <c r="L133" s="1047"/>
      <c r="M133" s="1047"/>
      <c r="N133" s="1048"/>
      <c r="O133" s="735" t="s">
        <v>206</v>
      </c>
      <c r="P133" s="1047"/>
      <c r="Q133" s="1047"/>
      <c r="R133" s="1048"/>
      <c r="S133" s="735" t="s">
        <v>206</v>
      </c>
      <c r="T133" s="1047"/>
      <c r="U133" s="1047"/>
      <c r="V133" s="1048"/>
      <c r="W133" s="735" t="s">
        <v>210</v>
      </c>
      <c r="X133" s="1053"/>
      <c r="Y133" s="1053"/>
      <c r="Z133" s="582"/>
      <c r="AA133" s="735" t="s">
        <v>210</v>
      </c>
      <c r="AB133" s="1053"/>
      <c r="AC133" s="1053"/>
      <c r="AD133" s="947"/>
      <c r="AE133" s="736">
        <v>66</v>
      </c>
      <c r="AF133" s="1047"/>
      <c r="AG133" s="1047"/>
      <c r="AH133" s="945"/>
      <c r="AI133" s="1051"/>
    </row>
    <row r="134" spans="1:35" ht="22.35" customHeight="1" thickBot="1" x14ac:dyDescent="0.25">
      <c r="A134" s="169"/>
      <c r="B134" s="737" t="s">
        <v>211</v>
      </c>
      <c r="C134" s="704" t="s">
        <v>171</v>
      </c>
      <c r="D134" s="705"/>
      <c r="E134" s="705"/>
      <c r="F134" s="706"/>
      <c r="G134" s="704" t="s">
        <v>171</v>
      </c>
      <c r="H134" s="705"/>
      <c r="I134" s="705"/>
      <c r="J134" s="706"/>
      <c r="K134" s="704" t="s">
        <v>171</v>
      </c>
      <c r="L134" s="705"/>
      <c r="M134" s="705"/>
      <c r="N134" s="706"/>
      <c r="O134" s="704" t="s">
        <v>171</v>
      </c>
      <c r="P134" s="705"/>
      <c r="Q134" s="705"/>
      <c r="R134" s="706"/>
      <c r="S134" s="704" t="s">
        <v>171</v>
      </c>
      <c r="T134" s="705"/>
      <c r="U134" s="705"/>
      <c r="V134" s="1063"/>
      <c r="W134" s="704" t="s">
        <v>171</v>
      </c>
      <c r="X134" s="1063"/>
      <c r="Y134" s="705"/>
      <c r="Z134" s="706"/>
      <c r="AA134" s="704" t="s">
        <v>171</v>
      </c>
      <c r="AB134" s="1063"/>
      <c r="AC134" s="705"/>
      <c r="AD134" s="706"/>
      <c r="AE134" s="707" t="s">
        <v>212</v>
      </c>
      <c r="AF134" s="705"/>
      <c r="AG134" s="705"/>
      <c r="AH134" s="1063"/>
      <c r="AI134" s="1064"/>
    </row>
    <row r="135" spans="1:35" ht="22.35" customHeight="1" x14ac:dyDescent="0.2">
      <c r="A135" s="108"/>
      <c r="B135" s="169"/>
      <c r="C135" s="171"/>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c r="AA135" s="171"/>
      <c r="AB135" s="171"/>
      <c r="AC135" s="171"/>
      <c r="AD135" s="171"/>
      <c r="AE135" s="171"/>
      <c r="AF135" s="171"/>
      <c r="AG135" s="171"/>
      <c r="AH135" s="170"/>
      <c r="AI135" s="170"/>
    </row>
    <row r="136" spans="1:35" ht="22.35" customHeight="1" thickBot="1" x14ac:dyDescent="0.25">
      <c r="A136" s="981"/>
      <c r="B136" s="954" t="s">
        <v>29</v>
      </c>
      <c r="C136" s="795">
        <v>1</v>
      </c>
      <c r="D136" s="796">
        <v>2</v>
      </c>
      <c r="E136" s="796">
        <v>3</v>
      </c>
      <c r="F136" s="796">
        <v>4</v>
      </c>
      <c r="G136" s="796">
        <v>5</v>
      </c>
      <c r="H136" s="796">
        <v>6</v>
      </c>
      <c r="I136" s="795">
        <v>7</v>
      </c>
      <c r="J136" s="795">
        <v>8</v>
      </c>
      <c r="K136" s="796">
        <v>9</v>
      </c>
      <c r="L136" s="796">
        <v>10</v>
      </c>
      <c r="M136" s="796">
        <v>11</v>
      </c>
      <c r="N136" s="796">
        <v>12</v>
      </c>
      <c r="O136" s="795">
        <v>13</v>
      </c>
      <c r="P136" s="795">
        <v>14</v>
      </c>
      <c r="Q136" s="795">
        <v>15</v>
      </c>
      <c r="R136" s="796">
        <v>16</v>
      </c>
      <c r="S136" s="796">
        <v>17</v>
      </c>
      <c r="T136" s="796">
        <v>18</v>
      </c>
      <c r="U136" s="796">
        <v>19</v>
      </c>
      <c r="V136" s="796">
        <v>20</v>
      </c>
      <c r="W136" s="795">
        <v>21</v>
      </c>
      <c r="X136" s="795">
        <v>22</v>
      </c>
      <c r="Y136" s="796">
        <v>23</v>
      </c>
      <c r="Z136" s="796">
        <v>24</v>
      </c>
      <c r="AA136" s="796">
        <v>25</v>
      </c>
      <c r="AB136" s="795">
        <v>26</v>
      </c>
      <c r="AC136" s="796">
        <v>27</v>
      </c>
      <c r="AD136" s="795">
        <v>28</v>
      </c>
      <c r="AE136" s="795">
        <v>29</v>
      </c>
      <c r="AF136" s="796">
        <v>30</v>
      </c>
      <c r="AG136" s="797">
        <v>31</v>
      </c>
      <c r="AH136" s="173"/>
      <c r="AI136" s="174"/>
    </row>
    <row r="137" spans="1:35" ht="22.35" customHeight="1" x14ac:dyDescent="0.2">
      <c r="A137" s="1080">
        <v>1</v>
      </c>
      <c r="B137" s="215" t="s">
        <v>213</v>
      </c>
      <c r="C137" s="1081">
        <v>22</v>
      </c>
      <c r="D137" s="1081" t="s">
        <v>36</v>
      </c>
      <c r="E137" s="1081" t="s">
        <v>36</v>
      </c>
      <c r="F137" s="1081" t="s">
        <v>36</v>
      </c>
      <c r="G137" s="1082" t="s">
        <v>36</v>
      </c>
      <c r="H137" s="1081" t="s">
        <v>36</v>
      </c>
      <c r="I137" s="1083"/>
      <c r="J137" s="1082"/>
      <c r="K137" s="1081">
        <v>23</v>
      </c>
      <c r="L137" s="1083">
        <v>23</v>
      </c>
      <c r="M137" s="1082">
        <v>23</v>
      </c>
      <c r="N137" s="1082">
        <v>23</v>
      </c>
      <c r="O137" s="1081">
        <v>23</v>
      </c>
      <c r="P137" s="1081">
        <v>23</v>
      </c>
      <c r="Q137" s="1081">
        <v>23</v>
      </c>
      <c r="R137" s="1081" t="s">
        <v>36</v>
      </c>
      <c r="S137" s="1081" t="s">
        <v>36</v>
      </c>
      <c r="T137" s="1081" t="s">
        <v>36</v>
      </c>
      <c r="U137" s="1081" t="s">
        <v>36</v>
      </c>
      <c r="V137" s="1081" t="s">
        <v>36</v>
      </c>
      <c r="W137" s="1083"/>
      <c r="X137" s="1081"/>
      <c r="Y137" s="1084">
        <v>21</v>
      </c>
      <c r="Z137" s="1084">
        <v>21</v>
      </c>
      <c r="AA137" s="1084">
        <v>21</v>
      </c>
      <c r="AB137" s="1084">
        <v>21</v>
      </c>
      <c r="AC137" s="1084">
        <v>21</v>
      </c>
      <c r="AD137" s="1084">
        <v>21</v>
      </c>
      <c r="AE137" s="1084">
        <v>21</v>
      </c>
      <c r="AF137" s="1084" t="s">
        <v>36</v>
      </c>
      <c r="AG137" s="1085" t="s">
        <v>36</v>
      </c>
      <c r="AH137" s="107"/>
      <c r="AI137" s="107"/>
    </row>
    <row r="138" spans="1:35" ht="22.35" customHeight="1" x14ac:dyDescent="0.2">
      <c r="A138" s="1086">
        <v>2</v>
      </c>
      <c r="B138" s="733" t="s">
        <v>214</v>
      </c>
      <c r="C138" s="801">
        <v>23</v>
      </c>
      <c r="D138" s="801" t="s">
        <v>36</v>
      </c>
      <c r="E138" s="801" t="s">
        <v>36</v>
      </c>
      <c r="F138" s="801" t="s">
        <v>36</v>
      </c>
      <c r="G138" s="801" t="s">
        <v>36</v>
      </c>
      <c r="H138" s="801" t="s">
        <v>36</v>
      </c>
      <c r="I138" s="851"/>
      <c r="J138" s="801"/>
      <c r="K138" s="801">
        <v>21</v>
      </c>
      <c r="L138" s="851">
        <v>21</v>
      </c>
      <c r="M138" s="975">
        <v>21</v>
      </c>
      <c r="N138" s="975">
        <v>21</v>
      </c>
      <c r="O138" s="975">
        <v>21</v>
      </c>
      <c r="P138" s="975">
        <v>21</v>
      </c>
      <c r="Q138" s="975">
        <v>21</v>
      </c>
      <c r="R138" s="975" t="s">
        <v>36</v>
      </c>
      <c r="S138" s="975" t="s">
        <v>36</v>
      </c>
      <c r="T138" s="975" t="s">
        <v>36</v>
      </c>
      <c r="U138" s="975" t="s">
        <v>36</v>
      </c>
      <c r="V138" s="975" t="s">
        <v>36</v>
      </c>
      <c r="W138" s="851"/>
      <c r="X138" s="801"/>
      <c r="Y138" s="964">
        <v>22</v>
      </c>
      <c r="Z138" s="964">
        <v>22</v>
      </c>
      <c r="AA138" s="964">
        <v>22</v>
      </c>
      <c r="AB138" s="1087">
        <v>22</v>
      </c>
      <c r="AC138" s="1087">
        <v>22</v>
      </c>
      <c r="AD138" s="1087">
        <v>22</v>
      </c>
      <c r="AE138" s="1087" t="s">
        <v>215</v>
      </c>
      <c r="AF138" s="975" t="s">
        <v>36</v>
      </c>
      <c r="AG138" s="613" t="s">
        <v>36</v>
      </c>
      <c r="AH138" s="107"/>
      <c r="AI138" s="107"/>
    </row>
    <row r="139" spans="1:35" ht="22.35" customHeight="1" x14ac:dyDescent="0.2">
      <c r="A139" s="1086">
        <v>3</v>
      </c>
      <c r="B139" s="733"/>
      <c r="C139" s="801">
        <v>21</v>
      </c>
      <c r="D139" s="801" t="s">
        <v>36</v>
      </c>
      <c r="E139" s="801" t="s">
        <v>36</v>
      </c>
      <c r="F139" s="801" t="s">
        <v>36</v>
      </c>
      <c r="G139" s="975" t="s">
        <v>36</v>
      </c>
      <c r="H139" s="975" t="s">
        <v>36</v>
      </c>
      <c r="I139" s="848"/>
      <c r="J139" s="848"/>
      <c r="K139" s="848">
        <v>22</v>
      </c>
      <c r="L139" s="848">
        <v>22</v>
      </c>
      <c r="M139" s="848">
        <v>22</v>
      </c>
      <c r="N139" s="848">
        <v>22</v>
      </c>
      <c r="O139" s="848">
        <v>22</v>
      </c>
      <c r="P139" s="801">
        <v>22</v>
      </c>
      <c r="Q139" s="801">
        <v>22</v>
      </c>
      <c r="R139" s="980" t="s">
        <v>36</v>
      </c>
      <c r="S139" s="980" t="s">
        <v>36</v>
      </c>
      <c r="T139" s="801" t="s">
        <v>36</v>
      </c>
      <c r="U139" s="975" t="s">
        <v>36</v>
      </c>
      <c r="V139" s="975" t="s">
        <v>36</v>
      </c>
      <c r="W139" s="851"/>
      <c r="X139" s="801"/>
      <c r="Y139" s="801">
        <v>23</v>
      </c>
      <c r="Z139" s="851">
        <v>23</v>
      </c>
      <c r="AA139" s="801">
        <v>23</v>
      </c>
      <c r="AB139" s="801">
        <v>23</v>
      </c>
      <c r="AC139" s="801">
        <v>23</v>
      </c>
      <c r="AD139" s="801">
        <v>23</v>
      </c>
      <c r="AE139" s="801">
        <v>23</v>
      </c>
      <c r="AF139" s="801" t="s">
        <v>36</v>
      </c>
      <c r="AG139" s="613" t="s">
        <v>36</v>
      </c>
      <c r="AH139" s="107"/>
      <c r="AI139" s="107"/>
    </row>
    <row r="140" spans="1:35" ht="22.35" customHeight="1" x14ac:dyDescent="0.2">
      <c r="A140" s="1086">
        <v>4</v>
      </c>
      <c r="B140" s="733" t="s">
        <v>216</v>
      </c>
      <c r="C140" s="801"/>
      <c r="D140" s="801">
        <v>22</v>
      </c>
      <c r="E140" s="851">
        <v>22</v>
      </c>
      <c r="F140" s="801">
        <v>22</v>
      </c>
      <c r="G140" s="801">
        <v>22</v>
      </c>
      <c r="H140" s="801">
        <v>22</v>
      </c>
      <c r="I140" s="801">
        <v>22</v>
      </c>
      <c r="J140" s="801">
        <v>22</v>
      </c>
      <c r="K140" s="801" t="s">
        <v>36</v>
      </c>
      <c r="L140" s="801" t="s">
        <v>36</v>
      </c>
      <c r="M140" s="801" t="s">
        <v>36</v>
      </c>
      <c r="N140" s="801" t="s">
        <v>36</v>
      </c>
      <c r="O140" s="848" t="s">
        <v>36</v>
      </c>
      <c r="P140" s="848"/>
      <c r="Q140" s="848"/>
      <c r="R140" s="848">
        <v>23</v>
      </c>
      <c r="S140" s="848">
        <v>23</v>
      </c>
      <c r="T140" s="848">
        <v>23</v>
      </c>
      <c r="U140" s="848">
        <v>23</v>
      </c>
      <c r="V140" s="848">
        <v>23</v>
      </c>
      <c r="W140" s="801">
        <v>23</v>
      </c>
      <c r="X140" s="801">
        <v>23</v>
      </c>
      <c r="Y140" s="801" t="s">
        <v>36</v>
      </c>
      <c r="Z140" s="801" t="s">
        <v>36</v>
      </c>
      <c r="AA140" s="801" t="s">
        <v>36</v>
      </c>
      <c r="AB140" s="801" t="s">
        <v>36</v>
      </c>
      <c r="AC140" s="801" t="s">
        <v>36</v>
      </c>
      <c r="AD140" s="851"/>
      <c r="AE140" s="801"/>
      <c r="AF140" s="964">
        <v>21</v>
      </c>
      <c r="AG140" s="1088">
        <v>21</v>
      </c>
      <c r="AH140" s="107"/>
      <c r="AI140" s="107"/>
    </row>
    <row r="141" spans="1:35" ht="22.35" customHeight="1" x14ac:dyDescent="0.2">
      <c r="A141" s="1086">
        <v>5</v>
      </c>
      <c r="B141" s="733" t="s">
        <v>217</v>
      </c>
      <c r="C141" s="801"/>
      <c r="D141" s="801">
        <v>23</v>
      </c>
      <c r="E141" s="851">
        <v>23</v>
      </c>
      <c r="F141" s="975">
        <v>23</v>
      </c>
      <c r="G141" s="801">
        <v>23</v>
      </c>
      <c r="H141" s="801">
        <v>23</v>
      </c>
      <c r="I141" s="801">
        <v>23</v>
      </c>
      <c r="J141" s="801">
        <v>23</v>
      </c>
      <c r="K141" s="801" t="s">
        <v>36</v>
      </c>
      <c r="L141" s="801" t="s">
        <v>36</v>
      </c>
      <c r="M141" s="801" t="s">
        <v>36</v>
      </c>
      <c r="N141" s="801" t="s">
        <v>36</v>
      </c>
      <c r="O141" s="801" t="s">
        <v>36</v>
      </c>
      <c r="P141" s="851"/>
      <c r="Q141" s="801"/>
      <c r="R141" s="801">
        <v>21</v>
      </c>
      <c r="S141" s="851">
        <v>21</v>
      </c>
      <c r="T141" s="801">
        <v>21</v>
      </c>
      <c r="U141" s="801">
        <v>21</v>
      </c>
      <c r="V141" s="801">
        <v>21</v>
      </c>
      <c r="W141" s="801">
        <v>21</v>
      </c>
      <c r="X141" s="801">
        <v>21</v>
      </c>
      <c r="Y141" s="801" t="s">
        <v>36</v>
      </c>
      <c r="Z141" s="801" t="s">
        <v>36</v>
      </c>
      <c r="AA141" s="801" t="s">
        <v>36</v>
      </c>
      <c r="AB141" s="1089" t="s">
        <v>36</v>
      </c>
      <c r="AC141" s="1089" t="s">
        <v>36</v>
      </c>
      <c r="AD141" s="1089" t="s">
        <v>0</v>
      </c>
      <c r="AE141" s="1089" t="s">
        <v>0</v>
      </c>
      <c r="AF141" s="801">
        <v>22</v>
      </c>
      <c r="AG141" s="978">
        <v>22</v>
      </c>
      <c r="AH141" s="107"/>
      <c r="AI141" s="107"/>
    </row>
    <row r="142" spans="1:35" ht="22.35" customHeight="1" thickBot="1" x14ac:dyDescent="0.25">
      <c r="A142" s="1090">
        <v>6</v>
      </c>
      <c r="B142" s="1091" t="s">
        <v>218</v>
      </c>
      <c r="C142" s="863"/>
      <c r="D142" s="863">
        <v>21</v>
      </c>
      <c r="E142" s="1092">
        <v>21</v>
      </c>
      <c r="F142" s="863">
        <v>21</v>
      </c>
      <c r="G142" s="863">
        <v>21</v>
      </c>
      <c r="H142" s="1093">
        <v>21</v>
      </c>
      <c r="I142" s="1093">
        <v>21</v>
      </c>
      <c r="J142" s="1093">
        <v>21</v>
      </c>
      <c r="K142" s="1093" t="s">
        <v>36</v>
      </c>
      <c r="L142" s="1093" t="s">
        <v>36</v>
      </c>
      <c r="M142" s="1093" t="s">
        <v>36</v>
      </c>
      <c r="N142" s="865" t="s">
        <v>36</v>
      </c>
      <c r="O142" s="865" t="s">
        <v>36</v>
      </c>
      <c r="P142" s="1092"/>
      <c r="Q142" s="863"/>
      <c r="R142" s="863">
        <v>22</v>
      </c>
      <c r="S142" s="1092">
        <v>22</v>
      </c>
      <c r="T142" s="863">
        <v>22</v>
      </c>
      <c r="U142" s="863">
        <v>22</v>
      </c>
      <c r="V142" s="863">
        <v>22</v>
      </c>
      <c r="W142" s="863">
        <v>22</v>
      </c>
      <c r="X142" s="863">
        <v>22</v>
      </c>
      <c r="Y142" s="863" t="s">
        <v>36</v>
      </c>
      <c r="Z142" s="863" t="s">
        <v>36</v>
      </c>
      <c r="AA142" s="863" t="s">
        <v>36</v>
      </c>
      <c r="AB142" s="865" t="s">
        <v>36</v>
      </c>
      <c r="AC142" s="865" t="s">
        <v>36</v>
      </c>
      <c r="AD142" s="1092"/>
      <c r="AE142" s="863"/>
      <c r="AF142" s="863">
        <v>23</v>
      </c>
      <c r="AG142" s="1094">
        <v>23</v>
      </c>
      <c r="AH142" s="107"/>
      <c r="AI142" s="107"/>
    </row>
    <row r="143" spans="1:35" ht="22.35" customHeight="1" x14ac:dyDescent="0.2">
      <c r="A143" s="200"/>
      <c r="B143" s="198"/>
      <c r="C143" s="199"/>
      <c r="D143" s="199"/>
      <c r="E143" s="216"/>
      <c r="F143" s="199"/>
      <c r="G143" s="199"/>
      <c r="H143" s="221"/>
      <c r="I143" s="221"/>
      <c r="J143" s="221"/>
      <c r="K143" s="221"/>
      <c r="L143" s="221"/>
      <c r="M143" s="221"/>
      <c r="N143" s="192"/>
      <c r="O143" s="192"/>
      <c r="P143" s="216"/>
      <c r="Q143" s="199"/>
      <c r="R143" s="199"/>
      <c r="S143" s="216"/>
      <c r="T143" s="199"/>
      <c r="U143" s="199"/>
      <c r="V143" s="199"/>
      <c r="W143" s="199"/>
      <c r="X143" s="199"/>
      <c r="Y143" s="199"/>
      <c r="Z143" s="199"/>
      <c r="AA143" s="199"/>
      <c r="AB143" s="192"/>
      <c r="AC143" s="192"/>
      <c r="AD143" s="216"/>
      <c r="AE143" s="199"/>
      <c r="AF143" s="199"/>
      <c r="AG143" s="216"/>
      <c r="AH143" s="107"/>
      <c r="AI143" s="107"/>
    </row>
    <row r="144" spans="1:35" ht="22.35" customHeight="1" x14ac:dyDescent="0.2">
      <c r="A144" s="109"/>
      <c r="B144" s="110"/>
      <c r="C144" s="183"/>
      <c r="D144" s="183"/>
      <c r="E144" s="168"/>
      <c r="F144" s="183"/>
      <c r="G144" s="183"/>
      <c r="H144" s="183"/>
      <c r="I144" s="183"/>
      <c r="J144" s="183"/>
      <c r="K144" s="183"/>
      <c r="L144" s="183"/>
      <c r="M144" s="183"/>
      <c r="N144" s="183"/>
      <c r="O144" s="183"/>
      <c r="P144" s="168"/>
      <c r="Q144" s="183"/>
      <c r="R144" s="183"/>
      <c r="S144" s="168"/>
      <c r="T144" s="183"/>
      <c r="U144" s="183"/>
      <c r="V144" s="183"/>
      <c r="W144" s="183"/>
      <c r="X144" s="183"/>
      <c r="Y144" s="183"/>
      <c r="Z144" s="183"/>
      <c r="AA144" s="183"/>
      <c r="AB144" s="183"/>
      <c r="AC144" s="184"/>
      <c r="AD144" s="184"/>
      <c r="AE144" s="184"/>
      <c r="AF144" s="183"/>
      <c r="AG144" s="168"/>
      <c r="AH144" s="107"/>
      <c r="AI144" s="107"/>
    </row>
    <row r="145" spans="1:35" ht="22.35" customHeight="1" thickBot="1" x14ac:dyDescent="0.25">
      <c r="A145" s="158" t="s">
        <v>219</v>
      </c>
      <c r="D145" s="72"/>
      <c r="E145" s="72"/>
      <c r="F145" s="72"/>
      <c r="G145" s="105"/>
      <c r="H145" s="72"/>
      <c r="I145" s="72"/>
      <c r="J145" s="72"/>
      <c r="K145" s="72"/>
      <c r="L145" s="72"/>
      <c r="M145" s="72"/>
      <c r="N145" s="72"/>
      <c r="O145" s="72"/>
      <c r="P145" s="72"/>
      <c r="Q145" s="72"/>
      <c r="R145" s="72"/>
      <c r="S145" s="72"/>
      <c r="T145" s="72"/>
      <c r="U145" s="72"/>
      <c r="V145" s="72"/>
      <c r="W145" s="72"/>
      <c r="X145" s="72"/>
      <c r="Y145" s="72"/>
      <c r="Z145" s="72"/>
      <c r="AA145" s="72"/>
      <c r="AB145" s="72"/>
      <c r="AC145" s="72"/>
      <c r="AD145" s="72"/>
      <c r="AE145" s="72"/>
      <c r="AF145" s="72"/>
      <c r="AG145" s="72"/>
    </row>
    <row r="146" spans="1:35" ht="22.35" customHeight="1" x14ac:dyDescent="0.2">
      <c r="A146" s="1"/>
      <c r="B146" s="1018" t="s">
        <v>186</v>
      </c>
      <c r="C146" s="1001"/>
      <c r="D146" s="1041" t="s">
        <v>107</v>
      </c>
      <c r="E146" s="876"/>
      <c r="F146" s="994"/>
      <c r="G146" s="1001"/>
      <c r="H146" s="1041" t="s">
        <v>108</v>
      </c>
      <c r="I146" s="876"/>
      <c r="J146" s="994"/>
      <c r="K146" s="1001"/>
      <c r="L146" s="1041" t="s">
        <v>109</v>
      </c>
      <c r="M146" s="876"/>
      <c r="N146" s="994"/>
      <c r="O146" s="1001"/>
      <c r="P146" s="1041" t="s">
        <v>110</v>
      </c>
      <c r="Q146" s="876"/>
      <c r="R146" s="994"/>
      <c r="S146" s="1001"/>
      <c r="T146" s="1041" t="s">
        <v>111</v>
      </c>
      <c r="U146" s="876"/>
      <c r="V146" s="994"/>
      <c r="W146" s="1001"/>
      <c r="X146" s="1041" t="s">
        <v>112</v>
      </c>
      <c r="Y146" s="876"/>
      <c r="Z146" s="994"/>
      <c r="AA146" s="1001"/>
      <c r="AB146" s="1041" t="s">
        <v>113</v>
      </c>
      <c r="AC146" s="876"/>
      <c r="AD146" s="876"/>
      <c r="AE146" s="1044" t="s">
        <v>114</v>
      </c>
      <c r="AF146" s="876"/>
      <c r="AG146" s="876"/>
      <c r="AH146" s="876"/>
      <c r="AI146" s="877"/>
    </row>
    <row r="147" spans="1:35" ht="22.35" customHeight="1" x14ac:dyDescent="0.2">
      <c r="A147" s="1"/>
      <c r="B147" s="737" t="s">
        <v>159</v>
      </c>
      <c r="C147" s="735" t="s">
        <v>187</v>
      </c>
      <c r="D147" s="743"/>
      <c r="E147" s="743"/>
      <c r="F147" s="1048"/>
      <c r="G147" s="735" t="s">
        <v>187</v>
      </c>
      <c r="H147" s="743"/>
      <c r="I147" s="743"/>
      <c r="J147" s="1048"/>
      <c r="K147" s="735" t="s">
        <v>187</v>
      </c>
      <c r="L147" s="743"/>
      <c r="M147" s="743"/>
      <c r="N147" s="1048"/>
      <c r="O147" s="735" t="s">
        <v>220</v>
      </c>
      <c r="P147" s="743"/>
      <c r="Q147" s="743"/>
      <c r="R147" s="1048"/>
      <c r="S147" s="735" t="s">
        <v>171</v>
      </c>
      <c r="T147" s="743"/>
      <c r="U147" s="743"/>
      <c r="V147" s="1048"/>
      <c r="W147" s="1095"/>
      <c r="X147" s="1096"/>
      <c r="Y147" s="1096"/>
      <c r="Z147" s="1050"/>
      <c r="AA147" s="1046"/>
      <c r="AB147" s="743"/>
      <c r="AC147" s="743"/>
      <c r="AD147" s="945"/>
      <c r="AE147" s="736">
        <v>27</v>
      </c>
      <c r="AF147" s="743"/>
      <c r="AG147" s="743"/>
      <c r="AH147" s="945"/>
      <c r="AI147" s="788"/>
    </row>
    <row r="148" spans="1:35" ht="22.35" customHeight="1" x14ac:dyDescent="0.2">
      <c r="A148" s="1"/>
      <c r="B148" s="737" t="s">
        <v>163</v>
      </c>
      <c r="C148" s="735" t="s">
        <v>221</v>
      </c>
      <c r="D148" s="743"/>
      <c r="E148" s="743"/>
      <c r="F148" s="1048"/>
      <c r="G148" s="735" t="s">
        <v>221</v>
      </c>
      <c r="H148" s="743"/>
      <c r="I148" s="743"/>
      <c r="J148" s="1048"/>
      <c r="K148" s="735" t="s">
        <v>221</v>
      </c>
      <c r="L148" s="743"/>
      <c r="M148" s="743"/>
      <c r="N148" s="1048"/>
      <c r="O148" s="735" t="s">
        <v>221</v>
      </c>
      <c r="P148" s="743"/>
      <c r="Q148" s="743"/>
      <c r="R148" s="1048"/>
      <c r="S148" s="735" t="s">
        <v>187</v>
      </c>
      <c r="T148" s="743"/>
      <c r="U148" s="743"/>
      <c r="V148" s="1048"/>
      <c r="W148" s="735"/>
      <c r="X148" s="743"/>
      <c r="Y148" s="743"/>
      <c r="Z148" s="1048"/>
      <c r="AA148" s="743"/>
      <c r="AB148" s="743"/>
      <c r="AC148" s="743"/>
      <c r="AD148" s="945"/>
      <c r="AE148" s="736">
        <v>39</v>
      </c>
      <c r="AF148" s="743"/>
      <c r="AG148" s="743"/>
      <c r="AH148" s="945"/>
      <c r="AI148" s="788"/>
    </row>
    <row r="149" spans="1:35" ht="22.35" customHeight="1" x14ac:dyDescent="0.2">
      <c r="A149" s="1"/>
      <c r="B149" s="737" t="s">
        <v>170</v>
      </c>
      <c r="C149" s="735" t="s">
        <v>221</v>
      </c>
      <c r="D149" s="743"/>
      <c r="E149" s="743"/>
      <c r="F149" s="1048"/>
      <c r="G149" s="735" t="s">
        <v>221</v>
      </c>
      <c r="H149" s="743"/>
      <c r="I149" s="743"/>
      <c r="J149" s="1048"/>
      <c r="K149" s="735" t="s">
        <v>221</v>
      </c>
      <c r="L149" s="743"/>
      <c r="M149" s="743"/>
      <c r="N149" s="1048"/>
      <c r="O149" s="735" t="s">
        <v>221</v>
      </c>
      <c r="P149" s="743"/>
      <c r="Q149" s="743"/>
      <c r="R149" s="1048"/>
      <c r="S149" s="735" t="s">
        <v>221</v>
      </c>
      <c r="T149" s="743"/>
      <c r="U149" s="743"/>
      <c r="V149" s="1048"/>
      <c r="W149" s="946" t="s">
        <v>222</v>
      </c>
      <c r="X149" s="740"/>
      <c r="Y149" s="740"/>
      <c r="Z149" s="582"/>
      <c r="AA149" s="1052"/>
      <c r="AB149" s="740"/>
      <c r="AC149" s="740"/>
      <c r="AD149" s="947"/>
      <c r="AE149" s="736">
        <v>45</v>
      </c>
      <c r="AF149" s="743"/>
      <c r="AG149" s="743"/>
      <c r="AH149" s="945"/>
      <c r="AI149" s="788"/>
    </row>
    <row r="150" spans="1:35" ht="22.35" customHeight="1" thickBot="1" x14ac:dyDescent="0.25">
      <c r="A150" s="1"/>
      <c r="B150" s="223" t="s">
        <v>172</v>
      </c>
      <c r="C150" s="704"/>
      <c r="D150" s="734"/>
      <c r="E150" s="734"/>
      <c r="F150" s="706"/>
      <c r="G150" s="704"/>
      <c r="H150" s="734"/>
      <c r="I150" s="734"/>
      <c r="J150" s="706"/>
      <c r="K150" s="704"/>
      <c r="L150" s="734"/>
      <c r="M150" s="734"/>
      <c r="N150" s="706"/>
      <c r="O150" s="704"/>
      <c r="P150" s="734"/>
      <c r="Q150" s="734"/>
      <c r="R150" s="706"/>
      <c r="S150" s="704"/>
      <c r="T150" s="734"/>
      <c r="U150" s="734"/>
      <c r="V150" s="1063"/>
      <c r="W150" s="704"/>
      <c r="X150" s="1063"/>
      <c r="Y150" s="734"/>
      <c r="Z150" s="706"/>
      <c r="AA150" s="704"/>
      <c r="AB150" s="1063"/>
      <c r="AC150" s="734"/>
      <c r="AD150" s="706"/>
      <c r="AE150" s="713"/>
      <c r="AF150" s="734"/>
      <c r="AG150" s="734"/>
      <c r="AH150" s="1063"/>
      <c r="AI150" s="894"/>
    </row>
    <row r="151" spans="1:35" ht="22.35" customHeight="1" x14ac:dyDescent="0.2">
      <c r="A151" s="108"/>
      <c r="B151" s="1"/>
      <c r="C151" s="72"/>
      <c r="D151" s="72"/>
      <c r="E151" s="72"/>
      <c r="F151" s="72"/>
      <c r="G151" s="72"/>
      <c r="H151" s="72"/>
      <c r="I151" s="72"/>
      <c r="J151" s="72"/>
      <c r="K151" s="72"/>
      <c r="L151" s="72"/>
      <c r="M151" s="72"/>
      <c r="N151" s="72"/>
      <c r="O151" s="72"/>
      <c r="P151" s="72"/>
      <c r="Q151" s="72"/>
      <c r="R151" s="72"/>
      <c r="S151" s="72"/>
      <c r="T151" s="72"/>
      <c r="U151" s="72"/>
      <c r="V151" s="72"/>
      <c r="W151" s="72"/>
      <c r="X151" s="72"/>
      <c r="Y151" s="72"/>
      <c r="Z151" s="72"/>
      <c r="AA151" s="72"/>
      <c r="AB151" s="72"/>
      <c r="AC151" s="72"/>
      <c r="AD151" s="72"/>
      <c r="AE151" s="72"/>
      <c r="AF151" s="72"/>
      <c r="AG151" s="72"/>
    </row>
    <row r="152" spans="1:35" ht="22.35" customHeight="1" thickBot="1" x14ac:dyDescent="0.25">
      <c r="A152" s="981"/>
      <c r="B152" s="748" t="s">
        <v>29</v>
      </c>
      <c r="C152" s="795">
        <v>1</v>
      </c>
      <c r="D152" s="796">
        <v>2</v>
      </c>
      <c r="E152" s="796">
        <v>3</v>
      </c>
      <c r="F152" s="796">
        <v>4</v>
      </c>
      <c r="G152" s="796">
        <v>5</v>
      </c>
      <c r="H152" s="796">
        <v>6</v>
      </c>
      <c r="I152" s="795">
        <v>7</v>
      </c>
      <c r="J152" s="795">
        <v>8</v>
      </c>
      <c r="K152" s="796">
        <v>9</v>
      </c>
      <c r="L152" s="796">
        <v>10</v>
      </c>
      <c r="M152" s="796">
        <v>11</v>
      </c>
      <c r="N152" s="796">
        <v>12</v>
      </c>
      <c r="O152" s="795">
        <v>13</v>
      </c>
      <c r="P152" s="795">
        <v>14</v>
      </c>
      <c r="Q152" s="795">
        <v>15</v>
      </c>
      <c r="R152" s="796">
        <v>16</v>
      </c>
      <c r="S152" s="796">
        <v>17</v>
      </c>
      <c r="T152" s="796">
        <v>18</v>
      </c>
      <c r="U152" s="796">
        <v>19</v>
      </c>
      <c r="V152" s="796">
        <v>20</v>
      </c>
      <c r="W152" s="795">
        <v>21</v>
      </c>
      <c r="X152" s="795">
        <v>22</v>
      </c>
      <c r="Y152" s="796">
        <v>23</v>
      </c>
      <c r="Z152" s="796">
        <v>24</v>
      </c>
      <c r="AA152" s="796">
        <v>25</v>
      </c>
      <c r="AB152" s="795">
        <v>26</v>
      </c>
      <c r="AC152" s="796">
        <v>27</v>
      </c>
      <c r="AD152" s="795">
        <v>28</v>
      </c>
      <c r="AE152" s="795">
        <v>29</v>
      </c>
      <c r="AF152" s="796">
        <v>30</v>
      </c>
      <c r="AG152" s="797">
        <v>31</v>
      </c>
      <c r="AH152" s="173"/>
      <c r="AI152" s="174"/>
    </row>
    <row r="153" spans="1:35" ht="22.35" customHeight="1" thickBot="1" x14ac:dyDescent="0.25">
      <c r="A153" s="1007">
        <v>1</v>
      </c>
      <c r="B153" s="1097" t="s">
        <v>223</v>
      </c>
      <c r="C153" s="1098"/>
      <c r="D153" s="1098" t="s">
        <v>32</v>
      </c>
      <c r="E153" s="1098" t="s">
        <v>32</v>
      </c>
      <c r="F153" s="1098" t="s">
        <v>32</v>
      </c>
      <c r="G153" s="1099" t="s">
        <v>32</v>
      </c>
      <c r="H153" s="1100" t="s">
        <v>32</v>
      </c>
      <c r="I153" s="1098"/>
      <c r="J153" s="1098"/>
      <c r="K153" s="1098" t="s">
        <v>32</v>
      </c>
      <c r="L153" s="1099" t="s">
        <v>32</v>
      </c>
      <c r="M153" s="1098" t="s">
        <v>32</v>
      </c>
      <c r="N153" s="1101" t="s">
        <v>32</v>
      </c>
      <c r="O153" s="1101" t="s">
        <v>32</v>
      </c>
      <c r="P153" s="1101"/>
      <c r="Q153" s="1098"/>
      <c r="R153" s="1102" t="s">
        <v>32</v>
      </c>
      <c r="S153" s="1101" t="s">
        <v>32</v>
      </c>
      <c r="T153" s="1098" t="s">
        <v>32</v>
      </c>
      <c r="U153" s="1102" t="s">
        <v>32</v>
      </c>
      <c r="V153" s="1102" t="s">
        <v>32</v>
      </c>
      <c r="W153" s="1102"/>
      <c r="X153" s="1103"/>
      <c r="Y153" s="1098" t="s">
        <v>32</v>
      </c>
      <c r="Z153" s="1098" t="s">
        <v>32</v>
      </c>
      <c r="AA153" s="1098" t="s">
        <v>32</v>
      </c>
      <c r="AB153" s="1098" t="s">
        <v>32</v>
      </c>
      <c r="AC153" s="1100" t="s">
        <v>32</v>
      </c>
      <c r="AD153" s="1098"/>
      <c r="AE153" s="1098"/>
      <c r="AF153" s="1100" t="s">
        <v>32</v>
      </c>
      <c r="AG153" s="1104" t="s">
        <v>32</v>
      </c>
      <c r="AH153" s="203"/>
      <c r="AI153" s="179"/>
    </row>
    <row r="154" spans="1:35" ht="22.35" customHeight="1" x14ac:dyDescent="0.2">
      <c r="A154" s="1010">
        <v>2</v>
      </c>
      <c r="B154" s="1105" t="s">
        <v>224</v>
      </c>
      <c r="C154" s="1081"/>
      <c r="D154" s="1081" t="s">
        <v>225</v>
      </c>
      <c r="E154" s="1081" t="s">
        <v>225</v>
      </c>
      <c r="F154" s="1106" t="s">
        <v>225</v>
      </c>
      <c r="G154" s="1081" t="s">
        <v>225</v>
      </c>
      <c r="H154" s="1081" t="s">
        <v>225</v>
      </c>
      <c r="I154" s="1081"/>
      <c r="J154" s="1081"/>
      <c r="K154" s="1081" t="s">
        <v>154</v>
      </c>
      <c r="L154" s="1081" t="s">
        <v>154</v>
      </c>
      <c r="M154" s="1081" t="s">
        <v>154</v>
      </c>
      <c r="N154" s="1081" t="s">
        <v>154</v>
      </c>
      <c r="O154" s="1081" t="s">
        <v>154</v>
      </c>
      <c r="P154" s="1081" t="s">
        <v>154</v>
      </c>
      <c r="Q154" s="1081"/>
      <c r="R154" s="1081" t="s">
        <v>226</v>
      </c>
      <c r="S154" s="1081" t="s">
        <v>226</v>
      </c>
      <c r="T154" s="1081" t="s">
        <v>226</v>
      </c>
      <c r="U154" s="1081" t="s">
        <v>226</v>
      </c>
      <c r="V154" s="1081" t="s">
        <v>36</v>
      </c>
      <c r="W154" s="1081"/>
      <c r="X154" s="1107"/>
      <c r="Y154" s="1081" t="s">
        <v>225</v>
      </c>
      <c r="Z154" s="1081" t="s">
        <v>225</v>
      </c>
      <c r="AA154" s="1081" t="s">
        <v>225</v>
      </c>
      <c r="AB154" s="1081" t="s">
        <v>225</v>
      </c>
      <c r="AC154" s="1084" t="s">
        <v>225</v>
      </c>
      <c r="AD154" s="1081"/>
      <c r="AE154" s="1081"/>
      <c r="AF154" s="1081" t="s">
        <v>154</v>
      </c>
      <c r="AG154" s="1108" t="s">
        <v>154</v>
      </c>
      <c r="AH154" s="203"/>
      <c r="AI154" s="179"/>
    </row>
    <row r="155" spans="1:35" ht="22.35" customHeight="1" x14ac:dyDescent="0.2">
      <c r="A155" s="1010">
        <v>3</v>
      </c>
      <c r="B155" s="1109" t="s">
        <v>227</v>
      </c>
      <c r="C155" s="644"/>
      <c r="D155" s="644" t="s">
        <v>154</v>
      </c>
      <c r="E155" s="644" t="s">
        <v>154</v>
      </c>
      <c r="F155" s="644" t="s">
        <v>154</v>
      </c>
      <c r="G155" s="644" t="s">
        <v>154</v>
      </c>
      <c r="H155" s="644" t="s">
        <v>154</v>
      </c>
      <c r="I155" s="644" t="s">
        <v>154</v>
      </c>
      <c r="J155" s="644"/>
      <c r="K155" s="644" t="s">
        <v>226</v>
      </c>
      <c r="L155" s="644" t="s">
        <v>226</v>
      </c>
      <c r="M155" s="644" t="s">
        <v>226</v>
      </c>
      <c r="N155" s="644" t="s">
        <v>226</v>
      </c>
      <c r="O155" s="851" t="s">
        <v>36</v>
      </c>
      <c r="P155" s="851"/>
      <c r="Q155" s="644"/>
      <c r="R155" s="644" t="s">
        <v>225</v>
      </c>
      <c r="S155" s="644" t="s">
        <v>225</v>
      </c>
      <c r="T155" s="644" t="s">
        <v>225</v>
      </c>
      <c r="U155" s="644" t="s">
        <v>225</v>
      </c>
      <c r="V155" s="644" t="s">
        <v>225</v>
      </c>
      <c r="W155" s="644"/>
      <c r="X155" s="845"/>
      <c r="Y155" s="644" t="s">
        <v>154</v>
      </c>
      <c r="Z155" s="644" t="s">
        <v>154</v>
      </c>
      <c r="AA155" s="644" t="s">
        <v>154</v>
      </c>
      <c r="AB155" s="644" t="s">
        <v>154</v>
      </c>
      <c r="AC155" s="644" t="s">
        <v>154</v>
      </c>
      <c r="AD155" s="644" t="s">
        <v>154</v>
      </c>
      <c r="AE155" s="644"/>
      <c r="AF155" s="644" t="s">
        <v>226</v>
      </c>
      <c r="AG155" s="613" t="s">
        <v>226</v>
      </c>
      <c r="AH155" s="203"/>
      <c r="AI155" s="179"/>
    </row>
    <row r="156" spans="1:35" ht="22.35" customHeight="1" x14ac:dyDescent="0.2">
      <c r="A156" s="1010">
        <v>4</v>
      </c>
      <c r="B156" s="1109" t="s">
        <v>228</v>
      </c>
      <c r="C156" s="644"/>
      <c r="D156" s="644"/>
      <c r="E156" s="644" t="s">
        <v>229</v>
      </c>
      <c r="F156" s="644" t="s">
        <v>32</v>
      </c>
      <c r="G156" s="644"/>
      <c r="H156" s="1110" t="s">
        <v>32</v>
      </c>
      <c r="I156" s="1110"/>
      <c r="J156" s="1110"/>
      <c r="K156" s="1110"/>
      <c r="L156" s="644" t="s">
        <v>229</v>
      </c>
      <c r="M156" s="644" t="s">
        <v>32</v>
      </c>
      <c r="N156" s="644"/>
      <c r="O156" s="644" t="s">
        <v>32</v>
      </c>
      <c r="P156" s="644"/>
      <c r="Q156" s="644"/>
      <c r="R156" s="644"/>
      <c r="S156" s="1110" t="s">
        <v>32</v>
      </c>
      <c r="T156" s="644"/>
      <c r="U156" s="644"/>
      <c r="V156" s="1110" t="s">
        <v>32</v>
      </c>
      <c r="W156" s="644" t="s">
        <v>154</v>
      </c>
      <c r="X156" s="845"/>
      <c r="Y156" s="644"/>
      <c r="Z156" s="644" t="s">
        <v>229</v>
      </c>
      <c r="AA156" s="644" t="s">
        <v>32</v>
      </c>
      <c r="AB156" s="644"/>
      <c r="AC156" s="1110" t="s">
        <v>32</v>
      </c>
      <c r="AD156" s="845"/>
      <c r="AE156" s="1110"/>
      <c r="AF156" s="1110"/>
      <c r="AG156" s="1111" t="s">
        <v>229</v>
      </c>
      <c r="AH156" s="203"/>
      <c r="AI156" s="179"/>
    </row>
    <row r="157" spans="1:35" ht="22.35" customHeight="1" x14ac:dyDescent="0.2">
      <c r="A157" s="1010">
        <v>5</v>
      </c>
      <c r="B157" s="1109" t="s">
        <v>230</v>
      </c>
      <c r="C157" s="644"/>
      <c r="D157" s="964" t="s">
        <v>229</v>
      </c>
      <c r="E157" s="964"/>
      <c r="F157" s="964"/>
      <c r="G157" s="964" t="s">
        <v>32</v>
      </c>
      <c r="H157" s="964"/>
      <c r="I157" s="964"/>
      <c r="J157" s="964"/>
      <c r="K157" s="964" t="s">
        <v>229</v>
      </c>
      <c r="L157" s="964"/>
      <c r="M157" s="964"/>
      <c r="N157" s="964" t="s">
        <v>32</v>
      </c>
      <c r="O157" s="964"/>
      <c r="P157" s="964"/>
      <c r="Q157" s="964"/>
      <c r="R157" s="964" t="s">
        <v>229</v>
      </c>
      <c r="S157" s="964"/>
      <c r="T157" s="964"/>
      <c r="U157" s="964" t="s">
        <v>32</v>
      </c>
      <c r="V157" s="964"/>
      <c r="W157" s="964"/>
      <c r="X157" s="964"/>
      <c r="Y157" s="964" t="s">
        <v>229</v>
      </c>
      <c r="Z157" s="964"/>
      <c r="AA157" s="964"/>
      <c r="AB157" s="964" t="s">
        <v>32</v>
      </c>
      <c r="AC157" s="964"/>
      <c r="AD157" s="964"/>
      <c r="AE157" s="964"/>
      <c r="AF157" s="964"/>
      <c r="AG157" s="1088" t="s">
        <v>229</v>
      </c>
      <c r="AH157" s="203"/>
      <c r="AI157" s="179"/>
    </row>
    <row r="158" spans="1:35" ht="22.35" customHeight="1" x14ac:dyDescent="0.2">
      <c r="A158" s="1010">
        <v>6</v>
      </c>
      <c r="B158" s="1002" t="s">
        <v>231</v>
      </c>
      <c r="C158" s="644"/>
      <c r="D158" s="644" t="s">
        <v>32</v>
      </c>
      <c r="E158" s="644" t="s">
        <v>32</v>
      </c>
      <c r="F158" s="644" t="s">
        <v>32</v>
      </c>
      <c r="G158" s="1112" t="s">
        <v>32</v>
      </c>
      <c r="H158" s="644" t="s">
        <v>32</v>
      </c>
      <c r="I158" s="644"/>
      <c r="J158" s="644"/>
      <c r="K158" s="1110" t="s">
        <v>32</v>
      </c>
      <c r="L158" s="1110" t="s">
        <v>32</v>
      </c>
      <c r="M158" s="1110" t="s">
        <v>32</v>
      </c>
      <c r="N158" s="1110" t="s">
        <v>32</v>
      </c>
      <c r="O158" s="1110" t="s">
        <v>32</v>
      </c>
      <c r="P158" s="644"/>
      <c r="Q158" s="644"/>
      <c r="R158" s="644" t="s">
        <v>32</v>
      </c>
      <c r="S158" s="644" t="s">
        <v>32</v>
      </c>
      <c r="T158" s="644" t="s">
        <v>32</v>
      </c>
      <c r="U158" s="644" t="s">
        <v>32</v>
      </c>
      <c r="V158" s="644" t="s">
        <v>32</v>
      </c>
      <c r="W158" s="644"/>
      <c r="X158" s="845"/>
      <c r="Y158" s="644" t="s">
        <v>32</v>
      </c>
      <c r="Z158" s="644" t="s">
        <v>32</v>
      </c>
      <c r="AA158" s="859" t="s">
        <v>32</v>
      </c>
      <c r="AB158" s="644" t="s">
        <v>32</v>
      </c>
      <c r="AC158" s="859" t="s">
        <v>32</v>
      </c>
      <c r="AD158" s="644"/>
      <c r="AE158" s="644"/>
      <c r="AF158" s="1110" t="s">
        <v>32</v>
      </c>
      <c r="AG158" s="1111" t="s">
        <v>32</v>
      </c>
      <c r="AH158" s="191"/>
      <c r="AI158" s="107"/>
    </row>
    <row r="159" spans="1:35" ht="22.35" customHeight="1" thickBot="1" x14ac:dyDescent="0.25">
      <c r="A159" s="1016"/>
      <c r="B159" s="1004"/>
      <c r="C159" s="644"/>
      <c r="D159" s="644"/>
      <c r="E159" s="644"/>
      <c r="F159" s="644"/>
      <c r="G159" s="644"/>
      <c r="H159" s="644"/>
      <c r="I159" s="644"/>
      <c r="J159" s="644"/>
      <c r="K159" s="644"/>
      <c r="L159" s="644"/>
      <c r="M159" s="644"/>
      <c r="N159" s="644"/>
      <c r="O159" s="644"/>
      <c r="P159" s="644"/>
      <c r="Q159" s="644"/>
      <c r="R159" s="644"/>
      <c r="S159" s="644"/>
      <c r="T159" s="644"/>
      <c r="U159" s="644"/>
      <c r="V159" s="644"/>
      <c r="W159" s="644"/>
      <c r="X159" s="644"/>
      <c r="Y159" s="644"/>
      <c r="Z159" s="644"/>
      <c r="AA159" s="644"/>
      <c r="AB159" s="644"/>
      <c r="AC159" s="644"/>
      <c r="AD159" s="644"/>
      <c r="AE159" s="644"/>
      <c r="AF159" s="644"/>
      <c r="AG159" s="613"/>
      <c r="AH159" s="107"/>
      <c r="AI159" s="107"/>
    </row>
    <row r="160" spans="1:35" ht="22.35" customHeight="1" thickBot="1" x14ac:dyDescent="0.25">
      <c r="A160" s="200"/>
      <c r="B160" s="198"/>
      <c r="C160" s="863"/>
      <c r="D160" s="863"/>
      <c r="E160" s="863"/>
      <c r="F160" s="863"/>
      <c r="G160" s="863"/>
      <c r="H160" s="863"/>
      <c r="I160" s="863"/>
      <c r="J160" s="863"/>
      <c r="K160" s="863"/>
      <c r="L160" s="863"/>
      <c r="M160" s="863"/>
      <c r="N160" s="863"/>
      <c r="O160" s="863"/>
      <c r="P160" s="863"/>
      <c r="Q160" s="863"/>
      <c r="R160" s="863"/>
      <c r="S160" s="863"/>
      <c r="T160" s="863"/>
      <c r="U160" s="863"/>
      <c r="V160" s="863"/>
      <c r="W160" s="863"/>
      <c r="X160" s="863"/>
      <c r="Y160" s="863"/>
      <c r="Z160" s="863"/>
      <c r="AA160" s="863"/>
      <c r="AB160" s="863"/>
      <c r="AC160" s="863"/>
      <c r="AD160" s="863"/>
      <c r="AE160" s="863"/>
      <c r="AF160" s="863"/>
      <c r="AG160" s="867"/>
      <c r="AH160" s="107"/>
      <c r="AI160" s="107"/>
    </row>
    <row r="161" spans="1:36" ht="22.35" customHeight="1" x14ac:dyDescent="0.2">
      <c r="A161" s="200"/>
      <c r="B161" s="198"/>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c r="AA161" s="199"/>
      <c r="AB161" s="199"/>
      <c r="AC161" s="199"/>
      <c r="AD161" s="199"/>
      <c r="AE161" s="199"/>
      <c r="AF161" s="199"/>
      <c r="AG161" s="199"/>
      <c r="AH161" s="107"/>
      <c r="AI161" s="107"/>
    </row>
    <row r="162" spans="1:36" ht="22.35" customHeight="1" thickBot="1" x14ac:dyDescent="0.25">
      <c r="A162" s="148" t="s">
        <v>232</v>
      </c>
      <c r="B162" s="72"/>
      <c r="C162" s="106"/>
      <c r="D162" s="72"/>
      <c r="E162" s="72"/>
      <c r="F162" s="106"/>
      <c r="G162" s="72"/>
      <c r="H162" s="72"/>
      <c r="I162" s="106"/>
      <c r="J162" s="106"/>
      <c r="K162" s="72"/>
      <c r="L162" s="106"/>
      <c r="M162" s="72"/>
      <c r="N162" s="72"/>
      <c r="O162" s="106"/>
      <c r="P162" s="72"/>
      <c r="Q162" s="106"/>
      <c r="R162" s="106"/>
      <c r="S162" s="72"/>
      <c r="T162" s="72"/>
      <c r="U162" s="106"/>
      <c r="V162" s="72"/>
      <c r="W162" s="106"/>
      <c r="X162" s="106"/>
      <c r="Y162" s="72"/>
      <c r="Z162" s="72"/>
      <c r="AA162" s="72"/>
      <c r="AB162" s="72"/>
      <c r="AC162" s="72"/>
      <c r="AD162" s="72"/>
      <c r="AE162" s="106"/>
      <c r="AF162" s="72"/>
      <c r="AG162" s="72"/>
      <c r="AH162" s="107"/>
      <c r="AI162" s="107"/>
    </row>
    <row r="163" spans="1:36" ht="22.35" customHeight="1" x14ac:dyDescent="0.2">
      <c r="A163" s="109"/>
      <c r="B163" s="1113" t="s">
        <v>233</v>
      </c>
      <c r="C163" s="1114"/>
      <c r="D163" s="361" t="s">
        <v>107</v>
      </c>
      <c r="E163" s="362"/>
      <c r="F163" s="1115"/>
      <c r="G163" s="1116"/>
      <c r="H163" s="361" t="s">
        <v>108</v>
      </c>
      <c r="I163" s="362"/>
      <c r="J163" s="1115"/>
      <c r="K163" s="1116"/>
      <c r="L163" s="361" t="s">
        <v>109</v>
      </c>
      <c r="M163" s="362"/>
      <c r="N163" s="1115"/>
      <c r="O163" s="1116"/>
      <c r="P163" s="361" t="s">
        <v>110</v>
      </c>
      <c r="Q163" s="362"/>
      <c r="R163" s="1115"/>
      <c r="S163" s="1116"/>
      <c r="T163" s="361" t="s">
        <v>111</v>
      </c>
      <c r="U163" s="362"/>
      <c r="V163" s="1115"/>
      <c r="W163" s="1116"/>
      <c r="X163" s="361" t="s">
        <v>112</v>
      </c>
      <c r="Y163" s="362"/>
      <c r="Z163" s="1115"/>
      <c r="AA163" s="1116"/>
      <c r="AB163" s="361" t="s">
        <v>113</v>
      </c>
      <c r="AC163" s="362"/>
      <c r="AD163" s="362"/>
      <c r="AE163" s="1117" t="s">
        <v>114</v>
      </c>
      <c r="AF163" s="362"/>
      <c r="AG163" s="362"/>
      <c r="AH163" s="362"/>
      <c r="AI163" s="1118"/>
    </row>
    <row r="164" spans="1:36" ht="22.35" customHeight="1" x14ac:dyDescent="0.2">
      <c r="A164" s="109"/>
      <c r="B164" s="503" t="s">
        <v>234</v>
      </c>
      <c r="C164" s="504" t="s">
        <v>235</v>
      </c>
      <c r="D164" s="505" t="s">
        <v>236</v>
      </c>
      <c r="E164" s="506"/>
      <c r="F164" s="507"/>
      <c r="G164" s="508"/>
      <c r="H164" s="505" t="s">
        <v>236</v>
      </c>
      <c r="I164" s="506"/>
      <c r="J164" s="507"/>
      <c r="K164" s="508"/>
      <c r="L164" s="505" t="s">
        <v>236</v>
      </c>
      <c r="M164" s="506"/>
      <c r="N164" s="507"/>
      <c r="O164" s="508"/>
      <c r="P164" s="505" t="s">
        <v>237</v>
      </c>
      <c r="Q164" s="506"/>
      <c r="R164" s="507"/>
      <c r="S164" s="508"/>
      <c r="T164" s="505" t="s">
        <v>238</v>
      </c>
      <c r="U164" s="507"/>
      <c r="V164" s="507"/>
      <c r="W164" s="509"/>
      <c r="X164" s="510"/>
      <c r="Y164" s="510"/>
      <c r="Z164" s="511"/>
      <c r="AA164" s="509"/>
      <c r="AB164" s="510"/>
      <c r="AC164" s="510"/>
      <c r="AD164" s="510"/>
      <c r="AE164" s="509"/>
      <c r="AF164" s="510"/>
      <c r="AG164" s="510"/>
      <c r="AH164" s="512"/>
      <c r="AI164" s="513"/>
    </row>
    <row r="165" spans="1:36" ht="22.35" customHeight="1" x14ac:dyDescent="0.2">
      <c r="A165" s="109"/>
      <c r="B165" s="503" t="s">
        <v>234</v>
      </c>
      <c r="C165" s="504" t="s">
        <v>239</v>
      </c>
      <c r="D165" s="505" t="s">
        <v>236</v>
      </c>
      <c r="E165" s="506"/>
      <c r="F165" s="507"/>
      <c r="G165" s="508"/>
      <c r="H165" s="505" t="s">
        <v>236</v>
      </c>
      <c r="I165" s="506"/>
      <c r="J165" s="507"/>
      <c r="K165" s="508"/>
      <c r="L165" s="505" t="s">
        <v>236</v>
      </c>
      <c r="M165" s="506"/>
      <c r="N165" s="507"/>
      <c r="O165" s="508"/>
      <c r="P165" s="505" t="s">
        <v>237</v>
      </c>
      <c r="Q165" s="506"/>
      <c r="R165" s="507"/>
      <c r="S165" s="508"/>
      <c r="T165" s="505" t="s">
        <v>238</v>
      </c>
      <c r="U165" s="507"/>
      <c r="V165" s="507"/>
      <c r="W165" s="509"/>
      <c r="X165" s="510"/>
      <c r="Y165" s="510"/>
      <c r="Z165" s="511"/>
      <c r="AA165" s="509"/>
      <c r="AB165" s="510"/>
      <c r="AC165" s="510"/>
      <c r="AD165" s="510"/>
      <c r="AE165" s="509"/>
      <c r="AF165" s="510"/>
      <c r="AG165" s="510"/>
      <c r="AH165" s="512"/>
      <c r="AI165" s="513"/>
    </row>
    <row r="166" spans="1:36" ht="22.35" customHeight="1" x14ac:dyDescent="0.2">
      <c r="A166" s="109"/>
      <c r="B166" s="503" t="s">
        <v>240</v>
      </c>
      <c r="C166" s="504" t="s">
        <v>50</v>
      </c>
      <c r="D166" s="505" t="s">
        <v>236</v>
      </c>
      <c r="E166" s="506"/>
      <c r="F166" s="507"/>
      <c r="G166" s="508"/>
      <c r="H166" s="505" t="s">
        <v>236</v>
      </c>
      <c r="I166" s="506"/>
      <c r="J166" s="507"/>
      <c r="K166" s="508"/>
      <c r="L166" s="505" t="s">
        <v>236</v>
      </c>
      <c r="M166" s="506"/>
      <c r="N166" s="507"/>
      <c r="O166" s="508"/>
      <c r="P166" s="505" t="s">
        <v>241</v>
      </c>
      <c r="Q166" s="506"/>
      <c r="R166" s="507"/>
      <c r="S166" s="508"/>
      <c r="T166" s="505" t="s">
        <v>238</v>
      </c>
      <c r="U166" s="507"/>
      <c r="V166" s="507"/>
      <c r="W166" s="509"/>
      <c r="X166" s="510"/>
      <c r="Y166" s="510"/>
      <c r="Z166" s="511"/>
      <c r="AA166" s="509"/>
      <c r="AB166" s="510"/>
      <c r="AC166" s="510"/>
      <c r="AD166" s="510"/>
      <c r="AE166" s="509"/>
      <c r="AF166" s="510"/>
      <c r="AG166" s="510"/>
      <c r="AH166" s="512"/>
      <c r="AI166" s="513"/>
    </row>
    <row r="167" spans="1:36" ht="22.35" customHeight="1" x14ac:dyDescent="0.2">
      <c r="A167" s="109"/>
      <c r="B167" s="503" t="s">
        <v>242</v>
      </c>
      <c r="C167" s="504" t="s">
        <v>243</v>
      </c>
      <c r="D167" s="505" t="s">
        <v>244</v>
      </c>
      <c r="E167" s="506"/>
      <c r="F167" s="507"/>
      <c r="G167" s="508"/>
      <c r="H167" s="505" t="s">
        <v>244</v>
      </c>
      <c r="I167" s="506"/>
      <c r="J167" s="507"/>
      <c r="K167" s="508"/>
      <c r="L167" s="505" t="s">
        <v>245</v>
      </c>
      <c r="M167" s="506"/>
      <c r="N167" s="507"/>
      <c r="O167" s="508"/>
      <c r="P167" s="505" t="s">
        <v>246</v>
      </c>
      <c r="Q167" s="506"/>
      <c r="R167" s="507"/>
      <c r="S167" s="508"/>
      <c r="T167" s="505" t="s">
        <v>247</v>
      </c>
      <c r="U167" s="507"/>
      <c r="V167" s="507"/>
      <c r="W167" s="509"/>
      <c r="X167" s="510"/>
      <c r="Y167" s="510"/>
      <c r="Z167" s="511"/>
      <c r="AA167" s="509"/>
      <c r="AB167" s="510"/>
      <c r="AC167" s="510"/>
      <c r="AD167" s="510"/>
      <c r="AE167" s="509"/>
      <c r="AF167" s="510"/>
      <c r="AG167" s="510"/>
      <c r="AH167" s="512"/>
      <c r="AI167" s="513"/>
    </row>
    <row r="168" spans="1:36" ht="22.35" customHeight="1" x14ac:dyDescent="0.2">
      <c r="A168" s="109"/>
      <c r="B168" s="503" t="s">
        <v>248</v>
      </c>
      <c r="C168" s="504" t="s">
        <v>249</v>
      </c>
      <c r="D168" s="505" t="s">
        <v>250</v>
      </c>
      <c r="E168" s="506"/>
      <c r="F168" s="507"/>
      <c r="G168" s="508"/>
      <c r="H168" s="505" t="s">
        <v>250</v>
      </c>
      <c r="I168" s="506"/>
      <c r="J168" s="507"/>
      <c r="K168" s="508"/>
      <c r="L168" s="505" t="s">
        <v>251</v>
      </c>
      <c r="M168" s="506"/>
      <c r="N168" s="507"/>
      <c r="O168" s="508"/>
      <c r="P168" s="505" t="s">
        <v>252</v>
      </c>
      <c r="Q168" s="506"/>
      <c r="R168" s="507"/>
      <c r="S168" s="508"/>
      <c r="T168" s="505" t="s">
        <v>253</v>
      </c>
      <c r="U168" s="507"/>
      <c r="V168" s="507"/>
      <c r="W168" s="509"/>
      <c r="X168" s="510"/>
      <c r="Y168" s="510"/>
      <c r="Z168" s="511"/>
      <c r="AA168" s="509"/>
      <c r="AB168" s="510"/>
      <c r="AC168" s="510"/>
      <c r="AD168" s="510"/>
      <c r="AE168" s="509"/>
      <c r="AF168" s="510"/>
      <c r="AG168" s="510"/>
      <c r="AH168" s="512"/>
      <c r="AI168" s="513"/>
    </row>
    <row r="169" spans="1:36" ht="22.35" customHeight="1" x14ac:dyDescent="0.2">
      <c r="A169" s="109"/>
      <c r="B169" s="503" t="s">
        <v>254</v>
      </c>
      <c r="C169" s="504" t="s">
        <v>142</v>
      </c>
      <c r="D169" s="505" t="s">
        <v>236</v>
      </c>
      <c r="E169" s="506"/>
      <c r="F169" s="507"/>
      <c r="G169" s="508"/>
      <c r="H169" s="505" t="s">
        <v>236</v>
      </c>
      <c r="I169" s="506"/>
      <c r="J169" s="507"/>
      <c r="K169" s="508"/>
      <c r="L169" s="505" t="s">
        <v>236</v>
      </c>
      <c r="M169" s="506"/>
      <c r="N169" s="507"/>
      <c r="O169" s="508"/>
      <c r="P169" s="505" t="s">
        <v>236</v>
      </c>
      <c r="Q169" s="506"/>
      <c r="R169" s="507"/>
      <c r="S169" s="508"/>
      <c r="T169" s="505" t="s">
        <v>250</v>
      </c>
      <c r="U169" s="507"/>
      <c r="V169" s="507"/>
      <c r="W169" s="509"/>
      <c r="X169" s="510"/>
      <c r="Y169" s="510"/>
      <c r="Z169" s="511"/>
      <c r="AA169" s="509"/>
      <c r="AB169" s="510"/>
      <c r="AC169" s="510"/>
      <c r="AD169" s="510"/>
      <c r="AE169" s="509"/>
      <c r="AF169" s="510"/>
      <c r="AG169" s="510"/>
      <c r="AH169" s="512"/>
      <c r="AI169" s="513"/>
    </row>
    <row r="170" spans="1:36" ht="22.35" customHeight="1" x14ac:dyDescent="0.2">
      <c r="A170" s="109"/>
      <c r="B170" s="503" t="s">
        <v>255</v>
      </c>
      <c r="C170" s="504" t="s">
        <v>134</v>
      </c>
      <c r="D170" s="505" t="s">
        <v>236</v>
      </c>
      <c r="E170" s="506"/>
      <c r="F170" s="507"/>
      <c r="G170" s="508"/>
      <c r="H170" s="505" t="s">
        <v>236</v>
      </c>
      <c r="I170" s="506"/>
      <c r="J170" s="507"/>
      <c r="K170" s="508"/>
      <c r="L170" s="505" t="s">
        <v>236</v>
      </c>
      <c r="M170" s="506"/>
      <c r="N170" s="507"/>
      <c r="O170" s="508"/>
      <c r="P170" s="505" t="s">
        <v>237</v>
      </c>
      <c r="Q170" s="506"/>
      <c r="R170" s="507"/>
      <c r="S170" s="508"/>
      <c r="T170" s="505" t="s">
        <v>238</v>
      </c>
      <c r="U170" s="507"/>
      <c r="V170" s="507"/>
      <c r="W170" s="509"/>
      <c r="X170" s="510"/>
      <c r="Y170" s="510"/>
      <c r="Z170" s="511"/>
      <c r="AA170" s="509"/>
      <c r="AB170" s="510"/>
      <c r="AC170" s="510"/>
      <c r="AD170" s="510"/>
      <c r="AE170" s="509"/>
      <c r="AF170" s="510"/>
      <c r="AG170" s="510"/>
      <c r="AH170" s="512"/>
      <c r="AI170" s="513"/>
    </row>
    <row r="171" spans="1:36" ht="22.35" customHeight="1" x14ac:dyDescent="0.2">
      <c r="A171" s="109"/>
      <c r="B171" s="503" t="s">
        <v>255</v>
      </c>
      <c r="C171" s="504" t="s">
        <v>176</v>
      </c>
      <c r="D171" s="505" t="s">
        <v>236</v>
      </c>
      <c r="E171" s="506"/>
      <c r="F171" s="507"/>
      <c r="G171" s="508"/>
      <c r="H171" s="505" t="s">
        <v>236</v>
      </c>
      <c r="I171" s="506"/>
      <c r="J171" s="507"/>
      <c r="K171" s="508"/>
      <c r="L171" s="505" t="s">
        <v>236</v>
      </c>
      <c r="M171" s="506"/>
      <c r="N171" s="507"/>
      <c r="O171" s="508"/>
      <c r="P171" s="505" t="s">
        <v>237</v>
      </c>
      <c r="Q171" s="506"/>
      <c r="R171" s="507"/>
      <c r="S171" s="508"/>
      <c r="T171" s="505" t="s">
        <v>238</v>
      </c>
      <c r="U171" s="507"/>
      <c r="V171" s="507"/>
      <c r="W171" s="509"/>
      <c r="X171" s="510"/>
      <c r="Y171" s="510"/>
      <c r="Z171" s="511"/>
      <c r="AA171" s="509"/>
      <c r="AB171" s="510"/>
      <c r="AC171" s="510"/>
      <c r="AD171" s="510"/>
      <c r="AE171" s="509"/>
      <c r="AF171" s="510"/>
      <c r="AG171" s="510"/>
      <c r="AH171" s="512"/>
      <c r="AI171" s="513"/>
    </row>
    <row r="172" spans="1:36" ht="22.35" customHeight="1" x14ac:dyDescent="0.2">
      <c r="A172" s="109"/>
      <c r="B172" s="503" t="s">
        <v>256</v>
      </c>
      <c r="C172" s="504" t="s">
        <v>257</v>
      </c>
      <c r="D172" s="505" t="s">
        <v>236</v>
      </c>
      <c r="E172" s="506"/>
      <c r="F172" s="507"/>
      <c r="G172" s="508"/>
      <c r="H172" s="505" t="s">
        <v>236</v>
      </c>
      <c r="I172" s="506"/>
      <c r="J172" s="507"/>
      <c r="K172" s="508"/>
      <c r="L172" s="505" t="s">
        <v>236</v>
      </c>
      <c r="M172" s="506"/>
      <c r="N172" s="507"/>
      <c r="O172" s="508"/>
      <c r="P172" s="505" t="s">
        <v>258</v>
      </c>
      <c r="Q172" s="506"/>
      <c r="R172" s="507"/>
      <c r="S172" s="508"/>
      <c r="T172" s="505" t="s">
        <v>253</v>
      </c>
      <c r="U172" s="507"/>
      <c r="V172" s="507"/>
      <c r="W172" s="509"/>
      <c r="X172" s="510"/>
      <c r="Y172" s="510"/>
      <c r="Z172" s="511"/>
      <c r="AA172" s="509"/>
      <c r="AB172" s="510"/>
      <c r="AC172" s="510"/>
      <c r="AD172" s="510"/>
      <c r="AE172" s="509"/>
      <c r="AF172" s="510"/>
      <c r="AG172" s="510"/>
      <c r="AH172" s="512"/>
      <c r="AI172" s="513"/>
    </row>
    <row r="173" spans="1:36" ht="22.35" customHeight="1" x14ac:dyDescent="0.2">
      <c r="A173" s="109"/>
      <c r="B173" s="514" t="s">
        <v>259</v>
      </c>
      <c r="C173" s="515" t="s">
        <v>95</v>
      </c>
      <c r="D173" s="516" t="s">
        <v>236</v>
      </c>
      <c r="E173" s="517"/>
      <c r="F173" s="518"/>
      <c r="G173" s="515"/>
      <c r="H173" s="516" t="s">
        <v>236</v>
      </c>
      <c r="I173" s="517"/>
      <c r="J173" s="518"/>
      <c r="K173" s="515"/>
      <c r="L173" s="516" t="s">
        <v>236</v>
      </c>
      <c r="M173" s="517"/>
      <c r="N173" s="518"/>
      <c r="O173" s="515"/>
      <c r="P173" s="516" t="s">
        <v>237</v>
      </c>
      <c r="Q173" s="517"/>
      <c r="R173" s="518"/>
      <c r="S173" s="515"/>
      <c r="T173" s="516" t="s">
        <v>238</v>
      </c>
      <c r="U173" s="518"/>
      <c r="V173" s="388"/>
      <c r="W173" s="519"/>
      <c r="X173" s="188"/>
      <c r="Y173" s="188"/>
      <c r="Z173" s="388"/>
      <c r="AA173" s="519"/>
      <c r="AB173" s="188"/>
      <c r="AC173" s="188"/>
      <c r="AD173" s="188"/>
      <c r="AE173" s="519"/>
      <c r="AF173" s="188"/>
      <c r="AG173" s="188"/>
      <c r="AH173" s="189"/>
      <c r="AI173" s="520"/>
      <c r="AJ173" s="190"/>
    </row>
    <row r="174" spans="1:36" ht="22.35" customHeight="1" x14ac:dyDescent="0.2">
      <c r="A174" s="109"/>
      <c r="B174" s="503" t="s">
        <v>260</v>
      </c>
      <c r="C174" s="504" t="s">
        <v>177</v>
      </c>
      <c r="D174" s="505" t="s">
        <v>236</v>
      </c>
      <c r="E174" s="506"/>
      <c r="F174" s="507"/>
      <c r="G174" s="508"/>
      <c r="H174" s="505" t="s">
        <v>236</v>
      </c>
      <c r="I174" s="506"/>
      <c r="J174" s="507"/>
      <c r="K174" s="508"/>
      <c r="L174" s="505" t="s">
        <v>236</v>
      </c>
      <c r="M174" s="506"/>
      <c r="N174" s="507"/>
      <c r="O174" s="508"/>
      <c r="P174" s="505" t="s">
        <v>237</v>
      </c>
      <c r="Q174" s="506"/>
      <c r="R174" s="507"/>
      <c r="S174" s="508"/>
      <c r="T174" s="505" t="s">
        <v>238</v>
      </c>
      <c r="U174" s="507"/>
      <c r="V174" s="506"/>
      <c r="W174" s="509"/>
      <c r="X174" s="510"/>
      <c r="Y174" s="510"/>
      <c r="Z174" s="510"/>
      <c r="AA174" s="509"/>
      <c r="AB174" s="510"/>
      <c r="AC174" s="510"/>
      <c r="AD174" s="510"/>
      <c r="AE174" s="509"/>
      <c r="AF174" s="510"/>
      <c r="AG174" s="510"/>
      <c r="AH174" s="512"/>
      <c r="AI174" s="513"/>
      <c r="AJ174" s="190"/>
    </row>
    <row r="175" spans="1:36" ht="22.35" customHeight="1" x14ac:dyDescent="0.2">
      <c r="A175" s="109"/>
      <c r="B175" s="503" t="s">
        <v>261</v>
      </c>
      <c r="C175" s="504" t="s">
        <v>137</v>
      </c>
      <c r="D175" s="505" t="s">
        <v>262</v>
      </c>
      <c r="E175" s="506"/>
      <c r="F175" s="507"/>
      <c r="G175" s="508"/>
      <c r="H175" s="505" t="s">
        <v>262</v>
      </c>
      <c r="I175" s="506"/>
      <c r="J175" s="507"/>
      <c r="K175" s="508"/>
      <c r="L175" s="505" t="s">
        <v>262</v>
      </c>
      <c r="M175" s="506"/>
      <c r="N175" s="506"/>
      <c r="O175" s="508"/>
      <c r="P175" s="505" t="s">
        <v>262</v>
      </c>
      <c r="Q175" s="506"/>
      <c r="R175" s="506"/>
      <c r="S175" s="508"/>
      <c r="T175" s="505" t="s">
        <v>253</v>
      </c>
      <c r="U175" s="507"/>
      <c r="V175" s="506"/>
      <c r="W175" s="521"/>
      <c r="X175" s="510"/>
      <c r="Y175" s="510"/>
      <c r="Z175" s="510"/>
      <c r="AA175" s="509"/>
      <c r="AB175" s="510"/>
      <c r="AC175" s="510"/>
      <c r="AD175" s="510"/>
      <c r="AE175" s="509"/>
      <c r="AF175" s="510"/>
      <c r="AG175" s="510"/>
      <c r="AH175" s="512"/>
      <c r="AI175" s="513"/>
      <c r="AJ175" s="190"/>
    </row>
    <row r="176" spans="1:36" ht="22.35" customHeight="1" x14ac:dyDescent="0.2">
      <c r="A176" s="109"/>
      <c r="B176" s="503" t="s">
        <v>263</v>
      </c>
      <c r="C176" s="504" t="s">
        <v>264</v>
      </c>
      <c r="D176" s="505" t="s">
        <v>262</v>
      </c>
      <c r="E176" s="506"/>
      <c r="F176" s="507"/>
      <c r="G176" s="508"/>
      <c r="H176" s="505" t="s">
        <v>262</v>
      </c>
      <c r="I176" s="506"/>
      <c r="J176" s="507"/>
      <c r="K176" s="508"/>
      <c r="L176" s="505" t="s">
        <v>262</v>
      </c>
      <c r="M176" s="506"/>
      <c r="N176" s="506"/>
      <c r="O176" s="508"/>
      <c r="P176" s="505" t="s">
        <v>262</v>
      </c>
      <c r="Q176" s="506"/>
      <c r="R176" s="506"/>
      <c r="S176" s="508"/>
      <c r="T176" s="505" t="s">
        <v>253</v>
      </c>
      <c r="U176" s="507"/>
      <c r="V176" s="506"/>
      <c r="W176" s="521"/>
      <c r="X176" s="510"/>
      <c r="Y176" s="510"/>
      <c r="Z176" s="511"/>
      <c r="AA176" s="522"/>
      <c r="AB176" s="510"/>
      <c r="AC176" s="510"/>
      <c r="AD176" s="510"/>
      <c r="AE176" s="509"/>
      <c r="AF176" s="510"/>
      <c r="AG176" s="510"/>
      <c r="AH176" s="512"/>
      <c r="AI176" s="513"/>
      <c r="AJ176" s="190"/>
    </row>
    <row r="177" spans="1:36" ht="22.35" customHeight="1" thickBot="1" x14ac:dyDescent="0.25">
      <c r="A177" s="109"/>
      <c r="B177" s="1119" t="s">
        <v>265</v>
      </c>
      <c r="C177" s="1120" t="s">
        <v>266</v>
      </c>
      <c r="D177" s="1121" t="s">
        <v>262</v>
      </c>
      <c r="E177" s="1122"/>
      <c r="F177" s="1123"/>
      <c r="G177" s="1124"/>
      <c r="H177" s="1121" t="s">
        <v>262</v>
      </c>
      <c r="I177" s="1122"/>
      <c r="J177" s="1123"/>
      <c r="K177" s="1124"/>
      <c r="L177" s="1121" t="s">
        <v>262</v>
      </c>
      <c r="M177" s="1122"/>
      <c r="N177" s="1122"/>
      <c r="O177" s="1124"/>
      <c r="P177" s="1121" t="s">
        <v>262</v>
      </c>
      <c r="Q177" s="1122"/>
      <c r="R177" s="1122"/>
      <c r="S177" s="1124"/>
      <c r="T177" s="1121" t="s">
        <v>253</v>
      </c>
      <c r="U177" s="1123"/>
      <c r="V177" s="1122"/>
      <c r="W177" s="1125"/>
      <c r="X177" s="1126"/>
      <c r="Y177" s="1126"/>
      <c r="Z177" s="1127"/>
      <c r="AA177" s="1128"/>
      <c r="AB177" s="1126"/>
      <c r="AC177" s="1126"/>
      <c r="AD177" s="1126"/>
      <c r="AE177" s="1129"/>
      <c r="AF177" s="1126"/>
      <c r="AG177" s="1126"/>
      <c r="AH177" s="1130"/>
      <c r="AI177" s="1131"/>
      <c r="AJ177" s="190"/>
    </row>
    <row r="178" spans="1:36" ht="22.35" customHeight="1" x14ac:dyDescent="0.2">
      <c r="A178" s="109"/>
      <c r="B178" s="206"/>
      <c r="C178" s="207"/>
      <c r="D178" s="208"/>
      <c r="E178" s="209"/>
      <c r="F178" s="209"/>
      <c r="G178" s="210"/>
      <c r="H178" s="208"/>
      <c r="I178" s="209"/>
      <c r="J178" s="209"/>
      <c r="K178" s="210"/>
      <c r="L178" s="208"/>
      <c r="M178" s="209"/>
      <c r="N178" s="209"/>
      <c r="O178" s="210"/>
      <c r="P178" s="198"/>
      <c r="Q178" s="209"/>
      <c r="R178" s="209"/>
      <c r="S178" s="210"/>
      <c r="T178" s="198"/>
      <c r="U178" s="209"/>
      <c r="V178" s="209"/>
      <c r="W178" s="209"/>
      <c r="X178" s="209"/>
      <c r="Y178" s="209"/>
      <c r="Z178" s="209"/>
      <c r="AA178" s="210"/>
      <c r="AB178" s="209"/>
      <c r="AC178" s="209"/>
      <c r="AD178" s="209"/>
      <c r="AE178" s="210"/>
      <c r="AF178" s="209"/>
      <c r="AG178" s="209"/>
      <c r="AH178" s="191"/>
      <c r="AI178" s="191"/>
      <c r="AJ178" s="190"/>
    </row>
    <row r="179" spans="1:36" ht="22.35" customHeight="1" thickBot="1" x14ac:dyDescent="0.25">
      <c r="A179" s="147"/>
      <c r="B179" s="528" t="s">
        <v>29</v>
      </c>
      <c r="C179" s="795">
        <v>1</v>
      </c>
      <c r="D179" s="796">
        <v>2</v>
      </c>
      <c r="E179" s="796">
        <v>3</v>
      </c>
      <c r="F179" s="796">
        <v>4</v>
      </c>
      <c r="G179" s="796">
        <v>5</v>
      </c>
      <c r="H179" s="796">
        <v>6</v>
      </c>
      <c r="I179" s="795">
        <v>7</v>
      </c>
      <c r="J179" s="795">
        <v>8</v>
      </c>
      <c r="K179" s="796">
        <v>9</v>
      </c>
      <c r="L179" s="796">
        <v>10</v>
      </c>
      <c r="M179" s="796">
        <v>11</v>
      </c>
      <c r="N179" s="796">
        <v>12</v>
      </c>
      <c r="O179" s="795">
        <v>13</v>
      </c>
      <c r="P179" s="795">
        <v>14</v>
      </c>
      <c r="Q179" s="795">
        <v>15</v>
      </c>
      <c r="R179" s="796">
        <v>16</v>
      </c>
      <c r="S179" s="796">
        <v>17</v>
      </c>
      <c r="T179" s="796">
        <v>18</v>
      </c>
      <c r="U179" s="796">
        <v>19</v>
      </c>
      <c r="V179" s="796">
        <v>20</v>
      </c>
      <c r="W179" s="795">
        <v>21</v>
      </c>
      <c r="X179" s="795">
        <v>22</v>
      </c>
      <c r="Y179" s="796">
        <v>23</v>
      </c>
      <c r="Z179" s="796">
        <v>24</v>
      </c>
      <c r="AA179" s="796">
        <v>25</v>
      </c>
      <c r="AB179" s="795">
        <v>26</v>
      </c>
      <c r="AC179" s="796">
        <v>27</v>
      </c>
      <c r="AD179" s="795">
        <v>28</v>
      </c>
      <c r="AE179" s="795">
        <v>29</v>
      </c>
      <c r="AF179" s="796">
        <v>30</v>
      </c>
      <c r="AG179" s="797">
        <v>31</v>
      </c>
      <c r="AH179" s="180"/>
      <c r="AI179" s="174"/>
    </row>
    <row r="180" spans="1:36" ht="22.35" customHeight="1" x14ac:dyDescent="0.2">
      <c r="A180" s="109"/>
      <c r="B180" s="1132" t="s">
        <v>267</v>
      </c>
      <c r="C180" s="720"/>
      <c r="D180" s="720" t="s">
        <v>235</v>
      </c>
      <c r="E180" s="720" t="s">
        <v>235</v>
      </c>
      <c r="F180" s="720" t="s">
        <v>235</v>
      </c>
      <c r="G180" s="720" t="s">
        <v>235</v>
      </c>
      <c r="H180" s="720" t="s">
        <v>235</v>
      </c>
      <c r="I180" s="720"/>
      <c r="J180" s="720"/>
      <c r="K180" s="720" t="s">
        <v>235</v>
      </c>
      <c r="L180" s="720" t="s">
        <v>235</v>
      </c>
      <c r="M180" s="720" t="s">
        <v>235</v>
      </c>
      <c r="N180" s="720" t="s">
        <v>235</v>
      </c>
      <c r="O180" s="720"/>
      <c r="P180" s="720"/>
      <c r="Q180" s="720"/>
      <c r="R180" s="720" t="s">
        <v>235</v>
      </c>
      <c r="S180" s="720" t="s">
        <v>235</v>
      </c>
      <c r="T180" s="720" t="s">
        <v>235</v>
      </c>
      <c r="U180" s="720" t="s">
        <v>235</v>
      </c>
      <c r="V180" s="720" t="s">
        <v>235</v>
      </c>
      <c r="W180" s="720"/>
      <c r="X180" s="720"/>
      <c r="Y180" s="720" t="s">
        <v>235</v>
      </c>
      <c r="Z180" s="720" t="s">
        <v>235</v>
      </c>
      <c r="AA180" s="720" t="s">
        <v>235</v>
      </c>
      <c r="AB180" s="720"/>
      <c r="AC180" s="720" t="s">
        <v>235</v>
      </c>
      <c r="AD180" s="720"/>
      <c r="AE180" s="720"/>
      <c r="AF180" s="720" t="s">
        <v>235</v>
      </c>
      <c r="AG180" s="720" t="s">
        <v>235</v>
      </c>
      <c r="AH180" s="179"/>
      <c r="AI180" s="179"/>
    </row>
    <row r="181" spans="1:36" ht="22.35" customHeight="1" x14ac:dyDescent="0.2">
      <c r="A181" s="109"/>
      <c r="B181" s="1133" t="s">
        <v>268</v>
      </c>
      <c r="C181" s="721"/>
      <c r="D181" s="721" t="s">
        <v>235</v>
      </c>
      <c r="E181" s="721" t="s">
        <v>235</v>
      </c>
      <c r="F181" s="721" t="s">
        <v>269</v>
      </c>
      <c r="G181" s="721" t="s">
        <v>269</v>
      </c>
      <c r="H181" s="721" t="s">
        <v>235</v>
      </c>
      <c r="I181" s="721"/>
      <c r="J181" s="721"/>
      <c r="K181" s="721" t="s">
        <v>235</v>
      </c>
      <c r="L181" s="721" t="s">
        <v>235</v>
      </c>
      <c r="M181" s="721" t="s">
        <v>235</v>
      </c>
      <c r="N181" s="721" t="s">
        <v>235</v>
      </c>
      <c r="O181" s="721"/>
      <c r="P181" s="721"/>
      <c r="Q181" s="721"/>
      <c r="R181" s="721" t="s">
        <v>235</v>
      </c>
      <c r="S181" s="721" t="s">
        <v>235</v>
      </c>
      <c r="T181" s="721" t="s">
        <v>235</v>
      </c>
      <c r="U181" s="721" t="s">
        <v>235</v>
      </c>
      <c r="V181" s="721" t="s">
        <v>235</v>
      </c>
      <c r="W181" s="721"/>
      <c r="X181" s="721"/>
      <c r="Y181" s="721" t="s">
        <v>235</v>
      </c>
      <c r="Z181" s="721" t="s">
        <v>235</v>
      </c>
      <c r="AA181" s="721" t="s">
        <v>235</v>
      </c>
      <c r="AB181" s="721"/>
      <c r="AC181" s="721" t="s">
        <v>235</v>
      </c>
      <c r="AD181" s="721"/>
      <c r="AE181" s="721"/>
      <c r="AF181" s="721" t="s">
        <v>235</v>
      </c>
      <c r="AG181" s="721" t="s">
        <v>235</v>
      </c>
      <c r="AH181" s="179"/>
      <c r="AI181" s="179"/>
    </row>
    <row r="182" spans="1:36" ht="22.35" customHeight="1" x14ac:dyDescent="0.2">
      <c r="A182" s="109"/>
      <c r="B182" s="1133" t="s">
        <v>270</v>
      </c>
      <c r="C182" s="721"/>
      <c r="D182" s="721" t="s">
        <v>239</v>
      </c>
      <c r="E182" s="721" t="s">
        <v>239</v>
      </c>
      <c r="F182" s="721" t="s">
        <v>239</v>
      </c>
      <c r="G182" s="721" t="s">
        <v>239</v>
      </c>
      <c r="H182" s="1134" t="s">
        <v>239</v>
      </c>
      <c r="I182" s="721"/>
      <c r="J182" s="721"/>
      <c r="K182" s="721" t="s">
        <v>239</v>
      </c>
      <c r="L182" s="721" t="s">
        <v>239</v>
      </c>
      <c r="M182" s="721" t="s">
        <v>239</v>
      </c>
      <c r="N182" s="721" t="s">
        <v>239</v>
      </c>
      <c r="O182" s="721"/>
      <c r="P182" s="721"/>
      <c r="Q182" s="721"/>
      <c r="R182" s="721" t="s">
        <v>239</v>
      </c>
      <c r="S182" s="721" t="s">
        <v>239</v>
      </c>
      <c r="T182" s="721" t="s">
        <v>239</v>
      </c>
      <c r="U182" s="721" t="s">
        <v>239</v>
      </c>
      <c r="V182" s="1135" t="s">
        <v>235</v>
      </c>
      <c r="W182" s="721"/>
      <c r="X182" s="721"/>
      <c r="Y182" s="721" t="s">
        <v>239</v>
      </c>
      <c r="Z182" s="721" t="s">
        <v>239</v>
      </c>
      <c r="AA182" s="721" t="s">
        <v>239</v>
      </c>
      <c r="AB182" s="721"/>
      <c r="AC182" s="721" t="s">
        <v>235</v>
      </c>
      <c r="AD182" s="721"/>
      <c r="AE182" s="721"/>
      <c r="AF182" s="1134" t="s">
        <v>239</v>
      </c>
      <c r="AG182" s="1134" t="s">
        <v>239</v>
      </c>
      <c r="AH182" s="179"/>
      <c r="AI182" s="179"/>
    </row>
    <row r="183" spans="1:36" ht="22.35" customHeight="1" x14ac:dyDescent="0.2">
      <c r="A183" s="109"/>
      <c r="B183" s="1133" t="s">
        <v>271</v>
      </c>
      <c r="C183" s="721"/>
      <c r="D183" s="721" t="s">
        <v>50</v>
      </c>
      <c r="E183" s="721" t="s">
        <v>50</v>
      </c>
      <c r="F183" s="721" t="s">
        <v>50</v>
      </c>
      <c r="G183" s="721" t="s">
        <v>50</v>
      </c>
      <c r="H183" s="721" t="s">
        <v>50</v>
      </c>
      <c r="I183" s="721"/>
      <c r="J183" s="721"/>
      <c r="K183" s="721" t="s">
        <v>50</v>
      </c>
      <c r="L183" s="721" t="s">
        <v>50</v>
      </c>
      <c r="M183" s="721" t="s">
        <v>50</v>
      </c>
      <c r="N183" s="721" t="s">
        <v>50</v>
      </c>
      <c r="O183" s="721"/>
      <c r="P183" s="721"/>
      <c r="Q183" s="721"/>
      <c r="R183" s="721" t="s">
        <v>50</v>
      </c>
      <c r="S183" s="721" t="s">
        <v>50</v>
      </c>
      <c r="T183" s="721" t="s">
        <v>50</v>
      </c>
      <c r="U183" s="721" t="s">
        <v>50</v>
      </c>
      <c r="V183" s="721" t="s">
        <v>50</v>
      </c>
      <c r="W183" s="721"/>
      <c r="X183" s="721"/>
      <c r="Y183" s="721" t="s">
        <v>50</v>
      </c>
      <c r="Z183" s="721" t="s">
        <v>50</v>
      </c>
      <c r="AA183" s="721" t="s">
        <v>50</v>
      </c>
      <c r="AB183" s="721"/>
      <c r="AC183" s="1136" t="s">
        <v>50</v>
      </c>
      <c r="AD183" s="721"/>
      <c r="AE183" s="721"/>
      <c r="AF183" s="721" t="s">
        <v>50</v>
      </c>
      <c r="AG183" s="721" t="s">
        <v>50</v>
      </c>
      <c r="AH183" s="179"/>
      <c r="AI183" s="179"/>
    </row>
    <row r="184" spans="1:36" ht="22.35" customHeight="1" x14ac:dyDescent="0.2">
      <c r="A184" s="109"/>
      <c r="B184" s="933" t="s">
        <v>272</v>
      </c>
      <c r="C184" s="721"/>
      <c r="D184" s="721" t="s">
        <v>243</v>
      </c>
      <c r="E184" s="721" t="s">
        <v>243</v>
      </c>
      <c r="F184" s="721" t="s">
        <v>243</v>
      </c>
      <c r="G184" s="721" t="s">
        <v>243</v>
      </c>
      <c r="H184" s="721" t="s">
        <v>243</v>
      </c>
      <c r="I184" s="721"/>
      <c r="J184" s="721"/>
      <c r="K184" s="721" t="s">
        <v>243</v>
      </c>
      <c r="L184" s="721" t="s">
        <v>243</v>
      </c>
      <c r="M184" s="721" t="s">
        <v>243</v>
      </c>
      <c r="N184" s="721" t="s">
        <v>243</v>
      </c>
      <c r="O184" s="721"/>
      <c r="P184" s="722"/>
      <c r="Q184" s="722"/>
      <c r="R184" s="721" t="s">
        <v>243</v>
      </c>
      <c r="S184" s="721" t="s">
        <v>243</v>
      </c>
      <c r="T184" s="721" t="s">
        <v>243</v>
      </c>
      <c r="U184" s="721" t="s">
        <v>243</v>
      </c>
      <c r="V184" s="721" t="s">
        <v>243</v>
      </c>
      <c r="W184" s="721"/>
      <c r="X184" s="721"/>
      <c r="Y184" s="721" t="s">
        <v>243</v>
      </c>
      <c r="Z184" s="721" t="s">
        <v>243</v>
      </c>
      <c r="AA184" s="721" t="s">
        <v>243</v>
      </c>
      <c r="AB184" s="721"/>
      <c r="AC184" s="721" t="s">
        <v>243</v>
      </c>
      <c r="AD184" s="721"/>
      <c r="AE184" s="721"/>
      <c r="AF184" s="721" t="s">
        <v>243</v>
      </c>
      <c r="AG184" s="721" t="s">
        <v>243</v>
      </c>
      <c r="AH184" s="179"/>
      <c r="AI184" s="179"/>
    </row>
    <row r="185" spans="1:36" ht="22.35" customHeight="1" x14ac:dyDescent="0.2">
      <c r="A185" s="109"/>
      <c r="B185" s="1133" t="s">
        <v>273</v>
      </c>
      <c r="C185" s="723"/>
      <c r="D185" s="723" t="s">
        <v>142</v>
      </c>
      <c r="E185" s="723" t="s">
        <v>142</v>
      </c>
      <c r="F185" s="723" t="s">
        <v>142</v>
      </c>
      <c r="G185" s="723" t="s">
        <v>142</v>
      </c>
      <c r="H185" s="723" t="s">
        <v>142</v>
      </c>
      <c r="I185" s="723"/>
      <c r="J185" s="723"/>
      <c r="K185" s="723" t="s">
        <v>142</v>
      </c>
      <c r="L185" s="723" t="s">
        <v>142</v>
      </c>
      <c r="M185" s="723" t="s">
        <v>142</v>
      </c>
      <c r="N185" s="723" t="s">
        <v>142</v>
      </c>
      <c r="O185" s="723"/>
      <c r="P185" s="723"/>
      <c r="Q185" s="723"/>
      <c r="R185" s="723" t="s">
        <v>142</v>
      </c>
      <c r="S185" s="723" t="s">
        <v>142</v>
      </c>
      <c r="T185" s="723" t="s">
        <v>142</v>
      </c>
      <c r="U185" s="723" t="s">
        <v>142</v>
      </c>
      <c r="V185" s="723" t="s">
        <v>142</v>
      </c>
      <c r="W185" s="723"/>
      <c r="X185" s="723"/>
      <c r="Y185" s="1137" t="s">
        <v>142</v>
      </c>
      <c r="Z185" s="1137" t="s">
        <v>142</v>
      </c>
      <c r="AA185" s="1137" t="s">
        <v>142</v>
      </c>
      <c r="AB185" s="1137"/>
      <c r="AC185" s="1137" t="s">
        <v>142</v>
      </c>
      <c r="AD185" s="1137"/>
      <c r="AE185" s="1137"/>
      <c r="AF185" s="1137" t="s">
        <v>142</v>
      </c>
      <c r="AG185" s="1137" t="s">
        <v>142</v>
      </c>
      <c r="AH185" s="179"/>
      <c r="AI185" s="179"/>
    </row>
    <row r="186" spans="1:36" ht="22.35" customHeight="1" x14ac:dyDescent="0.2">
      <c r="A186" s="109"/>
      <c r="B186" s="634" t="s">
        <v>0</v>
      </c>
      <c r="C186" s="721"/>
      <c r="D186" s="721" t="s">
        <v>134</v>
      </c>
      <c r="E186" s="721" t="s">
        <v>134</v>
      </c>
      <c r="F186" s="721" t="s">
        <v>134</v>
      </c>
      <c r="G186" s="721" t="s">
        <v>134</v>
      </c>
      <c r="H186" s="721" t="s">
        <v>134</v>
      </c>
      <c r="I186" s="721"/>
      <c r="J186" s="721"/>
      <c r="K186" s="721" t="s">
        <v>134</v>
      </c>
      <c r="L186" s="721" t="s">
        <v>134</v>
      </c>
      <c r="M186" s="721" t="s">
        <v>134</v>
      </c>
      <c r="N186" s="721" t="s">
        <v>134</v>
      </c>
      <c r="O186" s="721"/>
      <c r="P186" s="721"/>
      <c r="Q186" s="721"/>
      <c r="R186" s="721" t="s">
        <v>134</v>
      </c>
      <c r="S186" s="721" t="s">
        <v>134</v>
      </c>
      <c r="T186" s="721" t="s">
        <v>134</v>
      </c>
      <c r="U186" s="721" t="s">
        <v>134</v>
      </c>
      <c r="V186" s="721" t="s">
        <v>134</v>
      </c>
      <c r="W186" s="721"/>
      <c r="X186" s="721"/>
      <c r="Y186" s="721" t="s">
        <v>134</v>
      </c>
      <c r="Z186" s="721" t="s">
        <v>134</v>
      </c>
      <c r="AA186" s="721" t="s">
        <v>134</v>
      </c>
      <c r="AB186" s="721"/>
      <c r="AC186" s="721" t="s">
        <v>134</v>
      </c>
      <c r="AD186" s="721"/>
      <c r="AE186" s="721"/>
      <c r="AF186" s="721" t="s">
        <v>134</v>
      </c>
      <c r="AG186" s="721" t="s">
        <v>134</v>
      </c>
      <c r="AH186" s="179"/>
      <c r="AI186" s="179"/>
    </row>
    <row r="187" spans="1:36" ht="22.35" customHeight="1" x14ac:dyDescent="0.2">
      <c r="A187" s="109"/>
      <c r="B187" s="1133" t="s">
        <v>274</v>
      </c>
      <c r="C187" s="292"/>
      <c r="D187" s="292" t="s">
        <v>176</v>
      </c>
      <c r="E187" s="292" t="s">
        <v>176</v>
      </c>
      <c r="F187" s="292" t="s">
        <v>176</v>
      </c>
      <c r="G187" s="292" t="s">
        <v>176</v>
      </c>
      <c r="H187" s="292" t="s">
        <v>176</v>
      </c>
      <c r="I187" s="292"/>
      <c r="J187" s="292"/>
      <c r="K187" s="292" t="s">
        <v>176</v>
      </c>
      <c r="L187" s="313" t="s">
        <v>176</v>
      </c>
      <c r="M187" s="292" t="s">
        <v>176</v>
      </c>
      <c r="N187" s="292" t="s">
        <v>176</v>
      </c>
      <c r="O187" s="292"/>
      <c r="P187" s="292"/>
      <c r="Q187" s="292"/>
      <c r="R187" s="292" t="s">
        <v>176</v>
      </c>
      <c r="S187" s="292" t="s">
        <v>176</v>
      </c>
      <c r="T187" s="292" t="s">
        <v>176</v>
      </c>
      <c r="U187" s="307" t="s">
        <v>176</v>
      </c>
      <c r="V187" s="307" t="s">
        <v>176</v>
      </c>
      <c r="W187" s="292"/>
      <c r="X187" s="292"/>
      <c r="Y187" s="307" t="s">
        <v>176</v>
      </c>
      <c r="Z187" s="292" t="s">
        <v>176</v>
      </c>
      <c r="AA187" s="292" t="s">
        <v>176</v>
      </c>
      <c r="AB187" s="292"/>
      <c r="AC187" s="292" t="s">
        <v>176</v>
      </c>
      <c r="AD187" s="292"/>
      <c r="AE187" s="292"/>
      <c r="AF187" s="292" t="s">
        <v>176</v>
      </c>
      <c r="AG187" s="292" t="s">
        <v>176</v>
      </c>
      <c r="AH187" s="179"/>
      <c r="AI187" s="179"/>
    </row>
    <row r="188" spans="1:36" ht="22.35" customHeight="1" x14ac:dyDescent="0.2">
      <c r="A188" s="109"/>
      <c r="B188" s="1133" t="s">
        <v>275</v>
      </c>
      <c r="C188" s="851"/>
      <c r="D188" s="851" t="s">
        <v>257</v>
      </c>
      <c r="E188" s="851" t="s">
        <v>257</v>
      </c>
      <c r="F188" s="851" t="s">
        <v>257</v>
      </c>
      <c r="G188" s="851" t="s">
        <v>257</v>
      </c>
      <c r="H188" s="851" t="s">
        <v>257</v>
      </c>
      <c r="I188" s="851"/>
      <c r="J188" s="851"/>
      <c r="K188" s="851" t="s">
        <v>257</v>
      </c>
      <c r="L188" s="851" t="s">
        <v>257</v>
      </c>
      <c r="M188" s="851" t="s">
        <v>257</v>
      </c>
      <c r="N188" s="851" t="s">
        <v>257</v>
      </c>
      <c r="O188" s="851"/>
      <c r="P188" s="851"/>
      <c r="Q188" s="851"/>
      <c r="R188" s="851" t="s">
        <v>257</v>
      </c>
      <c r="S188" s="851" t="s">
        <v>257</v>
      </c>
      <c r="T188" s="851" t="s">
        <v>257</v>
      </c>
      <c r="U188" s="851" t="s">
        <v>257</v>
      </c>
      <c r="V188" s="851" t="s">
        <v>257</v>
      </c>
      <c r="W188" s="851"/>
      <c r="X188" s="851"/>
      <c r="Y188" s="851" t="s">
        <v>257</v>
      </c>
      <c r="Z188" s="851" t="s">
        <v>257</v>
      </c>
      <c r="AA188" s="851" t="s">
        <v>257</v>
      </c>
      <c r="AB188" s="851"/>
      <c r="AC188" s="851" t="s">
        <v>257</v>
      </c>
      <c r="AD188" s="851"/>
      <c r="AE188" s="851"/>
      <c r="AF188" s="851" t="s">
        <v>257</v>
      </c>
      <c r="AG188" s="851" t="s">
        <v>257</v>
      </c>
      <c r="AH188" s="179"/>
      <c r="AI188" s="179"/>
    </row>
    <row r="189" spans="1:36" ht="22.35" customHeight="1" x14ac:dyDescent="0.2">
      <c r="A189" s="109"/>
      <c r="B189" s="634" t="s">
        <v>276</v>
      </c>
      <c r="C189" s="851"/>
      <c r="D189" s="851" t="s">
        <v>95</v>
      </c>
      <c r="E189" s="851" t="s">
        <v>95</v>
      </c>
      <c r="F189" s="851" t="s">
        <v>95</v>
      </c>
      <c r="G189" s="851" t="s">
        <v>95</v>
      </c>
      <c r="H189" s="851" t="s">
        <v>95</v>
      </c>
      <c r="I189" s="851"/>
      <c r="J189" s="851"/>
      <c r="K189" s="851" t="s">
        <v>95</v>
      </c>
      <c r="L189" s="851" t="s">
        <v>95</v>
      </c>
      <c r="M189" s="851" t="s">
        <v>95</v>
      </c>
      <c r="N189" s="851" t="s">
        <v>95</v>
      </c>
      <c r="O189" s="851"/>
      <c r="P189" s="851"/>
      <c r="Q189" s="851"/>
      <c r="R189" s="851" t="s">
        <v>95</v>
      </c>
      <c r="S189" s="851" t="s">
        <v>95</v>
      </c>
      <c r="T189" s="851" t="s">
        <v>95</v>
      </c>
      <c r="U189" s="851" t="s">
        <v>95</v>
      </c>
      <c r="V189" s="851" t="s">
        <v>95</v>
      </c>
      <c r="W189" s="851"/>
      <c r="X189" s="851"/>
      <c r="Y189" s="851" t="s">
        <v>95</v>
      </c>
      <c r="Z189" s="851" t="s">
        <v>95</v>
      </c>
      <c r="AA189" s="851" t="s">
        <v>95</v>
      </c>
      <c r="AB189" s="851"/>
      <c r="AC189" s="529" t="s">
        <v>95</v>
      </c>
      <c r="AD189" s="851"/>
      <c r="AE189" s="851"/>
      <c r="AF189" s="851" t="s">
        <v>95</v>
      </c>
      <c r="AG189" s="530" t="s">
        <v>95</v>
      </c>
      <c r="AH189" s="179"/>
      <c r="AI189" s="179"/>
    </row>
    <row r="190" spans="1:36" ht="22.35" customHeight="1" x14ac:dyDescent="0.2">
      <c r="A190" s="109"/>
      <c r="B190" s="1133" t="s">
        <v>277</v>
      </c>
      <c r="C190" s="531"/>
      <c r="D190" s="531" t="s">
        <v>177</v>
      </c>
      <c r="E190" s="531" t="s">
        <v>177</v>
      </c>
      <c r="F190" s="531" t="s">
        <v>177</v>
      </c>
      <c r="G190" s="531" t="s">
        <v>177</v>
      </c>
      <c r="H190" s="531" t="s">
        <v>177</v>
      </c>
      <c r="I190" s="531"/>
      <c r="J190" s="531"/>
      <c r="K190" s="531" t="s">
        <v>177</v>
      </c>
      <c r="L190" s="531" t="s">
        <v>177</v>
      </c>
      <c r="M190" s="531" t="s">
        <v>177</v>
      </c>
      <c r="N190" s="531" t="s">
        <v>177</v>
      </c>
      <c r="O190" s="531"/>
      <c r="P190" s="531"/>
      <c r="Q190" s="531"/>
      <c r="R190" s="531" t="s">
        <v>177</v>
      </c>
      <c r="S190" s="531" t="s">
        <v>177</v>
      </c>
      <c r="T190" s="531" t="s">
        <v>177</v>
      </c>
      <c r="U190" s="531" t="s">
        <v>177</v>
      </c>
      <c r="V190" s="531" t="s">
        <v>177</v>
      </c>
      <c r="W190" s="531"/>
      <c r="X190" s="531"/>
      <c r="Y190" s="531" t="s">
        <v>177</v>
      </c>
      <c r="Z190" s="531" t="s">
        <v>177</v>
      </c>
      <c r="AA190" s="531" t="s">
        <v>177</v>
      </c>
      <c r="AB190" s="531"/>
      <c r="AC190" s="531" t="s">
        <v>177</v>
      </c>
      <c r="AD190" s="531"/>
      <c r="AE190" s="531"/>
      <c r="AF190" s="531" t="s">
        <v>177</v>
      </c>
      <c r="AG190" s="531" t="s">
        <v>177</v>
      </c>
      <c r="AH190" s="179"/>
      <c r="AI190" s="179"/>
    </row>
    <row r="191" spans="1:36" ht="22.35" customHeight="1" x14ac:dyDescent="0.2">
      <c r="A191" s="109"/>
      <c r="B191" s="634"/>
      <c r="C191" s="851"/>
      <c r="D191" s="851" t="s">
        <v>137</v>
      </c>
      <c r="E191" s="851" t="s">
        <v>137</v>
      </c>
      <c r="F191" s="851" t="s">
        <v>137</v>
      </c>
      <c r="G191" s="851" t="s">
        <v>137</v>
      </c>
      <c r="H191" s="851" t="s">
        <v>137</v>
      </c>
      <c r="I191" s="851"/>
      <c r="J191" s="851"/>
      <c r="K191" s="851" t="s">
        <v>137</v>
      </c>
      <c r="L191" s="851" t="s">
        <v>137</v>
      </c>
      <c r="M191" s="851" t="s">
        <v>137</v>
      </c>
      <c r="N191" s="851" t="s">
        <v>137</v>
      </c>
      <c r="O191" s="851"/>
      <c r="P191" s="851"/>
      <c r="Q191" s="851"/>
      <c r="R191" s="851" t="s">
        <v>137</v>
      </c>
      <c r="S191" s="851" t="s">
        <v>137</v>
      </c>
      <c r="T191" s="851" t="s">
        <v>137</v>
      </c>
      <c r="U191" s="851" t="s">
        <v>137</v>
      </c>
      <c r="V191" s="851" t="s">
        <v>137</v>
      </c>
      <c r="W191" s="851"/>
      <c r="X191" s="851"/>
      <c r="Y191" s="851" t="s">
        <v>137</v>
      </c>
      <c r="Z191" s="851" t="s">
        <v>137</v>
      </c>
      <c r="AA191" s="851" t="s">
        <v>137</v>
      </c>
      <c r="AB191" s="851"/>
      <c r="AC191" s="851" t="s">
        <v>137</v>
      </c>
      <c r="AD191" s="851"/>
      <c r="AE191" s="851"/>
      <c r="AF191" s="851" t="s">
        <v>137</v>
      </c>
      <c r="AG191" s="851" t="s">
        <v>137</v>
      </c>
      <c r="AH191" s="179"/>
      <c r="AI191" s="179"/>
    </row>
    <row r="192" spans="1:36" ht="22.35" customHeight="1" x14ac:dyDescent="0.2">
      <c r="A192" s="109"/>
      <c r="B192" s="634" t="s">
        <v>278</v>
      </c>
      <c r="C192" s="851"/>
      <c r="D192" s="851" t="s">
        <v>264</v>
      </c>
      <c r="E192" s="851" t="s">
        <v>264</v>
      </c>
      <c r="F192" s="851" t="s">
        <v>264</v>
      </c>
      <c r="G192" s="851" t="s">
        <v>264</v>
      </c>
      <c r="H192" s="851" t="s">
        <v>264</v>
      </c>
      <c r="I192" s="851"/>
      <c r="J192" s="851"/>
      <c r="K192" s="851" t="s">
        <v>264</v>
      </c>
      <c r="L192" s="851" t="s">
        <v>264</v>
      </c>
      <c r="M192" s="851" t="s">
        <v>264</v>
      </c>
      <c r="N192" s="851" t="s">
        <v>264</v>
      </c>
      <c r="O192" s="851"/>
      <c r="P192" s="851"/>
      <c r="Q192" s="851"/>
      <c r="R192" s="851" t="s">
        <v>264</v>
      </c>
      <c r="S192" s="851" t="s">
        <v>264</v>
      </c>
      <c r="T192" s="851" t="s">
        <v>264</v>
      </c>
      <c r="U192" s="851" t="s">
        <v>264</v>
      </c>
      <c r="V192" s="851" t="s">
        <v>264</v>
      </c>
      <c r="W192" s="851"/>
      <c r="X192" s="851"/>
      <c r="Y192" s="851" t="s">
        <v>264</v>
      </c>
      <c r="Z192" s="851" t="s">
        <v>264</v>
      </c>
      <c r="AA192" s="851" t="s">
        <v>264</v>
      </c>
      <c r="AB192" s="851"/>
      <c r="AC192" s="851" t="s">
        <v>264</v>
      </c>
      <c r="AD192" s="851"/>
      <c r="AE192" s="851"/>
      <c r="AF192" s="851" t="s">
        <v>264</v>
      </c>
      <c r="AG192" s="851" t="s">
        <v>264</v>
      </c>
      <c r="AH192" s="107"/>
      <c r="AI192" s="107"/>
    </row>
    <row r="193" spans="1:35" ht="21" customHeight="1" thickBot="1" x14ac:dyDescent="0.25">
      <c r="A193" s="147"/>
      <c r="B193" s="1138" t="s">
        <v>279</v>
      </c>
      <c r="C193" s="1092"/>
      <c r="D193" s="1139" t="s">
        <v>266</v>
      </c>
      <c r="E193" s="1139" t="s">
        <v>266</v>
      </c>
      <c r="F193" s="1139" t="s">
        <v>266</v>
      </c>
      <c r="G193" s="1139" t="s">
        <v>266</v>
      </c>
      <c r="H193" s="865" t="s">
        <v>266</v>
      </c>
      <c r="I193" s="1092"/>
      <c r="J193" s="1092"/>
      <c r="K193" s="1139" t="s">
        <v>266</v>
      </c>
      <c r="L193" s="1139" t="s">
        <v>266</v>
      </c>
      <c r="M193" s="1139" t="s">
        <v>266</v>
      </c>
      <c r="N193" s="1139" t="s">
        <v>266</v>
      </c>
      <c r="O193" s="865"/>
      <c r="P193" s="1092"/>
      <c r="Q193" s="1092"/>
      <c r="R193" s="1140" t="s">
        <v>266</v>
      </c>
      <c r="S193" s="1139" t="s">
        <v>266</v>
      </c>
      <c r="T193" s="1139" t="s">
        <v>266</v>
      </c>
      <c r="U193" s="1139" t="s">
        <v>266</v>
      </c>
      <c r="V193" s="865" t="s">
        <v>266</v>
      </c>
      <c r="W193" s="1092"/>
      <c r="X193" s="1092"/>
      <c r="Y193" s="1139" t="s">
        <v>266</v>
      </c>
      <c r="Z193" s="1139" t="s">
        <v>266</v>
      </c>
      <c r="AA193" s="1139" t="s">
        <v>266</v>
      </c>
      <c r="AB193" s="1139"/>
      <c r="AC193" s="1141" t="s">
        <v>266</v>
      </c>
      <c r="AD193" s="865"/>
      <c r="AE193" s="865"/>
      <c r="AF193" s="865" t="s">
        <v>266</v>
      </c>
      <c r="AG193" s="1092" t="s">
        <v>266</v>
      </c>
      <c r="AH193" s="114"/>
    </row>
    <row r="194" spans="1:35" ht="21" customHeight="1" x14ac:dyDescent="0.2">
      <c r="A194" s="147"/>
      <c r="B194" s="217"/>
      <c r="C194" s="216"/>
      <c r="D194" s="216"/>
      <c r="E194" s="216"/>
      <c r="F194" s="216"/>
      <c r="G194" s="216"/>
      <c r="H194" s="216"/>
      <c r="I194" s="216"/>
      <c r="J194" s="216"/>
      <c r="K194" s="216"/>
      <c r="L194" s="216"/>
      <c r="M194" s="216"/>
      <c r="N194" s="216"/>
      <c r="O194" s="216"/>
      <c r="P194" s="216"/>
      <c r="Q194" s="216"/>
      <c r="R194" s="216"/>
      <c r="S194" s="216"/>
      <c r="T194" s="216"/>
      <c r="U194" s="216"/>
      <c r="V194" s="216"/>
      <c r="W194" s="216"/>
      <c r="X194" s="216"/>
      <c r="Y194" s="216"/>
      <c r="Z194" s="216"/>
      <c r="AA194" s="216"/>
      <c r="AB194" s="216"/>
      <c r="AC194" s="216"/>
      <c r="AD194" s="216"/>
      <c r="AE194" s="216"/>
      <c r="AF194" s="216"/>
      <c r="AG194" s="216"/>
      <c r="AH194" s="114"/>
    </row>
    <row r="195" spans="1:35" ht="22.35" customHeight="1" x14ac:dyDescent="0.2">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row>
    <row r="196" spans="1:35" ht="22.35" customHeight="1" thickBot="1" x14ac:dyDescent="0.25">
      <c r="A196" s="1" t="s">
        <v>280</v>
      </c>
      <c r="B196" s="59"/>
    </row>
    <row r="197" spans="1:35" ht="22.35" customHeight="1" x14ac:dyDescent="0.2">
      <c r="A197" s="1"/>
      <c r="B197" s="532" t="s">
        <v>281</v>
      </c>
      <c r="C197" s="1142" t="s">
        <v>107</v>
      </c>
      <c r="D197" s="995"/>
      <c r="E197" s="995"/>
      <c r="F197" s="995"/>
      <c r="G197" s="1142" t="s">
        <v>108</v>
      </c>
      <c r="H197" s="995"/>
      <c r="I197" s="995"/>
      <c r="J197" s="995"/>
      <c r="K197" s="1142" t="s">
        <v>109</v>
      </c>
      <c r="L197" s="995"/>
      <c r="M197" s="995"/>
      <c r="N197" s="995"/>
      <c r="O197" s="1142" t="s">
        <v>110</v>
      </c>
      <c r="P197" s="995"/>
      <c r="Q197" s="995"/>
      <c r="R197" s="995"/>
      <c r="S197" s="1142" t="s">
        <v>111</v>
      </c>
      <c r="T197" s="995"/>
      <c r="U197" s="995"/>
      <c r="V197" s="995"/>
      <c r="W197" s="1142" t="s">
        <v>112</v>
      </c>
      <c r="X197" s="876"/>
      <c r="Y197" s="995"/>
      <c r="Z197" s="1143"/>
      <c r="AA197" s="1142" t="s">
        <v>113</v>
      </c>
      <c r="AB197" s="876"/>
      <c r="AC197" s="995"/>
      <c r="AD197" s="1143"/>
      <c r="AE197" s="1144" t="s">
        <v>114</v>
      </c>
      <c r="AF197" s="995"/>
      <c r="AG197" s="995"/>
      <c r="AH197" s="995"/>
      <c r="AI197" s="877"/>
    </row>
    <row r="198" spans="1:35" ht="22.35" customHeight="1" x14ac:dyDescent="0.2">
      <c r="A198" s="1"/>
      <c r="B198" s="533">
        <v>3701</v>
      </c>
      <c r="C198" s="110" t="s">
        <v>282</v>
      </c>
      <c r="D198" s="110"/>
      <c r="E198" s="110"/>
      <c r="F198" s="110"/>
      <c r="G198" s="534" t="s">
        <v>283</v>
      </c>
      <c r="H198" s="110"/>
      <c r="I198" s="110"/>
      <c r="J198" s="110"/>
      <c r="K198" s="534" t="s">
        <v>283</v>
      </c>
      <c r="L198" s="110"/>
      <c r="M198" s="110"/>
      <c r="N198" s="110"/>
      <c r="O198" s="534" t="s">
        <v>283</v>
      </c>
      <c r="P198" s="110"/>
      <c r="Q198" s="110"/>
      <c r="R198" s="110"/>
      <c r="S198" s="534" t="s">
        <v>284</v>
      </c>
      <c r="T198" s="110"/>
      <c r="U198" s="110"/>
      <c r="V198" s="110"/>
      <c r="W198" s="1002"/>
      <c r="X198" s="1145"/>
      <c r="Y198" s="886"/>
      <c r="Z198" s="1146"/>
      <c r="AA198" s="1002"/>
      <c r="AB198" s="1145"/>
      <c r="AC198" s="886"/>
      <c r="AD198" s="1146"/>
      <c r="AE198" s="1046"/>
      <c r="AF198" s="886"/>
      <c r="AG198" s="886"/>
      <c r="AH198" s="886"/>
      <c r="AI198" s="788"/>
    </row>
    <row r="199" spans="1:35" ht="22.35" customHeight="1" x14ac:dyDescent="0.2">
      <c r="B199" s="532">
        <v>3700</v>
      </c>
      <c r="C199" s="886" t="s">
        <v>182</v>
      </c>
      <c r="D199" s="886"/>
      <c r="E199" s="886"/>
      <c r="F199" s="886"/>
      <c r="G199" s="698" t="s">
        <v>182</v>
      </c>
      <c r="H199" s="886"/>
      <c r="I199" s="886"/>
      <c r="J199" s="886"/>
      <c r="K199" s="698" t="s">
        <v>182</v>
      </c>
      <c r="L199" s="886"/>
      <c r="M199" s="886"/>
      <c r="N199" s="886"/>
      <c r="O199" s="698" t="s">
        <v>182</v>
      </c>
      <c r="P199" s="886"/>
      <c r="Q199" s="886"/>
      <c r="R199" s="886"/>
      <c r="S199" s="698" t="s">
        <v>183</v>
      </c>
      <c r="T199" s="886"/>
      <c r="U199" s="886"/>
      <c r="V199" s="886"/>
      <c r="W199" s="1002"/>
      <c r="X199" s="886"/>
      <c r="Y199" s="886"/>
      <c r="Z199" s="1048"/>
      <c r="AA199" s="1046"/>
      <c r="AB199" s="886"/>
      <c r="AC199" s="886"/>
      <c r="AD199" s="945"/>
      <c r="AE199" s="1147"/>
      <c r="AF199" s="886"/>
      <c r="AG199" s="886"/>
      <c r="AH199" s="945"/>
      <c r="AI199" s="788"/>
    </row>
    <row r="200" spans="1:35" ht="22.35" customHeight="1" x14ac:dyDescent="0.2">
      <c r="A200" s="1"/>
      <c r="B200" s="532">
        <v>8514</v>
      </c>
      <c r="C200" s="886" t="s">
        <v>283</v>
      </c>
      <c r="D200" s="886"/>
      <c r="E200" s="886"/>
      <c r="F200" s="886"/>
      <c r="G200" s="698" t="s">
        <v>283</v>
      </c>
      <c r="H200" s="886"/>
      <c r="I200" s="886"/>
      <c r="J200" s="886"/>
      <c r="K200" s="698" t="s">
        <v>283</v>
      </c>
      <c r="L200" s="886"/>
      <c r="M200" s="886"/>
      <c r="N200" s="886"/>
      <c r="O200" s="698" t="s">
        <v>283</v>
      </c>
      <c r="P200" s="886"/>
      <c r="Q200" s="886"/>
      <c r="R200" s="886"/>
      <c r="S200" s="698" t="s">
        <v>285</v>
      </c>
      <c r="T200" s="886"/>
      <c r="U200" s="886"/>
      <c r="V200" s="886"/>
      <c r="W200" s="1002"/>
      <c r="X200" s="886"/>
      <c r="Y200" s="886"/>
      <c r="Z200" s="1048"/>
      <c r="AA200" s="735"/>
      <c r="AB200" s="886"/>
      <c r="AC200" s="886"/>
      <c r="AD200" s="945"/>
      <c r="AE200" s="735"/>
      <c r="AF200" s="886"/>
      <c r="AG200" s="886"/>
      <c r="AH200" s="945"/>
      <c r="AI200" s="788"/>
    </row>
    <row r="201" spans="1:35" ht="22.35" customHeight="1" x14ac:dyDescent="0.2">
      <c r="A201" s="1"/>
      <c r="B201" s="532">
        <v>8500</v>
      </c>
      <c r="C201" s="162" t="s">
        <v>286</v>
      </c>
      <c r="D201" s="162"/>
      <c r="E201" s="162"/>
      <c r="F201" s="162"/>
      <c r="G201" s="163" t="s">
        <v>286</v>
      </c>
      <c r="H201" s="162"/>
      <c r="I201" s="162"/>
      <c r="J201" s="162"/>
      <c r="K201" s="163" t="s">
        <v>286</v>
      </c>
      <c r="L201" s="162"/>
      <c r="M201" s="162"/>
      <c r="N201" s="162"/>
      <c r="O201" s="163" t="s">
        <v>286</v>
      </c>
      <c r="P201" s="162"/>
      <c r="Q201" s="162"/>
      <c r="R201" s="162"/>
      <c r="S201" s="163" t="s">
        <v>287</v>
      </c>
      <c r="T201" s="162"/>
      <c r="U201" s="162"/>
      <c r="V201" s="162"/>
      <c r="W201" s="1002"/>
      <c r="X201" s="162"/>
      <c r="Y201" s="162"/>
      <c r="Z201" s="120"/>
      <c r="AA201" s="119"/>
      <c r="AB201" s="162"/>
      <c r="AC201" s="162"/>
      <c r="AD201" s="120"/>
      <c r="AE201" s="119"/>
      <c r="AF201" s="162"/>
      <c r="AG201" s="162"/>
      <c r="AH201" s="112"/>
      <c r="AI201" s="118"/>
    </row>
    <row r="202" spans="1:35" ht="22.35" customHeight="1" x14ac:dyDescent="0.2">
      <c r="A202" s="1"/>
      <c r="B202" s="532">
        <v>8514</v>
      </c>
      <c r="C202" s="165" t="s">
        <v>283</v>
      </c>
      <c r="D202" s="165"/>
      <c r="E202" s="165"/>
      <c r="F202" s="165"/>
      <c r="G202" s="166" t="s">
        <v>283</v>
      </c>
      <c r="H202" s="165"/>
      <c r="I202" s="165"/>
      <c r="J202" s="165"/>
      <c r="K202" s="166" t="s">
        <v>283</v>
      </c>
      <c r="L202" s="165"/>
      <c r="M202" s="165"/>
      <c r="N202" s="165"/>
      <c r="O202" s="166" t="s">
        <v>283</v>
      </c>
      <c r="P202" s="165"/>
      <c r="Q202" s="165"/>
      <c r="R202" s="165"/>
      <c r="S202" s="166" t="s">
        <v>285</v>
      </c>
      <c r="T202" s="165"/>
      <c r="U202" s="165"/>
      <c r="V202" s="165"/>
      <c r="W202" s="1148"/>
      <c r="X202" s="116"/>
      <c r="Y202" s="162"/>
      <c r="Z202" s="164"/>
      <c r="AA202" s="154"/>
      <c r="AB202" s="116"/>
      <c r="AC202" s="162"/>
      <c r="AD202" s="162"/>
      <c r="AE202" s="117"/>
      <c r="AF202" s="162"/>
      <c r="AG202" s="162"/>
      <c r="AH202" s="162"/>
      <c r="AI202" s="118"/>
    </row>
    <row r="203" spans="1:35" ht="22.35" customHeight="1" thickBot="1" x14ac:dyDescent="0.25">
      <c r="A203" s="1"/>
      <c r="B203" s="1149" t="s">
        <v>288</v>
      </c>
      <c r="C203" s="891" t="s">
        <v>289</v>
      </c>
      <c r="D203" s="891"/>
      <c r="E203" s="891"/>
      <c r="F203" s="891"/>
      <c r="G203" s="584" t="s">
        <v>289</v>
      </c>
      <c r="H203" s="891"/>
      <c r="I203" s="891"/>
      <c r="J203" s="891"/>
      <c r="K203" s="1004" t="s">
        <v>289</v>
      </c>
      <c r="L203" s="891"/>
      <c r="M203" s="891"/>
      <c r="N203" s="891"/>
      <c r="O203" s="584" t="s">
        <v>289</v>
      </c>
      <c r="P203" s="891"/>
      <c r="Q203" s="891"/>
      <c r="R203" s="891"/>
      <c r="S203" s="584" t="s">
        <v>290</v>
      </c>
      <c r="T203" s="891"/>
      <c r="U203" s="891"/>
      <c r="V203" s="891"/>
      <c r="W203" s="1004"/>
      <c r="X203" s="891"/>
      <c r="Y203" s="891"/>
      <c r="Z203" s="706"/>
      <c r="AA203" s="1057"/>
      <c r="AB203" s="891"/>
      <c r="AC203" s="891"/>
      <c r="AD203" s="1063"/>
      <c r="AE203" s="724"/>
      <c r="AF203" s="891"/>
      <c r="AG203" s="891"/>
      <c r="AH203" s="1063"/>
      <c r="AI203" s="894"/>
    </row>
    <row r="204" spans="1:35" ht="22.35" customHeight="1" x14ac:dyDescent="0.2">
      <c r="A204" s="1"/>
      <c r="B204" s="18"/>
      <c r="C204" s="64"/>
      <c r="D204" s="110"/>
      <c r="E204" s="110"/>
      <c r="F204" s="69"/>
      <c r="G204" s="64"/>
      <c r="H204" s="110"/>
      <c r="I204" s="110"/>
      <c r="J204" s="69"/>
      <c r="K204" s="64"/>
      <c r="L204" s="110"/>
      <c r="M204" s="110"/>
      <c r="N204" s="69"/>
      <c r="O204" s="64"/>
      <c r="P204" s="110"/>
      <c r="Q204" s="110"/>
      <c r="R204" s="69"/>
      <c r="S204" s="64"/>
      <c r="T204" s="110"/>
      <c r="U204" s="110"/>
      <c r="V204" s="69"/>
      <c r="W204" s="69"/>
      <c r="Z204" s="69"/>
      <c r="AA204" s="69"/>
      <c r="AD204" s="69"/>
      <c r="AE204" s="69"/>
      <c r="AH204" s="69"/>
    </row>
    <row r="205" spans="1:35" ht="22.35" customHeight="1" x14ac:dyDescent="0.2">
      <c r="A205" s="1" t="s">
        <v>291</v>
      </c>
      <c r="B205" s="18"/>
      <c r="C205" s="64"/>
      <c r="D205" s="110"/>
      <c r="E205" s="110"/>
      <c r="F205" s="69"/>
      <c r="G205" s="64"/>
      <c r="H205" s="110"/>
      <c r="I205" s="110"/>
      <c r="J205" s="69"/>
      <c r="K205" s="64"/>
      <c r="L205" s="110"/>
      <c r="M205" s="110"/>
      <c r="N205" s="69"/>
      <c r="O205" s="64"/>
      <c r="P205" s="110"/>
      <c r="Q205" s="110"/>
      <c r="R205" s="69"/>
      <c r="S205" s="64"/>
      <c r="T205" s="110"/>
      <c r="U205" s="110"/>
      <c r="V205" s="69"/>
      <c r="W205" s="69"/>
      <c r="Z205" s="69"/>
      <c r="AA205" s="69"/>
      <c r="AD205" s="69"/>
      <c r="AE205" s="69"/>
      <c r="AH205" s="69"/>
    </row>
    <row r="206" spans="1:35" ht="22.35" customHeight="1" thickBot="1" x14ac:dyDescent="0.25">
      <c r="A206" s="981"/>
      <c r="B206" s="748" t="s">
        <v>29</v>
      </c>
      <c r="C206" s="795">
        <v>1</v>
      </c>
      <c r="D206" s="796">
        <v>2</v>
      </c>
      <c r="E206" s="796">
        <v>3</v>
      </c>
      <c r="F206" s="796">
        <v>4</v>
      </c>
      <c r="G206" s="796">
        <v>5</v>
      </c>
      <c r="H206" s="796">
        <v>6</v>
      </c>
      <c r="I206" s="795">
        <v>7</v>
      </c>
      <c r="J206" s="795">
        <v>8</v>
      </c>
      <c r="K206" s="796">
        <v>9</v>
      </c>
      <c r="L206" s="796">
        <v>10</v>
      </c>
      <c r="M206" s="796">
        <v>11</v>
      </c>
      <c r="N206" s="796">
        <v>12</v>
      </c>
      <c r="O206" s="795">
        <v>13</v>
      </c>
      <c r="P206" s="795">
        <v>14</v>
      </c>
      <c r="Q206" s="795">
        <v>15</v>
      </c>
      <c r="R206" s="796">
        <v>16</v>
      </c>
      <c r="S206" s="796">
        <v>17</v>
      </c>
      <c r="T206" s="796">
        <v>18</v>
      </c>
      <c r="U206" s="796">
        <v>19</v>
      </c>
      <c r="V206" s="796">
        <v>20</v>
      </c>
      <c r="W206" s="795">
        <v>21</v>
      </c>
      <c r="X206" s="795">
        <v>22</v>
      </c>
      <c r="Y206" s="796">
        <v>23</v>
      </c>
      <c r="Z206" s="796">
        <v>24</v>
      </c>
      <c r="AA206" s="796">
        <v>25</v>
      </c>
      <c r="AB206" s="795">
        <v>26</v>
      </c>
      <c r="AC206" s="796">
        <v>27</v>
      </c>
      <c r="AD206" s="795">
        <v>28</v>
      </c>
      <c r="AE206" s="795">
        <v>29</v>
      </c>
      <c r="AF206" s="796">
        <v>30</v>
      </c>
      <c r="AG206" s="797">
        <v>31</v>
      </c>
      <c r="AH206" s="173"/>
      <c r="AI206" s="174"/>
    </row>
    <row r="207" spans="1:35" ht="22.35" customHeight="1" x14ac:dyDescent="0.2">
      <c r="A207" s="1150"/>
      <c r="B207" s="1151" t="s">
        <v>292</v>
      </c>
      <c r="C207" s="801"/>
      <c r="D207" s="801" t="s">
        <v>32</v>
      </c>
      <c r="E207" s="801" t="s">
        <v>32</v>
      </c>
      <c r="F207" s="801" t="s">
        <v>32</v>
      </c>
      <c r="G207" s="801" t="s">
        <v>32</v>
      </c>
      <c r="H207" s="801" t="s">
        <v>32</v>
      </c>
      <c r="I207" s="801"/>
      <c r="J207" s="801"/>
      <c r="K207" s="801" t="s">
        <v>32</v>
      </c>
      <c r="L207" s="801" t="s">
        <v>32</v>
      </c>
      <c r="M207" s="801" t="s">
        <v>32</v>
      </c>
      <c r="N207" s="848" t="s">
        <v>32</v>
      </c>
      <c r="O207" s="848"/>
      <c r="P207" s="848"/>
      <c r="Q207" s="975"/>
      <c r="R207" s="848" t="s">
        <v>32</v>
      </c>
      <c r="S207" s="848" t="s">
        <v>32</v>
      </c>
      <c r="T207" s="801" t="s">
        <v>32</v>
      </c>
      <c r="U207" s="848" t="s">
        <v>32</v>
      </c>
      <c r="V207" s="1152" t="s">
        <v>32</v>
      </c>
      <c r="W207" s="1152"/>
      <c r="X207" s="1152"/>
      <c r="Y207" s="848" t="s">
        <v>32</v>
      </c>
      <c r="Z207" s="801" t="s">
        <v>32</v>
      </c>
      <c r="AA207" s="801" t="s">
        <v>32</v>
      </c>
      <c r="AB207" s="801"/>
      <c r="AC207" s="859" t="s">
        <v>32</v>
      </c>
      <c r="AD207" s="859"/>
      <c r="AE207" s="859"/>
      <c r="AF207" s="859" t="s">
        <v>32</v>
      </c>
      <c r="AG207" s="308" t="s">
        <v>32</v>
      </c>
      <c r="AH207" s="173"/>
      <c r="AI207" s="174"/>
    </row>
    <row r="208" spans="1:35" ht="22.35" customHeight="1" x14ac:dyDescent="0.2">
      <c r="A208" s="1153"/>
      <c r="B208" s="1154" t="s">
        <v>293</v>
      </c>
      <c r="C208" s="801"/>
      <c r="D208" s="801"/>
      <c r="E208" s="801"/>
      <c r="F208" s="801"/>
      <c r="G208" s="801"/>
      <c r="H208" s="801"/>
      <c r="I208" s="801"/>
      <c r="J208" s="801"/>
      <c r="K208" s="801"/>
      <c r="L208" s="801"/>
      <c r="M208" s="801"/>
      <c r="N208" s="848"/>
      <c r="O208" s="848"/>
      <c r="P208" s="848"/>
      <c r="Q208" s="975"/>
      <c r="R208" s="848"/>
      <c r="S208" s="801"/>
      <c r="T208" s="801"/>
      <c r="U208" s="848"/>
      <c r="V208" s="848"/>
      <c r="W208" s="848"/>
      <c r="X208" s="801"/>
      <c r="Y208" s="848"/>
      <c r="Z208" s="801"/>
      <c r="AA208" s="801"/>
      <c r="AB208" s="801"/>
      <c r="AC208" s="801"/>
      <c r="AD208" s="975"/>
      <c r="AE208" s="975"/>
      <c r="AF208" s="975"/>
      <c r="AG208" s="585"/>
      <c r="AH208" s="173"/>
      <c r="AI208" s="174"/>
    </row>
    <row r="209" spans="1:35" ht="22.35" customHeight="1" x14ac:dyDescent="0.2">
      <c r="A209" s="1155">
        <v>8514</v>
      </c>
      <c r="B209" s="1156" t="s">
        <v>294</v>
      </c>
      <c r="C209" s="801"/>
      <c r="D209" s="801" t="s">
        <v>32</v>
      </c>
      <c r="E209" s="801" t="s">
        <v>32</v>
      </c>
      <c r="F209" s="801" t="s">
        <v>32</v>
      </c>
      <c r="G209" s="801" t="s">
        <v>32</v>
      </c>
      <c r="H209" s="801" t="s">
        <v>32</v>
      </c>
      <c r="I209" s="801"/>
      <c r="J209" s="801"/>
      <c r="K209" s="801" t="s">
        <v>32</v>
      </c>
      <c r="L209" s="801" t="s">
        <v>32</v>
      </c>
      <c r="M209" s="801" t="s">
        <v>32</v>
      </c>
      <c r="N209" s="848" t="s">
        <v>32</v>
      </c>
      <c r="O209" s="848"/>
      <c r="P209" s="848"/>
      <c r="Q209" s="975"/>
      <c r="R209" s="848" t="s">
        <v>32</v>
      </c>
      <c r="S209" s="801" t="s">
        <v>32</v>
      </c>
      <c r="T209" s="801" t="s">
        <v>32</v>
      </c>
      <c r="U209" s="848" t="s">
        <v>32</v>
      </c>
      <c r="V209" s="848" t="s">
        <v>32</v>
      </c>
      <c r="W209" s="848"/>
      <c r="X209" s="848"/>
      <c r="Y209" s="848" t="s">
        <v>32</v>
      </c>
      <c r="Z209" s="801" t="s">
        <v>32</v>
      </c>
      <c r="AA209" s="801" t="s">
        <v>32</v>
      </c>
      <c r="AB209" s="801"/>
      <c r="AC209" s="859" t="s">
        <v>32</v>
      </c>
      <c r="AD209" s="975"/>
      <c r="AE209" s="975"/>
      <c r="AF209" s="975" t="s">
        <v>32</v>
      </c>
      <c r="AG209" s="585" t="s">
        <v>32</v>
      </c>
      <c r="AH209" s="178"/>
      <c r="AI209" s="179"/>
    </row>
    <row r="210" spans="1:35" ht="21" customHeight="1" x14ac:dyDescent="0.2">
      <c r="A210" s="1155"/>
      <c r="B210" s="1157" t="s">
        <v>295</v>
      </c>
      <c r="C210" s="801"/>
      <c r="D210" s="801"/>
      <c r="E210" s="801"/>
      <c r="F210" s="801"/>
      <c r="G210" s="801"/>
      <c r="H210" s="801"/>
      <c r="I210" s="801"/>
      <c r="J210" s="801"/>
      <c r="K210" s="801"/>
      <c r="L210" s="801"/>
      <c r="M210" s="801"/>
      <c r="N210" s="848"/>
      <c r="O210" s="848"/>
      <c r="P210" s="848"/>
      <c r="Q210" s="975"/>
      <c r="R210" s="848"/>
      <c r="S210" s="801"/>
      <c r="T210" s="801"/>
      <c r="U210" s="848"/>
      <c r="V210" s="848"/>
      <c r="W210" s="848"/>
      <c r="X210" s="801"/>
      <c r="Y210" s="848"/>
      <c r="Z210" s="801"/>
      <c r="AA210" s="801"/>
      <c r="AB210" s="801"/>
      <c r="AC210" s="801"/>
      <c r="AD210" s="848"/>
      <c r="AE210" s="848"/>
      <c r="AF210" s="848"/>
      <c r="AG210" s="585"/>
      <c r="AH210" s="178"/>
      <c r="AI210" s="179"/>
    </row>
    <row r="211" spans="1:35" ht="21" customHeight="1" x14ac:dyDescent="0.2">
      <c r="A211" s="1155">
        <v>3701</v>
      </c>
      <c r="B211" s="933" t="s">
        <v>296</v>
      </c>
      <c r="C211" s="801"/>
      <c r="D211" s="1158" t="s">
        <v>32</v>
      </c>
      <c r="E211" s="1158" t="s">
        <v>32</v>
      </c>
      <c r="F211" s="801" t="s">
        <v>32</v>
      </c>
      <c r="G211" s="801" t="s">
        <v>32</v>
      </c>
      <c r="H211" s="801" t="s">
        <v>32</v>
      </c>
      <c r="I211" s="801"/>
      <c r="J211" s="801"/>
      <c r="K211" s="801" t="s">
        <v>32</v>
      </c>
      <c r="L211" s="801" t="s">
        <v>32</v>
      </c>
      <c r="M211" s="801" t="s">
        <v>32</v>
      </c>
      <c r="N211" s="848" t="s">
        <v>32</v>
      </c>
      <c r="O211" s="848"/>
      <c r="P211" s="848"/>
      <c r="Q211" s="975"/>
      <c r="R211" s="848" t="s">
        <v>32</v>
      </c>
      <c r="S211" s="801" t="s">
        <v>32</v>
      </c>
      <c r="T211" s="1158" t="s">
        <v>32</v>
      </c>
      <c r="U211" s="848" t="s">
        <v>32</v>
      </c>
      <c r="V211" s="1158" t="s">
        <v>32</v>
      </c>
      <c r="W211" s="848"/>
      <c r="X211" s="848"/>
      <c r="Y211" s="848" t="s">
        <v>32</v>
      </c>
      <c r="Z211" s="1158" t="s">
        <v>32</v>
      </c>
      <c r="AA211" s="801" t="s">
        <v>32</v>
      </c>
      <c r="AB211" s="801"/>
      <c r="AC211" s="1158" t="s">
        <v>32</v>
      </c>
      <c r="AD211" s="848"/>
      <c r="AE211" s="848"/>
      <c r="AF211" s="848" t="s">
        <v>32</v>
      </c>
      <c r="AG211" s="585" t="s">
        <v>32</v>
      </c>
      <c r="AH211" s="178"/>
      <c r="AI211" s="179"/>
    </row>
    <row r="212" spans="1:35" ht="21" customHeight="1" x14ac:dyDescent="0.2">
      <c r="A212" s="1155">
        <v>3701</v>
      </c>
      <c r="B212" s="933" t="s">
        <v>297</v>
      </c>
      <c r="C212" s="960"/>
      <c r="D212" s="801" t="s">
        <v>32</v>
      </c>
      <c r="E212" s="801" t="s">
        <v>32</v>
      </c>
      <c r="F212" s="801" t="s">
        <v>32</v>
      </c>
      <c r="G212" s="801" t="s">
        <v>32</v>
      </c>
      <c r="H212" s="801" t="s">
        <v>32</v>
      </c>
      <c r="I212" s="801"/>
      <c r="J212" s="801"/>
      <c r="K212" s="801" t="s">
        <v>32</v>
      </c>
      <c r="L212" s="801" t="s">
        <v>32</v>
      </c>
      <c r="M212" s="1158" t="s">
        <v>32</v>
      </c>
      <c r="N212" s="848" t="s">
        <v>32</v>
      </c>
      <c r="O212" s="848"/>
      <c r="P212" s="848"/>
      <c r="Q212" s="975"/>
      <c r="R212" s="848" t="s">
        <v>32</v>
      </c>
      <c r="S212" s="801" t="s">
        <v>32</v>
      </c>
      <c r="T212" s="1158" t="s">
        <v>32</v>
      </c>
      <c r="U212" s="848" t="s">
        <v>32</v>
      </c>
      <c r="V212" s="848" t="s">
        <v>32</v>
      </c>
      <c r="W212" s="960"/>
      <c r="X212" s="960"/>
      <c r="Y212" s="980" t="s">
        <v>32</v>
      </c>
      <c r="Z212" s="801" t="s">
        <v>32</v>
      </c>
      <c r="AA212" s="960"/>
      <c r="AB212" s="960"/>
      <c r="AC212" s="960"/>
      <c r="AD212" s="980"/>
      <c r="AE212" s="960"/>
      <c r="AF212" s="975" t="s">
        <v>32</v>
      </c>
      <c r="AG212" s="585" t="s">
        <v>32</v>
      </c>
      <c r="AH212" s="178"/>
      <c r="AI212" s="179"/>
    </row>
    <row r="213" spans="1:35" ht="21" customHeight="1" x14ac:dyDescent="0.2">
      <c r="A213" s="1155"/>
      <c r="B213" s="933" t="s">
        <v>298</v>
      </c>
      <c r="C213" s="801"/>
      <c r="D213" s="801" t="s">
        <v>32</v>
      </c>
      <c r="E213" s="801" t="s">
        <v>32</v>
      </c>
      <c r="F213" s="801" t="s">
        <v>32</v>
      </c>
      <c r="G213" s="801" t="s">
        <v>32</v>
      </c>
      <c r="H213" s="848" t="s">
        <v>32</v>
      </c>
      <c r="I213" s="848"/>
      <c r="J213" s="801"/>
      <c r="K213" s="801" t="s">
        <v>32</v>
      </c>
      <c r="L213" s="801" t="s">
        <v>32</v>
      </c>
      <c r="M213" s="801" t="s">
        <v>32</v>
      </c>
      <c r="N213" s="848" t="s">
        <v>32</v>
      </c>
      <c r="O213" s="848"/>
      <c r="P213" s="848"/>
      <c r="Q213" s="975"/>
      <c r="R213" s="848" t="s">
        <v>32</v>
      </c>
      <c r="S213" s="801" t="s">
        <v>32</v>
      </c>
      <c r="T213" s="801" t="s">
        <v>32</v>
      </c>
      <c r="U213" s="848" t="s">
        <v>32</v>
      </c>
      <c r="V213" s="848" t="s">
        <v>32</v>
      </c>
      <c r="W213" s="848"/>
      <c r="X213" s="801"/>
      <c r="Y213" s="848" t="s">
        <v>32</v>
      </c>
      <c r="Z213" s="801" t="s">
        <v>32</v>
      </c>
      <c r="AA213" s="801" t="s">
        <v>32</v>
      </c>
      <c r="AB213" s="801"/>
      <c r="AC213" s="801" t="s">
        <v>32</v>
      </c>
      <c r="AD213" s="848"/>
      <c r="AE213" s="848"/>
      <c r="AF213" s="848" t="s">
        <v>32</v>
      </c>
      <c r="AG213" s="585" t="s">
        <v>32</v>
      </c>
      <c r="AH213" s="178"/>
      <c r="AI213" s="179"/>
    </row>
    <row r="214" spans="1:35" ht="22.35" customHeight="1" x14ac:dyDescent="0.2">
      <c r="A214" s="1155">
        <v>3701</v>
      </c>
      <c r="B214" s="1157" t="s">
        <v>299</v>
      </c>
      <c r="C214" s="801"/>
      <c r="D214" s="801" t="s">
        <v>32</v>
      </c>
      <c r="E214" s="801" t="s">
        <v>32</v>
      </c>
      <c r="F214" s="801" t="s">
        <v>32</v>
      </c>
      <c r="G214" s="801" t="s">
        <v>32</v>
      </c>
      <c r="H214" s="848" t="s">
        <v>32</v>
      </c>
      <c r="I214" s="848"/>
      <c r="J214" s="801"/>
      <c r="K214" s="801" t="s">
        <v>32</v>
      </c>
      <c r="L214" s="801" t="s">
        <v>32</v>
      </c>
      <c r="M214" s="801" t="s">
        <v>32</v>
      </c>
      <c r="N214" s="848" t="s">
        <v>32</v>
      </c>
      <c r="O214" s="848"/>
      <c r="P214" s="848"/>
      <c r="Q214" s="975"/>
      <c r="R214" s="848" t="s">
        <v>32</v>
      </c>
      <c r="S214" s="801" t="s">
        <v>32</v>
      </c>
      <c r="T214" s="801" t="s">
        <v>32</v>
      </c>
      <c r="U214" s="848" t="s">
        <v>32</v>
      </c>
      <c r="V214" s="848" t="s">
        <v>32</v>
      </c>
      <c r="W214" s="848"/>
      <c r="X214" s="801"/>
      <c r="Y214" s="848" t="s">
        <v>32</v>
      </c>
      <c r="Z214" s="801" t="s">
        <v>32</v>
      </c>
      <c r="AA214" s="801" t="s">
        <v>32</v>
      </c>
      <c r="AB214" s="801"/>
      <c r="AC214" s="801" t="s">
        <v>32</v>
      </c>
      <c r="AD214" s="848"/>
      <c r="AE214" s="848"/>
      <c r="AF214" s="848" t="s">
        <v>32</v>
      </c>
      <c r="AG214" s="585" t="s">
        <v>32</v>
      </c>
      <c r="AH214" s="178"/>
      <c r="AI214" s="179"/>
    </row>
    <row r="215" spans="1:35" ht="22.35" customHeight="1" x14ac:dyDescent="0.2">
      <c r="A215" s="1155">
        <v>3701</v>
      </c>
      <c r="B215" s="933" t="s">
        <v>300</v>
      </c>
      <c r="C215" s="801"/>
      <c r="D215" s="801" t="s">
        <v>32</v>
      </c>
      <c r="E215" s="801" t="s">
        <v>32</v>
      </c>
      <c r="F215" s="801" t="s">
        <v>32</v>
      </c>
      <c r="G215" s="801" t="s">
        <v>32</v>
      </c>
      <c r="H215" s="801" t="s">
        <v>32</v>
      </c>
      <c r="I215" s="801"/>
      <c r="J215" s="801"/>
      <c r="K215" s="801" t="s">
        <v>32</v>
      </c>
      <c r="L215" s="801" t="s">
        <v>32</v>
      </c>
      <c r="M215" s="801" t="s">
        <v>32</v>
      </c>
      <c r="N215" s="848" t="s">
        <v>32</v>
      </c>
      <c r="O215" s="848"/>
      <c r="P215" s="848"/>
      <c r="Q215" s="975"/>
      <c r="R215" s="848" t="s">
        <v>32</v>
      </c>
      <c r="S215" s="801" t="s">
        <v>32</v>
      </c>
      <c r="T215" s="801" t="s">
        <v>32</v>
      </c>
      <c r="U215" s="848" t="s">
        <v>32</v>
      </c>
      <c r="V215" s="848" t="s">
        <v>32</v>
      </c>
      <c r="W215" s="848"/>
      <c r="X215" s="801"/>
      <c r="Y215" s="848" t="s">
        <v>32</v>
      </c>
      <c r="Z215" s="801" t="s">
        <v>32</v>
      </c>
      <c r="AA215" s="801" t="s">
        <v>32</v>
      </c>
      <c r="AB215" s="801"/>
      <c r="AC215" s="859" t="s">
        <v>32</v>
      </c>
      <c r="AD215" s="848"/>
      <c r="AE215" s="848"/>
      <c r="AF215" s="848" t="s">
        <v>32</v>
      </c>
      <c r="AG215" s="585" t="s">
        <v>32</v>
      </c>
      <c r="AH215" s="178"/>
      <c r="AI215" s="179"/>
    </row>
    <row r="216" spans="1:35" ht="22.35" customHeight="1" x14ac:dyDescent="0.2">
      <c r="A216" s="1155">
        <v>3701</v>
      </c>
      <c r="B216" s="933" t="s">
        <v>301</v>
      </c>
      <c r="C216" s="801"/>
      <c r="D216" s="964" t="s">
        <v>32</v>
      </c>
      <c r="E216" s="964" t="s">
        <v>32</v>
      </c>
      <c r="F216" s="964" t="s">
        <v>32</v>
      </c>
      <c r="G216" s="964" t="s">
        <v>32</v>
      </c>
      <c r="H216" s="964" t="s">
        <v>51</v>
      </c>
      <c r="I216" s="845"/>
      <c r="J216" s="845"/>
      <c r="K216" s="845" t="s">
        <v>32</v>
      </c>
      <c r="L216" s="845" t="s">
        <v>32</v>
      </c>
      <c r="M216" s="845" t="s">
        <v>32</v>
      </c>
      <c r="N216" s="845" t="s">
        <v>32</v>
      </c>
      <c r="O216" s="848"/>
      <c r="P216" s="848"/>
      <c r="Q216" s="975"/>
      <c r="R216" s="848" t="s">
        <v>32</v>
      </c>
      <c r="S216" s="1159" t="s">
        <v>32</v>
      </c>
      <c r="T216" s="801" t="s">
        <v>32</v>
      </c>
      <c r="U216" s="848" t="s">
        <v>32</v>
      </c>
      <c r="V216" s="848" t="s">
        <v>32</v>
      </c>
      <c r="W216" s="848"/>
      <c r="X216" s="848"/>
      <c r="Y216" s="848" t="s">
        <v>32</v>
      </c>
      <c r="Z216" s="801" t="s">
        <v>32</v>
      </c>
      <c r="AA216" s="801" t="s">
        <v>32</v>
      </c>
      <c r="AB216" s="801"/>
      <c r="AC216" s="1158" t="s">
        <v>32</v>
      </c>
      <c r="AD216" s="1159"/>
      <c r="AE216" s="1159"/>
      <c r="AF216" s="1159" t="s">
        <v>32</v>
      </c>
      <c r="AG216" s="585" t="s">
        <v>32</v>
      </c>
      <c r="AH216" s="178"/>
      <c r="AI216" s="179"/>
    </row>
    <row r="217" spans="1:35" ht="22.35" customHeight="1" x14ac:dyDescent="0.2">
      <c r="A217" s="1160">
        <v>3701</v>
      </c>
      <c r="B217" s="933" t="s">
        <v>302</v>
      </c>
      <c r="C217" s="801"/>
      <c r="D217" s="801" t="s">
        <v>32</v>
      </c>
      <c r="E217" s="801" t="s">
        <v>32</v>
      </c>
      <c r="F217" s="801" t="s">
        <v>32</v>
      </c>
      <c r="G217" s="801" t="s">
        <v>32</v>
      </c>
      <c r="H217" s="801" t="s">
        <v>32</v>
      </c>
      <c r="I217" s="801"/>
      <c r="J217" s="801"/>
      <c r="K217" s="801" t="s">
        <v>32</v>
      </c>
      <c r="L217" s="801" t="s">
        <v>32</v>
      </c>
      <c r="M217" s="801" t="s">
        <v>32</v>
      </c>
      <c r="N217" s="848" t="s">
        <v>32</v>
      </c>
      <c r="O217" s="848"/>
      <c r="P217" s="848"/>
      <c r="Q217" s="975"/>
      <c r="R217" s="848" t="s">
        <v>32</v>
      </c>
      <c r="S217" s="801" t="s">
        <v>32</v>
      </c>
      <c r="T217" s="801" t="s">
        <v>32</v>
      </c>
      <c r="U217" s="1158" t="s">
        <v>32</v>
      </c>
      <c r="V217" s="1158" t="s">
        <v>32</v>
      </c>
      <c r="W217" s="848"/>
      <c r="X217" s="801"/>
      <c r="Y217" s="1158" t="s">
        <v>32</v>
      </c>
      <c r="Z217" s="1158" t="s">
        <v>32</v>
      </c>
      <c r="AA217" s="1158" t="s">
        <v>32</v>
      </c>
      <c r="AB217" s="801"/>
      <c r="AC217" s="801" t="s">
        <v>32</v>
      </c>
      <c r="AD217" s="848"/>
      <c r="AE217" s="848"/>
      <c r="AF217" s="848" t="s">
        <v>32</v>
      </c>
      <c r="AG217" s="585" t="s">
        <v>32</v>
      </c>
      <c r="AH217" s="178"/>
      <c r="AI217" s="179"/>
    </row>
    <row r="218" spans="1:35" ht="22.35" customHeight="1" x14ac:dyDescent="0.2">
      <c r="A218" s="1155">
        <v>3701</v>
      </c>
      <c r="B218" s="933" t="s">
        <v>303</v>
      </c>
      <c r="C218" s="964"/>
      <c r="D218" s="964" t="s">
        <v>32</v>
      </c>
      <c r="E218" s="964" t="s">
        <v>32</v>
      </c>
      <c r="F218" s="964" t="s">
        <v>32</v>
      </c>
      <c r="G218" s="964" t="s">
        <v>32</v>
      </c>
      <c r="H218" s="964" t="s">
        <v>32</v>
      </c>
      <c r="I218" s="964"/>
      <c r="J218" s="964"/>
      <c r="K218" s="964" t="s">
        <v>32</v>
      </c>
      <c r="L218" s="964" t="s">
        <v>32</v>
      </c>
      <c r="M218" s="964" t="s">
        <v>51</v>
      </c>
      <c r="N218" s="845" t="s">
        <v>32</v>
      </c>
      <c r="O218" s="845"/>
      <c r="P218" s="845"/>
      <c r="Q218" s="845"/>
      <c r="R218" s="845" t="s">
        <v>32</v>
      </c>
      <c r="S218" s="845" t="s">
        <v>32</v>
      </c>
      <c r="T218" s="845" t="s">
        <v>32</v>
      </c>
      <c r="U218" s="1158" t="s">
        <v>32</v>
      </c>
      <c r="V218" s="1158" t="s">
        <v>32</v>
      </c>
      <c r="W218" s="845"/>
      <c r="X218" s="845"/>
      <c r="Y218" s="845" t="s">
        <v>32</v>
      </c>
      <c r="Z218" s="845" t="s">
        <v>32</v>
      </c>
      <c r="AA218" s="845" t="s">
        <v>32</v>
      </c>
      <c r="AB218" s="845"/>
      <c r="AC218" s="1158" t="s">
        <v>32</v>
      </c>
      <c r="AD218" s="845"/>
      <c r="AE218" s="845"/>
      <c r="AF218" s="845" t="s">
        <v>32</v>
      </c>
      <c r="AG218" s="1161" t="s">
        <v>32</v>
      </c>
      <c r="AH218" s="178"/>
      <c r="AI218" s="179"/>
    </row>
    <row r="219" spans="1:35" ht="22.35" customHeight="1" x14ac:dyDescent="0.2">
      <c r="A219" s="1155">
        <v>3701</v>
      </c>
      <c r="B219" s="933" t="s">
        <v>304</v>
      </c>
      <c r="C219" s="801"/>
      <c r="D219" s="801" t="s">
        <v>32</v>
      </c>
      <c r="E219" s="801" t="s">
        <v>32</v>
      </c>
      <c r="F219" s="801" t="s">
        <v>32</v>
      </c>
      <c r="G219" s="801" t="s">
        <v>32</v>
      </c>
      <c r="H219" s="801" t="s">
        <v>32</v>
      </c>
      <c r="I219" s="801"/>
      <c r="J219" s="801"/>
      <c r="K219" s="801" t="s">
        <v>32</v>
      </c>
      <c r="L219" s="801" t="s">
        <v>32</v>
      </c>
      <c r="M219" s="801" t="s">
        <v>32</v>
      </c>
      <c r="N219" s="848" t="s">
        <v>32</v>
      </c>
      <c r="O219" s="848"/>
      <c r="P219" s="848"/>
      <c r="Q219" s="975"/>
      <c r="R219" s="1162" t="s">
        <v>32</v>
      </c>
      <c r="S219" s="1163" t="s">
        <v>32</v>
      </c>
      <c r="T219" s="1163" t="s">
        <v>32</v>
      </c>
      <c r="U219" s="964" t="s">
        <v>32</v>
      </c>
      <c r="V219" s="964" t="s">
        <v>51</v>
      </c>
      <c r="W219" s="848"/>
      <c r="X219" s="801"/>
      <c r="Y219" s="848" t="s">
        <v>32</v>
      </c>
      <c r="Z219" s="801" t="s">
        <v>32</v>
      </c>
      <c r="AA219" s="801" t="s">
        <v>32</v>
      </c>
      <c r="AB219" s="801"/>
      <c r="AC219" s="801" t="s">
        <v>32</v>
      </c>
      <c r="AD219" s="848"/>
      <c r="AE219" s="848"/>
      <c r="AF219" s="848" t="s">
        <v>32</v>
      </c>
      <c r="AG219" s="587" t="s">
        <v>32</v>
      </c>
      <c r="AH219" s="178"/>
      <c r="AI219" s="179"/>
    </row>
    <row r="220" spans="1:35" ht="22.35" customHeight="1" x14ac:dyDescent="0.2">
      <c r="A220" s="1155"/>
      <c r="B220" s="933" t="s">
        <v>305</v>
      </c>
      <c r="C220" s="801"/>
      <c r="D220" s="801" t="s">
        <v>32</v>
      </c>
      <c r="E220" s="801" t="s">
        <v>32</v>
      </c>
      <c r="F220" s="801" t="s">
        <v>32</v>
      </c>
      <c r="G220" s="801" t="s">
        <v>32</v>
      </c>
      <c r="H220" s="801" t="s">
        <v>32</v>
      </c>
      <c r="I220" s="801"/>
      <c r="J220" s="801"/>
      <c r="K220" s="801" t="s">
        <v>32</v>
      </c>
      <c r="L220" s="801" t="s">
        <v>32</v>
      </c>
      <c r="M220" s="801" t="s">
        <v>32</v>
      </c>
      <c r="N220" s="848" t="s">
        <v>32</v>
      </c>
      <c r="O220" s="848"/>
      <c r="P220" s="848"/>
      <c r="Q220" s="975"/>
      <c r="R220" s="848" t="s">
        <v>32</v>
      </c>
      <c r="S220" s="801" t="s">
        <v>32</v>
      </c>
      <c r="T220" s="801" t="s">
        <v>32</v>
      </c>
      <c r="U220" s="848" t="s">
        <v>32</v>
      </c>
      <c r="V220" s="848" t="s">
        <v>32</v>
      </c>
      <c r="W220" s="848"/>
      <c r="X220" s="848"/>
      <c r="Y220" s="848" t="s">
        <v>32</v>
      </c>
      <c r="Z220" s="801" t="s">
        <v>32</v>
      </c>
      <c r="AA220" s="801" t="s">
        <v>32</v>
      </c>
      <c r="AB220" s="801"/>
      <c r="AC220" s="848" t="s">
        <v>32</v>
      </c>
      <c r="AD220" s="848"/>
      <c r="AE220" s="848"/>
      <c r="AF220" s="848" t="s">
        <v>32</v>
      </c>
      <c r="AG220" s="585" t="s">
        <v>32</v>
      </c>
      <c r="AH220" s="178"/>
      <c r="AI220" s="179"/>
    </row>
    <row r="221" spans="1:35" ht="22.35" customHeight="1" x14ac:dyDescent="0.2">
      <c r="A221" s="1155"/>
      <c r="B221" s="933" t="s">
        <v>306</v>
      </c>
      <c r="C221" s="801"/>
      <c r="D221" s="801" t="s">
        <v>32</v>
      </c>
      <c r="E221" s="801" t="s">
        <v>32</v>
      </c>
      <c r="F221" s="801" t="s">
        <v>32</v>
      </c>
      <c r="G221" s="801" t="s">
        <v>32</v>
      </c>
      <c r="H221" s="801" t="s">
        <v>32</v>
      </c>
      <c r="I221" s="801"/>
      <c r="J221" s="801"/>
      <c r="K221" s="801" t="s">
        <v>32</v>
      </c>
      <c r="L221" s="801" t="s">
        <v>32</v>
      </c>
      <c r="M221" s="801" t="s">
        <v>32</v>
      </c>
      <c r="N221" s="848" t="s">
        <v>32</v>
      </c>
      <c r="O221" s="848"/>
      <c r="P221" s="848"/>
      <c r="Q221" s="975"/>
      <c r="R221" s="848" t="s">
        <v>32</v>
      </c>
      <c r="S221" s="801" t="s">
        <v>32</v>
      </c>
      <c r="T221" s="801" t="s">
        <v>32</v>
      </c>
      <c r="U221" s="848" t="s">
        <v>32</v>
      </c>
      <c r="V221" s="848" t="s">
        <v>32</v>
      </c>
      <c r="W221" s="848"/>
      <c r="X221" s="801"/>
      <c r="Y221" s="848" t="s">
        <v>32</v>
      </c>
      <c r="Z221" s="801" t="s">
        <v>32</v>
      </c>
      <c r="AA221" s="801" t="s">
        <v>32</v>
      </c>
      <c r="AB221" s="801"/>
      <c r="AC221" s="801" t="s">
        <v>32</v>
      </c>
      <c r="AD221" s="801"/>
      <c r="AE221" s="980"/>
      <c r="AF221" s="801" t="s">
        <v>32</v>
      </c>
      <c r="AG221" s="585" t="s">
        <v>32</v>
      </c>
      <c r="AH221" s="178"/>
      <c r="AI221" s="179"/>
    </row>
    <row r="222" spans="1:35" ht="22.35" customHeight="1" x14ac:dyDescent="0.2">
      <c r="A222" s="1155"/>
      <c r="B222" s="1157" t="s">
        <v>307</v>
      </c>
      <c r="C222" s="801"/>
      <c r="D222" s="801"/>
      <c r="E222" s="801"/>
      <c r="F222" s="801"/>
      <c r="G222" s="801"/>
      <c r="H222" s="801"/>
      <c r="I222" s="801"/>
      <c r="J222" s="801"/>
      <c r="K222" s="801"/>
      <c r="L222" s="801"/>
      <c r="M222" s="801"/>
      <c r="N222" s="848"/>
      <c r="O222" s="848"/>
      <c r="P222" s="848"/>
      <c r="Q222" s="975"/>
      <c r="R222" s="848"/>
      <c r="S222" s="801"/>
      <c r="T222" s="801"/>
      <c r="U222" s="848"/>
      <c r="V222" s="848"/>
      <c r="W222" s="848"/>
      <c r="X222" s="801"/>
      <c r="Y222" s="848"/>
      <c r="Z222" s="801"/>
      <c r="AA222" s="801"/>
      <c r="AB222" s="801"/>
      <c r="AC222" s="801"/>
      <c r="AD222" s="801"/>
      <c r="AE222" s="801"/>
      <c r="AF222" s="801"/>
      <c r="AG222" s="585"/>
      <c r="AH222" s="178"/>
      <c r="AI222" s="179"/>
    </row>
    <row r="223" spans="1:35" ht="22.35" customHeight="1" x14ac:dyDescent="0.2">
      <c r="A223" s="1155"/>
      <c r="B223" s="933" t="s">
        <v>308</v>
      </c>
      <c r="C223" s="1164"/>
      <c r="D223" s="1164" t="s">
        <v>32</v>
      </c>
      <c r="E223" s="1164" t="s">
        <v>32</v>
      </c>
      <c r="F223" s="1164" t="s">
        <v>32</v>
      </c>
      <c r="G223" s="1164" t="s">
        <v>32</v>
      </c>
      <c r="H223" s="1164" t="s">
        <v>32</v>
      </c>
      <c r="I223" s="1164"/>
      <c r="J223" s="1164"/>
      <c r="K223" s="1164" t="s">
        <v>32</v>
      </c>
      <c r="L223" s="1164" t="s">
        <v>32</v>
      </c>
      <c r="M223" s="1164" t="s">
        <v>32</v>
      </c>
      <c r="N223" s="1164" t="s">
        <v>32</v>
      </c>
      <c r="O223" s="1164"/>
      <c r="P223" s="1164"/>
      <c r="Q223" s="1164"/>
      <c r="R223" s="1164" t="s">
        <v>32</v>
      </c>
      <c r="S223" s="1164" t="s">
        <v>32</v>
      </c>
      <c r="T223" s="1164" t="s">
        <v>32</v>
      </c>
      <c r="U223" s="1164" t="s">
        <v>32</v>
      </c>
      <c r="V223" s="1164" t="s">
        <v>32</v>
      </c>
      <c r="W223" s="1164"/>
      <c r="X223" s="1164"/>
      <c r="Y223" s="1164" t="s">
        <v>32</v>
      </c>
      <c r="Z223" s="1164" t="s">
        <v>32</v>
      </c>
      <c r="AA223" s="1164" t="s">
        <v>32</v>
      </c>
      <c r="AB223" s="1164"/>
      <c r="AC223" s="1164" t="s">
        <v>32</v>
      </c>
      <c r="AD223" s="1164"/>
      <c r="AE223" s="1164"/>
      <c r="AF223" s="1164" t="s">
        <v>32</v>
      </c>
      <c r="AG223" s="1165" t="s">
        <v>32</v>
      </c>
      <c r="AH223" s="178"/>
      <c r="AI223" s="179"/>
    </row>
    <row r="224" spans="1:35" ht="22.35" customHeight="1" x14ac:dyDescent="0.2">
      <c r="A224" s="1155"/>
      <c r="B224" s="933" t="s">
        <v>309</v>
      </c>
      <c r="C224" s="801"/>
      <c r="D224" s="801" t="s">
        <v>32</v>
      </c>
      <c r="E224" s="801" t="s">
        <v>32</v>
      </c>
      <c r="F224" s="801" t="s">
        <v>32</v>
      </c>
      <c r="G224" s="801" t="s">
        <v>32</v>
      </c>
      <c r="H224" s="801" t="s">
        <v>32</v>
      </c>
      <c r="I224" s="801"/>
      <c r="J224" s="801"/>
      <c r="K224" s="801" t="s">
        <v>32</v>
      </c>
      <c r="L224" s="801" t="s">
        <v>32</v>
      </c>
      <c r="M224" s="801" t="s">
        <v>32</v>
      </c>
      <c r="N224" s="848" t="s">
        <v>32</v>
      </c>
      <c r="O224" s="848"/>
      <c r="P224" s="848"/>
      <c r="Q224" s="975"/>
      <c r="R224" s="848" t="s">
        <v>32</v>
      </c>
      <c r="S224" s="801" t="s">
        <v>32</v>
      </c>
      <c r="T224" s="801" t="s">
        <v>32</v>
      </c>
      <c r="U224" s="848" t="s">
        <v>32</v>
      </c>
      <c r="V224" s="848" t="s">
        <v>32</v>
      </c>
      <c r="W224" s="848"/>
      <c r="X224" s="801"/>
      <c r="Y224" s="1162" t="s">
        <v>32</v>
      </c>
      <c r="Z224" s="1163" t="s">
        <v>32</v>
      </c>
      <c r="AA224" s="1163" t="s">
        <v>51</v>
      </c>
      <c r="AB224" s="801"/>
      <c r="AC224" s="801" t="s">
        <v>32</v>
      </c>
      <c r="AD224" s="801"/>
      <c r="AE224" s="801"/>
      <c r="AF224" s="848" t="s">
        <v>32</v>
      </c>
      <c r="AG224" s="586" t="s">
        <v>32</v>
      </c>
      <c r="AH224" s="178"/>
      <c r="AI224" s="179"/>
    </row>
    <row r="225" spans="1:35" ht="22.35" customHeight="1" x14ac:dyDescent="0.2">
      <c r="A225" s="1155"/>
      <c r="B225" s="933" t="s">
        <v>310</v>
      </c>
      <c r="C225" s="801"/>
      <c r="D225" s="801" t="s">
        <v>32</v>
      </c>
      <c r="E225" s="801" t="s">
        <v>32</v>
      </c>
      <c r="F225" s="801" t="s">
        <v>32</v>
      </c>
      <c r="G225" s="801" t="s">
        <v>32</v>
      </c>
      <c r="H225" s="801" t="s">
        <v>32</v>
      </c>
      <c r="I225" s="801"/>
      <c r="J225" s="801"/>
      <c r="K225" s="801" t="s">
        <v>32</v>
      </c>
      <c r="L225" s="801" t="s">
        <v>32</v>
      </c>
      <c r="M225" s="801" t="s">
        <v>32</v>
      </c>
      <c r="N225" s="848" t="s">
        <v>32</v>
      </c>
      <c r="O225" s="848"/>
      <c r="P225" s="848"/>
      <c r="Q225" s="975"/>
      <c r="R225" s="848" t="s">
        <v>32</v>
      </c>
      <c r="S225" s="801" t="s">
        <v>32</v>
      </c>
      <c r="T225" s="801" t="s">
        <v>32</v>
      </c>
      <c r="U225" s="848" t="s">
        <v>32</v>
      </c>
      <c r="V225" s="848" t="s">
        <v>32</v>
      </c>
      <c r="W225" s="848"/>
      <c r="X225" s="848"/>
      <c r="Y225" s="848" t="s">
        <v>32</v>
      </c>
      <c r="Z225" s="801" t="s">
        <v>32</v>
      </c>
      <c r="AA225" s="801" t="s">
        <v>32</v>
      </c>
      <c r="AB225" s="801"/>
      <c r="AC225" s="859" t="s">
        <v>32</v>
      </c>
      <c r="AD225" s="845"/>
      <c r="AE225" s="845"/>
      <c r="AF225" s="845" t="s">
        <v>32</v>
      </c>
      <c r="AG225" s="1161" t="s">
        <v>51</v>
      </c>
      <c r="AH225" s="175"/>
      <c r="AI225" s="107"/>
    </row>
    <row r="226" spans="1:35" ht="22.35" customHeight="1" x14ac:dyDescent="0.2">
      <c r="A226" s="1155"/>
      <c r="B226" s="933" t="s">
        <v>311</v>
      </c>
      <c r="C226" s="801"/>
      <c r="D226" s="801" t="s">
        <v>32</v>
      </c>
      <c r="E226" s="801" t="s">
        <v>32</v>
      </c>
      <c r="F226" s="801" t="s">
        <v>32</v>
      </c>
      <c r="G226" s="801" t="s">
        <v>32</v>
      </c>
      <c r="H226" s="964" t="s">
        <v>32</v>
      </c>
      <c r="I226" s="964"/>
      <c r="J226" s="964"/>
      <c r="K226" s="964" t="s">
        <v>32</v>
      </c>
      <c r="L226" s="964" t="s">
        <v>51</v>
      </c>
      <c r="M226" s="845" t="s">
        <v>32</v>
      </c>
      <c r="N226" s="845" t="s">
        <v>32</v>
      </c>
      <c r="O226" s="848"/>
      <c r="P226" s="848"/>
      <c r="Q226" s="975"/>
      <c r="R226" s="845" t="s">
        <v>32</v>
      </c>
      <c r="S226" s="964" t="s">
        <v>32</v>
      </c>
      <c r="T226" s="964" t="s">
        <v>32</v>
      </c>
      <c r="U226" s="964" t="s">
        <v>32</v>
      </c>
      <c r="V226" s="964" t="s">
        <v>51</v>
      </c>
      <c r="W226" s="848"/>
      <c r="X226" s="848"/>
      <c r="Y226" s="848" t="s">
        <v>32</v>
      </c>
      <c r="Z226" s="801" t="s">
        <v>32</v>
      </c>
      <c r="AA226" s="801" t="s">
        <v>32</v>
      </c>
      <c r="AB226" s="801"/>
      <c r="AC226" s="848" t="s">
        <v>32</v>
      </c>
      <c r="AD226" s="848"/>
      <c r="AE226" s="848"/>
      <c r="AF226" s="848" t="s">
        <v>32</v>
      </c>
      <c r="AG226" s="586" t="s">
        <v>32</v>
      </c>
      <c r="AH226" s="175"/>
      <c r="AI226" s="107"/>
    </row>
    <row r="227" spans="1:35" ht="22.35" customHeight="1" x14ac:dyDescent="0.2">
      <c r="A227" s="845"/>
      <c r="B227" s="1166"/>
      <c r="C227" s="801"/>
      <c r="D227" s="801"/>
      <c r="E227" s="801"/>
      <c r="F227" s="801"/>
      <c r="G227" s="801"/>
      <c r="H227" s="801"/>
      <c r="I227" s="801"/>
      <c r="J227" s="801"/>
      <c r="K227" s="801"/>
      <c r="L227" s="801"/>
      <c r="M227" s="801"/>
      <c r="N227" s="801"/>
      <c r="O227" s="801"/>
      <c r="P227" s="801"/>
      <c r="Q227" s="801"/>
      <c r="R227" s="801"/>
      <c r="S227" s="801"/>
      <c r="T227" s="801"/>
      <c r="U227" s="801"/>
      <c r="V227" s="801"/>
      <c r="W227" s="801"/>
      <c r="X227" s="801"/>
      <c r="Y227" s="801"/>
      <c r="Z227" s="801"/>
      <c r="AA227" s="801"/>
      <c r="AB227" s="801"/>
      <c r="AC227" s="801"/>
      <c r="AD227" s="801"/>
      <c r="AE227" s="801"/>
      <c r="AF227" s="801"/>
      <c r="AG227" s="585"/>
      <c r="AH227" s="175"/>
      <c r="AI227" s="107"/>
    </row>
    <row r="228" spans="1:35" ht="22.35" customHeight="1" x14ac:dyDescent="0.2">
      <c r="A228" s="845"/>
      <c r="B228" s="933"/>
      <c r="C228" s="801"/>
      <c r="D228" s="801"/>
      <c r="E228" s="801"/>
      <c r="F228" s="801"/>
      <c r="G228" s="801"/>
      <c r="H228" s="801"/>
      <c r="I228" s="801"/>
      <c r="J228" s="801"/>
      <c r="K228" s="801"/>
      <c r="L228" s="801"/>
      <c r="M228" s="801"/>
      <c r="N228" s="848"/>
      <c r="O228" s="848"/>
      <c r="P228" s="848"/>
      <c r="Q228" s="975"/>
      <c r="R228" s="848"/>
      <c r="S228" s="801"/>
      <c r="T228" s="801"/>
      <c r="U228" s="848"/>
      <c r="V228" s="848"/>
      <c r="W228" s="848"/>
      <c r="X228" s="801"/>
      <c r="Y228" s="848"/>
      <c r="Z228" s="801"/>
      <c r="AA228" s="801"/>
      <c r="AB228" s="801"/>
      <c r="AC228" s="801"/>
      <c r="AD228" s="801"/>
      <c r="AE228" s="801"/>
      <c r="AF228" s="848"/>
      <c r="AG228" s="586"/>
      <c r="AH228" s="175"/>
      <c r="AI228" s="107"/>
    </row>
    <row r="229" spans="1:35" ht="22.35" customHeight="1" x14ac:dyDescent="0.2">
      <c r="A229" s="845"/>
      <c r="B229" s="845"/>
      <c r="C229" s="801"/>
      <c r="D229" s="801"/>
      <c r="E229" s="801"/>
      <c r="F229" s="801"/>
      <c r="G229" s="801"/>
      <c r="H229" s="801"/>
      <c r="I229" s="801"/>
      <c r="J229" s="801"/>
      <c r="K229" s="801"/>
      <c r="L229" s="801"/>
      <c r="M229" s="801"/>
      <c r="N229" s="801"/>
      <c r="O229" s="801"/>
      <c r="P229" s="801"/>
      <c r="Q229" s="801"/>
      <c r="R229" s="801"/>
      <c r="S229" s="801"/>
      <c r="T229" s="801"/>
      <c r="U229" s="801"/>
      <c r="V229" s="801"/>
      <c r="W229" s="801"/>
      <c r="X229" s="801"/>
      <c r="Y229" s="801"/>
      <c r="Z229" s="801"/>
      <c r="AA229" s="801"/>
      <c r="AB229" s="801"/>
      <c r="AC229" s="801"/>
      <c r="AD229" s="801"/>
      <c r="AE229" s="801"/>
      <c r="AF229" s="801"/>
      <c r="AG229" s="585"/>
      <c r="AH229" s="175"/>
      <c r="AI229" s="107"/>
    </row>
    <row r="230" spans="1:35" ht="22.35" customHeight="1" x14ac:dyDescent="0.2">
      <c r="A230" s="845"/>
      <c r="B230" s="845"/>
      <c r="C230" s="801"/>
      <c r="D230" s="801"/>
      <c r="E230" s="801"/>
      <c r="F230" s="801"/>
      <c r="G230" s="801"/>
      <c r="H230" s="1167"/>
      <c r="I230" s="801"/>
      <c r="J230" s="801"/>
      <c r="K230" s="801"/>
      <c r="L230" s="801"/>
      <c r="M230" s="801"/>
      <c r="N230" s="801"/>
      <c r="O230" s="801"/>
      <c r="P230" s="801"/>
      <c r="Q230" s="801"/>
      <c r="R230" s="801"/>
      <c r="S230" s="801"/>
      <c r="T230" s="801"/>
      <c r="U230" s="801"/>
      <c r="V230" s="801"/>
      <c r="W230" s="801"/>
      <c r="X230" s="801"/>
      <c r="Y230" s="801"/>
      <c r="Z230" s="801"/>
      <c r="AA230" s="801"/>
      <c r="AB230" s="801"/>
      <c r="AC230" s="801"/>
      <c r="AD230" s="801"/>
      <c r="AE230" s="801"/>
      <c r="AF230" s="801"/>
      <c r="AG230" s="588"/>
      <c r="AH230" s="175"/>
      <c r="AI230" s="107"/>
    </row>
    <row r="231" spans="1:35" ht="22.35" customHeight="1" x14ac:dyDescent="0.2">
      <c r="A231" s="1155"/>
      <c r="B231" s="1168"/>
      <c r="C231" s="801"/>
      <c r="D231" s="801"/>
      <c r="E231" s="801"/>
      <c r="F231" s="801"/>
      <c r="G231" s="801"/>
      <c r="H231" s="801"/>
      <c r="I231" s="801"/>
      <c r="J231" s="801"/>
      <c r="K231" s="801"/>
      <c r="L231" s="801"/>
      <c r="M231" s="801"/>
      <c r="N231" s="801"/>
      <c r="O231" s="801"/>
      <c r="P231" s="801"/>
      <c r="Q231" s="801"/>
      <c r="R231" s="801"/>
      <c r="S231" s="801"/>
      <c r="T231" s="801"/>
      <c r="U231" s="801"/>
      <c r="V231" s="801"/>
      <c r="W231" s="801"/>
      <c r="X231" s="801"/>
      <c r="Y231" s="801"/>
      <c r="Z231" s="801"/>
      <c r="AA231" s="801"/>
      <c r="AB231" s="801"/>
      <c r="AC231" s="801"/>
      <c r="AD231" s="801"/>
      <c r="AE231" s="801"/>
      <c r="AF231" s="801"/>
      <c r="AG231" s="588"/>
      <c r="AH231" s="175"/>
      <c r="AI231" s="107"/>
    </row>
    <row r="232" spans="1:35" ht="22.35" customHeight="1" x14ac:dyDescent="0.2">
      <c r="A232" s="1155"/>
      <c r="B232" s="1169"/>
      <c r="C232" s="801"/>
      <c r="D232" s="801"/>
      <c r="E232" s="801"/>
      <c r="F232" s="801"/>
      <c r="G232" s="801"/>
      <c r="H232" s="801"/>
      <c r="I232" s="801"/>
      <c r="J232" s="801"/>
      <c r="K232" s="801"/>
      <c r="L232" s="801"/>
      <c r="M232" s="801"/>
      <c r="N232" s="801"/>
      <c r="O232" s="801"/>
      <c r="P232" s="801"/>
      <c r="Q232" s="801"/>
      <c r="R232" s="801"/>
      <c r="S232" s="801"/>
      <c r="T232" s="801"/>
      <c r="U232" s="801"/>
      <c r="V232" s="801"/>
      <c r="W232" s="801"/>
      <c r="X232" s="801"/>
      <c r="Y232" s="801"/>
      <c r="Z232" s="801"/>
      <c r="AA232" s="801"/>
      <c r="AB232" s="801"/>
      <c r="AC232" s="801"/>
      <c r="AD232" s="801"/>
      <c r="AE232" s="801"/>
      <c r="AF232" s="801"/>
      <c r="AG232" s="588"/>
      <c r="AH232" s="175"/>
      <c r="AI232" s="107"/>
    </row>
    <row r="233" spans="1:35" ht="22.35" customHeight="1" x14ac:dyDescent="0.2">
      <c r="A233" s="108"/>
      <c r="B233" s="121"/>
      <c r="C233" s="106"/>
      <c r="D233" s="106"/>
      <c r="E233" s="106"/>
      <c r="F233" s="106"/>
      <c r="G233" s="106"/>
      <c r="H233" s="106"/>
      <c r="I233" s="106"/>
      <c r="J233" s="106"/>
      <c r="L233" s="106"/>
      <c r="M233" s="106"/>
      <c r="N233" s="106"/>
      <c r="O233" s="106"/>
      <c r="P233" s="72"/>
      <c r="Q233" s="72"/>
      <c r="R233" s="72"/>
      <c r="S233" s="106"/>
      <c r="T233" s="106"/>
      <c r="U233" s="106"/>
      <c r="V233" s="106"/>
      <c r="W233" s="106"/>
      <c r="X233" s="106"/>
      <c r="Y233" s="106"/>
      <c r="Z233" s="106"/>
      <c r="AA233" s="106"/>
      <c r="AB233" s="106"/>
      <c r="AC233" s="106"/>
      <c r="AD233" s="106"/>
      <c r="AE233" s="106"/>
      <c r="AF233" s="106"/>
      <c r="AG233" s="106"/>
      <c r="AH233" s="107"/>
      <c r="AI233" s="107"/>
    </row>
    <row r="237" spans="1:35" ht="21" customHeight="1" thickBot="1" x14ac:dyDescent="0.25">
      <c r="A237" s="158" t="s">
        <v>312</v>
      </c>
    </row>
    <row r="238" spans="1:35" ht="21" customHeight="1" x14ac:dyDescent="0.2">
      <c r="B238" s="1170" t="s">
        <v>281</v>
      </c>
      <c r="C238" s="1001"/>
      <c r="D238" s="1041" t="s">
        <v>107</v>
      </c>
      <c r="E238" s="876"/>
      <c r="F238" s="994"/>
      <c r="G238" s="1001"/>
      <c r="H238" s="1041" t="s">
        <v>108</v>
      </c>
      <c r="I238" s="876"/>
      <c r="J238" s="994"/>
      <c r="K238" s="1001"/>
      <c r="L238" s="1041" t="s">
        <v>109</v>
      </c>
      <c r="M238" s="876"/>
      <c r="N238" s="994"/>
      <c r="O238" s="1001"/>
      <c r="P238" s="1041" t="s">
        <v>110</v>
      </c>
      <c r="Q238" s="876"/>
      <c r="R238" s="994"/>
      <c r="S238" s="1001"/>
      <c r="T238" s="1041" t="s">
        <v>111</v>
      </c>
      <c r="U238" s="876"/>
      <c r="V238" s="994"/>
      <c r="W238" s="1001"/>
      <c r="X238" s="1041" t="s">
        <v>112</v>
      </c>
      <c r="Y238" s="876"/>
      <c r="Z238" s="994"/>
      <c r="AA238" s="1001"/>
      <c r="AB238" s="1041" t="s">
        <v>113</v>
      </c>
      <c r="AC238" s="876"/>
      <c r="AD238" s="876"/>
      <c r="AE238" s="1044" t="s">
        <v>114</v>
      </c>
      <c r="AF238" s="876"/>
      <c r="AG238" s="876"/>
      <c r="AH238" s="876"/>
      <c r="AI238" s="877"/>
    </row>
    <row r="239" spans="1:35" ht="21" customHeight="1" x14ac:dyDescent="0.2">
      <c r="B239" s="3"/>
      <c r="C239" s="287" t="s">
        <v>313</v>
      </c>
      <c r="D239" s="116"/>
      <c r="E239" s="283"/>
      <c r="F239" s="284"/>
      <c r="G239" s="287" t="s">
        <v>313</v>
      </c>
      <c r="H239" s="116"/>
      <c r="I239" s="283"/>
      <c r="J239" s="284"/>
      <c r="K239" s="287" t="s">
        <v>313</v>
      </c>
      <c r="L239" s="116"/>
      <c r="M239" s="283"/>
      <c r="N239" s="284"/>
      <c r="O239" s="287" t="s">
        <v>313</v>
      </c>
      <c r="P239" s="282"/>
      <c r="Q239" s="283"/>
      <c r="R239" s="284"/>
      <c r="S239" s="288" t="s">
        <v>314</v>
      </c>
      <c r="T239" s="116"/>
      <c r="U239" s="283"/>
      <c r="V239" s="284"/>
      <c r="W239" s="154"/>
      <c r="X239" s="116"/>
      <c r="Y239" s="162"/>
      <c r="Z239" s="164"/>
      <c r="AA239" s="154"/>
      <c r="AB239" s="116"/>
      <c r="AC239" s="162"/>
      <c r="AD239" s="162"/>
      <c r="AE239" s="117"/>
      <c r="AF239" s="162"/>
      <c r="AG239" s="14"/>
      <c r="AH239" s="14"/>
      <c r="AI239" s="118"/>
    </row>
    <row r="240" spans="1:35" ht="21" customHeight="1" x14ac:dyDescent="0.2">
      <c r="A240" s="110"/>
      <c r="B240" s="727"/>
      <c r="C240" s="1095" t="s">
        <v>189</v>
      </c>
      <c r="D240" s="1171"/>
      <c r="E240" s="283"/>
      <c r="F240" s="284"/>
      <c r="G240" s="1095" t="s">
        <v>189</v>
      </c>
      <c r="H240" s="116"/>
      <c r="I240" s="283"/>
      <c r="J240" s="284"/>
      <c r="K240" s="1095" t="s">
        <v>189</v>
      </c>
      <c r="L240" s="116"/>
      <c r="M240" s="283"/>
      <c r="N240" s="284"/>
      <c r="O240" s="1095" t="s">
        <v>189</v>
      </c>
      <c r="P240" s="116"/>
      <c r="Q240" s="283"/>
      <c r="R240" s="284"/>
      <c r="S240" s="287" t="s">
        <v>315</v>
      </c>
      <c r="T240" s="116"/>
      <c r="U240" s="283"/>
      <c r="V240" s="284"/>
      <c r="W240" s="154"/>
      <c r="X240" s="116"/>
      <c r="Y240" s="162"/>
      <c r="Z240" s="164"/>
      <c r="AA240" s="154"/>
      <c r="AB240" s="116"/>
      <c r="AC240" s="162"/>
      <c r="AD240" s="162"/>
      <c r="AE240" s="117"/>
      <c r="AF240" s="162"/>
      <c r="AG240" s="14"/>
      <c r="AH240" s="14"/>
      <c r="AI240" s="118"/>
    </row>
    <row r="241" spans="1:35" ht="21" customHeight="1" x14ac:dyDescent="0.2">
      <c r="B241" s="727"/>
      <c r="C241" s="1095" t="s">
        <v>192</v>
      </c>
      <c r="D241" s="1171"/>
      <c r="E241" s="283"/>
      <c r="F241" s="284"/>
      <c r="G241" s="1095" t="s">
        <v>192</v>
      </c>
      <c r="H241" s="116"/>
      <c r="I241" s="283"/>
      <c r="J241" s="284"/>
      <c r="K241" s="1095" t="s">
        <v>192</v>
      </c>
      <c r="L241" s="116"/>
      <c r="M241" s="283"/>
      <c r="N241" s="284"/>
      <c r="O241" s="1095" t="s">
        <v>192</v>
      </c>
      <c r="P241" s="116"/>
      <c r="Q241" s="283"/>
      <c r="R241" s="284"/>
      <c r="S241" s="1095" t="s">
        <v>187</v>
      </c>
      <c r="T241" s="116"/>
      <c r="U241" s="283"/>
      <c r="V241" s="284"/>
      <c r="W241" s="154"/>
      <c r="X241" s="116"/>
      <c r="Y241" s="162"/>
      <c r="Z241" s="164"/>
      <c r="AA241" s="154"/>
      <c r="AB241" s="116"/>
      <c r="AC241" s="162"/>
      <c r="AD241" s="162"/>
      <c r="AE241" s="117"/>
      <c r="AF241" s="162"/>
      <c r="AG241" s="14"/>
      <c r="AH241" s="14"/>
      <c r="AI241" s="118"/>
    </row>
    <row r="242" spans="1:35" ht="21" customHeight="1" x14ac:dyDescent="0.2">
      <c r="B242" s="727"/>
      <c r="C242" s="735"/>
      <c r="D242" s="945"/>
      <c r="E242" s="162"/>
      <c r="F242" s="164"/>
      <c r="G242" s="735"/>
      <c r="H242" s="945"/>
      <c r="I242" s="162"/>
      <c r="J242" s="164"/>
      <c r="K242" s="735"/>
      <c r="L242" s="945"/>
      <c r="M242" s="162"/>
      <c r="N242" s="164"/>
      <c r="O242" s="735"/>
      <c r="P242" s="945"/>
      <c r="Q242" s="162"/>
      <c r="R242" s="164"/>
      <c r="S242" s="735"/>
      <c r="T242" s="945"/>
      <c r="U242" s="162"/>
      <c r="V242" s="164"/>
      <c r="W242" s="154"/>
      <c r="X242" s="116"/>
      <c r="Y242" s="162"/>
      <c r="Z242" s="164"/>
      <c r="AA242" s="154"/>
      <c r="AB242" s="116"/>
      <c r="AC242" s="162"/>
      <c r="AD242" s="162"/>
      <c r="AE242" s="117"/>
      <c r="AF242" s="162"/>
      <c r="AG242" s="14"/>
      <c r="AH242" s="14"/>
      <c r="AI242" s="118"/>
    </row>
    <row r="243" spans="1:35" ht="21" customHeight="1" x14ac:dyDescent="0.2">
      <c r="B243" s="727"/>
      <c r="C243" s="1046"/>
      <c r="D243" s="945"/>
      <c r="E243" s="162"/>
      <c r="F243" s="164"/>
      <c r="G243" s="116"/>
      <c r="H243" s="116"/>
      <c r="I243" s="162"/>
      <c r="J243" s="164"/>
      <c r="K243" s="116"/>
      <c r="L243" s="116"/>
      <c r="M243" s="162"/>
      <c r="N243" s="164"/>
      <c r="O243" s="116"/>
      <c r="P243" s="116"/>
      <c r="Q243" s="162"/>
      <c r="R243" s="164"/>
      <c r="S243" s="116"/>
      <c r="T243" s="116"/>
      <c r="U243" s="162"/>
      <c r="V243" s="164"/>
      <c r="W243" s="154"/>
      <c r="X243" s="116"/>
      <c r="Y243" s="162"/>
      <c r="Z243" s="164"/>
      <c r="AA243" s="154"/>
      <c r="AB243" s="116"/>
      <c r="AC243" s="162"/>
      <c r="AD243" s="162"/>
      <c r="AE243" s="117"/>
      <c r="AF243" s="162"/>
      <c r="AG243" s="14"/>
      <c r="AH243" s="14"/>
      <c r="AI243" s="118"/>
    </row>
    <row r="244" spans="1:35" ht="21" customHeight="1" x14ac:dyDescent="0.2">
      <c r="B244" s="727" t="s">
        <v>159</v>
      </c>
      <c r="C244" s="1046" t="s">
        <v>316</v>
      </c>
      <c r="D244" s="1171"/>
      <c r="E244" s="283"/>
      <c r="F244" s="284"/>
      <c r="G244" s="1046" t="s">
        <v>316</v>
      </c>
      <c r="H244" s="1171"/>
      <c r="I244" s="283"/>
      <c r="J244" s="284"/>
      <c r="K244" s="1046" t="s">
        <v>316</v>
      </c>
      <c r="L244" s="1171"/>
      <c r="M244" s="283"/>
      <c r="N244" s="284"/>
      <c r="O244" s="1046" t="s">
        <v>316</v>
      </c>
      <c r="P244" s="1171"/>
      <c r="Q244" s="283"/>
      <c r="R244" s="284"/>
      <c r="S244" s="116" t="s">
        <v>317</v>
      </c>
      <c r="T244" s="116"/>
      <c r="U244" s="283"/>
      <c r="V244" s="284"/>
      <c r="W244" s="154"/>
      <c r="X244" s="116"/>
      <c r="Y244" s="162"/>
      <c r="Z244" s="164"/>
      <c r="AA244" s="154"/>
      <c r="AB244" s="116"/>
      <c r="AC244" s="162"/>
      <c r="AD244" s="162"/>
      <c r="AE244" s="117"/>
      <c r="AF244" s="162"/>
      <c r="AG244" s="14"/>
      <c r="AH244" s="14"/>
      <c r="AI244" s="118"/>
    </row>
    <row r="245" spans="1:35" ht="21" customHeight="1" x14ac:dyDescent="0.2">
      <c r="B245" s="727" t="s">
        <v>163</v>
      </c>
      <c r="C245" s="1046" t="s">
        <v>318</v>
      </c>
      <c r="D245" s="1171"/>
      <c r="E245" s="283"/>
      <c r="F245" s="284"/>
      <c r="G245" s="1046" t="s">
        <v>318</v>
      </c>
      <c r="H245" s="1171"/>
      <c r="I245" s="283"/>
      <c r="J245" s="284"/>
      <c r="K245" s="1046" t="s">
        <v>318</v>
      </c>
      <c r="L245" s="1171"/>
      <c r="M245" s="283"/>
      <c r="N245" s="284"/>
      <c r="O245" s="1046" t="s">
        <v>318</v>
      </c>
      <c r="P245" s="1171"/>
      <c r="Q245" s="283"/>
      <c r="R245" s="284"/>
      <c r="S245" s="116" t="s">
        <v>319</v>
      </c>
      <c r="T245" s="116"/>
      <c r="U245" s="283"/>
      <c r="V245" s="284"/>
      <c r="W245" s="154"/>
      <c r="X245" s="116"/>
      <c r="Y245" s="162"/>
      <c r="Z245" s="164"/>
      <c r="AA245" s="154"/>
      <c r="AB245" s="116"/>
      <c r="AC245" s="162"/>
      <c r="AD245" s="162"/>
      <c r="AE245" s="117"/>
      <c r="AF245" s="162"/>
      <c r="AG245" s="14"/>
      <c r="AH245" s="14"/>
      <c r="AI245" s="118"/>
    </row>
    <row r="246" spans="1:35" ht="21" customHeight="1" thickBot="1" x14ac:dyDescent="0.25">
      <c r="B246" s="589" t="s">
        <v>170</v>
      </c>
      <c r="C246" s="1057" t="s">
        <v>320</v>
      </c>
      <c r="D246" s="728"/>
      <c r="E246" s="285"/>
      <c r="F246" s="286"/>
      <c r="G246" s="1057" t="s">
        <v>320</v>
      </c>
      <c r="H246" s="728"/>
      <c r="I246" s="285"/>
      <c r="J246" s="286"/>
      <c r="K246" s="1057" t="s">
        <v>320</v>
      </c>
      <c r="L246" s="728"/>
      <c r="M246" s="285"/>
      <c r="N246" s="286"/>
      <c r="O246" s="1057" t="s">
        <v>320</v>
      </c>
      <c r="P246" s="728"/>
      <c r="Q246" s="285"/>
      <c r="R246" s="286"/>
      <c r="S246" s="225" t="s">
        <v>321</v>
      </c>
      <c r="T246" s="225"/>
      <c r="U246" s="285"/>
      <c r="V246" s="286"/>
      <c r="W246" s="277"/>
      <c r="X246" s="225"/>
      <c r="Y246" s="278"/>
      <c r="Z246" s="279"/>
      <c r="AA246" s="280"/>
      <c r="AB246" s="225"/>
      <c r="AC246" s="278"/>
      <c r="AD246" s="278"/>
      <c r="AE246" s="281"/>
      <c r="AF246" s="278"/>
      <c r="AG246" s="276"/>
      <c r="AH246" s="276"/>
      <c r="AI246" s="222"/>
    </row>
    <row r="247" spans="1:35" ht="21" customHeight="1" x14ac:dyDescent="0.2">
      <c r="B247" s="59"/>
      <c r="C247" s="64"/>
      <c r="D247" s="18"/>
      <c r="G247" s="64"/>
      <c r="H247" s="18"/>
      <c r="K247" s="64"/>
      <c r="L247" s="18"/>
      <c r="O247" s="64"/>
      <c r="P247" s="18"/>
      <c r="S247" s="64"/>
      <c r="T247" s="64"/>
      <c r="X247" s="64"/>
      <c r="AB247" s="64"/>
      <c r="AE247" s="64"/>
    </row>
    <row r="248" spans="1:35" ht="21" customHeight="1" x14ac:dyDescent="0.2">
      <c r="A248" s="122" t="s">
        <v>322</v>
      </c>
    </row>
    <row r="249" spans="1:35" ht="21" customHeight="1" thickBot="1" x14ac:dyDescent="0.25">
      <c r="A249" s="981"/>
      <c r="B249" s="954" t="s">
        <v>29</v>
      </c>
      <c r="C249" s="795">
        <v>1</v>
      </c>
      <c r="D249" s="796">
        <v>2</v>
      </c>
      <c r="E249" s="796">
        <v>3</v>
      </c>
      <c r="F249" s="796">
        <v>4</v>
      </c>
      <c r="G249" s="796">
        <v>5</v>
      </c>
      <c r="H249" s="796">
        <v>6</v>
      </c>
      <c r="I249" s="795">
        <v>7</v>
      </c>
      <c r="J249" s="795">
        <v>8</v>
      </c>
      <c r="K249" s="796">
        <v>9</v>
      </c>
      <c r="L249" s="796">
        <v>10</v>
      </c>
      <c r="M249" s="796">
        <v>11</v>
      </c>
      <c r="N249" s="796">
        <v>12</v>
      </c>
      <c r="O249" s="795">
        <v>13</v>
      </c>
      <c r="P249" s="795">
        <v>14</v>
      </c>
      <c r="Q249" s="795">
        <v>15</v>
      </c>
      <c r="R249" s="796">
        <v>16</v>
      </c>
      <c r="S249" s="796">
        <v>17</v>
      </c>
      <c r="T249" s="796">
        <v>18</v>
      </c>
      <c r="U249" s="796">
        <v>19</v>
      </c>
      <c r="V249" s="796">
        <v>20</v>
      </c>
      <c r="W249" s="795">
        <v>21</v>
      </c>
      <c r="X249" s="795">
        <v>22</v>
      </c>
      <c r="Y249" s="796">
        <v>23</v>
      </c>
      <c r="Z249" s="796">
        <v>24</v>
      </c>
      <c r="AA249" s="796">
        <v>25</v>
      </c>
      <c r="AB249" s="795">
        <v>26</v>
      </c>
      <c r="AC249" s="796">
        <v>27</v>
      </c>
      <c r="AD249" s="795">
        <v>28</v>
      </c>
      <c r="AE249" s="795">
        <v>29</v>
      </c>
      <c r="AF249" s="796">
        <v>30</v>
      </c>
      <c r="AG249" s="797">
        <v>31</v>
      </c>
      <c r="AH249" s="173"/>
      <c r="AI249" s="174"/>
    </row>
    <row r="250" spans="1:35" ht="21" customHeight="1" x14ac:dyDescent="0.2">
      <c r="A250" s="750">
        <v>3702</v>
      </c>
      <c r="B250" s="172"/>
      <c r="C250" s="801"/>
      <c r="D250" s="801"/>
      <c r="E250" s="801"/>
      <c r="F250" s="801"/>
      <c r="G250" s="801"/>
      <c r="H250" s="801"/>
      <c r="I250" s="801"/>
      <c r="J250" s="801"/>
      <c r="K250" s="801"/>
      <c r="L250" s="801"/>
      <c r="M250" s="801"/>
      <c r="N250" s="848"/>
      <c r="O250" s="848"/>
      <c r="P250" s="848"/>
      <c r="Q250" s="975"/>
      <c r="R250" s="848"/>
      <c r="S250" s="801"/>
      <c r="T250" s="801"/>
      <c r="U250" s="848"/>
      <c r="V250" s="848"/>
      <c r="W250" s="848"/>
      <c r="X250" s="801"/>
      <c r="Y250" s="848"/>
      <c r="Z250" s="848"/>
      <c r="AA250" s="801"/>
      <c r="AB250" s="801"/>
      <c r="AC250" s="801"/>
      <c r="AD250" s="801"/>
      <c r="AE250" s="801"/>
      <c r="AF250" s="801"/>
      <c r="AG250" s="801"/>
      <c r="AH250" s="178"/>
      <c r="AI250" s="179"/>
    </row>
    <row r="251" spans="1:35" ht="21" customHeight="1" x14ac:dyDescent="0.2">
      <c r="A251" s="808"/>
      <c r="B251" s="1011" t="s">
        <v>323</v>
      </c>
      <c r="C251" s="801"/>
      <c r="D251" s="801" t="s">
        <v>32</v>
      </c>
      <c r="E251" s="801" t="s">
        <v>32</v>
      </c>
      <c r="F251" s="801" t="s">
        <v>32</v>
      </c>
      <c r="G251" s="801" t="s">
        <v>32</v>
      </c>
      <c r="H251" s="801" t="s">
        <v>32</v>
      </c>
      <c r="I251" s="801"/>
      <c r="J251" s="801"/>
      <c r="K251" s="801" t="s">
        <v>32</v>
      </c>
      <c r="L251" s="801" t="s">
        <v>32</v>
      </c>
      <c r="M251" s="801" t="s">
        <v>32</v>
      </c>
      <c r="N251" s="848" t="s">
        <v>32</v>
      </c>
      <c r="O251" s="848"/>
      <c r="P251" s="848"/>
      <c r="Q251" s="975"/>
      <c r="R251" s="848" t="s">
        <v>32</v>
      </c>
      <c r="S251" s="801" t="s">
        <v>32</v>
      </c>
      <c r="T251" s="801" t="s">
        <v>32</v>
      </c>
      <c r="U251" s="848" t="s">
        <v>32</v>
      </c>
      <c r="V251" s="848" t="s">
        <v>32</v>
      </c>
      <c r="W251" s="848"/>
      <c r="X251" s="801"/>
      <c r="Y251" s="848" t="s">
        <v>32</v>
      </c>
      <c r="Z251" s="848" t="s">
        <v>32</v>
      </c>
      <c r="AA251" s="801" t="s">
        <v>32</v>
      </c>
      <c r="AB251" s="801"/>
      <c r="AC251" s="859" t="s">
        <v>32</v>
      </c>
      <c r="AD251" s="801"/>
      <c r="AE251" s="801"/>
      <c r="AF251" s="801" t="s">
        <v>32</v>
      </c>
      <c r="AG251" s="801" t="s">
        <v>32</v>
      </c>
      <c r="AH251" s="178"/>
      <c r="AI251" s="179"/>
    </row>
    <row r="252" spans="1:35" ht="21" customHeight="1" x14ac:dyDescent="0.2">
      <c r="A252" s="1172"/>
      <c r="B252" s="1011"/>
      <c r="C252" s="801"/>
      <c r="D252" s="801"/>
      <c r="E252" s="801"/>
      <c r="F252" s="801"/>
      <c r="G252" s="801"/>
      <c r="H252" s="801"/>
      <c r="I252" s="801"/>
      <c r="J252" s="801"/>
      <c r="K252" s="801"/>
      <c r="L252" s="801"/>
      <c r="M252" s="801"/>
      <c r="N252" s="848"/>
      <c r="O252" s="848"/>
      <c r="P252" s="848"/>
      <c r="Q252" s="975"/>
      <c r="R252" s="848"/>
      <c r="S252" s="801"/>
      <c r="T252" s="801"/>
      <c r="U252" s="848"/>
      <c r="V252" s="848"/>
      <c r="W252" s="848"/>
      <c r="X252" s="801"/>
      <c r="Y252" s="848"/>
      <c r="Z252" s="848"/>
      <c r="AA252" s="801"/>
      <c r="AB252" s="801"/>
      <c r="AC252" s="801"/>
      <c r="AD252" s="801"/>
      <c r="AE252" s="801"/>
      <c r="AF252" s="801"/>
      <c r="AG252" s="801"/>
      <c r="AH252" s="178"/>
      <c r="AI252" s="179"/>
    </row>
    <row r="253" spans="1:35" ht="21" customHeight="1" thickBot="1" x14ac:dyDescent="0.25">
      <c r="A253" s="1173"/>
      <c r="B253" s="1174"/>
      <c r="C253" s="796"/>
      <c r="D253" s="796"/>
      <c r="E253" s="796"/>
      <c r="F253" s="796"/>
      <c r="G253" s="796"/>
      <c r="H253" s="796"/>
      <c r="I253" s="796"/>
      <c r="J253" s="796"/>
      <c r="K253" s="796"/>
      <c r="L253" s="796"/>
      <c r="M253" s="796"/>
      <c r="N253" s="796"/>
      <c r="O253" s="796"/>
      <c r="P253" s="796"/>
      <c r="Q253" s="796"/>
      <c r="R253" s="796"/>
      <c r="S253" s="796"/>
      <c r="T253" s="796"/>
      <c r="U253" s="796"/>
      <c r="V253" s="796"/>
      <c r="W253" s="796"/>
      <c r="X253" s="796"/>
      <c r="Y253" s="796"/>
      <c r="Z253" s="796"/>
      <c r="AA253" s="796"/>
      <c r="AB253" s="796"/>
      <c r="AC253" s="796"/>
      <c r="AD253" s="796"/>
      <c r="AE253" s="796"/>
      <c r="AF253" s="796"/>
      <c r="AG253" s="797"/>
      <c r="AH253" s="178"/>
      <c r="AI253" s="179"/>
    </row>
    <row r="254" spans="1:35" ht="21" customHeight="1" x14ac:dyDescent="0.2">
      <c r="A254" s="214"/>
      <c r="B254" s="667" t="s">
        <v>324</v>
      </c>
      <c r="C254" s="668"/>
      <c r="D254" s="668"/>
      <c r="E254" s="668"/>
      <c r="F254" s="668"/>
      <c r="G254" s="668"/>
      <c r="H254" s="668"/>
      <c r="I254" s="668"/>
      <c r="J254" s="668"/>
      <c r="K254" s="668"/>
      <c r="L254" s="668"/>
      <c r="M254" s="668"/>
      <c r="N254" s="668"/>
      <c r="O254" s="668"/>
      <c r="P254" s="668"/>
      <c r="Q254" s="668"/>
      <c r="R254" s="668"/>
      <c r="S254" s="668"/>
      <c r="T254" s="668"/>
      <c r="U254" s="668"/>
      <c r="V254" s="668"/>
      <c r="W254" s="668"/>
      <c r="X254" s="668"/>
      <c r="Y254" s="668"/>
      <c r="Z254" s="668"/>
      <c r="AA254" s="668"/>
      <c r="AB254" s="668"/>
      <c r="AC254" s="668"/>
      <c r="AD254" s="668"/>
      <c r="AE254" s="668"/>
      <c r="AF254" s="668"/>
      <c r="AG254" s="669"/>
      <c r="AH254" s="176"/>
      <c r="AI254" s="177"/>
    </row>
    <row r="255" spans="1:35" ht="21" customHeight="1" x14ac:dyDescent="0.2">
      <c r="A255" s="750">
        <v>3702</v>
      </c>
      <c r="B255" s="1175" t="s">
        <v>325</v>
      </c>
      <c r="C255" s="868"/>
      <c r="D255" s="868" t="s">
        <v>326</v>
      </c>
      <c r="E255" s="868" t="s">
        <v>326</v>
      </c>
      <c r="F255" s="868" t="s">
        <v>326</v>
      </c>
      <c r="G255" s="868" t="s">
        <v>326</v>
      </c>
      <c r="H255" s="828" t="s">
        <v>326</v>
      </c>
      <c r="I255" s="828"/>
      <c r="J255" s="868"/>
      <c r="K255" s="868" t="s">
        <v>326</v>
      </c>
      <c r="L255" s="868" t="s">
        <v>326</v>
      </c>
      <c r="M255" s="868" t="s">
        <v>326</v>
      </c>
      <c r="N255" s="868" t="s">
        <v>326</v>
      </c>
      <c r="O255" s="868" t="s">
        <v>326</v>
      </c>
      <c r="P255" s="868"/>
      <c r="Q255" s="868"/>
      <c r="R255" s="868" t="s">
        <v>326</v>
      </c>
      <c r="S255" s="828" t="s">
        <v>326</v>
      </c>
      <c r="T255" s="868" t="s">
        <v>326</v>
      </c>
      <c r="U255" s="868" t="s">
        <v>326</v>
      </c>
      <c r="V255" s="868" t="s">
        <v>326</v>
      </c>
      <c r="W255" s="868"/>
      <c r="X255" s="868"/>
      <c r="Y255" s="868" t="s">
        <v>326</v>
      </c>
      <c r="Z255" s="868" t="s">
        <v>326</v>
      </c>
      <c r="AA255" s="868" t="s">
        <v>326</v>
      </c>
      <c r="AB255" s="868"/>
      <c r="AC255" s="868" t="s">
        <v>326</v>
      </c>
      <c r="AD255" s="868"/>
      <c r="AE255" s="868"/>
      <c r="AF255" s="828" t="s">
        <v>326</v>
      </c>
      <c r="AG255" s="828" t="s">
        <v>326</v>
      </c>
      <c r="AH255" s="178"/>
      <c r="AI255" s="179"/>
    </row>
    <row r="256" spans="1:35" ht="21" customHeight="1" x14ac:dyDescent="0.2">
      <c r="A256" s="750"/>
      <c r="B256" s="1002" t="s">
        <v>327</v>
      </c>
      <c r="C256" s="868"/>
      <c r="D256" s="868" t="s">
        <v>328</v>
      </c>
      <c r="E256" s="868" t="s">
        <v>328</v>
      </c>
      <c r="F256" s="868" t="s">
        <v>328</v>
      </c>
      <c r="G256" s="868" t="s">
        <v>328</v>
      </c>
      <c r="H256" s="868" t="s">
        <v>328</v>
      </c>
      <c r="I256" s="868"/>
      <c r="J256" s="868"/>
      <c r="K256" s="868" t="s">
        <v>328</v>
      </c>
      <c r="L256" s="868" t="s">
        <v>328</v>
      </c>
      <c r="M256" s="868" t="s">
        <v>328</v>
      </c>
      <c r="N256" s="868" t="s">
        <v>328</v>
      </c>
      <c r="O256" s="868" t="s">
        <v>328</v>
      </c>
      <c r="P256" s="868"/>
      <c r="Q256" s="868"/>
      <c r="R256" s="868" t="s">
        <v>328</v>
      </c>
      <c r="S256" s="868" t="s">
        <v>328</v>
      </c>
      <c r="T256" s="868" t="s">
        <v>328</v>
      </c>
      <c r="U256" s="868" t="s">
        <v>328</v>
      </c>
      <c r="V256" s="868" t="s">
        <v>328</v>
      </c>
      <c r="W256" s="868"/>
      <c r="X256" s="868"/>
      <c r="Y256" s="828" t="s">
        <v>328</v>
      </c>
      <c r="Z256" s="868" t="s">
        <v>328</v>
      </c>
      <c r="AA256" s="868" t="s">
        <v>328</v>
      </c>
      <c r="AB256" s="868"/>
      <c r="AC256" s="928" t="s">
        <v>328</v>
      </c>
      <c r="AD256" s="828"/>
      <c r="AE256" s="828"/>
      <c r="AF256" s="815" t="s">
        <v>328</v>
      </c>
      <c r="AG256" s="815" t="s">
        <v>328</v>
      </c>
      <c r="AH256" s="178"/>
      <c r="AI256" s="179"/>
    </row>
    <row r="257" spans="1:36" ht="21" customHeight="1" thickBot="1" x14ac:dyDescent="0.25">
      <c r="A257" s="592"/>
      <c r="B257" s="729" t="s">
        <v>329</v>
      </c>
      <c r="C257" s="908"/>
      <c r="D257" s="908" t="s">
        <v>330</v>
      </c>
      <c r="E257" s="908" t="s">
        <v>330</v>
      </c>
      <c r="F257" s="908" t="s">
        <v>330</v>
      </c>
      <c r="G257" s="908" t="s">
        <v>330</v>
      </c>
      <c r="H257" s="907" t="s">
        <v>330</v>
      </c>
      <c r="I257" s="907"/>
      <c r="J257" s="907"/>
      <c r="K257" s="907" t="s">
        <v>330</v>
      </c>
      <c r="L257" s="907" t="s">
        <v>330</v>
      </c>
      <c r="M257" s="908" t="s">
        <v>330</v>
      </c>
      <c r="N257" s="908" t="s">
        <v>330</v>
      </c>
      <c r="O257" s="907" t="s">
        <v>330</v>
      </c>
      <c r="P257" s="908"/>
      <c r="Q257" s="908"/>
      <c r="R257" s="911" t="s">
        <v>330</v>
      </c>
      <c r="S257" s="908" t="s">
        <v>330</v>
      </c>
      <c r="T257" s="908" t="s">
        <v>330</v>
      </c>
      <c r="U257" s="908" t="s">
        <v>330</v>
      </c>
      <c r="V257" s="908" t="s">
        <v>330</v>
      </c>
      <c r="W257" s="908"/>
      <c r="X257" s="908"/>
      <c r="Y257" s="908" t="s">
        <v>330</v>
      </c>
      <c r="Z257" s="908" t="s">
        <v>330</v>
      </c>
      <c r="AA257" s="908" t="s">
        <v>330</v>
      </c>
      <c r="AB257" s="908"/>
      <c r="AC257" s="908" t="s">
        <v>330</v>
      </c>
      <c r="AD257" s="930"/>
      <c r="AE257" s="930"/>
      <c r="AF257" s="930" t="s">
        <v>330</v>
      </c>
      <c r="AG257" s="930" t="s">
        <v>330</v>
      </c>
      <c r="AH257" s="178"/>
      <c r="AI257" s="179"/>
    </row>
    <row r="258" spans="1:36" ht="21" customHeight="1" x14ac:dyDescent="0.2"/>
    <row r="259" spans="1:36" ht="24" customHeight="1" x14ac:dyDescent="0.2"/>
    <row r="260" spans="1:36" ht="25.5" customHeight="1" thickBot="1" x14ac:dyDescent="0.25">
      <c r="A260" s="158" t="s">
        <v>331</v>
      </c>
    </row>
    <row r="261" spans="1:36" ht="21" customHeight="1" x14ac:dyDescent="0.2">
      <c r="A261" s="1"/>
      <c r="B261" s="1170" t="s">
        <v>281</v>
      </c>
      <c r="C261" s="1001"/>
      <c r="D261" s="1041" t="s">
        <v>107</v>
      </c>
      <c r="E261" s="876"/>
      <c r="F261" s="994"/>
      <c r="G261" s="1001"/>
      <c r="H261" s="1041" t="s">
        <v>108</v>
      </c>
      <c r="I261" s="876"/>
      <c r="J261" s="994"/>
      <c r="K261" s="1001"/>
      <c r="L261" s="1041" t="s">
        <v>109</v>
      </c>
      <c r="M261" s="876"/>
      <c r="N261" s="994"/>
      <c r="O261" s="1001"/>
      <c r="P261" s="1041" t="s">
        <v>110</v>
      </c>
      <c r="Q261" s="876"/>
      <c r="R261" s="994"/>
      <c r="S261" s="1001"/>
      <c r="T261" s="1041" t="s">
        <v>111</v>
      </c>
      <c r="U261" s="876"/>
      <c r="V261" s="994"/>
      <c r="W261" s="1001"/>
      <c r="X261" s="1041" t="s">
        <v>112</v>
      </c>
      <c r="Y261" s="876"/>
      <c r="Z261" s="994"/>
      <c r="AA261" s="1001"/>
      <c r="AB261" s="1041" t="s">
        <v>113</v>
      </c>
      <c r="AC261" s="876"/>
      <c r="AD261" s="876"/>
      <c r="AE261" s="1044" t="s">
        <v>114</v>
      </c>
      <c r="AF261" s="876"/>
      <c r="AG261" s="876"/>
      <c r="AH261" s="876"/>
      <c r="AI261" s="877"/>
    </row>
    <row r="262" spans="1:36" ht="21" customHeight="1" x14ac:dyDescent="0.2">
      <c r="A262" s="1"/>
      <c r="B262" s="3"/>
      <c r="C262" s="8"/>
      <c r="D262" s="116"/>
      <c r="E262" s="14"/>
      <c r="F262" s="115"/>
      <c r="G262" s="8"/>
      <c r="H262" s="116"/>
      <c r="I262" s="14"/>
      <c r="J262" s="115"/>
      <c r="K262" s="8"/>
      <c r="L262" s="116"/>
      <c r="M262" s="14"/>
      <c r="N262" s="115"/>
      <c r="O262" s="8"/>
      <c r="P262" s="116"/>
      <c r="Q262" s="14"/>
      <c r="R262" s="115"/>
      <c r="S262" s="8"/>
      <c r="T262" s="116"/>
      <c r="U262" s="14"/>
      <c r="V262" s="115"/>
      <c r="W262" s="8"/>
      <c r="X262" s="116"/>
      <c r="Y262" s="14"/>
      <c r="Z262" s="115"/>
      <c r="AA262" s="8"/>
      <c r="AB262" s="116"/>
      <c r="AC262" s="14"/>
      <c r="AD262" s="14"/>
      <c r="AE262" s="117"/>
      <c r="AF262" s="14"/>
      <c r="AG262" s="14"/>
      <c r="AH262" s="14"/>
      <c r="AI262" s="118"/>
    </row>
    <row r="263" spans="1:36" ht="21" customHeight="1" x14ac:dyDescent="0.2">
      <c r="A263" s="110"/>
      <c r="B263" s="727"/>
      <c r="C263" s="735"/>
      <c r="D263" s="743"/>
      <c r="E263" s="743"/>
      <c r="F263" s="1048"/>
      <c r="G263" s="735"/>
      <c r="H263" s="743"/>
      <c r="I263" s="743"/>
      <c r="J263" s="1048"/>
      <c r="K263" s="735"/>
      <c r="L263" s="743"/>
      <c r="M263" s="743"/>
      <c r="N263" s="1048"/>
      <c r="O263" s="735"/>
      <c r="P263" s="743"/>
      <c r="Q263" s="743"/>
      <c r="R263" s="1048"/>
      <c r="S263" s="735"/>
      <c r="T263" s="743"/>
      <c r="U263" s="743"/>
      <c r="V263" s="1048"/>
      <c r="W263" s="735"/>
      <c r="X263" s="743"/>
      <c r="Y263" s="743"/>
      <c r="Z263" s="1048"/>
      <c r="AA263" s="1046"/>
      <c r="AB263" s="743"/>
      <c r="AC263" s="743"/>
      <c r="AD263" s="945"/>
      <c r="AE263" s="1176"/>
      <c r="AF263" s="743"/>
      <c r="AG263" s="743"/>
      <c r="AH263" s="945"/>
      <c r="AI263" s="788"/>
    </row>
    <row r="264" spans="1:36" ht="21" customHeight="1" thickBot="1" x14ac:dyDescent="0.25">
      <c r="A264" s="1"/>
      <c r="B264" s="1056"/>
      <c r="C264" s="1057"/>
      <c r="D264" s="734"/>
      <c r="E264" s="734"/>
      <c r="F264" s="706"/>
      <c r="G264" s="1057"/>
      <c r="H264" s="734"/>
      <c r="I264" s="734"/>
      <c r="J264" s="706"/>
      <c r="K264" s="1057"/>
      <c r="L264" s="734"/>
      <c r="M264" s="734"/>
      <c r="N264" s="706"/>
      <c r="O264" s="1057"/>
      <c r="P264" s="734"/>
      <c r="Q264" s="734"/>
      <c r="R264" s="706"/>
      <c r="S264" s="1057"/>
      <c r="T264" s="734"/>
      <c r="U264" s="734"/>
      <c r="V264" s="706"/>
      <c r="W264" s="704"/>
      <c r="X264" s="734"/>
      <c r="Y264" s="734"/>
      <c r="Z264" s="706"/>
      <c r="AA264" s="704"/>
      <c r="AB264" s="734"/>
      <c r="AC264" s="734"/>
      <c r="AD264" s="1063"/>
      <c r="AE264" s="704"/>
      <c r="AF264" s="734"/>
      <c r="AG264" s="734"/>
      <c r="AH264" s="1063"/>
      <c r="AI264" s="894"/>
    </row>
    <row r="265" spans="1:36" ht="21" customHeight="1" x14ac:dyDescent="0.2">
      <c r="A265" s="1"/>
      <c r="B265" s="18"/>
      <c r="C265" s="64"/>
      <c r="F265" s="69"/>
      <c r="G265" s="64"/>
      <c r="J265" s="69"/>
      <c r="K265" s="64"/>
      <c r="N265" s="69"/>
      <c r="O265" s="64"/>
      <c r="R265" s="69"/>
      <c r="S265" s="64"/>
      <c r="V265" s="69"/>
      <c r="W265" s="69"/>
      <c r="Z265" s="69"/>
      <c r="AA265" s="69"/>
      <c r="AD265" s="69"/>
      <c r="AE265" s="69"/>
      <c r="AH265" s="69"/>
    </row>
    <row r="266" spans="1:36" ht="33" customHeight="1" x14ac:dyDescent="0.2">
      <c r="A266" s="158" t="s">
        <v>332</v>
      </c>
      <c r="B266" s="18"/>
      <c r="C266" s="64"/>
      <c r="F266" s="69"/>
      <c r="G266" s="64"/>
      <c r="J266" s="69"/>
      <c r="K266" s="64"/>
      <c r="N266" s="69"/>
      <c r="O266" s="64"/>
      <c r="R266" s="69"/>
      <c r="S266" s="64"/>
      <c r="V266" s="69"/>
      <c r="W266" s="69"/>
      <c r="Z266" s="69"/>
      <c r="AA266" s="69"/>
      <c r="AD266" s="69"/>
      <c r="AE266" s="69"/>
      <c r="AH266" s="294"/>
      <c r="AI266" s="190"/>
      <c r="AJ266" s="190"/>
    </row>
    <row r="267" spans="1:36" ht="21" customHeight="1" thickBot="1" x14ac:dyDescent="0.25">
      <c r="A267" s="594" t="s">
        <v>28</v>
      </c>
      <c r="B267" s="595" t="s">
        <v>29</v>
      </c>
      <c r="C267" s="795">
        <v>1</v>
      </c>
      <c r="D267" s="796">
        <v>2</v>
      </c>
      <c r="E267" s="796">
        <v>3</v>
      </c>
      <c r="F267" s="796">
        <v>4</v>
      </c>
      <c r="G267" s="796">
        <v>5</v>
      </c>
      <c r="H267" s="796">
        <v>6</v>
      </c>
      <c r="I267" s="795">
        <v>7</v>
      </c>
      <c r="J267" s="795">
        <v>8</v>
      </c>
      <c r="K267" s="796">
        <v>9</v>
      </c>
      <c r="L267" s="796">
        <v>10</v>
      </c>
      <c r="M267" s="796">
        <v>11</v>
      </c>
      <c r="N267" s="796">
        <v>12</v>
      </c>
      <c r="O267" s="795">
        <v>13</v>
      </c>
      <c r="P267" s="795">
        <v>14</v>
      </c>
      <c r="Q267" s="795">
        <v>15</v>
      </c>
      <c r="R267" s="796">
        <v>16</v>
      </c>
      <c r="S267" s="796">
        <v>17</v>
      </c>
      <c r="T267" s="796">
        <v>18</v>
      </c>
      <c r="U267" s="796">
        <v>19</v>
      </c>
      <c r="V267" s="796">
        <v>20</v>
      </c>
      <c r="W267" s="795">
        <v>21</v>
      </c>
      <c r="X267" s="795">
        <v>22</v>
      </c>
      <c r="Y267" s="796">
        <v>23</v>
      </c>
      <c r="Z267" s="796">
        <v>24</v>
      </c>
      <c r="AA267" s="796">
        <v>25</v>
      </c>
      <c r="AB267" s="795">
        <v>26</v>
      </c>
      <c r="AC267" s="796">
        <v>27</v>
      </c>
      <c r="AD267" s="795">
        <v>28</v>
      </c>
      <c r="AE267" s="795">
        <v>29</v>
      </c>
      <c r="AF267" s="796">
        <v>30</v>
      </c>
      <c r="AG267" s="797">
        <v>31</v>
      </c>
      <c r="AH267" s="295"/>
      <c r="AI267" s="296"/>
      <c r="AJ267" s="190"/>
    </row>
    <row r="268" spans="1:36" ht="21" customHeight="1" x14ac:dyDescent="0.2">
      <c r="A268" s="88"/>
      <c r="B268" s="1177" t="s">
        <v>333</v>
      </c>
      <c r="C268" s="800"/>
      <c r="D268" s="800" t="s">
        <v>32</v>
      </c>
      <c r="E268" s="800" t="s">
        <v>32</v>
      </c>
      <c r="F268" s="800" t="s">
        <v>32</v>
      </c>
      <c r="G268" s="801" t="s">
        <v>32</v>
      </c>
      <c r="H268" s="848" t="s">
        <v>32</v>
      </c>
      <c r="I268" s="801"/>
      <c r="J268" s="801"/>
      <c r="K268" s="801" t="s">
        <v>32</v>
      </c>
      <c r="L268" s="801" t="s">
        <v>32</v>
      </c>
      <c r="M268" s="801" t="s">
        <v>32</v>
      </c>
      <c r="N268" s="848" t="s">
        <v>32</v>
      </c>
      <c r="O268" s="848"/>
      <c r="P268" s="848"/>
      <c r="Q268" s="975"/>
      <c r="R268" s="848" t="s">
        <v>32</v>
      </c>
      <c r="S268" s="801" t="s">
        <v>32</v>
      </c>
      <c r="T268" s="801" t="s">
        <v>32</v>
      </c>
      <c r="U268" s="848" t="s">
        <v>32</v>
      </c>
      <c r="V268" s="848" t="s">
        <v>32</v>
      </c>
      <c r="W268" s="848"/>
      <c r="X268" s="801"/>
      <c r="Y268" s="848" t="s">
        <v>32</v>
      </c>
      <c r="Z268" s="801" t="s">
        <v>32</v>
      </c>
      <c r="AA268" s="801" t="s">
        <v>32</v>
      </c>
      <c r="AB268" s="801"/>
      <c r="AC268" s="801" t="s">
        <v>32</v>
      </c>
      <c r="AD268" s="848"/>
      <c r="AE268" s="848"/>
      <c r="AF268" s="848" t="s">
        <v>32</v>
      </c>
      <c r="AG268" s="300" t="s">
        <v>32</v>
      </c>
      <c r="AH268" s="297"/>
      <c r="AI268" s="298"/>
      <c r="AJ268" s="190"/>
    </row>
    <row r="269" spans="1:36" ht="21" customHeight="1" x14ac:dyDescent="0.2">
      <c r="A269" s="1178"/>
      <c r="B269" s="535" t="s">
        <v>334</v>
      </c>
      <c r="C269" s="801"/>
      <c r="D269" s="801" t="s">
        <v>32</v>
      </c>
      <c r="E269" s="801" t="s">
        <v>32</v>
      </c>
      <c r="F269" s="801" t="s">
        <v>32</v>
      </c>
      <c r="G269" s="801" t="s">
        <v>32</v>
      </c>
      <c r="H269" s="801" t="s">
        <v>32</v>
      </c>
      <c r="I269" s="801"/>
      <c r="J269" s="801"/>
      <c r="K269" s="801" t="s">
        <v>32</v>
      </c>
      <c r="L269" s="801" t="s">
        <v>32</v>
      </c>
      <c r="M269" s="801" t="s">
        <v>32</v>
      </c>
      <c r="N269" s="848" t="s">
        <v>32</v>
      </c>
      <c r="O269" s="848"/>
      <c r="P269" s="848"/>
      <c r="Q269" s="975"/>
      <c r="R269" s="848" t="s">
        <v>32</v>
      </c>
      <c r="S269" s="801" t="s">
        <v>32</v>
      </c>
      <c r="T269" s="801" t="s">
        <v>32</v>
      </c>
      <c r="U269" s="848" t="s">
        <v>32</v>
      </c>
      <c r="V269" s="848" t="s">
        <v>32</v>
      </c>
      <c r="W269" s="848"/>
      <c r="X269" s="801"/>
      <c r="Y269" s="859" t="s">
        <v>32</v>
      </c>
      <c r="Z269" s="801" t="s">
        <v>32</v>
      </c>
      <c r="AA269" s="801" t="s">
        <v>32</v>
      </c>
      <c r="AB269" s="801"/>
      <c r="AC269" s="859" t="s">
        <v>32</v>
      </c>
      <c r="AD269" s="848"/>
      <c r="AE269" s="848"/>
      <c r="AF269" s="848" t="s">
        <v>32</v>
      </c>
      <c r="AG269" s="730" t="s">
        <v>32</v>
      </c>
      <c r="AH269" s="297"/>
      <c r="AI269" s="298"/>
      <c r="AJ269" s="190"/>
    </row>
    <row r="270" spans="1:36" ht="21" customHeight="1" x14ac:dyDescent="0.2">
      <c r="A270" s="895"/>
      <c r="B270" s="535" t="s">
        <v>335</v>
      </c>
      <c r="C270" s="848"/>
      <c r="D270" s="801" t="s">
        <v>32</v>
      </c>
      <c r="E270" s="801" t="s">
        <v>32</v>
      </c>
      <c r="F270" s="801" t="s">
        <v>32</v>
      </c>
      <c r="G270" s="801" t="s">
        <v>32</v>
      </c>
      <c r="H270" s="801" t="s">
        <v>32</v>
      </c>
      <c r="I270" s="801"/>
      <c r="J270" s="801"/>
      <c r="K270" s="801" t="s">
        <v>32</v>
      </c>
      <c r="L270" s="801" t="s">
        <v>32</v>
      </c>
      <c r="M270" s="801" t="s">
        <v>32</v>
      </c>
      <c r="N270" s="848" t="s">
        <v>32</v>
      </c>
      <c r="O270" s="848"/>
      <c r="P270" s="848"/>
      <c r="Q270" s="975"/>
      <c r="R270" s="848" t="s">
        <v>32</v>
      </c>
      <c r="S270" s="801" t="s">
        <v>32</v>
      </c>
      <c r="T270" s="801" t="s">
        <v>32</v>
      </c>
      <c r="U270" s="848" t="s">
        <v>32</v>
      </c>
      <c r="V270" s="848" t="s">
        <v>32</v>
      </c>
      <c r="W270" s="848"/>
      <c r="X270" s="801"/>
      <c r="Y270" s="848" t="s">
        <v>32</v>
      </c>
      <c r="Z270" s="801" t="s">
        <v>32</v>
      </c>
      <c r="AA270" s="801" t="s">
        <v>32</v>
      </c>
      <c r="AB270" s="801"/>
      <c r="AC270" s="801" t="s">
        <v>32</v>
      </c>
      <c r="AD270" s="801"/>
      <c r="AE270" s="801"/>
      <c r="AF270" s="801" t="s">
        <v>32</v>
      </c>
      <c r="AG270" s="730" t="s">
        <v>32</v>
      </c>
      <c r="AH270" s="297"/>
      <c r="AI270" s="298"/>
      <c r="AJ270" s="190"/>
    </row>
    <row r="271" spans="1:36" ht="21" customHeight="1" x14ac:dyDescent="0.2">
      <c r="A271" s="536"/>
      <c r="B271" s="535" t="s">
        <v>336</v>
      </c>
      <c r="C271" s="801"/>
      <c r="D271" s="801" t="s">
        <v>32</v>
      </c>
      <c r="E271" s="801" t="s">
        <v>32</v>
      </c>
      <c r="F271" s="801" t="s">
        <v>32</v>
      </c>
      <c r="G271" s="801" t="s">
        <v>32</v>
      </c>
      <c r="H271" s="801" t="s">
        <v>32</v>
      </c>
      <c r="I271" s="801"/>
      <c r="J271" s="801"/>
      <c r="K271" s="801" t="s">
        <v>32</v>
      </c>
      <c r="L271" s="801" t="s">
        <v>32</v>
      </c>
      <c r="M271" s="801" t="s">
        <v>32</v>
      </c>
      <c r="N271" s="848" t="s">
        <v>32</v>
      </c>
      <c r="O271" s="980"/>
      <c r="P271" s="848"/>
      <c r="Q271" s="975"/>
      <c r="R271" s="848" t="s">
        <v>32</v>
      </c>
      <c r="S271" s="801" t="s">
        <v>32</v>
      </c>
      <c r="T271" s="801" t="s">
        <v>32</v>
      </c>
      <c r="U271" s="848" t="s">
        <v>32</v>
      </c>
      <c r="V271" s="848" t="s">
        <v>32</v>
      </c>
      <c r="W271" s="848"/>
      <c r="X271" s="801"/>
      <c r="Y271" s="848" t="s">
        <v>32</v>
      </c>
      <c r="Z271" s="801" t="s">
        <v>32</v>
      </c>
      <c r="AA271" s="801" t="s">
        <v>32</v>
      </c>
      <c r="AB271" s="801"/>
      <c r="AC271" s="859" t="s">
        <v>32</v>
      </c>
      <c r="AD271" s="848"/>
      <c r="AE271" s="848"/>
      <c r="AF271" s="848" t="s">
        <v>32</v>
      </c>
      <c r="AG271" s="730" t="s">
        <v>32</v>
      </c>
      <c r="AH271" s="297"/>
      <c r="AI271" s="298"/>
      <c r="AJ271" s="190"/>
    </row>
    <row r="272" spans="1:36" ht="21" customHeight="1" x14ac:dyDescent="0.2">
      <c r="A272" s="536"/>
      <c r="B272" s="535" t="s">
        <v>337</v>
      </c>
      <c r="C272" s="801"/>
      <c r="D272" s="1158" t="s">
        <v>32</v>
      </c>
      <c r="E272" s="801" t="s">
        <v>32</v>
      </c>
      <c r="F272" s="801" t="s">
        <v>32</v>
      </c>
      <c r="G272" s="801" t="s">
        <v>32</v>
      </c>
      <c r="H272" s="1158" t="s">
        <v>32</v>
      </c>
      <c r="I272" s="801"/>
      <c r="J272" s="801"/>
      <c r="K272" s="801" t="s">
        <v>32</v>
      </c>
      <c r="L272" s="801" t="s">
        <v>32</v>
      </c>
      <c r="M272" s="801" t="s">
        <v>32</v>
      </c>
      <c r="N272" s="848" t="s">
        <v>32</v>
      </c>
      <c r="O272" s="848"/>
      <c r="P272" s="848"/>
      <c r="Q272" s="975"/>
      <c r="R272" s="848" t="s">
        <v>32</v>
      </c>
      <c r="S272" s="1158" t="s">
        <v>32</v>
      </c>
      <c r="T272" s="1158" t="s">
        <v>32</v>
      </c>
      <c r="U272" s="848" t="s">
        <v>32</v>
      </c>
      <c r="V272" s="848" t="s">
        <v>32</v>
      </c>
      <c r="W272" s="848"/>
      <c r="X272" s="801"/>
      <c r="Y272" s="848" t="s">
        <v>32</v>
      </c>
      <c r="Z272" s="848" t="s">
        <v>32</v>
      </c>
      <c r="AA272" s="848" t="s">
        <v>32</v>
      </c>
      <c r="AB272" s="848"/>
      <c r="AC272" s="1158" t="s">
        <v>32</v>
      </c>
      <c r="AD272" s="848"/>
      <c r="AE272" s="848"/>
      <c r="AF272" s="848" t="s">
        <v>32</v>
      </c>
      <c r="AG272" s="1070" t="s">
        <v>32</v>
      </c>
      <c r="AH272" s="297"/>
      <c r="AI272" s="298"/>
      <c r="AJ272" s="190"/>
    </row>
    <row r="273" spans="1:36" ht="21" customHeight="1" x14ac:dyDescent="0.2">
      <c r="A273" s="536"/>
      <c r="B273" s="535" t="s">
        <v>338</v>
      </c>
      <c r="C273" s="801"/>
      <c r="D273" s="801" t="s">
        <v>32</v>
      </c>
      <c r="E273" s="801" t="s">
        <v>32</v>
      </c>
      <c r="F273" s="801" t="s">
        <v>32</v>
      </c>
      <c r="G273" s="801" t="s">
        <v>32</v>
      </c>
      <c r="H273" s="801" t="s">
        <v>32</v>
      </c>
      <c r="I273" s="801"/>
      <c r="J273" s="801"/>
      <c r="K273" s="801" t="s">
        <v>32</v>
      </c>
      <c r="L273" s="801" t="s">
        <v>32</v>
      </c>
      <c r="M273" s="801" t="s">
        <v>32</v>
      </c>
      <c r="N273" s="1158" t="s">
        <v>32</v>
      </c>
      <c r="O273" s="848"/>
      <c r="P273" s="848"/>
      <c r="Q273" s="975"/>
      <c r="R273" s="848" t="s">
        <v>32</v>
      </c>
      <c r="S273" s="801" t="s">
        <v>32</v>
      </c>
      <c r="T273" s="801" t="s">
        <v>32</v>
      </c>
      <c r="U273" s="848" t="s">
        <v>32</v>
      </c>
      <c r="V273" s="848" t="s">
        <v>32</v>
      </c>
      <c r="W273" s="848"/>
      <c r="X273" s="801"/>
      <c r="Y273" s="848" t="s">
        <v>32</v>
      </c>
      <c r="Z273" s="801" t="s">
        <v>32</v>
      </c>
      <c r="AA273" s="801" t="s">
        <v>32</v>
      </c>
      <c r="AB273" s="801"/>
      <c r="AC273" s="1158" t="s">
        <v>32</v>
      </c>
      <c r="AD273" s="848"/>
      <c r="AE273" s="848"/>
      <c r="AF273" s="848" t="s">
        <v>32</v>
      </c>
      <c r="AG273" s="917" t="s">
        <v>32</v>
      </c>
      <c r="AH273" s="297"/>
      <c r="AI273" s="298"/>
      <c r="AJ273" s="190"/>
    </row>
    <row r="274" spans="1:36" ht="21" customHeight="1" x14ac:dyDescent="0.2">
      <c r="A274" s="536"/>
      <c r="B274" s="535" t="s">
        <v>339</v>
      </c>
      <c r="C274" s="801"/>
      <c r="D274" s="801" t="s">
        <v>32</v>
      </c>
      <c r="E274" s="801" t="s">
        <v>32</v>
      </c>
      <c r="F274" s="801" t="s">
        <v>32</v>
      </c>
      <c r="G274" s="801" t="s">
        <v>32</v>
      </c>
      <c r="H274" s="801" t="s">
        <v>32</v>
      </c>
      <c r="I274" s="801"/>
      <c r="J274" s="801"/>
      <c r="K274" s="801" t="s">
        <v>32</v>
      </c>
      <c r="L274" s="980" t="s">
        <v>32</v>
      </c>
      <c r="M274" s="801" t="s">
        <v>32</v>
      </c>
      <c r="N274" s="848" t="s">
        <v>32</v>
      </c>
      <c r="O274" s="848"/>
      <c r="P274" s="848"/>
      <c r="Q274" s="975"/>
      <c r="R274" s="848" t="s">
        <v>32</v>
      </c>
      <c r="S274" s="801" t="s">
        <v>32</v>
      </c>
      <c r="T274" s="801" t="s">
        <v>32</v>
      </c>
      <c r="U274" s="848" t="s">
        <v>32</v>
      </c>
      <c r="V274" s="848" t="s">
        <v>32</v>
      </c>
      <c r="W274" s="848"/>
      <c r="X274" s="848"/>
      <c r="Y274" s="858" t="s">
        <v>32</v>
      </c>
      <c r="Z274" s="801" t="s">
        <v>32</v>
      </c>
      <c r="AA274" s="801" t="s">
        <v>32</v>
      </c>
      <c r="AB274" s="801"/>
      <c r="AC274" s="859" t="s">
        <v>32</v>
      </c>
      <c r="AD274" s="848"/>
      <c r="AE274" s="848"/>
      <c r="AF274" s="848" t="s">
        <v>32</v>
      </c>
      <c r="AG274" s="917" t="s">
        <v>32</v>
      </c>
      <c r="AH274" s="297"/>
      <c r="AI274" s="298"/>
      <c r="AJ274" s="190"/>
    </row>
    <row r="275" spans="1:36" ht="21" customHeight="1" x14ac:dyDescent="0.2">
      <c r="A275" s="536"/>
      <c r="B275" s="535"/>
      <c r="C275" s="801"/>
      <c r="D275" s="801" t="s">
        <v>32</v>
      </c>
      <c r="E275" s="801" t="s">
        <v>32</v>
      </c>
      <c r="F275" s="801" t="s">
        <v>32</v>
      </c>
      <c r="G275" s="801" t="s">
        <v>32</v>
      </c>
      <c r="H275" s="801" t="s">
        <v>32</v>
      </c>
      <c r="I275" s="801"/>
      <c r="J275" s="801"/>
      <c r="K275" s="801" t="s">
        <v>32</v>
      </c>
      <c r="L275" s="801" t="s">
        <v>32</v>
      </c>
      <c r="M275" s="801" t="s">
        <v>32</v>
      </c>
      <c r="N275" s="848" t="s">
        <v>32</v>
      </c>
      <c r="O275" s="848"/>
      <c r="P275" s="848"/>
      <c r="Q275" s="975"/>
      <c r="R275" s="848" t="s">
        <v>32</v>
      </c>
      <c r="S275" s="801" t="s">
        <v>32</v>
      </c>
      <c r="T275" s="801" t="s">
        <v>32</v>
      </c>
      <c r="U275" s="848" t="s">
        <v>32</v>
      </c>
      <c r="V275" s="848" t="s">
        <v>32</v>
      </c>
      <c r="W275" s="848"/>
      <c r="X275" s="801"/>
      <c r="Y275" s="848" t="s">
        <v>32</v>
      </c>
      <c r="Z275" s="801" t="s">
        <v>32</v>
      </c>
      <c r="AA275" s="801" t="s">
        <v>32</v>
      </c>
      <c r="AB275" s="801"/>
      <c r="AC275" s="801" t="s">
        <v>32</v>
      </c>
      <c r="AD275" s="801"/>
      <c r="AE275" s="801"/>
      <c r="AF275" s="801" t="s">
        <v>32</v>
      </c>
      <c r="AG275" s="917" t="s">
        <v>32</v>
      </c>
      <c r="AH275" s="297"/>
      <c r="AI275" s="298"/>
      <c r="AJ275" s="190"/>
    </row>
    <row r="276" spans="1:36" ht="21" customHeight="1" x14ac:dyDescent="0.2">
      <c r="A276" s="536"/>
      <c r="B276" s="535" t="s">
        <v>340</v>
      </c>
      <c r="C276" s="801"/>
      <c r="D276" s="801" t="s">
        <v>32</v>
      </c>
      <c r="E276" s="801" t="s">
        <v>32</v>
      </c>
      <c r="F276" s="801" t="s">
        <v>32</v>
      </c>
      <c r="G276" s="801" t="s">
        <v>32</v>
      </c>
      <c r="H276" s="801" t="s">
        <v>32</v>
      </c>
      <c r="I276" s="801"/>
      <c r="J276" s="801"/>
      <c r="K276" s="801" t="s">
        <v>32</v>
      </c>
      <c r="L276" s="801" t="s">
        <v>32</v>
      </c>
      <c r="M276" s="801" t="s">
        <v>32</v>
      </c>
      <c r="N276" s="848" t="s">
        <v>32</v>
      </c>
      <c r="O276" s="848"/>
      <c r="P276" s="848"/>
      <c r="Q276" s="975"/>
      <c r="R276" s="848" t="s">
        <v>32</v>
      </c>
      <c r="S276" s="801" t="s">
        <v>32</v>
      </c>
      <c r="T276" s="801" t="s">
        <v>32</v>
      </c>
      <c r="U276" s="848" t="s">
        <v>32</v>
      </c>
      <c r="V276" s="848" t="s">
        <v>32</v>
      </c>
      <c r="W276" s="848"/>
      <c r="X276" s="801"/>
      <c r="Y276" s="848" t="s">
        <v>32</v>
      </c>
      <c r="Z276" s="801" t="s">
        <v>32</v>
      </c>
      <c r="AA276" s="801" t="s">
        <v>32</v>
      </c>
      <c r="AB276" s="801"/>
      <c r="AC276" s="859" t="s">
        <v>32</v>
      </c>
      <c r="AD276" s="848"/>
      <c r="AE276" s="848"/>
      <c r="AF276" s="848" t="s">
        <v>32</v>
      </c>
      <c r="AG276" s="917" t="s">
        <v>32</v>
      </c>
      <c r="AH276" s="297"/>
      <c r="AI276" s="298"/>
      <c r="AJ276" s="190"/>
    </row>
    <row r="277" spans="1:36" ht="21" customHeight="1" x14ac:dyDescent="0.2">
      <c r="A277" s="536"/>
      <c r="B277" s="535" t="s">
        <v>341</v>
      </c>
      <c r="C277" s="801"/>
      <c r="D277" s="801" t="s">
        <v>32</v>
      </c>
      <c r="E277" s="801" t="s">
        <v>32</v>
      </c>
      <c r="F277" s="801" t="s">
        <v>32</v>
      </c>
      <c r="G277" s="801" t="s">
        <v>32</v>
      </c>
      <c r="H277" s="848" t="s">
        <v>32</v>
      </c>
      <c r="I277" s="848"/>
      <c r="J277" s="848"/>
      <c r="K277" s="848" t="s">
        <v>32</v>
      </c>
      <c r="L277" s="801" t="s">
        <v>32</v>
      </c>
      <c r="M277" s="801" t="s">
        <v>32</v>
      </c>
      <c r="N277" s="848" t="s">
        <v>32</v>
      </c>
      <c r="O277" s="848"/>
      <c r="P277" s="848"/>
      <c r="Q277" s="975"/>
      <c r="R277" s="848" t="s">
        <v>32</v>
      </c>
      <c r="S277" s="801" t="s">
        <v>32</v>
      </c>
      <c r="T277" s="801" t="s">
        <v>32</v>
      </c>
      <c r="U277" s="848" t="s">
        <v>32</v>
      </c>
      <c r="V277" s="980" t="s">
        <v>32</v>
      </c>
      <c r="W277" s="980"/>
      <c r="X277" s="980"/>
      <c r="Y277" s="848" t="s">
        <v>32</v>
      </c>
      <c r="Z277" s="801" t="s">
        <v>32</v>
      </c>
      <c r="AA277" s="801" t="s">
        <v>32</v>
      </c>
      <c r="AB277" s="801"/>
      <c r="AC277" s="857" t="s">
        <v>32</v>
      </c>
      <c r="AD277" s="848"/>
      <c r="AE277" s="848"/>
      <c r="AF277" s="848" t="s">
        <v>32</v>
      </c>
      <c r="AG277" s="917" t="s">
        <v>32</v>
      </c>
      <c r="AH277" s="297"/>
      <c r="AI277" s="298"/>
      <c r="AJ277" s="190"/>
    </row>
    <row r="278" spans="1:36" ht="21" customHeight="1" x14ac:dyDescent="0.2">
      <c r="A278" s="845"/>
      <c r="B278" s="535" t="s">
        <v>342</v>
      </c>
      <c r="C278" s="801"/>
      <c r="D278" s="801" t="s">
        <v>32</v>
      </c>
      <c r="E278" s="801" t="s">
        <v>32</v>
      </c>
      <c r="F278" s="801" t="s">
        <v>32</v>
      </c>
      <c r="G278" s="801" t="s">
        <v>32</v>
      </c>
      <c r="H278" s="801" t="s">
        <v>32</v>
      </c>
      <c r="I278" s="801"/>
      <c r="J278" s="801"/>
      <c r="K278" s="801" t="s">
        <v>32</v>
      </c>
      <c r="L278" s="801" t="s">
        <v>32</v>
      </c>
      <c r="M278" s="801" t="s">
        <v>32</v>
      </c>
      <c r="N278" s="848" t="s">
        <v>32</v>
      </c>
      <c r="O278" s="848"/>
      <c r="P278" s="848"/>
      <c r="Q278" s="975"/>
      <c r="R278" s="848" t="s">
        <v>32</v>
      </c>
      <c r="S278" s="801" t="s">
        <v>32</v>
      </c>
      <c r="T278" s="801" t="s">
        <v>32</v>
      </c>
      <c r="U278" s="848" t="s">
        <v>32</v>
      </c>
      <c r="V278" s="848" t="s">
        <v>32</v>
      </c>
      <c r="W278" s="848"/>
      <c r="X278" s="801"/>
      <c r="Y278" s="848" t="s">
        <v>32</v>
      </c>
      <c r="Z278" s="801" t="s">
        <v>32</v>
      </c>
      <c r="AA278" s="801" t="s">
        <v>32</v>
      </c>
      <c r="AB278" s="801"/>
      <c r="AC278" s="801" t="s">
        <v>32</v>
      </c>
      <c r="AD278" s="801"/>
      <c r="AE278" s="801"/>
      <c r="AF278" s="801" t="s">
        <v>32</v>
      </c>
      <c r="AG278" s="917" t="s">
        <v>32</v>
      </c>
      <c r="AH278" s="297"/>
      <c r="AI278" s="298"/>
      <c r="AJ278" s="190"/>
    </row>
    <row r="279" spans="1:36" ht="21" customHeight="1" x14ac:dyDescent="0.2">
      <c r="A279" s="845"/>
      <c r="B279" s="535"/>
      <c r="C279" s="801"/>
      <c r="D279" s="537"/>
      <c r="E279" s="801"/>
      <c r="F279" s="801"/>
      <c r="G279" s="801"/>
      <c r="H279" s="801"/>
      <c r="I279" s="801"/>
      <c r="J279" s="801"/>
      <c r="K279" s="801"/>
      <c r="L279" s="801"/>
      <c r="M279" s="801"/>
      <c r="N279" s="801"/>
      <c r="O279" s="801"/>
      <c r="P279" s="801"/>
      <c r="Q279" s="801"/>
      <c r="R279" s="801"/>
      <c r="S279" s="801"/>
      <c r="T279" s="801"/>
      <c r="U279" s="801"/>
      <c r="V279" s="801"/>
      <c r="W279" s="801"/>
      <c r="X279" s="801"/>
      <c r="Y279" s="801"/>
      <c r="Z279" s="801"/>
      <c r="AA279" s="801"/>
      <c r="AB279" s="801"/>
      <c r="AC279" s="801"/>
      <c r="AD279" s="801"/>
      <c r="AE279" s="801"/>
      <c r="AF279" s="801"/>
      <c r="AG279" s="917"/>
      <c r="AH279" s="297"/>
      <c r="AI279" s="298"/>
      <c r="AJ279" s="190"/>
    </row>
    <row r="280" spans="1:36" ht="21" customHeight="1" x14ac:dyDescent="0.2">
      <c r="A280" s="845"/>
      <c r="B280" s="1179"/>
      <c r="C280" s="868"/>
      <c r="D280" s="868"/>
      <c r="E280" s="868"/>
      <c r="F280" s="868"/>
      <c r="G280" s="868"/>
      <c r="H280" s="868"/>
      <c r="I280" s="868"/>
      <c r="J280" s="868"/>
      <c r="K280" s="868"/>
      <c r="L280" s="868"/>
      <c r="M280" s="868"/>
      <c r="N280" s="814"/>
      <c r="O280" s="814"/>
      <c r="P280" s="868"/>
      <c r="Q280" s="868"/>
      <c r="R280" s="868"/>
      <c r="S280" s="868"/>
      <c r="T280" s="868"/>
      <c r="U280" s="868"/>
      <c r="V280" s="868"/>
      <c r="W280" s="868"/>
      <c r="X280" s="868"/>
      <c r="Y280" s="868"/>
      <c r="Z280" s="868"/>
      <c r="AA280" s="868"/>
      <c r="AB280" s="814"/>
      <c r="AC280" s="814"/>
      <c r="AD280" s="868"/>
      <c r="AE280" s="868"/>
      <c r="AF280" s="868"/>
      <c r="AG280" s="917"/>
      <c r="AH280" s="297"/>
      <c r="AI280" s="299"/>
      <c r="AJ280" s="190"/>
    </row>
    <row r="281" spans="1:36" ht="21" customHeight="1" thickBot="1" x14ac:dyDescent="0.25">
      <c r="A281" s="1180"/>
      <c r="B281" s="862"/>
      <c r="C281" s="670"/>
      <c r="D281" s="598"/>
      <c r="E281" s="598"/>
      <c r="F281" s="598"/>
      <c r="G281" s="598"/>
      <c r="H281" s="598"/>
      <c r="I281" s="598"/>
      <c r="J281" s="598"/>
      <c r="K281" s="598"/>
      <c r="L281" s="598"/>
      <c r="M281" s="598"/>
      <c r="N281" s="599"/>
      <c r="O281" s="599"/>
      <c r="P281" s="598"/>
      <c r="Q281" s="598"/>
      <c r="R281" s="598"/>
      <c r="S281" s="598"/>
      <c r="T281" s="598"/>
      <c r="U281" s="598"/>
      <c r="V281" s="598"/>
      <c r="W281" s="598"/>
      <c r="X281" s="598"/>
      <c r="Y281" s="598"/>
      <c r="Z281" s="598"/>
      <c r="AA281" s="598"/>
      <c r="AB281" s="599"/>
      <c r="AC281" s="599"/>
      <c r="AD281" s="598"/>
      <c r="AE281" s="598"/>
      <c r="AF281" s="598"/>
      <c r="AG281" s="671"/>
      <c r="AH281" s="297"/>
      <c r="AI281" s="299"/>
      <c r="AJ281" s="190"/>
    </row>
    <row r="282" spans="1:36" x14ac:dyDescent="0.2">
      <c r="AH282" s="190"/>
      <c r="AI282" s="190"/>
      <c r="AJ282" s="190"/>
    </row>
    <row r="283" spans="1:36" x14ac:dyDescent="0.2">
      <c r="AH283" s="190"/>
      <c r="AI283" s="190"/>
      <c r="AJ283" s="190"/>
    </row>
    <row r="284" spans="1:36" x14ac:dyDescent="0.2">
      <c r="AH284" s="190"/>
      <c r="AI284" s="190"/>
      <c r="AJ284" s="190"/>
    </row>
    <row r="285" spans="1:36" x14ac:dyDescent="0.2">
      <c r="AH285" s="190"/>
      <c r="AI285" s="190"/>
      <c r="AJ285" s="190"/>
    </row>
  </sheetData>
  <sheetProtection algorithmName="SHA-512" hashValue="ynD3UDM3lTiny2IWJ+mRwtdzBX6BT7i8W7D6eNT3H9kE1nphtlpwtVc4ktlTTIC39F36nR0/z7mfv6BUPGinPA==" saltValue="TsvDJZ2lV04HgZ8e7kre5Q==" spinCount="100000" sheet="1" objects="1" scenarios="1"/>
  <protectedRanges>
    <protectedRange sqref="B120:B121"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22 B124:B125"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B1428-F1F4-49E6-8BB1-66815E4E9F84}">
  <sheetPr codeName="Ark72"/>
  <dimension ref="A1:AT288"/>
  <sheetViews>
    <sheetView zoomScale="90" zoomScaleNormal="90" workbookViewId="0">
      <pane xSplit="2" ySplit="3" topLeftCell="C56" activePane="bottomRight" state="frozen"/>
      <selection pane="topRight" activeCell="B74" sqref="B74"/>
      <selection pane="bottomLeft" activeCell="B74" sqref="B74"/>
      <selection pane="bottomRight" activeCell="O72" sqref="O72"/>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754" t="s">
        <v>2</v>
      </c>
      <c r="C2" s="755" t="s">
        <v>3</v>
      </c>
      <c r="D2" s="756"/>
      <c r="E2" s="757" t="s">
        <v>4</v>
      </c>
      <c r="F2" s="758"/>
      <c r="G2" s="759"/>
      <c r="H2" s="759"/>
      <c r="I2" s="759"/>
      <c r="J2" s="759"/>
      <c r="K2" s="760"/>
      <c r="L2" s="761" t="s">
        <v>5</v>
      </c>
      <c r="M2" s="762"/>
      <c r="N2" s="747"/>
      <c r="O2" s="763" t="s">
        <v>6</v>
      </c>
      <c r="P2" s="764"/>
      <c r="Q2" s="765"/>
      <c r="R2" s="766"/>
      <c r="S2" s="767" t="s">
        <v>7</v>
      </c>
      <c r="T2" s="768"/>
      <c r="U2" s="769"/>
      <c r="V2" s="768"/>
      <c r="W2" s="770" t="s">
        <v>8</v>
      </c>
      <c r="X2" s="746"/>
      <c r="Y2" s="771"/>
      <c r="Z2" s="160" t="s">
        <v>9</v>
      </c>
      <c r="AA2" s="772"/>
      <c r="AB2" s="773"/>
      <c r="AC2" s="577"/>
      <c r="AD2" s="774" t="s">
        <v>10</v>
      </c>
      <c r="AE2" s="775"/>
      <c r="AF2" s="775"/>
      <c r="AG2" s="578"/>
    </row>
    <row r="3" spans="1:38" ht="13.35" customHeight="1" x14ac:dyDescent="0.2">
      <c r="A3" s="1"/>
      <c r="B3" s="776" t="s">
        <v>11</v>
      </c>
      <c r="C3" s="777" t="s">
        <v>12</v>
      </c>
      <c r="D3" s="778"/>
      <c r="E3" s="91"/>
      <c r="F3" s="92"/>
      <c r="G3" s="92"/>
      <c r="H3" s="161" t="s">
        <v>13</v>
      </c>
      <c r="I3" s="93"/>
      <c r="J3" s="93"/>
      <c r="K3" s="94"/>
      <c r="L3" s="779" t="s">
        <v>14</v>
      </c>
      <c r="M3" s="743"/>
      <c r="N3" s="780"/>
      <c r="O3" s="93"/>
      <c r="P3" s="93"/>
      <c r="Q3" s="93"/>
      <c r="R3" s="93"/>
      <c r="S3" s="14"/>
      <c r="T3" s="95" t="s">
        <v>15</v>
      </c>
      <c r="U3" s="96"/>
      <c r="V3" s="97"/>
      <c r="W3" s="98"/>
      <c r="X3" s="99"/>
      <c r="Y3" s="161" t="s">
        <v>16</v>
      </c>
      <c r="Z3" s="743"/>
      <c r="AA3" s="743"/>
      <c r="AB3" s="781"/>
      <c r="AC3" s="782"/>
      <c r="AD3" s="783" t="s">
        <v>17</v>
      </c>
      <c r="AE3" s="784"/>
      <c r="AF3" s="784"/>
      <c r="AG3" s="785"/>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786" t="s">
        <v>20</v>
      </c>
      <c r="B6" s="743"/>
      <c r="C6" s="787"/>
      <c r="D6" s="786" t="s">
        <v>21</v>
      </c>
      <c r="E6" s="743"/>
      <c r="F6" s="743"/>
      <c r="G6" s="743"/>
      <c r="H6" s="788"/>
      <c r="I6" s="743"/>
      <c r="J6" s="743"/>
      <c r="K6" s="743"/>
      <c r="L6" s="789" t="s">
        <v>22</v>
      </c>
      <c r="M6" s="743"/>
      <c r="N6" s="743"/>
      <c r="O6" s="743"/>
      <c r="P6" s="743"/>
      <c r="Q6" s="743"/>
      <c r="R6" s="743"/>
      <c r="S6" s="787"/>
      <c r="T6" s="790"/>
      <c r="U6" s="743"/>
      <c r="V6" s="743"/>
      <c r="W6" s="743"/>
      <c r="X6" s="743"/>
      <c r="Y6" s="743"/>
      <c r="Z6" s="743"/>
      <c r="AA6" s="787"/>
      <c r="AB6" s="791"/>
      <c r="AC6" s="740"/>
      <c r="AD6" s="740"/>
      <c r="AE6" s="740"/>
      <c r="AF6" s="740"/>
      <c r="AG6" s="579"/>
    </row>
    <row r="7" spans="1:38" ht="22.35" customHeight="1" x14ac:dyDescent="0.2">
      <c r="A7" s="786" t="s">
        <v>23</v>
      </c>
      <c r="B7" s="743"/>
      <c r="C7" s="743"/>
      <c r="D7" s="743"/>
      <c r="E7" s="743"/>
      <c r="F7" s="743"/>
      <c r="G7" s="743"/>
      <c r="H7" s="743"/>
      <c r="I7" s="743"/>
      <c r="J7" s="743"/>
      <c r="K7" s="787"/>
      <c r="L7" s="153" t="s">
        <v>24</v>
      </c>
      <c r="M7" s="14"/>
      <c r="N7" s="14"/>
      <c r="O7" s="14"/>
      <c r="P7" s="14"/>
      <c r="Q7" s="14"/>
      <c r="R7" s="14"/>
      <c r="S7" s="14"/>
      <c r="T7" s="14"/>
      <c r="U7" s="743"/>
      <c r="V7" s="743"/>
      <c r="W7" s="743"/>
      <c r="X7" s="743"/>
      <c r="Y7" s="743"/>
      <c r="Z7" s="743"/>
      <c r="AA7" s="743"/>
      <c r="AB7" s="792"/>
      <c r="AC7" s="743"/>
      <c r="AD7" s="743"/>
      <c r="AE7" s="743"/>
      <c r="AF7" s="743"/>
      <c r="AG7" s="787"/>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793" t="s">
        <v>28</v>
      </c>
      <c r="B11" s="794" t="s">
        <v>29</v>
      </c>
      <c r="C11" s="796">
        <v>1</v>
      </c>
      <c r="D11" s="796">
        <v>2</v>
      </c>
      <c r="E11" s="796">
        <v>3</v>
      </c>
      <c r="F11" s="795">
        <v>4</v>
      </c>
      <c r="G11" s="795">
        <v>5</v>
      </c>
      <c r="H11" s="795">
        <v>6</v>
      </c>
      <c r="I11" s="796">
        <v>7</v>
      </c>
      <c r="J11" s="796">
        <v>8</v>
      </c>
      <c r="K11" s="796">
        <v>9</v>
      </c>
      <c r="L11" s="796">
        <v>10</v>
      </c>
      <c r="M11" s="795">
        <v>11</v>
      </c>
      <c r="N11" s="795">
        <v>12</v>
      </c>
      <c r="O11" s="796">
        <v>13</v>
      </c>
      <c r="P11" s="796">
        <v>14</v>
      </c>
      <c r="Q11" s="796">
        <v>15</v>
      </c>
      <c r="R11" s="796">
        <v>16</v>
      </c>
      <c r="S11" s="796">
        <v>17</v>
      </c>
      <c r="T11" s="795">
        <v>18</v>
      </c>
      <c r="U11" s="795">
        <v>19</v>
      </c>
      <c r="V11" s="796">
        <v>20</v>
      </c>
      <c r="W11" s="796">
        <v>21</v>
      </c>
      <c r="X11" s="796">
        <v>22</v>
      </c>
      <c r="Y11" s="796">
        <v>23</v>
      </c>
      <c r="Z11" s="796">
        <v>24</v>
      </c>
      <c r="AA11" s="795">
        <v>25</v>
      </c>
      <c r="AB11" s="795">
        <v>26</v>
      </c>
      <c r="AC11" s="796">
        <v>27</v>
      </c>
      <c r="AD11" s="796">
        <v>28</v>
      </c>
      <c r="AE11" s="796">
        <v>29</v>
      </c>
      <c r="AF11" s="796">
        <v>30</v>
      </c>
      <c r="AG11" s="797"/>
      <c r="AH11" s="173"/>
      <c r="AI11" s="174"/>
      <c r="AJ11" s="1181" t="s">
        <v>30</v>
      </c>
    </row>
    <row r="12" spans="1:38" ht="22.35" customHeight="1" x14ac:dyDescent="0.2">
      <c r="A12" s="799">
        <v>8500</v>
      </c>
      <c r="B12" s="1182" t="s">
        <v>31</v>
      </c>
      <c r="C12" s="1110" t="s">
        <v>32</v>
      </c>
      <c r="D12" s="1110" t="s">
        <v>32</v>
      </c>
      <c r="E12" s="1110" t="s">
        <v>32</v>
      </c>
      <c r="F12" s="644"/>
      <c r="G12" s="644"/>
      <c r="H12" s="1110"/>
      <c r="I12" s="1183" t="s">
        <v>32</v>
      </c>
      <c r="J12" s="1110" t="s">
        <v>32</v>
      </c>
      <c r="K12" s="1110" t="s">
        <v>32</v>
      </c>
      <c r="L12" s="1110" t="s">
        <v>32</v>
      </c>
      <c r="M12" s="644"/>
      <c r="N12" s="644"/>
      <c r="O12" s="1110" t="s">
        <v>32</v>
      </c>
      <c r="P12" s="1110" t="s">
        <v>32</v>
      </c>
      <c r="Q12" s="1110" t="s">
        <v>32</v>
      </c>
      <c r="R12" s="1110" t="s">
        <v>32</v>
      </c>
      <c r="S12" s="1110" t="s">
        <v>32</v>
      </c>
      <c r="T12" s="644"/>
      <c r="U12" s="644"/>
      <c r="V12" s="644" t="s">
        <v>32</v>
      </c>
      <c r="W12" s="644" t="s">
        <v>32</v>
      </c>
      <c r="X12" s="1112" t="s">
        <v>32</v>
      </c>
      <c r="Y12" s="975" t="s">
        <v>32</v>
      </c>
      <c r="Z12" s="1112" t="s">
        <v>32</v>
      </c>
      <c r="AA12" s="644"/>
      <c r="AB12" s="644"/>
      <c r="AC12" s="1110" t="s">
        <v>32</v>
      </c>
      <c r="AD12" s="1110" t="s">
        <v>32</v>
      </c>
      <c r="AE12" s="1110" t="s">
        <v>32</v>
      </c>
      <c r="AF12" s="1110" t="s">
        <v>32</v>
      </c>
      <c r="AG12" s="613"/>
      <c r="AH12" s="179"/>
      <c r="AI12" s="179"/>
      <c r="AJ12" s="1181">
        <v>160.33000000000001</v>
      </c>
    </row>
    <row r="13" spans="1:38" ht="22.35" customHeight="1" x14ac:dyDescent="0.2">
      <c r="A13" s="805" t="s">
        <v>33</v>
      </c>
      <c r="B13" s="806"/>
      <c r="C13" s="806"/>
      <c r="D13" s="806"/>
      <c r="E13" s="806"/>
      <c r="F13" s="806"/>
      <c r="G13" s="806"/>
      <c r="H13" s="806"/>
      <c r="I13" s="806"/>
      <c r="J13" s="806"/>
      <c r="K13" s="806"/>
      <c r="L13" s="806"/>
      <c r="M13" s="806"/>
      <c r="N13" s="806"/>
      <c r="O13" s="806"/>
      <c r="P13" s="806"/>
      <c r="Q13" s="806"/>
      <c r="R13" s="806"/>
      <c r="S13" s="806"/>
      <c r="T13" s="806"/>
      <c r="U13" s="806"/>
      <c r="V13" s="806"/>
      <c r="W13" s="806"/>
      <c r="X13" s="806"/>
      <c r="Y13" s="806"/>
      <c r="Z13" s="806"/>
      <c r="AA13" s="806"/>
      <c r="AB13" s="806"/>
      <c r="AC13" s="806"/>
      <c r="AD13" s="806"/>
      <c r="AE13" s="806"/>
      <c r="AF13" s="806"/>
      <c r="AG13" s="807"/>
      <c r="AH13" s="177"/>
      <c r="AI13" s="177"/>
    </row>
    <row r="14" spans="1:38" ht="22.35" customHeight="1" x14ac:dyDescent="0.2">
      <c r="A14" s="808">
        <v>8546</v>
      </c>
      <c r="B14" s="1182" t="s">
        <v>34</v>
      </c>
      <c r="C14" s="809">
        <v>4</v>
      </c>
      <c r="D14" s="809">
        <v>4</v>
      </c>
      <c r="E14" s="809">
        <v>4</v>
      </c>
      <c r="F14" s="809" t="s">
        <v>35</v>
      </c>
      <c r="G14" s="809" t="s">
        <v>35</v>
      </c>
      <c r="H14" s="811" t="s">
        <v>36</v>
      </c>
      <c r="I14" s="811" t="s">
        <v>36</v>
      </c>
      <c r="J14" s="811" t="s">
        <v>36</v>
      </c>
      <c r="K14" s="812" t="s">
        <v>36</v>
      </c>
      <c r="L14" s="811" t="s">
        <v>36</v>
      </c>
      <c r="M14" s="814"/>
      <c r="N14" s="809"/>
      <c r="O14" s="809">
        <v>1</v>
      </c>
      <c r="P14" s="815">
        <v>1</v>
      </c>
      <c r="Q14" s="741">
        <v>1</v>
      </c>
      <c r="R14" s="741">
        <v>1</v>
      </c>
      <c r="S14" s="816">
        <v>1</v>
      </c>
      <c r="T14" s="815"/>
      <c r="U14" s="815"/>
      <c r="V14" s="811">
        <v>2</v>
      </c>
      <c r="W14" s="811">
        <v>2</v>
      </c>
      <c r="X14" s="811">
        <v>2</v>
      </c>
      <c r="Y14" s="811">
        <v>2</v>
      </c>
      <c r="Z14" s="811">
        <v>2</v>
      </c>
      <c r="AA14" s="811" t="s">
        <v>37</v>
      </c>
      <c r="AB14" s="811" t="s">
        <v>37</v>
      </c>
      <c r="AC14" s="811" t="s">
        <v>36</v>
      </c>
      <c r="AD14" s="815" t="s">
        <v>36</v>
      </c>
      <c r="AE14" s="811" t="s">
        <v>36</v>
      </c>
      <c r="AF14" s="811" t="s">
        <v>36</v>
      </c>
      <c r="AG14" s="818"/>
      <c r="AH14" s="179"/>
      <c r="AI14" s="179"/>
    </row>
    <row r="15" spans="1:38" ht="22.35" customHeight="1" x14ac:dyDescent="0.2">
      <c r="A15" s="808">
        <v>8546</v>
      </c>
      <c r="B15" s="819" t="s">
        <v>38</v>
      </c>
      <c r="C15" s="812" t="s">
        <v>36</v>
      </c>
      <c r="D15" s="811" t="s">
        <v>36</v>
      </c>
      <c r="E15" s="811" t="s">
        <v>36</v>
      </c>
      <c r="F15" s="815"/>
      <c r="G15" s="815"/>
      <c r="H15" s="815">
        <v>4</v>
      </c>
      <c r="I15" s="811">
        <v>4</v>
      </c>
      <c r="J15" s="812">
        <v>4</v>
      </c>
      <c r="K15" s="815">
        <v>4</v>
      </c>
      <c r="L15" s="811">
        <v>4</v>
      </c>
      <c r="M15" s="811" t="s">
        <v>35</v>
      </c>
      <c r="N15" s="811" t="s">
        <v>35</v>
      </c>
      <c r="O15" s="811" t="s">
        <v>36</v>
      </c>
      <c r="P15" s="811" t="s">
        <v>36</v>
      </c>
      <c r="Q15" s="811" t="s">
        <v>36</v>
      </c>
      <c r="R15" s="811" t="s">
        <v>36</v>
      </c>
      <c r="S15" s="811" t="s">
        <v>36</v>
      </c>
      <c r="T15" s="811"/>
      <c r="U15" s="811"/>
      <c r="V15" s="811">
        <v>1</v>
      </c>
      <c r="W15" s="811">
        <v>1</v>
      </c>
      <c r="X15" s="811">
        <v>1</v>
      </c>
      <c r="Y15" s="811">
        <v>1</v>
      </c>
      <c r="Z15" s="811">
        <v>1</v>
      </c>
      <c r="AA15" s="811"/>
      <c r="AB15" s="811"/>
      <c r="AC15" s="1184">
        <v>2</v>
      </c>
      <c r="AD15" s="1184">
        <v>2</v>
      </c>
      <c r="AE15" s="1184">
        <v>2</v>
      </c>
      <c r="AF15" s="1184">
        <v>2</v>
      </c>
      <c r="AG15" s="818"/>
      <c r="AH15" s="179"/>
      <c r="AI15" s="179"/>
      <c r="AL15" t="s">
        <v>0</v>
      </c>
    </row>
    <row r="16" spans="1:38" ht="22.35" customHeight="1" thickBot="1" x14ac:dyDescent="0.25">
      <c r="A16" s="808">
        <v>8546</v>
      </c>
      <c r="B16" s="823" t="s">
        <v>40</v>
      </c>
      <c r="C16" s="821">
        <v>1</v>
      </c>
      <c r="D16" s="824">
        <v>1</v>
      </c>
      <c r="E16" s="824">
        <v>1</v>
      </c>
      <c r="F16" s="824"/>
      <c r="G16" s="824"/>
      <c r="H16" s="824">
        <v>2</v>
      </c>
      <c r="I16" s="825">
        <v>2</v>
      </c>
      <c r="J16" s="824">
        <v>2</v>
      </c>
      <c r="K16" s="824">
        <v>2</v>
      </c>
      <c r="L16" s="824">
        <v>2</v>
      </c>
      <c r="M16" s="824" t="s">
        <v>37</v>
      </c>
      <c r="N16" s="821" t="s">
        <v>37</v>
      </c>
      <c r="O16" s="821" t="s">
        <v>36</v>
      </c>
      <c r="P16" s="821" t="s">
        <v>36</v>
      </c>
      <c r="Q16" s="821" t="s">
        <v>36</v>
      </c>
      <c r="R16" s="821" t="s">
        <v>36</v>
      </c>
      <c r="S16" s="824" t="s">
        <v>36</v>
      </c>
      <c r="T16" s="824"/>
      <c r="U16" s="824"/>
      <c r="V16" s="824">
        <v>4</v>
      </c>
      <c r="W16" s="1185">
        <v>4</v>
      </c>
      <c r="X16" s="824">
        <v>4</v>
      </c>
      <c r="Y16" s="821">
        <v>4</v>
      </c>
      <c r="Z16" s="821">
        <v>4</v>
      </c>
      <c r="AA16" s="821" t="s">
        <v>35</v>
      </c>
      <c r="AB16" s="821" t="s">
        <v>35</v>
      </c>
      <c r="AC16" s="821" t="s">
        <v>36</v>
      </c>
      <c r="AD16" s="824" t="s">
        <v>36</v>
      </c>
      <c r="AE16" s="824" t="s">
        <v>36</v>
      </c>
      <c r="AF16" s="824" t="s">
        <v>36</v>
      </c>
      <c r="AG16" s="818"/>
      <c r="AH16" s="179"/>
      <c r="AI16" s="179"/>
    </row>
    <row r="17" spans="1:40" ht="22.35" customHeight="1" x14ac:dyDescent="0.2">
      <c r="A17" s="808">
        <v>8546</v>
      </c>
      <c r="B17" s="819" t="s">
        <v>41</v>
      </c>
      <c r="C17" s="817" t="s">
        <v>36</v>
      </c>
      <c r="D17" s="812" t="s">
        <v>36</v>
      </c>
      <c r="E17" s="827" t="s">
        <v>32</v>
      </c>
      <c r="F17" s="815"/>
      <c r="G17" s="811"/>
      <c r="H17" s="811">
        <v>1</v>
      </c>
      <c r="I17" s="813">
        <v>1</v>
      </c>
      <c r="J17" s="323">
        <v>1</v>
      </c>
      <c r="K17" s="811">
        <v>1</v>
      </c>
      <c r="L17" s="811">
        <v>1</v>
      </c>
      <c r="M17" s="934"/>
      <c r="N17" s="809"/>
      <c r="O17" s="813" t="s">
        <v>32</v>
      </c>
      <c r="P17" s="827">
        <v>2</v>
      </c>
      <c r="Q17" s="827" t="s">
        <v>32</v>
      </c>
      <c r="R17" s="827" t="s">
        <v>32</v>
      </c>
      <c r="S17" s="827" t="s">
        <v>32</v>
      </c>
      <c r="T17" s="811" t="s">
        <v>0</v>
      </c>
      <c r="U17" s="811" t="s">
        <v>0</v>
      </c>
      <c r="V17" s="827" t="s">
        <v>32</v>
      </c>
      <c r="W17" s="827" t="s">
        <v>32</v>
      </c>
      <c r="X17" s="813" t="s">
        <v>32</v>
      </c>
      <c r="Y17" s="827" t="s">
        <v>32</v>
      </c>
      <c r="Z17" s="813" t="s">
        <v>32</v>
      </c>
      <c r="AA17" s="827"/>
      <c r="AB17" s="827"/>
      <c r="AC17" s="827" t="s">
        <v>32</v>
      </c>
      <c r="AD17" s="827">
        <v>2</v>
      </c>
      <c r="AE17" s="827" t="s">
        <v>32</v>
      </c>
      <c r="AF17" s="813" t="s">
        <v>32</v>
      </c>
      <c r="AG17" s="818"/>
      <c r="AH17" s="179"/>
      <c r="AI17" s="179"/>
    </row>
    <row r="18" spans="1:40" ht="22.35" customHeight="1" x14ac:dyDescent="0.2">
      <c r="A18" s="808">
        <v>8546</v>
      </c>
      <c r="B18" s="823" t="s">
        <v>42</v>
      </c>
      <c r="C18" s="812">
        <v>2</v>
      </c>
      <c r="D18" s="828">
        <v>2</v>
      </c>
      <c r="E18" s="828">
        <v>2</v>
      </c>
      <c r="F18" s="811" t="s">
        <v>37</v>
      </c>
      <c r="G18" s="811" t="s">
        <v>37</v>
      </c>
      <c r="H18" s="811" t="s">
        <v>36</v>
      </c>
      <c r="I18" s="811" t="s">
        <v>36</v>
      </c>
      <c r="J18" s="815" t="s">
        <v>36</v>
      </c>
      <c r="K18" s="815" t="s">
        <v>36</v>
      </c>
      <c r="L18" s="811" t="s">
        <v>36</v>
      </c>
      <c r="M18" s="741"/>
      <c r="N18" s="741"/>
      <c r="O18" s="1186">
        <v>4</v>
      </c>
      <c r="P18" s="1186" t="s">
        <v>343</v>
      </c>
      <c r="Q18" s="741">
        <v>4</v>
      </c>
      <c r="R18" s="741">
        <v>4</v>
      </c>
      <c r="S18" s="815">
        <v>4</v>
      </c>
      <c r="T18" s="815" t="s">
        <v>35</v>
      </c>
      <c r="U18" s="814" t="s">
        <v>35</v>
      </c>
      <c r="V18" s="814" t="s">
        <v>36</v>
      </c>
      <c r="W18" s="811" t="s">
        <v>36</v>
      </c>
      <c r="X18" s="811" t="s">
        <v>36</v>
      </c>
      <c r="Y18" s="811" t="s">
        <v>36</v>
      </c>
      <c r="Z18" s="811" t="s">
        <v>36</v>
      </c>
      <c r="AA18" s="811"/>
      <c r="AB18" s="811"/>
      <c r="AC18" s="829">
        <v>1</v>
      </c>
      <c r="AD18" s="811">
        <v>1</v>
      </c>
      <c r="AE18" s="811">
        <v>1</v>
      </c>
      <c r="AF18" s="1187">
        <v>1</v>
      </c>
      <c r="AG18" s="818"/>
      <c r="AH18" s="179"/>
      <c r="AI18" s="179"/>
    </row>
    <row r="19" spans="1:40" ht="22.35" customHeight="1" thickBot="1" x14ac:dyDescent="0.25">
      <c r="A19" s="830" t="s">
        <v>43</v>
      </c>
      <c r="B19" s="831"/>
      <c r="C19" s="832"/>
      <c r="D19" s="832"/>
      <c r="E19" s="832"/>
      <c r="F19" s="832"/>
      <c r="G19" s="832"/>
      <c r="H19" s="832"/>
      <c r="I19" s="832"/>
      <c r="J19" s="832"/>
      <c r="K19" s="832"/>
      <c r="L19" s="832"/>
      <c r="M19" s="832"/>
      <c r="N19" s="832"/>
      <c r="O19" s="832"/>
      <c r="P19" s="832"/>
      <c r="Q19" s="832"/>
      <c r="R19" s="832"/>
      <c r="S19" s="832"/>
      <c r="T19" s="832"/>
      <c r="U19" s="832"/>
      <c r="V19" s="832"/>
      <c r="W19" s="832"/>
      <c r="X19" s="832"/>
      <c r="Y19" s="832"/>
      <c r="Z19" s="832"/>
      <c r="AA19" s="832"/>
      <c r="AB19" s="832"/>
      <c r="AC19" s="832"/>
      <c r="AD19" s="832"/>
      <c r="AE19" s="832"/>
      <c r="AF19" s="832"/>
      <c r="AG19" s="833"/>
      <c r="AH19" s="177"/>
      <c r="AI19" s="177"/>
      <c r="AJ19" s="1181" t="s">
        <v>30</v>
      </c>
      <c r="AK19" s="1181" t="s">
        <v>44</v>
      </c>
      <c r="AL19" s="1181" t="s">
        <v>45</v>
      </c>
      <c r="AM19" s="1181" t="s">
        <v>46</v>
      </c>
      <c r="AN19" s="1181" t="s">
        <v>47</v>
      </c>
    </row>
    <row r="20" spans="1:40" ht="22.35" customHeight="1" x14ac:dyDescent="0.2">
      <c r="A20" s="834">
        <v>8500</v>
      </c>
      <c r="B20" s="835" t="s">
        <v>49</v>
      </c>
      <c r="C20" s="899">
        <v>1</v>
      </c>
      <c r="D20" s="899" t="s">
        <v>32</v>
      </c>
      <c r="E20" s="899" t="s">
        <v>32</v>
      </c>
      <c r="F20" s="899"/>
      <c r="G20" s="899"/>
      <c r="H20" s="934"/>
      <c r="I20" s="899" t="s">
        <v>32</v>
      </c>
      <c r="J20" s="1188" t="s">
        <v>32</v>
      </c>
      <c r="K20" s="1188" t="s">
        <v>32</v>
      </c>
      <c r="L20" s="1188" t="s">
        <v>32</v>
      </c>
      <c r="M20" s="899"/>
      <c r="N20" s="934"/>
      <c r="O20" s="1189" t="s">
        <v>32</v>
      </c>
      <c r="P20" s="899" t="s">
        <v>32</v>
      </c>
      <c r="Q20" s="1189" t="s">
        <v>32</v>
      </c>
      <c r="R20" s="899" t="s">
        <v>32</v>
      </c>
      <c r="S20" s="899" t="s">
        <v>32</v>
      </c>
      <c r="T20" s="899"/>
      <c r="U20" s="899"/>
      <c r="V20" s="899" t="s">
        <v>32</v>
      </c>
      <c r="W20" s="899" t="s">
        <v>32</v>
      </c>
      <c r="X20" s="1189" t="s">
        <v>32</v>
      </c>
      <c r="Y20" s="899" t="s">
        <v>32</v>
      </c>
      <c r="Z20" s="899" t="s">
        <v>32</v>
      </c>
      <c r="AA20" s="899"/>
      <c r="AB20" s="934"/>
      <c r="AC20" s="934" t="s">
        <v>32</v>
      </c>
      <c r="AD20" s="899" t="s">
        <v>32</v>
      </c>
      <c r="AE20" s="899" t="s">
        <v>32</v>
      </c>
      <c r="AF20" s="899">
        <v>1</v>
      </c>
      <c r="AG20" s="844"/>
      <c r="AH20" s="179"/>
      <c r="AI20" s="179"/>
      <c r="AJ20" s="845">
        <f>$AJ$12</f>
        <v>160.33000000000001</v>
      </c>
      <c r="AK20" s="845"/>
      <c r="AL20" s="845">
        <f>IF(AJ20="","",SUM(AJ20:AK20))</f>
        <v>160.33000000000001</v>
      </c>
      <c r="AM20" s="846">
        <f>IF(AJ20="","",AL20-AJ20)</f>
        <v>0</v>
      </c>
      <c r="AN20" s="846">
        <f>IF(AM20="","",AM20+'Maj 2022'!AN20)</f>
        <v>0</v>
      </c>
    </row>
    <row r="21" spans="1:40" ht="22.35" customHeight="1" x14ac:dyDescent="0.2">
      <c r="A21" s="847">
        <v>8500</v>
      </c>
      <c r="B21" s="1190" t="s">
        <v>52</v>
      </c>
      <c r="C21" s="1110" t="s">
        <v>32</v>
      </c>
      <c r="D21" s="1110" t="s">
        <v>32</v>
      </c>
      <c r="E21" s="1110" t="s">
        <v>36</v>
      </c>
      <c r="F21" s="644"/>
      <c r="G21" s="644"/>
      <c r="H21" s="1110">
        <v>2</v>
      </c>
      <c r="I21" s="1183">
        <v>2</v>
      </c>
      <c r="J21" s="1110">
        <v>2</v>
      </c>
      <c r="K21" s="1191" t="s">
        <v>32</v>
      </c>
      <c r="L21" s="1191" t="s">
        <v>32</v>
      </c>
      <c r="M21" s="644" t="s">
        <v>53</v>
      </c>
      <c r="N21" s="848" t="s">
        <v>53</v>
      </c>
      <c r="O21" s="859" t="s">
        <v>32</v>
      </c>
      <c r="P21" s="859" t="s">
        <v>32</v>
      </c>
      <c r="Q21" s="859" t="s">
        <v>32</v>
      </c>
      <c r="R21" s="859" t="s">
        <v>32</v>
      </c>
      <c r="S21" s="859" t="s">
        <v>32</v>
      </c>
      <c r="T21" s="859"/>
      <c r="U21" s="859"/>
      <c r="V21" s="859" t="s">
        <v>32</v>
      </c>
      <c r="W21" s="859" t="s">
        <v>32</v>
      </c>
      <c r="X21" s="859" t="s">
        <v>32</v>
      </c>
      <c r="Y21" s="859" t="s">
        <v>32</v>
      </c>
      <c r="Z21" s="859" t="s">
        <v>32</v>
      </c>
      <c r="AA21" s="859"/>
      <c r="AB21" s="859"/>
      <c r="AC21" s="859" t="s">
        <v>32</v>
      </c>
      <c r="AD21" s="859" t="s">
        <v>32</v>
      </c>
      <c r="AE21" s="859" t="s">
        <v>32</v>
      </c>
      <c r="AF21" s="859" t="s">
        <v>32</v>
      </c>
      <c r="AG21" s="968"/>
      <c r="AH21" s="179"/>
      <c r="AI21" s="179"/>
      <c r="AJ21" s="845">
        <v>158.25</v>
      </c>
      <c r="AK21" s="845">
        <v>1</v>
      </c>
      <c r="AL21" s="845">
        <f>IF(AJ21="","",SUM(AJ21:AK21))</f>
        <v>159.25</v>
      </c>
      <c r="AM21" s="846">
        <f>IF(AJ21="","",AL21-NormTid)</f>
        <v>-1.0800000000000125</v>
      </c>
      <c r="AN21" s="846">
        <f>IF(AM21="","",AM21+'Maj 2022'!AN21)</f>
        <v>32.449999999999989</v>
      </c>
    </row>
    <row r="22" spans="1:40" ht="22.35" customHeight="1" x14ac:dyDescent="0.2">
      <c r="A22" s="847">
        <v>8500</v>
      </c>
      <c r="B22" s="1182" t="s">
        <v>54</v>
      </c>
      <c r="C22" s="1110">
        <v>26</v>
      </c>
      <c r="D22" s="961">
        <v>1</v>
      </c>
      <c r="E22" s="961">
        <v>1</v>
      </c>
      <c r="F22" s="809" t="s">
        <v>83</v>
      </c>
      <c r="G22" s="809" t="s">
        <v>83</v>
      </c>
      <c r="H22" s="809">
        <v>8</v>
      </c>
      <c r="I22" s="809">
        <v>8</v>
      </c>
      <c r="J22" s="809">
        <v>8</v>
      </c>
      <c r="K22" s="809">
        <v>8</v>
      </c>
      <c r="L22" s="810">
        <v>8</v>
      </c>
      <c r="M22" s="644"/>
      <c r="N22" s="644"/>
      <c r="O22" s="848">
        <v>4</v>
      </c>
      <c r="P22" s="848">
        <v>4</v>
      </c>
      <c r="Q22" s="848">
        <v>2</v>
      </c>
      <c r="R22" s="848">
        <v>2</v>
      </c>
      <c r="S22" s="1110">
        <v>2</v>
      </c>
      <c r="T22" s="1110" t="s">
        <v>37</v>
      </c>
      <c r="U22" s="848" t="s">
        <v>37</v>
      </c>
      <c r="V22" s="815" t="s">
        <v>36</v>
      </c>
      <c r="W22" s="815" t="s">
        <v>36</v>
      </c>
      <c r="X22" s="815" t="s">
        <v>36</v>
      </c>
      <c r="Y22" s="815" t="s">
        <v>36</v>
      </c>
      <c r="Z22" s="811" t="s">
        <v>36</v>
      </c>
      <c r="AA22" s="811"/>
      <c r="AB22" s="811"/>
      <c r="AC22" s="811">
        <v>4</v>
      </c>
      <c r="AD22" s="812">
        <v>4</v>
      </c>
      <c r="AE22" s="811">
        <v>4</v>
      </c>
      <c r="AF22" s="815">
        <v>4</v>
      </c>
      <c r="AG22" s="856"/>
      <c r="AH22" s="179"/>
      <c r="AI22" s="179"/>
      <c r="AJ22" s="845">
        <v>180.25</v>
      </c>
      <c r="AK22" s="845">
        <v>11.5</v>
      </c>
      <c r="AL22" s="845">
        <f>IF(AJ22="","",SUM(AJ22:AK22))</f>
        <v>191.75</v>
      </c>
      <c r="AM22" s="846">
        <f>IF(AJ22="","",AL22-NormTid)</f>
        <v>31.419999999999987</v>
      </c>
      <c r="AN22" s="846">
        <f>IF(AM22="","",AM22+'Maj 2022'!AN22)</f>
        <v>13.099999999999987</v>
      </c>
    </row>
    <row r="23" spans="1:40" ht="22.35" customHeight="1" x14ac:dyDescent="0.2">
      <c r="A23" s="847"/>
      <c r="B23" s="1190"/>
      <c r="C23" s="1183" t="s">
        <v>32</v>
      </c>
      <c r="D23" s="975" t="s">
        <v>32</v>
      </c>
      <c r="E23" s="644" t="s">
        <v>32</v>
      </c>
      <c r="F23" s="644"/>
      <c r="G23" s="644"/>
      <c r="H23" s="1192"/>
      <c r="I23" s="1192" t="s">
        <v>32</v>
      </c>
      <c r="J23" s="1192" t="s">
        <v>32</v>
      </c>
      <c r="K23" s="974" t="s">
        <v>32</v>
      </c>
      <c r="L23" s="1192" t="s">
        <v>32</v>
      </c>
      <c r="M23" s="644"/>
      <c r="N23" s="1110"/>
      <c r="O23" s="1110" t="s">
        <v>32</v>
      </c>
      <c r="P23" s="644" t="s">
        <v>32</v>
      </c>
      <c r="Q23" s="644" t="s">
        <v>32</v>
      </c>
      <c r="R23" s="980" t="s">
        <v>32</v>
      </c>
      <c r="S23" s="980" t="s">
        <v>32</v>
      </c>
      <c r="T23" s="644"/>
      <c r="U23" s="644"/>
      <c r="V23" s="1192" t="s">
        <v>32</v>
      </c>
      <c r="W23" s="1192" t="s">
        <v>32</v>
      </c>
      <c r="X23" s="1192" t="s">
        <v>32</v>
      </c>
      <c r="Y23" s="1192" t="s">
        <v>32</v>
      </c>
      <c r="Z23" s="1192" t="s">
        <v>32</v>
      </c>
      <c r="AA23" s="1192"/>
      <c r="AB23" s="1192"/>
      <c r="AC23" s="1192" t="s">
        <v>32</v>
      </c>
      <c r="AD23" s="975" t="s">
        <v>32</v>
      </c>
      <c r="AE23" s="1192" t="s">
        <v>32</v>
      </c>
      <c r="AF23" s="1192" t="s">
        <v>32</v>
      </c>
      <c r="AG23" s="623"/>
      <c r="AJ23" s="845">
        <f t="shared" ref="AJ23" si="0">$AJ$12</f>
        <v>160.33000000000001</v>
      </c>
      <c r="AK23" s="845"/>
      <c r="AL23" s="845">
        <f t="shared" ref="AL23" si="1">IF(AJ23="","",SUM(AJ23:AK23))</f>
        <v>160.33000000000001</v>
      </c>
      <c r="AM23" s="846">
        <f t="shared" ref="AM23" si="2">IF(AJ23="","",AL23-AJ23)</f>
        <v>0</v>
      </c>
      <c r="AN23" s="846">
        <f>IF(AM23="","",AM23+'Maj 2022'!AN23)</f>
        <v>0</v>
      </c>
    </row>
    <row r="24" spans="1:40" ht="22.35" customHeight="1" thickBot="1" x14ac:dyDescent="0.25">
      <c r="A24" s="861"/>
      <c r="B24" s="862" t="s">
        <v>56</v>
      </c>
      <c r="C24" s="863" t="s">
        <v>32</v>
      </c>
      <c r="D24" s="863" t="s">
        <v>32</v>
      </c>
      <c r="E24" s="863" t="s">
        <v>32</v>
      </c>
      <c r="F24" s="863"/>
      <c r="G24" s="863"/>
      <c r="H24" s="863"/>
      <c r="I24" s="1193" t="s">
        <v>32</v>
      </c>
      <c r="J24" s="1193" t="s">
        <v>32</v>
      </c>
      <c r="K24" s="1193" t="s">
        <v>32</v>
      </c>
      <c r="L24" s="1193" t="s">
        <v>32</v>
      </c>
      <c r="M24" s="1193"/>
      <c r="N24" s="1194"/>
      <c r="O24" s="1194" t="s">
        <v>32</v>
      </c>
      <c r="P24" s="1194" t="s">
        <v>32</v>
      </c>
      <c r="Q24" s="1195" t="s">
        <v>32</v>
      </c>
      <c r="R24" s="1194" t="s">
        <v>32</v>
      </c>
      <c r="S24" s="1193" t="s">
        <v>32</v>
      </c>
      <c r="T24" s="1193"/>
      <c r="U24" s="1194"/>
      <c r="V24" s="1194" t="s">
        <v>32</v>
      </c>
      <c r="W24" s="1194" t="s">
        <v>32</v>
      </c>
      <c r="X24" s="1193" t="s">
        <v>32</v>
      </c>
      <c r="Y24" s="1194" t="s">
        <v>32</v>
      </c>
      <c r="Z24" s="1193" t="s">
        <v>32</v>
      </c>
      <c r="AA24" s="1193"/>
      <c r="AB24" s="1193"/>
      <c r="AC24" s="1193" t="s">
        <v>32</v>
      </c>
      <c r="AD24" s="1193" t="s">
        <v>32</v>
      </c>
      <c r="AE24" s="1193" t="s">
        <v>32</v>
      </c>
      <c r="AF24" s="1193" t="s">
        <v>32</v>
      </c>
      <c r="AG24" s="1196"/>
    </row>
    <row r="25" spans="1:40" ht="22.35" customHeight="1" x14ac:dyDescent="0.2">
      <c r="A25" s="363"/>
      <c r="B25" s="364"/>
      <c r="C25" s="190" t="s">
        <v>0</v>
      </c>
      <c r="D25" s="190">
        <v>3</v>
      </c>
      <c r="E25" s="190"/>
      <c r="F25" s="190"/>
      <c r="G25" s="190"/>
      <c r="H25" s="190"/>
      <c r="I25" s="199" t="s">
        <v>0</v>
      </c>
      <c r="J25" s="199" t="s">
        <v>0</v>
      </c>
      <c r="K25" s="199" t="s">
        <v>0</v>
      </c>
      <c r="L25" s="199"/>
      <c r="M25" s="190"/>
      <c r="N25" s="190"/>
      <c r="O25" s="848"/>
      <c r="P25" s="848"/>
      <c r="Q25" s="848">
        <v>22</v>
      </c>
      <c r="R25" s="848" t="s">
        <v>0</v>
      </c>
      <c r="S25" s="848" t="s">
        <v>0</v>
      </c>
      <c r="T25" s="848"/>
      <c r="U25" s="848"/>
      <c r="V25" s="190" t="s">
        <v>0</v>
      </c>
      <c r="W25" s="190" t="s">
        <v>0</v>
      </c>
      <c r="X25" s="190"/>
      <c r="Y25" s="362"/>
    </row>
    <row r="26" spans="1:40" ht="22.35" customHeight="1" x14ac:dyDescent="0.2">
      <c r="A26" s="291"/>
      <c r="B26" s="199"/>
      <c r="C26" s="190"/>
      <c r="D26" s="190"/>
      <c r="E26" s="199"/>
      <c r="F26" s="190"/>
      <c r="G26" s="190"/>
      <c r="J26" s="848" t="s">
        <v>0</v>
      </c>
      <c r="L26">
        <v>22</v>
      </c>
      <c r="M26" t="s">
        <v>0</v>
      </c>
      <c r="N26" t="s">
        <v>0</v>
      </c>
      <c r="O26" s="538" t="s">
        <v>0</v>
      </c>
      <c r="P26" s="199" t="s">
        <v>0</v>
      </c>
      <c r="Q26" s="538" t="s">
        <v>0</v>
      </c>
      <c r="R26" s="190"/>
      <c r="S26" s="190"/>
      <c r="T26" s="190"/>
      <c r="U26" s="190"/>
    </row>
    <row r="27" spans="1:40" ht="22.35" customHeight="1" x14ac:dyDescent="0.2">
      <c r="A27" s="291"/>
      <c r="B27" s="199"/>
      <c r="C27" s="190"/>
      <c r="D27" s="190"/>
      <c r="E27" s="190"/>
      <c r="F27" s="190"/>
      <c r="G27" s="190"/>
      <c r="H27" s="190"/>
      <c r="I27" s="190"/>
      <c r="J27" s="220" t="s">
        <v>0</v>
      </c>
      <c r="K27" s="190"/>
      <c r="L27" s="190"/>
      <c r="M27" s="190"/>
      <c r="N27" s="190"/>
      <c r="X27" s="190"/>
      <c r="Y27" s="190"/>
    </row>
    <row r="28" spans="1:40" ht="22.35" customHeight="1" x14ac:dyDescent="0.2">
      <c r="A28" s="291"/>
      <c r="B28" s="199"/>
      <c r="C28" s="190"/>
      <c r="D28" s="190"/>
      <c r="E28" s="190"/>
      <c r="F28" s="190"/>
      <c r="G28" s="190"/>
      <c r="H28" s="190"/>
      <c r="I28" s="190"/>
      <c r="J28" s="190"/>
      <c r="K28" s="190"/>
      <c r="L28" s="190"/>
      <c r="O28" s="192" t="s">
        <v>58</v>
      </c>
    </row>
    <row r="29" spans="1:40" ht="22.35" customHeight="1" x14ac:dyDescent="0.2">
      <c r="A29" s="291"/>
      <c r="B29" s="199"/>
      <c r="C29" s="190"/>
      <c r="D29" s="190"/>
      <c r="E29" s="190"/>
      <c r="F29" s="190"/>
      <c r="G29" s="190"/>
      <c r="H29" s="190"/>
      <c r="I29" s="190"/>
      <c r="J29" s="190"/>
      <c r="K29" s="190"/>
      <c r="L29" s="190"/>
      <c r="M29" s="190"/>
      <c r="N29" s="190"/>
      <c r="O29" s="190"/>
      <c r="P29" s="190"/>
      <c r="Q29" s="190"/>
      <c r="R29" s="190"/>
      <c r="S29" s="190"/>
      <c r="T29" s="190"/>
      <c r="U29" s="190"/>
      <c r="V29" s="190"/>
      <c r="W29" s="190"/>
      <c r="X29" s="190"/>
      <c r="Y29" s="190"/>
    </row>
    <row r="30" spans="1:40" ht="12.75" customHeight="1" thickBot="1" x14ac:dyDescent="0.25">
      <c r="A30" s="158" t="s">
        <v>61</v>
      </c>
      <c r="C30" s="190"/>
      <c r="D30" s="190"/>
      <c r="E30" s="190"/>
      <c r="F30" s="190"/>
      <c r="G30" s="190"/>
      <c r="H30" s="190"/>
      <c r="I30" s="190"/>
      <c r="J30" s="190"/>
      <c r="K30" s="190"/>
      <c r="L30" s="190"/>
      <c r="M30" s="190"/>
      <c r="N30" s="190"/>
      <c r="O30" s="190"/>
      <c r="P30" s="190"/>
      <c r="Q30" s="190"/>
      <c r="R30" s="190"/>
      <c r="S30" s="190"/>
      <c r="T30" s="190"/>
      <c r="U30" s="190"/>
      <c r="V30" s="190"/>
      <c r="W30" s="190"/>
      <c r="X30" s="190"/>
      <c r="Y30" s="72"/>
      <c r="Z30" s="72"/>
      <c r="AA30" s="72"/>
      <c r="AB30" s="72"/>
      <c r="AC30" s="72"/>
      <c r="AD30" s="72"/>
      <c r="AE30" s="72"/>
      <c r="AF30" s="72"/>
      <c r="AG30" s="72"/>
      <c r="AK30" s="1"/>
    </row>
    <row r="31" spans="1:40" ht="28.5" customHeight="1" x14ac:dyDescent="0.2">
      <c r="A31" s="869" t="s">
        <v>62</v>
      </c>
      <c r="B31" s="870"/>
      <c r="C31" s="870"/>
      <c r="D31" s="871" t="s">
        <v>63</v>
      </c>
      <c r="E31" s="872"/>
      <c r="F31" s="872"/>
      <c r="G31" s="872"/>
      <c r="H31" s="872"/>
      <c r="I31" s="872"/>
      <c r="J31" s="872"/>
      <c r="K31" s="872"/>
      <c r="L31" s="872"/>
      <c r="M31" s="873" t="s">
        <v>65</v>
      </c>
      <c r="N31" s="872"/>
      <c r="O31" s="872"/>
      <c r="P31" s="872"/>
      <c r="Q31" s="872"/>
      <c r="R31" s="872"/>
      <c r="S31" s="874"/>
      <c r="T31" s="4927" t="s">
        <v>66</v>
      </c>
      <c r="U31" s="4928"/>
      <c r="V31" s="4928"/>
      <c r="W31" s="4928"/>
      <c r="X31" s="4928"/>
      <c r="Y31" s="4928"/>
      <c r="Z31" s="4929"/>
      <c r="AA31" s="875" t="s">
        <v>67</v>
      </c>
      <c r="AB31" s="876"/>
      <c r="AC31" s="876"/>
      <c r="AD31" s="876"/>
      <c r="AE31" s="876"/>
      <c r="AF31" s="876"/>
      <c r="AG31" s="877"/>
      <c r="AK31" s="1"/>
    </row>
    <row r="32" spans="1:40" ht="22.35" customHeight="1" x14ac:dyDescent="0.2">
      <c r="A32" s="878" t="s">
        <v>68</v>
      </c>
      <c r="B32" s="740"/>
      <c r="C32" s="740"/>
      <c r="D32" s="879" t="s">
        <v>69</v>
      </c>
      <c r="E32" s="880"/>
      <c r="F32" s="743"/>
      <c r="G32" s="743"/>
      <c r="H32" s="743"/>
      <c r="I32" s="743"/>
      <c r="J32" s="743"/>
      <c r="K32" s="743"/>
      <c r="L32" s="787"/>
      <c r="M32" s="881" t="s">
        <v>70</v>
      </c>
      <c r="N32" s="740"/>
      <c r="O32" s="882"/>
      <c r="P32" s="740"/>
      <c r="Q32" s="740"/>
      <c r="R32" s="740"/>
      <c r="S32" s="883"/>
      <c r="T32" s="879" t="s">
        <v>71</v>
      </c>
      <c r="U32" s="743"/>
      <c r="V32" s="880"/>
      <c r="W32" s="743"/>
      <c r="X32" s="743"/>
      <c r="Y32" s="743"/>
      <c r="Z32" s="787"/>
      <c r="AA32" s="159" t="s">
        <v>72</v>
      </c>
      <c r="AD32" s="100"/>
      <c r="AG32" s="103"/>
      <c r="AK32" s="1"/>
    </row>
    <row r="33" spans="1:38" ht="22.35" customHeight="1" x14ac:dyDescent="0.2">
      <c r="A33" s="884" t="s">
        <v>73</v>
      </c>
      <c r="B33" s="743"/>
      <c r="C33" s="743"/>
      <c r="D33" s="885"/>
      <c r="E33" s="743"/>
      <c r="F33" s="743"/>
      <c r="G33" s="787"/>
      <c r="H33" s="792" t="s">
        <v>74</v>
      </c>
      <c r="I33" s="743"/>
      <c r="J33" s="743"/>
      <c r="K33" s="743"/>
      <c r="L33" s="743"/>
      <c r="M33" s="886"/>
      <c r="N33" s="743"/>
      <c r="O33" s="743"/>
      <c r="P33" s="743"/>
      <c r="Q33" s="743"/>
      <c r="R33" s="743"/>
      <c r="S33" s="743"/>
      <c r="T33" s="885"/>
      <c r="U33" s="158" t="s">
        <v>75</v>
      </c>
      <c r="AA33" s="882"/>
      <c r="AB33" s="740"/>
      <c r="AC33" s="740"/>
      <c r="AD33" s="740"/>
      <c r="AE33" s="740"/>
      <c r="AF33" s="740"/>
      <c r="AG33" s="887"/>
      <c r="AK33" s="64"/>
    </row>
    <row r="34" spans="1:38" ht="22.35" customHeight="1" thickBot="1" x14ac:dyDescent="0.25">
      <c r="A34" s="631" t="s">
        <v>76</v>
      </c>
      <c r="B34" s="734"/>
      <c r="C34" s="734"/>
      <c r="D34" s="888"/>
      <c r="E34" s="734"/>
      <c r="F34" s="734"/>
      <c r="G34" s="889"/>
      <c r="H34" s="890" t="s">
        <v>77</v>
      </c>
      <c r="I34" s="889"/>
      <c r="J34" s="734"/>
      <c r="K34" s="734"/>
      <c r="L34" s="734"/>
      <c r="M34" s="891"/>
      <c r="N34" s="734"/>
      <c r="O34" s="734"/>
      <c r="P34" s="734"/>
      <c r="Q34" s="892"/>
      <c r="R34" s="892"/>
      <c r="S34" s="892"/>
      <c r="T34" s="888"/>
      <c r="U34" s="893" t="s">
        <v>78</v>
      </c>
      <c r="V34" s="734"/>
      <c r="W34" s="734"/>
      <c r="X34" s="734"/>
      <c r="Y34" s="734"/>
      <c r="Z34" s="734"/>
      <c r="AA34" s="734"/>
      <c r="AB34" s="734"/>
      <c r="AC34" s="734"/>
      <c r="AD34" s="734"/>
      <c r="AE34" s="734"/>
      <c r="AF34" s="734"/>
      <c r="AG34" s="89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895" t="s">
        <v>28</v>
      </c>
      <c r="B36" s="748" t="s">
        <v>29</v>
      </c>
      <c r="C36" s="796">
        <v>1</v>
      </c>
      <c r="D36" s="796">
        <v>2</v>
      </c>
      <c r="E36" s="796">
        <v>3</v>
      </c>
      <c r="F36" s="795">
        <v>4</v>
      </c>
      <c r="G36" s="795">
        <v>5</v>
      </c>
      <c r="H36" s="795">
        <v>6</v>
      </c>
      <c r="I36" s="796">
        <v>7</v>
      </c>
      <c r="J36" s="796">
        <v>8</v>
      </c>
      <c r="K36" s="796">
        <v>9</v>
      </c>
      <c r="L36" s="796">
        <v>10</v>
      </c>
      <c r="M36" s="795">
        <v>11</v>
      </c>
      <c r="N36" s="795">
        <v>12</v>
      </c>
      <c r="O36" s="796">
        <v>13</v>
      </c>
      <c r="P36" s="796">
        <v>14</v>
      </c>
      <c r="Q36" s="796">
        <v>15</v>
      </c>
      <c r="R36" s="796">
        <v>16</v>
      </c>
      <c r="S36" s="796">
        <v>17</v>
      </c>
      <c r="T36" s="795">
        <v>18</v>
      </c>
      <c r="U36" s="795">
        <v>19</v>
      </c>
      <c r="V36" s="796">
        <v>20</v>
      </c>
      <c r="W36" s="796">
        <v>21</v>
      </c>
      <c r="X36" s="796">
        <v>22</v>
      </c>
      <c r="Y36" s="796">
        <v>23</v>
      </c>
      <c r="Z36" s="796">
        <v>24</v>
      </c>
      <c r="AA36" s="795">
        <v>25</v>
      </c>
      <c r="AB36" s="795">
        <v>26</v>
      </c>
      <c r="AC36" s="796">
        <v>27</v>
      </c>
      <c r="AD36" s="796">
        <v>28</v>
      </c>
      <c r="AE36" s="796">
        <v>29</v>
      </c>
      <c r="AF36" s="796">
        <v>30</v>
      </c>
      <c r="AG36" s="797"/>
      <c r="AH36" s="173"/>
      <c r="AI36" s="174"/>
      <c r="AL36" t="s">
        <v>0</v>
      </c>
    </row>
    <row r="37" spans="1:38" ht="22.35" customHeight="1" thickBot="1" x14ac:dyDescent="0.25">
      <c r="A37" s="896">
        <v>1</v>
      </c>
      <c r="B37" s="897" t="s">
        <v>79</v>
      </c>
      <c r="C37" s="900">
        <v>5</v>
      </c>
      <c r="D37" s="899">
        <v>5</v>
      </c>
      <c r="E37" s="898">
        <v>5</v>
      </c>
      <c r="F37" s="898"/>
      <c r="G37" s="900"/>
      <c r="H37" s="900">
        <v>10</v>
      </c>
      <c r="I37" s="900">
        <v>10</v>
      </c>
      <c r="J37" s="899">
        <v>10</v>
      </c>
      <c r="K37" s="900">
        <v>10</v>
      </c>
      <c r="L37" s="900">
        <v>10</v>
      </c>
      <c r="M37" s="900" t="s">
        <v>81</v>
      </c>
      <c r="N37" s="900" t="s">
        <v>81</v>
      </c>
      <c r="O37" s="1038">
        <v>21</v>
      </c>
      <c r="P37" s="1038">
        <v>21</v>
      </c>
      <c r="Q37" s="1038">
        <v>21</v>
      </c>
      <c r="R37" s="899" t="s">
        <v>36</v>
      </c>
      <c r="S37" s="900" t="s">
        <v>36</v>
      </c>
      <c r="T37" s="900" t="s">
        <v>57</v>
      </c>
      <c r="U37" s="900" t="s">
        <v>57</v>
      </c>
      <c r="V37" s="1038">
        <v>7</v>
      </c>
      <c r="W37" s="1038">
        <v>7</v>
      </c>
      <c r="X37" s="1038">
        <v>7</v>
      </c>
      <c r="Y37" s="1038">
        <v>7</v>
      </c>
      <c r="Z37" s="1038">
        <v>7</v>
      </c>
      <c r="AA37" s="900"/>
      <c r="AB37" s="901"/>
      <c r="AC37" s="1197">
        <v>4</v>
      </c>
      <c r="AD37" s="901">
        <v>4</v>
      </c>
      <c r="AE37" s="900" t="s">
        <v>257</v>
      </c>
      <c r="AF37" s="900" t="s">
        <v>257</v>
      </c>
      <c r="AG37" s="903"/>
      <c r="AH37" s="178"/>
      <c r="AI37" s="179"/>
    </row>
    <row r="38" spans="1:38" ht="22.35" customHeight="1" x14ac:dyDescent="0.2">
      <c r="A38" s="904">
        <v>6</v>
      </c>
      <c r="B38" s="1182" t="s">
        <v>84</v>
      </c>
      <c r="C38" s="809">
        <v>3</v>
      </c>
      <c r="D38" s="809">
        <v>3</v>
      </c>
      <c r="E38" s="809">
        <v>3</v>
      </c>
      <c r="F38" s="934"/>
      <c r="G38" s="1198"/>
      <c r="H38" s="820">
        <v>11</v>
      </c>
      <c r="I38" s="820">
        <v>11</v>
      </c>
      <c r="J38" s="820">
        <v>11</v>
      </c>
      <c r="K38" s="820">
        <v>11</v>
      </c>
      <c r="L38" s="820">
        <v>11</v>
      </c>
      <c r="M38" s="820" t="s">
        <v>94</v>
      </c>
      <c r="N38" s="820" t="s">
        <v>344</v>
      </c>
      <c r="O38" s="741" t="s">
        <v>36</v>
      </c>
      <c r="P38" s="741" t="s">
        <v>36</v>
      </c>
      <c r="Q38" s="934" t="s">
        <v>36</v>
      </c>
      <c r="R38" s="934" t="s">
        <v>36</v>
      </c>
      <c r="S38" s="934" t="s">
        <v>36</v>
      </c>
      <c r="T38" s="809" t="s">
        <v>83</v>
      </c>
      <c r="U38" s="809" t="s">
        <v>83</v>
      </c>
      <c r="V38" s="809">
        <v>8</v>
      </c>
      <c r="W38" s="810">
        <v>8</v>
      </c>
      <c r="X38" s="810">
        <v>8</v>
      </c>
      <c r="Y38" s="810">
        <v>8</v>
      </c>
      <c r="Z38" s="810">
        <v>8</v>
      </c>
      <c r="AA38" s="809"/>
      <c r="AB38" s="809"/>
      <c r="AC38" s="934" t="s">
        <v>36</v>
      </c>
      <c r="AD38" s="934" t="s">
        <v>36</v>
      </c>
      <c r="AE38" s="934" t="s">
        <v>36</v>
      </c>
      <c r="AF38" s="934" t="s">
        <v>36</v>
      </c>
      <c r="AG38" s="1199"/>
      <c r="AH38" s="178"/>
      <c r="AI38" s="179"/>
    </row>
    <row r="39" spans="1:38" ht="22.35" customHeight="1" thickBot="1" x14ac:dyDescent="0.25">
      <c r="A39" s="673">
        <v>11</v>
      </c>
      <c r="B39" s="905" t="s">
        <v>85</v>
      </c>
      <c r="C39" s="911">
        <v>1</v>
      </c>
      <c r="D39" s="911">
        <v>1</v>
      </c>
      <c r="E39" s="911">
        <v>1</v>
      </c>
      <c r="F39" s="911"/>
      <c r="G39" s="911"/>
      <c r="H39" s="911">
        <v>9</v>
      </c>
      <c r="I39" s="911">
        <v>9</v>
      </c>
      <c r="J39" s="911">
        <v>9</v>
      </c>
      <c r="K39" s="911">
        <v>9</v>
      </c>
      <c r="L39" s="911">
        <v>9</v>
      </c>
      <c r="M39" s="911" t="s">
        <v>80</v>
      </c>
      <c r="N39" s="911" t="s">
        <v>81</v>
      </c>
      <c r="O39" s="907" t="s">
        <v>32</v>
      </c>
      <c r="P39" s="907" t="s">
        <v>32</v>
      </c>
      <c r="Q39" s="906" t="s">
        <v>32</v>
      </c>
      <c r="R39" s="907" t="s">
        <v>32</v>
      </c>
      <c r="S39" s="907" t="s">
        <v>32</v>
      </c>
      <c r="T39" s="910" t="s">
        <v>0</v>
      </c>
      <c r="U39" s="910" t="s">
        <v>0</v>
      </c>
      <c r="V39" s="907" t="s">
        <v>32</v>
      </c>
      <c r="W39" s="907" t="s">
        <v>32</v>
      </c>
      <c r="X39" s="906" t="s">
        <v>32</v>
      </c>
      <c r="Y39" s="907" t="s">
        <v>32</v>
      </c>
      <c r="Z39" s="907" t="s">
        <v>32</v>
      </c>
      <c r="AA39" s="908"/>
      <c r="AB39" s="930"/>
      <c r="AC39" s="907" t="s">
        <v>32</v>
      </c>
      <c r="AD39" s="907" t="s">
        <v>32</v>
      </c>
      <c r="AE39" s="906" t="s">
        <v>32</v>
      </c>
      <c r="AF39" s="907" t="s">
        <v>32</v>
      </c>
      <c r="AG39" s="645"/>
      <c r="AH39" s="178"/>
      <c r="AI39" s="179"/>
    </row>
    <row r="40" spans="1:38" ht="22.35" customHeight="1" x14ac:dyDescent="0.2">
      <c r="A40" s="896">
        <v>2</v>
      </c>
      <c r="B40" s="172" t="s">
        <v>88</v>
      </c>
      <c r="C40" s="913">
        <v>10</v>
      </c>
      <c r="D40" s="913">
        <v>10</v>
      </c>
      <c r="E40" s="913">
        <v>10</v>
      </c>
      <c r="F40" s="913" t="s">
        <v>81</v>
      </c>
      <c r="G40" s="913" t="s">
        <v>81</v>
      </c>
      <c r="H40" s="900" t="s">
        <v>36</v>
      </c>
      <c r="I40" s="900" t="s">
        <v>36</v>
      </c>
      <c r="J40" s="899" t="s">
        <v>36</v>
      </c>
      <c r="K40" s="899" t="s">
        <v>36</v>
      </c>
      <c r="L40" s="900" t="s">
        <v>36</v>
      </c>
      <c r="M40" s="1200" t="s">
        <v>57</v>
      </c>
      <c r="N40" s="1200" t="s">
        <v>57</v>
      </c>
      <c r="O40" s="1066">
        <v>7</v>
      </c>
      <c r="P40" s="1066">
        <v>7</v>
      </c>
      <c r="Q40" s="1066">
        <v>7</v>
      </c>
      <c r="R40" s="1066">
        <v>7</v>
      </c>
      <c r="S40" s="1066">
        <v>7</v>
      </c>
      <c r="T40" s="1066"/>
      <c r="U40" s="1066"/>
      <c r="V40" s="1201">
        <v>4</v>
      </c>
      <c r="W40" s="1201">
        <v>4</v>
      </c>
      <c r="X40" s="1201">
        <v>4</v>
      </c>
      <c r="Y40" s="1201">
        <v>4</v>
      </c>
      <c r="Z40" s="1201">
        <v>4</v>
      </c>
      <c r="AA40" s="1201"/>
      <c r="AB40" s="1201"/>
      <c r="AC40" s="1197">
        <v>3</v>
      </c>
      <c r="AD40" s="1197">
        <v>3</v>
      </c>
      <c r="AE40" s="1197">
        <v>3</v>
      </c>
      <c r="AF40" s="1197">
        <v>3</v>
      </c>
      <c r="AG40" s="1202"/>
      <c r="AH40" s="178"/>
      <c r="AI40" s="179"/>
    </row>
    <row r="41" spans="1:38" ht="22.35" customHeight="1" x14ac:dyDescent="0.2">
      <c r="A41" s="904">
        <v>7</v>
      </c>
      <c r="B41" s="819" t="s">
        <v>91</v>
      </c>
      <c r="C41" s="815">
        <v>11</v>
      </c>
      <c r="D41" s="815">
        <v>11</v>
      </c>
      <c r="E41" s="815">
        <v>11</v>
      </c>
      <c r="F41" s="815" t="s">
        <v>94</v>
      </c>
      <c r="G41" s="868" t="s">
        <v>94</v>
      </c>
      <c r="H41" s="868" t="s">
        <v>36</v>
      </c>
      <c r="I41" s="814" t="s">
        <v>36</v>
      </c>
      <c r="J41" s="828" t="s">
        <v>36</v>
      </c>
      <c r="K41" s="811">
        <v>2</v>
      </c>
      <c r="L41" s="811">
        <v>2</v>
      </c>
      <c r="M41" s="811" t="s">
        <v>37</v>
      </c>
      <c r="N41" s="815" t="s">
        <v>37</v>
      </c>
      <c r="O41" s="815" t="s">
        <v>36</v>
      </c>
      <c r="P41" s="815" t="s">
        <v>36</v>
      </c>
      <c r="Q41" s="815" t="s">
        <v>36</v>
      </c>
      <c r="R41" s="815" t="s">
        <v>36</v>
      </c>
      <c r="S41" s="811" t="s">
        <v>36</v>
      </c>
      <c r="T41" s="811"/>
      <c r="U41" s="811"/>
      <c r="V41" s="811">
        <v>4</v>
      </c>
      <c r="W41" s="812">
        <v>4</v>
      </c>
      <c r="X41" s="811">
        <v>4</v>
      </c>
      <c r="Y41" s="815">
        <v>4</v>
      </c>
      <c r="Z41" s="815">
        <v>4</v>
      </c>
      <c r="AA41" s="815" t="s">
        <v>35</v>
      </c>
      <c r="AB41" s="815" t="s">
        <v>35</v>
      </c>
      <c r="AC41" s="815" t="s">
        <v>36</v>
      </c>
      <c r="AD41" s="811" t="s">
        <v>36</v>
      </c>
      <c r="AE41" s="813">
        <v>2</v>
      </c>
      <c r="AF41" s="813">
        <v>2</v>
      </c>
      <c r="AG41" s="917"/>
      <c r="AH41" s="178"/>
      <c r="AI41" s="179"/>
    </row>
    <row r="42" spans="1:38" ht="22.35" customHeight="1" thickBot="1" x14ac:dyDescent="0.25">
      <c r="A42" s="673">
        <v>12</v>
      </c>
      <c r="B42" s="539" t="s">
        <v>93</v>
      </c>
      <c r="C42">
        <v>9</v>
      </c>
      <c r="D42" s="907">
        <v>9</v>
      </c>
      <c r="E42" s="907">
        <v>9</v>
      </c>
      <c r="F42" s="907" t="s">
        <v>80</v>
      </c>
      <c r="G42" s="907" t="s">
        <v>81</v>
      </c>
      <c r="H42" s="907" t="s">
        <v>36</v>
      </c>
      <c r="I42" s="920" t="s">
        <v>264</v>
      </c>
      <c r="J42" s="920" t="s">
        <v>176</v>
      </c>
      <c r="K42" s="920" t="s">
        <v>36</v>
      </c>
      <c r="L42" s="1203" t="s">
        <v>36</v>
      </c>
      <c r="M42" s="908" t="s">
        <v>82</v>
      </c>
      <c r="N42" s="908" t="s">
        <v>83</v>
      </c>
      <c r="O42" s="908">
        <v>6</v>
      </c>
      <c r="P42" s="908">
        <v>6</v>
      </c>
      <c r="Q42" s="908">
        <v>6</v>
      </c>
      <c r="R42" s="908">
        <v>6</v>
      </c>
      <c r="S42" s="908">
        <v>6</v>
      </c>
      <c r="T42" s="920"/>
      <c r="U42" s="920"/>
      <c r="V42" s="930" t="s">
        <v>36</v>
      </c>
      <c r="W42" s="930" t="s">
        <v>36</v>
      </c>
      <c r="X42" s="908" t="s">
        <v>36</v>
      </c>
      <c r="Y42" s="908" t="s">
        <v>36</v>
      </c>
      <c r="Z42" s="908" t="s">
        <v>36</v>
      </c>
      <c r="AA42" s="908"/>
      <c r="AB42" s="908"/>
      <c r="AC42" s="920">
        <v>5</v>
      </c>
      <c r="AD42" s="796">
        <v>5</v>
      </c>
      <c r="AE42" s="796">
        <v>5</v>
      </c>
      <c r="AF42" s="796">
        <v>5</v>
      </c>
      <c r="AG42" s="797"/>
      <c r="AH42" s="178"/>
      <c r="AI42" s="179"/>
    </row>
    <row r="43" spans="1:38" ht="22.35" customHeight="1" x14ac:dyDescent="0.2">
      <c r="A43" s="896">
        <v>3</v>
      </c>
      <c r="B43" s="921" t="s">
        <v>96</v>
      </c>
      <c r="C43" s="899" t="s">
        <v>36</v>
      </c>
      <c r="D43" s="901" t="s">
        <v>36</v>
      </c>
      <c r="E43" s="900" t="s">
        <v>36</v>
      </c>
      <c r="F43" s="900" t="s">
        <v>57</v>
      </c>
      <c r="G43" s="900" t="s">
        <v>57</v>
      </c>
      <c r="H43" s="900">
        <v>7</v>
      </c>
      <c r="I43" s="1198">
        <v>7</v>
      </c>
      <c r="J43" s="1198">
        <v>7</v>
      </c>
      <c r="K43" s="1198">
        <v>7</v>
      </c>
      <c r="L43" s="1198">
        <v>7</v>
      </c>
      <c r="M43" s="1198"/>
      <c r="N43" s="1198"/>
      <c r="O43" s="1198">
        <v>4</v>
      </c>
      <c r="P43" s="1198">
        <v>4</v>
      </c>
      <c r="Q43" s="1198">
        <v>4</v>
      </c>
      <c r="R43" s="1198">
        <v>4</v>
      </c>
      <c r="S43" s="1198">
        <v>4</v>
      </c>
      <c r="T43" s="1198"/>
      <c r="U43" s="1198"/>
      <c r="V43" s="1198">
        <v>3</v>
      </c>
      <c r="W43" s="1198">
        <v>3</v>
      </c>
      <c r="X43" s="1198">
        <v>3</v>
      </c>
      <c r="Y43" s="1198">
        <v>3</v>
      </c>
      <c r="Z43" s="1198">
        <v>3</v>
      </c>
      <c r="AA43" s="1198"/>
      <c r="AB43" s="1198"/>
      <c r="AC43" s="1198">
        <v>11</v>
      </c>
      <c r="AD43" s="1198">
        <v>11</v>
      </c>
      <c r="AE43" s="1198">
        <v>11</v>
      </c>
      <c r="AF43" s="1198">
        <v>11</v>
      </c>
      <c r="AG43" s="1204"/>
      <c r="AH43" s="178"/>
      <c r="AI43" s="179"/>
    </row>
    <row r="44" spans="1:38" ht="22.35" customHeight="1" x14ac:dyDescent="0.2">
      <c r="A44" s="904">
        <v>8</v>
      </c>
      <c r="B44" s="819" t="s">
        <v>97</v>
      </c>
      <c r="C44" s="928" t="s">
        <v>36</v>
      </c>
      <c r="D44" s="928" t="s">
        <v>36</v>
      </c>
      <c r="E44" s="928" t="s">
        <v>36</v>
      </c>
      <c r="F44" s="928" t="s">
        <v>83</v>
      </c>
      <c r="G44" s="928" t="s">
        <v>83</v>
      </c>
      <c r="H44" s="928">
        <v>8</v>
      </c>
      <c r="I44" s="928">
        <v>8</v>
      </c>
      <c r="J44" s="928">
        <v>8</v>
      </c>
      <c r="K44" s="928">
        <v>8</v>
      </c>
      <c r="L44" s="1205">
        <v>8</v>
      </c>
      <c r="M44" s="1206"/>
      <c r="N44" s="1206"/>
      <c r="O44" s="828" t="s">
        <v>36</v>
      </c>
      <c r="P44" s="828" t="s">
        <v>36</v>
      </c>
      <c r="Q44" s="741" t="s">
        <v>36</v>
      </c>
      <c r="R44" s="828" t="s">
        <v>36</v>
      </c>
      <c r="S44" s="828" t="s">
        <v>36</v>
      </c>
      <c r="T44" s="828"/>
      <c r="U44" s="828"/>
      <c r="V44" s="868">
        <v>1</v>
      </c>
      <c r="W44" s="868">
        <v>1</v>
      </c>
      <c r="X44" s="814">
        <v>1</v>
      </c>
      <c r="Y44" s="868">
        <v>1</v>
      </c>
      <c r="Z44" s="868">
        <v>1</v>
      </c>
      <c r="AA44" s="868"/>
      <c r="AB44" s="868"/>
      <c r="AC44" s="868">
        <v>9</v>
      </c>
      <c r="AD44" s="815">
        <v>9</v>
      </c>
      <c r="AE44" s="815">
        <v>9</v>
      </c>
      <c r="AF44" s="816">
        <v>9</v>
      </c>
      <c r="AG44" s="917"/>
      <c r="AH44" s="178"/>
      <c r="AI44" s="179"/>
    </row>
    <row r="45" spans="1:38" ht="22.35" customHeight="1" thickBot="1" x14ac:dyDescent="0.25">
      <c r="A45" s="673">
        <v>13</v>
      </c>
      <c r="B45" s="905" t="s">
        <v>98</v>
      </c>
      <c r="C45" s="796" t="s">
        <v>36</v>
      </c>
      <c r="D45" s="796" t="s">
        <v>36</v>
      </c>
      <c r="E45" s="908" t="s">
        <v>36</v>
      </c>
      <c r="F45" s="908" t="s">
        <v>82</v>
      </c>
      <c r="G45" s="908" t="s">
        <v>83</v>
      </c>
      <c r="H45" s="908">
        <v>6</v>
      </c>
      <c r="I45" s="908">
        <v>6</v>
      </c>
      <c r="J45" s="796">
        <v>6</v>
      </c>
      <c r="K45" s="908">
        <v>6</v>
      </c>
      <c r="L45" s="930">
        <v>6</v>
      </c>
      <c r="M45" s="908"/>
      <c r="N45" s="930"/>
      <c r="O45" s="930" t="s">
        <v>36</v>
      </c>
      <c r="P45" s="930" t="s">
        <v>36</v>
      </c>
      <c r="Q45" s="908" t="s">
        <v>36</v>
      </c>
      <c r="R45" s="908" t="s">
        <v>36</v>
      </c>
      <c r="S45" s="908" t="s">
        <v>36</v>
      </c>
      <c r="T45" s="908"/>
      <c r="U45" s="908"/>
      <c r="V45" s="908">
        <v>5</v>
      </c>
      <c r="W45" s="908">
        <v>5</v>
      </c>
      <c r="X45" s="908">
        <v>5</v>
      </c>
      <c r="Y45" s="796">
        <v>5</v>
      </c>
      <c r="Z45" s="1207">
        <v>5</v>
      </c>
      <c r="AA45" s="908"/>
      <c r="AB45" s="908"/>
      <c r="AC45" s="908">
        <v>10</v>
      </c>
      <c r="AD45" s="908">
        <v>10</v>
      </c>
      <c r="AE45" s="796">
        <v>10</v>
      </c>
      <c r="AF45" s="908">
        <v>10</v>
      </c>
      <c r="AG45" s="645"/>
      <c r="AH45" s="178"/>
      <c r="AI45" s="179"/>
    </row>
    <row r="46" spans="1:38" ht="22.35" customHeight="1" x14ac:dyDescent="0.2">
      <c r="A46" s="896">
        <v>4</v>
      </c>
      <c r="B46" s="933" t="s">
        <v>99</v>
      </c>
      <c r="C46" s="900">
        <v>7</v>
      </c>
      <c r="D46" s="901">
        <v>7</v>
      </c>
      <c r="E46" s="1208">
        <v>7</v>
      </c>
      <c r="F46" s="899"/>
      <c r="G46" s="899"/>
      <c r="H46" s="899">
        <v>4</v>
      </c>
      <c r="I46" s="1209">
        <v>4</v>
      </c>
      <c r="J46" s="1209">
        <v>4</v>
      </c>
      <c r="K46" s="1209">
        <v>4</v>
      </c>
      <c r="L46" s="1209">
        <v>4</v>
      </c>
      <c r="M46" s="899"/>
      <c r="N46" s="899"/>
      <c r="O46" s="1210" t="s">
        <v>345</v>
      </c>
      <c r="P46" s="899">
        <v>3</v>
      </c>
      <c r="Q46" s="899">
        <v>3</v>
      </c>
      <c r="R46" s="899">
        <v>3</v>
      </c>
      <c r="S46" s="899">
        <v>3</v>
      </c>
      <c r="T46" s="1038" t="s">
        <v>154</v>
      </c>
      <c r="U46" s="900"/>
      <c r="V46" s="1211">
        <v>11</v>
      </c>
      <c r="W46" s="900">
        <v>11</v>
      </c>
      <c r="X46" s="900">
        <v>11</v>
      </c>
      <c r="Y46" s="899">
        <v>11</v>
      </c>
      <c r="Z46" s="900">
        <v>11</v>
      </c>
      <c r="AA46" s="900" t="s">
        <v>94</v>
      </c>
      <c r="AB46" s="900" t="s">
        <v>94</v>
      </c>
      <c r="AC46" s="900" t="s">
        <v>36</v>
      </c>
      <c r="AD46" s="1038" t="s">
        <v>36</v>
      </c>
      <c r="AE46" s="1038" t="s">
        <v>36</v>
      </c>
      <c r="AF46" s="1038" t="s">
        <v>36</v>
      </c>
      <c r="AG46" s="903"/>
      <c r="AH46" s="178"/>
      <c r="AI46" s="179"/>
    </row>
    <row r="47" spans="1:38" ht="22.35" customHeight="1" x14ac:dyDescent="0.2">
      <c r="A47" s="904">
        <v>9</v>
      </c>
      <c r="B47" s="819" t="s">
        <v>100</v>
      </c>
      <c r="C47" s="868">
        <v>8</v>
      </c>
      <c r="D47" s="868">
        <v>8</v>
      </c>
      <c r="E47" s="868">
        <v>8</v>
      </c>
      <c r="F47" s="868"/>
      <c r="G47" s="868"/>
      <c r="H47" s="868" t="s">
        <v>36</v>
      </c>
      <c r="I47" s="868" t="s">
        <v>36</v>
      </c>
      <c r="J47" s="868" t="s">
        <v>36</v>
      </c>
      <c r="K47" s="868" t="s">
        <v>36</v>
      </c>
      <c r="L47" s="868" t="s">
        <v>36</v>
      </c>
      <c r="M47" s="868"/>
      <c r="N47" s="868"/>
      <c r="O47" s="868">
        <v>1</v>
      </c>
      <c r="P47" s="868">
        <v>1</v>
      </c>
      <c r="Q47" s="814">
        <v>1</v>
      </c>
      <c r="R47" s="868">
        <v>1</v>
      </c>
      <c r="S47" s="868">
        <v>1</v>
      </c>
      <c r="T47" s="868"/>
      <c r="U47" s="868"/>
      <c r="V47" s="868">
        <v>9</v>
      </c>
      <c r="W47" s="868">
        <v>9</v>
      </c>
      <c r="X47" s="868">
        <v>9</v>
      </c>
      <c r="Y47" s="868">
        <v>9</v>
      </c>
      <c r="Z47" s="868">
        <v>9</v>
      </c>
      <c r="AA47" s="868" t="s">
        <v>80</v>
      </c>
      <c r="AB47" s="868" t="s">
        <v>81</v>
      </c>
      <c r="AC47" s="868" t="s">
        <v>36</v>
      </c>
      <c r="AD47" s="868" t="s">
        <v>36</v>
      </c>
      <c r="AE47" s="868" t="s">
        <v>36</v>
      </c>
      <c r="AF47" s="868" t="s">
        <v>36</v>
      </c>
      <c r="AG47" s="917"/>
      <c r="AH47" s="178"/>
      <c r="AI47" s="179"/>
    </row>
    <row r="48" spans="1:38" ht="22.35" customHeight="1" thickBot="1" x14ac:dyDescent="0.25">
      <c r="A48" s="673">
        <v>14</v>
      </c>
      <c r="B48" s="905" t="s">
        <v>102</v>
      </c>
      <c r="C48" s="796">
        <v>6</v>
      </c>
      <c r="D48" s="908">
        <v>6</v>
      </c>
      <c r="E48" s="908">
        <v>6</v>
      </c>
      <c r="F48" s="908"/>
      <c r="G48" s="930"/>
      <c r="H48" s="930" t="s">
        <v>36</v>
      </c>
      <c r="I48" s="1212" t="s">
        <v>36</v>
      </c>
      <c r="J48" s="1212" t="s">
        <v>36</v>
      </c>
      <c r="K48" s="1212" t="s">
        <v>36</v>
      </c>
      <c r="L48" s="1212" t="s">
        <v>36</v>
      </c>
      <c r="M48" s="908"/>
      <c r="N48" s="908"/>
      <c r="O48" s="796">
        <v>5</v>
      </c>
      <c r="P48" s="908">
        <v>5</v>
      </c>
      <c r="Q48" s="908">
        <v>5</v>
      </c>
      <c r="R48" s="796">
        <v>5</v>
      </c>
      <c r="S48" s="908">
        <v>5</v>
      </c>
      <c r="T48" s="908"/>
      <c r="U48" s="908"/>
      <c r="V48" s="908">
        <v>10</v>
      </c>
      <c r="W48" s="908">
        <v>10</v>
      </c>
      <c r="X48" s="796">
        <v>10</v>
      </c>
      <c r="Y48" s="908">
        <v>10</v>
      </c>
      <c r="Z48" s="908">
        <v>10</v>
      </c>
      <c r="AA48" s="908" t="s">
        <v>81</v>
      </c>
      <c r="AB48" s="908" t="s">
        <v>81</v>
      </c>
      <c r="AC48" s="919">
        <v>11</v>
      </c>
      <c r="AD48" s="937" t="s">
        <v>346</v>
      </c>
      <c r="AE48" s="937" t="s">
        <v>346</v>
      </c>
      <c r="AF48" s="919">
        <v>11</v>
      </c>
      <c r="AG48" s="797"/>
      <c r="AH48" s="178"/>
      <c r="AI48" s="179"/>
    </row>
    <row r="49" spans="1:46" ht="22.35" customHeight="1" x14ac:dyDescent="0.2">
      <c r="A49" s="896">
        <v>5</v>
      </c>
      <c r="B49" s="819" t="s">
        <v>103</v>
      </c>
      <c r="C49" s="901">
        <v>4</v>
      </c>
      <c r="D49" s="900">
        <v>4</v>
      </c>
      <c r="E49" s="900">
        <v>4</v>
      </c>
      <c r="F49" s="901"/>
      <c r="G49" s="901"/>
      <c r="H49" s="901">
        <v>3</v>
      </c>
      <c r="I49" s="901">
        <v>3</v>
      </c>
      <c r="J49" s="901">
        <v>3</v>
      </c>
      <c r="K49" s="900">
        <v>3</v>
      </c>
      <c r="L49" s="1198" t="s">
        <v>345</v>
      </c>
      <c r="M49" s="1213"/>
      <c r="N49" s="1213"/>
      <c r="O49" s="1213">
        <v>11</v>
      </c>
      <c r="P49" s="1213">
        <v>11</v>
      </c>
      <c r="Q49" s="900">
        <v>11</v>
      </c>
      <c r="R49" s="899">
        <v>11</v>
      </c>
      <c r="S49" s="900">
        <v>11</v>
      </c>
      <c r="T49" s="900" t="s">
        <v>94</v>
      </c>
      <c r="U49" s="901" t="s">
        <v>94</v>
      </c>
      <c r="V49" s="901" t="s">
        <v>36</v>
      </c>
      <c r="W49" s="901" t="s">
        <v>36</v>
      </c>
      <c r="X49" s="901" t="s">
        <v>36</v>
      </c>
      <c r="Y49" s="940" t="s">
        <v>36</v>
      </c>
      <c r="Z49" s="901" t="s">
        <v>36</v>
      </c>
      <c r="AA49" s="901" t="s">
        <v>83</v>
      </c>
      <c r="AB49" s="901" t="s">
        <v>83</v>
      </c>
      <c r="AC49" s="901">
        <v>8</v>
      </c>
      <c r="AD49" s="900">
        <v>8</v>
      </c>
      <c r="AE49" s="900">
        <v>8</v>
      </c>
      <c r="AF49" s="899">
        <v>8</v>
      </c>
      <c r="AG49" s="941"/>
      <c r="AH49" s="178"/>
      <c r="AI49" s="179"/>
      <c r="AL49" t="s">
        <v>347</v>
      </c>
    </row>
    <row r="50" spans="1:46" ht="22.35" customHeight="1" x14ac:dyDescent="0.2">
      <c r="A50" s="904">
        <v>10</v>
      </c>
      <c r="B50" s="819" t="s">
        <v>104</v>
      </c>
      <c r="C50" s="868" t="s">
        <v>36</v>
      </c>
      <c r="D50" s="868" t="s">
        <v>36</v>
      </c>
      <c r="E50" s="868" t="s">
        <v>36</v>
      </c>
      <c r="F50" s="815"/>
      <c r="G50" s="809"/>
      <c r="H50" s="1069">
        <v>1</v>
      </c>
      <c r="I50" s="1069">
        <v>1</v>
      </c>
      <c r="J50" s="1069">
        <v>1</v>
      </c>
      <c r="K50" s="1069">
        <v>1</v>
      </c>
      <c r="L50" s="1069">
        <v>1</v>
      </c>
      <c r="M50" s="809"/>
      <c r="N50" s="809"/>
      <c r="O50" s="928">
        <v>9</v>
      </c>
      <c r="P50" s="928">
        <v>9</v>
      </c>
      <c r="Q50" s="928">
        <v>9</v>
      </c>
      <c r="R50" s="928">
        <v>9</v>
      </c>
      <c r="S50" s="928">
        <v>9</v>
      </c>
      <c r="T50" s="928" t="s">
        <v>80</v>
      </c>
      <c r="U50" s="928" t="s">
        <v>81</v>
      </c>
      <c r="V50" s="928" t="s">
        <v>36</v>
      </c>
      <c r="W50" s="928" t="s">
        <v>36</v>
      </c>
      <c r="X50" s="928" t="s">
        <v>36</v>
      </c>
      <c r="Y50" s="928" t="s">
        <v>36</v>
      </c>
      <c r="Z50" s="928" t="s">
        <v>36</v>
      </c>
      <c r="AA50" s="928" t="s">
        <v>82</v>
      </c>
      <c r="AB50" s="928" t="s">
        <v>83</v>
      </c>
      <c r="AC50" s="1214">
        <v>6</v>
      </c>
      <c r="AD50" s="1214">
        <v>6</v>
      </c>
      <c r="AE50" s="1214">
        <v>6</v>
      </c>
      <c r="AF50" s="1214">
        <v>6</v>
      </c>
      <c r="AG50" s="1215"/>
      <c r="AH50" s="178"/>
      <c r="AI50" s="179"/>
    </row>
    <row r="51" spans="1:46" ht="22.35" customHeight="1" thickBot="1" x14ac:dyDescent="0.25">
      <c r="A51" s="673">
        <v>15</v>
      </c>
      <c r="B51" s="905" t="s">
        <v>105</v>
      </c>
      <c r="C51" s="908" t="s">
        <v>36</v>
      </c>
      <c r="D51" s="908" t="s">
        <v>36</v>
      </c>
      <c r="E51" s="908" t="s">
        <v>36</v>
      </c>
      <c r="F51" s="930"/>
      <c r="G51" s="930"/>
      <c r="H51" s="930">
        <v>5</v>
      </c>
      <c r="I51" s="930">
        <v>5</v>
      </c>
      <c r="J51" s="930">
        <v>5</v>
      </c>
      <c r="K51" s="796">
        <v>5</v>
      </c>
      <c r="L51" s="908">
        <v>5</v>
      </c>
      <c r="M51" s="908"/>
      <c r="N51" s="908"/>
      <c r="O51" s="907">
        <v>10</v>
      </c>
      <c r="P51" s="907">
        <v>10</v>
      </c>
      <c r="Q51" s="907">
        <v>10</v>
      </c>
      <c r="R51" s="907">
        <v>10</v>
      </c>
      <c r="S51" s="907">
        <v>10</v>
      </c>
      <c r="T51" s="907" t="s">
        <v>81</v>
      </c>
      <c r="U51" s="906" t="s">
        <v>348</v>
      </c>
      <c r="V51" s="908" t="s">
        <v>36</v>
      </c>
      <c r="W51" s="908" t="s">
        <v>36</v>
      </c>
      <c r="X51" s="908" t="s">
        <v>36</v>
      </c>
      <c r="Y51" s="796" t="s">
        <v>36</v>
      </c>
      <c r="Z51" s="908" t="s">
        <v>36</v>
      </c>
      <c r="AA51" s="908" t="s">
        <v>57</v>
      </c>
      <c r="AB51" s="908" t="s">
        <v>57</v>
      </c>
      <c r="AC51" s="908">
        <v>7</v>
      </c>
      <c r="AD51" s="908">
        <v>7</v>
      </c>
      <c r="AE51" s="796">
        <v>7</v>
      </c>
      <c r="AF51" s="930">
        <v>7</v>
      </c>
      <c r="AG51" s="635"/>
      <c r="AH51" s="178"/>
      <c r="AI51" s="179"/>
    </row>
    <row r="52" spans="1:46"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6"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6" ht="22.35" customHeight="1" x14ac:dyDescent="0.2">
      <c r="A54" s="753" t="s">
        <v>28</v>
      </c>
      <c r="B54" s="753"/>
      <c r="C54" s="741"/>
      <c r="D54" s="753" t="s">
        <v>107</v>
      </c>
      <c r="E54" s="751"/>
      <c r="F54" s="741"/>
      <c r="G54" s="753" t="s">
        <v>108</v>
      </c>
      <c r="H54" s="751"/>
      <c r="I54" s="741"/>
      <c r="J54" s="753" t="s">
        <v>109</v>
      </c>
      <c r="K54" s="751"/>
      <c r="L54" s="741"/>
      <c r="M54" s="753" t="s">
        <v>110</v>
      </c>
      <c r="N54" s="751"/>
      <c r="O54" s="741"/>
      <c r="P54" s="753" t="s">
        <v>111</v>
      </c>
      <c r="Q54" s="751"/>
      <c r="R54" s="739"/>
      <c r="S54" s="752" t="s">
        <v>112</v>
      </c>
      <c r="T54" s="751"/>
      <c r="U54" s="741"/>
      <c r="V54" s="753" t="s">
        <v>113</v>
      </c>
      <c r="W54" s="751"/>
      <c r="X54" s="942" t="s">
        <v>114</v>
      </c>
      <c r="Y54" s="751"/>
      <c r="Z54" s="751"/>
      <c r="AA54" s="943"/>
      <c r="AB54" s="781"/>
      <c r="AC54" s="781"/>
      <c r="AD54" s="781"/>
      <c r="AE54" s="781"/>
      <c r="AF54" s="781"/>
      <c r="AG54" s="782"/>
      <c r="AH54" s="1"/>
      <c r="AT54" t="s">
        <v>349</v>
      </c>
    </row>
    <row r="55" spans="1:46" ht="22.35" customHeight="1" x14ac:dyDescent="0.2">
      <c r="A55" s="738">
        <v>8517</v>
      </c>
      <c r="B55" s="944" t="s">
        <v>115</v>
      </c>
      <c r="C55" s="735" t="s">
        <v>116</v>
      </c>
      <c r="D55" s="945"/>
      <c r="E55" s="780"/>
      <c r="F55" s="735" t="s">
        <v>116</v>
      </c>
      <c r="G55" s="945"/>
      <c r="H55" s="780"/>
      <c r="I55" s="735" t="s">
        <v>116</v>
      </c>
      <c r="J55" s="945"/>
      <c r="K55" s="780"/>
      <c r="L55" s="735" t="s">
        <v>116</v>
      </c>
      <c r="M55" s="945"/>
      <c r="N55" s="780"/>
      <c r="O55" s="735" t="s">
        <v>117</v>
      </c>
      <c r="P55" s="945"/>
      <c r="Q55" s="780"/>
      <c r="R55" s="735"/>
      <c r="S55" s="945"/>
      <c r="T55" s="780"/>
      <c r="U55" s="735" t="s">
        <v>118</v>
      </c>
      <c r="V55" s="945"/>
      <c r="W55" s="780"/>
      <c r="X55" s="779"/>
      <c r="Y55" s="781"/>
      <c r="Z55" s="781"/>
      <c r="AA55" s="781"/>
      <c r="AB55" s="781"/>
      <c r="AC55" s="781"/>
      <c r="AD55" s="781"/>
      <c r="AE55" s="781"/>
      <c r="AF55" s="781"/>
      <c r="AG55" s="782"/>
      <c r="AH55" s="1"/>
    </row>
    <row r="56" spans="1:46" ht="22.35" customHeight="1" x14ac:dyDescent="0.2">
      <c r="B56" s="808" t="s">
        <v>119</v>
      </c>
      <c r="C56" s="946" t="s">
        <v>120</v>
      </c>
      <c r="D56" s="947"/>
      <c r="E56" s="580"/>
      <c r="F56" s="946" t="s">
        <v>120</v>
      </c>
      <c r="G56" s="948"/>
      <c r="H56" s="580"/>
      <c r="I56" s="735" t="s">
        <v>120</v>
      </c>
      <c r="J56" s="945"/>
      <c r="K56" s="949"/>
      <c r="L56" s="735" t="s">
        <v>120</v>
      </c>
      <c r="M56" s="945"/>
      <c r="N56" s="949"/>
      <c r="O56" s="735" t="s">
        <v>121</v>
      </c>
      <c r="P56" s="945"/>
      <c r="Q56" s="780"/>
      <c r="R56" s="950" t="s">
        <v>0</v>
      </c>
      <c r="S56" s="945"/>
      <c r="T56" s="949"/>
      <c r="U56" s="945" t="s">
        <v>0</v>
      </c>
      <c r="V56" s="945"/>
      <c r="W56" s="780"/>
      <c r="X56" s="675" t="s">
        <v>0</v>
      </c>
      <c r="Y56" s="72"/>
      <c r="Z56" s="72"/>
      <c r="AA56" s="72"/>
      <c r="AB56" s="72"/>
      <c r="AC56" s="72"/>
      <c r="AD56" s="72"/>
      <c r="AE56" s="72"/>
      <c r="AF56" s="72"/>
      <c r="AG56" s="111"/>
      <c r="AH56" s="1"/>
    </row>
    <row r="57" spans="1:46" ht="22.35" customHeight="1" thickBot="1" x14ac:dyDescent="0.3">
      <c r="A57" s="1216"/>
      <c r="B57" s="1217" t="s">
        <v>122</v>
      </c>
      <c r="C57" s="946" t="s">
        <v>123</v>
      </c>
      <c r="D57" s="947"/>
      <c r="E57" s="948"/>
      <c r="F57" s="946" t="s">
        <v>123</v>
      </c>
      <c r="G57" s="947"/>
      <c r="H57" s="948"/>
      <c r="I57" s="946" t="s">
        <v>123</v>
      </c>
      <c r="J57" s="947"/>
      <c r="K57" s="948"/>
      <c r="L57" s="946" t="s">
        <v>123</v>
      </c>
      <c r="M57" s="947"/>
      <c r="N57" s="948"/>
      <c r="O57" s="946" t="s">
        <v>124</v>
      </c>
      <c r="P57" s="947"/>
      <c r="Q57" s="948"/>
      <c r="R57" s="676"/>
      <c r="S57" s="294"/>
      <c r="T57" s="580"/>
      <c r="U57" s="947"/>
      <c r="V57" s="947"/>
      <c r="W57" s="948"/>
      <c r="X57" s="1218"/>
      <c r="Y57" s="775"/>
      <c r="Z57" s="775"/>
      <c r="AA57" s="775"/>
      <c r="AB57" s="775"/>
      <c r="AC57" s="775"/>
      <c r="AD57" s="775"/>
      <c r="AE57" s="775"/>
      <c r="AF57" s="775"/>
      <c r="AG57" s="775"/>
      <c r="AH57" s="33"/>
      <c r="AI57" s="316"/>
    </row>
    <row r="58" spans="1:46" ht="22.35" customHeight="1" x14ac:dyDescent="0.2">
      <c r="A58" s="365"/>
      <c r="B58" s="363"/>
      <c r="C58" s="540"/>
      <c r="D58" s="499"/>
      <c r="E58" s="500"/>
      <c r="F58" s="540"/>
      <c r="G58" s="499"/>
      <c r="H58" s="500"/>
      <c r="I58" s="540"/>
      <c r="J58" s="499"/>
      <c r="K58" s="500"/>
      <c r="L58" s="540"/>
      <c r="M58" s="499"/>
      <c r="N58" s="500"/>
      <c r="O58" s="540"/>
      <c r="P58" s="499"/>
      <c r="Q58" s="500"/>
      <c r="R58" s="540"/>
      <c r="S58" s="499"/>
      <c r="T58" s="500"/>
      <c r="U58" s="540"/>
      <c r="V58" s="499"/>
      <c r="W58" s="500"/>
      <c r="X58" s="366"/>
      <c r="Y58" s="367"/>
      <c r="Z58" s="367"/>
      <c r="AA58" s="367"/>
      <c r="AB58" s="367"/>
      <c r="AC58" s="367"/>
      <c r="AD58" s="367"/>
      <c r="AE58" s="367"/>
      <c r="AF58" s="367"/>
      <c r="AG58" s="367"/>
      <c r="AH58" s="303"/>
      <c r="AJ58" t="s">
        <v>125</v>
      </c>
    </row>
    <row r="59" spans="1:46" ht="22.35" customHeight="1" x14ac:dyDescent="0.2">
      <c r="A59" s="301"/>
      <c r="B59" s="291"/>
      <c r="C59" s="294"/>
      <c r="D59" s="294"/>
      <c r="E59" s="302"/>
      <c r="F59" s="294"/>
      <c r="G59" s="294"/>
      <c r="H59" s="302"/>
      <c r="I59" s="294"/>
      <c r="J59" s="294"/>
      <c r="K59" s="302"/>
      <c r="L59" s="294"/>
      <c r="M59" s="294"/>
      <c r="N59" s="302"/>
      <c r="O59" s="294"/>
      <c r="P59" s="294"/>
      <c r="Q59" s="302"/>
      <c r="R59" s="294"/>
      <c r="S59" s="294"/>
      <c r="T59" s="302"/>
      <c r="U59" s="294"/>
      <c r="V59" s="294"/>
      <c r="W59" s="302"/>
      <c r="X59" s="302"/>
      <c r="Y59" s="209"/>
      <c r="Z59" s="209"/>
      <c r="AA59" s="209"/>
      <c r="AB59" s="209"/>
      <c r="AC59" s="209"/>
      <c r="AD59" s="209"/>
      <c r="AE59" s="209"/>
      <c r="AF59" s="209"/>
      <c r="AG59" s="209"/>
      <c r="AH59" s="303"/>
    </row>
    <row r="60" spans="1:46" ht="22.35" customHeight="1" thickBot="1" x14ac:dyDescent="0.25">
      <c r="A60" s="953"/>
      <c r="B60" s="954" t="s">
        <v>29</v>
      </c>
      <c r="C60" s="796">
        <v>1</v>
      </c>
      <c r="D60" s="796">
        <v>2</v>
      </c>
      <c r="E60" s="796">
        <v>3</v>
      </c>
      <c r="F60" s="795">
        <v>4</v>
      </c>
      <c r="G60" s="795">
        <v>5</v>
      </c>
      <c r="H60" s="795">
        <v>6</v>
      </c>
      <c r="I60" s="796">
        <v>7</v>
      </c>
      <c r="J60" s="796">
        <v>8</v>
      </c>
      <c r="K60" s="796">
        <v>9</v>
      </c>
      <c r="L60" s="796">
        <v>10</v>
      </c>
      <c r="M60" s="795">
        <v>11</v>
      </c>
      <c r="N60" s="795">
        <v>12</v>
      </c>
      <c r="O60" s="796">
        <v>13</v>
      </c>
      <c r="P60" s="796">
        <v>14</v>
      </c>
      <c r="Q60" s="796">
        <v>15</v>
      </c>
      <c r="R60" s="796">
        <v>16</v>
      </c>
      <c r="S60" s="796">
        <v>17</v>
      </c>
      <c r="T60" s="795">
        <v>18</v>
      </c>
      <c r="U60" s="795">
        <v>19</v>
      </c>
      <c r="V60" s="796">
        <v>20</v>
      </c>
      <c r="W60" s="796">
        <v>21</v>
      </c>
      <c r="X60" s="796">
        <v>22</v>
      </c>
      <c r="Y60" s="796">
        <v>23</v>
      </c>
      <c r="Z60" s="796">
        <v>24</v>
      </c>
      <c r="AA60" s="795">
        <v>25</v>
      </c>
      <c r="AB60" s="795">
        <v>26</v>
      </c>
      <c r="AC60" s="796">
        <v>27</v>
      </c>
      <c r="AD60" s="796">
        <v>28</v>
      </c>
      <c r="AE60" s="796">
        <v>29</v>
      </c>
      <c r="AF60" s="796">
        <v>30</v>
      </c>
      <c r="AG60" s="797"/>
      <c r="AH60" s="1"/>
      <c r="AJ60" s="1181" t="s">
        <v>30</v>
      </c>
      <c r="AK60" s="1181" t="s">
        <v>44</v>
      </c>
      <c r="AL60" s="1181" t="s">
        <v>45</v>
      </c>
      <c r="AM60" s="1181" t="s">
        <v>46</v>
      </c>
      <c r="AN60" s="1181" t="s">
        <v>47</v>
      </c>
    </row>
    <row r="61" spans="1:46" ht="22.35" customHeight="1" thickBot="1" x14ac:dyDescent="0.25">
      <c r="A61" s="955"/>
      <c r="B61" s="956" t="s">
        <v>126</v>
      </c>
      <c r="C61" s="836">
        <v>5</v>
      </c>
      <c r="D61" s="836">
        <v>99</v>
      </c>
      <c r="E61" s="1219" t="s">
        <v>32</v>
      </c>
      <c r="F61" t="s">
        <v>53</v>
      </c>
      <c r="G61" s="836" t="s">
        <v>53</v>
      </c>
      <c r="H61" s="836"/>
      <c r="I61" s="842">
        <v>25</v>
      </c>
      <c r="J61" s="842">
        <v>25</v>
      </c>
      <c r="K61" s="836">
        <v>25</v>
      </c>
      <c r="L61" s="836">
        <v>25</v>
      </c>
      <c r="M61" s="836"/>
      <c r="N61" s="957" t="s">
        <v>53</v>
      </c>
      <c r="O61" s="958">
        <v>25</v>
      </c>
      <c r="P61" s="920">
        <v>25</v>
      </c>
      <c r="Q61" s="920" t="s">
        <v>128</v>
      </c>
      <c r="R61" s="958" t="s">
        <v>128</v>
      </c>
      <c r="S61" s="920" t="s">
        <v>128</v>
      </c>
      <c r="T61" s="958" t="s">
        <v>127</v>
      </c>
      <c r="U61" s="958" t="s">
        <v>127</v>
      </c>
      <c r="V61" s="836" t="s">
        <v>36</v>
      </c>
      <c r="W61" s="957" t="s">
        <v>36</v>
      </c>
      <c r="X61" s="1220" t="s">
        <v>36</v>
      </c>
      <c r="Y61" s="1220">
        <v>3</v>
      </c>
      <c r="Z61" s="1220">
        <v>3</v>
      </c>
      <c r="AA61" s="836"/>
      <c r="AB61" s="965">
        <v>26</v>
      </c>
      <c r="AC61" s="1112">
        <v>26</v>
      </c>
      <c r="AD61" s="1112">
        <v>26</v>
      </c>
      <c r="AE61" s="1112">
        <v>26</v>
      </c>
      <c r="AF61" s="1112">
        <v>26</v>
      </c>
      <c r="AG61" s="1221"/>
      <c r="AH61" s="1"/>
      <c r="AJ61" s="845">
        <v>189.5</v>
      </c>
      <c r="AK61" s="845">
        <v>10.75</v>
      </c>
      <c r="AL61" s="845">
        <f>IF(AJ61="","",SUM(AJ61:AK61))</f>
        <v>200.25</v>
      </c>
      <c r="AM61" s="846">
        <f t="shared" ref="AM61:AM79" si="3">IF(AJ61="","",AL61-NormTid)</f>
        <v>39.919999999999987</v>
      </c>
      <c r="AN61" s="846">
        <f>IF(AM61="","",AM61+'Maj 2022'!AN61)</f>
        <v>158.76999999999998</v>
      </c>
    </row>
    <row r="62" spans="1:46" ht="22.35" customHeight="1" thickBot="1" x14ac:dyDescent="0.25">
      <c r="A62" s="1182"/>
      <c r="B62" s="1182" t="s">
        <v>129</v>
      </c>
      <c r="C62" s="644" t="s">
        <v>36</v>
      </c>
      <c r="D62" s="644" t="s">
        <v>32</v>
      </c>
      <c r="E62" s="644">
        <v>89</v>
      </c>
      <c r="F62" s="644"/>
      <c r="G62" s="644"/>
      <c r="H62" s="958" t="s">
        <v>127</v>
      </c>
      <c r="I62" s="1222" t="s">
        <v>128</v>
      </c>
      <c r="J62" s="1222" t="s">
        <v>128</v>
      </c>
      <c r="K62" s="1222" t="s">
        <v>128</v>
      </c>
      <c r="L62" s="1222" t="s">
        <v>128</v>
      </c>
      <c r="M62" s="958" t="s">
        <v>127</v>
      </c>
      <c r="N62" s="958" t="s">
        <v>127</v>
      </c>
      <c r="O62" s="1112" t="s">
        <v>36</v>
      </c>
      <c r="P62" s="1112" t="s">
        <v>36</v>
      </c>
      <c r="Q62" s="848" t="s">
        <v>36</v>
      </c>
      <c r="R62" s="190" t="s">
        <v>32</v>
      </c>
      <c r="S62" s="848" t="s">
        <v>257</v>
      </c>
      <c r="T62" s="960"/>
      <c r="U62" s="960"/>
      <c r="V62" s="848">
        <v>4</v>
      </c>
      <c r="W62" s="644">
        <v>4</v>
      </c>
      <c r="X62" s="1112">
        <v>4</v>
      </c>
      <c r="Y62" s="644">
        <v>4</v>
      </c>
      <c r="Z62" s="1112">
        <v>4</v>
      </c>
      <c r="AA62" s="644"/>
      <c r="AB62" s="644"/>
      <c r="AC62" s="964">
        <v>25</v>
      </c>
      <c r="AD62" s="964">
        <v>25</v>
      </c>
      <c r="AE62" s="964">
        <v>25</v>
      </c>
      <c r="AF62" s="964">
        <v>25</v>
      </c>
      <c r="AG62" s="856"/>
      <c r="AH62" s="1"/>
      <c r="AJ62" s="845">
        <v>175.75</v>
      </c>
      <c r="AK62" s="845">
        <v>7</v>
      </c>
      <c r="AL62" s="845">
        <f t="shared" ref="AL62:AL72" si="4">IF(AJ62="","",SUM(AJ62:AK62))</f>
        <v>182.75</v>
      </c>
      <c r="AM62" s="846">
        <f t="shared" si="3"/>
        <v>22.419999999999987</v>
      </c>
      <c r="AN62" s="846">
        <f>IF(AM62="","",AM62+'Maj 2022'!AN62)</f>
        <v>23.269999999999975</v>
      </c>
    </row>
    <row r="63" spans="1:46" ht="22.35" customHeight="1" x14ac:dyDescent="0.2">
      <c r="A63" s="1182"/>
      <c r="B63" s="1182" t="s">
        <v>130</v>
      </c>
      <c r="C63" s="1110" t="s">
        <v>36</v>
      </c>
      <c r="D63" s="1110" t="s">
        <v>32</v>
      </c>
      <c r="E63" s="1110" t="s">
        <v>32</v>
      </c>
      <c r="F63" s="1110" t="s">
        <v>53</v>
      </c>
      <c r="G63" s="1110" t="s">
        <v>53</v>
      </c>
      <c r="H63" s="868">
        <v>9</v>
      </c>
      <c r="I63" s="927">
        <v>9</v>
      </c>
      <c r="J63" s="927">
        <v>9</v>
      </c>
      <c r="K63" s="927">
        <v>9</v>
      </c>
      <c r="L63" s="927">
        <v>9</v>
      </c>
      <c r="M63" s="868" t="s">
        <v>80</v>
      </c>
      <c r="N63" s="868" t="s">
        <v>81</v>
      </c>
      <c r="O63" s="644" t="s">
        <v>36</v>
      </c>
      <c r="P63" s="644" t="s">
        <v>36</v>
      </c>
      <c r="Q63" s="1110">
        <v>25</v>
      </c>
      <c r="R63" s="1110">
        <v>25</v>
      </c>
      <c r="S63" s="1110">
        <v>8</v>
      </c>
      <c r="T63" s="1110"/>
      <c r="U63" s="1112">
        <v>26</v>
      </c>
      <c r="V63" s="1110">
        <v>26</v>
      </c>
      <c r="W63" s="1110">
        <v>26</v>
      </c>
      <c r="X63" s="1110">
        <v>26</v>
      </c>
      <c r="Y63" s="1110">
        <v>26</v>
      </c>
      <c r="Z63" s="1110">
        <v>26</v>
      </c>
      <c r="AA63" s="1110"/>
      <c r="AB63" s="1110" t="s">
        <v>0</v>
      </c>
      <c r="AC63" s="1112" t="s">
        <v>257</v>
      </c>
      <c r="AD63" s="851" t="s">
        <v>257</v>
      </c>
      <c r="AE63" s="851" t="s">
        <v>86</v>
      </c>
      <c r="AF63" s="851" t="s">
        <v>86</v>
      </c>
      <c r="AG63" s="1111"/>
      <c r="AH63" s="1"/>
      <c r="AJ63" s="845">
        <v>180.5</v>
      </c>
      <c r="AK63" s="845">
        <v>9.5</v>
      </c>
      <c r="AL63" s="845">
        <f t="shared" si="4"/>
        <v>190</v>
      </c>
      <c r="AM63" s="846">
        <f t="shared" si="3"/>
        <v>29.669999999999987</v>
      </c>
      <c r="AN63" s="846">
        <f>IF(AM63="","",AM63+'Maj 2022'!AN63)</f>
        <v>1.0199999999999747</v>
      </c>
    </row>
    <row r="64" spans="1:46" ht="22.35" customHeight="1" x14ac:dyDescent="0.2">
      <c r="A64" s="1182"/>
      <c r="B64" s="539" t="s">
        <v>132</v>
      </c>
      <c r="C64" s="854">
        <v>25</v>
      </c>
      <c r="D64" s="848">
        <v>25</v>
      </c>
      <c r="E64" s="644">
        <v>25</v>
      </c>
      <c r="F64" s="644"/>
      <c r="G64" s="1110"/>
      <c r="H64" s="963"/>
      <c r="I64" s="644">
        <v>26</v>
      </c>
      <c r="J64" s="644">
        <v>26</v>
      </c>
      <c r="K64" s="644">
        <v>26</v>
      </c>
      <c r="L64" s="644">
        <v>26</v>
      </c>
      <c r="M64" s="960"/>
      <c r="N64" s="644">
        <v>26</v>
      </c>
      <c r="O64" s="1223">
        <v>8</v>
      </c>
      <c r="P64" s="1220" t="s">
        <v>32</v>
      </c>
      <c r="Q64" s="1220" t="s">
        <v>32</v>
      </c>
      <c r="R64" s="1220" t="s">
        <v>32</v>
      </c>
      <c r="S64" s="1220" t="s">
        <v>32</v>
      </c>
      <c r="T64" s="1224" t="s">
        <v>32</v>
      </c>
      <c r="U64" s="965"/>
      <c r="V64" s="965" t="s">
        <v>32</v>
      </c>
      <c r="W64" s="965" t="s">
        <v>32</v>
      </c>
      <c r="X64" s="965" t="s">
        <v>32</v>
      </c>
      <c r="Y64" s="965" t="s">
        <v>32</v>
      </c>
      <c r="Z64" s="965" t="s">
        <v>32</v>
      </c>
      <c r="AA64" s="1225" t="s">
        <v>0</v>
      </c>
      <c r="AB64" s="1225" t="s">
        <v>0</v>
      </c>
      <c r="AC64" s="965" t="s">
        <v>32</v>
      </c>
      <c r="AD64" s="965" t="s">
        <v>32</v>
      </c>
      <c r="AE64" s="965" t="s">
        <v>32</v>
      </c>
      <c r="AF64" s="965" t="s">
        <v>32</v>
      </c>
      <c r="AG64" s="1226" t="s">
        <v>350</v>
      </c>
      <c r="AH64" s="1"/>
      <c r="AJ64" s="845">
        <v>173.5</v>
      </c>
      <c r="AK64" s="845">
        <v>5</v>
      </c>
      <c r="AL64" s="845">
        <f t="shared" si="4"/>
        <v>178.5</v>
      </c>
      <c r="AM64" s="846">
        <f t="shared" si="3"/>
        <v>18.169999999999987</v>
      </c>
      <c r="AN64" s="846">
        <f>IF(AM64="","",AM64+'Maj 2022'!AN64)</f>
        <v>-40.980000000000018</v>
      </c>
    </row>
    <row r="65" spans="1:40" ht="22.35" customHeight="1" x14ac:dyDescent="0.2">
      <c r="A65" s="933"/>
      <c r="B65" s="1182" t="s">
        <v>133</v>
      </c>
      <c r="C65" s="1110" t="s">
        <v>134</v>
      </c>
      <c r="D65" s="1110" t="s">
        <v>134</v>
      </c>
      <c r="E65" s="1110" t="s">
        <v>134</v>
      </c>
      <c r="F65" s="963"/>
      <c r="G65" s="963"/>
      <c r="H65" s="963"/>
      <c r="I65" s="1110" t="s">
        <v>134</v>
      </c>
      <c r="J65" s="1110" t="s">
        <v>134</v>
      </c>
      <c r="K65" s="1227" t="s">
        <v>134</v>
      </c>
      <c r="L65" s="1110" t="s">
        <v>134</v>
      </c>
      <c r="M65" s="644"/>
      <c r="N65" s="644"/>
      <c r="O65" s="1110" t="s">
        <v>134</v>
      </c>
      <c r="P65" s="1110" t="s">
        <v>134</v>
      </c>
      <c r="Q65" s="1110" t="s">
        <v>134</v>
      </c>
      <c r="R65" s="1110" t="s">
        <v>134</v>
      </c>
      <c r="S65" s="1228" t="s">
        <v>134</v>
      </c>
      <c r="T65" s="644"/>
      <c r="U65" s="848"/>
      <c r="V65" s="964" t="s">
        <v>134</v>
      </c>
      <c r="W65" s="964" t="s">
        <v>134</v>
      </c>
      <c r="X65" s="964" t="s">
        <v>134</v>
      </c>
      <c r="Y65" s="964" t="s">
        <v>134</v>
      </c>
      <c r="Z65" s="964" t="s">
        <v>135</v>
      </c>
      <c r="AA65" s="644"/>
      <c r="AB65" s="644"/>
      <c r="AC65" s="1110" t="s">
        <v>134</v>
      </c>
      <c r="AD65" s="1110" t="s">
        <v>134</v>
      </c>
      <c r="AE65" s="1110" t="s">
        <v>134</v>
      </c>
      <c r="AF65" s="1110" t="s">
        <v>134</v>
      </c>
      <c r="AG65" s="1111"/>
      <c r="AH65" s="1"/>
      <c r="AJ65" s="845">
        <v>165.25</v>
      </c>
      <c r="AK65" s="845">
        <v>0.75</v>
      </c>
      <c r="AL65" s="845">
        <f t="shared" si="4"/>
        <v>166</v>
      </c>
      <c r="AM65" s="846">
        <f t="shared" si="3"/>
        <v>5.6699999999999875</v>
      </c>
      <c r="AN65" s="846">
        <f>IF(AM65="","",AM65+'Maj 2022'!AN65)</f>
        <v>-0.4800000000000253</v>
      </c>
    </row>
    <row r="66" spans="1:40" ht="22.35" customHeight="1" thickBot="1" x14ac:dyDescent="0.25">
      <c r="A66" s="1182"/>
      <c r="B66" s="1182" t="s">
        <v>136</v>
      </c>
      <c r="C66" s="1110" t="s">
        <v>32</v>
      </c>
      <c r="D66" s="1110" t="s">
        <v>32</v>
      </c>
      <c r="E66" s="1110" t="s">
        <v>137</v>
      </c>
      <c r="F66" s="1110"/>
      <c r="G66" s="644"/>
      <c r="H66" s="644"/>
      <c r="I66" s="644" t="s">
        <v>137</v>
      </c>
      <c r="J66" s="644" t="s">
        <v>137</v>
      </c>
      <c r="K66" s="644" t="s">
        <v>137</v>
      </c>
      <c r="L66" s="851" t="s">
        <v>137</v>
      </c>
      <c r="M66" s="644"/>
      <c r="N66" s="848"/>
      <c r="O66" s="644" t="s">
        <v>137</v>
      </c>
      <c r="P66" s="644" t="s">
        <v>137</v>
      </c>
      <c r="Q66" s="1112" t="s">
        <v>137</v>
      </c>
      <c r="R66" s="1112" t="s">
        <v>137</v>
      </c>
      <c r="S66" s="644" t="s">
        <v>137</v>
      </c>
      <c r="T66" s="848"/>
      <c r="U66" s="848"/>
      <c r="V66" s="644" t="s">
        <v>137</v>
      </c>
      <c r="W66" s="644" t="s">
        <v>137</v>
      </c>
      <c r="X66" s="1112" t="s">
        <v>137</v>
      </c>
      <c r="Y66" s="644" t="s">
        <v>137</v>
      </c>
      <c r="Z66" s="644" t="s">
        <v>137</v>
      </c>
      <c r="AA66" s="644"/>
      <c r="AB66" s="644"/>
      <c r="AC66" s="644" t="s">
        <v>137</v>
      </c>
      <c r="AD66" s="644" t="s">
        <v>137</v>
      </c>
      <c r="AE66" s="644" t="s">
        <v>137</v>
      </c>
      <c r="AF66" s="644" t="s">
        <v>137</v>
      </c>
      <c r="AG66" s="613"/>
      <c r="AH66" s="1"/>
      <c r="AJ66" s="845">
        <v>163.5</v>
      </c>
      <c r="AK66" s="845">
        <v>0</v>
      </c>
      <c r="AL66" s="845">
        <f t="shared" si="4"/>
        <v>163.5</v>
      </c>
      <c r="AM66" s="846">
        <f t="shared" si="3"/>
        <v>3.1699999999999875</v>
      </c>
      <c r="AN66" s="846">
        <f>IF(AM66="","",AM66+'Maj 2022'!AN66)</f>
        <v>-6.230000000000075</v>
      </c>
    </row>
    <row r="67" spans="1:40" ht="22.35" customHeight="1" thickBot="1" x14ac:dyDescent="0.25">
      <c r="A67" s="1182"/>
      <c r="B67" s="501" t="s">
        <v>138</v>
      </c>
      <c r="C67" s="644">
        <v>1</v>
      </c>
      <c r="D67" s="644">
        <v>1</v>
      </c>
      <c r="E67" s="644">
        <v>1</v>
      </c>
      <c r="F67" s="644"/>
      <c r="G67" s="644"/>
      <c r="H67" s="644" t="s">
        <v>0</v>
      </c>
      <c r="I67" s="1112">
        <v>4</v>
      </c>
      <c r="J67" s="1112">
        <v>4</v>
      </c>
      <c r="K67" s="1112">
        <v>4</v>
      </c>
      <c r="L67" s="644">
        <v>7</v>
      </c>
      <c r="M67" s="900" t="s">
        <v>57</v>
      </c>
      <c r="N67" s="900" t="s">
        <v>57</v>
      </c>
      <c r="O67" s="1112">
        <v>22</v>
      </c>
      <c r="P67" s="1112">
        <v>22</v>
      </c>
      <c r="Q67" s="848">
        <v>8</v>
      </c>
      <c r="R67" s="848" t="s">
        <v>50</v>
      </c>
      <c r="S67" s="848" t="s">
        <v>36</v>
      </c>
      <c r="T67" s="910" t="s">
        <v>82</v>
      </c>
      <c r="U67" s="910" t="s">
        <v>83</v>
      </c>
      <c r="V67" s="910">
        <v>6</v>
      </c>
      <c r="W67" s="910">
        <v>6</v>
      </c>
      <c r="X67" s="910">
        <v>6</v>
      </c>
      <c r="Y67" s="908">
        <v>6</v>
      </c>
      <c r="Z67" s="908">
        <v>6</v>
      </c>
      <c r="AA67" s="908"/>
      <c r="AB67" s="930"/>
      <c r="AC67" s="930" t="s">
        <v>32</v>
      </c>
      <c r="AD67" s="930" t="s">
        <v>32</v>
      </c>
      <c r="AE67" s="908" t="s">
        <v>32</v>
      </c>
      <c r="AF67" s="908" t="s">
        <v>351</v>
      </c>
      <c r="AG67" s="613"/>
      <c r="AH67" s="1"/>
      <c r="AJ67" s="845">
        <v>185.75</v>
      </c>
      <c r="AK67" s="845">
        <v>8</v>
      </c>
      <c r="AL67" s="845">
        <f t="shared" si="4"/>
        <v>193.75</v>
      </c>
      <c r="AM67" s="846">
        <f t="shared" si="3"/>
        <v>33.419999999999987</v>
      </c>
      <c r="AN67" s="846">
        <f>IF(AM67="","",AM67+'Maj 2022'!AN67)</f>
        <v>87.019999999999982</v>
      </c>
    </row>
    <row r="68" spans="1:40" ht="22.35" customHeight="1" x14ac:dyDescent="0.2">
      <c r="A68" s="1182"/>
      <c r="B68" s="501" t="s">
        <v>140</v>
      </c>
      <c r="C68" s="859" t="s">
        <v>32</v>
      </c>
      <c r="D68" s="859" t="s">
        <v>32</v>
      </c>
      <c r="E68" s="859" t="s">
        <v>32</v>
      </c>
      <c r="F68" s="859"/>
      <c r="G68" s="859"/>
      <c r="H68" s="859"/>
      <c r="I68" s="859" t="s">
        <v>32</v>
      </c>
      <c r="J68" s="859" t="s">
        <v>32</v>
      </c>
      <c r="K68" s="859" t="s">
        <v>32</v>
      </c>
      <c r="L68" s="1229" t="s">
        <v>32</v>
      </c>
      <c r="M68" s="329" t="s">
        <v>94</v>
      </c>
      <c r="N68" s="329" t="s">
        <v>94</v>
      </c>
      <c r="O68" s="644">
        <v>26</v>
      </c>
      <c r="P68" s="644">
        <v>26</v>
      </c>
      <c r="Q68" s="644">
        <v>26</v>
      </c>
      <c r="R68" s="960">
        <v>26</v>
      </c>
      <c r="S68" s="960">
        <v>26</v>
      </c>
      <c r="T68" s="644"/>
      <c r="U68" s="644" t="s">
        <v>0</v>
      </c>
      <c r="V68" s="974">
        <v>3</v>
      </c>
      <c r="W68" s="974">
        <v>3</v>
      </c>
      <c r="X68" s="974">
        <v>3</v>
      </c>
      <c r="Y68" s="974" t="s">
        <v>264</v>
      </c>
      <c r="Z68" s="974" t="s">
        <v>264</v>
      </c>
      <c r="AA68" s="644" t="s">
        <v>53</v>
      </c>
      <c r="AB68" s="644" t="s">
        <v>53</v>
      </c>
      <c r="AC68" s="975">
        <v>22</v>
      </c>
      <c r="AD68" s="851">
        <v>22</v>
      </c>
      <c r="AE68" s="644">
        <v>22</v>
      </c>
      <c r="AF68" s="644">
        <v>22</v>
      </c>
      <c r="AG68" s="613"/>
      <c r="AH68" s="1"/>
      <c r="AJ68" s="845">
        <v>172.5</v>
      </c>
      <c r="AK68" s="845">
        <v>5.75</v>
      </c>
      <c r="AL68" s="845">
        <f t="shared" si="4"/>
        <v>178.25</v>
      </c>
      <c r="AM68" s="846">
        <f t="shared" si="3"/>
        <v>17.919999999999987</v>
      </c>
      <c r="AN68" s="846">
        <f>IF(AM68="","",AM68+'Maj 2022'!AN68)</f>
        <v>38.019999999999975</v>
      </c>
    </row>
    <row r="69" spans="1:40" ht="22.35" customHeight="1" thickBot="1" x14ac:dyDescent="0.25">
      <c r="A69" s="1182"/>
      <c r="B69" s="539" t="s">
        <v>141</v>
      </c>
      <c r="C69" s="848" t="s">
        <v>142</v>
      </c>
      <c r="D69" s="848" t="s">
        <v>142</v>
      </c>
      <c r="E69" s="644" t="s">
        <v>142</v>
      </c>
      <c r="F69" s="848"/>
      <c r="G69" s="848"/>
      <c r="H69" s="848"/>
      <c r="I69" s="644" t="s">
        <v>142</v>
      </c>
      <c r="J69" s="644" t="s">
        <v>142</v>
      </c>
      <c r="K69" s="644" t="s">
        <v>142</v>
      </c>
      <c r="L69" s="851" t="s">
        <v>142</v>
      </c>
      <c r="M69" s="851"/>
      <c r="N69" s="851"/>
      <c r="O69" s="851" t="s">
        <v>352</v>
      </c>
      <c r="P69" s="1112" t="s">
        <v>352</v>
      </c>
      <c r="Q69" s="1230" t="s">
        <v>352</v>
      </c>
      <c r="R69" s="1230" t="s">
        <v>352</v>
      </c>
      <c r="S69" s="1230" t="s">
        <v>352</v>
      </c>
      <c r="T69" s="851"/>
      <c r="U69" s="975"/>
      <c r="V69" s="958" t="s">
        <v>128</v>
      </c>
      <c r="W69" s="958" t="s">
        <v>128</v>
      </c>
      <c r="X69" s="958" t="s">
        <v>128</v>
      </c>
      <c r="Y69" s="958" t="s">
        <v>128</v>
      </c>
      <c r="Z69" s="958" t="s">
        <v>128</v>
      </c>
      <c r="AA69" s="958" t="s">
        <v>127</v>
      </c>
      <c r="AB69" s="958" t="s">
        <v>127</v>
      </c>
      <c r="AC69" s="930" t="s">
        <v>36</v>
      </c>
      <c r="AD69" s="930" t="s">
        <v>36</v>
      </c>
      <c r="AE69" s="644" t="s">
        <v>177</v>
      </c>
      <c r="AF69" s="644" t="s">
        <v>177</v>
      </c>
      <c r="AG69" s="613"/>
      <c r="AH69" s="1"/>
      <c r="AJ69" s="845">
        <v>183.5</v>
      </c>
      <c r="AK69" s="845">
        <v>7.5</v>
      </c>
      <c r="AL69" s="845">
        <f t="shared" si="4"/>
        <v>191</v>
      </c>
      <c r="AM69" s="846">
        <f t="shared" si="3"/>
        <v>30.669999999999987</v>
      </c>
      <c r="AN69" s="846">
        <f>IF(AM69="","",AM69+'Maj 2022'!AN69)</f>
        <v>81.769999999999982</v>
      </c>
    </row>
    <row r="70" spans="1:40" ht="22.35" customHeight="1" thickBot="1" x14ac:dyDescent="0.25">
      <c r="A70" s="501"/>
      <c r="B70" s="539" t="s">
        <v>143</v>
      </c>
      <c r="C70" s="809">
        <v>26</v>
      </c>
      <c r="D70" s="848">
        <v>26</v>
      </c>
      <c r="E70" s="644">
        <v>26</v>
      </c>
      <c r="F70" s="644"/>
      <c r="G70" s="644">
        <v>26</v>
      </c>
      <c r="H70" s="644">
        <v>1</v>
      </c>
      <c r="I70" s="644">
        <v>1</v>
      </c>
      <c r="J70" s="644">
        <v>1</v>
      </c>
      <c r="K70" s="644">
        <v>1</v>
      </c>
      <c r="L70" s="644">
        <v>1</v>
      </c>
      <c r="M70" s="644"/>
      <c r="N70" s="644"/>
      <c r="O70" s="868">
        <v>9</v>
      </c>
      <c r="P70" s="868">
        <v>9</v>
      </c>
      <c r="Q70" s="868">
        <v>9</v>
      </c>
      <c r="R70" s="868">
        <v>9</v>
      </c>
      <c r="S70" s="868">
        <v>9</v>
      </c>
      <c r="T70" s="868" t="s">
        <v>80</v>
      </c>
      <c r="U70" s="868" t="s">
        <v>81</v>
      </c>
      <c r="V70" s="644" t="s">
        <v>36</v>
      </c>
      <c r="W70" s="644" t="s">
        <v>36</v>
      </c>
      <c r="X70" s="644" t="s">
        <v>36</v>
      </c>
      <c r="Y70" s="644" t="s">
        <v>36</v>
      </c>
      <c r="Z70" s="644" t="s">
        <v>36</v>
      </c>
      <c r="AA70" s="908" t="s">
        <v>82</v>
      </c>
      <c r="AB70" s="908" t="s">
        <v>83</v>
      </c>
      <c r="AC70" s="859" t="s">
        <v>32</v>
      </c>
      <c r="AD70" s="859" t="s">
        <v>32</v>
      </c>
      <c r="AE70" s="859" t="s">
        <v>32</v>
      </c>
      <c r="AF70" s="859" t="s">
        <v>32</v>
      </c>
      <c r="AG70" s="968"/>
      <c r="AJ70" s="845">
        <v>176</v>
      </c>
      <c r="AK70" s="845">
        <v>8.75</v>
      </c>
      <c r="AL70" s="845">
        <f t="shared" si="4"/>
        <v>184.75</v>
      </c>
      <c r="AM70" s="846">
        <f t="shared" si="3"/>
        <v>24.419999999999987</v>
      </c>
      <c r="AN70" s="846">
        <f>IF(AM70="","",AM70+'Maj 2022'!AN70)</f>
        <v>102.26999999999998</v>
      </c>
    </row>
    <row r="71" spans="1:40" ht="22.35" customHeight="1" x14ac:dyDescent="0.2">
      <c r="A71" s="539"/>
      <c r="B71" s="541" t="s">
        <v>144</v>
      </c>
      <c r="C71" s="974" t="s">
        <v>32</v>
      </c>
      <c r="D71" s="974" t="s">
        <v>32</v>
      </c>
      <c r="E71" s="974" t="s">
        <v>32</v>
      </c>
      <c r="F71" s="974"/>
      <c r="G71" s="974"/>
      <c r="H71" s="1231"/>
      <c r="I71" s="1231"/>
      <c r="J71" s="1231"/>
      <c r="K71" s="1231"/>
      <c r="L71" s="1231"/>
      <c r="M71" s="1231"/>
      <c r="N71" s="1231"/>
      <c r="O71" s="1231"/>
      <c r="P71" s="1231"/>
      <c r="Q71" s="1231"/>
      <c r="R71" s="1231"/>
      <c r="S71" s="1231"/>
      <c r="T71" s="1231"/>
      <c r="U71" s="1231"/>
      <c r="V71" s="974">
        <v>99</v>
      </c>
      <c r="W71" s="974">
        <v>99</v>
      </c>
      <c r="X71" s="1112">
        <v>99</v>
      </c>
      <c r="Y71" s="974">
        <v>99</v>
      </c>
      <c r="Z71" s="974" t="s">
        <v>32</v>
      </c>
      <c r="AA71" s="974"/>
      <c r="AB71" s="974"/>
      <c r="AC71" s="975">
        <v>1</v>
      </c>
      <c r="AD71" s="851" t="s">
        <v>86</v>
      </c>
      <c r="AE71" s="644" t="s">
        <v>32</v>
      </c>
      <c r="AF71" s="644">
        <v>4</v>
      </c>
      <c r="AG71" s="974"/>
      <c r="AJ71" s="845">
        <v>161.75</v>
      </c>
      <c r="AK71" s="845">
        <v>0.25</v>
      </c>
      <c r="AL71" s="845">
        <f t="shared" si="4"/>
        <v>162</v>
      </c>
      <c r="AM71" s="846">
        <f t="shared" si="3"/>
        <v>1.6699999999999875</v>
      </c>
      <c r="AN71" s="846">
        <f>IF(AM71="","",AM71+'Maj 2022'!AN71)</f>
        <v>5.9299999999999784</v>
      </c>
    </row>
    <row r="72" spans="1:40" ht="22.35" customHeight="1" thickBot="1" x14ac:dyDescent="0.25">
      <c r="A72" s="289"/>
      <c r="B72" s="539" t="s">
        <v>145</v>
      </c>
      <c r="C72" s="1110">
        <v>7</v>
      </c>
      <c r="D72" s="1110" t="s">
        <v>32</v>
      </c>
      <c r="E72" s="851" t="s">
        <v>352</v>
      </c>
      <c r="F72" s="851"/>
      <c r="G72" s="848" t="s">
        <v>0</v>
      </c>
      <c r="H72" s="969">
        <v>22</v>
      </c>
      <c r="I72" s="969">
        <v>22</v>
      </c>
      <c r="J72" s="969">
        <v>22</v>
      </c>
      <c r="K72" s="1232">
        <v>22</v>
      </c>
      <c r="L72" s="965">
        <v>11</v>
      </c>
      <c r="M72" s="964" t="s">
        <v>215</v>
      </c>
      <c r="N72" s="845">
        <v>22</v>
      </c>
      <c r="O72" s="1222" t="s">
        <v>36</v>
      </c>
      <c r="P72" s="1222" t="s">
        <v>36</v>
      </c>
      <c r="Q72" s="1233" t="s">
        <v>36</v>
      </c>
      <c r="R72" s="1233">
        <v>21</v>
      </c>
      <c r="S72" s="1233">
        <v>21</v>
      </c>
      <c r="T72" s="1233">
        <v>21</v>
      </c>
      <c r="U72" s="1233">
        <v>21</v>
      </c>
      <c r="V72" s="1233" t="s">
        <v>36</v>
      </c>
      <c r="W72" s="1233" t="s">
        <v>36</v>
      </c>
      <c r="X72" s="1233" t="s">
        <v>36</v>
      </c>
      <c r="Y72" s="1233">
        <v>4</v>
      </c>
      <c r="Z72" s="1233">
        <v>1</v>
      </c>
      <c r="AA72" s="1233"/>
      <c r="AB72" s="1233"/>
      <c r="AC72" s="975">
        <v>3</v>
      </c>
      <c r="AD72" s="851" t="s">
        <v>353</v>
      </c>
      <c r="AE72" s="644">
        <v>4</v>
      </c>
      <c r="AF72" s="644">
        <v>3</v>
      </c>
      <c r="AG72" s="613"/>
      <c r="AH72" s="1"/>
      <c r="AJ72" s="845">
        <f t="shared" ref="AJ72:AJ79" si="5">$AJ$12</f>
        <v>160.33000000000001</v>
      </c>
      <c r="AK72" s="845"/>
      <c r="AL72" s="845">
        <f t="shared" si="4"/>
        <v>160.33000000000001</v>
      </c>
      <c r="AM72" s="846">
        <f t="shared" si="3"/>
        <v>0</v>
      </c>
      <c r="AN72" s="846">
        <f>IF(AM72="","",AM72+'Maj 2022'!AN72)</f>
        <v>37.589999999999989</v>
      </c>
    </row>
    <row r="73" spans="1:40" ht="22.35" customHeight="1" x14ac:dyDescent="0.2">
      <c r="A73" s="539"/>
      <c r="B73" s="539" t="s">
        <v>354</v>
      </c>
      <c r="C73" s="1110" t="s">
        <v>32</v>
      </c>
      <c r="D73" s="1234">
        <v>69</v>
      </c>
      <c r="E73" s="1234">
        <v>1</v>
      </c>
      <c r="F73" s="974"/>
      <c r="G73" s="974"/>
      <c r="H73" s="851"/>
      <c r="I73" s="1235" t="s">
        <v>139</v>
      </c>
      <c r="J73" s="1235" t="s">
        <v>134</v>
      </c>
      <c r="K73" s="851" t="s">
        <v>134</v>
      </c>
      <c r="L73" s="851" t="s">
        <v>36</v>
      </c>
      <c r="M73" s="974" t="s">
        <v>53</v>
      </c>
      <c r="N73" s="974"/>
      <c r="O73" s="1235" t="s">
        <v>139</v>
      </c>
      <c r="P73" s="1235" t="s">
        <v>139</v>
      </c>
      <c r="Q73" s="1235" t="s">
        <v>139</v>
      </c>
      <c r="R73" s="1235" t="s">
        <v>139</v>
      </c>
      <c r="S73" s="960" t="s">
        <v>139</v>
      </c>
      <c r="T73" s="644"/>
      <c r="U73" s="644"/>
      <c r="V73" s="1110">
        <v>25</v>
      </c>
      <c r="W73" s="1110">
        <v>25</v>
      </c>
      <c r="X73" s="1110">
        <v>25</v>
      </c>
      <c r="Y73" s="1110">
        <v>25</v>
      </c>
      <c r="Z73" s="1110">
        <v>25</v>
      </c>
      <c r="AA73" s="644"/>
      <c r="AB73" s="644"/>
      <c r="AC73" s="644">
        <v>25</v>
      </c>
      <c r="AD73" s="644">
        <v>25</v>
      </c>
      <c r="AE73" s="960">
        <v>25</v>
      </c>
      <c r="AF73" s="644">
        <v>25</v>
      </c>
      <c r="AG73" s="976"/>
      <c r="AH73" s="1"/>
      <c r="AJ73" s="845">
        <v>191</v>
      </c>
      <c r="AK73" s="845"/>
      <c r="AL73" s="845">
        <f t="shared" ref="AL73:AL79" si="6">IF(AJ73="","",SUM(AJ73:AK73))</f>
        <v>191</v>
      </c>
      <c r="AM73" s="846">
        <f t="shared" si="3"/>
        <v>30.669999999999987</v>
      </c>
      <c r="AN73" s="846">
        <f>IF(AM73="","",AM73+'Maj 2022'!AN73)</f>
        <v>30.669999999999987</v>
      </c>
    </row>
    <row r="74" spans="1:40" ht="22.35" customHeight="1" x14ac:dyDescent="0.2">
      <c r="A74" s="539"/>
      <c r="B74" s="539" t="s">
        <v>355</v>
      </c>
      <c r="C74" s="1110" t="s">
        <v>32</v>
      </c>
      <c r="D74" s="1236">
        <v>79</v>
      </c>
      <c r="E74" s="1236">
        <v>4</v>
      </c>
      <c r="F74" s="974"/>
      <c r="G74" s="974"/>
      <c r="H74" s="974" t="s">
        <v>0</v>
      </c>
      <c r="I74" s="1234">
        <v>8</v>
      </c>
      <c r="J74" s="1234">
        <v>8</v>
      </c>
      <c r="K74" s="1236">
        <v>8</v>
      </c>
      <c r="L74" s="1236">
        <v>8</v>
      </c>
      <c r="M74" s="974"/>
      <c r="N74" s="974"/>
      <c r="O74" s="964">
        <v>8</v>
      </c>
      <c r="P74" s="964">
        <v>8</v>
      </c>
      <c r="Q74" s="964">
        <v>8</v>
      </c>
      <c r="R74" s="964">
        <v>8</v>
      </c>
      <c r="S74" s="964" t="s">
        <v>356</v>
      </c>
      <c r="T74" s="1110"/>
      <c r="U74" s="1110"/>
      <c r="V74" s="1237">
        <v>9</v>
      </c>
      <c r="W74" s="1237">
        <v>9</v>
      </c>
      <c r="X74" s="1237">
        <v>9</v>
      </c>
      <c r="Y74" s="1237">
        <v>9</v>
      </c>
      <c r="Z74" s="868" t="s">
        <v>36</v>
      </c>
      <c r="AA74" s="1237" t="s">
        <v>80</v>
      </c>
      <c r="AB74" s="1237" t="s">
        <v>81</v>
      </c>
      <c r="AC74" s="644" t="s">
        <v>36</v>
      </c>
      <c r="AD74" s="644" t="s">
        <v>36</v>
      </c>
      <c r="AE74" s="644" t="s">
        <v>36</v>
      </c>
      <c r="AF74" s="1234">
        <v>3</v>
      </c>
      <c r="AG74" s="613"/>
      <c r="AH74" s="1"/>
      <c r="AJ74" s="845">
        <f t="shared" si="5"/>
        <v>160.33000000000001</v>
      </c>
      <c r="AK74" s="845"/>
      <c r="AL74" s="845">
        <f t="shared" si="6"/>
        <v>160.33000000000001</v>
      </c>
      <c r="AM74" s="846">
        <f t="shared" si="3"/>
        <v>0</v>
      </c>
      <c r="AN74" s="846">
        <f>IF(AM74="","",AM74+'Maj 2022'!AN74)</f>
        <v>0</v>
      </c>
    </row>
    <row r="75" spans="1:40" ht="22.35" customHeight="1" x14ac:dyDescent="0.2">
      <c r="A75" s="539"/>
      <c r="B75" s="933" t="s">
        <v>0</v>
      </c>
      <c r="C75" s="974"/>
      <c r="D75" s="974"/>
      <c r="E75" s="974"/>
      <c r="F75" s="974"/>
      <c r="G75" s="974"/>
      <c r="H75" s="974"/>
      <c r="I75" s="974"/>
      <c r="J75" s="974"/>
      <c r="K75" s="974"/>
      <c r="L75" s="974"/>
      <c r="M75" s="974"/>
      <c r="N75" s="974"/>
      <c r="O75" s="974"/>
      <c r="P75" s="974"/>
      <c r="Q75" s="974"/>
      <c r="R75" s="974"/>
      <c r="S75" s="974"/>
      <c r="T75" s="974"/>
      <c r="U75" s="974"/>
      <c r="V75" s="974"/>
      <c r="W75" s="974"/>
      <c r="X75" s="974"/>
      <c r="Y75" s="974"/>
      <c r="Z75" s="974"/>
      <c r="AA75" s="974"/>
      <c r="AB75" s="974"/>
      <c r="AC75" s="974"/>
      <c r="AD75" s="974"/>
      <c r="AE75" s="974"/>
      <c r="AF75" s="974"/>
      <c r="AG75" s="974"/>
      <c r="AH75" s="1"/>
      <c r="AJ75" s="845">
        <f t="shared" si="5"/>
        <v>160.33000000000001</v>
      </c>
      <c r="AK75" s="845"/>
      <c r="AL75" s="845">
        <f t="shared" si="6"/>
        <v>160.33000000000001</v>
      </c>
      <c r="AM75" s="846">
        <f t="shared" si="3"/>
        <v>0</v>
      </c>
      <c r="AN75" s="846">
        <f>IF(AM75="","",AM75+'Maj 2022'!AN75)</f>
        <v>0</v>
      </c>
    </row>
    <row r="76" spans="1:40" ht="22.35" customHeight="1" x14ac:dyDescent="0.2">
      <c r="A76" s="539"/>
      <c r="B76" s="933" t="s">
        <v>0</v>
      </c>
      <c r="C76" s="974"/>
      <c r="D76" s="974"/>
      <c r="E76" s="974"/>
      <c r="F76" s="974"/>
      <c r="G76" s="974"/>
      <c r="H76" s="974"/>
      <c r="I76" s="974"/>
      <c r="J76" s="974"/>
      <c r="K76" s="974"/>
      <c r="L76" s="974"/>
      <c r="M76" s="974"/>
      <c r="N76" s="974"/>
      <c r="O76" s="974"/>
      <c r="P76" s="974"/>
      <c r="Q76" s="974"/>
      <c r="R76" s="974"/>
      <c r="S76" s="974"/>
      <c r="T76" s="974"/>
      <c r="U76" s="974"/>
      <c r="V76" s="974"/>
      <c r="W76" s="974"/>
      <c r="X76" s="974"/>
      <c r="Y76" s="974"/>
      <c r="Z76" s="974"/>
      <c r="AA76" s="974"/>
      <c r="AB76" s="974"/>
      <c r="AC76" s="974"/>
      <c r="AD76" s="974"/>
      <c r="AE76" s="974"/>
      <c r="AF76" s="974"/>
      <c r="AG76" s="974"/>
      <c r="AH76" s="1"/>
      <c r="AJ76" s="845">
        <f t="shared" si="5"/>
        <v>160.33000000000001</v>
      </c>
      <c r="AK76" s="845"/>
      <c r="AL76" s="845">
        <f t="shared" si="6"/>
        <v>160.33000000000001</v>
      </c>
      <c r="AM76" s="846">
        <f t="shared" si="3"/>
        <v>0</v>
      </c>
      <c r="AN76" s="846">
        <f>IF(AM76="","",AM76+'Maj 2022'!AN76)</f>
        <v>0</v>
      </c>
    </row>
    <row r="77" spans="1:40" ht="22.35" customHeight="1" x14ac:dyDescent="0.2">
      <c r="A77" s="977"/>
      <c r="B77" s="933" t="s">
        <v>0</v>
      </c>
      <c r="C77" s="974"/>
      <c r="D77" s="974"/>
      <c r="E77" s="974"/>
      <c r="F77" s="974"/>
      <c r="G77" s="974"/>
      <c r="H77" s="974"/>
      <c r="I77" s="974"/>
      <c r="J77" s="974"/>
      <c r="K77" s="974"/>
      <c r="L77" s="974"/>
      <c r="M77" s="974"/>
      <c r="N77" s="974"/>
      <c r="O77" s="974"/>
      <c r="P77" s="974"/>
      <c r="Q77" s="974"/>
      <c r="R77" s="974"/>
      <c r="S77" s="974"/>
      <c r="T77" s="974"/>
      <c r="U77" s="974"/>
      <c r="V77" s="974"/>
      <c r="W77" s="974"/>
      <c r="X77" s="974"/>
      <c r="Y77" s="974"/>
      <c r="Z77" s="974"/>
      <c r="AA77" s="974"/>
      <c r="AB77" s="974"/>
      <c r="AC77" s="974"/>
      <c r="AD77" s="974"/>
      <c r="AE77" s="974"/>
      <c r="AF77" s="974"/>
      <c r="AG77" s="974"/>
      <c r="AH77" s="1"/>
      <c r="AJ77" s="845">
        <f t="shared" si="5"/>
        <v>160.33000000000001</v>
      </c>
      <c r="AK77" s="845"/>
      <c r="AL77" s="845">
        <f t="shared" si="6"/>
        <v>160.33000000000001</v>
      </c>
      <c r="AM77" s="846">
        <f t="shared" si="3"/>
        <v>0</v>
      </c>
      <c r="AN77" s="846">
        <f>IF(AM77="","",AM77+'Maj 2022'!AN77)</f>
        <v>0</v>
      </c>
    </row>
    <row r="78" spans="1:40" ht="22.35" customHeight="1" x14ac:dyDescent="0.2">
      <c r="A78" s="977"/>
      <c r="B78" s="1182" t="s">
        <v>0</v>
      </c>
      <c r="C78" s="974"/>
      <c r="D78" s="974"/>
      <c r="E78" s="974"/>
      <c r="F78" s="974"/>
      <c r="G78" s="974"/>
      <c r="H78" s="974"/>
      <c r="I78" s="974"/>
      <c r="J78" s="974"/>
      <c r="K78" s="974"/>
      <c r="L78" s="974"/>
      <c r="M78" s="974"/>
      <c r="N78" s="974"/>
      <c r="O78" s="974"/>
      <c r="P78" s="974"/>
      <c r="Q78" s="974"/>
      <c r="R78" s="974"/>
      <c r="S78" s="974"/>
      <c r="T78" s="974"/>
      <c r="U78" s="974"/>
      <c r="V78" s="974"/>
      <c r="W78" s="974"/>
      <c r="X78" s="974"/>
      <c r="Y78" s="974"/>
      <c r="Z78" s="974"/>
      <c r="AA78" s="974"/>
      <c r="AB78" s="974"/>
      <c r="AC78" s="974"/>
      <c r="AD78" s="974"/>
      <c r="AE78" s="974"/>
      <c r="AF78" s="974"/>
      <c r="AG78" s="974"/>
      <c r="AH78" s="1"/>
      <c r="AJ78" s="845">
        <f t="shared" si="5"/>
        <v>160.33000000000001</v>
      </c>
      <c r="AK78" s="845"/>
      <c r="AL78" s="845">
        <f t="shared" si="6"/>
        <v>160.33000000000001</v>
      </c>
      <c r="AM78" s="846">
        <f t="shared" si="3"/>
        <v>0</v>
      </c>
      <c r="AN78" s="846">
        <f>IF(AM78="","",AM78+'Maj 2022'!AN78)</f>
        <v>0</v>
      </c>
    </row>
    <row r="79" spans="1:40" ht="22.35" customHeight="1" thickBot="1" x14ac:dyDescent="0.25">
      <c r="A79" s="977"/>
      <c r="B79" s="502"/>
      <c r="C79" s="851"/>
      <c r="D79" s="975"/>
      <c r="E79" s="851"/>
      <c r="F79" s="644"/>
      <c r="G79" s="644"/>
      <c r="H79" s="644"/>
      <c r="I79" s="644"/>
      <c r="J79" s="644"/>
      <c r="K79" s="644"/>
      <c r="L79" s="644"/>
      <c r="M79" s="644"/>
      <c r="N79" s="644"/>
      <c r="O79" s="644"/>
      <c r="P79" s="644"/>
      <c r="Q79" s="644"/>
      <c r="R79" s="644"/>
      <c r="S79" s="644"/>
      <c r="T79" s="851"/>
      <c r="U79" s="851"/>
      <c r="V79" s="974"/>
      <c r="W79" s="851"/>
      <c r="X79" s="851"/>
      <c r="Y79" s="644"/>
      <c r="Z79" s="851"/>
      <c r="AA79" s="851"/>
      <c r="AB79" s="851"/>
      <c r="AC79" s="851"/>
      <c r="AD79" s="851"/>
      <c r="AE79" s="975"/>
      <c r="AF79" s="851"/>
      <c r="AG79" s="978"/>
      <c r="AH79" s="1"/>
      <c r="AJ79" s="845">
        <f t="shared" si="5"/>
        <v>160.33000000000001</v>
      </c>
      <c r="AK79" s="845"/>
      <c r="AL79" s="845">
        <f t="shared" si="6"/>
        <v>160.33000000000001</v>
      </c>
      <c r="AM79" s="846">
        <f t="shared" si="3"/>
        <v>0</v>
      </c>
      <c r="AN79" s="846">
        <f>IF(AM79="","",AM79+'Maj 2022'!AN79)</f>
        <v>0</v>
      </c>
    </row>
    <row r="80" spans="1:40" ht="22.35" customHeight="1" thickBot="1" x14ac:dyDescent="0.25">
      <c r="A80" s="977"/>
      <c r="B80" s="194" t="s">
        <v>147</v>
      </c>
      <c r="C80" s="796">
        <v>1</v>
      </c>
      <c r="D80" s="796">
        <v>2</v>
      </c>
      <c r="E80" s="796">
        <v>3</v>
      </c>
      <c r="F80" s="795">
        <v>4</v>
      </c>
      <c r="G80" s="795">
        <v>5</v>
      </c>
      <c r="H80" s="795">
        <v>6</v>
      </c>
      <c r="I80" s="796">
        <v>7</v>
      </c>
      <c r="J80" s="796">
        <v>8</v>
      </c>
      <c r="K80" s="796">
        <v>9</v>
      </c>
      <c r="L80" s="796">
        <v>10</v>
      </c>
      <c r="M80" s="795">
        <v>11</v>
      </c>
      <c r="N80" s="795">
        <v>12</v>
      </c>
      <c r="O80" s="796">
        <v>13</v>
      </c>
      <c r="P80" s="796">
        <v>14</v>
      </c>
      <c r="Q80" s="796">
        <v>15</v>
      </c>
      <c r="R80" s="796">
        <v>16</v>
      </c>
      <c r="S80" s="796">
        <v>17</v>
      </c>
      <c r="T80" s="795">
        <v>18</v>
      </c>
      <c r="U80" s="795">
        <v>19</v>
      </c>
      <c r="V80" s="796">
        <v>20</v>
      </c>
      <c r="W80" s="796">
        <v>21</v>
      </c>
      <c r="X80" s="796">
        <v>22</v>
      </c>
      <c r="Y80" s="796">
        <v>23</v>
      </c>
      <c r="Z80" s="796">
        <v>24</v>
      </c>
      <c r="AA80" s="795">
        <v>25</v>
      </c>
      <c r="AB80" s="795">
        <v>26</v>
      </c>
      <c r="AC80" s="796">
        <v>27</v>
      </c>
      <c r="AD80" s="796">
        <v>28</v>
      </c>
      <c r="AE80" s="796">
        <v>29</v>
      </c>
      <c r="AF80" s="796">
        <v>30</v>
      </c>
      <c r="AG80" s="797"/>
      <c r="AH80" s="1"/>
    </row>
    <row r="81" spans="1:35" ht="22.35" customHeight="1" thickBot="1" x14ac:dyDescent="0.25">
      <c r="A81" s="542"/>
      <c r="B81" s="319" t="s">
        <v>357</v>
      </c>
      <c r="C81" s="320" t="s">
        <v>32</v>
      </c>
      <c r="D81" s="321" t="s">
        <v>358</v>
      </c>
      <c r="E81" s="321">
        <v>3</v>
      </c>
      <c r="F81" s="195"/>
      <c r="G81" s="195"/>
      <c r="H81" s="195"/>
      <c r="I81" s="199" t="s">
        <v>58</v>
      </c>
      <c r="J81" s="199" t="s">
        <v>58</v>
      </c>
      <c r="K81" s="199" t="s">
        <v>58</v>
      </c>
      <c r="L81" s="199">
        <v>4</v>
      </c>
      <c r="M81" s="195"/>
      <c r="N81" s="195"/>
      <c r="O81" s="190">
        <v>3</v>
      </c>
      <c r="P81" s="190">
        <v>3</v>
      </c>
      <c r="Q81" s="190">
        <v>3</v>
      </c>
      <c r="R81" s="330">
        <v>3</v>
      </c>
      <c r="S81" s="190">
        <v>3</v>
      </c>
      <c r="T81" s="322">
        <v>89</v>
      </c>
      <c r="U81" s="196"/>
      <c r="V81" s="320">
        <v>8</v>
      </c>
      <c r="W81" s="320">
        <v>8</v>
      </c>
      <c r="X81" s="320">
        <v>8</v>
      </c>
      <c r="Y81" s="320">
        <v>8</v>
      </c>
      <c r="Z81" s="320">
        <v>8</v>
      </c>
      <c r="AA81" s="193"/>
      <c r="AB81" s="193"/>
      <c r="AC81" s="900">
        <v>89</v>
      </c>
      <c r="AD81" s="900">
        <v>89</v>
      </c>
      <c r="AE81" s="900">
        <v>89</v>
      </c>
      <c r="AF81" s="901">
        <v>89</v>
      </c>
      <c r="AG81" s="213"/>
      <c r="AH81" s="1"/>
    </row>
    <row r="82" spans="1:35" ht="22.35" customHeight="1" thickBot="1" x14ac:dyDescent="0.25">
      <c r="A82" s="979"/>
      <c r="B82" s="539" t="s">
        <v>359</v>
      </c>
      <c r="C82" s="644"/>
      <c r="D82" s="644"/>
      <c r="E82" s="644"/>
      <c r="F82" s="644"/>
      <c r="G82" s="975"/>
      <c r="H82" s="975"/>
      <c r="I82" s="848"/>
      <c r="J82" s="848"/>
      <c r="K82" s="848"/>
      <c r="L82" s="848"/>
      <c r="M82" s="848"/>
      <c r="N82" s="848"/>
      <c r="O82" s="848"/>
      <c r="P82" s="644"/>
      <c r="Q82" s="644"/>
      <c r="R82" s="980"/>
      <c r="S82" s="980"/>
      <c r="T82" s="644"/>
      <c r="U82" s="975"/>
      <c r="V82" s="975"/>
      <c r="W82" s="851"/>
      <c r="X82" s="644"/>
      <c r="Y82" s="644"/>
      <c r="Z82" s="851"/>
      <c r="AA82" s="644"/>
      <c r="AB82" s="644"/>
      <c r="AC82" s="644"/>
      <c r="AD82" s="644"/>
      <c r="AE82" s="644" t="s">
        <v>32</v>
      </c>
      <c r="AF82" s="644" t="s">
        <v>58</v>
      </c>
      <c r="AG82" s="1199"/>
      <c r="AH82" s="1"/>
    </row>
    <row r="83" spans="1:35" ht="22.35" customHeight="1" thickBot="1" x14ac:dyDescent="0.25">
      <c r="A83" s="64"/>
      <c r="B83" s="194" t="s">
        <v>150</v>
      </c>
      <c r="C83" s="193"/>
      <c r="D83" s="195"/>
      <c r="E83" s="195"/>
      <c r="F83" s="195"/>
      <c r="G83" s="195"/>
      <c r="H83" s="195"/>
      <c r="I83" s="193"/>
      <c r="J83" s="193"/>
      <c r="K83" s="195"/>
      <c r="L83" s="195"/>
      <c r="M83" s="195"/>
      <c r="N83" s="195"/>
      <c r="O83" s="195"/>
      <c r="P83" s="193"/>
      <c r="Q83" s="193"/>
      <c r="R83" s="193"/>
      <c r="S83" s="196"/>
      <c r="T83" s="196"/>
      <c r="U83" s="196"/>
      <c r="V83" s="193"/>
      <c r="W83" s="193"/>
      <c r="X83" s="193"/>
      <c r="Y83" s="193"/>
      <c r="Z83" s="193"/>
      <c r="AA83" s="193"/>
      <c r="AB83" s="193"/>
      <c r="AC83" s="193"/>
      <c r="AD83" s="193"/>
      <c r="AE83" s="193"/>
      <c r="AF83" s="193"/>
      <c r="AG83" s="213"/>
      <c r="AH83" s="1"/>
    </row>
    <row r="84" spans="1:35" ht="22.35" customHeight="1" thickBot="1" x14ac:dyDescent="0.25">
      <c r="A84" s="981"/>
      <c r="B84" s="275" t="s">
        <v>151</v>
      </c>
      <c r="C84" s="868" t="s">
        <v>36</v>
      </c>
      <c r="D84" s="868" t="s">
        <v>36</v>
      </c>
      <c r="E84" s="868" t="s">
        <v>36</v>
      </c>
      <c r="F84" s="815"/>
      <c r="G84" s="809"/>
      <c r="H84" s="741">
        <v>1</v>
      </c>
      <c r="I84" s="741">
        <v>1</v>
      </c>
      <c r="J84" s="741">
        <v>1</v>
      </c>
      <c r="K84" s="741">
        <v>1</v>
      </c>
      <c r="L84" s="741">
        <v>1</v>
      </c>
      <c r="M84" s="809"/>
      <c r="N84" s="809"/>
      <c r="O84" s="741">
        <v>9</v>
      </c>
      <c r="P84" s="741">
        <v>9</v>
      </c>
      <c r="Q84" s="741">
        <v>9</v>
      </c>
      <c r="R84" s="741">
        <v>9</v>
      </c>
      <c r="S84" s="741">
        <v>9</v>
      </c>
      <c r="T84" s="741" t="s">
        <v>80</v>
      </c>
      <c r="U84" s="741" t="s">
        <v>81</v>
      </c>
      <c r="V84" s="741" t="s">
        <v>36</v>
      </c>
      <c r="W84" s="741" t="s">
        <v>36</v>
      </c>
      <c r="X84" s="741" t="s">
        <v>36</v>
      </c>
      <c r="Y84" s="741" t="s">
        <v>36</v>
      </c>
      <c r="Z84" s="741" t="s">
        <v>36</v>
      </c>
      <c r="AA84" s="741" t="s">
        <v>82</v>
      </c>
      <c r="AB84" s="741" t="s">
        <v>83</v>
      </c>
      <c r="AC84" s="928">
        <v>6</v>
      </c>
      <c r="AD84" s="741">
        <v>6</v>
      </c>
      <c r="AE84" s="741">
        <v>6</v>
      </c>
      <c r="AF84" s="741">
        <v>6</v>
      </c>
      <c r="AG84" s="732"/>
      <c r="AH84" s="1"/>
    </row>
    <row r="85" spans="1:35" ht="22.35" customHeight="1" x14ac:dyDescent="0.2">
      <c r="A85" s="982"/>
      <c r="AH85" s="1"/>
    </row>
    <row r="86" spans="1:35" ht="22.35" customHeight="1" thickBot="1" x14ac:dyDescent="0.25">
      <c r="A86" s="983"/>
      <c r="B86" s="748" t="s">
        <v>29</v>
      </c>
      <c r="C86" s="796">
        <v>1</v>
      </c>
      <c r="D86" s="796">
        <v>2</v>
      </c>
      <c r="E86" s="796">
        <v>3</v>
      </c>
      <c r="F86" s="795">
        <v>4</v>
      </c>
      <c r="G86" s="795">
        <v>5</v>
      </c>
      <c r="H86" s="795">
        <v>6</v>
      </c>
      <c r="I86" s="796">
        <v>7</v>
      </c>
      <c r="J86" s="796">
        <v>8</v>
      </c>
      <c r="K86" s="796">
        <v>9</v>
      </c>
      <c r="L86" s="796">
        <v>10</v>
      </c>
      <c r="M86" s="795">
        <v>11</v>
      </c>
      <c r="N86" s="795">
        <v>12</v>
      </c>
      <c r="O86" s="796">
        <v>13</v>
      </c>
      <c r="P86" s="796">
        <v>14</v>
      </c>
      <c r="Q86" s="796">
        <v>15</v>
      </c>
      <c r="R86" s="796">
        <v>16</v>
      </c>
      <c r="S86" s="796">
        <v>17</v>
      </c>
      <c r="T86" s="795">
        <v>18</v>
      </c>
      <c r="U86" s="795">
        <v>19</v>
      </c>
      <c r="V86" s="796">
        <v>20</v>
      </c>
      <c r="W86" s="796">
        <v>21</v>
      </c>
      <c r="X86" s="796">
        <v>22</v>
      </c>
      <c r="Y86" s="796">
        <v>23</v>
      </c>
      <c r="Z86" s="796">
        <v>24</v>
      </c>
      <c r="AA86" s="795">
        <v>25</v>
      </c>
      <c r="AB86" s="795">
        <v>26</v>
      </c>
      <c r="AC86" s="796">
        <v>27</v>
      </c>
      <c r="AD86" s="796">
        <v>28</v>
      </c>
      <c r="AE86" s="796">
        <v>29</v>
      </c>
      <c r="AF86" s="796">
        <v>30</v>
      </c>
      <c r="AG86" s="797"/>
      <c r="AH86" s="1"/>
    </row>
    <row r="87" spans="1:35" ht="22.35" customHeight="1" x14ac:dyDescent="0.2">
      <c r="A87" s="983"/>
      <c r="B87" s="984" t="s">
        <v>152</v>
      </c>
      <c r="C87" s="899"/>
      <c r="D87" s="924"/>
      <c r="E87" s="899"/>
      <c r="F87" s="899"/>
      <c r="G87" s="899"/>
      <c r="H87" s="899"/>
      <c r="I87" s="899"/>
      <c r="J87" s="899"/>
      <c r="K87" s="899"/>
      <c r="L87" s="899"/>
      <c r="M87" s="899"/>
      <c r="N87" s="899"/>
      <c r="O87" s="899"/>
      <c r="P87" s="899"/>
      <c r="Q87" s="899"/>
      <c r="R87" s="899"/>
      <c r="S87" s="899"/>
      <c r="T87" s="899"/>
      <c r="U87" s="899"/>
      <c r="V87" s="899"/>
      <c r="W87" s="899"/>
      <c r="X87" s="899"/>
      <c r="Y87" s="899"/>
      <c r="Z87" s="899"/>
      <c r="AA87" s="899"/>
      <c r="AB87" s="899"/>
      <c r="AC87" s="899"/>
      <c r="AD87" s="899"/>
      <c r="AE87" s="899"/>
      <c r="AF87" s="899"/>
      <c r="AG87" s="941"/>
      <c r="AH87" s="1"/>
    </row>
    <row r="88" spans="1:35" ht="22.35" customHeight="1" x14ac:dyDescent="0.2">
      <c r="A88" s="983"/>
      <c r="B88" s="819" t="s">
        <v>0</v>
      </c>
      <c r="C88" s="985">
        <v>4</v>
      </c>
      <c r="D88" s="985">
        <v>4</v>
      </c>
      <c r="E88" s="985">
        <v>4</v>
      </c>
      <c r="F88" s="809"/>
      <c r="G88" s="809"/>
      <c r="H88" s="985"/>
      <c r="I88" s="985">
        <v>26</v>
      </c>
      <c r="J88" s="985">
        <v>26</v>
      </c>
      <c r="K88" s="985">
        <v>26</v>
      </c>
      <c r="L88" s="985">
        <v>26</v>
      </c>
      <c r="M88" s="985"/>
      <c r="N88" s="985"/>
      <c r="O88" s="814" t="s">
        <v>128</v>
      </c>
      <c r="P88" s="814" t="s">
        <v>128</v>
      </c>
      <c r="Q88" s="814" t="s">
        <v>128</v>
      </c>
      <c r="R88" s="814" t="s">
        <v>128</v>
      </c>
      <c r="S88" s="814" t="s">
        <v>128</v>
      </c>
      <c r="T88" s="814"/>
      <c r="U88" s="985"/>
      <c r="V88" s="985" t="s">
        <v>235</v>
      </c>
      <c r="W88" s="985" t="s">
        <v>235</v>
      </c>
      <c r="X88" s="985" t="s">
        <v>235</v>
      </c>
      <c r="Y88" s="985" t="s">
        <v>235</v>
      </c>
      <c r="Z88" s="985" t="s">
        <v>235</v>
      </c>
      <c r="AA88" s="985"/>
      <c r="AB88" s="985"/>
      <c r="AC88" s="985" t="s">
        <v>225</v>
      </c>
      <c r="AD88" s="985" t="s">
        <v>225</v>
      </c>
      <c r="AE88" s="985" t="s">
        <v>225</v>
      </c>
      <c r="AF88" s="985" t="s">
        <v>225</v>
      </c>
      <c r="AG88" s="986"/>
      <c r="AH88" s="1"/>
    </row>
    <row r="89" spans="1:35" ht="22.35" customHeight="1" thickBot="1" x14ac:dyDescent="0.25">
      <c r="A89" s="983"/>
      <c r="B89" s="905"/>
      <c r="C89" s="814">
        <v>7</v>
      </c>
      <c r="D89" s="814">
        <v>7</v>
      </c>
      <c r="E89" s="814">
        <v>7</v>
      </c>
      <c r="F89" s="814"/>
      <c r="G89" s="814"/>
      <c r="H89" s="814"/>
      <c r="I89" s="814">
        <v>1</v>
      </c>
      <c r="J89" s="814">
        <v>1</v>
      </c>
      <c r="K89" s="814">
        <v>1</v>
      </c>
      <c r="L89" s="814">
        <v>1</v>
      </c>
      <c r="M89" s="814"/>
      <c r="N89" s="814"/>
      <c r="O89" s="985">
        <v>25</v>
      </c>
      <c r="P89" s="985">
        <v>25</v>
      </c>
      <c r="Q89" s="985">
        <v>25</v>
      </c>
      <c r="R89" s="985">
        <v>25</v>
      </c>
      <c r="S89" s="985">
        <v>25</v>
      </c>
      <c r="T89" s="814"/>
      <c r="U89" s="814"/>
      <c r="V89" s="814">
        <v>79</v>
      </c>
      <c r="W89" s="814">
        <v>79</v>
      </c>
      <c r="X89" s="814">
        <v>79</v>
      </c>
      <c r="Y89" s="814">
        <v>79</v>
      </c>
      <c r="Z89" s="814">
        <v>79</v>
      </c>
      <c r="AA89" s="814"/>
      <c r="AB89" s="814"/>
      <c r="AC89" s="814">
        <v>8</v>
      </c>
      <c r="AD89" s="814">
        <v>8</v>
      </c>
      <c r="AE89" s="814">
        <v>8</v>
      </c>
      <c r="AF89" s="814">
        <v>8</v>
      </c>
      <c r="AG89" s="1199"/>
      <c r="AH89" s="1"/>
    </row>
    <row r="90" spans="1:35" ht="22.35" customHeight="1" thickBot="1" x14ac:dyDescent="0.25">
      <c r="A90" s="197"/>
      <c r="B90" s="905"/>
      <c r="C90" s="987"/>
      <c r="D90" s="987"/>
      <c r="E90" s="987"/>
      <c r="F90" s="987"/>
      <c r="G90" s="987"/>
      <c r="H90" s="987"/>
      <c r="I90" s="987"/>
      <c r="J90" s="987"/>
      <c r="K90" s="987"/>
      <c r="L90" s="987"/>
      <c r="M90" s="987"/>
      <c r="N90" s="987"/>
      <c r="O90" s="987"/>
      <c r="P90" s="987"/>
      <c r="Q90" s="987"/>
      <c r="R90" s="987"/>
      <c r="S90" s="987"/>
      <c r="T90" s="987"/>
      <c r="U90" s="987"/>
      <c r="V90" s="987"/>
      <c r="W90" s="987"/>
      <c r="X90" s="987"/>
      <c r="Y90" s="987"/>
      <c r="Z90" s="987"/>
      <c r="AA90" s="987"/>
      <c r="AB90" s="987"/>
      <c r="AC90" s="987"/>
      <c r="AD90" s="987"/>
      <c r="AE90" s="987"/>
      <c r="AF90" s="987"/>
      <c r="AG90" s="797"/>
      <c r="AH90" s="1"/>
    </row>
    <row r="91" spans="1:35" ht="22.35" customHeight="1" x14ac:dyDescent="0.2">
      <c r="B91" s="198"/>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c r="AA91" s="199"/>
      <c r="AB91" s="199"/>
      <c r="AC91" s="199"/>
      <c r="AD91" s="199"/>
      <c r="AE91" s="199"/>
      <c r="AF91" s="199"/>
      <c r="AG91" s="199"/>
      <c r="AH91" s="1"/>
    </row>
    <row r="92" spans="1:35" ht="22.35" customHeight="1" x14ac:dyDescent="0.2">
      <c r="B92" s="198"/>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c r="AA92" s="199"/>
      <c r="AB92" s="199"/>
      <c r="AC92" s="199"/>
      <c r="AD92" s="199"/>
      <c r="AE92" s="199"/>
      <c r="AF92" s="199"/>
      <c r="AG92" s="199"/>
      <c r="AH92" s="1"/>
    </row>
    <row r="93" spans="1:35" ht="22.35" customHeight="1" thickBot="1" x14ac:dyDescent="0.25">
      <c r="A93" s="169" t="s">
        <v>156</v>
      </c>
    </row>
    <row r="94" spans="1:35" ht="22.35" customHeight="1" thickBot="1" x14ac:dyDescent="0.25">
      <c r="B94" s="988" t="s">
        <v>157</v>
      </c>
      <c r="C94" s="989"/>
      <c r="D94" s="872" t="s">
        <v>107</v>
      </c>
      <c r="E94" s="872"/>
      <c r="F94" s="990"/>
      <c r="G94" s="989"/>
      <c r="H94" s="872" t="s">
        <v>108</v>
      </c>
      <c r="I94" s="872"/>
      <c r="J94" s="990"/>
      <c r="K94" s="989"/>
      <c r="L94" s="872" t="s">
        <v>109</v>
      </c>
      <c r="M94" s="872"/>
      <c r="N94" s="990"/>
      <c r="O94" s="989"/>
      <c r="P94" s="872" t="s">
        <v>110</v>
      </c>
      <c r="Q94" s="872"/>
      <c r="R94" s="990"/>
      <c r="S94" s="989"/>
      <c r="T94" s="872" t="s">
        <v>111</v>
      </c>
      <c r="U94" s="872"/>
      <c r="V94" s="990"/>
      <c r="W94" s="989"/>
      <c r="X94" s="872" t="s">
        <v>112</v>
      </c>
      <c r="Y94" s="872"/>
      <c r="Z94" s="990"/>
      <c r="AA94" s="989"/>
      <c r="AB94" s="872" t="s">
        <v>113</v>
      </c>
      <c r="AC94" s="872"/>
      <c r="AD94" s="872"/>
      <c r="AE94" s="872" t="s">
        <v>158</v>
      </c>
      <c r="AF94" s="872"/>
      <c r="AG94" s="872"/>
      <c r="AH94" s="872"/>
      <c r="AI94" s="991"/>
    </row>
    <row r="95" spans="1:35" ht="22.35" customHeight="1" x14ac:dyDescent="0.2">
      <c r="B95" s="992" t="s">
        <v>159</v>
      </c>
      <c r="C95" s="993" t="s">
        <v>160</v>
      </c>
      <c r="D95" s="872"/>
      <c r="E95" s="876"/>
      <c r="F95" s="994"/>
      <c r="G95" s="993" t="s">
        <v>160</v>
      </c>
      <c r="H95" s="995"/>
      <c r="I95" s="876"/>
      <c r="J95" s="994"/>
      <c r="K95" s="996" t="s">
        <v>160</v>
      </c>
      <c r="L95" s="872"/>
      <c r="M95" s="872"/>
      <c r="N95" s="990"/>
      <c r="O95" s="996" t="s">
        <v>161</v>
      </c>
      <c r="P95" s="997"/>
      <c r="Q95" s="876"/>
      <c r="R95" s="994"/>
      <c r="S95" s="993" t="s">
        <v>162</v>
      </c>
      <c r="T95" s="876"/>
      <c r="U95" s="876"/>
      <c r="V95" s="876"/>
      <c r="W95" s="1238"/>
      <c r="X95" s="1239"/>
      <c r="Y95" s="1239"/>
      <c r="Z95" s="1240"/>
      <c r="AA95" s="876"/>
      <c r="AB95" s="876"/>
      <c r="AC95" s="876"/>
      <c r="AD95" s="876"/>
      <c r="AE95" s="1241">
        <v>37</v>
      </c>
      <c r="AF95" s="872"/>
      <c r="AG95" s="876"/>
      <c r="AH95" s="876"/>
      <c r="AI95" s="877"/>
    </row>
    <row r="96" spans="1:35" ht="22.35" customHeight="1" x14ac:dyDescent="0.2">
      <c r="B96" s="749" t="s">
        <v>163</v>
      </c>
      <c r="C96" s="1002" t="s">
        <v>164</v>
      </c>
      <c r="D96" s="743"/>
      <c r="E96" s="743"/>
      <c r="F96" s="787"/>
      <c r="G96" s="1002" t="s">
        <v>165</v>
      </c>
      <c r="H96" s="886"/>
      <c r="I96" s="743"/>
      <c r="J96" s="787"/>
      <c r="K96" s="1002" t="s">
        <v>166</v>
      </c>
      <c r="L96" s="743" t="s">
        <v>167</v>
      </c>
      <c r="M96" s="743"/>
      <c r="N96" s="787"/>
      <c r="O96" s="1002" t="s">
        <v>166</v>
      </c>
      <c r="P96" s="886" t="s">
        <v>167</v>
      </c>
      <c r="Q96" s="743"/>
      <c r="R96" s="787"/>
      <c r="S96" s="1002" t="s">
        <v>165</v>
      </c>
      <c r="T96" s="743" t="s">
        <v>168</v>
      </c>
      <c r="U96" s="743"/>
      <c r="V96" s="787"/>
      <c r="W96" s="8" t="s">
        <v>127</v>
      </c>
      <c r="X96" s="14" t="s">
        <v>169</v>
      </c>
      <c r="Y96" s="14"/>
      <c r="Z96" s="14"/>
      <c r="AA96" s="742" t="s">
        <v>127</v>
      </c>
      <c r="AB96" s="743" t="s">
        <v>169</v>
      </c>
      <c r="AC96" s="742"/>
      <c r="AD96" s="742"/>
      <c r="AE96" s="742">
        <v>68</v>
      </c>
      <c r="AF96" s="743"/>
      <c r="AG96" s="743"/>
      <c r="AH96" s="743"/>
      <c r="AI96" s="788"/>
    </row>
    <row r="97" spans="1:35" ht="22.35" customHeight="1" x14ac:dyDescent="0.2">
      <c r="B97" s="749" t="s">
        <v>170</v>
      </c>
      <c r="C97" s="698" t="s">
        <v>171</v>
      </c>
      <c r="D97" s="743"/>
      <c r="E97" s="743"/>
      <c r="F97" s="787"/>
      <c r="G97" s="886" t="s">
        <v>171</v>
      </c>
      <c r="H97" s="886"/>
      <c r="I97" s="743"/>
      <c r="J97" s="787"/>
      <c r="K97" s="886" t="s">
        <v>171</v>
      </c>
      <c r="L97" s="743"/>
      <c r="M97" s="743"/>
      <c r="N97" s="787"/>
      <c r="O97" s="886" t="s">
        <v>171</v>
      </c>
      <c r="P97" s="886"/>
      <c r="Q97" s="743"/>
      <c r="R97" s="787"/>
      <c r="S97" s="886" t="s">
        <v>171</v>
      </c>
      <c r="T97" s="743"/>
      <c r="U97" s="743"/>
      <c r="V97" s="787"/>
      <c r="W97" s="742"/>
      <c r="X97" s="743"/>
      <c r="Y97" s="743"/>
      <c r="Z97" s="787"/>
      <c r="AA97" s="742"/>
      <c r="AB97" s="743"/>
      <c r="AC97" s="743"/>
      <c r="AD97" s="743"/>
      <c r="AE97" s="742">
        <v>0</v>
      </c>
      <c r="AF97" s="743"/>
      <c r="AG97" s="743"/>
      <c r="AH97" s="743"/>
      <c r="AI97" s="788"/>
    </row>
    <row r="98" spans="1:35" ht="22.35" customHeight="1" thickBot="1" x14ac:dyDescent="0.25">
      <c r="B98" s="1003" t="s">
        <v>172</v>
      </c>
      <c r="C98" s="1004" t="s">
        <v>160</v>
      </c>
      <c r="D98" s="276"/>
      <c r="E98" s="734"/>
      <c r="F98" s="889"/>
      <c r="G98" s="1004" t="s">
        <v>160</v>
      </c>
      <c r="H98" s="278"/>
      <c r="I98" s="734"/>
      <c r="J98" s="889"/>
      <c r="K98" s="1004" t="s">
        <v>160</v>
      </c>
      <c r="L98" s="276"/>
      <c r="M98" s="734"/>
      <c r="N98" s="889"/>
      <c r="O98" s="1004" t="s">
        <v>161</v>
      </c>
      <c r="P98" s="891"/>
      <c r="Q98" s="734"/>
      <c r="R98" s="889"/>
      <c r="S98" s="1004" t="s">
        <v>162</v>
      </c>
      <c r="T98" s="734"/>
      <c r="U98" s="734"/>
      <c r="V98" s="734"/>
      <c r="W98" s="1005"/>
      <c r="X98" s="734"/>
      <c r="Y98" s="734"/>
      <c r="Z98" s="699"/>
      <c r="AA98" s="734"/>
      <c r="AB98" s="734"/>
      <c r="AC98" s="734"/>
      <c r="AD98" s="734"/>
      <c r="AE98" s="1006">
        <v>37</v>
      </c>
      <c r="AF98" s="734"/>
      <c r="AG98" s="734"/>
      <c r="AH98" s="734"/>
      <c r="AI98" s="894"/>
    </row>
    <row r="99" spans="1:35" ht="22.35" customHeight="1" x14ac:dyDescent="0.2">
      <c r="D99" s="14"/>
    </row>
    <row r="100" spans="1:35" ht="22.35" customHeight="1" thickBot="1" x14ac:dyDescent="0.25">
      <c r="A100" s="739"/>
      <c r="B100" s="739" t="s">
        <v>29</v>
      </c>
      <c r="C100" s="796">
        <v>1</v>
      </c>
      <c r="D100" s="796">
        <v>2</v>
      </c>
      <c r="E100" s="796">
        <v>3</v>
      </c>
      <c r="F100" s="795">
        <v>4</v>
      </c>
      <c r="G100" s="795">
        <v>5</v>
      </c>
      <c r="H100" s="795">
        <v>6</v>
      </c>
      <c r="I100" s="796">
        <v>7</v>
      </c>
      <c r="J100" s="796">
        <v>8</v>
      </c>
      <c r="K100" s="796">
        <v>9</v>
      </c>
      <c r="L100" s="796">
        <v>10</v>
      </c>
      <c r="M100" s="795">
        <v>11</v>
      </c>
      <c r="N100" s="795">
        <v>12</v>
      </c>
      <c r="O100" s="796">
        <v>13</v>
      </c>
      <c r="P100" s="796">
        <v>14</v>
      </c>
      <c r="Q100" s="796">
        <v>15</v>
      </c>
      <c r="R100" s="796">
        <v>16</v>
      </c>
      <c r="S100" s="796">
        <v>17</v>
      </c>
      <c r="T100" s="795">
        <v>18</v>
      </c>
      <c r="U100" s="795">
        <v>19</v>
      </c>
      <c r="V100" s="796">
        <v>20</v>
      </c>
      <c r="W100" s="796">
        <v>21</v>
      </c>
      <c r="X100" s="796">
        <v>22</v>
      </c>
      <c r="Y100" s="796">
        <v>23</v>
      </c>
      <c r="Z100" s="796">
        <v>24</v>
      </c>
      <c r="AA100" s="795">
        <v>25</v>
      </c>
      <c r="AB100" s="795">
        <v>26</v>
      </c>
      <c r="AC100" s="796">
        <v>27</v>
      </c>
      <c r="AD100" s="796">
        <v>28</v>
      </c>
      <c r="AE100" s="796">
        <v>29</v>
      </c>
      <c r="AF100" s="796">
        <v>30</v>
      </c>
      <c r="AG100" s="797"/>
      <c r="AH100" s="173"/>
      <c r="AI100" s="174"/>
    </row>
    <row r="101" spans="1:35" ht="22.35" customHeight="1" x14ac:dyDescent="0.2">
      <c r="A101" s="1242">
        <v>1</v>
      </c>
      <c r="B101" s="1243" t="s">
        <v>173</v>
      </c>
      <c r="C101" s="899" t="s">
        <v>36</v>
      </c>
      <c r="D101" s="899" t="s">
        <v>36</v>
      </c>
      <c r="E101" s="899" t="s">
        <v>36</v>
      </c>
      <c r="F101" s="899"/>
      <c r="G101" s="899"/>
      <c r="H101" s="899"/>
      <c r="I101" s="899" t="s">
        <v>174</v>
      </c>
      <c r="J101" s="899" t="s">
        <v>174</v>
      </c>
      <c r="K101" s="899" t="s">
        <v>174</v>
      </c>
      <c r="L101" s="899" t="s">
        <v>174</v>
      </c>
      <c r="M101" s="899"/>
      <c r="N101" s="899"/>
      <c r="O101" s="899" t="s">
        <v>174</v>
      </c>
      <c r="P101" s="913" t="s">
        <v>174</v>
      </c>
      <c r="Q101" s="899" t="s">
        <v>174</v>
      </c>
      <c r="R101" s="899" t="s">
        <v>174</v>
      </c>
      <c r="S101" s="899" t="s">
        <v>174</v>
      </c>
      <c r="T101" s="899"/>
      <c r="U101" s="899"/>
      <c r="V101" s="899" t="s">
        <v>128</v>
      </c>
      <c r="W101" s="899" t="s">
        <v>128</v>
      </c>
      <c r="X101" s="1244" t="s">
        <v>128</v>
      </c>
      <c r="Y101" s="1244" t="s">
        <v>128</v>
      </c>
      <c r="Z101" s="1244" t="s">
        <v>128</v>
      </c>
      <c r="AA101" s="1244" t="s">
        <v>127</v>
      </c>
      <c r="AB101" s="899" t="s">
        <v>127</v>
      </c>
      <c r="AC101" s="899" t="s">
        <v>36</v>
      </c>
      <c r="AD101" s="899" t="s">
        <v>36</v>
      </c>
      <c r="AE101" s="899" t="s">
        <v>36</v>
      </c>
      <c r="AF101" s="899" t="s">
        <v>36</v>
      </c>
      <c r="AG101" s="899"/>
      <c r="AH101" s="178"/>
      <c r="AI101" s="179"/>
    </row>
    <row r="102" spans="1:35" ht="22.35" customHeight="1" x14ac:dyDescent="0.2">
      <c r="A102" s="1010">
        <v>2</v>
      </c>
      <c r="B102" s="1011" t="s">
        <v>175</v>
      </c>
      <c r="C102" s="1245" t="s">
        <v>128</v>
      </c>
      <c r="D102" s="1012" t="s">
        <v>128</v>
      </c>
      <c r="E102" s="1012" t="s">
        <v>128</v>
      </c>
      <c r="F102" s="1012" t="s">
        <v>127</v>
      </c>
      <c r="G102" s="1012" t="s">
        <v>127</v>
      </c>
      <c r="H102" s="813"/>
      <c r="I102" s="813" t="s">
        <v>36</v>
      </c>
      <c r="J102" s="813" t="s">
        <v>36</v>
      </c>
      <c r="K102" s="813" t="s">
        <v>36</v>
      </c>
      <c r="L102" s="1012" t="s">
        <v>36</v>
      </c>
      <c r="M102" s="644"/>
      <c r="N102" s="814"/>
      <c r="O102" s="851" t="s">
        <v>257</v>
      </c>
      <c r="P102" s="851" t="s">
        <v>257</v>
      </c>
      <c r="Q102" s="851" t="s">
        <v>257</v>
      </c>
      <c r="R102" s="851" t="s">
        <v>257</v>
      </c>
      <c r="S102" s="1246" t="s">
        <v>257</v>
      </c>
      <c r="T102" s="814"/>
      <c r="U102" s="814"/>
      <c r="V102" s="814" t="s">
        <v>257</v>
      </c>
      <c r="W102" s="851" t="s">
        <v>257</v>
      </c>
      <c r="X102" s="851" t="s">
        <v>257</v>
      </c>
      <c r="Y102" s="851" t="s">
        <v>257</v>
      </c>
      <c r="Z102" s="851" t="s">
        <v>257</v>
      </c>
      <c r="AA102" s="814"/>
      <c r="AB102" s="814"/>
      <c r="AC102" s="966" t="s">
        <v>128</v>
      </c>
      <c r="AD102" s="966" t="s">
        <v>128</v>
      </c>
      <c r="AE102" s="1012" t="s">
        <v>128</v>
      </c>
      <c r="AF102" s="1245" t="s">
        <v>128</v>
      </c>
      <c r="AG102" s="814"/>
      <c r="AH102" s="178"/>
      <c r="AI102" s="179"/>
    </row>
    <row r="103" spans="1:35" ht="22.35" customHeight="1" x14ac:dyDescent="0.2">
      <c r="A103" s="1010">
        <v>3</v>
      </c>
      <c r="B103" s="1011" t="s">
        <v>178</v>
      </c>
      <c r="C103" s="814" t="s">
        <v>177</v>
      </c>
      <c r="D103" s="814" t="s">
        <v>177</v>
      </c>
      <c r="E103" s="814" t="s">
        <v>177</v>
      </c>
      <c r="F103" s="916"/>
      <c r="G103" s="183"/>
      <c r="H103" s="814" t="s">
        <v>0</v>
      </c>
      <c r="I103" s="814" t="s">
        <v>177</v>
      </c>
      <c r="J103" s="813" t="s">
        <v>177</v>
      </c>
      <c r="K103" s="814" t="s">
        <v>177</v>
      </c>
      <c r="L103" s="814" t="s">
        <v>177</v>
      </c>
      <c r="M103" s="1012" t="s">
        <v>0</v>
      </c>
      <c r="N103" s="961"/>
      <c r="O103" s="814" t="s">
        <v>177</v>
      </c>
      <c r="P103" s="814" t="s">
        <v>177</v>
      </c>
      <c r="Q103" s="813" t="s">
        <v>177</v>
      </c>
      <c r="R103" s="814" t="s">
        <v>177</v>
      </c>
      <c r="S103" s="814" t="s">
        <v>177</v>
      </c>
      <c r="T103" s="814"/>
      <c r="U103" s="961"/>
      <c r="V103" s="814" t="s">
        <v>177</v>
      </c>
      <c r="W103" s="814" t="s">
        <v>177</v>
      </c>
      <c r="X103" s="813" t="s">
        <v>177</v>
      </c>
      <c r="Y103" s="814" t="s">
        <v>177</v>
      </c>
      <c r="Z103" s="814" t="s">
        <v>177</v>
      </c>
      <c r="AA103" s="814"/>
      <c r="AB103" s="814"/>
      <c r="AC103" s="1247" t="s">
        <v>174</v>
      </c>
      <c r="AD103" s="1247" t="s">
        <v>174</v>
      </c>
      <c r="AE103" s="1247" t="s">
        <v>174</v>
      </c>
      <c r="AF103" s="1247" t="s">
        <v>174</v>
      </c>
      <c r="AG103" s="1247"/>
      <c r="AH103" s="178"/>
      <c r="AI103" s="179"/>
    </row>
    <row r="104" spans="1:35" ht="22.35" customHeight="1" thickBot="1" x14ac:dyDescent="0.25">
      <c r="A104" s="1016">
        <v>4</v>
      </c>
      <c r="B104" s="1017" t="s">
        <v>173</v>
      </c>
      <c r="C104" s="958" t="s">
        <v>174</v>
      </c>
      <c r="D104" s="958" t="s">
        <v>174</v>
      </c>
      <c r="E104" s="958" t="s">
        <v>174</v>
      </c>
      <c r="F104" s="958"/>
      <c r="G104" s="958"/>
      <c r="H104" s="958"/>
      <c r="I104" s="958" t="s">
        <v>174</v>
      </c>
      <c r="J104" s="958" t="s">
        <v>174</v>
      </c>
      <c r="K104" s="958" t="s">
        <v>174</v>
      </c>
      <c r="L104" s="958" t="s">
        <v>174</v>
      </c>
      <c r="M104" s="958" t="s">
        <v>0</v>
      </c>
      <c r="N104" s="958" t="s">
        <v>0</v>
      </c>
      <c r="O104" s="958" t="s">
        <v>128</v>
      </c>
      <c r="P104" s="958" t="s">
        <v>128</v>
      </c>
      <c r="Q104" s="958" t="s">
        <v>128</v>
      </c>
      <c r="R104" s="958" t="s">
        <v>128</v>
      </c>
      <c r="S104" s="958" t="s">
        <v>128</v>
      </c>
      <c r="T104" s="958" t="s">
        <v>127</v>
      </c>
      <c r="U104" s="958" t="s">
        <v>127</v>
      </c>
      <c r="V104" s="958" t="s">
        <v>36</v>
      </c>
      <c r="W104" s="958" t="s">
        <v>36</v>
      </c>
      <c r="X104" s="958" t="s">
        <v>36</v>
      </c>
      <c r="Y104" s="958" t="s">
        <v>36</v>
      </c>
      <c r="Z104" s="958" t="s">
        <v>36</v>
      </c>
      <c r="AA104" s="796"/>
      <c r="AB104" s="796"/>
      <c r="AC104" s="796" t="s">
        <v>174</v>
      </c>
      <c r="AD104" s="796" t="s">
        <v>174</v>
      </c>
      <c r="AE104" s="958" t="s">
        <v>174</v>
      </c>
      <c r="AF104" s="958" t="s">
        <v>174</v>
      </c>
      <c r="AG104" s="797"/>
      <c r="AH104" s="178"/>
      <c r="AI104" s="179"/>
    </row>
    <row r="105" spans="1:35" ht="22.35" customHeight="1" thickBot="1" x14ac:dyDescent="0.25">
      <c r="A105" s="200"/>
      <c r="B105" s="190"/>
      <c r="C105" s="201"/>
      <c r="D105" s="201"/>
      <c r="E105" s="201"/>
      <c r="F105" s="201"/>
      <c r="G105" s="201"/>
      <c r="H105" s="201"/>
      <c r="I105" s="201"/>
      <c r="J105" s="201"/>
      <c r="K105" s="201"/>
      <c r="L105" s="201"/>
      <c r="M105" s="201"/>
      <c r="N105" s="201"/>
      <c r="O105" s="201"/>
      <c r="P105" s="201"/>
      <c r="Q105" s="201"/>
      <c r="R105" s="201"/>
      <c r="S105" s="201"/>
      <c r="T105" s="201"/>
      <c r="U105" s="201"/>
      <c r="V105" s="201"/>
      <c r="W105" s="201"/>
      <c r="X105" s="201"/>
      <c r="Y105" s="201"/>
      <c r="Z105" s="201"/>
      <c r="AA105" s="201"/>
      <c r="AB105" s="201"/>
      <c r="AC105" s="201"/>
      <c r="AD105" s="201"/>
      <c r="AE105" s="201"/>
      <c r="AF105" s="201"/>
      <c r="AG105" s="202"/>
      <c r="AH105" s="203"/>
      <c r="AI105" s="179"/>
    </row>
    <row r="106" spans="1:35" ht="22.35" customHeight="1" x14ac:dyDescent="0.2">
      <c r="A106" s="72"/>
      <c r="B106" s="1018" t="s">
        <v>180</v>
      </c>
      <c r="C106" s="1241"/>
      <c r="D106" s="1248" t="s">
        <v>107</v>
      </c>
      <c r="E106" s="1249"/>
      <c r="F106" s="1241"/>
      <c r="G106" s="1250" t="s">
        <v>108</v>
      </c>
      <c r="H106" s="994"/>
      <c r="I106" s="1251"/>
      <c r="J106" s="1250" t="s">
        <v>109</v>
      </c>
      <c r="K106" s="1252"/>
      <c r="L106" s="1251"/>
      <c r="M106" s="1253" t="s">
        <v>110</v>
      </c>
      <c r="N106" s="1252"/>
      <c r="O106" s="1251"/>
      <c r="P106" s="1250" t="s">
        <v>111</v>
      </c>
      <c r="Q106" s="1254"/>
      <c r="R106" s="1251"/>
      <c r="S106" s="1250" t="s">
        <v>112</v>
      </c>
      <c r="T106" s="1255"/>
      <c r="U106" s="1251"/>
      <c r="V106" s="1250" t="s">
        <v>113</v>
      </c>
      <c r="W106" s="1254"/>
      <c r="X106" s="1256" t="s">
        <v>158</v>
      </c>
      <c r="Y106" s="1257"/>
      <c r="Z106" s="1257"/>
      <c r="AA106" s="1258"/>
      <c r="AB106" s="996" t="s">
        <v>114</v>
      </c>
      <c r="AC106" s="1030"/>
      <c r="AD106" s="1030"/>
      <c r="AE106" s="1031"/>
      <c r="AF106" s="1031"/>
      <c r="AG106" s="1032"/>
      <c r="AH106" s="203"/>
      <c r="AI106" s="179"/>
    </row>
    <row r="107" spans="1:35" ht="22.35" customHeight="1" x14ac:dyDescent="0.2">
      <c r="A107" s="72"/>
      <c r="B107" s="744" t="s">
        <v>181</v>
      </c>
      <c r="C107" s="1033" t="s">
        <v>182</v>
      </c>
      <c r="D107" s="781"/>
      <c r="E107" s="782"/>
      <c r="F107" s="1033" t="s">
        <v>182</v>
      </c>
      <c r="G107" s="781"/>
      <c r="H107" s="782"/>
      <c r="I107" s="1033" t="s">
        <v>182</v>
      </c>
      <c r="J107" s="781"/>
      <c r="K107" s="782"/>
      <c r="L107" s="1033" t="s">
        <v>182</v>
      </c>
      <c r="M107" s="781"/>
      <c r="N107" s="782"/>
      <c r="O107" s="1033" t="s">
        <v>183</v>
      </c>
      <c r="P107" s="781"/>
      <c r="Q107" s="782"/>
      <c r="R107" s="1033"/>
      <c r="S107" s="781"/>
      <c r="T107" s="782"/>
      <c r="U107" s="1033"/>
      <c r="V107" s="781"/>
      <c r="W107" s="782"/>
      <c r="X107" s="1033"/>
      <c r="Y107" s="1034"/>
      <c r="Z107" s="1034"/>
      <c r="AA107" s="1034"/>
      <c r="AB107" s="779"/>
      <c r="AC107" s="1034"/>
      <c r="AD107" s="1034"/>
      <c r="AE107" s="1034"/>
      <c r="AF107" s="1034"/>
      <c r="AG107" s="1035"/>
      <c r="AH107" s="203"/>
      <c r="AI107" s="179"/>
    </row>
    <row r="108" spans="1:35" ht="22.35" customHeight="1" x14ac:dyDescent="0.2">
      <c r="A108" s="72"/>
      <c r="B108" s="17"/>
      <c r="C108" s="72"/>
      <c r="D108" s="72"/>
      <c r="E108" s="72"/>
      <c r="F108" s="72"/>
      <c r="G108" s="72"/>
      <c r="H108" s="72"/>
      <c r="I108" s="72"/>
      <c r="J108" s="72"/>
      <c r="K108" s="72"/>
      <c r="L108" s="72"/>
      <c r="M108" s="72"/>
      <c r="N108" s="72"/>
      <c r="O108" s="72"/>
      <c r="P108" s="72"/>
      <c r="Q108" s="72"/>
      <c r="R108" s="72"/>
      <c r="S108" s="72"/>
      <c r="T108" s="72"/>
      <c r="U108" s="72"/>
      <c r="V108" s="72"/>
      <c r="W108" s="72"/>
      <c r="X108" s="72"/>
      <c r="Y108" s="72"/>
      <c r="Z108" s="72"/>
      <c r="AA108" s="72"/>
      <c r="AB108" s="72"/>
      <c r="AC108" s="72"/>
      <c r="AD108" s="72"/>
      <c r="AE108" s="72"/>
      <c r="AF108" s="72"/>
      <c r="AG108" s="72"/>
      <c r="AH108" s="203"/>
      <c r="AI108" s="179"/>
    </row>
    <row r="109" spans="1:35" ht="22.35" customHeight="1" thickBot="1" x14ac:dyDescent="0.25">
      <c r="A109" s="981" t="s">
        <v>28</v>
      </c>
      <c r="B109" s="748" t="s">
        <v>29</v>
      </c>
      <c r="C109" s="796">
        <v>1</v>
      </c>
      <c r="D109" s="796">
        <v>2</v>
      </c>
      <c r="E109" s="796">
        <v>3</v>
      </c>
      <c r="F109" s="795">
        <v>4</v>
      </c>
      <c r="G109" s="795">
        <v>5</v>
      </c>
      <c r="H109" s="795">
        <v>6</v>
      </c>
      <c r="I109" s="796">
        <v>7</v>
      </c>
      <c r="J109" s="796">
        <v>8</v>
      </c>
      <c r="K109" s="796">
        <v>9</v>
      </c>
      <c r="L109" s="796">
        <v>10</v>
      </c>
      <c r="M109" s="795">
        <v>11</v>
      </c>
      <c r="N109" s="795">
        <v>12</v>
      </c>
      <c r="O109" s="796">
        <v>13</v>
      </c>
      <c r="P109" s="796">
        <v>14</v>
      </c>
      <c r="Q109" s="796">
        <v>15</v>
      </c>
      <c r="R109" s="796">
        <v>16</v>
      </c>
      <c r="S109" s="796">
        <v>17</v>
      </c>
      <c r="T109" s="795">
        <v>18</v>
      </c>
      <c r="U109" s="795">
        <v>19</v>
      </c>
      <c r="V109" s="796">
        <v>20</v>
      </c>
      <c r="W109" s="796">
        <v>21</v>
      </c>
      <c r="X109" s="796">
        <v>22</v>
      </c>
      <c r="Y109" s="796">
        <v>23</v>
      </c>
      <c r="Z109" s="796">
        <v>24</v>
      </c>
      <c r="AA109" s="795">
        <v>25</v>
      </c>
      <c r="AB109" s="795">
        <v>26</v>
      </c>
      <c r="AC109" s="796">
        <v>27</v>
      </c>
      <c r="AD109" s="796">
        <v>28</v>
      </c>
      <c r="AE109" s="796">
        <v>29</v>
      </c>
      <c r="AF109" s="796">
        <v>30</v>
      </c>
      <c r="AG109" s="797"/>
      <c r="AH109" s="203"/>
      <c r="AI109" s="179"/>
    </row>
    <row r="110" spans="1:35" ht="22.35" customHeight="1" x14ac:dyDescent="0.2">
      <c r="A110" s="1259">
        <v>8520</v>
      </c>
      <c r="B110" s="1260" t="s">
        <v>184</v>
      </c>
      <c r="C110" s="899" t="s">
        <v>60</v>
      </c>
      <c r="D110" s="899" t="s">
        <v>60</v>
      </c>
      <c r="E110" s="899" t="s">
        <v>60</v>
      </c>
      <c r="F110" s="899"/>
      <c r="G110" s="899"/>
      <c r="H110" s="899"/>
      <c r="I110" s="899" t="s">
        <v>60</v>
      </c>
      <c r="J110" s="899" t="s">
        <v>60</v>
      </c>
      <c r="K110" s="899" t="s">
        <v>60</v>
      </c>
      <c r="L110" s="899" t="s">
        <v>60</v>
      </c>
      <c r="M110" s="899"/>
      <c r="N110" s="899"/>
      <c r="O110" s="1261" t="s">
        <v>60</v>
      </c>
      <c r="P110" s="1261" t="s">
        <v>60</v>
      </c>
      <c r="Q110" s="1261" t="s">
        <v>60</v>
      </c>
      <c r="R110" s="1261" t="s">
        <v>60</v>
      </c>
      <c r="S110" s="1261" t="s">
        <v>60</v>
      </c>
      <c r="T110" s="1261"/>
      <c r="U110" s="1261"/>
      <c r="V110" s="1261" t="s">
        <v>60</v>
      </c>
      <c r="W110" s="1261" t="s">
        <v>60</v>
      </c>
      <c r="X110" s="1261" t="s">
        <v>60</v>
      </c>
      <c r="Y110" s="1261" t="s">
        <v>60</v>
      </c>
      <c r="Z110" s="1261" t="s">
        <v>60</v>
      </c>
      <c r="AA110" s="1261"/>
      <c r="AB110" s="1261"/>
      <c r="AC110" s="1066" t="s">
        <v>60</v>
      </c>
      <c r="AD110" s="1066" t="s">
        <v>60</v>
      </c>
      <c r="AE110" s="1066" t="s">
        <v>60</v>
      </c>
      <c r="AF110" s="1066" t="s">
        <v>60</v>
      </c>
      <c r="AG110" s="1262"/>
      <c r="AH110" s="203"/>
      <c r="AI110" s="179"/>
    </row>
    <row r="111" spans="1:35" ht="22.35" customHeight="1" x14ac:dyDescent="0.2">
      <c r="A111" s="209"/>
      <c r="B111" s="208"/>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c r="AA111" s="199"/>
      <c r="AB111" s="199"/>
      <c r="AC111" s="199"/>
      <c r="AD111" s="199"/>
      <c r="AE111" s="199"/>
      <c r="AF111" s="199"/>
      <c r="AG111" s="199"/>
      <c r="AH111" s="203"/>
      <c r="AI111" s="179"/>
    </row>
    <row r="112" spans="1:35" ht="22.35" customHeight="1" x14ac:dyDescent="0.2">
      <c r="AH112" s="107"/>
      <c r="AI112" s="107"/>
    </row>
    <row r="113" spans="1:35" ht="22.35" customHeight="1" thickBot="1" x14ac:dyDescent="0.25">
      <c r="A113" s="169" t="s">
        <v>185</v>
      </c>
      <c r="B113" s="170"/>
      <c r="C113" s="170"/>
      <c r="D113" s="171"/>
      <c r="E113" s="171"/>
      <c r="F113" s="171"/>
      <c r="G113" s="105"/>
      <c r="H113" s="171"/>
      <c r="I113" s="171"/>
      <c r="J113" s="171"/>
      <c r="K113" s="171"/>
      <c r="L113" s="171"/>
      <c r="M113" s="171"/>
      <c r="N113" s="171"/>
      <c r="O113" s="171"/>
      <c r="P113" s="171"/>
      <c r="Q113" s="171"/>
      <c r="R113" s="171"/>
      <c r="S113" s="171"/>
      <c r="T113" s="171"/>
      <c r="U113" s="171"/>
      <c r="V113" s="171"/>
      <c r="W113" s="171"/>
      <c r="X113" s="171"/>
      <c r="Y113" s="171"/>
      <c r="Z113" s="171"/>
      <c r="AA113" s="171"/>
      <c r="AB113" s="171"/>
      <c r="AC113" s="171"/>
      <c r="AD113" s="171"/>
      <c r="AE113" s="171"/>
      <c r="AF113" s="171"/>
      <c r="AG113" s="171"/>
      <c r="AH113" s="170"/>
      <c r="AI113" s="170"/>
    </row>
    <row r="114" spans="1:35" ht="22.35" customHeight="1" x14ac:dyDescent="0.2">
      <c r="A114" s="169"/>
      <c r="B114" s="1018" t="s">
        <v>186</v>
      </c>
      <c r="C114" s="1263"/>
      <c r="D114" s="1264" t="s">
        <v>107</v>
      </c>
      <c r="E114" s="1265"/>
      <c r="F114" s="1266"/>
      <c r="G114" s="1263"/>
      <c r="H114" s="1264" t="s">
        <v>108</v>
      </c>
      <c r="I114" s="1265"/>
      <c r="J114" s="1266"/>
      <c r="K114" s="1263"/>
      <c r="L114" s="1264" t="s">
        <v>109</v>
      </c>
      <c r="M114" s="1265"/>
      <c r="N114" s="1266"/>
      <c r="O114" s="1263"/>
      <c r="P114" s="1264" t="s">
        <v>110</v>
      </c>
      <c r="Q114" s="1265"/>
      <c r="R114" s="1266"/>
      <c r="S114" s="1263"/>
      <c r="T114" s="1264" t="s">
        <v>111</v>
      </c>
      <c r="U114" s="1265"/>
      <c r="V114" s="1266"/>
      <c r="W114" s="1263"/>
      <c r="X114" s="1264" t="s">
        <v>112</v>
      </c>
      <c r="Y114" s="1265"/>
      <c r="Z114" s="1266"/>
      <c r="AA114" s="1263"/>
      <c r="AB114" s="1264" t="s">
        <v>113</v>
      </c>
      <c r="AC114" s="1265"/>
      <c r="AD114" s="1265"/>
      <c r="AE114" s="1267" t="s">
        <v>114</v>
      </c>
      <c r="AF114" s="1265"/>
      <c r="AG114" s="1265"/>
      <c r="AH114" s="1265"/>
      <c r="AI114" s="1268"/>
    </row>
    <row r="115" spans="1:35" ht="22.35" customHeight="1" x14ac:dyDescent="0.2">
      <c r="A115" s="169"/>
      <c r="B115" s="737" t="s">
        <v>159</v>
      </c>
      <c r="C115" s="1046">
        <v>69</v>
      </c>
      <c r="D115" s="1047" t="s">
        <v>187</v>
      </c>
      <c r="E115" s="1047"/>
      <c r="F115" s="1048"/>
      <c r="G115" s="1046">
        <v>69</v>
      </c>
      <c r="H115" s="1047" t="s">
        <v>187</v>
      </c>
      <c r="I115" s="1047"/>
      <c r="J115" s="1048"/>
      <c r="K115" s="1046">
        <v>69</v>
      </c>
      <c r="L115" s="1047" t="s">
        <v>187</v>
      </c>
      <c r="M115" s="1047"/>
      <c r="N115" s="1048"/>
      <c r="O115" s="1046">
        <v>69</v>
      </c>
      <c r="P115" s="1047" t="s">
        <v>187</v>
      </c>
      <c r="Q115" s="1047"/>
      <c r="R115" s="1048"/>
      <c r="S115" s="1046">
        <v>69</v>
      </c>
      <c r="T115" s="1047" t="s">
        <v>187</v>
      </c>
      <c r="U115" s="1047"/>
      <c r="V115" s="1048"/>
      <c r="W115" s="1046"/>
      <c r="X115" s="1049"/>
      <c r="Y115" s="1049"/>
      <c r="Z115" s="1050"/>
      <c r="AA115" s="1046"/>
      <c r="AB115" s="1047"/>
      <c r="AC115" s="1047"/>
      <c r="AD115" s="945"/>
      <c r="AE115" s="736">
        <v>35</v>
      </c>
      <c r="AF115" s="1047"/>
      <c r="AG115" s="1047"/>
      <c r="AH115" s="945"/>
      <c r="AI115" s="1051"/>
    </row>
    <row r="116" spans="1:35" ht="22.35" customHeight="1" x14ac:dyDescent="0.2">
      <c r="A116" s="169"/>
      <c r="B116" s="737" t="s">
        <v>163</v>
      </c>
      <c r="C116" s="1046">
        <v>79</v>
      </c>
      <c r="D116" s="1047" t="s">
        <v>188</v>
      </c>
      <c r="E116" s="1047"/>
      <c r="F116" s="1048"/>
      <c r="G116" s="1046">
        <v>79</v>
      </c>
      <c r="H116" s="1047" t="s">
        <v>188</v>
      </c>
      <c r="I116" s="1047"/>
      <c r="J116" s="1048"/>
      <c r="K116" s="1046">
        <v>79</v>
      </c>
      <c r="L116" s="1047" t="s">
        <v>188</v>
      </c>
      <c r="M116" s="1047"/>
      <c r="N116" s="1048"/>
      <c r="O116" s="1046">
        <v>79</v>
      </c>
      <c r="P116" s="1047" t="s">
        <v>188</v>
      </c>
      <c r="Q116" s="1047"/>
      <c r="R116" s="1048"/>
      <c r="S116" s="1046">
        <v>79</v>
      </c>
      <c r="T116" s="1047" t="s">
        <v>188</v>
      </c>
      <c r="U116" s="1047"/>
      <c r="V116" s="1048"/>
      <c r="W116" s="1046"/>
      <c r="X116" s="1047"/>
      <c r="Y116" s="1047"/>
      <c r="Z116" s="1048"/>
      <c r="AA116" s="1047"/>
      <c r="AB116" s="1047"/>
      <c r="AC116" s="1047"/>
      <c r="AD116" s="945"/>
      <c r="AE116" s="736">
        <v>40</v>
      </c>
      <c r="AF116" s="1047"/>
      <c r="AG116" s="1047"/>
      <c r="AH116" s="945"/>
      <c r="AI116" s="1051"/>
    </row>
    <row r="117" spans="1:35" ht="22.35" customHeight="1" x14ac:dyDescent="0.2">
      <c r="A117" s="169"/>
      <c r="B117" s="737" t="s">
        <v>170</v>
      </c>
      <c r="C117" s="1046">
        <v>89</v>
      </c>
      <c r="D117" s="1047" t="s">
        <v>189</v>
      </c>
      <c r="E117" s="1047"/>
      <c r="F117" s="1048"/>
      <c r="G117" s="1046">
        <v>89</v>
      </c>
      <c r="H117" s="1047" t="s">
        <v>189</v>
      </c>
      <c r="I117" s="1047"/>
      <c r="J117" s="1048"/>
      <c r="K117" s="1046">
        <v>89</v>
      </c>
      <c r="L117" s="1047" t="s">
        <v>189</v>
      </c>
      <c r="M117" s="1047"/>
      <c r="N117" s="1048"/>
      <c r="O117" s="1046">
        <v>89</v>
      </c>
      <c r="P117" s="1047" t="s">
        <v>189</v>
      </c>
      <c r="Q117" s="1047"/>
      <c r="R117" s="1048"/>
      <c r="S117" s="1046">
        <v>89</v>
      </c>
      <c r="T117" s="1047" t="s">
        <v>190</v>
      </c>
      <c r="U117" s="1047"/>
      <c r="V117" s="1048"/>
      <c r="W117" s="1052"/>
      <c r="X117" s="1053" t="s">
        <v>191</v>
      </c>
      <c r="Y117" s="1053"/>
      <c r="Z117" s="582"/>
      <c r="AA117" s="1052"/>
      <c r="AB117" s="1053"/>
      <c r="AC117" s="1053"/>
      <c r="AD117" s="947"/>
      <c r="AE117" s="736">
        <v>44</v>
      </c>
      <c r="AF117" s="1047"/>
      <c r="AG117" s="1047"/>
      <c r="AH117" s="945"/>
      <c r="AI117" s="1051"/>
    </row>
    <row r="118" spans="1:35" ht="22.35" customHeight="1" x14ac:dyDescent="0.2">
      <c r="A118" s="169"/>
      <c r="B118" s="38" t="s">
        <v>172</v>
      </c>
      <c r="C118" s="1052">
        <v>99</v>
      </c>
      <c r="D118" s="1053" t="s">
        <v>192</v>
      </c>
      <c r="E118" s="1053"/>
      <c r="F118" s="582"/>
      <c r="G118" s="1052">
        <v>99</v>
      </c>
      <c r="H118" s="1053" t="s">
        <v>192</v>
      </c>
      <c r="I118" s="1053"/>
      <c r="J118" s="582"/>
      <c r="K118" s="1052">
        <v>99</v>
      </c>
      <c r="L118" s="1053" t="s">
        <v>192</v>
      </c>
      <c r="M118" s="1053"/>
      <c r="N118" s="582"/>
      <c r="O118" s="1052">
        <v>99</v>
      </c>
      <c r="P118" s="1053" t="s">
        <v>192</v>
      </c>
      <c r="Q118" s="1053"/>
      <c r="R118" s="582"/>
      <c r="S118" s="1052">
        <v>99</v>
      </c>
      <c r="T118" s="1053" t="s">
        <v>171</v>
      </c>
      <c r="U118" s="1053"/>
      <c r="V118" s="947"/>
      <c r="W118" s="946"/>
      <c r="X118" s="947"/>
      <c r="Y118" s="1053"/>
      <c r="Z118" s="582"/>
      <c r="AA118" s="946"/>
      <c r="AB118" s="947"/>
      <c r="AC118" s="1053"/>
      <c r="AD118" s="582"/>
      <c r="AE118" s="1054">
        <v>28</v>
      </c>
      <c r="AF118" s="1053"/>
      <c r="AG118" s="1053"/>
      <c r="AH118" s="947"/>
      <c r="AI118" s="1055"/>
    </row>
    <row r="119" spans="1:35" ht="22.35" customHeight="1" thickBot="1" x14ac:dyDescent="0.25">
      <c r="A119" s="169"/>
      <c r="B119" s="1056" t="s">
        <v>193</v>
      </c>
      <c r="C119" s="1057" t="s">
        <v>58</v>
      </c>
      <c r="D119" s="1058" t="s">
        <v>194</v>
      </c>
      <c r="E119" s="745"/>
      <c r="F119" s="889"/>
      <c r="G119" s="1057" t="s">
        <v>58</v>
      </c>
      <c r="H119" s="1058" t="s">
        <v>194</v>
      </c>
      <c r="I119" s="734"/>
      <c r="J119" s="745"/>
      <c r="K119" s="1057" t="s">
        <v>58</v>
      </c>
      <c r="L119" s="1058" t="s">
        <v>194</v>
      </c>
      <c r="M119" s="745"/>
      <c r="N119" s="1059"/>
      <c r="O119" s="1057" t="s">
        <v>58</v>
      </c>
      <c r="P119" s="1058" t="s">
        <v>194</v>
      </c>
      <c r="Q119" s="745"/>
      <c r="R119" s="1058"/>
      <c r="S119" s="1057" t="s">
        <v>58</v>
      </c>
      <c r="T119" s="891" t="s">
        <v>195</v>
      </c>
      <c r="U119" s="1058"/>
      <c r="V119" s="1059"/>
      <c r="W119" s="745"/>
      <c r="X119" s="1058"/>
      <c r="Y119" s="1058"/>
      <c r="Z119" s="1058"/>
      <c r="AA119" s="1060"/>
      <c r="AB119" s="1061"/>
      <c r="AC119" s="1058"/>
      <c r="AD119" s="1062"/>
      <c r="AE119" s="1058"/>
      <c r="AF119" s="1058"/>
      <c r="AG119" s="1058"/>
      <c r="AH119" s="1063"/>
      <c r="AI119" s="1064"/>
    </row>
    <row r="120" spans="1:35" ht="22.35" customHeight="1" x14ac:dyDescent="0.2">
      <c r="A120" s="108"/>
      <c r="B120" s="169"/>
      <c r="C120" s="171"/>
      <c r="D120" s="171"/>
      <c r="E120" s="171"/>
      <c r="F120" s="171"/>
      <c r="G120" s="171"/>
      <c r="H120" s="171"/>
      <c r="I120" s="171"/>
      <c r="J120" s="171"/>
      <c r="K120" s="171"/>
      <c r="L120" s="171"/>
      <c r="M120" s="171"/>
      <c r="N120" s="171"/>
      <c r="O120" s="171"/>
      <c r="P120" s="171"/>
      <c r="Q120" s="171"/>
      <c r="R120" s="171"/>
      <c r="S120" s="171"/>
      <c r="T120" s="171"/>
      <c r="U120" s="171"/>
      <c r="V120" s="171"/>
      <c r="W120" s="171"/>
      <c r="X120" s="171"/>
      <c r="Y120" s="171"/>
      <c r="Z120" s="171"/>
      <c r="AA120" s="171"/>
      <c r="AB120" s="171"/>
      <c r="AC120" s="171"/>
      <c r="AD120" s="171"/>
      <c r="AE120" s="171"/>
      <c r="AF120" s="171"/>
      <c r="AG120" s="171"/>
      <c r="AH120" s="170"/>
      <c r="AI120" s="170"/>
    </row>
    <row r="121" spans="1:35" ht="22.35" customHeight="1" thickBot="1" x14ac:dyDescent="0.25">
      <c r="A121" s="981"/>
      <c r="B121" s="748" t="s">
        <v>29</v>
      </c>
      <c r="C121" s="796">
        <v>1</v>
      </c>
      <c r="D121" s="796">
        <v>2</v>
      </c>
      <c r="E121" s="796">
        <v>3</v>
      </c>
      <c r="F121" s="795">
        <v>4</v>
      </c>
      <c r="G121" s="795">
        <v>5</v>
      </c>
      <c r="H121" s="795">
        <v>6</v>
      </c>
      <c r="I121" s="796">
        <v>7</v>
      </c>
      <c r="J121" s="796">
        <v>8</v>
      </c>
      <c r="K121" s="796">
        <v>9</v>
      </c>
      <c r="L121" s="796">
        <v>10</v>
      </c>
      <c r="M121" s="795">
        <v>11</v>
      </c>
      <c r="N121" s="795">
        <v>12</v>
      </c>
      <c r="O121" s="796">
        <v>13</v>
      </c>
      <c r="P121" s="796">
        <v>14</v>
      </c>
      <c r="Q121" s="796">
        <v>15</v>
      </c>
      <c r="R121" s="796">
        <v>16</v>
      </c>
      <c r="S121" s="796">
        <v>17</v>
      </c>
      <c r="T121" s="795">
        <v>18</v>
      </c>
      <c r="U121" s="795">
        <v>19</v>
      </c>
      <c r="V121" s="796">
        <v>20</v>
      </c>
      <c r="W121" s="796">
        <v>21</v>
      </c>
      <c r="X121" s="796">
        <v>22</v>
      </c>
      <c r="Y121" s="796">
        <v>23</v>
      </c>
      <c r="Z121" s="796">
        <v>24</v>
      </c>
      <c r="AA121" s="795">
        <v>25</v>
      </c>
      <c r="AB121" s="795">
        <v>26</v>
      </c>
      <c r="AC121" s="796">
        <v>27</v>
      </c>
      <c r="AD121" s="796">
        <v>28</v>
      </c>
      <c r="AE121" s="796">
        <v>29</v>
      </c>
      <c r="AF121" s="796">
        <v>30</v>
      </c>
      <c r="AG121" s="797"/>
      <c r="AH121" s="173"/>
      <c r="AI121" s="174"/>
    </row>
    <row r="122" spans="1:35" ht="22.35" customHeight="1" thickBot="1" x14ac:dyDescent="0.25">
      <c r="A122" s="1242">
        <v>1</v>
      </c>
      <c r="B122" s="1269" t="s">
        <v>196</v>
      </c>
      <c r="C122" s="1066">
        <v>99</v>
      </c>
      <c r="D122" s="1066">
        <v>99</v>
      </c>
      <c r="E122" s="1066" t="s">
        <v>36</v>
      </c>
      <c r="F122" s="1066"/>
      <c r="G122" s="1066"/>
      <c r="H122" s="1066"/>
      <c r="I122" s="1066" t="s">
        <v>58</v>
      </c>
      <c r="J122" s="1066" t="s">
        <v>58</v>
      </c>
      <c r="K122" s="1066" t="s">
        <v>58</v>
      </c>
      <c r="L122" s="1066" t="s">
        <v>58</v>
      </c>
      <c r="M122" s="1066"/>
      <c r="N122" s="1066"/>
      <c r="O122" s="987">
        <v>69</v>
      </c>
      <c r="P122" s="987">
        <v>69</v>
      </c>
      <c r="Q122" s="987">
        <v>69</v>
      </c>
      <c r="R122" s="987">
        <v>69</v>
      </c>
      <c r="S122" s="987">
        <v>69</v>
      </c>
      <c r="T122" s="899"/>
      <c r="U122" s="900"/>
      <c r="V122" s="868">
        <v>79</v>
      </c>
      <c r="W122" s="868">
        <v>79</v>
      </c>
      <c r="X122" s="868">
        <v>79</v>
      </c>
      <c r="Y122" s="815">
        <v>79</v>
      </c>
      <c r="Z122" s="813">
        <v>79</v>
      </c>
      <c r="AA122" s="901"/>
      <c r="AB122" s="900"/>
      <c r="AC122" s="900" t="s">
        <v>60</v>
      </c>
      <c r="AD122" s="900" t="s">
        <v>60</v>
      </c>
      <c r="AE122" s="900" t="s">
        <v>60</v>
      </c>
      <c r="AF122" s="1038" t="s">
        <v>60</v>
      </c>
      <c r="AG122" s="903"/>
      <c r="AH122" s="191"/>
      <c r="AI122" s="107"/>
    </row>
    <row r="123" spans="1:35" ht="22.35" customHeight="1" x14ac:dyDescent="0.2">
      <c r="A123" s="1010">
        <v>2</v>
      </c>
      <c r="B123" s="1068" t="s">
        <v>197</v>
      </c>
      <c r="C123" s="809" t="s">
        <v>58</v>
      </c>
      <c r="D123" s="809" t="s">
        <v>58</v>
      </c>
      <c r="E123" s="809">
        <f>++++                     AK56</f>
        <v>0</v>
      </c>
      <c r="F123" s="809"/>
      <c r="G123" s="809"/>
      <c r="H123" s="868"/>
      <c r="I123" s="813">
        <v>69</v>
      </c>
      <c r="J123" s="741">
        <v>69</v>
      </c>
      <c r="K123" s="868">
        <v>69</v>
      </c>
      <c r="L123" s="814">
        <v>69</v>
      </c>
      <c r="M123" s="814"/>
      <c r="N123" s="868"/>
      <c r="O123" s="868">
        <v>79</v>
      </c>
      <c r="P123" s="868">
        <v>79</v>
      </c>
      <c r="Q123" s="868">
        <v>79</v>
      </c>
      <c r="R123" s="815">
        <v>79</v>
      </c>
      <c r="S123" s="868">
        <v>79</v>
      </c>
      <c r="T123" s="814"/>
      <c r="U123" s="868"/>
      <c r="V123" s="868">
        <v>89</v>
      </c>
      <c r="W123" s="868">
        <v>89</v>
      </c>
      <c r="X123" s="868">
        <v>89</v>
      </c>
      <c r="Y123" s="868">
        <v>89</v>
      </c>
      <c r="Z123" s="813">
        <v>89</v>
      </c>
      <c r="AA123" s="814">
        <v>89</v>
      </c>
      <c r="AB123" s="815"/>
      <c r="AC123" s="1270">
        <v>99</v>
      </c>
      <c r="AD123" s="1270">
        <v>99</v>
      </c>
      <c r="AE123" s="1270">
        <v>99</v>
      </c>
      <c r="AF123" s="1270">
        <v>99</v>
      </c>
      <c r="AG123" s="1271"/>
      <c r="AH123" s="192"/>
      <c r="AI123" s="168"/>
    </row>
    <row r="124" spans="1:35" ht="22.35" customHeight="1" x14ac:dyDescent="0.2">
      <c r="A124" s="1010">
        <v>3</v>
      </c>
      <c r="B124" s="1068" t="s">
        <v>360</v>
      </c>
      <c r="C124" s="1072">
        <v>69</v>
      </c>
      <c r="D124" s="1072">
        <v>69</v>
      </c>
      <c r="E124" s="1072">
        <v>69</v>
      </c>
      <c r="F124" s="1072"/>
      <c r="G124" s="1072"/>
      <c r="H124" s="1072"/>
      <c r="I124" s="813">
        <v>79</v>
      </c>
      <c r="J124" s="813">
        <v>79</v>
      </c>
      <c r="K124" s="1072">
        <v>79</v>
      </c>
      <c r="L124" s="1072">
        <v>79</v>
      </c>
      <c r="M124" s="1072"/>
      <c r="N124" s="1072"/>
      <c r="O124" s="820">
        <v>89</v>
      </c>
      <c r="P124" s="820">
        <v>89</v>
      </c>
      <c r="Q124" s="820">
        <v>89</v>
      </c>
      <c r="R124" s="820">
        <v>89</v>
      </c>
      <c r="S124" s="820">
        <v>89</v>
      </c>
      <c r="T124" s="820" t="s">
        <v>361</v>
      </c>
      <c r="U124" s="741"/>
      <c r="V124" s="1072">
        <v>99</v>
      </c>
      <c r="W124" s="1072">
        <v>99</v>
      </c>
      <c r="X124" s="813">
        <v>99</v>
      </c>
      <c r="Y124" s="1072">
        <v>99</v>
      </c>
      <c r="Z124" s="1071" t="s">
        <v>36</v>
      </c>
      <c r="AA124" s="1072"/>
      <c r="AB124" s="1072"/>
      <c r="AC124" s="1072" t="s">
        <v>58</v>
      </c>
      <c r="AD124" s="1072" t="s">
        <v>58</v>
      </c>
      <c r="AE124" s="1072" t="s">
        <v>58</v>
      </c>
      <c r="AF124" s="813" t="s">
        <v>58</v>
      </c>
      <c r="AG124" s="1075"/>
      <c r="AH124" s="191"/>
      <c r="AI124" s="107"/>
    </row>
    <row r="125" spans="1:35" ht="22.35" customHeight="1" thickBot="1" x14ac:dyDescent="0.25">
      <c r="A125" s="1010">
        <v>4</v>
      </c>
      <c r="B125" s="501" t="s">
        <v>199</v>
      </c>
      <c r="C125" s="814">
        <v>79</v>
      </c>
      <c r="D125" s="814">
        <v>79</v>
      </c>
      <c r="E125" s="814">
        <v>79</v>
      </c>
      <c r="F125" s="814"/>
      <c r="G125" s="814"/>
      <c r="H125" s="814"/>
      <c r="I125" s="813">
        <v>89</v>
      </c>
      <c r="J125" s="813">
        <v>89</v>
      </c>
      <c r="K125" s="814">
        <v>89</v>
      </c>
      <c r="L125" s="814">
        <v>89</v>
      </c>
      <c r="M125" s="966">
        <v>89</v>
      </c>
      <c r="N125" s="966" t="s">
        <v>83</v>
      </c>
      <c r="O125" s="814">
        <v>99</v>
      </c>
      <c r="P125" s="813">
        <v>99</v>
      </c>
      <c r="Q125" s="813">
        <v>99</v>
      </c>
      <c r="R125" s="985">
        <v>99</v>
      </c>
      <c r="S125" s="814" t="s">
        <v>36</v>
      </c>
      <c r="T125" s="814"/>
      <c r="U125" s="814"/>
      <c r="V125" s="814" t="s">
        <v>58</v>
      </c>
      <c r="W125" s="814" t="s">
        <v>58</v>
      </c>
      <c r="X125" s="813" t="s">
        <v>58</v>
      </c>
      <c r="Y125" s="985" t="s">
        <v>201</v>
      </c>
      <c r="Z125" s="985" t="s">
        <v>201</v>
      </c>
      <c r="AA125" s="814"/>
      <c r="AB125" s="814"/>
      <c r="AC125" s="814">
        <v>69</v>
      </c>
      <c r="AD125" s="814">
        <v>69</v>
      </c>
      <c r="AE125" s="814">
        <v>69</v>
      </c>
      <c r="AF125" s="813">
        <v>69</v>
      </c>
      <c r="AG125" s="1070"/>
      <c r="AH125" s="191"/>
      <c r="AI125" s="107"/>
    </row>
    <row r="126" spans="1:35" ht="22.35" customHeight="1" thickBot="1" x14ac:dyDescent="0.25">
      <c r="A126" s="1016">
        <v>5</v>
      </c>
      <c r="B126" s="1076" t="s">
        <v>202</v>
      </c>
      <c r="C126" s="987">
        <v>89</v>
      </c>
      <c r="D126" s="987">
        <v>89</v>
      </c>
      <c r="E126" s="987">
        <v>89</v>
      </c>
      <c r="F126" s="919">
        <v>89</v>
      </c>
      <c r="G126" s="796"/>
      <c r="H126" s="908"/>
      <c r="I126" s="918">
        <v>99</v>
      </c>
      <c r="J126" s="920">
        <v>99</v>
      </c>
      <c r="K126" s="1207">
        <v>99</v>
      </c>
      <c r="L126" s="796" t="s">
        <v>36</v>
      </c>
      <c r="M126" s="987"/>
      <c r="N126" s="987"/>
      <c r="O126" s="987" t="s">
        <v>58</v>
      </c>
      <c r="P126" s="987" t="s">
        <v>58</v>
      </c>
      <c r="Q126" s="920" t="s">
        <v>58</v>
      </c>
      <c r="R126" s="987" t="s">
        <v>58</v>
      </c>
      <c r="S126" s="796" t="s">
        <v>58</v>
      </c>
      <c r="T126" s="1272"/>
      <c r="U126" s="987"/>
      <c r="V126" s="987">
        <v>69</v>
      </c>
      <c r="W126" s="987">
        <v>69</v>
      </c>
      <c r="X126" s="920">
        <v>69</v>
      </c>
      <c r="Y126" s="987">
        <v>69</v>
      </c>
      <c r="Z126" s="987">
        <v>69</v>
      </c>
      <c r="AA126" s="934"/>
      <c r="AB126" s="987"/>
      <c r="AC126" s="987">
        <v>79</v>
      </c>
      <c r="AD126" s="987">
        <v>79</v>
      </c>
      <c r="AE126" s="987">
        <v>79</v>
      </c>
      <c r="AF126" s="920">
        <v>79</v>
      </c>
      <c r="AG126" s="1079"/>
      <c r="AH126" s="191"/>
      <c r="AI126" s="107"/>
    </row>
    <row r="127" spans="1:35" ht="22.35" customHeight="1" x14ac:dyDescent="0.2">
      <c r="A127" s="200"/>
      <c r="B127" s="217"/>
      <c r="C127" s="218"/>
      <c r="D127" s="218"/>
      <c r="E127" s="218"/>
      <c r="F127" s="199"/>
      <c r="G127" s="216"/>
      <c r="H127" s="216"/>
      <c r="I127" s="216"/>
      <c r="J127" s="216"/>
      <c r="K127" s="216"/>
      <c r="L127" s="199"/>
      <c r="M127" s="199"/>
      <c r="N127" s="218"/>
      <c r="O127" s="218"/>
      <c r="P127" s="218"/>
      <c r="Q127" s="218"/>
      <c r="R127" s="218"/>
      <c r="S127" s="199"/>
      <c r="T127" s="219"/>
      <c r="U127" s="218"/>
      <c r="V127" s="218"/>
      <c r="W127" s="218"/>
      <c r="X127" s="218"/>
      <c r="Y127" s="218"/>
      <c r="Z127" s="220"/>
      <c r="AA127" s="220"/>
      <c r="AB127" s="218"/>
      <c r="AC127" s="218"/>
      <c r="AD127" s="218"/>
      <c r="AE127" s="218"/>
      <c r="AF127" s="218"/>
      <c r="AG127" s="220"/>
      <c r="AH127" s="191"/>
      <c r="AI127" s="107"/>
    </row>
    <row r="128" spans="1:35" ht="22.35" customHeight="1" x14ac:dyDescent="0.2">
      <c r="A128" s="109"/>
      <c r="B128" s="110"/>
      <c r="C128" s="106"/>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06"/>
      <c r="AB128" s="106"/>
      <c r="AC128" s="106"/>
      <c r="AD128" s="106"/>
      <c r="AE128" s="106"/>
      <c r="AF128" s="106"/>
      <c r="AG128" s="106"/>
      <c r="AH128" s="107"/>
      <c r="AI128" s="107"/>
    </row>
    <row r="129" spans="1:35" ht="22.35" customHeight="1" thickBot="1" x14ac:dyDescent="0.25">
      <c r="A129" s="169" t="s">
        <v>204</v>
      </c>
      <c r="B129" s="170"/>
      <c r="C129" s="170"/>
      <c r="D129" s="171"/>
      <c r="E129" s="171"/>
      <c r="F129" s="171"/>
      <c r="G129" s="105"/>
      <c r="H129" s="171"/>
      <c r="I129" s="171"/>
      <c r="J129" s="171"/>
      <c r="K129" s="171"/>
      <c r="L129" s="171"/>
      <c r="M129" s="171"/>
      <c r="N129" s="171"/>
      <c r="O129" s="171"/>
      <c r="P129" s="171"/>
      <c r="Q129" s="171"/>
      <c r="R129" s="171"/>
      <c r="S129" s="171"/>
      <c r="T129" s="171"/>
      <c r="U129" s="171"/>
      <c r="V129" s="171"/>
      <c r="W129" s="171"/>
      <c r="X129" s="171"/>
      <c r="Y129" s="171"/>
      <c r="Z129" s="171"/>
      <c r="AA129" s="171"/>
      <c r="AB129" s="171"/>
      <c r="AC129" s="171"/>
      <c r="AD129" s="171"/>
      <c r="AE129" s="171"/>
      <c r="AF129" s="171"/>
      <c r="AG129" s="171"/>
      <c r="AH129" s="170"/>
      <c r="AI129" s="170"/>
    </row>
    <row r="130" spans="1:35" ht="22.35" customHeight="1" x14ac:dyDescent="0.2">
      <c r="A130" s="169"/>
      <c r="B130" s="1018" t="s">
        <v>186</v>
      </c>
      <c r="C130" s="1263"/>
      <c r="D130" s="1264" t="s">
        <v>107</v>
      </c>
      <c r="E130" s="1265"/>
      <c r="F130" s="1266"/>
      <c r="G130" s="1263"/>
      <c r="H130" s="1264" t="s">
        <v>108</v>
      </c>
      <c r="I130" s="1265"/>
      <c r="J130" s="1266"/>
      <c r="K130" s="1263"/>
      <c r="L130" s="1264" t="s">
        <v>109</v>
      </c>
      <c r="M130" s="1265"/>
      <c r="N130" s="1266"/>
      <c r="O130" s="1263"/>
      <c r="P130" s="1264" t="s">
        <v>110</v>
      </c>
      <c r="Q130" s="1265"/>
      <c r="R130" s="1266"/>
      <c r="S130" s="1263"/>
      <c r="T130" s="1264" t="s">
        <v>111</v>
      </c>
      <c r="U130" s="1265"/>
      <c r="V130" s="1266"/>
      <c r="W130" s="1263"/>
      <c r="X130" s="1264" t="s">
        <v>112</v>
      </c>
      <c r="Y130" s="1265"/>
      <c r="Z130" s="1266"/>
      <c r="AA130" s="1263"/>
      <c r="AB130" s="1264" t="s">
        <v>113</v>
      </c>
      <c r="AC130" s="1265"/>
      <c r="AD130" s="1265"/>
      <c r="AE130" s="1267" t="s">
        <v>114</v>
      </c>
      <c r="AF130" s="1265"/>
      <c r="AG130" s="1265"/>
      <c r="AH130" s="1265"/>
      <c r="AI130" s="1268"/>
    </row>
    <row r="131" spans="1:35" ht="22.35" customHeight="1" x14ac:dyDescent="0.2">
      <c r="A131" s="169"/>
      <c r="B131" s="737" t="s">
        <v>205</v>
      </c>
      <c r="C131" s="735" t="s">
        <v>206</v>
      </c>
      <c r="D131" s="1047"/>
      <c r="E131" s="1047"/>
      <c r="F131" s="1048"/>
      <c r="G131" s="735" t="s">
        <v>206</v>
      </c>
      <c r="H131" s="1047"/>
      <c r="I131" s="1047"/>
      <c r="J131" s="1048"/>
      <c r="K131" s="735" t="s">
        <v>206</v>
      </c>
      <c r="L131" s="1047"/>
      <c r="M131" s="1047"/>
      <c r="N131" s="1048"/>
      <c r="O131" s="735" t="s">
        <v>206</v>
      </c>
      <c r="P131" s="1047"/>
      <c r="Q131" s="1047"/>
      <c r="R131" s="1048"/>
      <c r="S131" s="735" t="s">
        <v>206</v>
      </c>
      <c r="T131" s="1047"/>
      <c r="U131" s="1047"/>
      <c r="V131" s="1048"/>
      <c r="W131" s="735" t="s">
        <v>207</v>
      </c>
      <c r="X131" s="1049"/>
      <c r="Y131" s="1049"/>
      <c r="Z131" s="1050"/>
      <c r="AA131" s="735" t="s">
        <v>207</v>
      </c>
      <c r="AB131" s="1047"/>
      <c r="AC131" s="1047"/>
      <c r="AD131" s="945"/>
      <c r="AE131" s="736">
        <v>69</v>
      </c>
      <c r="AF131" s="185"/>
      <c r="AG131" s="185"/>
      <c r="AH131" s="185"/>
      <c r="AI131" s="186"/>
    </row>
    <row r="132" spans="1:35" ht="22.35" customHeight="1" x14ac:dyDescent="0.2">
      <c r="A132" s="169"/>
      <c r="B132" s="737" t="s">
        <v>163</v>
      </c>
      <c r="C132" s="735" t="s">
        <v>171</v>
      </c>
      <c r="D132" s="1047"/>
      <c r="E132" s="1047"/>
      <c r="F132" s="1048"/>
      <c r="G132" s="735" t="s">
        <v>171</v>
      </c>
      <c r="H132" s="1047"/>
      <c r="I132" s="1047"/>
      <c r="J132" s="1048"/>
      <c r="K132" s="735" t="s">
        <v>171</v>
      </c>
      <c r="L132" s="1047"/>
      <c r="M132" s="1047"/>
      <c r="N132" s="1048"/>
      <c r="O132" s="735" t="s">
        <v>171</v>
      </c>
      <c r="P132" s="1047"/>
      <c r="Q132" s="1047"/>
      <c r="R132" s="1048"/>
      <c r="S132" s="735" t="s">
        <v>171</v>
      </c>
      <c r="T132" s="1047"/>
      <c r="U132" s="1047"/>
      <c r="V132" s="1048"/>
      <c r="W132" s="735" t="s">
        <v>171</v>
      </c>
      <c r="X132" s="1047"/>
      <c r="Y132" s="1047"/>
      <c r="Z132" s="1048"/>
      <c r="AA132" s="1047" t="s">
        <v>171</v>
      </c>
      <c r="AB132" s="1047"/>
      <c r="AC132" s="1047"/>
      <c r="AD132" s="945"/>
      <c r="AE132" s="736">
        <v>0</v>
      </c>
      <c r="AF132" s="185"/>
      <c r="AG132" s="185"/>
      <c r="AH132" s="185"/>
      <c r="AI132" s="186"/>
    </row>
    <row r="133" spans="1:35" ht="22.35" customHeight="1" x14ac:dyDescent="0.2">
      <c r="A133" s="169"/>
      <c r="B133" s="737" t="s">
        <v>208</v>
      </c>
      <c r="C133" s="735" t="s">
        <v>206</v>
      </c>
      <c r="D133" s="1047"/>
      <c r="E133" s="1047"/>
      <c r="F133" s="1048"/>
      <c r="G133" s="735" t="s">
        <v>206</v>
      </c>
      <c r="H133" s="1047"/>
      <c r="I133" s="1047"/>
      <c r="J133" s="1048"/>
      <c r="K133" s="735" t="s">
        <v>206</v>
      </c>
      <c r="L133" s="1047"/>
      <c r="M133" s="1047"/>
      <c r="N133" s="1048"/>
      <c r="O133" s="735" t="s">
        <v>206</v>
      </c>
      <c r="P133" s="1047"/>
      <c r="Q133" s="1047"/>
      <c r="R133" s="1048"/>
      <c r="S133" s="735" t="s">
        <v>206</v>
      </c>
      <c r="T133" s="1047"/>
      <c r="U133" s="1047"/>
      <c r="V133" s="1048"/>
      <c r="W133" s="735" t="s">
        <v>207</v>
      </c>
      <c r="X133" s="1049"/>
      <c r="Y133" s="1049"/>
      <c r="Z133" s="1050"/>
      <c r="AA133" s="735" t="s">
        <v>207</v>
      </c>
      <c r="AB133" s="1047"/>
      <c r="AC133" s="1047"/>
      <c r="AD133" s="945"/>
      <c r="AE133" s="736">
        <v>69</v>
      </c>
      <c r="AF133" s="1047"/>
      <c r="AG133" s="1047" t="s">
        <v>0</v>
      </c>
      <c r="AH133" s="945"/>
      <c r="AI133" s="1051"/>
    </row>
    <row r="134" spans="1:35" ht="22.35" customHeight="1" x14ac:dyDescent="0.2">
      <c r="A134" s="169"/>
      <c r="B134" s="737" t="s">
        <v>172</v>
      </c>
      <c r="C134" s="735" t="s">
        <v>171</v>
      </c>
      <c r="D134" s="1047"/>
      <c r="E134" s="1047"/>
      <c r="F134" s="1048"/>
      <c r="G134" s="735" t="s">
        <v>171</v>
      </c>
      <c r="H134" s="1047"/>
      <c r="I134" s="1047"/>
      <c r="J134" s="1048"/>
      <c r="K134" s="735" t="s">
        <v>171</v>
      </c>
      <c r="L134" s="1047"/>
      <c r="M134" s="1047"/>
      <c r="N134" s="1048"/>
      <c r="O134" s="735" t="s">
        <v>171</v>
      </c>
      <c r="P134" s="1047"/>
      <c r="Q134" s="1047"/>
      <c r="R134" s="1048"/>
      <c r="S134" s="735" t="s">
        <v>171</v>
      </c>
      <c r="T134" s="1047"/>
      <c r="U134" s="1047"/>
      <c r="V134" s="1048"/>
      <c r="W134" s="735" t="s">
        <v>171</v>
      </c>
      <c r="X134" s="1047"/>
      <c r="Y134" s="1047"/>
      <c r="Z134" s="1048"/>
      <c r="AA134" s="1047" t="s">
        <v>171</v>
      </c>
      <c r="AB134" s="1047"/>
      <c r="AC134" s="1047"/>
      <c r="AD134" s="945"/>
      <c r="AE134" s="736">
        <v>0</v>
      </c>
      <c r="AF134" s="1047"/>
      <c r="AG134" s="1047"/>
      <c r="AH134" s="945"/>
      <c r="AI134" s="1051"/>
    </row>
    <row r="135" spans="1:35" ht="22.35" customHeight="1" x14ac:dyDescent="0.2">
      <c r="A135" s="169"/>
      <c r="B135" s="737" t="s">
        <v>209</v>
      </c>
      <c r="C135" s="735" t="s">
        <v>206</v>
      </c>
      <c r="D135" s="1047"/>
      <c r="E135" s="1047"/>
      <c r="F135" s="1048"/>
      <c r="G135" s="735" t="s">
        <v>206</v>
      </c>
      <c r="H135" s="1047"/>
      <c r="I135" s="1047"/>
      <c r="J135" s="1048"/>
      <c r="K135" s="735" t="s">
        <v>206</v>
      </c>
      <c r="L135" s="1047"/>
      <c r="M135" s="1047"/>
      <c r="N135" s="1048"/>
      <c r="O135" s="735" t="s">
        <v>206</v>
      </c>
      <c r="P135" s="1047"/>
      <c r="Q135" s="1047"/>
      <c r="R135" s="1048"/>
      <c r="S135" s="735" t="s">
        <v>206</v>
      </c>
      <c r="T135" s="1047"/>
      <c r="U135" s="1047"/>
      <c r="V135" s="1048"/>
      <c r="W135" s="735" t="s">
        <v>210</v>
      </c>
      <c r="X135" s="1053"/>
      <c r="Y135" s="1053"/>
      <c r="Z135" s="582"/>
      <c r="AA135" s="735" t="s">
        <v>210</v>
      </c>
      <c r="AB135" s="1053"/>
      <c r="AC135" s="1053"/>
      <c r="AD135" s="947"/>
      <c r="AE135" s="736">
        <v>66</v>
      </c>
      <c r="AF135" s="1047"/>
      <c r="AG135" s="1047"/>
      <c r="AH135" s="945"/>
      <c r="AI135" s="1051"/>
    </row>
    <row r="136" spans="1:35" ht="22.35" customHeight="1" thickBot="1" x14ac:dyDescent="0.25">
      <c r="A136" s="169"/>
      <c r="B136" s="737" t="s">
        <v>211</v>
      </c>
      <c r="C136" s="704" t="s">
        <v>171</v>
      </c>
      <c r="D136" s="705"/>
      <c r="E136" s="705"/>
      <c r="F136" s="706"/>
      <c r="G136" s="704" t="s">
        <v>171</v>
      </c>
      <c r="H136" s="705"/>
      <c r="I136" s="705"/>
      <c r="J136" s="706"/>
      <c r="K136" s="704" t="s">
        <v>171</v>
      </c>
      <c r="L136" s="705"/>
      <c r="M136" s="705"/>
      <c r="N136" s="706"/>
      <c r="O136" s="704" t="s">
        <v>171</v>
      </c>
      <c r="P136" s="705"/>
      <c r="Q136" s="705"/>
      <c r="R136" s="706"/>
      <c r="S136" s="704" t="s">
        <v>171</v>
      </c>
      <c r="T136" s="705"/>
      <c r="U136" s="705"/>
      <c r="V136" s="1063"/>
      <c r="W136" s="704" t="s">
        <v>171</v>
      </c>
      <c r="X136" s="1063"/>
      <c r="Y136" s="705"/>
      <c r="Z136" s="706"/>
      <c r="AA136" s="704" t="s">
        <v>171</v>
      </c>
      <c r="AB136" s="1063"/>
      <c r="AC136" s="705"/>
      <c r="AD136" s="706"/>
      <c r="AE136" s="707" t="s">
        <v>212</v>
      </c>
      <c r="AF136" s="705"/>
      <c r="AG136" s="705"/>
      <c r="AH136" s="1063"/>
      <c r="AI136" s="1064"/>
    </row>
    <row r="137" spans="1:35" ht="22.35" customHeight="1" x14ac:dyDescent="0.2">
      <c r="A137" s="108"/>
      <c r="B137" s="169"/>
      <c r="C137" s="171"/>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c r="AA137" s="171"/>
      <c r="AB137" s="171"/>
      <c r="AC137" s="171"/>
      <c r="AD137" s="171"/>
      <c r="AE137" s="171"/>
      <c r="AF137" s="171"/>
      <c r="AG137" s="171"/>
      <c r="AH137" s="170"/>
      <c r="AI137" s="170"/>
    </row>
    <row r="138" spans="1:35" ht="22.35" customHeight="1" thickBot="1" x14ac:dyDescent="0.25">
      <c r="A138" s="981"/>
      <c r="B138" s="954" t="s">
        <v>29</v>
      </c>
      <c r="C138" s="796">
        <v>1</v>
      </c>
      <c r="D138" s="796">
        <v>2</v>
      </c>
      <c r="E138" s="796">
        <v>3</v>
      </c>
      <c r="F138" s="795">
        <v>4</v>
      </c>
      <c r="G138" s="795">
        <v>5</v>
      </c>
      <c r="H138" s="795">
        <v>6</v>
      </c>
      <c r="I138" s="796">
        <v>7</v>
      </c>
      <c r="J138" s="796">
        <v>8</v>
      </c>
      <c r="K138" s="796">
        <v>9</v>
      </c>
      <c r="L138" s="796">
        <v>10</v>
      </c>
      <c r="M138" s="795">
        <v>11</v>
      </c>
      <c r="N138" s="795">
        <v>12</v>
      </c>
      <c r="O138" s="796">
        <v>13</v>
      </c>
      <c r="P138" s="796">
        <v>14</v>
      </c>
      <c r="Q138" s="796">
        <v>15</v>
      </c>
      <c r="R138" s="796">
        <v>16</v>
      </c>
      <c r="S138" s="796">
        <v>17</v>
      </c>
      <c r="T138" s="795">
        <v>18</v>
      </c>
      <c r="U138" s="795">
        <v>19</v>
      </c>
      <c r="V138" s="796">
        <v>20</v>
      </c>
      <c r="W138" s="796">
        <v>21</v>
      </c>
      <c r="X138" s="796">
        <v>22</v>
      </c>
      <c r="Y138" s="796">
        <v>23</v>
      </c>
      <c r="Z138" s="796">
        <v>24</v>
      </c>
      <c r="AA138" s="795">
        <v>25</v>
      </c>
      <c r="AB138" s="795">
        <v>26</v>
      </c>
      <c r="AC138" s="796">
        <v>27</v>
      </c>
      <c r="AD138" s="796">
        <v>28</v>
      </c>
      <c r="AE138" s="796">
        <v>29</v>
      </c>
      <c r="AF138" s="796">
        <v>30</v>
      </c>
      <c r="AG138" s="797"/>
      <c r="AH138" s="173"/>
      <c r="AI138" s="174"/>
    </row>
    <row r="139" spans="1:35" ht="22.35" customHeight="1" x14ac:dyDescent="0.2">
      <c r="A139" s="1080">
        <v>1</v>
      </c>
      <c r="B139" s="215" t="s">
        <v>213</v>
      </c>
      <c r="C139" s="1084" t="s">
        <v>36</v>
      </c>
      <c r="D139" s="1084" t="s">
        <v>36</v>
      </c>
      <c r="E139" s="1084" t="s">
        <v>36</v>
      </c>
      <c r="F139" s="1084"/>
      <c r="G139" s="1084"/>
      <c r="H139" s="1084">
        <v>22</v>
      </c>
      <c r="I139" s="1084">
        <v>22</v>
      </c>
      <c r="J139" s="1084">
        <v>22</v>
      </c>
      <c r="K139" s="1084">
        <v>22</v>
      </c>
      <c r="L139" s="1084">
        <v>22</v>
      </c>
      <c r="M139" s="1084">
        <v>22</v>
      </c>
      <c r="N139" s="1084">
        <v>22</v>
      </c>
      <c r="O139" s="1081" t="s">
        <v>36</v>
      </c>
      <c r="P139" s="1081" t="s">
        <v>36</v>
      </c>
      <c r="Q139" s="1081" t="s">
        <v>36</v>
      </c>
      <c r="R139" s="1081" t="s">
        <v>36</v>
      </c>
      <c r="S139" s="1081" t="s">
        <v>36</v>
      </c>
      <c r="T139" s="1081"/>
      <c r="U139" s="1081"/>
      <c r="V139" s="1081">
        <v>23</v>
      </c>
      <c r="W139" s="1083">
        <v>23</v>
      </c>
      <c r="X139" s="1081">
        <v>23</v>
      </c>
      <c r="Y139" s="1081">
        <v>23</v>
      </c>
      <c r="Z139" s="1083">
        <v>23</v>
      </c>
      <c r="AA139" s="1081">
        <v>23</v>
      </c>
      <c r="AB139" s="1081">
        <v>23</v>
      </c>
      <c r="AC139" s="1081" t="s">
        <v>36</v>
      </c>
      <c r="AD139" s="1081" t="s">
        <v>36</v>
      </c>
      <c r="AE139" s="1081" t="s">
        <v>36</v>
      </c>
      <c r="AF139" s="1081" t="s">
        <v>36</v>
      </c>
      <c r="AG139" s="1108"/>
      <c r="AH139" s="107"/>
      <c r="AI139" s="107"/>
    </row>
    <row r="140" spans="1:35" ht="22.35" customHeight="1" x14ac:dyDescent="0.2">
      <c r="A140" s="1086">
        <v>2</v>
      </c>
      <c r="B140" s="1182" t="s">
        <v>214</v>
      </c>
      <c r="C140" s="644" t="s">
        <v>36</v>
      </c>
      <c r="D140" s="644" t="s">
        <v>36</v>
      </c>
      <c r="E140" s="644" t="s">
        <v>36</v>
      </c>
      <c r="F140" s="644"/>
      <c r="G140" s="644"/>
      <c r="H140" s="644">
        <v>23</v>
      </c>
      <c r="I140" s="851">
        <v>23</v>
      </c>
      <c r="J140" s="644">
        <v>23</v>
      </c>
      <c r="K140" s="644">
        <v>23</v>
      </c>
      <c r="L140" s="851">
        <v>23</v>
      </c>
      <c r="M140" s="975">
        <v>23</v>
      </c>
      <c r="N140" s="975">
        <v>23</v>
      </c>
      <c r="O140" s="975" t="s">
        <v>36</v>
      </c>
      <c r="P140" s="975" t="s">
        <v>36</v>
      </c>
      <c r="Q140" s="975" t="s">
        <v>36</v>
      </c>
      <c r="R140" s="975" t="s">
        <v>36</v>
      </c>
      <c r="S140" s="975" t="s">
        <v>36</v>
      </c>
      <c r="T140" s="975"/>
      <c r="U140" s="975"/>
      <c r="V140" s="975">
        <v>21</v>
      </c>
      <c r="W140" s="851">
        <v>21</v>
      </c>
      <c r="X140" s="644">
        <v>21</v>
      </c>
      <c r="Y140" s="644">
        <v>21</v>
      </c>
      <c r="Z140" s="851">
        <v>21</v>
      </c>
      <c r="AA140" s="975">
        <v>21</v>
      </c>
      <c r="AB140" s="975">
        <v>21</v>
      </c>
      <c r="AC140" s="975" t="s">
        <v>36</v>
      </c>
      <c r="AD140" s="975" t="s">
        <v>36</v>
      </c>
      <c r="AE140" s="975" t="s">
        <v>36</v>
      </c>
      <c r="AF140" s="975" t="s">
        <v>36</v>
      </c>
      <c r="AG140" s="613"/>
      <c r="AH140" s="107"/>
      <c r="AI140" s="107"/>
    </row>
    <row r="141" spans="1:35" ht="22.35" customHeight="1" x14ac:dyDescent="0.2">
      <c r="A141" s="1086">
        <v>3</v>
      </c>
      <c r="B141" s="1182" t="s">
        <v>362</v>
      </c>
      <c r="C141" s="644" t="s">
        <v>36</v>
      </c>
      <c r="D141" s="644" t="s">
        <v>36</v>
      </c>
      <c r="E141" s="644" t="s">
        <v>36</v>
      </c>
      <c r="F141" s="644"/>
      <c r="G141" s="975"/>
      <c r="H141" s="975">
        <v>21</v>
      </c>
      <c r="I141" s="848">
        <v>21</v>
      </c>
      <c r="J141" s="848">
        <v>21</v>
      </c>
      <c r="K141" s="848">
        <v>21</v>
      </c>
      <c r="L141" s="848">
        <v>21</v>
      </c>
      <c r="M141" s="848">
        <v>21</v>
      </c>
      <c r="N141" s="848">
        <v>21</v>
      </c>
      <c r="O141" s="848" t="s">
        <v>36</v>
      </c>
      <c r="P141" s="644" t="s">
        <v>36</v>
      </c>
      <c r="Q141" s="644" t="s">
        <v>36</v>
      </c>
      <c r="R141" s="980" t="s">
        <v>36</v>
      </c>
      <c r="S141" s="980" t="s">
        <v>36</v>
      </c>
      <c r="T141" s="644"/>
      <c r="U141" s="975"/>
      <c r="V141" s="975">
        <v>22</v>
      </c>
      <c r="W141" s="851">
        <v>22</v>
      </c>
      <c r="X141" s="644">
        <v>22</v>
      </c>
      <c r="Y141" s="644">
        <v>22</v>
      </c>
      <c r="Z141" s="851">
        <v>22</v>
      </c>
      <c r="AA141" s="644">
        <v>22</v>
      </c>
      <c r="AB141" s="644">
        <v>22</v>
      </c>
      <c r="AC141" s="644" t="s">
        <v>36</v>
      </c>
      <c r="AD141" s="644" t="s">
        <v>36</v>
      </c>
      <c r="AE141" s="644" t="s">
        <v>36</v>
      </c>
      <c r="AF141" s="644" t="s">
        <v>36</v>
      </c>
      <c r="AG141" s="613"/>
      <c r="AH141" s="107"/>
      <c r="AI141" s="107"/>
    </row>
    <row r="142" spans="1:35" ht="22.35" customHeight="1" x14ac:dyDescent="0.2">
      <c r="A142" s="1086">
        <v>4</v>
      </c>
      <c r="B142" s="1182" t="s">
        <v>216</v>
      </c>
      <c r="C142" s="964">
        <v>21</v>
      </c>
      <c r="D142" s="964">
        <v>21</v>
      </c>
      <c r="E142" s="964">
        <v>21</v>
      </c>
      <c r="F142" s="964">
        <v>21</v>
      </c>
      <c r="G142" s="964" t="s">
        <v>149</v>
      </c>
      <c r="H142" s="644" t="s">
        <v>36</v>
      </c>
      <c r="I142" s="644" t="s">
        <v>36</v>
      </c>
      <c r="J142" s="644" t="s">
        <v>36</v>
      </c>
      <c r="K142" s="644" t="s">
        <v>36</v>
      </c>
      <c r="L142" s="644" t="s">
        <v>36</v>
      </c>
      <c r="M142" s="644"/>
      <c r="N142" s="644"/>
      <c r="O142" s="857">
        <v>22</v>
      </c>
      <c r="P142" s="857">
        <v>22</v>
      </c>
      <c r="Q142" s="857">
        <v>22</v>
      </c>
      <c r="R142" s="857">
        <v>22</v>
      </c>
      <c r="S142" s="1158">
        <v>22</v>
      </c>
      <c r="T142" s="1158">
        <v>22</v>
      </c>
      <c r="U142" s="1158">
        <v>22</v>
      </c>
      <c r="V142" s="848" t="s">
        <v>36</v>
      </c>
      <c r="W142" s="644" t="s">
        <v>36</v>
      </c>
      <c r="X142" s="644" t="s">
        <v>36</v>
      </c>
      <c r="Y142" s="644" t="s">
        <v>36</v>
      </c>
      <c r="Z142" s="644" t="s">
        <v>36</v>
      </c>
      <c r="AA142" s="644"/>
      <c r="AB142" s="644"/>
      <c r="AC142" s="1158">
        <v>23</v>
      </c>
      <c r="AD142" s="1158">
        <v>23</v>
      </c>
      <c r="AE142" s="1158">
        <v>23</v>
      </c>
      <c r="AF142" s="1158" t="s">
        <v>363</v>
      </c>
      <c r="AG142" s="978"/>
      <c r="AH142" s="107"/>
      <c r="AI142" s="107"/>
    </row>
    <row r="143" spans="1:35" ht="22.35" customHeight="1" x14ac:dyDescent="0.2">
      <c r="A143" s="1086">
        <v>5</v>
      </c>
      <c r="B143" s="1182" t="s">
        <v>217</v>
      </c>
      <c r="C143" s="644">
        <v>22</v>
      </c>
      <c r="D143" s="644">
        <v>22</v>
      </c>
      <c r="E143" s="851">
        <v>22</v>
      </c>
      <c r="F143" s="975">
        <v>22</v>
      </c>
      <c r="G143" s="644">
        <v>22</v>
      </c>
      <c r="H143" s="644" t="s">
        <v>36</v>
      </c>
      <c r="I143" s="644" t="s">
        <v>36</v>
      </c>
      <c r="J143" s="644" t="s">
        <v>36</v>
      </c>
      <c r="K143" s="644" t="s">
        <v>36</v>
      </c>
      <c r="L143" s="644" t="s">
        <v>36</v>
      </c>
      <c r="M143" s="644"/>
      <c r="N143" s="644"/>
      <c r="O143" s="644">
        <v>23</v>
      </c>
      <c r="P143" s="851">
        <v>23</v>
      </c>
      <c r="Q143" s="644">
        <v>23</v>
      </c>
      <c r="R143" s="644">
        <v>23</v>
      </c>
      <c r="S143" s="851">
        <v>23</v>
      </c>
      <c r="T143" s="644">
        <v>23</v>
      </c>
      <c r="U143" s="644">
        <v>23</v>
      </c>
      <c r="V143" s="644" t="s">
        <v>36</v>
      </c>
      <c r="W143" s="644" t="s">
        <v>36</v>
      </c>
      <c r="X143" s="644" t="s">
        <v>36</v>
      </c>
      <c r="Y143" s="644" t="s">
        <v>36</v>
      </c>
      <c r="Z143" s="644" t="s">
        <v>36</v>
      </c>
      <c r="AA143" s="644"/>
      <c r="AB143" s="644"/>
      <c r="AC143" s="975">
        <v>21</v>
      </c>
      <c r="AD143" s="975">
        <v>21</v>
      </c>
      <c r="AE143" s="975">
        <v>21</v>
      </c>
      <c r="AF143" s="644">
        <v>21</v>
      </c>
      <c r="AG143" s="978"/>
      <c r="AH143" s="107"/>
      <c r="AI143" s="107"/>
    </row>
    <row r="144" spans="1:35" ht="22.35" customHeight="1" thickBot="1" x14ac:dyDescent="0.25">
      <c r="A144" s="1090">
        <v>6</v>
      </c>
      <c r="B144" s="1091" t="s">
        <v>218</v>
      </c>
      <c r="C144" s="863">
        <v>23</v>
      </c>
      <c r="D144" s="863">
        <v>23</v>
      </c>
      <c r="E144" s="1092">
        <v>23</v>
      </c>
      <c r="F144" s="863">
        <v>23</v>
      </c>
      <c r="G144" s="863">
        <v>23</v>
      </c>
      <c r="H144" s="1093" t="s">
        <v>36</v>
      </c>
      <c r="I144" s="1093" t="s">
        <v>36</v>
      </c>
      <c r="J144" s="1093" t="s">
        <v>36</v>
      </c>
      <c r="K144" s="1093" t="s">
        <v>36</v>
      </c>
      <c r="L144" s="1093" t="s">
        <v>36</v>
      </c>
      <c r="M144" s="1093"/>
      <c r="N144" s="865"/>
      <c r="O144" s="1273">
        <v>21</v>
      </c>
      <c r="P144" s="1273">
        <v>21</v>
      </c>
      <c r="Q144" s="1273">
        <v>21</v>
      </c>
      <c r="R144" s="1273">
        <v>21</v>
      </c>
      <c r="S144" s="1273">
        <v>21</v>
      </c>
      <c r="T144" s="1273">
        <v>21</v>
      </c>
      <c r="U144" s="1273">
        <v>21</v>
      </c>
      <c r="V144" s="1273" t="s">
        <v>36</v>
      </c>
      <c r="W144" s="1273" t="s">
        <v>36</v>
      </c>
      <c r="X144" s="1273" t="s">
        <v>36</v>
      </c>
      <c r="Y144" s="1273" t="s">
        <v>36</v>
      </c>
      <c r="Z144" s="1273" t="s">
        <v>36</v>
      </c>
      <c r="AA144" s="1273"/>
      <c r="AB144" s="1273"/>
      <c r="AC144" s="1273">
        <v>22</v>
      </c>
      <c r="AD144" s="1273">
        <v>22</v>
      </c>
      <c r="AE144" s="1273">
        <v>22</v>
      </c>
      <c r="AF144" s="1273">
        <v>22</v>
      </c>
      <c r="AG144" s="1094"/>
      <c r="AH144" s="107"/>
      <c r="AI144" s="107"/>
    </row>
    <row r="145" spans="1:35" ht="22.35" customHeight="1" x14ac:dyDescent="0.2">
      <c r="A145" s="200"/>
      <c r="B145" s="198"/>
      <c r="C145" s="199"/>
      <c r="D145" s="199"/>
      <c r="E145" s="216"/>
      <c r="F145" s="199"/>
      <c r="G145" s="199"/>
      <c r="H145" s="221"/>
      <c r="I145" s="221"/>
      <c r="J145" s="221"/>
      <c r="K145" s="221"/>
      <c r="L145" s="221"/>
      <c r="M145" s="221"/>
      <c r="N145" s="192"/>
      <c r="O145" s="192"/>
      <c r="P145" s="216"/>
      <c r="Q145" s="199"/>
      <c r="R145" s="199"/>
      <c r="S145" s="216"/>
      <c r="T145" s="199"/>
      <c r="U145" s="199"/>
      <c r="V145" s="199"/>
      <c r="W145" s="199"/>
      <c r="X145" s="199"/>
      <c r="Y145" s="199"/>
      <c r="Z145" s="199"/>
      <c r="AA145" s="199"/>
      <c r="AB145" s="192"/>
      <c r="AC145" s="192"/>
      <c r="AD145" s="216"/>
      <c r="AE145" s="199"/>
      <c r="AF145" s="199"/>
      <c r="AG145" s="216"/>
      <c r="AH145" s="107"/>
      <c r="AI145" s="107"/>
    </row>
    <row r="146" spans="1:35" ht="22.35" customHeight="1" x14ac:dyDescent="0.2">
      <c r="A146" s="109"/>
      <c r="B146" s="110"/>
      <c r="C146" s="183"/>
      <c r="D146" s="183"/>
      <c r="E146" s="168"/>
      <c r="F146" s="183"/>
      <c r="G146" s="183"/>
      <c r="H146" s="183"/>
      <c r="I146" s="183"/>
      <c r="J146" s="183"/>
      <c r="K146" s="183"/>
      <c r="L146" s="183"/>
      <c r="M146" s="183"/>
      <c r="N146" s="183"/>
      <c r="O146" s="183"/>
      <c r="P146" s="168"/>
      <c r="Q146" s="183"/>
      <c r="R146" s="183"/>
      <c r="S146" s="168"/>
      <c r="T146" s="183"/>
      <c r="U146" s="183"/>
      <c r="V146" s="183"/>
      <c r="W146" s="183"/>
      <c r="X146" s="183"/>
      <c r="Y146" s="183"/>
      <c r="Z146" s="183"/>
      <c r="AA146" s="183"/>
      <c r="AB146" s="183"/>
      <c r="AC146" s="184"/>
      <c r="AD146" s="184"/>
      <c r="AE146" s="184"/>
      <c r="AF146" s="183"/>
      <c r="AG146" s="168"/>
      <c r="AH146" s="107"/>
      <c r="AI146" s="107"/>
    </row>
    <row r="147" spans="1:35" ht="22.35" customHeight="1" thickBot="1" x14ac:dyDescent="0.25">
      <c r="A147" s="158" t="s">
        <v>219</v>
      </c>
      <c r="D147" s="72"/>
      <c r="E147" s="72"/>
      <c r="F147" s="72"/>
      <c r="G147" s="105"/>
      <c r="H147" s="72"/>
      <c r="I147" s="72"/>
      <c r="J147" s="72"/>
      <c r="K147" s="72"/>
      <c r="L147" s="72"/>
      <c r="M147" s="72"/>
      <c r="N147" s="72"/>
      <c r="O147" s="72"/>
      <c r="P147" s="72"/>
      <c r="Q147" s="72"/>
      <c r="R147" s="72"/>
      <c r="S147" s="72"/>
      <c r="T147" s="72"/>
      <c r="U147" s="72"/>
      <c r="V147" s="72"/>
      <c r="W147" s="72"/>
      <c r="X147" s="72"/>
      <c r="Y147" s="72"/>
      <c r="Z147" s="72"/>
      <c r="AA147" s="72"/>
      <c r="AB147" s="72"/>
      <c r="AC147" s="72"/>
      <c r="AD147" s="72"/>
      <c r="AE147" s="72"/>
      <c r="AF147" s="72"/>
      <c r="AG147" s="72"/>
    </row>
    <row r="148" spans="1:35" ht="22.35" customHeight="1" x14ac:dyDescent="0.2">
      <c r="A148" s="1"/>
      <c r="B148" s="1018" t="s">
        <v>186</v>
      </c>
      <c r="C148" s="1241"/>
      <c r="D148" s="1264" t="s">
        <v>107</v>
      </c>
      <c r="E148" s="876"/>
      <c r="F148" s="994"/>
      <c r="G148" s="1241"/>
      <c r="H148" s="1264" t="s">
        <v>108</v>
      </c>
      <c r="I148" s="876"/>
      <c r="J148" s="994"/>
      <c r="K148" s="1241"/>
      <c r="L148" s="1264" t="s">
        <v>109</v>
      </c>
      <c r="M148" s="876"/>
      <c r="N148" s="994"/>
      <c r="O148" s="1241"/>
      <c r="P148" s="1264" t="s">
        <v>110</v>
      </c>
      <c r="Q148" s="876"/>
      <c r="R148" s="994"/>
      <c r="S148" s="1241"/>
      <c r="T148" s="1264" t="s">
        <v>111</v>
      </c>
      <c r="U148" s="876"/>
      <c r="V148" s="994"/>
      <c r="W148" s="1241"/>
      <c r="X148" s="1264" t="s">
        <v>112</v>
      </c>
      <c r="Y148" s="876"/>
      <c r="Z148" s="994"/>
      <c r="AA148" s="1241"/>
      <c r="AB148" s="1264" t="s">
        <v>113</v>
      </c>
      <c r="AC148" s="876"/>
      <c r="AD148" s="876"/>
      <c r="AE148" s="1267" t="s">
        <v>114</v>
      </c>
      <c r="AF148" s="876"/>
      <c r="AG148" s="876"/>
      <c r="AH148" s="876"/>
      <c r="AI148" s="877"/>
    </row>
    <row r="149" spans="1:35" ht="22.35" customHeight="1" x14ac:dyDescent="0.2">
      <c r="A149" s="1"/>
      <c r="B149" s="737" t="s">
        <v>159</v>
      </c>
      <c r="C149" s="735" t="s">
        <v>187</v>
      </c>
      <c r="D149" s="743"/>
      <c r="E149" s="743"/>
      <c r="F149" s="1048"/>
      <c r="G149" s="735" t="s">
        <v>187</v>
      </c>
      <c r="H149" s="743"/>
      <c r="I149" s="743"/>
      <c r="J149" s="1048"/>
      <c r="K149" s="735" t="s">
        <v>187</v>
      </c>
      <c r="L149" s="743"/>
      <c r="M149" s="743"/>
      <c r="N149" s="1048"/>
      <c r="O149" s="735" t="s">
        <v>220</v>
      </c>
      <c r="P149" s="743"/>
      <c r="Q149" s="743"/>
      <c r="R149" s="1048"/>
      <c r="S149" s="735" t="s">
        <v>171</v>
      </c>
      <c r="T149" s="743"/>
      <c r="U149" s="743"/>
      <c r="V149" s="1048"/>
      <c r="W149" s="1095"/>
      <c r="X149" s="1096"/>
      <c r="Y149" s="1096"/>
      <c r="Z149" s="1050"/>
      <c r="AA149" s="1046"/>
      <c r="AB149" s="743"/>
      <c r="AC149" s="743"/>
      <c r="AD149" s="945"/>
      <c r="AE149" s="736">
        <v>27</v>
      </c>
      <c r="AF149" s="743"/>
      <c r="AG149" s="743"/>
      <c r="AH149" s="945"/>
      <c r="AI149" s="788"/>
    </row>
    <row r="150" spans="1:35" ht="22.35" customHeight="1" x14ac:dyDescent="0.2">
      <c r="A150" s="1"/>
      <c r="B150" s="737" t="s">
        <v>163</v>
      </c>
      <c r="C150" s="735" t="s">
        <v>221</v>
      </c>
      <c r="D150" s="743"/>
      <c r="E150" s="743"/>
      <c r="F150" s="1048"/>
      <c r="G150" s="735" t="s">
        <v>221</v>
      </c>
      <c r="H150" s="743"/>
      <c r="I150" s="743"/>
      <c r="J150" s="1048"/>
      <c r="K150" s="735" t="s">
        <v>221</v>
      </c>
      <c r="L150" s="743"/>
      <c r="M150" s="743"/>
      <c r="N150" s="1048"/>
      <c r="O150" s="735" t="s">
        <v>221</v>
      </c>
      <c r="P150" s="743"/>
      <c r="Q150" s="743"/>
      <c r="R150" s="1048"/>
      <c r="S150" s="735" t="s">
        <v>187</v>
      </c>
      <c r="T150" s="743"/>
      <c r="U150" s="743"/>
      <c r="V150" s="1048"/>
      <c r="W150" s="735"/>
      <c r="X150" s="743"/>
      <c r="Y150" s="743"/>
      <c r="Z150" s="1048"/>
      <c r="AA150" s="743"/>
      <c r="AB150" s="743"/>
      <c r="AC150" s="743"/>
      <c r="AD150" s="945"/>
      <c r="AE150" s="736">
        <v>39</v>
      </c>
      <c r="AF150" s="743"/>
      <c r="AG150" s="743"/>
      <c r="AH150" s="945"/>
      <c r="AI150" s="788"/>
    </row>
    <row r="151" spans="1:35" ht="22.35" customHeight="1" x14ac:dyDescent="0.2">
      <c r="A151" s="1"/>
      <c r="B151" s="737" t="s">
        <v>170</v>
      </c>
      <c r="C151" s="735" t="s">
        <v>221</v>
      </c>
      <c r="D151" s="743"/>
      <c r="E151" s="743"/>
      <c r="F151" s="1048"/>
      <c r="G151" s="735" t="s">
        <v>221</v>
      </c>
      <c r="H151" s="743"/>
      <c r="I151" s="743"/>
      <c r="J151" s="1048"/>
      <c r="K151" s="735" t="s">
        <v>221</v>
      </c>
      <c r="L151" s="743"/>
      <c r="M151" s="743"/>
      <c r="N151" s="1048"/>
      <c r="O151" s="735" t="s">
        <v>221</v>
      </c>
      <c r="P151" s="743"/>
      <c r="Q151" s="743"/>
      <c r="R151" s="1048"/>
      <c r="S151" s="735" t="s">
        <v>221</v>
      </c>
      <c r="T151" s="743"/>
      <c r="U151" s="743"/>
      <c r="V151" s="1048"/>
      <c r="W151" s="946" t="s">
        <v>222</v>
      </c>
      <c r="X151" s="740"/>
      <c r="Y151" s="740"/>
      <c r="Z151" s="582"/>
      <c r="AA151" s="1052"/>
      <c r="AB151" s="740"/>
      <c r="AC151" s="740"/>
      <c r="AD151" s="947"/>
      <c r="AE151" s="736">
        <v>45</v>
      </c>
      <c r="AF151" s="743"/>
      <c r="AG151" s="743"/>
      <c r="AH151" s="945"/>
      <c r="AI151" s="788"/>
    </row>
    <row r="152" spans="1:35" ht="22.35" customHeight="1" thickBot="1" x14ac:dyDescent="0.25">
      <c r="A152" s="1"/>
      <c r="B152" s="223" t="s">
        <v>172</v>
      </c>
      <c r="C152" s="704"/>
      <c r="D152" s="734"/>
      <c r="E152" s="734"/>
      <c r="F152" s="706"/>
      <c r="G152" s="704"/>
      <c r="H152" s="734"/>
      <c r="I152" s="734"/>
      <c r="J152" s="706"/>
      <c r="K152" s="704"/>
      <c r="L152" s="734"/>
      <c r="M152" s="734"/>
      <c r="N152" s="706"/>
      <c r="O152" s="704"/>
      <c r="P152" s="734"/>
      <c r="Q152" s="734"/>
      <c r="R152" s="706"/>
      <c r="S152" s="704"/>
      <c r="T152" s="734"/>
      <c r="U152" s="734"/>
      <c r="V152" s="1063"/>
      <c r="W152" s="704"/>
      <c r="X152" s="1063"/>
      <c r="Y152" s="734"/>
      <c r="Z152" s="706"/>
      <c r="AA152" s="704"/>
      <c r="AB152" s="1063"/>
      <c r="AC152" s="734"/>
      <c r="AD152" s="706"/>
      <c r="AE152" s="713"/>
      <c r="AF152" s="734"/>
      <c r="AG152" s="734"/>
      <c r="AH152" s="1063"/>
      <c r="AI152" s="894"/>
    </row>
    <row r="153" spans="1:35" ht="22.35" customHeight="1" x14ac:dyDescent="0.2">
      <c r="A153" s="108"/>
      <c r="B153" s="1"/>
      <c r="C153" s="72"/>
      <c r="D153" s="72"/>
      <c r="E153" s="72"/>
      <c r="F153" s="72"/>
      <c r="G153" s="72"/>
      <c r="H153" s="72"/>
      <c r="I153" s="72"/>
      <c r="J153" s="72"/>
      <c r="K153" s="72"/>
      <c r="L153" s="72"/>
      <c r="M153" s="72"/>
      <c r="N153" s="72"/>
      <c r="O153" s="72"/>
      <c r="P153" s="72"/>
      <c r="Q153" s="72"/>
      <c r="R153" s="72"/>
      <c r="S153" s="72"/>
      <c r="T153" s="72"/>
      <c r="U153" s="72"/>
      <c r="V153" s="72"/>
      <c r="W153" s="72"/>
      <c r="X153" s="72"/>
      <c r="Y153" s="72"/>
      <c r="Z153" s="72"/>
      <c r="AA153" s="72"/>
      <c r="AB153" s="72"/>
      <c r="AC153" s="72"/>
      <c r="AD153" s="72"/>
      <c r="AE153" s="72"/>
      <c r="AF153" s="72"/>
      <c r="AG153" s="72"/>
    </row>
    <row r="154" spans="1:35" ht="22.35" customHeight="1" thickBot="1" x14ac:dyDescent="0.25">
      <c r="A154" s="981"/>
      <c r="B154" s="748" t="s">
        <v>29</v>
      </c>
      <c r="C154" s="1274">
        <v>1</v>
      </c>
      <c r="D154" s="1274">
        <v>2</v>
      </c>
      <c r="E154" s="1274">
        <v>3</v>
      </c>
      <c r="F154" s="1275">
        <v>4</v>
      </c>
      <c r="G154" s="1275">
        <v>5</v>
      </c>
      <c r="H154" s="1275">
        <v>6</v>
      </c>
      <c r="I154" s="1274">
        <v>7</v>
      </c>
      <c r="J154" s="1274">
        <v>8</v>
      </c>
      <c r="K154" s="1274">
        <v>9</v>
      </c>
      <c r="L154" s="1274">
        <v>10</v>
      </c>
      <c r="M154" s="1275">
        <v>11</v>
      </c>
      <c r="N154" s="1275">
        <v>12</v>
      </c>
      <c r="O154" s="1274">
        <v>13</v>
      </c>
      <c r="P154" s="1274">
        <v>14</v>
      </c>
      <c r="Q154" s="1274">
        <v>15</v>
      </c>
      <c r="R154" s="1274">
        <v>16</v>
      </c>
      <c r="S154" s="1274">
        <v>17</v>
      </c>
      <c r="T154" s="1275">
        <v>18</v>
      </c>
      <c r="U154" s="1275">
        <v>19</v>
      </c>
      <c r="V154" s="1274">
        <v>20</v>
      </c>
      <c r="W154" s="1274">
        <v>21</v>
      </c>
      <c r="X154" s="1274">
        <v>22</v>
      </c>
      <c r="Y154" s="1274">
        <v>23</v>
      </c>
      <c r="Z154" s="1274">
        <v>24</v>
      </c>
      <c r="AA154" s="1275">
        <v>25</v>
      </c>
      <c r="AB154" s="1275">
        <v>26</v>
      </c>
      <c r="AC154" s="1274">
        <v>27</v>
      </c>
      <c r="AD154" s="1274">
        <v>28</v>
      </c>
      <c r="AE154" s="1274">
        <v>29</v>
      </c>
      <c r="AF154" s="1274">
        <v>30</v>
      </c>
      <c r="AG154" s="1276"/>
      <c r="AH154" s="173"/>
      <c r="AI154" s="174"/>
    </row>
    <row r="155" spans="1:35" ht="22.35" customHeight="1" x14ac:dyDescent="0.2">
      <c r="A155" s="1242">
        <v>1</v>
      </c>
      <c r="B155" s="1277" t="s">
        <v>364</v>
      </c>
      <c r="C155" s="1082" t="s">
        <v>32</v>
      </c>
      <c r="D155" s="1081" t="s">
        <v>32</v>
      </c>
      <c r="E155" s="1278" t="s">
        <v>32</v>
      </c>
      <c r="F155" s="1081"/>
      <c r="G155" s="1081"/>
      <c r="H155" s="1081"/>
      <c r="I155" s="1279" t="s">
        <v>32</v>
      </c>
      <c r="J155" s="1280" t="s">
        <v>32</v>
      </c>
      <c r="K155" s="1081" t="s">
        <v>32</v>
      </c>
      <c r="L155" s="1081" t="s">
        <v>32</v>
      </c>
      <c r="M155" s="1081"/>
      <c r="N155" s="1081"/>
      <c r="O155" s="1081" t="s">
        <v>32</v>
      </c>
      <c r="P155" s="1081" t="s">
        <v>32</v>
      </c>
      <c r="Q155" s="1280" t="s">
        <v>32</v>
      </c>
      <c r="R155" s="1081" t="s">
        <v>32</v>
      </c>
      <c r="S155" s="1081" t="s">
        <v>32</v>
      </c>
      <c r="T155" s="1082"/>
      <c r="U155" s="1081"/>
      <c r="V155" s="1082" t="s">
        <v>32</v>
      </c>
      <c r="W155" s="1082" t="s">
        <v>32</v>
      </c>
      <c r="X155" s="1281" t="s">
        <v>32</v>
      </c>
      <c r="Y155" s="1281" t="s">
        <v>32</v>
      </c>
      <c r="Z155" s="1280" t="s">
        <v>32</v>
      </c>
      <c r="AA155" s="1282"/>
      <c r="AB155" s="1082"/>
      <c r="AC155" s="1282" t="s">
        <v>32</v>
      </c>
      <c r="AD155" s="1282" t="s">
        <v>32</v>
      </c>
      <c r="AE155" s="1282" t="s">
        <v>32</v>
      </c>
      <c r="AF155" s="1282" t="s">
        <v>32</v>
      </c>
      <c r="AG155" s="1108"/>
      <c r="AH155" s="203"/>
      <c r="AI155" s="179"/>
    </row>
    <row r="156" spans="1:35" ht="22.35" customHeight="1" x14ac:dyDescent="0.2">
      <c r="A156" s="1010">
        <v>2</v>
      </c>
      <c r="B156" s="1105" t="s">
        <v>224</v>
      </c>
      <c r="C156" s="644" t="s">
        <v>154</v>
      </c>
      <c r="D156" s="644" t="s">
        <v>154</v>
      </c>
      <c r="E156" s="644" t="s">
        <v>154</v>
      </c>
      <c r="F156" s="644" t="s">
        <v>154</v>
      </c>
      <c r="G156" s="644"/>
      <c r="H156" s="644"/>
      <c r="I156" s="644" t="s">
        <v>226</v>
      </c>
      <c r="J156" s="644" t="s">
        <v>226</v>
      </c>
      <c r="K156" s="644" t="s">
        <v>226</v>
      </c>
      <c r="L156" s="644" t="s">
        <v>36</v>
      </c>
      <c r="M156" s="644"/>
      <c r="N156" s="644"/>
      <c r="O156" s="644" t="s">
        <v>225</v>
      </c>
      <c r="P156" s="644" t="s">
        <v>225</v>
      </c>
      <c r="Q156" s="644" t="s">
        <v>225</v>
      </c>
      <c r="R156" s="644" t="s">
        <v>225</v>
      </c>
      <c r="S156" s="855" t="s">
        <v>225</v>
      </c>
      <c r="T156" s="848"/>
      <c r="U156" s="644"/>
      <c r="V156" s="644" t="s">
        <v>154</v>
      </c>
      <c r="W156" s="644" t="s">
        <v>154</v>
      </c>
      <c r="X156" s="644" t="s">
        <v>154</v>
      </c>
      <c r="Y156" s="644" t="s">
        <v>154</v>
      </c>
      <c r="Z156" s="644" t="s">
        <v>154</v>
      </c>
      <c r="AA156" s="644" t="s">
        <v>154</v>
      </c>
      <c r="AB156" s="644"/>
      <c r="AC156" s="644" t="s">
        <v>226</v>
      </c>
      <c r="AD156" s="644" t="s">
        <v>226</v>
      </c>
      <c r="AE156" s="644" t="s">
        <v>226</v>
      </c>
      <c r="AF156" s="644" t="s">
        <v>226</v>
      </c>
      <c r="AG156" s="613"/>
      <c r="AH156" s="203"/>
      <c r="AI156" s="179"/>
    </row>
    <row r="157" spans="1:35" ht="22.35" customHeight="1" x14ac:dyDescent="0.2">
      <c r="A157" s="1010">
        <v>3</v>
      </c>
      <c r="B157" s="1109" t="s">
        <v>365</v>
      </c>
      <c r="C157" s="644" t="s">
        <v>226</v>
      </c>
      <c r="D157" s="644" t="s">
        <v>226</v>
      </c>
      <c r="E157" s="644" t="s">
        <v>36</v>
      </c>
      <c r="F157" s="644"/>
      <c r="G157" s="644"/>
      <c r="H157" s="644"/>
      <c r="I157" s="644" t="s">
        <v>225</v>
      </c>
      <c r="J157" s="644" t="s">
        <v>225</v>
      </c>
      <c r="K157" s="644" t="s">
        <v>225</v>
      </c>
      <c r="L157" s="644" t="s">
        <v>225</v>
      </c>
      <c r="M157" s="848"/>
      <c r="N157" s="644"/>
      <c r="O157" s="647" t="s">
        <v>154</v>
      </c>
      <c r="P157" s="647" t="s">
        <v>154</v>
      </c>
      <c r="Q157" s="647" t="s">
        <v>154</v>
      </c>
      <c r="R157" s="647" t="s">
        <v>154</v>
      </c>
      <c r="S157" s="647" t="s">
        <v>154</v>
      </c>
      <c r="T157" s="647" t="s">
        <v>154</v>
      </c>
      <c r="U157" s="647"/>
      <c r="V157" s="647" t="s">
        <v>226</v>
      </c>
      <c r="W157" s="647" t="s">
        <v>226</v>
      </c>
      <c r="X157" s="647" t="s">
        <v>226</v>
      </c>
      <c r="Y157" s="647" t="s">
        <v>226</v>
      </c>
      <c r="Z157" s="647" t="s">
        <v>36</v>
      </c>
      <c r="AA157" s="1232"/>
      <c r="AB157" s="1232"/>
      <c r="AC157" s="647" t="s">
        <v>225</v>
      </c>
      <c r="AD157" s="647" t="s">
        <v>225</v>
      </c>
      <c r="AE157" s="647" t="s">
        <v>225</v>
      </c>
      <c r="AF157" s="647" t="s">
        <v>225</v>
      </c>
      <c r="AG157" s="1283"/>
      <c r="AH157" s="203"/>
      <c r="AI157" s="179"/>
    </row>
    <row r="158" spans="1:35" ht="22.35" customHeight="1" x14ac:dyDescent="0.2">
      <c r="A158" s="1010">
        <v>4</v>
      </c>
      <c r="B158" s="1109" t="s">
        <v>228</v>
      </c>
      <c r="C158" s="644" t="s">
        <v>32</v>
      </c>
      <c r="D158" s="644"/>
      <c r="E158" s="1110" t="s">
        <v>32</v>
      </c>
      <c r="F158" s="644"/>
      <c r="G158" s="644"/>
      <c r="H158" s="644"/>
      <c r="I158" s="644" t="s">
        <v>229</v>
      </c>
      <c r="J158" s="644" t="s">
        <v>32</v>
      </c>
      <c r="K158" s="644"/>
      <c r="L158" s="1110" t="s">
        <v>32</v>
      </c>
      <c r="M158" s="644"/>
      <c r="N158" s="644"/>
      <c r="O158" s="644"/>
      <c r="P158" s="644" t="s">
        <v>229</v>
      </c>
      <c r="Q158" s="644" t="s">
        <v>32</v>
      </c>
      <c r="R158" s="644"/>
      <c r="S158" s="1110" t="s">
        <v>32</v>
      </c>
      <c r="T158" s="1110"/>
      <c r="U158" s="1110"/>
      <c r="V158" s="644"/>
      <c r="W158" s="644" t="s">
        <v>229</v>
      </c>
      <c r="X158" s="644" t="s">
        <v>32</v>
      </c>
      <c r="Y158" s="644"/>
      <c r="Z158" s="1110" t="s">
        <v>32</v>
      </c>
      <c r="AA158" s="1110"/>
      <c r="AB158" s="1110"/>
      <c r="AC158" s="644"/>
      <c r="AD158" s="644" t="s">
        <v>229</v>
      </c>
      <c r="AE158" s="644"/>
      <c r="AF158" s="644"/>
      <c r="AG158" s="613"/>
      <c r="AH158" s="203"/>
      <c r="AI158" s="179"/>
    </row>
    <row r="159" spans="1:35" ht="22.35" customHeight="1" x14ac:dyDescent="0.2">
      <c r="A159" s="1010">
        <v>5</v>
      </c>
      <c r="B159" s="1109" t="s">
        <v>230</v>
      </c>
      <c r="C159" s="644"/>
      <c r="D159" s="1110" t="s">
        <v>32</v>
      </c>
      <c r="E159" s="644"/>
      <c r="F159" s="644"/>
      <c r="G159" s="644"/>
      <c r="H159" s="644"/>
      <c r="I159" s="644"/>
      <c r="J159" s="644"/>
      <c r="K159" s="1110" t="s">
        <v>32</v>
      </c>
      <c r="L159" s="644"/>
      <c r="M159" s="644"/>
      <c r="N159" s="644"/>
      <c r="O159" s="644" t="s">
        <v>229</v>
      </c>
      <c r="P159" s="644"/>
      <c r="Q159" s="644"/>
      <c r="R159" s="1110" t="s">
        <v>32</v>
      </c>
      <c r="S159" s="644"/>
      <c r="T159" s="644"/>
      <c r="U159" s="644"/>
      <c r="V159" s="644" t="s">
        <v>229</v>
      </c>
      <c r="W159" s="644"/>
      <c r="X159" s="644"/>
      <c r="Y159" s="1110" t="s">
        <v>32</v>
      </c>
      <c r="Z159" s="644"/>
      <c r="AA159" s="644"/>
      <c r="AB159" s="644"/>
      <c r="AC159" s="644" t="s">
        <v>229</v>
      </c>
      <c r="AD159" s="644"/>
      <c r="AE159" s="644"/>
      <c r="AF159" s="1110" t="s">
        <v>32</v>
      </c>
      <c r="AG159" s="613"/>
      <c r="AH159" s="203"/>
      <c r="AI159" s="179"/>
    </row>
    <row r="160" spans="1:35" ht="22.35" customHeight="1" x14ac:dyDescent="0.2">
      <c r="A160" s="1010">
        <v>6</v>
      </c>
      <c r="B160" s="1002" t="s">
        <v>231</v>
      </c>
      <c r="C160" s="644" t="s">
        <v>32</v>
      </c>
      <c r="D160" s="644" t="s">
        <v>32</v>
      </c>
      <c r="E160" s="975" t="s">
        <v>32</v>
      </c>
      <c r="F160" s="644"/>
      <c r="G160" s="644"/>
      <c r="H160" s="644"/>
      <c r="I160" s="644" t="s">
        <v>32</v>
      </c>
      <c r="J160" s="975" t="s">
        <v>32</v>
      </c>
      <c r="K160" s="644" t="s">
        <v>32</v>
      </c>
      <c r="L160" s="644" t="s">
        <v>32</v>
      </c>
      <c r="M160" s="644"/>
      <c r="N160" s="644"/>
      <c r="O160" s="644" t="s">
        <v>32</v>
      </c>
      <c r="P160" s="644" t="s">
        <v>32</v>
      </c>
      <c r="Q160" s="644" t="s">
        <v>32</v>
      </c>
      <c r="R160" s="644" t="s">
        <v>32</v>
      </c>
      <c r="S160" s="644" t="s">
        <v>32</v>
      </c>
      <c r="T160" s="1110"/>
      <c r="U160" s="1110"/>
      <c r="V160" s="1110" t="s">
        <v>32</v>
      </c>
      <c r="W160" s="858" t="s">
        <v>32</v>
      </c>
      <c r="X160" s="1110" t="s">
        <v>32</v>
      </c>
      <c r="Y160" s="644" t="s">
        <v>32</v>
      </c>
      <c r="Z160" s="1112" t="s">
        <v>32</v>
      </c>
      <c r="AA160" s="644"/>
      <c r="AB160" s="644"/>
      <c r="AC160" s="980" t="s">
        <v>32</v>
      </c>
      <c r="AD160" s="1284" t="s">
        <v>32</v>
      </c>
      <c r="AE160" s="1284" t="s">
        <v>32</v>
      </c>
      <c r="AF160" s="1284" t="s">
        <v>32</v>
      </c>
      <c r="AG160" s="856"/>
      <c r="AH160" s="191"/>
      <c r="AI160" s="107"/>
    </row>
    <row r="161" spans="1:36" ht="22.35" customHeight="1" thickBot="1" x14ac:dyDescent="0.25">
      <c r="A161" s="1016"/>
      <c r="B161" s="1004"/>
      <c r="C161" s="863"/>
      <c r="D161" s="863"/>
      <c r="E161" s="863"/>
      <c r="F161" s="863"/>
      <c r="G161" s="863"/>
      <c r="H161" s="863"/>
      <c r="I161" s="863"/>
      <c r="J161" s="863"/>
      <c r="K161" s="863"/>
      <c r="L161" s="863"/>
      <c r="M161" s="863"/>
      <c r="N161" s="863"/>
      <c r="O161" s="863"/>
      <c r="P161" s="863"/>
      <c r="Q161" s="863"/>
      <c r="R161" s="863"/>
      <c r="S161" s="863"/>
      <c r="T161" s="863"/>
      <c r="U161" s="863"/>
      <c r="V161" s="863"/>
      <c r="W161" s="863"/>
      <c r="X161" s="863"/>
      <c r="Y161" s="863"/>
      <c r="Z161" s="863"/>
      <c r="AA161" s="863"/>
      <c r="AB161" s="863"/>
      <c r="AC161" s="863"/>
      <c r="AD161" s="863"/>
      <c r="AE161" s="863"/>
      <c r="AF161" s="863"/>
      <c r="AG161" s="867"/>
      <c r="AH161" s="107"/>
      <c r="AI161" s="107"/>
    </row>
    <row r="162" spans="1:36" ht="22.35" customHeight="1" x14ac:dyDescent="0.2">
      <c r="A162" s="200"/>
      <c r="B162" s="198"/>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c r="AA162" s="199"/>
      <c r="AB162" s="199"/>
      <c r="AC162" s="199"/>
      <c r="AD162" s="199"/>
      <c r="AE162" s="199"/>
      <c r="AF162" s="199"/>
      <c r="AG162" s="199"/>
      <c r="AH162" s="107"/>
      <c r="AI162" s="107"/>
    </row>
    <row r="163" spans="1:36" ht="22.35" customHeight="1" x14ac:dyDescent="0.2">
      <c r="A163" s="200"/>
      <c r="B163" s="198"/>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c r="AA163" s="199"/>
      <c r="AB163" s="199"/>
      <c r="AC163" s="199"/>
      <c r="AD163" s="199"/>
      <c r="AE163" s="199"/>
      <c r="AF163" s="199"/>
      <c r="AG163" s="199"/>
      <c r="AH163" s="107"/>
      <c r="AI163" s="107"/>
    </row>
    <row r="164" spans="1:36" ht="22.35" customHeight="1" thickBot="1" x14ac:dyDescent="0.25">
      <c r="A164" s="148" t="s">
        <v>232</v>
      </c>
      <c r="B164" s="72"/>
      <c r="C164" s="106"/>
      <c r="D164" s="72"/>
      <c r="E164" s="72"/>
      <c r="F164" s="106"/>
      <c r="G164" s="72"/>
      <c r="H164" s="72"/>
      <c r="I164" s="106"/>
      <c r="J164" s="106"/>
      <c r="K164" s="72"/>
      <c r="L164" s="106"/>
      <c r="M164" s="72"/>
      <c r="N164" s="72"/>
      <c r="O164" s="106"/>
      <c r="P164" s="72"/>
      <c r="Q164" s="106"/>
      <c r="R164" s="106"/>
      <c r="S164" s="72"/>
      <c r="T164" s="72"/>
      <c r="U164" s="106"/>
      <c r="V164" s="72"/>
      <c r="W164" s="106"/>
      <c r="X164" s="106"/>
      <c r="Y164" s="72"/>
      <c r="Z164" s="72"/>
      <c r="AA164" s="72"/>
      <c r="AB164" s="72"/>
      <c r="AC164" s="72"/>
      <c r="AD164" s="72"/>
      <c r="AE164" s="106"/>
      <c r="AF164" s="72"/>
      <c r="AG164" s="72"/>
      <c r="AH164" s="107"/>
      <c r="AI164" s="107"/>
    </row>
    <row r="165" spans="1:36" ht="22.35" customHeight="1" x14ac:dyDescent="0.2">
      <c r="A165" s="109"/>
      <c r="B165" s="1113" t="s">
        <v>233</v>
      </c>
      <c r="C165" s="1114"/>
      <c r="D165" s="361" t="s">
        <v>107</v>
      </c>
      <c r="E165" s="362"/>
      <c r="F165" s="1115"/>
      <c r="G165" s="1116"/>
      <c r="H165" s="361" t="s">
        <v>108</v>
      </c>
      <c r="I165" s="362"/>
      <c r="J165" s="1115"/>
      <c r="K165" s="1116"/>
      <c r="L165" s="361" t="s">
        <v>109</v>
      </c>
      <c r="M165" s="362"/>
      <c r="N165" s="1115"/>
      <c r="O165" s="1116"/>
      <c r="P165" s="361" t="s">
        <v>110</v>
      </c>
      <c r="Q165" s="362"/>
      <c r="R165" s="1115"/>
      <c r="S165" s="1116"/>
      <c r="T165" s="361" t="s">
        <v>111</v>
      </c>
      <c r="U165" s="362"/>
      <c r="V165" s="1115"/>
      <c r="W165" s="1116"/>
      <c r="X165" s="361" t="s">
        <v>112</v>
      </c>
      <c r="Y165" s="362"/>
      <c r="Z165" s="1115"/>
      <c r="AA165" s="1116"/>
      <c r="AB165" s="361" t="s">
        <v>113</v>
      </c>
      <c r="AC165" s="362"/>
      <c r="AD165" s="362"/>
      <c r="AE165" s="1117" t="s">
        <v>114</v>
      </c>
      <c r="AF165" s="362"/>
      <c r="AG165" s="362"/>
      <c r="AH165" s="362"/>
      <c r="AI165" s="1118"/>
    </row>
    <row r="166" spans="1:36" ht="22.35" customHeight="1" x14ac:dyDescent="0.2">
      <c r="A166" s="109"/>
      <c r="B166" s="503" t="s">
        <v>234</v>
      </c>
      <c r="C166" s="504" t="s">
        <v>235</v>
      </c>
      <c r="D166" s="505" t="s">
        <v>236</v>
      </c>
      <c r="E166" s="506"/>
      <c r="F166" s="507"/>
      <c r="G166" s="508"/>
      <c r="H166" s="505" t="s">
        <v>236</v>
      </c>
      <c r="I166" s="506"/>
      <c r="J166" s="507"/>
      <c r="K166" s="508"/>
      <c r="L166" s="505" t="s">
        <v>236</v>
      </c>
      <c r="M166" s="506"/>
      <c r="N166" s="507"/>
      <c r="O166" s="508"/>
      <c r="P166" s="505" t="s">
        <v>237</v>
      </c>
      <c r="Q166" s="506"/>
      <c r="R166" s="507"/>
      <c r="S166" s="508"/>
      <c r="T166" s="505" t="s">
        <v>238</v>
      </c>
      <c r="U166" s="507"/>
      <c r="V166" s="507"/>
      <c r="W166" s="509"/>
      <c r="X166" s="510"/>
      <c r="Y166" s="510"/>
      <c r="Z166" s="511"/>
      <c r="AA166" s="509"/>
      <c r="AB166" s="510"/>
      <c r="AC166" s="510"/>
      <c r="AD166" s="510"/>
      <c r="AE166" s="509"/>
      <c r="AF166" s="510"/>
      <c r="AG166" s="510"/>
      <c r="AH166" s="512"/>
      <c r="AI166" s="513"/>
    </row>
    <row r="167" spans="1:36" ht="22.35" customHeight="1" x14ac:dyDescent="0.2">
      <c r="A167" s="109"/>
      <c r="B167" s="503" t="s">
        <v>234</v>
      </c>
      <c r="C167" s="504" t="s">
        <v>239</v>
      </c>
      <c r="D167" s="505" t="s">
        <v>236</v>
      </c>
      <c r="E167" s="506"/>
      <c r="F167" s="507"/>
      <c r="G167" s="508"/>
      <c r="H167" s="505" t="s">
        <v>236</v>
      </c>
      <c r="I167" s="506"/>
      <c r="J167" s="507"/>
      <c r="K167" s="508"/>
      <c r="L167" s="505" t="s">
        <v>236</v>
      </c>
      <c r="M167" s="506"/>
      <c r="N167" s="507"/>
      <c r="O167" s="508"/>
      <c r="P167" s="505" t="s">
        <v>237</v>
      </c>
      <c r="Q167" s="506"/>
      <c r="R167" s="507"/>
      <c r="S167" s="508"/>
      <c r="T167" s="505" t="s">
        <v>238</v>
      </c>
      <c r="U167" s="507"/>
      <c r="V167" s="507"/>
      <c r="W167" s="509"/>
      <c r="X167" s="510"/>
      <c r="Y167" s="510"/>
      <c r="Z167" s="511"/>
      <c r="AA167" s="509"/>
      <c r="AB167" s="510"/>
      <c r="AC167" s="510"/>
      <c r="AD167" s="510"/>
      <c r="AE167" s="509"/>
      <c r="AF167" s="510"/>
      <c r="AG167" s="510"/>
      <c r="AH167" s="512"/>
      <c r="AI167" s="513"/>
    </row>
    <row r="168" spans="1:36" ht="22.35" customHeight="1" x14ac:dyDescent="0.2">
      <c r="A168" s="109"/>
      <c r="B168" s="503" t="s">
        <v>240</v>
      </c>
      <c r="C168" s="504" t="s">
        <v>50</v>
      </c>
      <c r="D168" s="505" t="s">
        <v>236</v>
      </c>
      <c r="E168" s="506"/>
      <c r="F168" s="507"/>
      <c r="G168" s="508"/>
      <c r="H168" s="505" t="s">
        <v>236</v>
      </c>
      <c r="I168" s="506"/>
      <c r="J168" s="507"/>
      <c r="K168" s="508"/>
      <c r="L168" s="505" t="s">
        <v>236</v>
      </c>
      <c r="M168" s="506"/>
      <c r="N168" s="507"/>
      <c r="O168" s="508"/>
      <c r="P168" s="505" t="s">
        <v>366</v>
      </c>
      <c r="Q168" s="506"/>
      <c r="R168" s="507"/>
      <c r="S168" s="508"/>
      <c r="T168" s="505" t="s">
        <v>238</v>
      </c>
      <c r="U168" s="507"/>
      <c r="V168" s="507"/>
      <c r="W168" s="509"/>
      <c r="X168" s="510"/>
      <c r="Y168" s="510"/>
      <c r="Z168" s="511"/>
      <c r="AA168" s="509"/>
      <c r="AB168" s="510"/>
      <c r="AC168" s="510"/>
      <c r="AD168" s="510"/>
      <c r="AE168" s="509"/>
      <c r="AF168" s="510"/>
      <c r="AG168" s="510"/>
      <c r="AH168" s="512"/>
      <c r="AI168" s="513"/>
    </row>
    <row r="169" spans="1:36" ht="22.35" customHeight="1" x14ac:dyDescent="0.2">
      <c r="A169" s="109"/>
      <c r="B169" s="503" t="s">
        <v>242</v>
      </c>
      <c r="C169" s="504" t="s">
        <v>243</v>
      </c>
      <c r="D169" s="505" t="s">
        <v>244</v>
      </c>
      <c r="E169" s="506"/>
      <c r="F169" s="507"/>
      <c r="G169" s="508"/>
      <c r="H169" s="505" t="s">
        <v>244</v>
      </c>
      <c r="I169" s="506"/>
      <c r="J169" s="507"/>
      <c r="K169" s="508"/>
      <c r="L169" s="505" t="s">
        <v>245</v>
      </c>
      <c r="M169" s="506"/>
      <c r="N169" s="507"/>
      <c r="O169" s="508"/>
      <c r="P169" s="505" t="s">
        <v>246</v>
      </c>
      <c r="Q169" s="506"/>
      <c r="R169" s="507"/>
      <c r="S169" s="508"/>
      <c r="T169" s="505" t="s">
        <v>247</v>
      </c>
      <c r="U169" s="507"/>
      <c r="V169" s="507"/>
      <c r="W169" s="509"/>
      <c r="X169" s="510"/>
      <c r="Y169" s="510"/>
      <c r="Z169" s="511"/>
      <c r="AA169" s="509"/>
      <c r="AB169" s="510"/>
      <c r="AC169" s="510"/>
      <c r="AD169" s="510"/>
      <c r="AE169" s="509"/>
      <c r="AF169" s="510"/>
      <c r="AG169" s="510"/>
      <c r="AH169" s="512"/>
      <c r="AI169" s="513"/>
    </row>
    <row r="170" spans="1:36" ht="22.35" customHeight="1" x14ac:dyDescent="0.2">
      <c r="A170" s="109"/>
      <c r="B170" s="503" t="s">
        <v>248</v>
      </c>
      <c r="C170" s="504" t="s">
        <v>249</v>
      </c>
      <c r="D170" s="505" t="s">
        <v>250</v>
      </c>
      <c r="E170" s="506"/>
      <c r="F170" s="507"/>
      <c r="G170" s="508"/>
      <c r="H170" s="505" t="s">
        <v>250</v>
      </c>
      <c r="I170" s="506"/>
      <c r="J170" s="507"/>
      <c r="K170" s="508"/>
      <c r="L170" s="505" t="s">
        <v>251</v>
      </c>
      <c r="M170" s="506"/>
      <c r="N170" s="507"/>
      <c r="O170" s="508"/>
      <c r="P170" s="505" t="s">
        <v>252</v>
      </c>
      <c r="Q170" s="506"/>
      <c r="R170" s="507"/>
      <c r="S170" s="508"/>
      <c r="T170" s="505" t="s">
        <v>253</v>
      </c>
      <c r="U170" s="507"/>
      <c r="V170" s="507"/>
      <c r="W170" s="509"/>
      <c r="X170" s="510"/>
      <c r="Y170" s="510"/>
      <c r="Z170" s="511"/>
      <c r="AA170" s="509"/>
      <c r="AB170" s="510"/>
      <c r="AC170" s="510"/>
      <c r="AD170" s="510"/>
      <c r="AE170" s="509"/>
      <c r="AF170" s="510"/>
      <c r="AG170" s="510"/>
      <c r="AH170" s="512"/>
      <c r="AI170" s="513"/>
    </row>
    <row r="171" spans="1:36" ht="22.35" customHeight="1" x14ac:dyDescent="0.2">
      <c r="A171" s="109"/>
      <c r="B171" s="503" t="s">
        <v>254</v>
      </c>
      <c r="C171" s="504" t="s">
        <v>142</v>
      </c>
      <c r="D171" s="505" t="s">
        <v>236</v>
      </c>
      <c r="E171" s="506"/>
      <c r="F171" s="507"/>
      <c r="G171" s="508"/>
      <c r="H171" s="505" t="s">
        <v>236</v>
      </c>
      <c r="I171" s="506"/>
      <c r="J171" s="507"/>
      <c r="K171" s="508"/>
      <c r="L171" s="505" t="s">
        <v>236</v>
      </c>
      <c r="M171" s="506"/>
      <c r="N171" s="507"/>
      <c r="O171" s="508"/>
      <c r="P171" s="505" t="s">
        <v>236</v>
      </c>
      <c r="Q171" s="506"/>
      <c r="R171" s="507"/>
      <c r="S171" s="508"/>
      <c r="T171" s="505" t="s">
        <v>250</v>
      </c>
      <c r="U171" s="507"/>
      <c r="V171" s="507"/>
      <c r="W171" s="509"/>
      <c r="X171" s="510"/>
      <c r="Y171" s="510"/>
      <c r="Z171" s="511"/>
      <c r="AA171" s="509"/>
      <c r="AB171" s="510"/>
      <c r="AC171" s="510"/>
      <c r="AD171" s="510"/>
      <c r="AE171" s="509"/>
      <c r="AF171" s="510"/>
      <c r="AG171" s="510"/>
      <c r="AH171" s="512"/>
      <c r="AI171" s="513"/>
    </row>
    <row r="172" spans="1:36" ht="22.35" customHeight="1" x14ac:dyDescent="0.2">
      <c r="A172" s="109"/>
      <c r="B172" s="503" t="s">
        <v>255</v>
      </c>
      <c r="C172" s="504" t="s">
        <v>134</v>
      </c>
      <c r="D172" s="505" t="s">
        <v>236</v>
      </c>
      <c r="E172" s="506"/>
      <c r="F172" s="507"/>
      <c r="G172" s="508"/>
      <c r="H172" s="505" t="s">
        <v>236</v>
      </c>
      <c r="I172" s="506"/>
      <c r="J172" s="507"/>
      <c r="K172" s="508"/>
      <c r="L172" s="505" t="s">
        <v>236</v>
      </c>
      <c r="M172" s="506"/>
      <c r="N172" s="507"/>
      <c r="O172" s="508"/>
      <c r="P172" s="505" t="s">
        <v>237</v>
      </c>
      <c r="Q172" s="506"/>
      <c r="R172" s="507"/>
      <c r="S172" s="508"/>
      <c r="T172" s="505" t="s">
        <v>238</v>
      </c>
      <c r="U172" s="507"/>
      <c r="V172" s="507"/>
      <c r="W172" s="509"/>
      <c r="X172" s="510"/>
      <c r="Y172" s="510"/>
      <c r="Z172" s="511"/>
      <c r="AA172" s="509"/>
      <c r="AB172" s="510"/>
      <c r="AC172" s="510"/>
      <c r="AD172" s="510"/>
      <c r="AE172" s="509"/>
      <c r="AF172" s="510"/>
      <c r="AG172" s="510"/>
      <c r="AH172" s="512"/>
      <c r="AI172" s="513"/>
    </row>
    <row r="173" spans="1:36" ht="22.35" customHeight="1" x14ac:dyDescent="0.2">
      <c r="A173" s="109"/>
      <c r="B173" s="503" t="s">
        <v>255</v>
      </c>
      <c r="C173" s="504" t="s">
        <v>176</v>
      </c>
      <c r="D173" s="505" t="s">
        <v>236</v>
      </c>
      <c r="E173" s="506"/>
      <c r="F173" s="507"/>
      <c r="G173" s="508"/>
      <c r="H173" s="505" t="s">
        <v>236</v>
      </c>
      <c r="I173" s="506"/>
      <c r="J173" s="507"/>
      <c r="K173" s="508"/>
      <c r="L173" s="505" t="s">
        <v>236</v>
      </c>
      <c r="M173" s="506"/>
      <c r="N173" s="507"/>
      <c r="O173" s="508"/>
      <c r="P173" s="505" t="s">
        <v>237</v>
      </c>
      <c r="Q173" s="506"/>
      <c r="R173" s="507"/>
      <c r="S173" s="508"/>
      <c r="T173" s="505" t="s">
        <v>238</v>
      </c>
      <c r="U173" s="507"/>
      <c r="V173" s="507"/>
      <c r="W173" s="509"/>
      <c r="X173" s="510"/>
      <c r="Y173" s="510"/>
      <c r="Z173" s="511"/>
      <c r="AA173" s="509"/>
      <c r="AB173" s="510"/>
      <c r="AC173" s="510"/>
      <c r="AD173" s="510"/>
      <c r="AE173" s="509"/>
      <c r="AF173" s="510"/>
      <c r="AG173" s="510"/>
      <c r="AH173" s="512"/>
      <c r="AI173" s="513"/>
    </row>
    <row r="174" spans="1:36" ht="22.35" customHeight="1" x14ac:dyDescent="0.2">
      <c r="A174" s="109"/>
      <c r="B174" s="503" t="s">
        <v>256</v>
      </c>
      <c r="C174" s="504" t="s">
        <v>257</v>
      </c>
      <c r="D174" s="505" t="s">
        <v>236</v>
      </c>
      <c r="E174" s="506"/>
      <c r="F174" s="507"/>
      <c r="G174" s="508"/>
      <c r="H174" s="505" t="s">
        <v>236</v>
      </c>
      <c r="I174" s="506"/>
      <c r="J174" s="507"/>
      <c r="K174" s="508"/>
      <c r="L174" s="505" t="s">
        <v>236</v>
      </c>
      <c r="M174" s="506"/>
      <c r="N174" s="507"/>
      <c r="O174" s="508"/>
      <c r="P174" s="505" t="s">
        <v>258</v>
      </c>
      <c r="Q174" s="506"/>
      <c r="R174" s="507"/>
      <c r="S174" s="508"/>
      <c r="T174" s="505" t="s">
        <v>253</v>
      </c>
      <c r="U174" s="507"/>
      <c r="V174" s="507"/>
      <c r="W174" s="509"/>
      <c r="X174" s="510"/>
      <c r="Y174" s="510"/>
      <c r="Z174" s="511"/>
      <c r="AA174" s="509"/>
      <c r="AB174" s="510"/>
      <c r="AC174" s="510"/>
      <c r="AD174" s="510"/>
      <c r="AE174" s="509"/>
      <c r="AF174" s="510"/>
      <c r="AG174" s="510"/>
      <c r="AH174" s="512"/>
      <c r="AI174" s="513"/>
    </row>
    <row r="175" spans="1:36" ht="22.35" customHeight="1" x14ac:dyDescent="0.2">
      <c r="A175" s="109"/>
      <c r="B175" s="514" t="s">
        <v>259</v>
      </c>
      <c r="C175" s="515" t="s">
        <v>95</v>
      </c>
      <c r="D175" s="516" t="s">
        <v>236</v>
      </c>
      <c r="E175" s="517"/>
      <c r="F175" s="518"/>
      <c r="G175" s="515"/>
      <c r="H175" s="516" t="s">
        <v>236</v>
      </c>
      <c r="I175" s="517"/>
      <c r="J175" s="518"/>
      <c r="K175" s="515"/>
      <c r="L175" s="516" t="s">
        <v>236</v>
      </c>
      <c r="M175" s="517"/>
      <c r="N175" s="518"/>
      <c r="O175" s="515"/>
      <c r="P175" s="516" t="s">
        <v>237</v>
      </c>
      <c r="Q175" s="517"/>
      <c r="R175" s="518"/>
      <c r="S175" s="515"/>
      <c r="T175" s="516" t="s">
        <v>238</v>
      </c>
      <c r="U175" s="518"/>
      <c r="V175" s="388"/>
      <c r="W175" s="519"/>
      <c r="X175" s="188"/>
      <c r="Y175" s="188"/>
      <c r="Z175" s="388"/>
      <c r="AA175" s="519"/>
      <c r="AB175" s="188"/>
      <c r="AC175" s="188"/>
      <c r="AD175" s="188"/>
      <c r="AE175" s="519"/>
      <c r="AF175" s="188"/>
      <c r="AG175" s="188"/>
      <c r="AH175" s="189"/>
      <c r="AI175" s="520"/>
      <c r="AJ175" s="190"/>
    </row>
    <row r="176" spans="1:36" ht="22.35" customHeight="1" x14ac:dyDescent="0.2">
      <c r="A176" s="109"/>
      <c r="B176" s="503" t="s">
        <v>260</v>
      </c>
      <c r="C176" s="504" t="s">
        <v>177</v>
      </c>
      <c r="D176" s="505" t="s">
        <v>236</v>
      </c>
      <c r="E176" s="506"/>
      <c r="F176" s="507"/>
      <c r="G176" s="508"/>
      <c r="H176" s="505" t="s">
        <v>236</v>
      </c>
      <c r="I176" s="506"/>
      <c r="J176" s="507"/>
      <c r="K176" s="508"/>
      <c r="L176" s="505" t="s">
        <v>236</v>
      </c>
      <c r="M176" s="506"/>
      <c r="N176" s="507"/>
      <c r="O176" s="508"/>
      <c r="P176" s="505" t="s">
        <v>237</v>
      </c>
      <c r="Q176" s="506"/>
      <c r="R176" s="507"/>
      <c r="S176" s="508"/>
      <c r="T176" s="505" t="s">
        <v>238</v>
      </c>
      <c r="U176" s="507"/>
      <c r="V176" s="506"/>
      <c r="W176" s="509"/>
      <c r="X176" s="510"/>
      <c r="Y176" s="510"/>
      <c r="Z176" s="510"/>
      <c r="AA176" s="509"/>
      <c r="AB176" s="510"/>
      <c r="AC176" s="510"/>
      <c r="AD176" s="510"/>
      <c r="AE176" s="509"/>
      <c r="AF176" s="510"/>
      <c r="AG176" s="510"/>
      <c r="AH176" s="512"/>
      <c r="AI176" s="513"/>
      <c r="AJ176" s="190"/>
    </row>
    <row r="177" spans="1:36" ht="22.35" customHeight="1" x14ac:dyDescent="0.2">
      <c r="A177" s="109"/>
      <c r="B177" s="503" t="s">
        <v>261</v>
      </c>
      <c r="C177" s="504" t="s">
        <v>137</v>
      </c>
      <c r="D177" s="505" t="s">
        <v>262</v>
      </c>
      <c r="E177" s="506"/>
      <c r="F177" s="507"/>
      <c r="G177" s="508"/>
      <c r="H177" s="505" t="s">
        <v>262</v>
      </c>
      <c r="I177" s="506"/>
      <c r="J177" s="507"/>
      <c r="K177" s="508"/>
      <c r="L177" s="505" t="s">
        <v>262</v>
      </c>
      <c r="M177" s="506"/>
      <c r="N177" s="506"/>
      <c r="O177" s="508"/>
      <c r="P177" s="505" t="s">
        <v>262</v>
      </c>
      <c r="Q177" s="506"/>
      <c r="R177" s="506"/>
      <c r="S177" s="508"/>
      <c r="T177" s="505" t="s">
        <v>253</v>
      </c>
      <c r="U177" s="507"/>
      <c r="V177" s="506"/>
      <c r="W177" s="521"/>
      <c r="X177" s="510"/>
      <c r="Y177" s="510"/>
      <c r="Z177" s="510"/>
      <c r="AA177" s="509"/>
      <c r="AB177" s="510"/>
      <c r="AC177" s="510"/>
      <c r="AD177" s="510"/>
      <c r="AE177" s="509"/>
      <c r="AF177" s="510"/>
      <c r="AG177" s="510"/>
      <c r="AH177" s="512"/>
      <c r="AI177" s="513"/>
      <c r="AJ177" s="190"/>
    </row>
    <row r="178" spans="1:36" ht="22.35" customHeight="1" x14ac:dyDescent="0.2">
      <c r="A178" s="109"/>
      <c r="B178" s="503" t="s">
        <v>263</v>
      </c>
      <c r="C178" s="504" t="s">
        <v>264</v>
      </c>
      <c r="D178" s="505" t="s">
        <v>262</v>
      </c>
      <c r="E178" s="506"/>
      <c r="F178" s="507"/>
      <c r="G178" s="508"/>
      <c r="H178" s="505" t="s">
        <v>262</v>
      </c>
      <c r="I178" s="506"/>
      <c r="J178" s="507"/>
      <c r="K178" s="508"/>
      <c r="L178" s="505" t="s">
        <v>262</v>
      </c>
      <c r="M178" s="506"/>
      <c r="N178" s="506"/>
      <c r="O178" s="508"/>
      <c r="P178" s="505" t="s">
        <v>262</v>
      </c>
      <c r="Q178" s="506"/>
      <c r="R178" s="506"/>
      <c r="S178" s="508"/>
      <c r="T178" s="505" t="s">
        <v>253</v>
      </c>
      <c r="U178" s="507"/>
      <c r="V178" s="506"/>
      <c r="W178" s="521"/>
      <c r="X178" s="510"/>
      <c r="Y178" s="510"/>
      <c r="Z178" s="511"/>
      <c r="AA178" s="522"/>
      <c r="AB178" s="510"/>
      <c r="AC178" s="510"/>
      <c r="AD178" s="510"/>
      <c r="AE178" s="509"/>
      <c r="AF178" s="510"/>
      <c r="AG178" s="510"/>
      <c r="AH178" s="512"/>
      <c r="AI178" s="513"/>
      <c r="AJ178" s="190"/>
    </row>
    <row r="179" spans="1:36" ht="22.35" customHeight="1" thickBot="1" x14ac:dyDescent="0.25">
      <c r="A179" s="109"/>
      <c r="B179" s="1119" t="s">
        <v>265</v>
      </c>
      <c r="C179" s="1120" t="s">
        <v>266</v>
      </c>
      <c r="D179" s="523" t="s">
        <v>262</v>
      </c>
      <c r="E179" s="524"/>
      <c r="F179" s="1123"/>
      <c r="G179" s="1124"/>
      <c r="H179" s="523" t="s">
        <v>262</v>
      </c>
      <c r="I179" s="524"/>
      <c r="J179" s="1123"/>
      <c r="K179" s="1124"/>
      <c r="L179" s="523" t="s">
        <v>262</v>
      </c>
      <c r="M179" s="524"/>
      <c r="N179" s="524"/>
      <c r="O179" s="1124"/>
      <c r="P179" s="523" t="s">
        <v>262</v>
      </c>
      <c r="Q179" s="524"/>
      <c r="R179" s="524"/>
      <c r="S179" s="1124"/>
      <c r="T179" s="523" t="s">
        <v>253</v>
      </c>
      <c r="U179" s="1123"/>
      <c r="V179" s="524"/>
      <c r="W179" s="1125"/>
      <c r="X179" s="525"/>
      <c r="Y179" s="525"/>
      <c r="Z179" s="1127"/>
      <c r="AA179" s="526"/>
      <c r="AB179" s="525"/>
      <c r="AC179" s="525"/>
      <c r="AD179" s="525"/>
      <c r="AE179" s="1129"/>
      <c r="AF179" s="525"/>
      <c r="AG179" s="525"/>
      <c r="AH179" s="527"/>
      <c r="AI179" s="1131"/>
      <c r="AJ179" s="190"/>
    </row>
    <row r="180" spans="1:36" ht="22.35" customHeight="1" x14ac:dyDescent="0.2">
      <c r="A180" s="109"/>
      <c r="B180" s="206"/>
      <c r="C180" s="207"/>
      <c r="D180" s="208"/>
      <c r="E180" s="209"/>
      <c r="F180" s="209"/>
      <c r="G180" s="210"/>
      <c r="H180" s="208"/>
      <c r="I180" s="209"/>
      <c r="J180" s="209"/>
      <c r="K180" s="210"/>
      <c r="L180" s="208"/>
      <c r="M180" s="209"/>
      <c r="N180" s="209"/>
      <c r="O180" s="210"/>
      <c r="P180" s="198"/>
      <c r="Q180" s="209"/>
      <c r="R180" s="209"/>
      <c r="S180" s="210"/>
      <c r="T180" s="198"/>
      <c r="U180" s="209"/>
      <c r="V180" s="209"/>
      <c r="W180" s="209"/>
      <c r="X180" s="209"/>
      <c r="Y180" s="209"/>
      <c r="Z180" s="209"/>
      <c r="AA180" s="210"/>
      <c r="AB180" s="209"/>
      <c r="AC180" s="209"/>
      <c r="AD180" s="209"/>
      <c r="AE180" s="210"/>
      <c r="AF180" s="209"/>
      <c r="AG180" s="209"/>
      <c r="AH180" s="191"/>
      <c r="AI180" s="191"/>
      <c r="AJ180" s="190"/>
    </row>
    <row r="181" spans="1:36" ht="22.35" customHeight="1" thickBot="1" x14ac:dyDescent="0.25">
      <c r="A181" s="147"/>
      <c r="B181" s="528" t="s">
        <v>29</v>
      </c>
      <c r="C181" s="796">
        <v>1</v>
      </c>
      <c r="D181" s="796">
        <v>2</v>
      </c>
      <c r="E181" s="796">
        <v>3</v>
      </c>
      <c r="F181" s="795">
        <v>4</v>
      </c>
      <c r="G181" s="795">
        <v>5</v>
      </c>
      <c r="H181" s="795">
        <v>6</v>
      </c>
      <c r="I181" s="796">
        <v>7</v>
      </c>
      <c r="J181" s="796">
        <v>8</v>
      </c>
      <c r="K181" s="796">
        <v>9</v>
      </c>
      <c r="L181" s="796">
        <v>10</v>
      </c>
      <c r="M181" s="795">
        <v>11</v>
      </c>
      <c r="N181" s="795">
        <v>12</v>
      </c>
      <c r="O181" s="796">
        <v>13</v>
      </c>
      <c r="P181" s="796">
        <v>14</v>
      </c>
      <c r="Q181" s="796">
        <v>15</v>
      </c>
      <c r="R181" s="796">
        <v>16</v>
      </c>
      <c r="S181" s="796">
        <v>17</v>
      </c>
      <c r="T181" s="795">
        <v>18</v>
      </c>
      <c r="U181" s="795">
        <v>19</v>
      </c>
      <c r="V181" s="796">
        <v>20</v>
      </c>
      <c r="W181" s="796">
        <v>21</v>
      </c>
      <c r="X181" s="796">
        <v>22</v>
      </c>
      <c r="Y181" s="796">
        <v>23</v>
      </c>
      <c r="Z181" s="796">
        <v>24</v>
      </c>
      <c r="AA181" s="795">
        <v>25</v>
      </c>
      <c r="AB181" s="795">
        <v>26</v>
      </c>
      <c r="AC181" s="796">
        <v>27</v>
      </c>
      <c r="AD181" s="796">
        <v>28</v>
      </c>
      <c r="AE181" s="796">
        <v>29</v>
      </c>
      <c r="AF181" s="796">
        <v>30</v>
      </c>
      <c r="AG181" s="797"/>
      <c r="AH181" s="180"/>
      <c r="AI181" s="174"/>
    </row>
    <row r="182" spans="1:36" ht="22.35" customHeight="1" x14ac:dyDescent="0.2">
      <c r="A182" s="109"/>
      <c r="B182" s="1132" t="s">
        <v>267</v>
      </c>
      <c r="C182" s="1285" t="s">
        <v>235</v>
      </c>
      <c r="D182" s="1285" t="s">
        <v>235</v>
      </c>
      <c r="E182" s="1285" t="s">
        <v>235</v>
      </c>
      <c r="F182" s="1285"/>
      <c r="G182" s="1285"/>
      <c r="H182" s="1285"/>
      <c r="I182" s="1285" t="s">
        <v>235</v>
      </c>
      <c r="J182" s="1285" t="s">
        <v>235</v>
      </c>
      <c r="K182" s="1285" t="s">
        <v>235</v>
      </c>
      <c r="L182" s="1285" t="s">
        <v>235</v>
      </c>
      <c r="M182" s="1285"/>
      <c r="N182" s="1285"/>
      <c r="O182" s="1285" t="s">
        <v>235</v>
      </c>
      <c r="P182" s="1285" t="s">
        <v>235</v>
      </c>
      <c r="Q182" s="1285" t="s">
        <v>235</v>
      </c>
      <c r="R182" s="1285" t="s">
        <v>235</v>
      </c>
      <c r="S182" s="1285" t="s">
        <v>235</v>
      </c>
      <c r="T182" s="1285"/>
      <c r="U182" s="1285"/>
      <c r="V182" s="1285" t="s">
        <v>235</v>
      </c>
      <c r="W182" s="1285" t="s">
        <v>235</v>
      </c>
      <c r="X182" s="1285" t="s">
        <v>235</v>
      </c>
      <c r="Y182" s="1285" t="s">
        <v>235</v>
      </c>
      <c r="Z182" s="1285" t="s">
        <v>235</v>
      </c>
      <c r="AA182" s="1285"/>
      <c r="AB182" s="1285"/>
      <c r="AC182" s="1285" t="s">
        <v>235</v>
      </c>
      <c r="AD182" s="1285" t="s">
        <v>235</v>
      </c>
      <c r="AE182" s="1285" t="s">
        <v>235</v>
      </c>
      <c r="AF182" s="1285" t="s">
        <v>235</v>
      </c>
      <c r="AG182" s="1285"/>
      <c r="AH182" s="179"/>
      <c r="AI182" s="179"/>
    </row>
    <row r="183" spans="1:36" ht="22.35" customHeight="1" x14ac:dyDescent="0.2">
      <c r="A183" s="109"/>
      <c r="B183" s="553" t="s">
        <v>268</v>
      </c>
      <c r="C183" s="721" t="s">
        <v>235</v>
      </c>
      <c r="D183" s="721" t="s">
        <v>235</v>
      </c>
      <c r="E183" s="721" t="s">
        <v>235</v>
      </c>
      <c r="F183" s="721"/>
      <c r="G183" s="721"/>
      <c r="H183" s="721"/>
      <c r="I183" s="721" t="s">
        <v>235</v>
      </c>
      <c r="J183" s="721" t="s">
        <v>235</v>
      </c>
      <c r="K183" s="721" t="s">
        <v>235</v>
      </c>
      <c r="L183" s="721" t="s">
        <v>235</v>
      </c>
      <c r="M183" s="721"/>
      <c r="N183" s="721"/>
      <c r="O183" s="721" t="s">
        <v>235</v>
      </c>
      <c r="P183" s="721" t="s">
        <v>235</v>
      </c>
      <c r="Q183" s="721" t="s">
        <v>235</v>
      </c>
      <c r="R183" s="721" t="s">
        <v>235</v>
      </c>
      <c r="S183" s="721" t="s">
        <v>235</v>
      </c>
      <c r="T183" s="721"/>
      <c r="U183" s="721"/>
      <c r="V183" s="721" t="s">
        <v>235</v>
      </c>
      <c r="W183" s="721" t="s">
        <v>235</v>
      </c>
      <c r="X183" s="1135" t="s">
        <v>235</v>
      </c>
      <c r="Y183" s="721" t="s">
        <v>235</v>
      </c>
      <c r="Z183" s="721" t="s">
        <v>235</v>
      </c>
      <c r="AA183" s="721"/>
      <c r="AB183" s="721"/>
      <c r="AC183" s="721" t="s">
        <v>235</v>
      </c>
      <c r="AD183" s="721" t="s">
        <v>235</v>
      </c>
      <c r="AE183" s="721" t="s">
        <v>235</v>
      </c>
      <c r="AF183" s="721" t="s">
        <v>235</v>
      </c>
      <c r="AG183" s="721"/>
      <c r="AH183" s="179"/>
      <c r="AI183" s="179"/>
    </row>
    <row r="184" spans="1:36" ht="22.35" customHeight="1" x14ac:dyDescent="0.2">
      <c r="A184" s="109"/>
      <c r="B184" s="553" t="s">
        <v>270</v>
      </c>
      <c r="C184" s="721" t="s">
        <v>239</v>
      </c>
      <c r="D184" s="721" t="s">
        <v>239</v>
      </c>
      <c r="E184" s="721" t="s">
        <v>239</v>
      </c>
      <c r="F184" s="721"/>
      <c r="G184" s="721"/>
      <c r="H184" s="721"/>
      <c r="I184" s="721" t="s">
        <v>239</v>
      </c>
      <c r="J184" s="721" t="s">
        <v>239</v>
      </c>
      <c r="K184" s="721" t="s">
        <v>239</v>
      </c>
      <c r="L184" s="721" t="s">
        <v>235</v>
      </c>
      <c r="M184" s="721"/>
      <c r="N184" s="721"/>
      <c r="O184" s="721" t="s">
        <v>239</v>
      </c>
      <c r="P184" s="721" t="s">
        <v>239</v>
      </c>
      <c r="Q184" s="721" t="s">
        <v>235</v>
      </c>
      <c r="R184" s="721" t="s">
        <v>239</v>
      </c>
      <c r="S184" s="721" t="s">
        <v>239</v>
      </c>
      <c r="T184" s="721"/>
      <c r="U184" s="1134"/>
      <c r="V184" s="721" t="s">
        <v>235</v>
      </c>
      <c r="W184" s="721" t="s">
        <v>239</v>
      </c>
      <c r="X184" s="721" t="s">
        <v>239</v>
      </c>
      <c r="Y184" s="721" t="s">
        <v>239</v>
      </c>
      <c r="Z184" s="721" t="s">
        <v>239</v>
      </c>
      <c r="AA184" s="721"/>
      <c r="AB184" s="721"/>
      <c r="AC184" s="721" t="s">
        <v>239</v>
      </c>
      <c r="AD184" s="721" t="s">
        <v>239</v>
      </c>
      <c r="AE184" s="721" t="s">
        <v>239</v>
      </c>
      <c r="AF184" s="721" t="s">
        <v>235</v>
      </c>
      <c r="AG184" s="721"/>
      <c r="AH184" s="179"/>
      <c r="AI184" s="179"/>
    </row>
    <row r="185" spans="1:36" ht="22.35" customHeight="1" x14ac:dyDescent="0.2">
      <c r="A185" s="109"/>
      <c r="B185" s="553" t="s">
        <v>271</v>
      </c>
      <c r="C185" s="721" t="s">
        <v>50</v>
      </c>
      <c r="D185" s="721" t="s">
        <v>50</v>
      </c>
      <c r="E185" s="721" t="s">
        <v>50</v>
      </c>
      <c r="F185" s="721"/>
      <c r="G185" s="721"/>
      <c r="H185" s="721"/>
      <c r="I185" s="721" t="s">
        <v>50</v>
      </c>
      <c r="J185" s="721" t="s">
        <v>50</v>
      </c>
      <c r="K185" s="721" t="s">
        <v>50</v>
      </c>
      <c r="L185" s="721" t="s">
        <v>50</v>
      </c>
      <c r="M185" s="721"/>
      <c r="N185" s="721"/>
      <c r="O185" s="721" t="s">
        <v>50</v>
      </c>
      <c r="P185" s="721" t="s">
        <v>50</v>
      </c>
      <c r="Q185" s="721" t="s">
        <v>50</v>
      </c>
      <c r="R185" s="1286" t="s">
        <v>50</v>
      </c>
      <c r="S185" s="721" t="s">
        <v>50</v>
      </c>
      <c r="T185" s="721"/>
      <c r="U185" s="721"/>
      <c r="V185" s="721" t="s">
        <v>50</v>
      </c>
      <c r="W185" s="721" t="s">
        <v>50</v>
      </c>
      <c r="X185" s="721" t="s">
        <v>50</v>
      </c>
      <c r="Y185" s="1287" t="s">
        <v>50</v>
      </c>
      <c r="Z185" s="721" t="s">
        <v>50</v>
      </c>
      <c r="AA185" s="721"/>
      <c r="AB185" s="721"/>
      <c r="AC185" s="721" t="s">
        <v>50</v>
      </c>
      <c r="AD185" s="721" t="s">
        <v>50</v>
      </c>
      <c r="AE185" s="1288" t="s">
        <v>50</v>
      </c>
      <c r="AF185" s="721" t="s">
        <v>50</v>
      </c>
      <c r="AG185" s="721"/>
      <c r="AH185" s="179"/>
      <c r="AI185" s="179"/>
    </row>
    <row r="186" spans="1:36" ht="22.35" customHeight="1" x14ac:dyDescent="0.2">
      <c r="A186" s="109"/>
      <c r="B186" s="933" t="s">
        <v>272</v>
      </c>
      <c r="C186" s="721" t="s">
        <v>243</v>
      </c>
      <c r="D186" s="721" t="s">
        <v>243</v>
      </c>
      <c r="E186" s="721" t="s">
        <v>243</v>
      </c>
      <c r="F186" s="721"/>
      <c r="G186" s="721"/>
      <c r="H186" s="721"/>
      <c r="I186" s="721" t="s">
        <v>243</v>
      </c>
      <c r="J186" s="721" t="s">
        <v>243</v>
      </c>
      <c r="K186" s="721" t="s">
        <v>243</v>
      </c>
      <c r="L186" s="1286" t="s">
        <v>243</v>
      </c>
      <c r="M186" s="721"/>
      <c r="N186" s="721"/>
      <c r="O186" s="721" t="s">
        <v>243</v>
      </c>
      <c r="P186" s="721" t="s">
        <v>243</v>
      </c>
      <c r="Q186" s="721" t="s">
        <v>243</v>
      </c>
      <c r="R186" s="721" t="s">
        <v>243</v>
      </c>
      <c r="S186" s="721" t="s">
        <v>243</v>
      </c>
      <c r="T186" s="721"/>
      <c r="U186" s="721"/>
      <c r="V186" s="721" t="s">
        <v>243</v>
      </c>
      <c r="W186" s="721" t="s">
        <v>243</v>
      </c>
      <c r="X186" s="721" t="s">
        <v>243</v>
      </c>
      <c r="Y186" s="721" t="s">
        <v>243</v>
      </c>
      <c r="Z186" s="721" t="s">
        <v>243</v>
      </c>
      <c r="AA186" s="721"/>
      <c r="AB186" s="721"/>
      <c r="AC186" s="721" t="s">
        <v>243</v>
      </c>
      <c r="AD186" s="721" t="s">
        <v>243</v>
      </c>
      <c r="AE186" s="721" t="s">
        <v>243</v>
      </c>
      <c r="AF186" s="721" t="s">
        <v>243</v>
      </c>
      <c r="AG186" s="721"/>
      <c r="AH186" s="179"/>
      <c r="AI186" s="179"/>
    </row>
    <row r="187" spans="1:36" ht="22.35" customHeight="1" x14ac:dyDescent="0.2">
      <c r="A187" s="109"/>
      <c r="B187" s="1182"/>
      <c r="C187" s="721" t="s">
        <v>249</v>
      </c>
      <c r="D187" s="721" t="s">
        <v>249</v>
      </c>
      <c r="E187" s="721" t="s">
        <v>249</v>
      </c>
      <c r="F187" s="721"/>
      <c r="G187" s="721"/>
      <c r="H187" s="721"/>
      <c r="I187" s="721" t="s">
        <v>249</v>
      </c>
      <c r="J187" s="721" t="s">
        <v>249</v>
      </c>
      <c r="K187" s="721" t="s">
        <v>249</v>
      </c>
      <c r="L187" s="721" t="s">
        <v>249</v>
      </c>
      <c r="M187" s="721"/>
      <c r="N187" s="721"/>
      <c r="O187" s="721" t="s">
        <v>249</v>
      </c>
      <c r="P187" s="721" t="s">
        <v>249</v>
      </c>
      <c r="Q187" s="721" t="s">
        <v>249</v>
      </c>
      <c r="R187" s="721" t="s">
        <v>249</v>
      </c>
      <c r="S187" s="721" t="s">
        <v>249</v>
      </c>
      <c r="T187" s="721"/>
      <c r="U187" s="721"/>
      <c r="V187" s="721" t="s">
        <v>249</v>
      </c>
      <c r="W187" s="721" t="s">
        <v>249</v>
      </c>
      <c r="X187" s="721" t="s">
        <v>249</v>
      </c>
      <c r="Y187" s="721" t="s">
        <v>249</v>
      </c>
      <c r="Z187" s="721" t="s">
        <v>249</v>
      </c>
      <c r="AA187" s="721"/>
      <c r="AB187" s="721"/>
      <c r="AC187" s="721" t="s">
        <v>249</v>
      </c>
      <c r="AD187" s="721" t="s">
        <v>249</v>
      </c>
      <c r="AE187" s="721" t="s">
        <v>249</v>
      </c>
      <c r="AF187" s="721" t="s">
        <v>249</v>
      </c>
      <c r="AG187" s="721"/>
      <c r="AH187" s="179"/>
      <c r="AI187" s="179"/>
    </row>
    <row r="188" spans="1:36" ht="22.35" customHeight="1" x14ac:dyDescent="0.2">
      <c r="A188" s="109"/>
      <c r="B188" s="553" t="s">
        <v>273</v>
      </c>
      <c r="C188" s="1137" t="s">
        <v>142</v>
      </c>
      <c r="D188" s="1137" t="s">
        <v>142</v>
      </c>
      <c r="E188" s="1137" t="s">
        <v>142</v>
      </c>
      <c r="F188" s="1137"/>
      <c r="G188" s="1137"/>
      <c r="H188" s="1137"/>
      <c r="I188" s="1137" t="s">
        <v>142</v>
      </c>
      <c r="J188" s="1137" t="s">
        <v>142</v>
      </c>
      <c r="K188" s="1137" t="s">
        <v>142</v>
      </c>
      <c r="L188" s="1137" t="s">
        <v>142</v>
      </c>
      <c r="M188" s="1137"/>
      <c r="N188" s="1137"/>
      <c r="O188" s="723" t="s">
        <v>142</v>
      </c>
      <c r="P188" s="723" t="s">
        <v>142</v>
      </c>
      <c r="Q188" s="723" t="s">
        <v>142</v>
      </c>
      <c r="R188" s="723" t="s">
        <v>142</v>
      </c>
      <c r="S188" s="723" t="s">
        <v>142</v>
      </c>
      <c r="T188" s="723"/>
      <c r="U188" s="723"/>
      <c r="V188" s="723" t="s">
        <v>142</v>
      </c>
      <c r="W188" s="723" t="s">
        <v>142</v>
      </c>
      <c r="X188" s="723" t="s">
        <v>142</v>
      </c>
      <c r="Y188" s="723" t="s">
        <v>142</v>
      </c>
      <c r="Z188" s="723" t="s">
        <v>142</v>
      </c>
      <c r="AA188" s="723"/>
      <c r="AB188" s="723"/>
      <c r="AC188" s="723" t="s">
        <v>142</v>
      </c>
      <c r="AD188" s="723" t="s">
        <v>142</v>
      </c>
      <c r="AE188" s="723" t="s">
        <v>142</v>
      </c>
      <c r="AF188" s="723" t="s">
        <v>142</v>
      </c>
      <c r="AG188" s="723"/>
      <c r="AH188" s="179"/>
      <c r="AI188" s="179"/>
    </row>
    <row r="189" spans="1:36" ht="22.35" customHeight="1" x14ac:dyDescent="0.2">
      <c r="A189" s="109"/>
      <c r="B189" s="539" t="s">
        <v>0</v>
      </c>
      <c r="C189" s="721" t="s">
        <v>134</v>
      </c>
      <c r="D189" s="721" t="s">
        <v>134</v>
      </c>
      <c r="E189" s="721" t="s">
        <v>134</v>
      </c>
      <c r="F189" s="721"/>
      <c r="G189" s="721"/>
      <c r="H189" s="721"/>
      <c r="I189" s="721" t="s">
        <v>134</v>
      </c>
      <c r="J189" s="721" t="s">
        <v>134</v>
      </c>
      <c r="K189" s="721" t="s">
        <v>134</v>
      </c>
      <c r="L189" s="721" t="s">
        <v>134</v>
      </c>
      <c r="M189" s="721"/>
      <c r="N189" s="721"/>
      <c r="O189" s="721" t="s">
        <v>134</v>
      </c>
      <c r="P189" s="721" t="s">
        <v>134</v>
      </c>
      <c r="Q189" s="721" t="s">
        <v>134</v>
      </c>
      <c r="R189" s="721" t="s">
        <v>134</v>
      </c>
      <c r="S189" s="721" t="s">
        <v>134</v>
      </c>
      <c r="T189" s="721"/>
      <c r="U189" s="721"/>
      <c r="V189" s="721" t="s">
        <v>134</v>
      </c>
      <c r="W189" s="721" t="s">
        <v>134</v>
      </c>
      <c r="X189" s="721" t="s">
        <v>134</v>
      </c>
      <c r="Y189" s="721" t="s">
        <v>134</v>
      </c>
      <c r="Z189" s="721" t="s">
        <v>134</v>
      </c>
      <c r="AA189" s="721"/>
      <c r="AB189" s="721"/>
      <c r="AC189" s="721" t="s">
        <v>134</v>
      </c>
      <c r="AD189" s="721" t="s">
        <v>134</v>
      </c>
      <c r="AE189" s="721" t="s">
        <v>134</v>
      </c>
      <c r="AF189" s="721" t="s">
        <v>134</v>
      </c>
      <c r="AG189" s="721"/>
      <c r="AH189" s="179"/>
      <c r="AI189" s="179"/>
    </row>
    <row r="190" spans="1:36" ht="22.35" customHeight="1" x14ac:dyDescent="0.2">
      <c r="A190" s="109"/>
      <c r="B190" s="553" t="s">
        <v>274</v>
      </c>
      <c r="C190" s="292" t="s">
        <v>176</v>
      </c>
      <c r="D190" s="292" t="s">
        <v>176</v>
      </c>
      <c r="E190" s="292" t="s">
        <v>176</v>
      </c>
      <c r="F190" s="292"/>
      <c r="G190" s="292"/>
      <c r="H190" s="292"/>
      <c r="I190" s="292" t="s">
        <v>176</v>
      </c>
      <c r="J190" s="318" t="s">
        <v>176</v>
      </c>
      <c r="K190" s="292" t="s">
        <v>176</v>
      </c>
      <c r="L190" s="292" t="s">
        <v>176</v>
      </c>
      <c r="M190" s="292"/>
      <c r="N190" s="292"/>
      <c r="O190" s="292" t="s">
        <v>176</v>
      </c>
      <c r="P190" s="292" t="s">
        <v>176</v>
      </c>
      <c r="Q190" s="313" t="s">
        <v>176</v>
      </c>
      <c r="R190" s="292" t="s">
        <v>176</v>
      </c>
      <c r="S190" s="292" t="s">
        <v>176</v>
      </c>
      <c r="T190" s="292"/>
      <c r="U190" s="292"/>
      <c r="V190" s="292" t="s">
        <v>176</v>
      </c>
      <c r="W190" s="292" t="s">
        <v>176</v>
      </c>
      <c r="X190" s="292" t="s">
        <v>176</v>
      </c>
      <c r="Y190" s="292" t="s">
        <v>176</v>
      </c>
      <c r="Z190" s="292" t="s">
        <v>176</v>
      </c>
      <c r="AA190" s="292"/>
      <c r="AB190" s="292"/>
      <c r="AC190" s="292" t="s">
        <v>176</v>
      </c>
      <c r="AD190" s="292" t="s">
        <v>176</v>
      </c>
      <c r="AE190" s="292" t="s">
        <v>176</v>
      </c>
      <c r="AF190" s="292" t="s">
        <v>176</v>
      </c>
      <c r="AG190" s="292"/>
      <c r="AH190" s="179"/>
      <c r="AI190" s="179"/>
    </row>
    <row r="191" spans="1:36" ht="22.35" customHeight="1" x14ac:dyDescent="0.2">
      <c r="A191" s="109"/>
      <c r="B191" s="553" t="s">
        <v>275</v>
      </c>
      <c r="C191" s="851" t="s">
        <v>257</v>
      </c>
      <c r="D191" s="851" t="s">
        <v>257</v>
      </c>
      <c r="E191" s="851" t="s">
        <v>257</v>
      </c>
      <c r="F191" s="851"/>
      <c r="G191" s="851"/>
      <c r="H191" s="851"/>
      <c r="I191" s="851" t="s">
        <v>257</v>
      </c>
      <c r="J191" s="851" t="s">
        <v>257</v>
      </c>
      <c r="K191" s="851" t="s">
        <v>257</v>
      </c>
      <c r="L191" s="851" t="s">
        <v>257</v>
      </c>
      <c r="M191" s="851"/>
      <c r="N191" s="851"/>
      <c r="O191" s="859" t="s">
        <v>257</v>
      </c>
      <c r="P191" s="859" t="s">
        <v>257</v>
      </c>
      <c r="Q191" s="859" t="s">
        <v>257</v>
      </c>
      <c r="R191" s="859" t="s">
        <v>257</v>
      </c>
      <c r="S191" s="859" t="s">
        <v>257</v>
      </c>
      <c r="T191" s="859"/>
      <c r="U191" s="859"/>
      <c r="V191" s="859" t="s">
        <v>257</v>
      </c>
      <c r="W191" s="859" t="s">
        <v>257</v>
      </c>
      <c r="X191" s="859" t="s">
        <v>257</v>
      </c>
      <c r="Y191" s="859" t="s">
        <v>257</v>
      </c>
      <c r="Z191" s="859" t="s">
        <v>257</v>
      </c>
      <c r="AA191" s="859"/>
      <c r="AB191" s="859"/>
      <c r="AC191" s="859" t="s">
        <v>257</v>
      </c>
      <c r="AD191" s="859" t="s">
        <v>257</v>
      </c>
      <c r="AE191" s="859" t="s">
        <v>257</v>
      </c>
      <c r="AF191" s="859" t="s">
        <v>257</v>
      </c>
      <c r="AG191" s="859"/>
      <c r="AH191" s="179"/>
      <c r="AI191" s="179"/>
    </row>
    <row r="192" spans="1:36" ht="22.35" customHeight="1" x14ac:dyDescent="0.2">
      <c r="A192" s="109"/>
      <c r="B192" s="539" t="s">
        <v>276</v>
      </c>
      <c r="C192" s="851" t="s">
        <v>95</v>
      </c>
      <c r="D192" s="851" t="s">
        <v>95</v>
      </c>
      <c r="E192" s="851" t="s">
        <v>95</v>
      </c>
      <c r="F192" s="851"/>
      <c r="G192" s="851"/>
      <c r="H192" s="851"/>
      <c r="I192" s="851" t="s">
        <v>95</v>
      </c>
      <c r="J192" s="851" t="s">
        <v>95</v>
      </c>
      <c r="K192" s="851" t="s">
        <v>95</v>
      </c>
      <c r="L192" s="851" t="s">
        <v>95</v>
      </c>
      <c r="M192" s="851"/>
      <c r="N192" s="851"/>
      <c r="O192" s="851" t="s">
        <v>95</v>
      </c>
      <c r="P192" s="851" t="s">
        <v>95</v>
      </c>
      <c r="Q192" s="851" t="s">
        <v>95</v>
      </c>
      <c r="R192" s="851" t="s">
        <v>95</v>
      </c>
      <c r="S192" s="851" t="s">
        <v>95</v>
      </c>
      <c r="T192" s="851"/>
      <c r="U192" s="851"/>
      <c r="V192" s="851" t="s">
        <v>95</v>
      </c>
      <c r="W192" s="851" t="s">
        <v>95</v>
      </c>
      <c r="X192" s="851" t="s">
        <v>95</v>
      </c>
      <c r="Y192" s="851" t="s">
        <v>95</v>
      </c>
      <c r="Z192" s="851" t="s">
        <v>95</v>
      </c>
      <c r="AA192" s="851"/>
      <c r="AB192" s="851"/>
      <c r="AC192" s="851" t="s">
        <v>95</v>
      </c>
      <c r="AD192" s="851" t="s">
        <v>95</v>
      </c>
      <c r="AE192" s="851" t="s">
        <v>95</v>
      </c>
      <c r="AF192" s="851" t="s">
        <v>95</v>
      </c>
      <c r="AG192" s="530"/>
      <c r="AH192" s="179"/>
      <c r="AI192" s="179"/>
    </row>
    <row r="193" spans="1:35" ht="22.35" customHeight="1" x14ac:dyDescent="0.2">
      <c r="A193" s="109"/>
      <c r="B193" s="553" t="s">
        <v>277</v>
      </c>
      <c r="C193" s="531" t="s">
        <v>177</v>
      </c>
      <c r="D193" s="531" t="s">
        <v>177</v>
      </c>
      <c r="E193" s="531" t="s">
        <v>177</v>
      </c>
      <c r="F193" s="531"/>
      <c r="G193" s="531"/>
      <c r="H193" s="531"/>
      <c r="I193" s="531" t="s">
        <v>177</v>
      </c>
      <c r="J193" s="531" t="s">
        <v>177</v>
      </c>
      <c r="K193" s="531" t="s">
        <v>177</v>
      </c>
      <c r="L193" s="531" t="s">
        <v>177</v>
      </c>
      <c r="M193" s="531"/>
      <c r="N193" s="531"/>
      <c r="O193" s="531" t="s">
        <v>177</v>
      </c>
      <c r="P193" s="531" t="s">
        <v>177</v>
      </c>
      <c r="Q193" s="531" t="s">
        <v>177</v>
      </c>
      <c r="R193" s="531" t="s">
        <v>177</v>
      </c>
      <c r="S193" s="531" t="s">
        <v>177</v>
      </c>
      <c r="T193" s="531"/>
      <c r="U193" s="531"/>
      <c r="V193" s="531" t="s">
        <v>177</v>
      </c>
      <c r="W193" s="531" t="s">
        <v>177</v>
      </c>
      <c r="X193" s="531" t="s">
        <v>177</v>
      </c>
      <c r="Y193" s="531" t="s">
        <v>177</v>
      </c>
      <c r="Z193" s="531" t="s">
        <v>177</v>
      </c>
      <c r="AA193" s="531"/>
      <c r="AB193" s="531"/>
      <c r="AC193" s="531" t="s">
        <v>177</v>
      </c>
      <c r="AD193" s="531" t="s">
        <v>177</v>
      </c>
      <c r="AE193" s="531" t="s">
        <v>177</v>
      </c>
      <c r="AF193" s="531" t="s">
        <v>177</v>
      </c>
      <c r="AG193" s="531"/>
      <c r="AH193" s="179"/>
      <c r="AI193" s="179"/>
    </row>
    <row r="194" spans="1:35" ht="22.35" customHeight="1" x14ac:dyDescent="0.2">
      <c r="A194" s="109"/>
      <c r="B194" s="539"/>
      <c r="C194" s="851" t="s">
        <v>137</v>
      </c>
      <c r="D194" s="851" t="s">
        <v>137</v>
      </c>
      <c r="E194" s="851" t="s">
        <v>137</v>
      </c>
      <c r="F194" s="851"/>
      <c r="G194" s="851"/>
      <c r="H194" s="851"/>
      <c r="I194" s="851" t="s">
        <v>137</v>
      </c>
      <c r="J194" s="851" t="s">
        <v>137</v>
      </c>
      <c r="K194" s="851" t="s">
        <v>137</v>
      </c>
      <c r="L194" s="851" t="s">
        <v>137</v>
      </c>
      <c r="M194" s="851"/>
      <c r="N194" s="851"/>
      <c r="O194" s="851" t="s">
        <v>137</v>
      </c>
      <c r="P194" s="851" t="s">
        <v>137</v>
      </c>
      <c r="Q194" s="851" t="s">
        <v>137</v>
      </c>
      <c r="R194" s="851" t="s">
        <v>137</v>
      </c>
      <c r="S194" s="851" t="s">
        <v>137</v>
      </c>
      <c r="T194" s="851"/>
      <c r="U194" s="851"/>
      <c r="V194" s="851" t="s">
        <v>137</v>
      </c>
      <c r="W194" s="851" t="s">
        <v>137</v>
      </c>
      <c r="X194" s="851" t="s">
        <v>137</v>
      </c>
      <c r="Y194" s="851" t="s">
        <v>137</v>
      </c>
      <c r="Z194" s="851" t="s">
        <v>137</v>
      </c>
      <c r="AA194" s="851"/>
      <c r="AB194" s="851"/>
      <c r="AC194" s="851" t="s">
        <v>137</v>
      </c>
      <c r="AD194" s="851" t="s">
        <v>137</v>
      </c>
      <c r="AE194" s="851" t="s">
        <v>137</v>
      </c>
      <c r="AF194" s="851" t="s">
        <v>137</v>
      </c>
      <c r="AG194" s="851"/>
      <c r="AH194" s="179"/>
      <c r="AI194" s="179"/>
    </row>
    <row r="195" spans="1:35" ht="22.35" customHeight="1" x14ac:dyDescent="0.2">
      <c r="A195" s="109"/>
      <c r="B195" s="539" t="s">
        <v>278</v>
      </c>
      <c r="C195" s="851" t="s">
        <v>264</v>
      </c>
      <c r="D195" s="851" t="s">
        <v>264</v>
      </c>
      <c r="E195" s="851" t="s">
        <v>264</v>
      </c>
      <c r="F195" s="851"/>
      <c r="G195" s="851"/>
      <c r="H195" s="851"/>
      <c r="I195" s="567" t="s">
        <v>264</v>
      </c>
      <c r="J195" s="851" t="s">
        <v>264</v>
      </c>
      <c r="K195" s="851" t="s">
        <v>264</v>
      </c>
      <c r="L195" s="851" t="s">
        <v>264</v>
      </c>
      <c r="M195" s="851"/>
      <c r="N195" s="851"/>
      <c r="O195" s="851" t="s">
        <v>264</v>
      </c>
      <c r="P195" s="851" t="s">
        <v>264</v>
      </c>
      <c r="Q195" s="851" t="s">
        <v>264</v>
      </c>
      <c r="R195" s="851" t="s">
        <v>264</v>
      </c>
      <c r="S195" s="851" t="s">
        <v>264</v>
      </c>
      <c r="T195" s="851"/>
      <c r="U195" s="851"/>
      <c r="V195" s="851" t="s">
        <v>264</v>
      </c>
      <c r="W195" s="851" t="s">
        <v>264</v>
      </c>
      <c r="X195" s="964" t="s">
        <v>264</v>
      </c>
      <c r="Y195" s="964" t="s">
        <v>264</v>
      </c>
      <c r="Z195" s="964" t="s">
        <v>367</v>
      </c>
      <c r="AA195" s="845"/>
      <c r="AB195" s="845"/>
      <c r="AC195" s="851" t="s">
        <v>264</v>
      </c>
      <c r="AD195" s="851" t="s">
        <v>264</v>
      </c>
      <c r="AE195" s="851" t="s">
        <v>264</v>
      </c>
      <c r="AF195" s="851" t="s">
        <v>264</v>
      </c>
      <c r="AG195" s="851"/>
      <c r="AH195" s="107"/>
      <c r="AI195" s="107"/>
    </row>
    <row r="196" spans="1:35" ht="21" customHeight="1" thickBot="1" x14ac:dyDescent="0.25">
      <c r="A196" s="147"/>
      <c r="B196" s="1289" t="s">
        <v>279</v>
      </c>
      <c r="C196" s="1092" t="s">
        <v>266</v>
      </c>
      <c r="D196" s="1092" t="s">
        <v>266</v>
      </c>
      <c r="E196" s="1092" t="s">
        <v>266</v>
      </c>
      <c r="F196" s="1092"/>
      <c r="G196" s="1092"/>
      <c r="H196" s="1092"/>
      <c r="I196" s="1092" t="s">
        <v>266</v>
      </c>
      <c r="J196" s="1092" t="s">
        <v>266</v>
      </c>
      <c r="K196" s="1290" t="s">
        <v>266</v>
      </c>
      <c r="L196" s="1290" t="s">
        <v>368</v>
      </c>
      <c r="M196" s="1092"/>
      <c r="N196" s="1092"/>
      <c r="O196" s="1092" t="s">
        <v>266</v>
      </c>
      <c r="P196" s="1092" t="s">
        <v>266</v>
      </c>
      <c r="Q196" s="1092" t="s">
        <v>266</v>
      </c>
      <c r="R196" s="1291" t="s">
        <v>266</v>
      </c>
      <c r="S196" s="1092" t="s">
        <v>266</v>
      </c>
      <c r="T196" s="1092"/>
      <c r="U196" s="1092"/>
      <c r="V196" s="1092" t="s">
        <v>266</v>
      </c>
      <c r="W196" s="1092" t="s">
        <v>266</v>
      </c>
      <c r="X196" s="1092" t="s">
        <v>266</v>
      </c>
      <c r="Y196" s="1092" t="s">
        <v>266</v>
      </c>
      <c r="Z196" s="1092" t="s">
        <v>266</v>
      </c>
      <c r="AA196" s="1092"/>
      <c r="AB196" s="1092"/>
      <c r="AC196" s="1092" t="s">
        <v>266</v>
      </c>
      <c r="AD196" s="1092" t="s">
        <v>266</v>
      </c>
      <c r="AE196" s="1092" t="s">
        <v>266</v>
      </c>
      <c r="AF196" s="1092" t="s">
        <v>266</v>
      </c>
      <c r="AG196" s="1092"/>
      <c r="AH196" s="114"/>
    </row>
    <row r="197" spans="1:35" ht="21" customHeight="1" x14ac:dyDescent="0.2">
      <c r="A197" s="147"/>
      <c r="B197" s="217"/>
      <c r="C197" s="216"/>
      <c r="D197" s="216"/>
      <c r="E197" s="216"/>
      <c r="F197" s="216"/>
      <c r="G197" s="216"/>
      <c r="H197" s="216"/>
      <c r="I197" s="216"/>
      <c r="J197" s="216"/>
      <c r="K197" s="216"/>
      <c r="L197" s="216"/>
      <c r="M197" s="216"/>
      <c r="N197" s="216"/>
      <c r="O197" s="216"/>
      <c r="P197" s="216"/>
      <c r="Q197" s="216"/>
      <c r="R197" s="216"/>
      <c r="S197" s="216"/>
      <c r="T197" s="216"/>
      <c r="U197" s="216"/>
      <c r="V197" s="216"/>
      <c r="W197" s="216"/>
      <c r="X197" s="216"/>
      <c r="Y197" s="216"/>
      <c r="Z197" s="216"/>
      <c r="AA197" s="216"/>
      <c r="AB197" s="216"/>
      <c r="AC197" s="216"/>
      <c r="AD197" s="216"/>
      <c r="AE197" s="216"/>
      <c r="AF197" s="216"/>
      <c r="AG197" s="216"/>
      <c r="AH197" s="114"/>
    </row>
    <row r="198" spans="1:35" ht="22.35" customHeight="1" x14ac:dyDescent="0.2">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row>
    <row r="199" spans="1:35" ht="22.35" customHeight="1" thickBot="1" x14ac:dyDescent="0.25">
      <c r="A199" s="1" t="s">
        <v>280</v>
      </c>
      <c r="B199" s="59"/>
    </row>
    <row r="200" spans="1:35" ht="22.35" customHeight="1" x14ac:dyDescent="0.2">
      <c r="A200" s="1"/>
      <c r="B200" s="532" t="s">
        <v>281</v>
      </c>
      <c r="C200" s="1292" t="s">
        <v>107</v>
      </c>
      <c r="D200" s="995"/>
      <c r="E200" s="995"/>
      <c r="F200" s="995"/>
      <c r="G200" s="1292" t="s">
        <v>108</v>
      </c>
      <c r="H200" s="995"/>
      <c r="I200" s="995"/>
      <c r="J200" s="995"/>
      <c r="K200" s="1292" t="s">
        <v>109</v>
      </c>
      <c r="L200" s="995"/>
      <c r="M200" s="995"/>
      <c r="N200" s="995"/>
      <c r="O200" s="1292" t="s">
        <v>110</v>
      </c>
      <c r="P200" s="995"/>
      <c r="Q200" s="995"/>
      <c r="R200" s="995"/>
      <c r="S200" s="1292" t="s">
        <v>111</v>
      </c>
      <c r="T200" s="995"/>
      <c r="U200" s="995"/>
      <c r="V200" s="995"/>
      <c r="W200" s="1292" t="s">
        <v>112</v>
      </c>
      <c r="X200" s="876"/>
      <c r="Y200" s="995"/>
      <c r="Z200" s="1293"/>
      <c r="AA200" s="1292" t="s">
        <v>113</v>
      </c>
      <c r="AB200" s="876"/>
      <c r="AC200" s="995"/>
      <c r="AD200" s="1293"/>
      <c r="AE200" s="1294" t="s">
        <v>114</v>
      </c>
      <c r="AF200" s="995"/>
      <c r="AG200" s="995"/>
      <c r="AH200" s="995"/>
      <c r="AI200" s="877"/>
    </row>
    <row r="201" spans="1:35" ht="22.35" customHeight="1" x14ac:dyDescent="0.2">
      <c r="A201" s="1"/>
      <c r="B201" s="533">
        <v>3701</v>
      </c>
      <c r="C201" s="110" t="s">
        <v>282</v>
      </c>
      <c r="D201" s="110"/>
      <c r="E201" s="110"/>
      <c r="F201" s="110"/>
      <c r="G201" s="534" t="s">
        <v>283</v>
      </c>
      <c r="H201" s="110"/>
      <c r="I201" s="110"/>
      <c r="J201" s="110"/>
      <c r="K201" s="534" t="s">
        <v>283</v>
      </c>
      <c r="L201" s="110"/>
      <c r="M201" s="110"/>
      <c r="N201" s="110"/>
      <c r="O201" s="534" t="s">
        <v>283</v>
      </c>
      <c r="P201" s="110"/>
      <c r="Q201" s="110"/>
      <c r="R201" s="110"/>
      <c r="S201" s="534" t="s">
        <v>284</v>
      </c>
      <c r="T201" s="110"/>
      <c r="U201" s="110"/>
      <c r="V201" s="110"/>
      <c r="W201" s="1002"/>
      <c r="X201" s="1145"/>
      <c r="Y201" s="886"/>
      <c r="Z201" s="1146"/>
      <c r="AA201" s="1002"/>
      <c r="AB201" s="1145"/>
      <c r="AC201" s="886"/>
      <c r="AD201" s="1146"/>
      <c r="AE201" s="1046"/>
      <c r="AF201" s="886"/>
      <c r="AG201" s="886"/>
      <c r="AH201" s="886"/>
      <c r="AI201" s="788"/>
    </row>
    <row r="202" spans="1:35" ht="22.35" customHeight="1" x14ac:dyDescent="0.2">
      <c r="B202" s="532">
        <v>3700</v>
      </c>
      <c r="C202" s="886" t="s">
        <v>182</v>
      </c>
      <c r="D202" s="886"/>
      <c r="E202" s="886"/>
      <c r="F202" s="886"/>
      <c r="G202" s="698" t="s">
        <v>182</v>
      </c>
      <c r="H202" s="886"/>
      <c r="I202" s="886"/>
      <c r="J202" s="886"/>
      <c r="K202" s="698" t="s">
        <v>182</v>
      </c>
      <c r="L202" s="886"/>
      <c r="M202" s="886"/>
      <c r="N202" s="886"/>
      <c r="O202" s="698" t="s">
        <v>182</v>
      </c>
      <c r="P202" s="886"/>
      <c r="Q202" s="886"/>
      <c r="R202" s="886"/>
      <c r="S202" s="698" t="s">
        <v>183</v>
      </c>
      <c r="T202" s="886"/>
      <c r="U202" s="886"/>
      <c r="V202" s="886"/>
      <c r="W202" s="1002"/>
      <c r="X202" s="886"/>
      <c r="Y202" s="886"/>
      <c r="Z202" s="1048"/>
      <c r="AA202" s="1046"/>
      <c r="AB202" s="886"/>
      <c r="AC202" s="886"/>
      <c r="AD202" s="945"/>
      <c r="AE202" s="1147"/>
      <c r="AF202" s="886"/>
      <c r="AG202" s="886"/>
      <c r="AH202" s="945"/>
      <c r="AI202" s="788"/>
    </row>
    <row r="203" spans="1:35" ht="22.35" customHeight="1" x14ac:dyDescent="0.2">
      <c r="A203" s="1"/>
      <c r="B203" s="532">
        <v>8514</v>
      </c>
      <c r="C203" s="886" t="s">
        <v>283</v>
      </c>
      <c r="D203" s="886"/>
      <c r="E203" s="886"/>
      <c r="F203" s="886"/>
      <c r="G203" s="698" t="s">
        <v>283</v>
      </c>
      <c r="H203" s="886"/>
      <c r="I203" s="886"/>
      <c r="J203" s="886"/>
      <c r="K203" s="698" t="s">
        <v>283</v>
      </c>
      <c r="L203" s="886"/>
      <c r="M203" s="886"/>
      <c r="N203" s="886"/>
      <c r="O203" s="698" t="s">
        <v>283</v>
      </c>
      <c r="P203" s="886"/>
      <c r="Q203" s="886"/>
      <c r="R203" s="886"/>
      <c r="S203" s="698" t="s">
        <v>285</v>
      </c>
      <c r="T203" s="886"/>
      <c r="U203" s="886"/>
      <c r="V203" s="886"/>
      <c r="W203" s="1002"/>
      <c r="X203" s="886"/>
      <c r="Y203" s="886"/>
      <c r="Z203" s="1048"/>
      <c r="AA203" s="735"/>
      <c r="AB203" s="886"/>
      <c r="AC203" s="886"/>
      <c r="AD203" s="945"/>
      <c r="AE203" s="735"/>
      <c r="AF203" s="886"/>
      <c r="AG203" s="886"/>
      <c r="AH203" s="945"/>
      <c r="AI203" s="788"/>
    </row>
    <row r="204" spans="1:35" ht="22.35" customHeight="1" x14ac:dyDescent="0.2">
      <c r="A204" s="1"/>
      <c r="B204" s="532">
        <v>8500</v>
      </c>
      <c r="C204" s="162" t="s">
        <v>286</v>
      </c>
      <c r="D204" s="162"/>
      <c r="E204" s="162"/>
      <c r="F204" s="162"/>
      <c r="G204" s="163" t="s">
        <v>286</v>
      </c>
      <c r="H204" s="162"/>
      <c r="I204" s="162"/>
      <c r="J204" s="162"/>
      <c r="K204" s="163" t="s">
        <v>286</v>
      </c>
      <c r="L204" s="162"/>
      <c r="M204" s="162"/>
      <c r="N204" s="162"/>
      <c r="O204" s="163" t="s">
        <v>286</v>
      </c>
      <c r="P204" s="162"/>
      <c r="Q204" s="162"/>
      <c r="R204" s="162"/>
      <c r="S204" s="163" t="s">
        <v>287</v>
      </c>
      <c r="T204" s="162"/>
      <c r="U204" s="162"/>
      <c r="V204" s="162"/>
      <c r="W204" s="1002"/>
      <c r="X204" s="162"/>
      <c r="Y204" s="162"/>
      <c r="Z204" s="120"/>
      <c r="AA204" s="119"/>
      <c r="AB204" s="162"/>
      <c r="AC204" s="162"/>
      <c r="AD204" s="120"/>
      <c r="AE204" s="119"/>
      <c r="AF204" s="162"/>
      <c r="AG204" s="162"/>
      <c r="AH204" s="112"/>
      <c r="AI204" s="118"/>
    </row>
    <row r="205" spans="1:35" ht="22.35" customHeight="1" x14ac:dyDescent="0.2">
      <c r="A205" s="1"/>
      <c r="B205" s="532">
        <v>8514</v>
      </c>
      <c r="C205" s="165" t="s">
        <v>283</v>
      </c>
      <c r="D205" s="165"/>
      <c r="E205" s="165"/>
      <c r="F205" s="165"/>
      <c r="G205" s="166" t="s">
        <v>283</v>
      </c>
      <c r="H205" s="165"/>
      <c r="I205" s="165"/>
      <c r="J205" s="165"/>
      <c r="K205" s="166" t="s">
        <v>283</v>
      </c>
      <c r="L205" s="165"/>
      <c r="M205" s="165"/>
      <c r="N205" s="165"/>
      <c r="O205" s="166" t="s">
        <v>283</v>
      </c>
      <c r="P205" s="165"/>
      <c r="Q205" s="165"/>
      <c r="R205" s="165"/>
      <c r="S205" s="166" t="s">
        <v>285</v>
      </c>
      <c r="T205" s="165"/>
      <c r="U205" s="165"/>
      <c r="V205" s="165"/>
      <c r="W205" s="1148"/>
      <c r="X205" s="116"/>
      <c r="Y205" s="162"/>
      <c r="Z205" s="164"/>
      <c r="AA205" s="154"/>
      <c r="AB205" s="116"/>
      <c r="AC205" s="162"/>
      <c r="AD205" s="162"/>
      <c r="AE205" s="117"/>
      <c r="AF205" s="162"/>
      <c r="AG205" s="162"/>
      <c r="AH205" s="162"/>
      <c r="AI205" s="118"/>
    </row>
    <row r="206" spans="1:35" ht="22.35" customHeight="1" thickBot="1" x14ac:dyDescent="0.25">
      <c r="A206" s="1"/>
      <c r="B206" s="1149" t="s">
        <v>288</v>
      </c>
      <c r="C206" s="891" t="s">
        <v>289</v>
      </c>
      <c r="D206" s="891"/>
      <c r="E206" s="891"/>
      <c r="F206" s="891"/>
      <c r="G206" s="584" t="s">
        <v>289</v>
      </c>
      <c r="H206" s="891"/>
      <c r="I206" s="891"/>
      <c r="J206" s="891"/>
      <c r="K206" s="1004" t="s">
        <v>289</v>
      </c>
      <c r="L206" s="891"/>
      <c r="M206" s="891"/>
      <c r="N206" s="891"/>
      <c r="O206" s="584" t="s">
        <v>289</v>
      </c>
      <c r="P206" s="891"/>
      <c r="Q206" s="891"/>
      <c r="R206" s="891"/>
      <c r="S206" s="584" t="s">
        <v>290</v>
      </c>
      <c r="T206" s="891"/>
      <c r="U206" s="891"/>
      <c r="V206" s="891"/>
      <c r="W206" s="1004"/>
      <c r="X206" s="891"/>
      <c r="Y206" s="891"/>
      <c r="Z206" s="706"/>
      <c r="AA206" s="1057"/>
      <c r="AB206" s="891"/>
      <c r="AC206" s="891"/>
      <c r="AD206" s="1063"/>
      <c r="AE206" s="724"/>
      <c r="AF206" s="891"/>
      <c r="AG206" s="891"/>
      <c r="AH206" s="1063"/>
      <c r="AI206" s="894"/>
    </row>
    <row r="207" spans="1:35" ht="22.35" customHeight="1" x14ac:dyDescent="0.2">
      <c r="A207" s="1"/>
      <c r="B207" s="18"/>
      <c r="C207" s="64"/>
      <c r="D207" s="110"/>
      <c r="E207" s="110"/>
      <c r="F207" s="69"/>
      <c r="G207" s="64"/>
      <c r="H207" s="110"/>
      <c r="I207" s="110"/>
      <c r="J207" s="69"/>
      <c r="K207" s="64"/>
      <c r="L207" s="110"/>
      <c r="M207" s="110"/>
      <c r="N207" s="69"/>
      <c r="O207" s="64"/>
      <c r="P207" s="110"/>
      <c r="Q207" s="110"/>
      <c r="R207" s="69"/>
      <c r="S207" s="64"/>
      <c r="T207" s="110"/>
      <c r="U207" s="110"/>
      <c r="V207" s="69"/>
      <c r="W207" s="69"/>
      <c r="Z207" s="69"/>
      <c r="AA207" s="69"/>
      <c r="AD207" s="69"/>
      <c r="AE207" s="69"/>
      <c r="AH207" s="69"/>
    </row>
    <row r="208" spans="1:35" ht="22.35" customHeight="1" x14ac:dyDescent="0.2">
      <c r="A208" s="1" t="s">
        <v>291</v>
      </c>
      <c r="B208" s="18"/>
      <c r="C208" s="64"/>
      <c r="D208" s="110"/>
      <c r="E208" s="110"/>
      <c r="F208" s="69"/>
      <c r="G208" s="64"/>
      <c r="H208" s="110"/>
      <c r="I208" s="110"/>
      <c r="J208" s="69"/>
      <c r="K208" s="64"/>
      <c r="L208" s="110"/>
      <c r="M208" s="110"/>
      <c r="N208" s="69"/>
      <c r="O208" s="64"/>
      <c r="P208" s="110"/>
      <c r="Q208" s="110"/>
      <c r="R208" s="69"/>
      <c r="S208" s="64"/>
      <c r="T208" s="110"/>
      <c r="U208" s="110"/>
      <c r="V208" s="69"/>
      <c r="W208" s="69"/>
      <c r="Z208" s="69"/>
      <c r="AA208" s="69"/>
      <c r="AD208" s="69"/>
      <c r="AE208" s="69"/>
      <c r="AH208" s="69"/>
    </row>
    <row r="209" spans="1:35" ht="22.35" customHeight="1" thickBot="1" x14ac:dyDescent="0.25">
      <c r="A209" s="981"/>
      <c r="B209" s="748" t="s">
        <v>29</v>
      </c>
      <c r="C209" s="796">
        <v>1</v>
      </c>
      <c r="D209" s="796">
        <v>2</v>
      </c>
      <c r="E209" s="796">
        <v>3</v>
      </c>
      <c r="F209" s="795">
        <v>4</v>
      </c>
      <c r="G209" s="795">
        <v>5</v>
      </c>
      <c r="H209" s="795">
        <v>6</v>
      </c>
      <c r="I209" s="796">
        <v>7</v>
      </c>
      <c r="J209" s="796">
        <v>8</v>
      </c>
      <c r="K209" s="796">
        <v>9</v>
      </c>
      <c r="L209" s="796">
        <v>10</v>
      </c>
      <c r="M209" s="795">
        <v>11</v>
      </c>
      <c r="N209" s="795">
        <v>12</v>
      </c>
      <c r="O209" s="796">
        <v>13</v>
      </c>
      <c r="P209" s="796">
        <v>14</v>
      </c>
      <c r="Q209" s="796">
        <v>15</v>
      </c>
      <c r="R209" s="796">
        <v>16</v>
      </c>
      <c r="S209" s="796">
        <v>17</v>
      </c>
      <c r="T209" s="795">
        <v>18</v>
      </c>
      <c r="U209" s="795">
        <v>19</v>
      </c>
      <c r="V209" s="796">
        <v>20</v>
      </c>
      <c r="W209" s="796">
        <v>21</v>
      </c>
      <c r="X209" s="796">
        <v>22</v>
      </c>
      <c r="Y209" s="796">
        <v>23</v>
      </c>
      <c r="Z209" s="796">
        <v>24</v>
      </c>
      <c r="AA209" s="795">
        <v>25</v>
      </c>
      <c r="AB209" s="795">
        <v>26</v>
      </c>
      <c r="AC209" s="796">
        <v>27</v>
      </c>
      <c r="AD209" s="796">
        <v>28</v>
      </c>
      <c r="AE209" s="796">
        <v>29</v>
      </c>
      <c r="AF209" s="796">
        <v>30</v>
      </c>
      <c r="AG209" s="797"/>
      <c r="AH209" s="173"/>
      <c r="AI209" s="174"/>
    </row>
    <row r="210" spans="1:35" ht="22.35" customHeight="1" x14ac:dyDescent="0.2">
      <c r="A210" s="1150"/>
      <c r="B210" s="1151" t="s">
        <v>292</v>
      </c>
      <c r="C210" s="859" t="s">
        <v>32</v>
      </c>
      <c r="D210" s="859" t="s">
        <v>32</v>
      </c>
      <c r="E210" s="859" t="s">
        <v>32</v>
      </c>
      <c r="F210" s="644"/>
      <c r="G210" s="644"/>
      <c r="H210" s="644"/>
      <c r="I210" s="644" t="s">
        <v>32</v>
      </c>
      <c r="J210" s="644" t="s">
        <v>32</v>
      </c>
      <c r="K210" s="644" t="s">
        <v>32</v>
      </c>
      <c r="L210" s="644" t="s">
        <v>32</v>
      </c>
      <c r="M210" s="644"/>
      <c r="N210" s="848"/>
      <c r="O210" s="848" t="s">
        <v>32</v>
      </c>
      <c r="P210" s="848" t="s">
        <v>32</v>
      </c>
      <c r="Q210" s="975" t="s">
        <v>32</v>
      </c>
      <c r="R210" s="848" t="s">
        <v>32</v>
      </c>
      <c r="S210" s="848" t="s">
        <v>32</v>
      </c>
      <c r="T210" s="644"/>
      <c r="U210" s="848"/>
      <c r="V210" s="1152" t="s">
        <v>32</v>
      </c>
      <c r="W210" s="1152" t="s">
        <v>32</v>
      </c>
      <c r="X210" s="1152" t="s">
        <v>32</v>
      </c>
      <c r="Y210" s="848" t="s">
        <v>32</v>
      </c>
      <c r="Z210" s="644" t="s">
        <v>32</v>
      </c>
      <c r="AA210" s="644"/>
      <c r="AB210" s="644"/>
      <c r="AC210" s="848" t="s">
        <v>32</v>
      </c>
      <c r="AD210" s="848" t="s">
        <v>32</v>
      </c>
      <c r="AE210" s="848" t="s">
        <v>32</v>
      </c>
      <c r="AF210" s="848" t="s">
        <v>32</v>
      </c>
      <c r="AG210" s="293"/>
      <c r="AH210" s="173"/>
      <c r="AI210" s="174"/>
    </row>
    <row r="211" spans="1:35" ht="22.35" customHeight="1" x14ac:dyDescent="0.2">
      <c r="A211" s="1153"/>
      <c r="B211" s="1154" t="s">
        <v>293</v>
      </c>
      <c r="C211" s="644"/>
      <c r="D211" s="644"/>
      <c r="E211" s="644"/>
      <c r="F211" s="644"/>
      <c r="G211" s="644"/>
      <c r="H211" s="644"/>
      <c r="I211" s="644"/>
      <c r="J211" s="644"/>
      <c r="K211" s="644"/>
      <c r="L211" s="644"/>
      <c r="M211" s="644"/>
      <c r="N211" s="848"/>
      <c r="O211" s="848"/>
      <c r="P211" s="848"/>
      <c r="Q211" s="975"/>
      <c r="R211" s="848"/>
      <c r="S211" s="644"/>
      <c r="T211" s="644"/>
      <c r="U211" s="848"/>
      <c r="V211" s="848"/>
      <c r="W211" s="848"/>
      <c r="X211" s="644"/>
      <c r="Y211" s="848"/>
      <c r="Z211" s="644"/>
      <c r="AA211" s="644"/>
      <c r="AB211" s="644"/>
      <c r="AC211" s="644"/>
      <c r="AD211" s="975"/>
      <c r="AE211" s="975"/>
      <c r="AF211" s="975"/>
      <c r="AG211" s="585"/>
      <c r="AH211" s="173"/>
      <c r="AI211" s="174"/>
    </row>
    <row r="212" spans="1:35" ht="22.35" customHeight="1" x14ac:dyDescent="0.2">
      <c r="A212" s="1155">
        <v>8514</v>
      </c>
      <c r="B212" s="1156" t="s">
        <v>294</v>
      </c>
      <c r="C212" s="644" t="s">
        <v>32</v>
      </c>
      <c r="D212" s="644" t="s">
        <v>32</v>
      </c>
      <c r="E212" s="644" t="s">
        <v>32</v>
      </c>
      <c r="F212" s="644"/>
      <c r="G212" s="644"/>
      <c r="H212" s="644"/>
      <c r="I212" s="845" t="s">
        <v>32</v>
      </c>
      <c r="J212" s="845" t="s">
        <v>32</v>
      </c>
      <c r="K212" s="845" t="s">
        <v>32</v>
      </c>
      <c r="L212" s="845" t="s">
        <v>32</v>
      </c>
      <c r="M212" s="644"/>
      <c r="N212" s="848"/>
      <c r="O212" s="848" t="s">
        <v>32</v>
      </c>
      <c r="P212" s="848" t="s">
        <v>32</v>
      </c>
      <c r="Q212" s="975" t="s">
        <v>32</v>
      </c>
      <c r="R212" s="848" t="s">
        <v>32</v>
      </c>
      <c r="S212" s="644" t="s">
        <v>32</v>
      </c>
      <c r="T212" s="644"/>
      <c r="U212" s="848"/>
      <c r="V212" s="848" t="s">
        <v>32</v>
      </c>
      <c r="W212" s="848" t="s">
        <v>32</v>
      </c>
      <c r="X212" s="848" t="s">
        <v>32</v>
      </c>
      <c r="Y212" s="857" t="s">
        <v>32</v>
      </c>
      <c r="Z212" s="644" t="s">
        <v>32</v>
      </c>
      <c r="AA212" s="644"/>
      <c r="AB212" s="644"/>
      <c r="AC212" s="644" t="s">
        <v>32</v>
      </c>
      <c r="AD212" s="975" t="s">
        <v>32</v>
      </c>
      <c r="AE212" s="975" t="s">
        <v>32</v>
      </c>
      <c r="AF212" s="975" t="s">
        <v>32</v>
      </c>
      <c r="AG212" s="585"/>
      <c r="AH212" s="178"/>
      <c r="AI212" s="179"/>
    </row>
    <row r="213" spans="1:35" ht="21" customHeight="1" x14ac:dyDescent="0.2">
      <c r="A213" s="1155">
        <v>3701</v>
      </c>
      <c r="B213" s="1157" t="s">
        <v>295</v>
      </c>
      <c r="C213" s="644"/>
      <c r="D213" s="644"/>
      <c r="E213" s="644"/>
      <c r="F213" s="644"/>
      <c r="G213" s="644"/>
      <c r="H213" s="644"/>
      <c r="I213" s="644"/>
      <c r="J213" s="644"/>
      <c r="K213" s="644"/>
      <c r="L213" s="644"/>
      <c r="M213" s="644"/>
      <c r="N213" s="848"/>
      <c r="O213" s="848"/>
      <c r="P213" s="848"/>
      <c r="Q213" s="975"/>
      <c r="R213" s="848"/>
      <c r="S213" s="644"/>
      <c r="T213" s="644"/>
      <c r="U213" s="848"/>
      <c r="V213" s="848"/>
      <c r="W213" s="848"/>
      <c r="X213" s="644"/>
      <c r="Y213" s="848"/>
      <c r="Z213" s="644"/>
      <c r="AA213" s="644"/>
      <c r="AB213" s="644"/>
      <c r="AC213" s="644"/>
      <c r="AD213" s="848"/>
      <c r="AE213" s="848"/>
      <c r="AF213" s="848"/>
      <c r="AG213" s="585"/>
      <c r="AH213" s="178"/>
      <c r="AI213" s="179"/>
    </row>
    <row r="214" spans="1:35" ht="21" customHeight="1" x14ac:dyDescent="0.2">
      <c r="A214" s="1155">
        <v>3701</v>
      </c>
      <c r="B214" s="933" t="s">
        <v>296</v>
      </c>
      <c r="C214" s="644" t="s">
        <v>32</v>
      </c>
      <c r="D214" s="644" t="s">
        <v>32</v>
      </c>
      <c r="E214" s="644" t="s">
        <v>32</v>
      </c>
      <c r="F214" s="644"/>
      <c r="G214" s="644"/>
      <c r="H214" s="644"/>
      <c r="I214" s="859" t="s">
        <v>32</v>
      </c>
      <c r="J214" s="644" t="s">
        <v>32</v>
      </c>
      <c r="K214" s="644" t="s">
        <v>32</v>
      </c>
      <c r="L214" s="644" t="s">
        <v>32</v>
      </c>
      <c r="M214" s="644"/>
      <c r="N214" s="848"/>
      <c r="O214" s="848" t="s">
        <v>32</v>
      </c>
      <c r="P214" s="848" t="s">
        <v>32</v>
      </c>
      <c r="Q214" s="975" t="s">
        <v>32</v>
      </c>
      <c r="R214" s="1158" t="s">
        <v>32</v>
      </c>
      <c r="S214" s="644" t="s">
        <v>32</v>
      </c>
      <c r="T214" s="644"/>
      <c r="U214" s="848"/>
      <c r="V214" s="848" t="s">
        <v>32</v>
      </c>
      <c r="W214" s="848" t="s">
        <v>32</v>
      </c>
      <c r="X214" s="1158" t="s">
        <v>32</v>
      </c>
      <c r="Y214" s="848" t="s">
        <v>32</v>
      </c>
      <c r="Z214" s="644" t="s">
        <v>32</v>
      </c>
      <c r="AA214" s="644"/>
      <c r="AB214" s="644"/>
      <c r="AC214" s="644" t="s">
        <v>32</v>
      </c>
      <c r="AD214" s="1284" t="s">
        <v>32</v>
      </c>
      <c r="AE214" s="1284" t="s">
        <v>32</v>
      </c>
      <c r="AF214" s="1284" t="s">
        <v>32</v>
      </c>
      <c r="AG214" s="585"/>
      <c r="AH214" s="178"/>
      <c r="AI214" s="179"/>
    </row>
    <row r="215" spans="1:35" ht="21" customHeight="1" x14ac:dyDescent="0.2">
      <c r="A215" s="1155">
        <v>3701</v>
      </c>
      <c r="B215" s="933" t="s">
        <v>297</v>
      </c>
      <c r="C215" s="644" t="s">
        <v>32</v>
      </c>
      <c r="D215" s="644" t="s">
        <v>32</v>
      </c>
      <c r="E215" s="1158" t="s">
        <v>32</v>
      </c>
      <c r="F215" s="960"/>
      <c r="G215" s="960"/>
      <c r="H215" s="960"/>
      <c r="I215" s="644" t="s">
        <v>32</v>
      </c>
      <c r="J215" s="1158" t="s">
        <v>32</v>
      </c>
      <c r="K215" s="644" t="s">
        <v>32</v>
      </c>
      <c r="L215" s="644" t="s">
        <v>32</v>
      </c>
      <c r="M215" s="644"/>
      <c r="N215" s="1112"/>
      <c r="O215" s="848" t="s">
        <v>32</v>
      </c>
      <c r="P215" s="1158" t="s">
        <v>32</v>
      </c>
      <c r="Q215" s="975" t="s">
        <v>32</v>
      </c>
      <c r="R215" s="1158" t="s">
        <v>32</v>
      </c>
      <c r="S215" s="644" t="s">
        <v>32</v>
      </c>
      <c r="T215" s="644"/>
      <c r="U215" s="848"/>
      <c r="V215" s="848" t="s">
        <v>32</v>
      </c>
      <c r="W215" s="1158" t="s">
        <v>32</v>
      </c>
      <c r="X215" s="644" t="s">
        <v>32</v>
      </c>
      <c r="Y215" s="980" t="s">
        <v>32</v>
      </c>
      <c r="Z215" s="644" t="s">
        <v>32</v>
      </c>
      <c r="AA215" s="644"/>
      <c r="AB215" s="644"/>
      <c r="AC215" s="644" t="s">
        <v>32</v>
      </c>
      <c r="AD215" s="980" t="s">
        <v>32</v>
      </c>
      <c r="AE215" s="975" t="s">
        <v>32</v>
      </c>
      <c r="AF215" s="975" t="s">
        <v>32</v>
      </c>
      <c r="AG215" s="585"/>
      <c r="AH215" s="178"/>
      <c r="AI215" s="179"/>
    </row>
    <row r="216" spans="1:35" ht="21" customHeight="1" x14ac:dyDescent="0.2">
      <c r="A216" s="1155">
        <v>3701</v>
      </c>
      <c r="B216" s="933" t="s">
        <v>298</v>
      </c>
      <c r="C216" s="644" t="s">
        <v>32</v>
      </c>
      <c r="D216" s="644" t="s">
        <v>32</v>
      </c>
      <c r="E216" s="644" t="s">
        <v>32</v>
      </c>
      <c r="F216" s="644"/>
      <c r="G216" s="644"/>
      <c r="H216" s="845"/>
      <c r="I216" s="964" t="s">
        <v>32</v>
      </c>
      <c r="J216" s="964" t="s">
        <v>32</v>
      </c>
      <c r="K216" s="964" t="s">
        <v>32</v>
      </c>
      <c r="L216" s="964" t="s">
        <v>51</v>
      </c>
      <c r="M216" s="644"/>
      <c r="N216" s="848"/>
      <c r="O216" s="848" t="s">
        <v>32</v>
      </c>
      <c r="P216" s="848" t="s">
        <v>32</v>
      </c>
      <c r="Q216" s="975" t="s">
        <v>32</v>
      </c>
      <c r="R216" s="848" t="s">
        <v>32</v>
      </c>
      <c r="S216" s="644" t="s">
        <v>32</v>
      </c>
      <c r="T216" s="644"/>
      <c r="U216" s="848"/>
      <c r="V216" s="848" t="s">
        <v>32</v>
      </c>
      <c r="W216" s="848" t="s">
        <v>32</v>
      </c>
      <c r="X216" s="644" t="s">
        <v>32</v>
      </c>
      <c r="Y216" s="980" t="s">
        <v>32</v>
      </c>
      <c r="Z216" s="644" t="s">
        <v>32</v>
      </c>
      <c r="AA216" s="644"/>
      <c r="AB216" s="644"/>
      <c r="AC216" s="644" t="s">
        <v>32</v>
      </c>
      <c r="AD216" s="980" t="s">
        <v>32</v>
      </c>
      <c r="AE216" s="975" t="s">
        <v>32</v>
      </c>
      <c r="AF216" s="975" t="s">
        <v>32</v>
      </c>
      <c r="AG216" s="585"/>
      <c r="AH216" s="178"/>
      <c r="AI216" s="179"/>
    </row>
    <row r="217" spans="1:35" ht="22.35" customHeight="1" x14ac:dyDescent="0.2">
      <c r="A217" s="1155">
        <v>3701</v>
      </c>
      <c r="B217" s="1157" t="s">
        <v>299</v>
      </c>
      <c r="C217" s="644" t="s">
        <v>32</v>
      </c>
      <c r="D217" s="644" t="s">
        <v>32</v>
      </c>
      <c r="E217" s="644" t="s">
        <v>32</v>
      </c>
      <c r="F217" s="644"/>
      <c r="G217" s="644"/>
      <c r="H217" s="848"/>
      <c r="I217" s="848" t="s">
        <v>32</v>
      </c>
      <c r="J217" s="644" t="s">
        <v>32</v>
      </c>
      <c r="K217" s="644" t="s">
        <v>32</v>
      </c>
      <c r="L217" s="644" t="s">
        <v>32</v>
      </c>
      <c r="M217" s="644"/>
      <c r="N217" s="848"/>
      <c r="O217" s="848" t="s">
        <v>32</v>
      </c>
      <c r="P217" s="848" t="s">
        <v>32</v>
      </c>
      <c r="Q217" s="975" t="s">
        <v>32</v>
      </c>
      <c r="R217" s="848" t="s">
        <v>32</v>
      </c>
      <c r="S217" s="644" t="s">
        <v>32</v>
      </c>
      <c r="T217" s="644"/>
      <c r="U217" s="848"/>
      <c r="V217" s="848" t="s">
        <v>32</v>
      </c>
      <c r="W217" s="848" t="s">
        <v>32</v>
      </c>
      <c r="X217" s="644" t="s">
        <v>32</v>
      </c>
      <c r="Y217" s="848" t="s">
        <v>32</v>
      </c>
      <c r="Z217" s="644" t="s">
        <v>32</v>
      </c>
      <c r="AA217" s="644"/>
      <c r="AB217" s="644"/>
      <c r="AC217" s="644" t="s">
        <v>32</v>
      </c>
      <c r="AD217" s="848" t="s">
        <v>32</v>
      </c>
      <c r="AE217" s="848" t="s">
        <v>32</v>
      </c>
      <c r="AF217" s="848" t="s">
        <v>32</v>
      </c>
      <c r="AG217" s="585"/>
      <c r="AH217" s="178"/>
      <c r="AI217" s="179"/>
    </row>
    <row r="218" spans="1:35" ht="22.35" customHeight="1" x14ac:dyDescent="0.2">
      <c r="A218" s="1155">
        <v>3701</v>
      </c>
      <c r="B218" s="933" t="s">
        <v>300</v>
      </c>
      <c r="C218" s="644" t="s">
        <v>32</v>
      </c>
      <c r="D218" s="644" t="s">
        <v>32</v>
      </c>
      <c r="E218" s="644" t="s">
        <v>32</v>
      </c>
      <c r="F218" s="644"/>
      <c r="G218" s="644"/>
      <c r="H218" s="644"/>
      <c r="I218" s="644" t="s">
        <v>32</v>
      </c>
      <c r="J218" s="644" t="s">
        <v>32</v>
      </c>
      <c r="K218" s="644" t="s">
        <v>32</v>
      </c>
      <c r="L218" s="644" t="s">
        <v>32</v>
      </c>
      <c r="M218" s="644"/>
      <c r="N218" s="848"/>
      <c r="O218" s="848" t="s">
        <v>32</v>
      </c>
      <c r="P218" s="848" t="s">
        <v>32</v>
      </c>
      <c r="Q218" s="975" t="s">
        <v>32</v>
      </c>
      <c r="R218" s="848" t="s">
        <v>32</v>
      </c>
      <c r="S218" s="644" t="s">
        <v>32</v>
      </c>
      <c r="T218" s="644"/>
      <c r="U218" s="848"/>
      <c r="V218" s="848" t="s">
        <v>32</v>
      </c>
      <c r="W218" s="848" t="s">
        <v>32</v>
      </c>
      <c r="X218" s="644" t="s">
        <v>32</v>
      </c>
      <c r="Y218" s="848" t="s">
        <v>32</v>
      </c>
      <c r="Z218" s="644" t="s">
        <v>32</v>
      </c>
      <c r="AA218" s="644"/>
      <c r="AB218" s="644"/>
      <c r="AC218" s="644" t="s">
        <v>32</v>
      </c>
      <c r="AD218" s="848" t="s">
        <v>32</v>
      </c>
      <c r="AE218" s="848" t="s">
        <v>32</v>
      </c>
      <c r="AF218" s="848" t="s">
        <v>32</v>
      </c>
      <c r="AG218" s="585"/>
      <c r="AH218" s="178"/>
      <c r="AI218" s="179"/>
    </row>
    <row r="219" spans="1:35" ht="22.35" customHeight="1" x14ac:dyDescent="0.2">
      <c r="A219" s="1155">
        <v>3701</v>
      </c>
      <c r="B219" s="933" t="s">
        <v>301</v>
      </c>
      <c r="C219" s="644" t="s">
        <v>32</v>
      </c>
      <c r="D219" s="644" t="s">
        <v>32</v>
      </c>
      <c r="E219" s="644" t="s">
        <v>32</v>
      </c>
      <c r="F219" s="644"/>
      <c r="G219" s="644"/>
      <c r="H219" s="975"/>
      <c r="I219" s="644" t="s">
        <v>32</v>
      </c>
      <c r="J219" s="1158" t="s">
        <v>32</v>
      </c>
      <c r="K219" s="1158" t="s">
        <v>32</v>
      </c>
      <c r="L219" s="1158" t="s">
        <v>32</v>
      </c>
      <c r="M219" s="644"/>
      <c r="N219" s="848"/>
      <c r="O219" s="848" t="s">
        <v>32</v>
      </c>
      <c r="P219" s="848" t="s">
        <v>32</v>
      </c>
      <c r="Q219" s="975" t="s">
        <v>32</v>
      </c>
      <c r="R219" s="848" t="s">
        <v>32</v>
      </c>
      <c r="S219" s="530" t="s">
        <v>32</v>
      </c>
      <c r="T219" s="644"/>
      <c r="U219" s="848"/>
      <c r="V219" s="848" t="s">
        <v>32</v>
      </c>
      <c r="W219" s="848" t="s">
        <v>32</v>
      </c>
      <c r="X219" s="848" t="s">
        <v>32</v>
      </c>
      <c r="Y219" s="848" t="s">
        <v>32</v>
      </c>
      <c r="Z219" s="644" t="s">
        <v>32</v>
      </c>
      <c r="AA219" s="644"/>
      <c r="AB219" s="644"/>
      <c r="AC219" s="530" t="s">
        <v>32</v>
      </c>
      <c r="AD219" s="530" t="s">
        <v>32</v>
      </c>
      <c r="AE219" s="530" t="s">
        <v>32</v>
      </c>
      <c r="AF219" s="530" t="s">
        <v>32</v>
      </c>
      <c r="AG219" s="585"/>
      <c r="AH219" s="178"/>
      <c r="AI219" s="179"/>
    </row>
    <row r="220" spans="1:35" ht="22.35" customHeight="1" x14ac:dyDescent="0.2">
      <c r="A220" s="1160">
        <v>3701</v>
      </c>
      <c r="B220" s="933" t="s">
        <v>302</v>
      </c>
      <c r="C220" s="644" t="s">
        <v>32</v>
      </c>
      <c r="D220" s="644" t="s">
        <v>32</v>
      </c>
      <c r="E220" s="1158" t="s">
        <v>32</v>
      </c>
      <c r="F220" s="644"/>
      <c r="G220" s="644"/>
      <c r="H220" s="644"/>
      <c r="I220" s="644" t="s">
        <v>32</v>
      </c>
      <c r="J220" s="644" t="s">
        <v>32</v>
      </c>
      <c r="K220" s="644" t="s">
        <v>32</v>
      </c>
      <c r="L220" s="644" t="s">
        <v>32</v>
      </c>
      <c r="M220" s="644"/>
      <c r="N220" s="848"/>
      <c r="O220" s="848" t="s">
        <v>32</v>
      </c>
      <c r="P220" s="848" t="s">
        <v>32</v>
      </c>
      <c r="Q220" s="975" t="s">
        <v>32</v>
      </c>
      <c r="R220" s="1158" t="s">
        <v>32</v>
      </c>
      <c r="S220" s="1158" t="s">
        <v>32</v>
      </c>
      <c r="T220" s="644"/>
      <c r="U220" s="848"/>
      <c r="V220" s="848" t="s">
        <v>32</v>
      </c>
      <c r="W220" s="848" t="s">
        <v>32</v>
      </c>
      <c r="X220" s="1158" t="s">
        <v>32</v>
      </c>
      <c r="Y220" s="848" t="s">
        <v>32</v>
      </c>
      <c r="Z220" s="644" t="s">
        <v>32</v>
      </c>
      <c r="AA220" s="644"/>
      <c r="AB220" s="644"/>
      <c r="AC220" s="845" t="s">
        <v>32</v>
      </c>
      <c r="AD220" s="845" t="s">
        <v>32</v>
      </c>
      <c r="AE220" s="845" t="s">
        <v>32</v>
      </c>
      <c r="AF220" s="845" t="s">
        <v>32</v>
      </c>
      <c r="AG220" s="1161"/>
      <c r="AH220" s="178"/>
      <c r="AI220" s="179"/>
    </row>
    <row r="221" spans="1:35" ht="22.35" customHeight="1" x14ac:dyDescent="0.2">
      <c r="A221" s="1155">
        <v>3701</v>
      </c>
      <c r="B221" s="933" t="s">
        <v>303</v>
      </c>
      <c r="C221" s="644" t="s">
        <v>32</v>
      </c>
      <c r="D221" s="644" t="s">
        <v>32</v>
      </c>
      <c r="E221" s="644" t="s">
        <v>32</v>
      </c>
      <c r="F221" s="644"/>
      <c r="G221" s="644"/>
      <c r="H221" s="644"/>
      <c r="I221" s="644" t="s">
        <v>32</v>
      </c>
      <c r="J221" s="644" t="s">
        <v>32</v>
      </c>
      <c r="K221" s="644" t="s">
        <v>32</v>
      </c>
      <c r="L221" s="644" t="s">
        <v>32</v>
      </c>
      <c r="M221" s="644"/>
      <c r="N221" s="848"/>
      <c r="O221" s="848" t="s">
        <v>32</v>
      </c>
      <c r="P221" s="848" t="s">
        <v>32</v>
      </c>
      <c r="Q221" s="975" t="s">
        <v>32</v>
      </c>
      <c r="R221" s="848" t="s">
        <v>32</v>
      </c>
      <c r="S221" s="644" t="s">
        <v>32</v>
      </c>
      <c r="T221" s="644"/>
      <c r="U221" s="848"/>
      <c r="V221" s="848" t="s">
        <v>32</v>
      </c>
      <c r="W221" s="848" t="s">
        <v>32</v>
      </c>
      <c r="X221" s="644" t="s">
        <v>32</v>
      </c>
      <c r="Y221" s="848" t="s">
        <v>32</v>
      </c>
      <c r="Z221" s="644" t="s">
        <v>32</v>
      </c>
      <c r="AA221" s="644"/>
      <c r="AB221" s="644"/>
      <c r="AC221" s="859" t="s">
        <v>32</v>
      </c>
      <c r="AD221" s="859" t="s">
        <v>32</v>
      </c>
      <c r="AE221" s="859" t="s">
        <v>32</v>
      </c>
      <c r="AF221" s="859" t="s">
        <v>32</v>
      </c>
      <c r="AG221" s="1295"/>
      <c r="AH221" s="178"/>
      <c r="AI221" s="179"/>
    </row>
    <row r="222" spans="1:35" ht="22.35" customHeight="1" x14ac:dyDescent="0.2">
      <c r="A222" s="1155">
        <v>3701</v>
      </c>
      <c r="B222" s="933" t="s">
        <v>304</v>
      </c>
      <c r="C222" s="644" t="s">
        <v>32</v>
      </c>
      <c r="D222" s="644" t="s">
        <v>32</v>
      </c>
      <c r="E222" s="644" t="s">
        <v>32</v>
      </c>
      <c r="F222" s="644"/>
      <c r="G222" s="644"/>
      <c r="H222" s="644"/>
      <c r="I222" s="644" t="s">
        <v>32</v>
      </c>
      <c r="J222" s="644" t="s">
        <v>32</v>
      </c>
      <c r="K222" s="644" t="s">
        <v>32</v>
      </c>
      <c r="L222" s="644" t="s">
        <v>32</v>
      </c>
      <c r="M222" s="644"/>
      <c r="N222" s="848"/>
      <c r="O222" s="848" t="s">
        <v>32</v>
      </c>
      <c r="P222" s="848" t="s">
        <v>32</v>
      </c>
      <c r="Q222" s="975" t="s">
        <v>32</v>
      </c>
      <c r="R222" s="848" t="s">
        <v>32</v>
      </c>
      <c r="S222" s="644" t="s">
        <v>32</v>
      </c>
      <c r="T222" s="644"/>
      <c r="U222" s="848"/>
      <c r="V222" s="848" t="s">
        <v>32</v>
      </c>
      <c r="W222" s="848" t="s">
        <v>32</v>
      </c>
      <c r="X222" s="644" t="s">
        <v>32</v>
      </c>
      <c r="Y222" s="848" t="s">
        <v>32</v>
      </c>
      <c r="Z222" s="644" t="s">
        <v>32</v>
      </c>
      <c r="AA222" s="644"/>
      <c r="AB222" s="644"/>
      <c r="AC222" s="644" t="s">
        <v>32</v>
      </c>
      <c r="AD222" s="848" t="s">
        <v>32</v>
      </c>
      <c r="AE222" s="848" t="s">
        <v>32</v>
      </c>
      <c r="AF222" s="848" t="s">
        <v>32</v>
      </c>
      <c r="AG222" s="587"/>
      <c r="AH222" s="178"/>
      <c r="AI222" s="179"/>
    </row>
    <row r="223" spans="1:35" ht="22.35" customHeight="1" x14ac:dyDescent="0.2">
      <c r="A223" s="1155"/>
      <c r="B223" s="933"/>
      <c r="C223" s="644" t="s">
        <v>32</v>
      </c>
      <c r="D223" s="644" t="s">
        <v>32</v>
      </c>
      <c r="E223" s="644" t="s">
        <v>32</v>
      </c>
      <c r="F223" s="644"/>
      <c r="G223" s="644"/>
      <c r="H223" s="644"/>
      <c r="I223" s="644" t="s">
        <v>32</v>
      </c>
      <c r="J223" s="644" t="s">
        <v>32</v>
      </c>
      <c r="K223" s="644" t="s">
        <v>32</v>
      </c>
      <c r="L223" s="644" t="s">
        <v>32</v>
      </c>
      <c r="M223" s="644"/>
      <c r="N223" s="848"/>
      <c r="O223" s="848" t="s">
        <v>32</v>
      </c>
      <c r="P223" s="848" t="s">
        <v>32</v>
      </c>
      <c r="Q223" s="975" t="s">
        <v>32</v>
      </c>
      <c r="R223" s="848" t="s">
        <v>32</v>
      </c>
      <c r="S223" s="644" t="s">
        <v>32</v>
      </c>
      <c r="T223" s="644"/>
      <c r="U223" s="848"/>
      <c r="V223" s="848" t="s">
        <v>32</v>
      </c>
      <c r="W223" s="848" t="s">
        <v>32</v>
      </c>
      <c r="X223" s="848" t="s">
        <v>32</v>
      </c>
      <c r="Y223" s="848" t="s">
        <v>32</v>
      </c>
      <c r="Z223" s="644" t="s">
        <v>32</v>
      </c>
      <c r="AA223" s="644"/>
      <c r="AB223" s="644"/>
      <c r="AC223" s="848" t="s">
        <v>32</v>
      </c>
      <c r="AD223" s="848" t="s">
        <v>32</v>
      </c>
      <c r="AE223" s="848" t="s">
        <v>32</v>
      </c>
      <c r="AF223" s="848" t="s">
        <v>32</v>
      </c>
      <c r="AG223" s="585"/>
      <c r="AH223" s="178"/>
      <c r="AI223" s="179"/>
    </row>
    <row r="224" spans="1:35" ht="22.35" customHeight="1" x14ac:dyDescent="0.2">
      <c r="A224" s="1155"/>
      <c r="B224" s="933" t="s">
        <v>306</v>
      </c>
      <c r="C224" s="644" t="s">
        <v>32</v>
      </c>
      <c r="D224" s="644" t="s">
        <v>32</v>
      </c>
      <c r="E224" s="644" t="s">
        <v>32</v>
      </c>
      <c r="F224" s="644"/>
      <c r="G224" s="644"/>
      <c r="H224" s="644"/>
      <c r="I224" s="644" t="s">
        <v>32</v>
      </c>
      <c r="J224" s="644" t="s">
        <v>32</v>
      </c>
      <c r="K224" s="644" t="s">
        <v>32</v>
      </c>
      <c r="L224" s="644" t="s">
        <v>32</v>
      </c>
      <c r="M224" s="644"/>
      <c r="N224" s="848"/>
      <c r="O224" s="848" t="s">
        <v>32</v>
      </c>
      <c r="P224" s="848" t="s">
        <v>32</v>
      </c>
      <c r="Q224" s="975" t="s">
        <v>32</v>
      </c>
      <c r="R224" s="848" t="s">
        <v>32</v>
      </c>
      <c r="S224" s="644" t="s">
        <v>32</v>
      </c>
      <c r="T224" s="644"/>
      <c r="U224" s="848"/>
      <c r="V224" s="848" t="s">
        <v>32</v>
      </c>
      <c r="W224" s="848" t="s">
        <v>32</v>
      </c>
      <c r="X224" s="644" t="s">
        <v>32</v>
      </c>
      <c r="Y224" s="848" t="s">
        <v>32</v>
      </c>
      <c r="Z224" s="644" t="s">
        <v>32</v>
      </c>
      <c r="AA224" s="644"/>
      <c r="AB224" s="644"/>
      <c r="AC224" s="644" t="s">
        <v>32</v>
      </c>
      <c r="AD224" s="644" t="s">
        <v>32</v>
      </c>
      <c r="AE224" s="980" t="s">
        <v>32</v>
      </c>
      <c r="AF224" s="644" t="s">
        <v>32</v>
      </c>
      <c r="AG224" s="585"/>
      <c r="AH224" s="178"/>
      <c r="AI224" s="179"/>
    </row>
    <row r="225" spans="1:35" ht="22.35" customHeight="1" x14ac:dyDescent="0.2">
      <c r="A225" s="1155"/>
      <c r="B225" s="1157" t="s">
        <v>307</v>
      </c>
      <c r="C225" s="644"/>
      <c r="D225" s="644"/>
      <c r="E225" s="644"/>
      <c r="F225" s="644"/>
      <c r="G225" s="644"/>
      <c r="H225" s="644"/>
      <c r="I225" s="644"/>
      <c r="J225" s="644"/>
      <c r="K225" s="644"/>
      <c r="L225" s="644"/>
      <c r="M225" s="644"/>
      <c r="N225" s="848"/>
      <c r="O225" s="848"/>
      <c r="P225" s="848"/>
      <c r="Q225" s="975"/>
      <c r="R225" s="848"/>
      <c r="S225" s="644"/>
      <c r="T225" s="644"/>
      <c r="U225" s="848"/>
      <c r="V225" s="848"/>
      <c r="W225" s="848"/>
      <c r="X225" s="644"/>
      <c r="Y225" s="848"/>
      <c r="Z225" s="644"/>
      <c r="AA225" s="644"/>
      <c r="AB225" s="644"/>
      <c r="AC225" s="644"/>
      <c r="AD225" s="644"/>
      <c r="AE225" s="644"/>
      <c r="AF225" s="644"/>
      <c r="AG225" s="585"/>
      <c r="AH225" s="178"/>
      <c r="AI225" s="179"/>
    </row>
    <row r="226" spans="1:35" ht="22.35" customHeight="1" x14ac:dyDescent="0.2">
      <c r="A226" s="1155"/>
      <c r="B226" s="933" t="s">
        <v>308</v>
      </c>
      <c r="C226" s="1164" t="s">
        <v>32</v>
      </c>
      <c r="D226" s="1164" t="s">
        <v>32</v>
      </c>
      <c r="E226" s="1164" t="s">
        <v>32</v>
      </c>
      <c r="F226" s="1164"/>
      <c r="G226" s="1164"/>
      <c r="H226" s="1164"/>
      <c r="I226" s="1164" t="s">
        <v>32</v>
      </c>
      <c r="J226" s="1164" t="s">
        <v>32</v>
      </c>
      <c r="K226" s="1164" t="s">
        <v>32</v>
      </c>
      <c r="L226" s="1164" t="s">
        <v>32</v>
      </c>
      <c r="M226" s="1164"/>
      <c r="N226" s="1164"/>
      <c r="O226" s="1164" t="s">
        <v>32</v>
      </c>
      <c r="P226" s="1164" t="s">
        <v>32</v>
      </c>
      <c r="Q226" s="1164" t="s">
        <v>32</v>
      </c>
      <c r="R226" s="1164" t="s">
        <v>32</v>
      </c>
      <c r="S226" s="1164" t="s">
        <v>32</v>
      </c>
      <c r="T226" s="1164"/>
      <c r="U226" s="1164"/>
      <c r="V226" s="859" t="s">
        <v>32</v>
      </c>
      <c r="W226" s="859" t="s">
        <v>32</v>
      </c>
      <c r="X226" s="859" t="s">
        <v>32</v>
      </c>
      <c r="Y226" s="859" t="s">
        <v>32</v>
      </c>
      <c r="Z226" s="859" t="s">
        <v>32</v>
      </c>
      <c r="AA226" s="859"/>
      <c r="AB226" s="859"/>
      <c r="AC226" s="859" t="s">
        <v>32</v>
      </c>
      <c r="AD226" s="859" t="s">
        <v>32</v>
      </c>
      <c r="AE226" s="859" t="s">
        <v>32</v>
      </c>
      <c r="AF226" s="859" t="s">
        <v>32</v>
      </c>
      <c r="AG226" s="1295"/>
      <c r="AH226" s="178"/>
      <c r="AI226" s="179"/>
    </row>
    <row r="227" spans="1:35" ht="22.35" customHeight="1" x14ac:dyDescent="0.2">
      <c r="A227" s="1155"/>
      <c r="B227" s="933" t="s">
        <v>309</v>
      </c>
      <c r="C227" s="644" t="s">
        <v>32</v>
      </c>
      <c r="D227" s="644" t="s">
        <v>32</v>
      </c>
      <c r="E227" s="644" t="s">
        <v>32</v>
      </c>
      <c r="F227" s="644"/>
      <c r="G227" s="644"/>
      <c r="H227" s="644"/>
      <c r="I227" s="644" t="s">
        <v>32</v>
      </c>
      <c r="J227" s="644" t="s">
        <v>32</v>
      </c>
      <c r="K227" s="644" t="s">
        <v>32</v>
      </c>
      <c r="L227" s="644" t="s">
        <v>32</v>
      </c>
      <c r="M227" s="644"/>
      <c r="N227" s="848"/>
      <c r="O227" s="848" t="s">
        <v>32</v>
      </c>
      <c r="P227" s="848" t="s">
        <v>32</v>
      </c>
      <c r="Q227" s="975" t="s">
        <v>32</v>
      </c>
      <c r="R227" s="848" t="s">
        <v>32</v>
      </c>
      <c r="S227" s="644" t="s">
        <v>32</v>
      </c>
      <c r="T227" s="644"/>
      <c r="U227" s="848"/>
      <c r="V227" s="848" t="s">
        <v>32</v>
      </c>
      <c r="W227" s="848" t="s">
        <v>32</v>
      </c>
      <c r="X227" s="644" t="s">
        <v>32</v>
      </c>
      <c r="Y227" s="848" t="s">
        <v>32</v>
      </c>
      <c r="Z227" s="644" t="s">
        <v>32</v>
      </c>
      <c r="AA227" s="644"/>
      <c r="AB227" s="644"/>
      <c r="AC227" s="644" t="s">
        <v>32</v>
      </c>
      <c r="AD227" s="644" t="s">
        <v>32</v>
      </c>
      <c r="AE227" s="644" t="s">
        <v>32</v>
      </c>
      <c r="AF227" s="848" t="s">
        <v>32</v>
      </c>
      <c r="AG227" s="586"/>
      <c r="AH227" s="178"/>
      <c r="AI227" s="179"/>
    </row>
    <row r="228" spans="1:35" ht="22.35" customHeight="1" x14ac:dyDescent="0.2">
      <c r="A228" s="1155"/>
      <c r="B228" s="933" t="s">
        <v>310</v>
      </c>
      <c r="C228" s="859" t="s">
        <v>32</v>
      </c>
      <c r="D228" s="859" t="s">
        <v>32</v>
      </c>
      <c r="E228" s="859" t="s">
        <v>32</v>
      </c>
      <c r="F228" s="859"/>
      <c r="G228" s="859"/>
      <c r="H228" s="859"/>
      <c r="I228" s="859" t="s">
        <v>32</v>
      </c>
      <c r="J228" s="859" t="s">
        <v>32</v>
      </c>
      <c r="K228" s="859" t="s">
        <v>32</v>
      </c>
      <c r="L228" s="859" t="s">
        <v>32</v>
      </c>
      <c r="M228" s="859"/>
      <c r="N228" s="859"/>
      <c r="O228" s="859" t="s">
        <v>32</v>
      </c>
      <c r="P228" s="859" t="s">
        <v>32</v>
      </c>
      <c r="Q228" s="859" t="s">
        <v>32</v>
      </c>
      <c r="R228" s="859" t="s">
        <v>32</v>
      </c>
      <c r="S228" s="859" t="s">
        <v>32</v>
      </c>
      <c r="T228" s="859"/>
      <c r="U228" s="859"/>
      <c r="V228" s="859" t="s">
        <v>32</v>
      </c>
      <c r="W228" s="859" t="s">
        <v>32</v>
      </c>
      <c r="X228" s="859" t="s">
        <v>32</v>
      </c>
      <c r="Y228" s="859" t="s">
        <v>32</v>
      </c>
      <c r="Z228" s="859" t="s">
        <v>32</v>
      </c>
      <c r="AA228" s="859"/>
      <c r="AB228" s="859"/>
      <c r="AC228" s="858" t="s">
        <v>32</v>
      </c>
      <c r="AD228" s="858" t="s">
        <v>32</v>
      </c>
      <c r="AE228" s="858" t="s">
        <v>32</v>
      </c>
      <c r="AF228" s="858" t="s">
        <v>51</v>
      </c>
      <c r="AG228" s="1161"/>
      <c r="AH228" s="175"/>
      <c r="AI228" s="107"/>
    </row>
    <row r="229" spans="1:35" ht="22.35" customHeight="1" x14ac:dyDescent="0.2">
      <c r="A229" s="1155"/>
      <c r="B229" s="933" t="s">
        <v>311</v>
      </c>
      <c r="C229" s="644" t="s">
        <v>32</v>
      </c>
      <c r="D229" s="644" t="s">
        <v>32</v>
      </c>
      <c r="E229" s="644" t="s">
        <v>32</v>
      </c>
      <c r="F229" s="644"/>
      <c r="G229" s="644"/>
      <c r="H229" s="644"/>
      <c r="I229" s="644" t="s">
        <v>32</v>
      </c>
      <c r="J229" s="644" t="s">
        <v>32</v>
      </c>
      <c r="K229" s="644" t="s">
        <v>32</v>
      </c>
      <c r="L229" s="644" t="s">
        <v>32</v>
      </c>
      <c r="M229" s="644"/>
      <c r="N229" s="848"/>
      <c r="O229" s="848" t="s">
        <v>32</v>
      </c>
      <c r="P229" s="848" t="s">
        <v>32</v>
      </c>
      <c r="Q229" s="975" t="s">
        <v>32</v>
      </c>
      <c r="R229" s="848" t="s">
        <v>32</v>
      </c>
      <c r="S229" s="644" t="s">
        <v>32</v>
      </c>
      <c r="T229" s="644"/>
      <c r="U229" s="848"/>
      <c r="V229" s="848" t="s">
        <v>32</v>
      </c>
      <c r="W229" s="848" t="s">
        <v>32</v>
      </c>
      <c r="X229" s="848" t="s">
        <v>32</v>
      </c>
      <c r="Y229" s="848" t="s">
        <v>32</v>
      </c>
      <c r="Z229" s="644" t="s">
        <v>32</v>
      </c>
      <c r="AA229" s="644"/>
      <c r="AB229" s="644"/>
      <c r="AC229" s="848" t="s">
        <v>32</v>
      </c>
      <c r="AD229" s="964" t="s">
        <v>32</v>
      </c>
      <c r="AE229" s="964" t="s">
        <v>32</v>
      </c>
      <c r="AF229" s="964" t="s">
        <v>32</v>
      </c>
      <c r="AG229" s="586"/>
      <c r="AH229" s="175"/>
      <c r="AI229" s="107"/>
    </row>
    <row r="230" spans="1:35" ht="22.35" customHeight="1" x14ac:dyDescent="0.2">
      <c r="A230" s="845"/>
      <c r="B230" s="1166"/>
      <c r="C230" s="644"/>
      <c r="D230" s="644"/>
      <c r="E230" s="644"/>
      <c r="F230" s="644"/>
      <c r="G230" s="644"/>
      <c r="H230" s="644"/>
      <c r="I230" s="644"/>
      <c r="J230" s="644"/>
      <c r="K230" s="644"/>
      <c r="L230" s="644"/>
      <c r="M230" s="644"/>
      <c r="N230" s="644"/>
      <c r="O230" s="644"/>
      <c r="P230" s="644"/>
      <c r="Q230" s="644"/>
      <c r="R230" s="644"/>
      <c r="S230" s="644"/>
      <c r="T230" s="644"/>
      <c r="U230" s="644"/>
      <c r="V230" s="644"/>
      <c r="W230" s="644"/>
      <c r="X230" s="644"/>
      <c r="Y230" s="644"/>
      <c r="Z230" s="644"/>
      <c r="AA230" s="644"/>
      <c r="AB230" s="644"/>
      <c r="AC230" s="644"/>
      <c r="AD230" s="644"/>
      <c r="AE230" s="644"/>
      <c r="AF230" s="644"/>
      <c r="AG230" s="585"/>
      <c r="AH230" s="175"/>
      <c r="AI230" s="107"/>
    </row>
    <row r="231" spans="1:35" ht="22.35" customHeight="1" x14ac:dyDescent="0.2">
      <c r="A231" s="845"/>
      <c r="B231" s="933"/>
      <c r="C231" s="644"/>
      <c r="D231" s="644"/>
      <c r="E231" s="644"/>
      <c r="F231" s="644"/>
      <c r="G231" s="644"/>
      <c r="H231" s="644"/>
      <c r="I231" s="644"/>
      <c r="J231" s="644"/>
      <c r="K231" s="644"/>
      <c r="L231" s="644"/>
      <c r="M231" s="644"/>
      <c r="N231" s="848"/>
      <c r="O231" s="848"/>
      <c r="P231" s="848"/>
      <c r="Q231" s="975"/>
      <c r="R231" s="848"/>
      <c r="S231" s="644"/>
      <c r="T231" s="644"/>
      <c r="U231" s="848"/>
      <c r="V231" s="848"/>
      <c r="W231" s="848"/>
      <c r="X231" s="644"/>
      <c r="Y231" s="848"/>
      <c r="Z231" s="644"/>
      <c r="AA231" s="644"/>
      <c r="AB231" s="644"/>
      <c r="AC231" s="644"/>
      <c r="AD231" s="644"/>
      <c r="AE231" s="644"/>
      <c r="AF231" s="848"/>
      <c r="AG231" s="586"/>
      <c r="AH231" s="175"/>
      <c r="AI231" s="107"/>
    </row>
    <row r="232" spans="1:35" ht="22.35" customHeight="1" x14ac:dyDescent="0.2">
      <c r="A232" s="845"/>
      <c r="B232" s="845"/>
      <c r="C232" s="644"/>
      <c r="D232" s="644"/>
      <c r="E232" s="644"/>
      <c r="F232" s="644"/>
      <c r="G232" s="644"/>
      <c r="H232" s="644"/>
      <c r="I232" s="644"/>
      <c r="J232" s="644"/>
      <c r="K232" s="644"/>
      <c r="L232" s="644"/>
      <c r="M232" s="644"/>
      <c r="N232" s="644"/>
      <c r="O232" s="644"/>
      <c r="P232" s="644"/>
      <c r="Q232" s="644"/>
      <c r="R232" s="644"/>
      <c r="S232" s="644"/>
      <c r="T232" s="644"/>
      <c r="U232" s="644"/>
      <c r="V232" s="644"/>
      <c r="W232" s="644"/>
      <c r="X232" s="644"/>
      <c r="Y232" s="644"/>
      <c r="Z232" s="644"/>
      <c r="AA232" s="644"/>
      <c r="AB232" s="644"/>
      <c r="AC232" s="644"/>
      <c r="AD232" s="644"/>
      <c r="AE232" s="644"/>
      <c r="AF232" s="644"/>
      <c r="AG232" s="585"/>
      <c r="AH232" s="175"/>
      <c r="AI232" s="107"/>
    </row>
    <row r="233" spans="1:35" ht="22.35" customHeight="1" x14ac:dyDescent="0.2">
      <c r="A233" s="845"/>
      <c r="B233" s="845"/>
      <c r="C233" s="644"/>
      <c r="D233" s="644"/>
      <c r="E233" s="644"/>
      <c r="F233" s="644"/>
      <c r="G233" s="644"/>
      <c r="H233" s="1167"/>
      <c r="I233" s="644"/>
      <c r="J233" s="644"/>
      <c r="K233" s="644"/>
      <c r="L233" s="644"/>
      <c r="M233" s="644"/>
      <c r="N233" s="644"/>
      <c r="O233" s="644"/>
      <c r="P233" s="644"/>
      <c r="Q233" s="644"/>
      <c r="R233" s="644"/>
      <c r="S233" s="644"/>
      <c r="T233" s="644"/>
      <c r="U233" s="644"/>
      <c r="V233" s="644"/>
      <c r="W233" s="644"/>
      <c r="X233" s="644"/>
      <c r="Y233" s="644"/>
      <c r="Z233" s="644"/>
      <c r="AA233" s="644"/>
      <c r="AB233" s="644"/>
      <c r="AC233" s="644"/>
      <c r="AD233" s="644"/>
      <c r="AE233" s="644"/>
      <c r="AF233" s="644"/>
      <c r="AG233" s="588"/>
      <c r="AH233" s="175"/>
      <c r="AI233" s="107"/>
    </row>
    <row r="234" spans="1:35" ht="22.35" customHeight="1" x14ac:dyDescent="0.2">
      <c r="A234" s="1155"/>
      <c r="B234" s="1168"/>
      <c r="C234" s="644"/>
      <c r="D234" s="644"/>
      <c r="E234" s="644"/>
      <c r="F234" s="644"/>
      <c r="G234" s="644"/>
      <c r="H234" s="644"/>
      <c r="I234" s="644"/>
      <c r="J234" s="644"/>
      <c r="K234" s="644"/>
      <c r="L234" s="644"/>
      <c r="M234" s="644"/>
      <c r="N234" s="644"/>
      <c r="O234" s="644"/>
      <c r="P234" s="644"/>
      <c r="Q234" s="644"/>
      <c r="R234" s="644"/>
      <c r="S234" s="644"/>
      <c r="T234" s="644"/>
      <c r="U234" s="644"/>
      <c r="V234" s="644"/>
      <c r="W234" s="644"/>
      <c r="X234" s="644"/>
      <c r="Y234" s="644"/>
      <c r="Z234" s="644"/>
      <c r="AA234" s="644"/>
      <c r="AB234" s="644"/>
      <c r="AC234" s="644"/>
      <c r="AD234" s="644"/>
      <c r="AE234" s="644"/>
      <c r="AF234" s="644"/>
      <c r="AG234" s="588"/>
      <c r="AH234" s="175"/>
      <c r="AI234" s="107"/>
    </row>
    <row r="235" spans="1:35" ht="22.35" customHeight="1" x14ac:dyDescent="0.2">
      <c r="A235" s="1155"/>
      <c r="B235" s="1169"/>
      <c r="C235" s="644"/>
      <c r="D235" s="644"/>
      <c r="E235" s="644"/>
      <c r="F235" s="644"/>
      <c r="G235" s="644"/>
      <c r="H235" s="644"/>
      <c r="I235" s="644"/>
      <c r="J235" s="644"/>
      <c r="K235" s="644"/>
      <c r="L235" s="644"/>
      <c r="M235" s="644"/>
      <c r="N235" s="644"/>
      <c r="O235" s="644"/>
      <c r="P235" s="644"/>
      <c r="Q235" s="644"/>
      <c r="R235" s="644"/>
      <c r="S235" s="644"/>
      <c r="T235" s="644"/>
      <c r="U235" s="644"/>
      <c r="V235" s="644"/>
      <c r="W235" s="644"/>
      <c r="X235" s="644"/>
      <c r="Y235" s="644"/>
      <c r="Z235" s="644"/>
      <c r="AA235" s="644"/>
      <c r="AB235" s="644"/>
      <c r="AC235" s="644"/>
      <c r="AD235" s="644"/>
      <c r="AE235" s="644"/>
      <c r="AF235" s="644"/>
      <c r="AG235" s="588"/>
      <c r="AH235" s="175"/>
      <c r="AI235" s="107"/>
    </row>
    <row r="236" spans="1:35" ht="22.35" customHeight="1" x14ac:dyDescent="0.2">
      <c r="A236" s="108"/>
      <c r="B236" s="121"/>
      <c r="C236" s="106"/>
      <c r="D236" s="106"/>
      <c r="E236" s="106"/>
      <c r="F236" s="106"/>
      <c r="G236" s="106"/>
      <c r="H236" s="106"/>
      <c r="I236" s="106"/>
      <c r="J236" s="106"/>
      <c r="L236" s="106"/>
      <c r="M236" s="106"/>
      <c r="N236" s="106"/>
      <c r="O236" s="106"/>
      <c r="P236" s="72"/>
      <c r="Q236" s="72"/>
      <c r="R236" s="72"/>
      <c r="S236" s="106"/>
      <c r="T236" s="106"/>
      <c r="U236" s="106"/>
      <c r="V236" s="106"/>
      <c r="W236" s="106"/>
      <c r="X236" s="106"/>
      <c r="Y236" s="106"/>
      <c r="Z236" s="106"/>
      <c r="AA236" s="106"/>
      <c r="AB236" s="106"/>
      <c r="AC236" s="106"/>
      <c r="AD236" s="106"/>
      <c r="AE236" s="106"/>
      <c r="AF236" s="106"/>
      <c r="AG236" s="106"/>
      <c r="AH236" s="107"/>
      <c r="AI236" s="107"/>
    </row>
    <row r="240" spans="1:35" ht="21" customHeight="1" thickBot="1" x14ac:dyDescent="0.25">
      <c r="A240" s="158" t="s">
        <v>312</v>
      </c>
    </row>
    <row r="241" spans="1:35" ht="21" customHeight="1" x14ac:dyDescent="0.2">
      <c r="B241" s="1296" t="s">
        <v>281</v>
      </c>
      <c r="C241" s="1241"/>
      <c r="D241" s="1264" t="s">
        <v>107</v>
      </c>
      <c r="E241" s="876"/>
      <c r="F241" s="994"/>
      <c r="G241" s="1241"/>
      <c r="H241" s="1264" t="s">
        <v>108</v>
      </c>
      <c r="I241" s="876"/>
      <c r="J241" s="994"/>
      <c r="K241" s="1241"/>
      <c r="L241" s="1264" t="s">
        <v>109</v>
      </c>
      <c r="M241" s="876"/>
      <c r="N241" s="994"/>
      <c r="O241" s="1241"/>
      <c r="P241" s="1264" t="s">
        <v>110</v>
      </c>
      <c r="Q241" s="876"/>
      <c r="R241" s="994"/>
      <c r="S241" s="1241"/>
      <c r="T241" s="1264" t="s">
        <v>111</v>
      </c>
      <c r="U241" s="876"/>
      <c r="V241" s="994"/>
      <c r="W241" s="1241"/>
      <c r="X241" s="1264" t="s">
        <v>112</v>
      </c>
      <c r="Y241" s="876"/>
      <c r="Z241" s="994"/>
      <c r="AA241" s="1241"/>
      <c r="AB241" s="1264" t="s">
        <v>113</v>
      </c>
      <c r="AC241" s="876"/>
      <c r="AD241" s="876"/>
      <c r="AE241" s="1267" t="s">
        <v>114</v>
      </c>
      <c r="AF241" s="876"/>
      <c r="AG241" s="876"/>
      <c r="AH241" s="876"/>
      <c r="AI241" s="877"/>
    </row>
    <row r="242" spans="1:35" ht="21" customHeight="1" x14ac:dyDescent="0.2">
      <c r="B242" s="3"/>
      <c r="C242" s="287" t="s">
        <v>313</v>
      </c>
      <c r="D242" s="116"/>
      <c r="E242" s="283"/>
      <c r="F242" s="284"/>
      <c r="G242" s="287" t="s">
        <v>313</v>
      </c>
      <c r="H242" s="116"/>
      <c r="I242" s="283"/>
      <c r="J242" s="284"/>
      <c r="K242" s="287" t="s">
        <v>313</v>
      </c>
      <c r="L242" s="116"/>
      <c r="M242" s="283"/>
      <c r="N242" s="284"/>
      <c r="O242" s="287" t="s">
        <v>313</v>
      </c>
      <c r="P242" s="282"/>
      <c r="Q242" s="283"/>
      <c r="R242" s="284"/>
      <c r="S242" s="288" t="s">
        <v>314</v>
      </c>
      <c r="T242" s="116"/>
      <c r="U242" s="283"/>
      <c r="V242" s="284"/>
      <c r="W242" s="154"/>
      <c r="X242" s="116"/>
      <c r="Y242" s="162"/>
      <c r="Z242" s="164"/>
      <c r="AA242" s="154"/>
      <c r="AB242" s="116"/>
      <c r="AC242" s="162"/>
      <c r="AD242" s="162"/>
      <c r="AE242" s="117"/>
      <c r="AF242" s="162"/>
      <c r="AG242" s="14"/>
      <c r="AH242" s="14"/>
      <c r="AI242" s="118"/>
    </row>
    <row r="243" spans="1:35" ht="21" customHeight="1" x14ac:dyDescent="0.2">
      <c r="A243" s="110"/>
      <c r="B243" s="727"/>
      <c r="C243" s="1095" t="s">
        <v>189</v>
      </c>
      <c r="D243" s="1171"/>
      <c r="E243" s="283"/>
      <c r="F243" s="284"/>
      <c r="G243" s="1095" t="s">
        <v>189</v>
      </c>
      <c r="H243" s="116"/>
      <c r="I243" s="283"/>
      <c r="J243" s="284"/>
      <c r="K243" s="1095" t="s">
        <v>189</v>
      </c>
      <c r="L243" s="116"/>
      <c r="M243" s="283"/>
      <c r="N243" s="284"/>
      <c r="O243" s="1095" t="s">
        <v>189</v>
      </c>
      <c r="P243" s="116"/>
      <c r="Q243" s="283"/>
      <c r="R243" s="284"/>
      <c r="S243" s="287" t="s">
        <v>315</v>
      </c>
      <c r="T243" s="116"/>
      <c r="U243" s="283"/>
      <c r="V243" s="284"/>
      <c r="W243" s="154"/>
      <c r="X243" s="116"/>
      <c r="Y243" s="162"/>
      <c r="Z243" s="164"/>
      <c r="AA243" s="154"/>
      <c r="AB243" s="116"/>
      <c r="AC243" s="162"/>
      <c r="AD243" s="162"/>
      <c r="AE243" s="117"/>
      <c r="AF243" s="162"/>
      <c r="AG243" s="14"/>
      <c r="AH243" s="14"/>
      <c r="AI243" s="118"/>
    </row>
    <row r="244" spans="1:35" ht="21" customHeight="1" x14ac:dyDescent="0.2">
      <c r="B244" s="727"/>
      <c r="C244" s="1095" t="s">
        <v>192</v>
      </c>
      <c r="D244" s="1171"/>
      <c r="E244" s="283"/>
      <c r="F244" s="284"/>
      <c r="G244" s="1095" t="s">
        <v>192</v>
      </c>
      <c r="H244" s="116"/>
      <c r="I244" s="283"/>
      <c r="J244" s="284"/>
      <c r="K244" s="1095" t="s">
        <v>192</v>
      </c>
      <c r="L244" s="116"/>
      <c r="M244" s="283"/>
      <c r="N244" s="284"/>
      <c r="O244" s="1095" t="s">
        <v>192</v>
      </c>
      <c r="P244" s="116"/>
      <c r="Q244" s="283"/>
      <c r="R244" s="284"/>
      <c r="S244" s="1095" t="s">
        <v>187</v>
      </c>
      <c r="T244" s="116"/>
      <c r="U244" s="283"/>
      <c r="V244" s="284"/>
      <c r="W244" s="154"/>
      <c r="X244" s="116"/>
      <c r="Y244" s="162"/>
      <c r="Z244" s="164"/>
      <c r="AA244" s="154"/>
      <c r="AB244" s="116"/>
      <c r="AC244" s="162"/>
      <c r="AD244" s="162"/>
      <c r="AE244" s="117"/>
      <c r="AF244" s="162"/>
      <c r="AG244" s="14"/>
      <c r="AH244" s="14"/>
      <c r="AI244" s="118"/>
    </row>
    <row r="245" spans="1:35" ht="21" customHeight="1" x14ac:dyDescent="0.2">
      <c r="B245" s="727"/>
      <c r="C245" s="735"/>
      <c r="D245" s="945"/>
      <c r="E245" s="162"/>
      <c r="F245" s="164"/>
      <c r="G245" s="735"/>
      <c r="H245" s="945"/>
      <c r="I245" s="162"/>
      <c r="J245" s="164"/>
      <c r="K245" s="735"/>
      <c r="L245" s="945"/>
      <c r="M245" s="162"/>
      <c r="N245" s="164"/>
      <c r="O245" s="735"/>
      <c r="P245" s="945"/>
      <c r="Q245" s="162"/>
      <c r="R245" s="164"/>
      <c r="S245" s="735"/>
      <c r="T245" s="945"/>
      <c r="U245" s="162"/>
      <c r="V245" s="164"/>
      <c r="W245" s="154"/>
      <c r="X245" s="116"/>
      <c r="Y245" s="162"/>
      <c r="Z245" s="164"/>
      <c r="AA245" s="154"/>
      <c r="AB245" s="116"/>
      <c r="AC245" s="162"/>
      <c r="AD245" s="162"/>
      <c r="AE245" s="117"/>
      <c r="AF245" s="162"/>
      <c r="AG245" s="14"/>
      <c r="AH245" s="14"/>
      <c r="AI245" s="118"/>
    </row>
    <row r="246" spans="1:35" ht="21" customHeight="1" x14ac:dyDescent="0.2">
      <c r="B246" s="727"/>
      <c r="C246" s="1046"/>
      <c r="D246" s="945"/>
      <c r="E246" s="162"/>
      <c r="F246" s="164"/>
      <c r="G246" s="116"/>
      <c r="H246" s="116"/>
      <c r="I246" s="162"/>
      <c r="J246" s="164"/>
      <c r="K246" s="116"/>
      <c r="L246" s="116"/>
      <c r="M246" s="162"/>
      <c r="N246" s="164"/>
      <c r="O246" s="116"/>
      <c r="P246" s="116"/>
      <c r="Q246" s="162"/>
      <c r="R246" s="164"/>
      <c r="S246" s="116"/>
      <c r="T246" s="116"/>
      <c r="U246" s="162"/>
      <c r="V246" s="164"/>
      <c r="W246" s="154"/>
      <c r="X246" s="116"/>
      <c r="Y246" s="162"/>
      <c r="Z246" s="164"/>
      <c r="AA246" s="154"/>
      <c r="AB246" s="116"/>
      <c r="AC246" s="162"/>
      <c r="AD246" s="162"/>
      <c r="AE246" s="117"/>
      <c r="AF246" s="162"/>
      <c r="AG246" s="14"/>
      <c r="AH246" s="14"/>
      <c r="AI246" s="118"/>
    </row>
    <row r="247" spans="1:35" ht="21" customHeight="1" x14ac:dyDescent="0.2">
      <c r="B247" s="727" t="s">
        <v>159</v>
      </c>
      <c r="C247" s="1046" t="s">
        <v>316</v>
      </c>
      <c r="D247" s="1171"/>
      <c r="E247" s="283"/>
      <c r="F247" s="284"/>
      <c r="G247" s="1046" t="s">
        <v>316</v>
      </c>
      <c r="H247" s="1171"/>
      <c r="I247" s="283"/>
      <c r="J247" s="284"/>
      <c r="K247" s="1046" t="s">
        <v>316</v>
      </c>
      <c r="L247" s="1171"/>
      <c r="M247" s="283"/>
      <c r="N247" s="284"/>
      <c r="O247" s="1046" t="s">
        <v>316</v>
      </c>
      <c r="P247" s="1171"/>
      <c r="Q247" s="283"/>
      <c r="R247" s="284"/>
      <c r="S247" s="116" t="s">
        <v>317</v>
      </c>
      <c r="T247" s="116"/>
      <c r="U247" s="283"/>
      <c r="V247" s="284"/>
      <c r="W247" s="154"/>
      <c r="X247" s="116"/>
      <c r="Y247" s="162"/>
      <c r="Z247" s="164"/>
      <c r="AA247" s="154"/>
      <c r="AB247" s="116"/>
      <c r="AC247" s="162"/>
      <c r="AD247" s="162"/>
      <c r="AE247" s="117"/>
      <c r="AF247" s="162"/>
      <c r="AG247" s="14"/>
      <c r="AH247" s="14"/>
      <c r="AI247" s="118"/>
    </row>
    <row r="248" spans="1:35" ht="21" customHeight="1" x14ac:dyDescent="0.2">
      <c r="B248" s="727" t="s">
        <v>163</v>
      </c>
      <c r="C248" s="1046" t="s">
        <v>318</v>
      </c>
      <c r="D248" s="1171"/>
      <c r="E248" s="283"/>
      <c r="F248" s="284"/>
      <c r="G248" s="1046" t="s">
        <v>318</v>
      </c>
      <c r="H248" s="1171"/>
      <c r="I248" s="283"/>
      <c r="J248" s="284"/>
      <c r="K248" s="1046" t="s">
        <v>318</v>
      </c>
      <c r="L248" s="1171"/>
      <c r="M248" s="283"/>
      <c r="N248" s="284"/>
      <c r="O248" s="1046" t="s">
        <v>318</v>
      </c>
      <c r="P248" s="1171"/>
      <c r="Q248" s="283"/>
      <c r="R248" s="284"/>
      <c r="S248" s="116" t="s">
        <v>319</v>
      </c>
      <c r="T248" s="116"/>
      <c r="U248" s="283"/>
      <c r="V248" s="284"/>
      <c r="W248" s="154"/>
      <c r="X248" s="116"/>
      <c r="Y248" s="162"/>
      <c r="Z248" s="164"/>
      <c r="AA248" s="154"/>
      <c r="AB248" s="116"/>
      <c r="AC248" s="162"/>
      <c r="AD248" s="162"/>
      <c r="AE248" s="117"/>
      <c r="AF248" s="162"/>
      <c r="AG248" s="14"/>
      <c r="AH248" s="14"/>
      <c r="AI248" s="118"/>
    </row>
    <row r="249" spans="1:35" ht="21" customHeight="1" thickBot="1" x14ac:dyDescent="0.25">
      <c r="B249" s="589" t="s">
        <v>170</v>
      </c>
      <c r="C249" s="1057" t="s">
        <v>320</v>
      </c>
      <c r="D249" s="728"/>
      <c r="E249" s="285"/>
      <c r="F249" s="286"/>
      <c r="G249" s="1057" t="s">
        <v>320</v>
      </c>
      <c r="H249" s="728"/>
      <c r="I249" s="285"/>
      <c r="J249" s="286"/>
      <c r="K249" s="1057" t="s">
        <v>320</v>
      </c>
      <c r="L249" s="728"/>
      <c r="M249" s="285"/>
      <c r="N249" s="286"/>
      <c r="O249" s="1057" t="s">
        <v>320</v>
      </c>
      <c r="P249" s="728"/>
      <c r="Q249" s="285"/>
      <c r="R249" s="286"/>
      <c r="S249" s="225" t="s">
        <v>321</v>
      </c>
      <c r="T249" s="225"/>
      <c r="U249" s="285"/>
      <c r="V249" s="286"/>
      <c r="W249" s="277"/>
      <c r="X249" s="225"/>
      <c r="Y249" s="278"/>
      <c r="Z249" s="279"/>
      <c r="AA249" s="280"/>
      <c r="AB249" s="225"/>
      <c r="AC249" s="278"/>
      <c r="AD249" s="278"/>
      <c r="AE249" s="281"/>
      <c r="AF249" s="278"/>
      <c r="AG249" s="276"/>
      <c r="AH249" s="276"/>
      <c r="AI249" s="222"/>
    </row>
    <row r="250" spans="1:35" ht="21" customHeight="1" x14ac:dyDescent="0.2">
      <c r="B250" s="59"/>
      <c r="C250" s="64"/>
      <c r="D250" s="18"/>
      <c r="G250" s="64"/>
      <c r="H250" s="18"/>
      <c r="K250" s="64"/>
      <c r="L250" s="18"/>
      <c r="O250" s="64"/>
      <c r="P250" s="18"/>
      <c r="S250" s="64"/>
      <c r="T250" s="64"/>
      <c r="X250" s="64"/>
      <c r="AB250" s="64"/>
      <c r="AE250" s="64"/>
    </row>
    <row r="251" spans="1:35" ht="21" customHeight="1" x14ac:dyDescent="0.2">
      <c r="A251" s="122" t="s">
        <v>322</v>
      </c>
    </row>
    <row r="252" spans="1:35" ht="21" customHeight="1" thickBot="1" x14ac:dyDescent="0.25">
      <c r="A252" s="981"/>
      <c r="B252" s="954" t="s">
        <v>29</v>
      </c>
      <c r="C252" s="796">
        <v>1</v>
      </c>
      <c r="D252" s="796">
        <v>2</v>
      </c>
      <c r="E252" s="796">
        <v>3</v>
      </c>
      <c r="F252" s="795">
        <v>4</v>
      </c>
      <c r="G252" s="795">
        <v>5</v>
      </c>
      <c r="H252" s="795">
        <v>6</v>
      </c>
      <c r="I252" s="796">
        <v>7</v>
      </c>
      <c r="J252" s="796">
        <v>8</v>
      </c>
      <c r="K252" s="796">
        <v>9</v>
      </c>
      <c r="L252" s="796">
        <v>10</v>
      </c>
      <c r="M252" s="795">
        <v>11</v>
      </c>
      <c r="N252" s="795">
        <v>12</v>
      </c>
      <c r="O252" s="796">
        <v>13</v>
      </c>
      <c r="P252" s="796">
        <v>14</v>
      </c>
      <c r="Q252" s="796">
        <v>15</v>
      </c>
      <c r="R252" s="796">
        <v>16</v>
      </c>
      <c r="S252" s="796">
        <v>17</v>
      </c>
      <c r="T252" s="795">
        <v>18</v>
      </c>
      <c r="U252" s="795">
        <v>19</v>
      </c>
      <c r="V252" s="796">
        <v>20</v>
      </c>
      <c r="W252" s="796">
        <v>21</v>
      </c>
      <c r="X252" s="796">
        <v>22</v>
      </c>
      <c r="Y252" s="796">
        <v>23</v>
      </c>
      <c r="Z252" s="796">
        <v>24</v>
      </c>
      <c r="AA252" s="795">
        <v>25</v>
      </c>
      <c r="AB252" s="795">
        <v>26</v>
      </c>
      <c r="AC252" s="796">
        <v>27</v>
      </c>
      <c r="AD252" s="796">
        <v>28</v>
      </c>
      <c r="AE252" s="796">
        <v>29</v>
      </c>
      <c r="AF252" s="796">
        <v>30</v>
      </c>
      <c r="AG252" s="797"/>
      <c r="AH252" s="173"/>
      <c r="AI252" s="174"/>
    </row>
    <row r="253" spans="1:35" ht="21" customHeight="1" x14ac:dyDescent="0.2">
      <c r="A253" s="750">
        <v>3702</v>
      </c>
      <c r="B253" s="172"/>
      <c r="C253" s="644" t="s">
        <v>32</v>
      </c>
      <c r="D253" s="644" t="s">
        <v>32</v>
      </c>
      <c r="E253" s="644" t="s">
        <v>32</v>
      </c>
      <c r="F253" s="644"/>
      <c r="G253" s="644"/>
      <c r="H253" s="644"/>
      <c r="I253" s="644" t="s">
        <v>32</v>
      </c>
      <c r="J253" s="644" t="s">
        <v>32</v>
      </c>
      <c r="K253" s="644" t="s">
        <v>32</v>
      </c>
      <c r="L253" s="644" t="s">
        <v>32</v>
      </c>
      <c r="M253" s="644"/>
      <c r="N253" s="848"/>
      <c r="O253" s="848" t="s">
        <v>32</v>
      </c>
      <c r="P253" s="848" t="s">
        <v>32</v>
      </c>
      <c r="Q253" s="975" t="s">
        <v>32</v>
      </c>
      <c r="R253" s="848" t="s">
        <v>32</v>
      </c>
      <c r="S253" s="644" t="s">
        <v>32</v>
      </c>
      <c r="T253" s="644"/>
      <c r="U253" s="848"/>
      <c r="V253" s="848" t="s">
        <v>32</v>
      </c>
      <c r="W253" s="848" t="s">
        <v>32</v>
      </c>
      <c r="X253" s="644" t="s">
        <v>32</v>
      </c>
      <c r="Y253" s="848" t="s">
        <v>32</v>
      </c>
      <c r="Z253" s="644" t="s">
        <v>32</v>
      </c>
      <c r="AA253" s="644"/>
      <c r="AB253" s="644"/>
      <c r="AC253" s="644" t="s">
        <v>32</v>
      </c>
      <c r="AD253" s="644" t="s">
        <v>32</v>
      </c>
      <c r="AE253" s="644" t="s">
        <v>32</v>
      </c>
      <c r="AF253" s="848" t="s">
        <v>32</v>
      </c>
      <c r="AG253" s="644"/>
      <c r="AH253" s="178"/>
      <c r="AI253" s="179"/>
    </row>
    <row r="254" spans="1:35" ht="21" customHeight="1" x14ac:dyDescent="0.2">
      <c r="A254" s="808"/>
      <c r="B254" s="1011" t="s">
        <v>323</v>
      </c>
      <c r="C254" s="644" t="s">
        <v>32</v>
      </c>
      <c r="D254" s="644" t="s">
        <v>32</v>
      </c>
      <c r="E254" s="644" t="s">
        <v>32</v>
      </c>
      <c r="F254" s="644"/>
      <c r="G254" s="644"/>
      <c r="H254" s="644"/>
      <c r="I254" s="644" t="s">
        <v>32</v>
      </c>
      <c r="J254" s="644" t="s">
        <v>32</v>
      </c>
      <c r="K254" s="644" t="s">
        <v>32</v>
      </c>
      <c r="L254" s="644" t="s">
        <v>32</v>
      </c>
      <c r="M254" s="644"/>
      <c r="N254" s="848"/>
      <c r="O254" s="848" t="s">
        <v>32</v>
      </c>
      <c r="P254" s="848" t="s">
        <v>32</v>
      </c>
      <c r="Q254" s="975" t="s">
        <v>32</v>
      </c>
      <c r="R254" s="848" t="s">
        <v>32</v>
      </c>
      <c r="S254" s="644" t="s">
        <v>32</v>
      </c>
      <c r="T254" s="644"/>
      <c r="U254" s="848"/>
      <c r="V254" s="848" t="s">
        <v>32</v>
      </c>
      <c r="W254" s="848" t="s">
        <v>32</v>
      </c>
      <c r="X254" s="848" t="s">
        <v>32</v>
      </c>
      <c r="Y254" s="848" t="s">
        <v>32</v>
      </c>
      <c r="Z254" s="644" t="s">
        <v>32</v>
      </c>
      <c r="AA254" s="644"/>
      <c r="AB254" s="644"/>
      <c r="AC254" s="848" t="s">
        <v>32</v>
      </c>
      <c r="AD254" s="848" t="s">
        <v>32</v>
      </c>
      <c r="AE254" s="848" t="s">
        <v>32</v>
      </c>
      <c r="AF254" s="848" t="s">
        <v>32</v>
      </c>
      <c r="AG254" s="644"/>
      <c r="AH254" s="178"/>
      <c r="AI254" s="179"/>
    </row>
    <row r="255" spans="1:35" ht="21" customHeight="1" x14ac:dyDescent="0.2">
      <c r="A255" s="1172"/>
      <c r="B255" s="1011"/>
      <c r="C255" s="644" t="s">
        <v>32</v>
      </c>
      <c r="D255" s="644" t="s">
        <v>32</v>
      </c>
      <c r="E255" s="644" t="s">
        <v>32</v>
      </c>
      <c r="F255" s="644"/>
      <c r="G255" s="644"/>
      <c r="H255" s="644"/>
      <c r="I255" s="644" t="s">
        <v>32</v>
      </c>
      <c r="J255" s="644" t="s">
        <v>32</v>
      </c>
      <c r="K255" s="644" t="s">
        <v>32</v>
      </c>
      <c r="L255" s="644" t="s">
        <v>32</v>
      </c>
      <c r="M255" s="644"/>
      <c r="N255" s="848"/>
      <c r="O255" s="848" t="s">
        <v>32</v>
      </c>
      <c r="P255" s="848" t="s">
        <v>32</v>
      </c>
      <c r="Q255" s="975" t="s">
        <v>32</v>
      </c>
      <c r="R255" s="848" t="s">
        <v>32</v>
      </c>
      <c r="S255" s="644" t="s">
        <v>32</v>
      </c>
      <c r="T255" s="644"/>
      <c r="U255" s="848"/>
      <c r="V255" s="848" t="s">
        <v>32</v>
      </c>
      <c r="W255" s="848" t="s">
        <v>32</v>
      </c>
      <c r="X255" s="848" t="s">
        <v>32</v>
      </c>
      <c r="Y255" s="848" t="s">
        <v>32</v>
      </c>
      <c r="Z255" s="644" t="s">
        <v>32</v>
      </c>
      <c r="AA255" s="644"/>
      <c r="AB255" s="644"/>
      <c r="AC255" s="848" t="s">
        <v>32</v>
      </c>
      <c r="AD255" s="848" t="s">
        <v>32</v>
      </c>
      <c r="AE255" s="848" t="s">
        <v>32</v>
      </c>
      <c r="AF255" s="848" t="s">
        <v>32</v>
      </c>
      <c r="AG255" s="644"/>
      <c r="AH255" s="178"/>
      <c r="AI255" s="179"/>
    </row>
    <row r="256" spans="1:35" ht="21" customHeight="1" thickBot="1" x14ac:dyDescent="0.25">
      <c r="A256" s="1173"/>
      <c r="B256" s="1174"/>
      <c r="C256" s="796"/>
      <c r="D256" s="796"/>
      <c r="E256" s="796"/>
      <c r="F256" s="796"/>
      <c r="G256" s="796"/>
      <c r="H256" s="796"/>
      <c r="I256" s="796"/>
      <c r="J256" s="796"/>
      <c r="K256" s="796"/>
      <c r="L256" s="796"/>
      <c r="M256" s="796"/>
      <c r="N256" s="796"/>
      <c r="O256" s="796"/>
      <c r="P256" s="796"/>
      <c r="Q256" s="796"/>
      <c r="R256" s="796"/>
      <c r="S256" s="796"/>
      <c r="T256" s="796"/>
      <c r="U256" s="796"/>
      <c r="V256" s="796"/>
      <c r="W256" s="796"/>
      <c r="X256" s="796"/>
      <c r="Y256" s="796"/>
      <c r="Z256" s="796"/>
      <c r="AA256" s="796"/>
      <c r="AB256" s="796"/>
      <c r="AC256" s="796"/>
      <c r="AD256" s="796"/>
      <c r="AE256" s="796"/>
      <c r="AF256" s="796"/>
      <c r="AG256" s="797"/>
      <c r="AH256" s="178"/>
      <c r="AI256" s="179"/>
    </row>
    <row r="257" spans="1:36" ht="21" customHeight="1" x14ac:dyDescent="0.2">
      <c r="A257" s="214"/>
      <c r="B257" s="667" t="s">
        <v>324</v>
      </c>
      <c r="C257" s="668"/>
      <c r="D257" s="668"/>
      <c r="E257" s="668"/>
      <c r="F257" s="668"/>
      <c r="G257" s="668"/>
      <c r="H257" s="668"/>
      <c r="I257" s="668"/>
      <c r="J257" s="668"/>
      <c r="K257" s="668"/>
      <c r="L257" s="668"/>
      <c r="M257" s="668"/>
      <c r="N257" s="668"/>
      <c r="O257" s="668"/>
      <c r="P257" s="668"/>
      <c r="Q257" s="668"/>
      <c r="R257" s="668"/>
      <c r="S257" s="668"/>
      <c r="T257" s="668"/>
      <c r="U257" s="668"/>
      <c r="V257" s="668"/>
      <c r="W257" s="668"/>
      <c r="X257" s="668"/>
      <c r="Y257" s="668"/>
      <c r="Z257" s="668"/>
      <c r="AA257" s="668"/>
      <c r="AB257" s="668"/>
      <c r="AC257" s="668"/>
      <c r="AD257" s="668"/>
      <c r="AE257" s="668"/>
      <c r="AF257" s="668"/>
      <c r="AG257" s="669"/>
      <c r="AH257" s="176"/>
      <c r="AI257" s="177"/>
    </row>
    <row r="258" spans="1:36" ht="21" customHeight="1" x14ac:dyDescent="0.2">
      <c r="A258" s="750">
        <v>3702</v>
      </c>
      <c r="B258" s="1175" t="s">
        <v>325</v>
      </c>
      <c r="C258" s="868" t="s">
        <v>326</v>
      </c>
      <c r="D258" s="868" t="s">
        <v>326</v>
      </c>
      <c r="E258" s="868" t="s">
        <v>326</v>
      </c>
      <c r="F258" s="868" t="s">
        <v>326</v>
      </c>
      <c r="G258" s="828" t="s">
        <v>326</v>
      </c>
      <c r="H258" s="828"/>
      <c r="I258" s="868" t="s">
        <v>326</v>
      </c>
      <c r="J258" s="868" t="s">
        <v>326</v>
      </c>
      <c r="K258" s="868" t="s">
        <v>326</v>
      </c>
      <c r="L258" s="868" t="s">
        <v>326</v>
      </c>
      <c r="M258" s="828"/>
      <c r="N258" s="828"/>
      <c r="O258" s="820" t="s">
        <v>369</v>
      </c>
      <c r="P258" s="868" t="s">
        <v>326</v>
      </c>
      <c r="Q258" s="868" t="s">
        <v>326</v>
      </c>
      <c r="R258" s="868" t="s">
        <v>326</v>
      </c>
      <c r="S258" s="868" t="s">
        <v>326</v>
      </c>
      <c r="T258" s="868"/>
      <c r="U258" s="868"/>
      <c r="V258" s="868" t="s">
        <v>326</v>
      </c>
      <c r="W258" s="868" t="s">
        <v>326</v>
      </c>
      <c r="X258" s="828" t="s">
        <v>326</v>
      </c>
      <c r="Y258" s="868" t="s">
        <v>326</v>
      </c>
      <c r="Z258" s="928" t="s">
        <v>326</v>
      </c>
      <c r="AA258" s="868"/>
      <c r="AB258" s="868"/>
      <c r="AC258" s="868" t="s">
        <v>326</v>
      </c>
      <c r="AD258" s="868" t="s">
        <v>326</v>
      </c>
      <c r="AE258" s="868" t="s">
        <v>326</v>
      </c>
      <c r="AF258" s="868" t="s">
        <v>326</v>
      </c>
      <c r="AG258" s="828"/>
      <c r="AH258" s="178"/>
      <c r="AI258" s="179"/>
    </row>
    <row r="259" spans="1:36" ht="21" customHeight="1" x14ac:dyDescent="0.2">
      <c r="A259" s="750"/>
      <c r="B259" s="1002" t="s">
        <v>327</v>
      </c>
      <c r="C259" s="868" t="s">
        <v>328</v>
      </c>
      <c r="D259" s="868" t="s">
        <v>328</v>
      </c>
      <c r="E259" s="868" t="s">
        <v>328</v>
      </c>
      <c r="F259" s="868" t="s">
        <v>328</v>
      </c>
      <c r="G259" s="868" t="s">
        <v>328</v>
      </c>
      <c r="H259" s="868"/>
      <c r="I259" s="868" t="s">
        <v>328</v>
      </c>
      <c r="J259" s="868" t="s">
        <v>328</v>
      </c>
      <c r="K259" s="868" t="s">
        <v>328</v>
      </c>
      <c r="L259" s="868" t="s">
        <v>328</v>
      </c>
      <c r="M259" s="868"/>
      <c r="N259" s="868"/>
      <c r="O259" s="868" t="s">
        <v>328</v>
      </c>
      <c r="P259" s="868" t="s">
        <v>328</v>
      </c>
      <c r="Q259" s="868" t="s">
        <v>328</v>
      </c>
      <c r="R259" s="868" t="s">
        <v>328</v>
      </c>
      <c r="S259" s="868" t="s">
        <v>328</v>
      </c>
      <c r="T259" s="868"/>
      <c r="U259" s="868"/>
      <c r="V259" s="868" t="s">
        <v>328</v>
      </c>
      <c r="W259" s="868" t="s">
        <v>328</v>
      </c>
      <c r="X259" s="868" t="s">
        <v>328</v>
      </c>
      <c r="Y259" s="868" t="s">
        <v>328</v>
      </c>
      <c r="Z259" s="868" t="s">
        <v>328</v>
      </c>
      <c r="AA259" s="868"/>
      <c r="AB259" s="868"/>
      <c r="AC259" s="1297" t="s">
        <v>328</v>
      </c>
      <c r="AD259" s="1297" t="s">
        <v>328</v>
      </c>
      <c r="AE259" s="1297" t="s">
        <v>328</v>
      </c>
      <c r="AF259" s="1297" t="s">
        <v>328</v>
      </c>
      <c r="AG259" s="815"/>
      <c r="AH259" s="178"/>
      <c r="AI259" s="179"/>
    </row>
    <row r="260" spans="1:36" ht="21" customHeight="1" thickBot="1" x14ac:dyDescent="0.25">
      <c r="A260" s="592"/>
      <c r="B260" s="729" t="s">
        <v>329</v>
      </c>
      <c r="C260" s="908" t="s">
        <v>330</v>
      </c>
      <c r="D260" s="908" t="s">
        <v>330</v>
      </c>
      <c r="E260" s="908" t="s">
        <v>330</v>
      </c>
      <c r="F260" s="908" t="s">
        <v>330</v>
      </c>
      <c r="G260" s="907" t="s">
        <v>330</v>
      </c>
      <c r="H260" s="907"/>
      <c r="I260" s="908" t="s">
        <v>330</v>
      </c>
      <c r="J260" s="908" t="s">
        <v>330</v>
      </c>
      <c r="K260" s="908" t="s">
        <v>330</v>
      </c>
      <c r="L260" s="908" t="s">
        <v>330</v>
      </c>
      <c r="M260" s="907"/>
      <c r="N260" s="907"/>
      <c r="O260" s="907" t="s">
        <v>330</v>
      </c>
      <c r="P260" s="907" t="s">
        <v>330</v>
      </c>
      <c r="Q260" s="907" t="s">
        <v>330</v>
      </c>
      <c r="R260" s="908" t="s">
        <v>330</v>
      </c>
      <c r="S260" s="908" t="s">
        <v>330</v>
      </c>
      <c r="T260" s="907"/>
      <c r="U260" s="908"/>
      <c r="V260" s="908" t="s">
        <v>330</v>
      </c>
      <c r="W260" s="908" t="s">
        <v>330</v>
      </c>
      <c r="X260" s="908" t="s">
        <v>330</v>
      </c>
      <c r="Y260" s="908" t="s">
        <v>330</v>
      </c>
      <c r="Z260" s="908" t="s">
        <v>330</v>
      </c>
      <c r="AA260" s="908"/>
      <c r="AB260" s="908"/>
      <c r="AC260" s="1298" t="s">
        <v>330</v>
      </c>
      <c r="AD260" s="1298" t="s">
        <v>330</v>
      </c>
      <c r="AE260" s="1298" t="s">
        <v>330</v>
      </c>
      <c r="AF260" s="1298" t="s">
        <v>330</v>
      </c>
      <c r="AG260" s="930"/>
      <c r="AH260" s="178"/>
      <c r="AI260" s="179"/>
    </row>
    <row r="261" spans="1:36" ht="21" customHeight="1" x14ac:dyDescent="0.2"/>
    <row r="262" spans="1:36" ht="24" customHeight="1" x14ac:dyDescent="0.2"/>
    <row r="263" spans="1:36" ht="25.5" customHeight="1" thickBot="1" x14ac:dyDescent="0.25">
      <c r="A263" s="158" t="s">
        <v>331</v>
      </c>
    </row>
    <row r="264" spans="1:36" ht="21" customHeight="1" x14ac:dyDescent="0.2">
      <c r="A264" s="1"/>
      <c r="B264" s="1296" t="s">
        <v>281</v>
      </c>
      <c r="C264" s="1241"/>
      <c r="D264" s="1264" t="s">
        <v>107</v>
      </c>
      <c r="E264" s="876"/>
      <c r="F264" s="994"/>
      <c r="G264" s="1241"/>
      <c r="H264" s="1264" t="s">
        <v>108</v>
      </c>
      <c r="I264" s="876"/>
      <c r="J264" s="994"/>
      <c r="K264" s="1241"/>
      <c r="L264" s="1264" t="s">
        <v>109</v>
      </c>
      <c r="M264" s="876"/>
      <c r="N264" s="994"/>
      <c r="O264" s="1241"/>
      <c r="P264" s="1264" t="s">
        <v>110</v>
      </c>
      <c r="Q264" s="876"/>
      <c r="R264" s="994"/>
      <c r="S264" s="1241"/>
      <c r="T264" s="1264" t="s">
        <v>111</v>
      </c>
      <c r="U264" s="876"/>
      <c r="V264" s="994"/>
      <c r="W264" s="1241"/>
      <c r="X264" s="1264" t="s">
        <v>112</v>
      </c>
      <c r="Y264" s="876"/>
      <c r="Z264" s="994"/>
      <c r="AA264" s="1241"/>
      <c r="AB264" s="1264" t="s">
        <v>113</v>
      </c>
      <c r="AC264" s="876"/>
      <c r="AD264" s="876"/>
      <c r="AE264" s="1267" t="s">
        <v>114</v>
      </c>
      <c r="AF264" s="876"/>
      <c r="AG264" s="876"/>
      <c r="AH264" s="876"/>
      <c r="AI264" s="877"/>
    </row>
    <row r="265" spans="1:36" ht="21" customHeight="1" x14ac:dyDescent="0.2">
      <c r="A265" s="1"/>
      <c r="B265" s="3"/>
      <c r="C265" s="8"/>
      <c r="D265" s="116"/>
      <c r="E265" s="14"/>
      <c r="F265" s="115"/>
      <c r="G265" s="8"/>
      <c r="H265" s="116"/>
      <c r="I265" s="14"/>
      <c r="J265" s="115"/>
      <c r="K265" s="8"/>
      <c r="L265" s="116"/>
      <c r="M265" s="14"/>
      <c r="N265" s="115"/>
      <c r="O265" s="8"/>
      <c r="P265" s="116"/>
      <c r="Q265" s="14"/>
      <c r="R265" s="115"/>
      <c r="S265" s="8"/>
      <c r="T265" s="116"/>
      <c r="U265" s="14"/>
      <c r="V265" s="115"/>
      <c r="W265" s="8"/>
      <c r="X265" s="116"/>
      <c r="Y265" s="14"/>
      <c r="Z265" s="115"/>
      <c r="AA265" s="8"/>
      <c r="AB265" s="116"/>
      <c r="AC265" s="14"/>
      <c r="AD265" s="14"/>
      <c r="AE265" s="117"/>
      <c r="AF265" s="14"/>
      <c r="AG265" s="14"/>
      <c r="AH265" s="14"/>
      <c r="AI265" s="118"/>
    </row>
    <row r="266" spans="1:36" ht="21" customHeight="1" x14ac:dyDescent="0.2">
      <c r="A266" s="110"/>
      <c r="B266" s="727"/>
      <c r="C266" s="735"/>
      <c r="D266" s="743"/>
      <c r="E266" s="743"/>
      <c r="F266" s="1048"/>
      <c r="G266" s="735"/>
      <c r="H266" s="743"/>
      <c r="I266" s="743"/>
      <c r="J266" s="1048"/>
      <c r="K266" s="735"/>
      <c r="L266" s="743"/>
      <c r="M266" s="743"/>
      <c r="N266" s="1048"/>
      <c r="O266" s="735"/>
      <c r="P266" s="743"/>
      <c r="Q266" s="743"/>
      <c r="R266" s="1048"/>
      <c r="S266" s="735"/>
      <c r="T266" s="743"/>
      <c r="U266" s="743"/>
      <c r="V266" s="1048"/>
      <c r="W266" s="735"/>
      <c r="X266" s="743"/>
      <c r="Y266" s="743"/>
      <c r="Z266" s="1048"/>
      <c r="AA266" s="1046"/>
      <c r="AB266" s="743"/>
      <c r="AC266" s="743"/>
      <c r="AD266" s="945"/>
      <c r="AE266" s="1176"/>
      <c r="AF266" s="743"/>
      <c r="AG266" s="743"/>
      <c r="AH266" s="945"/>
      <c r="AI266" s="788"/>
    </row>
    <row r="267" spans="1:36" ht="21" customHeight="1" thickBot="1" x14ac:dyDescent="0.25">
      <c r="A267" s="1"/>
      <c r="B267" s="1056"/>
      <c r="C267" s="1057"/>
      <c r="D267" s="734"/>
      <c r="E267" s="734"/>
      <c r="F267" s="706"/>
      <c r="G267" s="1057"/>
      <c r="H267" s="734"/>
      <c r="I267" s="734"/>
      <c r="J267" s="706"/>
      <c r="K267" s="1057"/>
      <c r="L267" s="734"/>
      <c r="M267" s="734"/>
      <c r="N267" s="706"/>
      <c r="O267" s="1057"/>
      <c r="P267" s="734"/>
      <c r="Q267" s="734"/>
      <c r="R267" s="706"/>
      <c r="S267" s="1057"/>
      <c r="T267" s="734"/>
      <c r="U267" s="734"/>
      <c r="V267" s="706"/>
      <c r="W267" s="704"/>
      <c r="X267" s="734"/>
      <c r="Y267" s="734"/>
      <c r="Z267" s="706"/>
      <c r="AA267" s="704"/>
      <c r="AB267" s="734"/>
      <c r="AC267" s="734"/>
      <c r="AD267" s="1063"/>
      <c r="AE267" s="704"/>
      <c r="AF267" s="734"/>
      <c r="AG267" s="734"/>
      <c r="AH267" s="1063"/>
      <c r="AI267" s="894"/>
    </row>
    <row r="268" spans="1:36" ht="21" customHeight="1" x14ac:dyDescent="0.2">
      <c r="A268" s="1"/>
      <c r="B268" s="18"/>
      <c r="C268" s="64"/>
      <c r="F268" s="69"/>
      <c r="G268" s="64"/>
      <c r="J268" s="69"/>
      <c r="K268" s="64"/>
      <c r="N268" s="69"/>
      <c r="O268" s="64"/>
      <c r="R268" s="69"/>
      <c r="S268" s="64"/>
      <c r="V268" s="69"/>
      <c r="W268" s="69"/>
      <c r="Z268" s="69"/>
      <c r="AA268" s="69"/>
      <c r="AD268" s="69"/>
      <c r="AE268" s="69"/>
      <c r="AH268" s="69"/>
    </row>
    <row r="269" spans="1:36" ht="33" customHeight="1" x14ac:dyDescent="0.2">
      <c r="A269" s="158" t="s">
        <v>332</v>
      </c>
      <c r="B269" s="18"/>
      <c r="C269" s="64"/>
      <c r="F269" s="69"/>
      <c r="G269" s="64"/>
      <c r="J269" s="69"/>
      <c r="K269" s="64"/>
      <c r="N269" s="69"/>
      <c r="O269" s="64"/>
      <c r="R269" s="69"/>
      <c r="S269" s="64"/>
      <c r="V269" s="69"/>
      <c r="W269" s="69"/>
      <c r="Z269" s="69"/>
      <c r="AA269" s="69"/>
      <c r="AD269" s="69"/>
      <c r="AE269" s="69"/>
      <c r="AH269" s="294"/>
      <c r="AI269" s="190"/>
      <c r="AJ269" s="190"/>
    </row>
    <row r="270" spans="1:36" ht="21" customHeight="1" thickBot="1" x14ac:dyDescent="0.25">
      <c r="A270" s="594" t="s">
        <v>28</v>
      </c>
      <c r="B270" s="595" t="s">
        <v>29</v>
      </c>
      <c r="C270" s="796">
        <v>1</v>
      </c>
      <c r="D270" s="796">
        <v>2</v>
      </c>
      <c r="E270" s="796">
        <v>3</v>
      </c>
      <c r="F270" s="795">
        <v>4</v>
      </c>
      <c r="G270" s="795">
        <v>5</v>
      </c>
      <c r="H270" s="795">
        <v>6</v>
      </c>
      <c r="I270" s="796">
        <v>7</v>
      </c>
      <c r="J270" s="796">
        <v>8</v>
      </c>
      <c r="K270" s="796">
        <v>9</v>
      </c>
      <c r="L270" s="796">
        <v>10</v>
      </c>
      <c r="M270" s="795">
        <v>11</v>
      </c>
      <c r="N270" s="795">
        <v>12</v>
      </c>
      <c r="O270" s="796">
        <v>13</v>
      </c>
      <c r="P270" s="796">
        <v>14</v>
      </c>
      <c r="Q270" s="796">
        <v>15</v>
      </c>
      <c r="R270" s="796">
        <v>16</v>
      </c>
      <c r="S270" s="796">
        <v>17</v>
      </c>
      <c r="T270" s="795">
        <v>18</v>
      </c>
      <c r="U270" s="795">
        <v>19</v>
      </c>
      <c r="V270" s="796">
        <v>20</v>
      </c>
      <c r="W270" s="796">
        <v>21</v>
      </c>
      <c r="X270" s="796">
        <v>22</v>
      </c>
      <c r="Y270" s="796">
        <v>23</v>
      </c>
      <c r="Z270" s="796">
        <v>24</v>
      </c>
      <c r="AA270" s="795">
        <v>25</v>
      </c>
      <c r="AB270" s="795">
        <v>26</v>
      </c>
      <c r="AC270" s="796">
        <v>27</v>
      </c>
      <c r="AD270" s="796">
        <v>28</v>
      </c>
      <c r="AE270" s="796">
        <v>29</v>
      </c>
      <c r="AF270" s="796">
        <v>30</v>
      </c>
      <c r="AG270" s="797"/>
      <c r="AH270" s="295"/>
      <c r="AI270" s="296"/>
      <c r="AJ270" s="190"/>
    </row>
    <row r="271" spans="1:36" ht="21" customHeight="1" x14ac:dyDescent="0.2">
      <c r="A271" s="88"/>
      <c r="B271" s="1177" t="s">
        <v>333</v>
      </c>
      <c r="C271" s="1110" t="s">
        <v>32</v>
      </c>
      <c r="D271" s="1110" t="s">
        <v>32</v>
      </c>
      <c r="E271" s="1110" t="s">
        <v>32</v>
      </c>
      <c r="F271" s="1110"/>
      <c r="G271" s="644"/>
      <c r="H271" s="848"/>
      <c r="I271" s="858" t="s">
        <v>32</v>
      </c>
      <c r="J271" s="858" t="s">
        <v>32</v>
      </c>
      <c r="K271" s="858" t="s">
        <v>32</v>
      </c>
      <c r="L271" s="858" t="s">
        <v>32</v>
      </c>
      <c r="M271" s="644"/>
      <c r="N271" s="848"/>
      <c r="O271" s="848" t="s">
        <v>32</v>
      </c>
      <c r="P271" s="848" t="s">
        <v>32</v>
      </c>
      <c r="Q271" s="975" t="s">
        <v>32</v>
      </c>
      <c r="R271" s="848" t="s">
        <v>32</v>
      </c>
      <c r="S271" s="644" t="s">
        <v>32</v>
      </c>
      <c r="T271" s="644"/>
      <c r="U271" s="848"/>
      <c r="V271" s="848" t="s">
        <v>32</v>
      </c>
      <c r="W271" s="848" t="s">
        <v>32</v>
      </c>
      <c r="X271" s="644" t="s">
        <v>32</v>
      </c>
      <c r="Y271" s="848" t="s">
        <v>32</v>
      </c>
      <c r="Z271" s="644" t="s">
        <v>32</v>
      </c>
      <c r="AA271" s="644"/>
      <c r="AB271" s="644"/>
      <c r="AC271" s="644" t="s">
        <v>32</v>
      </c>
      <c r="AD271" s="848" t="s">
        <v>32</v>
      </c>
      <c r="AE271" s="848" t="s">
        <v>32</v>
      </c>
      <c r="AF271" s="848" t="s">
        <v>32</v>
      </c>
      <c r="AG271" s="300"/>
      <c r="AH271" s="297"/>
      <c r="AI271" s="298"/>
      <c r="AJ271" s="190"/>
    </row>
    <row r="272" spans="1:36" ht="21" customHeight="1" x14ac:dyDescent="0.2">
      <c r="A272" s="1178"/>
      <c r="B272" s="535" t="s">
        <v>334</v>
      </c>
      <c r="C272" s="644" t="s">
        <v>32</v>
      </c>
      <c r="D272" s="644" t="s">
        <v>32</v>
      </c>
      <c r="E272" s="644" t="s">
        <v>32</v>
      </c>
      <c r="F272" s="644"/>
      <c r="G272" s="644"/>
      <c r="H272" s="644"/>
      <c r="I272" s="644" t="s">
        <v>32</v>
      </c>
      <c r="J272" s="644" t="s">
        <v>32</v>
      </c>
      <c r="K272" s="644" t="s">
        <v>32</v>
      </c>
      <c r="L272" s="644" t="s">
        <v>32</v>
      </c>
      <c r="M272" s="644"/>
      <c r="N272" s="848"/>
      <c r="O272" s="848" t="s">
        <v>32</v>
      </c>
      <c r="P272" s="848" t="s">
        <v>32</v>
      </c>
      <c r="Q272" s="975" t="s">
        <v>32</v>
      </c>
      <c r="R272" s="848" t="s">
        <v>32</v>
      </c>
      <c r="S272" s="1158" t="s">
        <v>32</v>
      </c>
      <c r="T272" s="644"/>
      <c r="U272" s="848"/>
      <c r="V272" s="848" t="s">
        <v>32</v>
      </c>
      <c r="W272" s="848" t="s">
        <v>32</v>
      </c>
      <c r="X272" s="644" t="s">
        <v>32</v>
      </c>
      <c r="Y272" s="848" t="s">
        <v>32</v>
      </c>
      <c r="Z272" s="644" t="s">
        <v>32</v>
      </c>
      <c r="AA272" s="644"/>
      <c r="AB272" s="644"/>
      <c r="AC272" s="644" t="s">
        <v>32</v>
      </c>
      <c r="AD272" s="848" t="s">
        <v>32</v>
      </c>
      <c r="AE272" s="848" t="s">
        <v>32</v>
      </c>
      <c r="AF272" s="848" t="s">
        <v>32</v>
      </c>
      <c r="AG272" s="730"/>
      <c r="AH272" s="297"/>
      <c r="AI272" s="298"/>
      <c r="AJ272" s="190"/>
    </row>
    <row r="273" spans="1:36" ht="21" customHeight="1" x14ac:dyDescent="0.2">
      <c r="A273" s="895"/>
      <c r="B273" s="535" t="s">
        <v>335</v>
      </c>
      <c r="C273" s="848" t="s">
        <v>32</v>
      </c>
      <c r="D273" s="644" t="s">
        <v>32</v>
      </c>
      <c r="E273" s="644" t="s">
        <v>32</v>
      </c>
      <c r="F273" s="644"/>
      <c r="G273" s="644"/>
      <c r="H273" s="644"/>
      <c r="I273" s="644" t="s">
        <v>32</v>
      </c>
      <c r="J273" s="644" t="s">
        <v>32</v>
      </c>
      <c r="K273" s="644" t="s">
        <v>32</v>
      </c>
      <c r="L273" s="644" t="s">
        <v>32</v>
      </c>
      <c r="M273" s="644"/>
      <c r="N273" s="848"/>
      <c r="O273" s="848" t="s">
        <v>32</v>
      </c>
      <c r="P273" s="848" t="s">
        <v>32</v>
      </c>
      <c r="Q273" s="975" t="s">
        <v>32</v>
      </c>
      <c r="R273" s="848" t="s">
        <v>32</v>
      </c>
      <c r="S273" s="644" t="s">
        <v>32</v>
      </c>
      <c r="T273" s="644"/>
      <c r="U273" s="848"/>
      <c r="V273" s="848" t="s">
        <v>32</v>
      </c>
      <c r="W273" s="848" t="s">
        <v>32</v>
      </c>
      <c r="X273" s="644" t="s">
        <v>32</v>
      </c>
      <c r="Y273" s="848" t="s">
        <v>32</v>
      </c>
      <c r="Z273" s="644" t="s">
        <v>32</v>
      </c>
      <c r="AA273" s="644"/>
      <c r="AB273" s="644"/>
      <c r="AC273" s="644" t="s">
        <v>32</v>
      </c>
      <c r="AD273" s="644" t="s">
        <v>32</v>
      </c>
      <c r="AE273" s="644" t="s">
        <v>32</v>
      </c>
      <c r="AF273" s="644" t="s">
        <v>32</v>
      </c>
      <c r="AG273" s="730"/>
      <c r="AH273" s="297"/>
      <c r="AI273" s="298"/>
      <c r="AJ273" s="190"/>
    </row>
    <row r="274" spans="1:36" ht="21" customHeight="1" x14ac:dyDescent="0.2">
      <c r="A274" s="1155"/>
      <c r="B274" s="535" t="s">
        <v>336</v>
      </c>
      <c r="C274" s="644" t="s">
        <v>32</v>
      </c>
      <c r="D274" s="644" t="s">
        <v>32</v>
      </c>
      <c r="E274" s="644" t="s">
        <v>32</v>
      </c>
      <c r="F274" s="644"/>
      <c r="G274" s="644"/>
      <c r="H274" s="644"/>
      <c r="I274" s="644" t="s">
        <v>32</v>
      </c>
      <c r="J274" s="644" t="s">
        <v>32</v>
      </c>
      <c r="K274" s="644" t="s">
        <v>32</v>
      </c>
      <c r="L274" s="644" t="s">
        <v>32</v>
      </c>
      <c r="M274" s="644"/>
      <c r="N274" s="848"/>
      <c r="O274" s="980" t="s">
        <v>32</v>
      </c>
      <c r="P274" s="848" t="s">
        <v>32</v>
      </c>
      <c r="Q274" s="975" t="s">
        <v>32</v>
      </c>
      <c r="R274" s="848" t="s">
        <v>32</v>
      </c>
      <c r="S274" s="644" t="s">
        <v>32</v>
      </c>
      <c r="T274" s="644"/>
      <c r="U274" s="848"/>
      <c r="V274" s="848" t="s">
        <v>32</v>
      </c>
      <c r="W274" s="848" t="s">
        <v>32</v>
      </c>
      <c r="X274" s="644" t="s">
        <v>32</v>
      </c>
      <c r="Y274" s="848" t="s">
        <v>32</v>
      </c>
      <c r="Z274" s="644" t="s">
        <v>32</v>
      </c>
      <c r="AA274" s="644"/>
      <c r="AB274" s="644"/>
      <c r="AC274" s="644" t="s">
        <v>32</v>
      </c>
      <c r="AD274" s="848" t="s">
        <v>32</v>
      </c>
      <c r="AE274" s="848" t="s">
        <v>32</v>
      </c>
      <c r="AF274" s="848" t="s">
        <v>32</v>
      </c>
      <c r="AG274" s="730"/>
      <c r="AH274" s="297"/>
      <c r="AI274" s="298"/>
      <c r="AJ274" s="190"/>
    </row>
    <row r="275" spans="1:36" ht="21" customHeight="1" x14ac:dyDescent="0.2">
      <c r="A275" s="1155"/>
      <c r="B275" s="535" t="s">
        <v>337</v>
      </c>
      <c r="C275" s="644" t="s">
        <v>32</v>
      </c>
      <c r="D275" s="644" t="s">
        <v>32</v>
      </c>
      <c r="E275" s="644" t="s">
        <v>32</v>
      </c>
      <c r="F275" s="644"/>
      <c r="G275" s="644"/>
      <c r="H275" s="644"/>
      <c r="I275" s="644" t="s">
        <v>32</v>
      </c>
      <c r="J275" s="1158" t="s">
        <v>32</v>
      </c>
      <c r="K275" s="644" t="s">
        <v>32</v>
      </c>
      <c r="L275" s="644" t="s">
        <v>32</v>
      </c>
      <c r="M275" s="644"/>
      <c r="N275" s="848"/>
      <c r="O275" s="848" t="s">
        <v>32</v>
      </c>
      <c r="P275" s="848" t="s">
        <v>32</v>
      </c>
      <c r="Q275" s="975" t="s">
        <v>32</v>
      </c>
      <c r="R275" s="848" t="s">
        <v>32</v>
      </c>
      <c r="S275" s="1158" t="s">
        <v>32</v>
      </c>
      <c r="T275" s="644"/>
      <c r="U275" s="848"/>
      <c r="V275" s="1158" t="s">
        <v>32</v>
      </c>
      <c r="W275" s="848" t="s">
        <v>32</v>
      </c>
      <c r="X275" s="644" t="s">
        <v>32</v>
      </c>
      <c r="Y275" s="848" t="s">
        <v>32</v>
      </c>
      <c r="Z275" s="848" t="s">
        <v>32</v>
      </c>
      <c r="AA275" s="848"/>
      <c r="AB275" s="848"/>
      <c r="AC275" s="848" t="s">
        <v>32</v>
      </c>
      <c r="AD275" s="1158" t="s">
        <v>32</v>
      </c>
      <c r="AE275" s="1158" t="s">
        <v>32</v>
      </c>
      <c r="AF275" s="848" t="s">
        <v>32</v>
      </c>
      <c r="AG275" s="1070"/>
      <c r="AH275" s="297"/>
      <c r="AI275" s="298"/>
      <c r="AJ275" s="190"/>
    </row>
    <row r="276" spans="1:36" ht="21" customHeight="1" x14ac:dyDescent="0.2">
      <c r="A276" s="1155"/>
      <c r="B276" s="535" t="s">
        <v>338</v>
      </c>
      <c r="C276" s="1158" t="s">
        <v>32</v>
      </c>
      <c r="D276" s="644" t="s">
        <v>32</v>
      </c>
      <c r="E276" s="644" t="s">
        <v>32</v>
      </c>
      <c r="F276" s="644"/>
      <c r="G276" s="644"/>
      <c r="H276" s="644"/>
      <c r="I276" s="644" t="s">
        <v>32</v>
      </c>
      <c r="J276" s="644" t="s">
        <v>32</v>
      </c>
      <c r="K276" s="644" t="s">
        <v>32</v>
      </c>
      <c r="L276" s="644" t="s">
        <v>32</v>
      </c>
      <c r="M276" s="644"/>
      <c r="N276" s="848"/>
      <c r="O276" s="848" t="s">
        <v>32</v>
      </c>
      <c r="P276" s="848" t="s">
        <v>32</v>
      </c>
      <c r="Q276" s="1158" t="s">
        <v>32</v>
      </c>
      <c r="R276" s="848" t="s">
        <v>32</v>
      </c>
      <c r="S276" s="644" t="s">
        <v>32</v>
      </c>
      <c r="T276" s="644"/>
      <c r="U276" s="848"/>
      <c r="V276" s="848" t="s">
        <v>32</v>
      </c>
      <c r="W276" s="848" t="s">
        <v>32</v>
      </c>
      <c r="X276" s="644" t="s">
        <v>32</v>
      </c>
      <c r="Y276" s="1158" t="s">
        <v>32</v>
      </c>
      <c r="Z276" s="1158" t="s">
        <v>32</v>
      </c>
      <c r="AA276" s="644"/>
      <c r="AB276" s="644"/>
      <c r="AC276" s="644" t="s">
        <v>32</v>
      </c>
      <c r="AD276" s="848" t="s">
        <v>32</v>
      </c>
      <c r="AE276" s="848" t="s">
        <v>32</v>
      </c>
      <c r="AF276" s="848" t="s">
        <v>32</v>
      </c>
      <c r="AG276" s="917"/>
      <c r="AH276" s="297"/>
      <c r="AI276" s="298"/>
      <c r="AJ276" s="190"/>
    </row>
    <row r="277" spans="1:36" ht="21" customHeight="1" x14ac:dyDescent="0.2">
      <c r="A277" s="1155"/>
      <c r="B277" s="535" t="s">
        <v>339</v>
      </c>
      <c r="C277" s="644" t="s">
        <v>32</v>
      </c>
      <c r="D277" s="644" t="s">
        <v>32</v>
      </c>
      <c r="E277" s="859" t="s">
        <v>32</v>
      </c>
      <c r="F277" s="644"/>
      <c r="G277" s="644"/>
      <c r="H277" s="644"/>
      <c r="I277" s="644" t="s">
        <v>32</v>
      </c>
      <c r="J277" s="644" t="s">
        <v>32</v>
      </c>
      <c r="K277" s="644" t="s">
        <v>32</v>
      </c>
      <c r="L277" s="980" t="s">
        <v>32</v>
      </c>
      <c r="M277" s="644"/>
      <c r="N277" s="848"/>
      <c r="O277" s="848" t="s">
        <v>32</v>
      </c>
      <c r="P277" s="848" t="s">
        <v>32</v>
      </c>
      <c r="Q277" s="975" t="s">
        <v>32</v>
      </c>
      <c r="R277" s="848" t="s">
        <v>32</v>
      </c>
      <c r="S277" s="859" t="s">
        <v>32</v>
      </c>
      <c r="T277" s="644"/>
      <c r="U277" s="848"/>
      <c r="V277" s="848" t="s">
        <v>32</v>
      </c>
      <c r="W277" s="848" t="s">
        <v>32</v>
      </c>
      <c r="X277" s="848" t="s">
        <v>32</v>
      </c>
      <c r="Y277" s="848" t="s">
        <v>32</v>
      </c>
      <c r="Z277" s="644" t="s">
        <v>32</v>
      </c>
      <c r="AA277" s="644"/>
      <c r="AB277" s="644"/>
      <c r="AC277" s="644" t="s">
        <v>32</v>
      </c>
      <c r="AD277" s="848" t="s">
        <v>32</v>
      </c>
      <c r="AE277" s="848" t="s">
        <v>32</v>
      </c>
      <c r="AF277" s="848" t="s">
        <v>32</v>
      </c>
      <c r="AG277" s="917"/>
      <c r="AH277" s="297"/>
      <c r="AI277" s="298"/>
      <c r="AJ277" s="190"/>
    </row>
    <row r="278" spans="1:36" ht="21" customHeight="1" x14ac:dyDescent="0.2">
      <c r="A278" s="1155"/>
      <c r="B278" s="535" t="s">
        <v>370</v>
      </c>
      <c r="C278" s="644" t="s">
        <v>32</v>
      </c>
      <c r="D278" s="644" t="s">
        <v>32</v>
      </c>
      <c r="E278" s="644" t="s">
        <v>32</v>
      </c>
      <c r="F278" s="644"/>
      <c r="G278" s="644"/>
      <c r="H278" s="644"/>
      <c r="I278" s="644" t="s">
        <v>32</v>
      </c>
      <c r="J278" s="644" t="s">
        <v>32</v>
      </c>
      <c r="K278" s="644" t="s">
        <v>32</v>
      </c>
      <c r="L278" s="644" t="s">
        <v>32</v>
      </c>
      <c r="M278" s="644"/>
      <c r="N278" s="848"/>
      <c r="O278" s="848" t="s">
        <v>32</v>
      </c>
      <c r="P278" s="848" t="s">
        <v>32</v>
      </c>
      <c r="Q278" s="975" t="s">
        <v>32</v>
      </c>
      <c r="R278" s="848" t="s">
        <v>32</v>
      </c>
      <c r="S278" s="644" t="s">
        <v>32</v>
      </c>
      <c r="T278" s="644"/>
      <c r="U278" s="848"/>
      <c r="V278" s="848" t="s">
        <v>32</v>
      </c>
      <c r="W278" s="848" t="s">
        <v>32</v>
      </c>
      <c r="X278" s="644" t="s">
        <v>32</v>
      </c>
      <c r="Y278" s="848" t="s">
        <v>32</v>
      </c>
      <c r="Z278" s="644" t="s">
        <v>32</v>
      </c>
      <c r="AA278" s="644"/>
      <c r="AB278" s="644"/>
      <c r="AC278" s="644" t="s">
        <v>32</v>
      </c>
      <c r="AD278" s="644" t="s">
        <v>32</v>
      </c>
      <c r="AE278" s="644" t="s">
        <v>32</v>
      </c>
      <c r="AF278" s="644" t="s">
        <v>32</v>
      </c>
      <c r="AG278" s="917"/>
      <c r="AH278" s="297"/>
      <c r="AI278" s="298"/>
      <c r="AJ278" s="190"/>
    </row>
    <row r="279" spans="1:36" ht="21" customHeight="1" x14ac:dyDescent="0.2">
      <c r="A279" s="1155"/>
      <c r="B279" s="535" t="s">
        <v>340</v>
      </c>
      <c r="C279" s="644" t="s">
        <v>32</v>
      </c>
      <c r="D279" s="644" t="s">
        <v>32</v>
      </c>
      <c r="E279" s="644" t="s">
        <v>32</v>
      </c>
      <c r="F279" s="644"/>
      <c r="G279" s="644"/>
      <c r="H279" s="644"/>
      <c r="I279" s="644" t="s">
        <v>32</v>
      </c>
      <c r="J279" s="644" t="s">
        <v>32</v>
      </c>
      <c r="K279" s="644" t="s">
        <v>32</v>
      </c>
      <c r="L279" s="644" t="s">
        <v>32</v>
      </c>
      <c r="M279" s="644"/>
      <c r="N279" s="848"/>
      <c r="O279" s="848" t="s">
        <v>32</v>
      </c>
      <c r="P279" s="848" t="s">
        <v>32</v>
      </c>
      <c r="Q279" s="975" t="s">
        <v>32</v>
      </c>
      <c r="R279" s="848" t="s">
        <v>32</v>
      </c>
      <c r="S279" s="644" t="s">
        <v>32</v>
      </c>
      <c r="T279" s="644"/>
      <c r="U279" s="848"/>
      <c r="V279" s="848" t="s">
        <v>32</v>
      </c>
      <c r="W279" s="848" t="s">
        <v>32</v>
      </c>
      <c r="X279" s="644" t="s">
        <v>32</v>
      </c>
      <c r="Y279" s="848" t="s">
        <v>32</v>
      </c>
      <c r="Z279" s="644" t="s">
        <v>32</v>
      </c>
      <c r="AA279" s="644"/>
      <c r="AB279" s="644"/>
      <c r="AC279" s="644" t="s">
        <v>32</v>
      </c>
      <c r="AD279" s="848" t="s">
        <v>32</v>
      </c>
      <c r="AE279" s="848" t="s">
        <v>32</v>
      </c>
      <c r="AF279" s="848" t="s">
        <v>32</v>
      </c>
      <c r="AG279" s="917"/>
      <c r="AH279" s="297"/>
      <c r="AI279" s="298"/>
      <c r="AJ279" s="190"/>
    </row>
    <row r="280" spans="1:36" ht="21" customHeight="1" x14ac:dyDescent="0.2">
      <c r="A280" s="1155"/>
      <c r="B280" s="535" t="s">
        <v>341</v>
      </c>
      <c r="C280" s="644" t="s">
        <v>32</v>
      </c>
      <c r="D280" s="644" t="s">
        <v>32</v>
      </c>
      <c r="E280" s="644" t="s">
        <v>32</v>
      </c>
      <c r="F280" s="644"/>
      <c r="G280" s="644"/>
      <c r="H280" s="848"/>
      <c r="I280" s="848" t="s">
        <v>32</v>
      </c>
      <c r="J280" s="848" t="s">
        <v>32</v>
      </c>
      <c r="K280" s="848" t="s">
        <v>32</v>
      </c>
      <c r="L280" s="644" t="s">
        <v>32</v>
      </c>
      <c r="M280" s="644"/>
      <c r="N280" s="848"/>
      <c r="O280" s="848" t="s">
        <v>32</v>
      </c>
      <c r="P280" s="848" t="s">
        <v>32</v>
      </c>
      <c r="Q280" s="975" t="s">
        <v>32</v>
      </c>
      <c r="R280" s="848" t="s">
        <v>32</v>
      </c>
      <c r="S280" s="644" t="s">
        <v>32</v>
      </c>
      <c r="T280" s="644"/>
      <c r="U280" s="848"/>
      <c r="V280" s="980" t="s">
        <v>32</v>
      </c>
      <c r="W280" s="980" t="s">
        <v>32</v>
      </c>
      <c r="X280" s="980" t="s">
        <v>32</v>
      </c>
      <c r="Y280" s="848" t="s">
        <v>32</v>
      </c>
      <c r="Z280" s="964" t="s">
        <v>32</v>
      </c>
      <c r="AA280" s="964"/>
      <c r="AB280" s="964"/>
      <c r="AC280" s="964" t="s">
        <v>32</v>
      </c>
      <c r="AD280" s="964" t="s">
        <v>32</v>
      </c>
      <c r="AE280" s="964" t="s">
        <v>32</v>
      </c>
      <c r="AF280" s="964" t="s">
        <v>32</v>
      </c>
      <c r="AG280" s="1299"/>
      <c r="AH280" s="297"/>
      <c r="AI280" s="298"/>
      <c r="AJ280" s="190"/>
    </row>
    <row r="281" spans="1:36" ht="21" customHeight="1" x14ac:dyDescent="0.2">
      <c r="A281" s="1155"/>
      <c r="B281" s="535" t="s">
        <v>342</v>
      </c>
      <c r="C281" s="644" t="s">
        <v>32</v>
      </c>
      <c r="D281" s="644" t="s">
        <v>32</v>
      </c>
      <c r="E281" s="644" t="s">
        <v>32</v>
      </c>
      <c r="F281" s="644"/>
      <c r="G281" s="644"/>
      <c r="H281" s="644"/>
      <c r="I281" s="644" t="s">
        <v>32</v>
      </c>
      <c r="J281" s="644" t="s">
        <v>32</v>
      </c>
      <c r="K281" s="644" t="s">
        <v>32</v>
      </c>
      <c r="L281" s="644" t="s">
        <v>32</v>
      </c>
      <c r="M281" s="644"/>
      <c r="N281" s="848"/>
      <c r="O281" s="964" t="s">
        <v>32</v>
      </c>
      <c r="P281" s="964" t="s">
        <v>51</v>
      </c>
      <c r="Q281" s="845" t="s">
        <v>32</v>
      </c>
      <c r="R281" s="845" t="s">
        <v>32</v>
      </c>
      <c r="S281" s="845" t="s">
        <v>32</v>
      </c>
      <c r="T281" s="644"/>
      <c r="U281" s="848"/>
      <c r="V281" s="848" t="s">
        <v>32</v>
      </c>
      <c r="W281" s="848" t="s">
        <v>32</v>
      </c>
      <c r="X281" s="644" t="s">
        <v>32</v>
      </c>
      <c r="Y281" s="848" t="s">
        <v>32</v>
      </c>
      <c r="Z281" s="644" t="s">
        <v>32</v>
      </c>
      <c r="AA281" s="644"/>
      <c r="AB281" s="644"/>
      <c r="AC281" s="644" t="s">
        <v>32</v>
      </c>
      <c r="AD281" s="644" t="s">
        <v>32</v>
      </c>
      <c r="AE281" s="644" t="s">
        <v>32</v>
      </c>
      <c r="AF281" s="644" t="s">
        <v>32</v>
      </c>
      <c r="AG281" s="917"/>
      <c r="AH281" s="297"/>
      <c r="AI281" s="298"/>
      <c r="AJ281" s="190"/>
    </row>
    <row r="282" spans="1:36" ht="21" customHeight="1" x14ac:dyDescent="0.2">
      <c r="A282" s="1155"/>
      <c r="B282" s="535"/>
      <c r="C282" s="644"/>
      <c r="D282" s="974"/>
      <c r="E282" s="644"/>
      <c r="F282" s="644"/>
      <c r="G282" s="644"/>
      <c r="H282" s="644"/>
      <c r="I282" s="644"/>
      <c r="J282" s="644"/>
      <c r="K282" s="644"/>
      <c r="L282" s="644"/>
      <c r="M282" s="644"/>
      <c r="N282" s="644"/>
      <c r="O282" s="644"/>
      <c r="P282" s="644"/>
      <c r="Q282" s="644"/>
      <c r="R282" s="644"/>
      <c r="S282" s="644"/>
      <c r="T282" s="644"/>
      <c r="U282" s="644"/>
      <c r="V282" s="644"/>
      <c r="W282" s="644"/>
      <c r="X282" s="644"/>
      <c r="Y282" s="644"/>
      <c r="Z282" s="644"/>
      <c r="AA282" s="644"/>
      <c r="AB282" s="644"/>
      <c r="AC282" s="644"/>
      <c r="AD282" s="644"/>
      <c r="AE282" s="644"/>
      <c r="AF282" s="644"/>
      <c r="AG282" s="917"/>
      <c r="AH282" s="297"/>
      <c r="AI282" s="298"/>
      <c r="AJ282" s="190"/>
    </row>
    <row r="283" spans="1:36" ht="21" customHeight="1" x14ac:dyDescent="0.2">
      <c r="A283" s="845"/>
      <c r="B283" s="1179"/>
      <c r="C283" s="868"/>
      <c r="D283" s="868"/>
      <c r="E283" s="868"/>
      <c r="F283" s="868"/>
      <c r="G283" s="868"/>
      <c r="H283" s="868"/>
      <c r="I283" s="868"/>
      <c r="J283" s="868"/>
      <c r="K283" s="868"/>
      <c r="L283" s="868"/>
      <c r="M283" s="868"/>
      <c r="N283" s="814"/>
      <c r="O283" s="814"/>
      <c r="P283" s="868"/>
      <c r="Q283" s="868"/>
      <c r="R283" s="868"/>
      <c r="S283" s="868"/>
      <c r="T283" s="868"/>
      <c r="U283" s="868"/>
      <c r="V283" s="868"/>
      <c r="W283" s="868"/>
      <c r="X283" s="868"/>
      <c r="Y283" s="868"/>
      <c r="Z283" s="868"/>
      <c r="AA283" s="868"/>
      <c r="AB283" s="814"/>
      <c r="AC283" s="814"/>
      <c r="AD283" s="868"/>
      <c r="AE283" s="868"/>
      <c r="AF283" s="868"/>
      <c r="AG283" s="917"/>
      <c r="AH283" s="297"/>
      <c r="AI283" s="299"/>
      <c r="AJ283" s="190"/>
    </row>
    <row r="284" spans="1:36" ht="21" customHeight="1" thickBot="1" x14ac:dyDescent="0.25">
      <c r="A284" s="1180"/>
      <c r="B284" s="862"/>
      <c r="C284" s="670"/>
      <c r="D284" s="598"/>
      <c r="E284" s="598"/>
      <c r="F284" s="598"/>
      <c r="G284" s="598"/>
      <c r="H284" s="598"/>
      <c r="I284" s="598"/>
      <c r="J284" s="598"/>
      <c r="K284" s="598"/>
      <c r="L284" s="598"/>
      <c r="M284" s="598"/>
      <c r="N284" s="599"/>
      <c r="O284" s="599"/>
      <c r="P284" s="598"/>
      <c r="Q284" s="598"/>
      <c r="R284" s="598"/>
      <c r="S284" s="598"/>
      <c r="T284" s="598"/>
      <c r="U284" s="598"/>
      <c r="V284" s="598"/>
      <c r="W284" s="598"/>
      <c r="X284" s="598"/>
      <c r="Y284" s="598"/>
      <c r="Z284" s="598"/>
      <c r="AA284" s="598"/>
      <c r="AB284" s="599"/>
      <c r="AC284" s="599"/>
      <c r="AD284" s="598"/>
      <c r="AE284" s="598"/>
      <c r="AF284" s="598"/>
      <c r="AG284" s="671"/>
      <c r="AH284" s="297"/>
      <c r="AI284" s="299"/>
      <c r="AJ284" s="190"/>
    </row>
    <row r="285" spans="1:36" x14ac:dyDescent="0.2">
      <c r="AH285" s="190"/>
      <c r="AI285" s="190"/>
      <c r="AJ285" s="190"/>
    </row>
    <row r="286" spans="1:36" x14ac:dyDescent="0.2">
      <c r="AH286" s="190"/>
      <c r="AI286" s="190"/>
      <c r="AJ286" s="190"/>
    </row>
    <row r="287" spans="1:36" x14ac:dyDescent="0.2">
      <c r="AH287" s="190"/>
      <c r="AI287" s="190"/>
      <c r="AJ287" s="190"/>
    </row>
    <row r="288" spans="1:36" x14ac:dyDescent="0.2">
      <c r="AH288" s="190"/>
      <c r="AI288" s="190"/>
      <c r="AJ288" s="190"/>
    </row>
  </sheetData>
  <sheetProtection algorithmName="SHA-512" hashValue="xhDAFffselo3ChaZzdS/ufwyDZYle6AYvIzrvLcfCLoSB2DU1SFE/dgp2CqIhpM5RzAwQluXiXEAVfJ/u9EvIw==" saltValue="ZyU4xtGRWwuXMzPKJ5c/Tw==" spinCount="100000" sheet="1" objects="1" scenarios="1"/>
  <protectedRanges>
    <protectedRange sqref="B122:B123"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24 B126:B127"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ignoredErrors>
    <ignoredError sqref="AE63:AF63" numberStoredAsText="1"/>
  </ignoredError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F67D6-40C5-4F47-B918-AF17FB604DE6}">
  <sheetPr codeName="Ark71"/>
  <dimension ref="A1:AN293"/>
  <sheetViews>
    <sheetView zoomScale="90" zoomScaleNormal="90" workbookViewId="0">
      <pane xSplit="2" ySplit="3" topLeftCell="C57" activePane="bottomRight" state="frozen"/>
      <selection pane="topRight" activeCell="B75" sqref="B75"/>
      <selection pane="bottomLeft" activeCell="B75" sqref="B75"/>
      <selection pane="bottomRight" activeCell="AK74" sqref="AK74"/>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9" ht="13.35" customHeight="1" x14ac:dyDescent="0.2">
      <c r="A1" t="s">
        <v>0</v>
      </c>
      <c r="B1" s="1" t="s">
        <v>1</v>
      </c>
    </row>
    <row r="2" spans="1:39" ht="13.35" customHeight="1" x14ac:dyDescent="0.2">
      <c r="B2" s="754" t="s">
        <v>2</v>
      </c>
      <c r="C2" s="755" t="s">
        <v>3</v>
      </c>
      <c r="D2" s="756"/>
      <c r="E2" s="757" t="s">
        <v>4</v>
      </c>
      <c r="F2" s="758"/>
      <c r="G2" s="759"/>
      <c r="H2" s="759"/>
      <c r="I2" s="759"/>
      <c r="J2" s="759"/>
      <c r="K2" s="760"/>
      <c r="L2" s="761" t="s">
        <v>5</v>
      </c>
      <c r="M2" s="762"/>
      <c r="N2" s="747"/>
      <c r="O2" s="763" t="s">
        <v>6</v>
      </c>
      <c r="P2" s="764"/>
      <c r="Q2" s="765"/>
      <c r="R2" s="766"/>
      <c r="S2" s="767" t="s">
        <v>7</v>
      </c>
      <c r="T2" s="768"/>
      <c r="U2" s="769"/>
      <c r="V2" s="768"/>
      <c r="W2" s="770" t="s">
        <v>8</v>
      </c>
      <c r="X2" s="746"/>
      <c r="Y2" s="771"/>
      <c r="Z2" s="160" t="s">
        <v>9</v>
      </c>
      <c r="AA2" s="772"/>
      <c r="AB2" s="773"/>
      <c r="AC2" s="577"/>
      <c r="AD2" s="774" t="s">
        <v>10</v>
      </c>
      <c r="AE2" s="775"/>
      <c r="AF2" s="775"/>
      <c r="AG2" s="578"/>
    </row>
    <row r="3" spans="1:39" ht="13.35" customHeight="1" x14ac:dyDescent="0.2">
      <c r="A3" s="1"/>
      <c r="B3" s="776" t="s">
        <v>11</v>
      </c>
      <c r="C3" s="777" t="s">
        <v>12</v>
      </c>
      <c r="D3" s="778"/>
      <c r="E3" s="91"/>
      <c r="F3" s="92"/>
      <c r="G3" s="92"/>
      <c r="H3" s="161" t="s">
        <v>13</v>
      </c>
      <c r="I3" s="93"/>
      <c r="J3" s="93"/>
      <c r="K3" s="94"/>
      <c r="L3" s="779" t="s">
        <v>14</v>
      </c>
      <c r="M3" s="743"/>
      <c r="N3" s="780"/>
      <c r="O3" s="93"/>
      <c r="P3" s="93"/>
      <c r="Q3" s="93"/>
      <c r="R3" s="93"/>
      <c r="S3" s="14"/>
      <c r="T3" s="95" t="s">
        <v>15</v>
      </c>
      <c r="U3" s="96"/>
      <c r="V3" s="97"/>
      <c r="W3" s="98"/>
      <c r="X3" s="99"/>
      <c r="Y3" s="161" t="s">
        <v>16</v>
      </c>
      <c r="Z3" s="743"/>
      <c r="AA3" s="743"/>
      <c r="AB3" s="781"/>
      <c r="AC3" s="782"/>
      <c r="AD3" s="783" t="s">
        <v>17</v>
      </c>
      <c r="AE3" s="784"/>
      <c r="AF3" s="784"/>
      <c r="AG3" s="785"/>
    </row>
    <row r="4" spans="1:39"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9" ht="22.35" customHeight="1" x14ac:dyDescent="0.2">
      <c r="A5" s="158" t="s">
        <v>19</v>
      </c>
      <c r="B5" s="1"/>
    </row>
    <row r="6" spans="1:39" ht="22.35" customHeight="1" x14ac:dyDescent="0.2">
      <c r="A6" s="786" t="s">
        <v>20</v>
      </c>
      <c r="B6" s="743"/>
      <c r="C6" s="787"/>
      <c r="D6" s="786" t="s">
        <v>21</v>
      </c>
      <c r="E6" s="743"/>
      <c r="F6" s="743"/>
      <c r="G6" s="743"/>
      <c r="H6" s="788"/>
      <c r="I6" s="743"/>
      <c r="J6" s="743"/>
      <c r="K6" s="743"/>
      <c r="L6" s="789" t="s">
        <v>22</v>
      </c>
      <c r="M6" s="743"/>
      <c r="N6" s="743"/>
      <c r="O6" s="743"/>
      <c r="P6" s="743"/>
      <c r="Q6" s="743"/>
      <c r="R6" s="743"/>
      <c r="S6" s="787"/>
      <c r="T6" s="790"/>
      <c r="U6" s="743"/>
      <c r="V6" s="743"/>
      <c r="W6" s="743"/>
      <c r="X6" s="743"/>
      <c r="Y6" s="743"/>
      <c r="Z6" s="743"/>
      <c r="AA6" s="787"/>
      <c r="AB6" s="791"/>
      <c r="AC6" s="740"/>
      <c r="AD6" s="740"/>
      <c r="AE6" s="740"/>
      <c r="AF6" s="740"/>
      <c r="AG6" s="579"/>
    </row>
    <row r="7" spans="1:39" ht="22.35" customHeight="1" x14ac:dyDescent="0.2">
      <c r="A7" s="786" t="s">
        <v>23</v>
      </c>
      <c r="B7" s="743"/>
      <c r="C7" s="743"/>
      <c r="D7" s="743"/>
      <c r="E7" s="743"/>
      <c r="F7" s="743"/>
      <c r="G7" s="743"/>
      <c r="H7" s="743"/>
      <c r="I7" s="743"/>
      <c r="J7" s="743"/>
      <c r="K7" s="787"/>
      <c r="L7" s="153" t="s">
        <v>24</v>
      </c>
      <c r="M7" s="14"/>
      <c r="N7" s="14"/>
      <c r="O7" s="14"/>
      <c r="P7" s="14"/>
      <c r="Q7" s="14"/>
      <c r="R7" s="14"/>
      <c r="S7" s="14"/>
      <c r="T7" s="14"/>
      <c r="U7" s="743"/>
      <c r="V7" s="743"/>
      <c r="W7" s="743"/>
      <c r="X7" s="743"/>
      <c r="Y7" s="743"/>
      <c r="Z7" s="743"/>
      <c r="AA7" s="743"/>
      <c r="AB7" s="792"/>
      <c r="AC7" s="743"/>
      <c r="AD7" s="743"/>
      <c r="AE7" s="743"/>
      <c r="AF7" s="743"/>
      <c r="AG7" s="787"/>
    </row>
    <row r="8" spans="1:39" ht="22.35" customHeight="1" x14ac:dyDescent="0.2">
      <c r="A8" s="158" t="s">
        <v>25</v>
      </c>
      <c r="L8" s="100"/>
      <c r="AB8" s="1"/>
    </row>
    <row r="9" spans="1:39" ht="22.35" customHeight="1" x14ac:dyDescent="0.2">
      <c r="A9" s="158" t="s">
        <v>26</v>
      </c>
      <c r="L9" s="100"/>
      <c r="AB9" s="1"/>
      <c r="AM9" t="s">
        <v>0</v>
      </c>
    </row>
    <row r="10" spans="1:39"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9" ht="22.35" customHeight="1" thickBot="1" x14ac:dyDescent="0.25">
      <c r="A11" s="793" t="s">
        <v>28</v>
      </c>
      <c r="B11" s="794" t="s">
        <v>29</v>
      </c>
      <c r="C11" s="796">
        <v>1</v>
      </c>
      <c r="D11" s="795">
        <v>2</v>
      </c>
      <c r="E11" s="795">
        <v>3</v>
      </c>
      <c r="F11" s="796">
        <v>4</v>
      </c>
      <c r="G11" s="796">
        <v>5</v>
      </c>
      <c r="H11" s="796">
        <v>6</v>
      </c>
      <c r="I11" s="796">
        <v>7</v>
      </c>
      <c r="J11" s="796">
        <v>8</v>
      </c>
      <c r="K11" s="795">
        <v>9</v>
      </c>
      <c r="L11" s="795">
        <v>10</v>
      </c>
      <c r="M11" s="796">
        <v>11</v>
      </c>
      <c r="N11" s="796">
        <v>12</v>
      </c>
      <c r="O11" s="796">
        <v>13</v>
      </c>
      <c r="P11" s="796">
        <v>14</v>
      </c>
      <c r="Q11" s="796">
        <v>15</v>
      </c>
      <c r="R11" s="795">
        <v>16</v>
      </c>
      <c r="S11" s="795">
        <v>17</v>
      </c>
      <c r="T11" s="796">
        <v>18</v>
      </c>
      <c r="U11" s="796">
        <v>19</v>
      </c>
      <c r="V11" s="796">
        <v>20</v>
      </c>
      <c r="W11" s="796">
        <v>21</v>
      </c>
      <c r="X11" s="796">
        <v>22</v>
      </c>
      <c r="Y11" s="795">
        <v>23</v>
      </c>
      <c r="Z11" s="795">
        <v>24</v>
      </c>
      <c r="AA11" s="796">
        <v>25</v>
      </c>
      <c r="AB11" s="796">
        <v>26</v>
      </c>
      <c r="AC11" s="796">
        <v>27</v>
      </c>
      <c r="AD11" s="796">
        <v>28</v>
      </c>
      <c r="AE11" s="796">
        <v>29</v>
      </c>
      <c r="AF11" s="795">
        <v>30</v>
      </c>
      <c r="AG11" s="1300">
        <v>31</v>
      </c>
      <c r="AH11" s="173"/>
      <c r="AI11" s="174"/>
      <c r="AJ11" s="1181" t="s">
        <v>30</v>
      </c>
    </row>
    <row r="12" spans="1:39" ht="22.35" customHeight="1" x14ac:dyDescent="0.2">
      <c r="A12" s="1301">
        <v>8500</v>
      </c>
      <c r="B12" s="1182" t="s">
        <v>31</v>
      </c>
      <c r="C12" s="1110" t="s">
        <v>32</v>
      </c>
      <c r="D12" s="1110"/>
      <c r="E12" s="1110"/>
      <c r="F12" s="859" t="s">
        <v>32</v>
      </c>
      <c r="G12" s="859" t="s">
        <v>32</v>
      </c>
      <c r="H12" s="859" t="s">
        <v>32</v>
      </c>
      <c r="I12" s="859" t="s">
        <v>32</v>
      </c>
      <c r="J12" s="859" t="s">
        <v>32</v>
      </c>
      <c r="K12" s="1110"/>
      <c r="L12" s="1110"/>
      <c r="M12" s="644" t="s">
        <v>32</v>
      </c>
      <c r="N12" s="644" t="s">
        <v>32</v>
      </c>
      <c r="O12" s="1110" t="s">
        <v>32</v>
      </c>
      <c r="P12" s="1110" t="s">
        <v>32</v>
      </c>
      <c r="Q12" s="1110" t="s">
        <v>32</v>
      </c>
      <c r="R12" s="1110"/>
      <c r="S12" s="1110"/>
      <c r="T12" s="644" t="s">
        <v>32</v>
      </c>
      <c r="U12" s="644" t="s">
        <v>32</v>
      </c>
      <c r="V12" s="644" t="s">
        <v>32</v>
      </c>
      <c r="W12" s="644" t="s">
        <v>32</v>
      </c>
      <c r="X12" s="644" t="s">
        <v>32</v>
      </c>
      <c r="Y12" s="975"/>
      <c r="Z12" s="975"/>
      <c r="AA12" s="644" t="s">
        <v>32</v>
      </c>
      <c r="AB12" s="644" t="s">
        <v>32</v>
      </c>
      <c r="AC12" s="1110" t="s">
        <v>32</v>
      </c>
      <c r="AD12" s="1110" t="s">
        <v>32</v>
      </c>
      <c r="AE12" s="1110" t="s">
        <v>32</v>
      </c>
      <c r="AF12" s="1110"/>
      <c r="AG12" s="613"/>
      <c r="AH12" s="179"/>
      <c r="AI12" s="179"/>
      <c r="AJ12" s="1181">
        <v>160.33000000000001</v>
      </c>
    </row>
    <row r="13" spans="1:39" ht="22.35" customHeight="1" x14ac:dyDescent="0.2">
      <c r="A13" s="805" t="s">
        <v>33</v>
      </c>
      <c r="B13" s="806"/>
      <c r="C13" s="806"/>
      <c r="D13" s="806"/>
      <c r="E13" s="806"/>
      <c r="F13" s="806"/>
      <c r="G13" s="806"/>
      <c r="H13" s="806"/>
      <c r="I13" s="806"/>
      <c r="J13" s="806"/>
      <c r="K13" s="806"/>
      <c r="L13" s="806"/>
      <c r="M13" s="806"/>
      <c r="N13" s="806"/>
      <c r="O13" s="806"/>
      <c r="P13" s="806"/>
      <c r="Q13" s="806"/>
      <c r="R13" s="806"/>
      <c r="S13" s="806"/>
      <c r="T13" s="806"/>
      <c r="U13" s="806"/>
      <c r="V13" s="806"/>
      <c r="W13" s="806"/>
      <c r="X13" s="806"/>
      <c r="Y13" s="806"/>
      <c r="Z13" s="806"/>
      <c r="AA13" s="806"/>
      <c r="AB13" s="806"/>
      <c r="AC13" s="806"/>
      <c r="AD13" s="806"/>
      <c r="AE13" s="806"/>
      <c r="AF13" s="806"/>
      <c r="AG13" s="807"/>
      <c r="AH13" s="177"/>
      <c r="AI13" s="177"/>
    </row>
    <row r="14" spans="1:39" ht="22.35" customHeight="1" x14ac:dyDescent="0.2">
      <c r="A14" s="808">
        <v>8546</v>
      </c>
      <c r="B14" s="1182" t="s">
        <v>34</v>
      </c>
      <c r="C14" s="809" t="s">
        <v>36</v>
      </c>
      <c r="D14" s="809"/>
      <c r="E14" s="809"/>
      <c r="F14" s="809">
        <v>4</v>
      </c>
      <c r="G14" s="809">
        <v>4</v>
      </c>
      <c r="H14" s="811">
        <v>4</v>
      </c>
      <c r="I14" s="811">
        <v>4</v>
      </c>
      <c r="J14" s="811">
        <v>4</v>
      </c>
      <c r="K14" s="812" t="s">
        <v>35</v>
      </c>
      <c r="L14" s="811" t="s">
        <v>35</v>
      </c>
      <c r="M14" s="966">
        <v>4</v>
      </c>
      <c r="N14" s="966">
        <v>4</v>
      </c>
      <c r="O14" s="966">
        <v>4</v>
      </c>
      <c r="P14" s="966">
        <v>4</v>
      </c>
      <c r="Q14" s="966">
        <v>4</v>
      </c>
      <c r="R14" s="811"/>
      <c r="S14" s="816"/>
      <c r="T14" s="815">
        <v>1</v>
      </c>
      <c r="U14" s="815">
        <v>1</v>
      </c>
      <c r="V14" s="815">
        <v>1</v>
      </c>
      <c r="W14" s="811">
        <v>1</v>
      </c>
      <c r="X14" s="811">
        <v>1</v>
      </c>
      <c r="Y14" s="811"/>
      <c r="Z14" s="811"/>
      <c r="AA14" s="811">
        <v>2</v>
      </c>
      <c r="AB14" s="811">
        <v>2</v>
      </c>
      <c r="AC14" s="811">
        <v>2</v>
      </c>
      <c r="AD14" s="815">
        <v>2</v>
      </c>
      <c r="AE14" s="811">
        <v>2</v>
      </c>
      <c r="AF14" s="820" t="s">
        <v>37</v>
      </c>
      <c r="AG14" s="1299" t="s">
        <v>37</v>
      </c>
      <c r="AH14" s="179"/>
      <c r="AI14" s="179"/>
    </row>
    <row r="15" spans="1:39" ht="22.35" customHeight="1" x14ac:dyDescent="0.2">
      <c r="A15" s="808">
        <v>8546</v>
      </c>
      <c r="B15" s="819" t="s">
        <v>38</v>
      </c>
      <c r="C15" s="1302">
        <v>2</v>
      </c>
      <c r="D15" s="1184" t="s">
        <v>37</v>
      </c>
      <c r="E15" s="1184" t="s">
        <v>371</v>
      </c>
      <c r="F15" s="928" t="s">
        <v>36</v>
      </c>
      <c r="G15" s="928" t="s">
        <v>36</v>
      </c>
      <c r="H15" s="928" t="s">
        <v>36</v>
      </c>
      <c r="I15" s="928" t="s">
        <v>36</v>
      </c>
      <c r="J15" s="928" t="s">
        <v>36</v>
      </c>
      <c r="K15" s="928"/>
      <c r="L15" s="928"/>
      <c r="M15" s="928">
        <v>4</v>
      </c>
      <c r="N15" s="928">
        <v>4</v>
      </c>
      <c r="O15" s="928">
        <v>4</v>
      </c>
      <c r="P15" s="928">
        <v>4</v>
      </c>
      <c r="Q15" s="928">
        <v>4</v>
      </c>
      <c r="R15" s="928" t="s">
        <v>35</v>
      </c>
      <c r="S15" s="928" t="s">
        <v>35</v>
      </c>
      <c r="T15" s="928" t="s">
        <v>36</v>
      </c>
      <c r="U15" s="928" t="s">
        <v>36</v>
      </c>
      <c r="V15" s="928" t="s">
        <v>36</v>
      </c>
      <c r="W15" s="928" t="s">
        <v>36</v>
      </c>
      <c r="X15" s="928" t="s">
        <v>36</v>
      </c>
      <c r="Y15" s="928"/>
      <c r="Z15" s="928"/>
      <c r="AA15" s="811">
        <v>1</v>
      </c>
      <c r="AB15" s="811">
        <v>1</v>
      </c>
      <c r="AC15" s="811">
        <v>1</v>
      </c>
      <c r="AD15" s="811">
        <v>1</v>
      </c>
      <c r="AE15" s="811">
        <v>1</v>
      </c>
      <c r="AF15" s="811"/>
      <c r="AG15" s="818"/>
      <c r="AH15" s="179"/>
      <c r="AI15" s="179"/>
      <c r="AL15" t="s">
        <v>0</v>
      </c>
    </row>
    <row r="16" spans="1:39" ht="22.35" customHeight="1" x14ac:dyDescent="0.2">
      <c r="A16" s="808">
        <v>8546</v>
      </c>
      <c r="B16" s="823" t="s">
        <v>40</v>
      </c>
      <c r="C16" s="821" t="s">
        <v>36</v>
      </c>
      <c r="D16" s="824"/>
      <c r="E16" s="824"/>
      <c r="F16" s="824">
        <v>1</v>
      </c>
      <c r="G16" s="824">
        <v>1</v>
      </c>
      <c r="H16" s="824">
        <v>1</v>
      </c>
      <c r="I16" s="825">
        <v>1</v>
      </c>
      <c r="J16" s="824">
        <v>1</v>
      </c>
      <c r="K16" s="824"/>
      <c r="L16" s="824"/>
      <c r="M16" s="824">
        <v>2</v>
      </c>
      <c r="N16" s="821">
        <v>2</v>
      </c>
      <c r="O16" s="821">
        <v>2</v>
      </c>
      <c r="P16" s="821">
        <v>2</v>
      </c>
      <c r="Q16" s="821">
        <v>2</v>
      </c>
      <c r="R16" s="821" t="s">
        <v>37</v>
      </c>
      <c r="S16" s="824" t="s">
        <v>37</v>
      </c>
      <c r="T16" s="824" t="s">
        <v>36</v>
      </c>
      <c r="U16" s="824" t="s">
        <v>36</v>
      </c>
      <c r="V16" s="824" t="s">
        <v>36</v>
      </c>
      <c r="W16" s="1185" t="s">
        <v>36</v>
      </c>
      <c r="X16" s="824" t="s">
        <v>36</v>
      </c>
      <c r="Y16" s="821"/>
      <c r="Z16" s="821"/>
      <c r="AA16" s="820">
        <v>4</v>
      </c>
      <c r="AB16" s="820">
        <v>4</v>
      </c>
      <c r="AC16" s="820">
        <v>4</v>
      </c>
      <c r="AD16" s="820">
        <v>4</v>
      </c>
      <c r="AE16" s="820">
        <v>4</v>
      </c>
      <c r="AF16" s="820" t="s">
        <v>35</v>
      </c>
      <c r="AG16" s="1299" t="s">
        <v>35</v>
      </c>
      <c r="AH16" s="179"/>
      <c r="AI16" s="179"/>
    </row>
    <row r="17" spans="1:40" ht="22.35" customHeight="1" x14ac:dyDescent="0.2">
      <c r="A17" s="808">
        <v>8546</v>
      </c>
      <c r="B17" s="819" t="s">
        <v>41</v>
      </c>
      <c r="C17" s="827">
        <v>1</v>
      </c>
      <c r="D17" s="812" t="s">
        <v>35</v>
      </c>
      <c r="E17" s="811" t="s">
        <v>35</v>
      </c>
      <c r="F17" s="815" t="s">
        <v>36</v>
      </c>
      <c r="G17" s="811" t="s">
        <v>36</v>
      </c>
      <c r="H17" s="811" t="s">
        <v>36</v>
      </c>
      <c r="I17" s="812" t="s">
        <v>36</v>
      </c>
      <c r="J17" s="811" t="s">
        <v>36</v>
      </c>
      <c r="K17" s="817"/>
      <c r="L17" s="817"/>
      <c r="M17" s="809">
        <v>1</v>
      </c>
      <c r="N17" s="809">
        <v>1</v>
      </c>
      <c r="O17" s="809">
        <v>1</v>
      </c>
      <c r="P17" s="809">
        <v>1</v>
      </c>
      <c r="Q17" s="809">
        <v>1</v>
      </c>
      <c r="R17" s="817"/>
      <c r="S17" s="817"/>
      <c r="T17" s="811">
        <v>2</v>
      </c>
      <c r="U17" s="811">
        <v>2</v>
      </c>
      <c r="V17" s="811">
        <v>2</v>
      </c>
      <c r="W17" s="811">
        <v>2</v>
      </c>
      <c r="X17" s="812">
        <v>2</v>
      </c>
      <c r="Y17" s="811" t="s">
        <v>37</v>
      </c>
      <c r="Z17" s="811" t="s">
        <v>37</v>
      </c>
      <c r="AA17" s="928" t="s">
        <v>36</v>
      </c>
      <c r="AB17" s="928" t="s">
        <v>36</v>
      </c>
      <c r="AC17" s="928" t="s">
        <v>36</v>
      </c>
      <c r="AD17" s="928" t="s">
        <v>36</v>
      </c>
      <c r="AE17" s="928" t="s">
        <v>36</v>
      </c>
      <c r="AF17" s="928"/>
      <c r="AG17" s="929"/>
      <c r="AH17" s="179"/>
      <c r="AI17" s="179"/>
    </row>
    <row r="18" spans="1:40" ht="22.35" customHeight="1" x14ac:dyDescent="0.2">
      <c r="A18" s="808">
        <v>8546</v>
      </c>
      <c r="B18" s="823" t="s">
        <v>42</v>
      </c>
      <c r="C18" s="1303">
        <v>1</v>
      </c>
      <c r="D18" s="828"/>
      <c r="E18" s="828"/>
      <c r="F18" s="928">
        <v>2</v>
      </c>
      <c r="G18" s="928">
        <v>2</v>
      </c>
      <c r="H18" s="928">
        <v>2</v>
      </c>
      <c r="I18" s="928">
        <v>2</v>
      </c>
      <c r="J18" s="928">
        <v>2</v>
      </c>
      <c r="K18" s="928" t="s">
        <v>37</v>
      </c>
      <c r="L18" s="928" t="s">
        <v>37</v>
      </c>
      <c r="M18" s="928" t="s">
        <v>36</v>
      </c>
      <c r="N18" s="928" t="s">
        <v>36</v>
      </c>
      <c r="O18" s="928" t="s">
        <v>36</v>
      </c>
      <c r="P18" s="928" t="s">
        <v>36</v>
      </c>
      <c r="Q18" s="928" t="s">
        <v>36</v>
      </c>
      <c r="R18" s="928"/>
      <c r="S18" s="928"/>
      <c r="T18" s="928">
        <v>4</v>
      </c>
      <c r="U18" s="928">
        <v>4</v>
      </c>
      <c r="V18" s="928">
        <v>4</v>
      </c>
      <c r="W18" s="928">
        <v>4</v>
      </c>
      <c r="X18" s="928">
        <v>4</v>
      </c>
      <c r="Y18" s="928" t="s">
        <v>35</v>
      </c>
      <c r="Z18" s="928" t="s">
        <v>35</v>
      </c>
      <c r="AA18" s="811" t="s">
        <v>36</v>
      </c>
      <c r="AB18" s="811" t="s">
        <v>36</v>
      </c>
      <c r="AC18" s="829" t="s">
        <v>36</v>
      </c>
      <c r="AD18" s="811" t="s">
        <v>36</v>
      </c>
      <c r="AE18" s="811" t="s">
        <v>36</v>
      </c>
      <c r="AF18" s="811"/>
      <c r="AG18" s="818"/>
      <c r="AH18" s="179"/>
      <c r="AI18" s="179"/>
    </row>
    <row r="19" spans="1:40" ht="22.35" customHeight="1" thickBot="1" x14ac:dyDescent="0.25">
      <c r="A19" s="830" t="s">
        <v>43</v>
      </c>
      <c r="B19" s="831"/>
      <c r="C19" s="832"/>
      <c r="D19" s="832"/>
      <c r="E19" s="832"/>
      <c r="F19" s="832"/>
      <c r="G19" s="832"/>
      <c r="H19" s="832"/>
      <c r="I19" s="832"/>
      <c r="J19" s="832"/>
      <c r="K19" s="832"/>
      <c r="L19" s="832"/>
      <c r="M19" s="832"/>
      <c r="N19" s="832"/>
      <c r="O19" s="832"/>
      <c r="P19" s="832"/>
      <c r="Q19" s="832"/>
      <c r="R19" s="832"/>
      <c r="S19" s="832"/>
      <c r="T19" s="832"/>
      <c r="U19" s="832"/>
      <c r="V19" s="832"/>
      <c r="W19" s="832"/>
      <c r="X19" s="832"/>
      <c r="Y19" s="832"/>
      <c r="Z19" s="832"/>
      <c r="AA19" s="832"/>
      <c r="AB19" s="832"/>
      <c r="AC19" s="832"/>
      <c r="AD19" s="832"/>
      <c r="AE19" s="832"/>
      <c r="AF19" s="832"/>
      <c r="AG19" s="833"/>
      <c r="AH19" s="177"/>
      <c r="AI19" s="177"/>
      <c r="AJ19" s="1181" t="s">
        <v>30</v>
      </c>
      <c r="AK19" s="1181" t="s">
        <v>44</v>
      </c>
      <c r="AL19" s="1181" t="s">
        <v>45</v>
      </c>
      <c r="AM19" s="1181" t="s">
        <v>46</v>
      </c>
      <c r="AN19" s="1181" t="s">
        <v>47</v>
      </c>
    </row>
    <row r="20" spans="1:40" ht="22.35" customHeight="1" x14ac:dyDescent="0.2">
      <c r="A20" s="1304">
        <v>8500</v>
      </c>
      <c r="B20" s="1305" t="s">
        <v>49</v>
      </c>
      <c r="C20" s="1306" t="s">
        <v>32</v>
      </c>
      <c r="D20" s="1307" t="s">
        <v>37</v>
      </c>
      <c r="E20" s="1307" t="s">
        <v>37</v>
      </c>
      <c r="F20" s="1306" t="s">
        <v>32</v>
      </c>
      <c r="G20" s="1306" t="s">
        <v>32</v>
      </c>
      <c r="H20" s="1306" t="s">
        <v>32</v>
      </c>
      <c r="I20" s="1308" t="s">
        <v>32</v>
      </c>
      <c r="J20" s="1309" t="s">
        <v>32</v>
      </c>
      <c r="K20" s="1306"/>
      <c r="L20" s="1306"/>
      <c r="M20" s="1306" t="s">
        <v>32</v>
      </c>
      <c r="N20" s="1306" t="s">
        <v>32</v>
      </c>
      <c r="O20" s="1306" t="s">
        <v>32</v>
      </c>
      <c r="P20" s="1306" t="s">
        <v>32</v>
      </c>
      <c r="Q20" s="1306" t="s">
        <v>32</v>
      </c>
      <c r="R20" s="1310" t="s">
        <v>35</v>
      </c>
      <c r="S20" s="1310" t="s">
        <v>35</v>
      </c>
      <c r="T20" s="1306" t="s">
        <v>32</v>
      </c>
      <c r="U20" s="1306" t="s">
        <v>32</v>
      </c>
      <c r="V20" s="1306" t="s">
        <v>32</v>
      </c>
      <c r="W20" s="1306" t="s">
        <v>32</v>
      </c>
      <c r="X20" s="1306" t="s">
        <v>32</v>
      </c>
      <c r="Y20" s="1310"/>
      <c r="Z20" s="1310"/>
      <c r="AA20" s="1306" t="s">
        <v>32</v>
      </c>
      <c r="AB20" s="1306" t="s">
        <v>32</v>
      </c>
      <c r="AC20" s="1306" t="s">
        <v>32</v>
      </c>
      <c r="AD20" s="1306" t="s">
        <v>32</v>
      </c>
      <c r="AE20" s="1309" t="s">
        <v>32</v>
      </c>
      <c r="AF20" s="1307" t="s">
        <v>37</v>
      </c>
      <c r="AG20" s="1310"/>
      <c r="AH20" s="179"/>
      <c r="AI20" s="179"/>
      <c r="AJ20" s="845">
        <f>$AJ$12</f>
        <v>160.33000000000001</v>
      </c>
      <c r="AK20" s="845"/>
      <c r="AL20" s="845">
        <f>IF(AJ20="","",SUM(AJ20:AK20))</f>
        <v>160.33000000000001</v>
      </c>
      <c r="AM20" s="846">
        <f>IF(AJ20="","",AL20-NormTid)</f>
        <v>0</v>
      </c>
      <c r="AN20" s="846">
        <f>IF(AM20="","",AM20+'Juni 2022'!AN20)</f>
        <v>0</v>
      </c>
    </row>
    <row r="21" spans="1:40" ht="22.35" customHeight="1" x14ac:dyDescent="0.2">
      <c r="A21" s="847">
        <v>8500</v>
      </c>
      <c r="B21" s="1190" t="s">
        <v>52</v>
      </c>
      <c r="C21" s="859" t="s">
        <v>32</v>
      </c>
      <c r="D21" s="859"/>
      <c r="E21" s="859"/>
      <c r="F21" s="1206">
        <v>2</v>
      </c>
      <c r="G21" s="1206">
        <v>2</v>
      </c>
      <c r="H21" s="1206">
        <v>2</v>
      </c>
      <c r="I21" s="1206">
        <v>2</v>
      </c>
      <c r="J21" s="1206">
        <v>2</v>
      </c>
      <c r="K21" s="1206" t="s">
        <v>37</v>
      </c>
      <c r="L21" s="1206" t="s">
        <v>37</v>
      </c>
      <c r="M21" s="1206" t="s">
        <v>36</v>
      </c>
      <c r="N21" s="1206" t="s">
        <v>36</v>
      </c>
      <c r="O21" s="960">
        <v>8</v>
      </c>
      <c r="P21" s="960">
        <v>8</v>
      </c>
      <c r="Q21" s="1206" t="s">
        <v>36</v>
      </c>
      <c r="R21" s="1206"/>
      <c r="S21" s="1206"/>
      <c r="T21" s="1206">
        <v>4</v>
      </c>
      <c r="U21" s="1206">
        <v>4</v>
      </c>
      <c r="V21" s="1206">
        <v>4</v>
      </c>
      <c r="W21" s="1206">
        <v>4</v>
      </c>
      <c r="X21" s="1206">
        <v>4</v>
      </c>
      <c r="Y21" s="1206" t="s">
        <v>35</v>
      </c>
      <c r="Z21" s="1206" t="s">
        <v>35</v>
      </c>
      <c r="AA21" s="1206" t="s">
        <v>36</v>
      </c>
      <c r="AB21" s="1206" t="s">
        <v>36</v>
      </c>
      <c r="AC21" s="1206" t="s">
        <v>36</v>
      </c>
      <c r="AD21" s="1192" t="s">
        <v>36</v>
      </c>
      <c r="AE21" s="1192" t="s">
        <v>36</v>
      </c>
      <c r="AF21" s="1192"/>
      <c r="AG21" s="1311" t="s">
        <v>37</v>
      </c>
      <c r="AH21" s="179"/>
      <c r="AI21" s="179"/>
      <c r="AJ21" s="845">
        <v>136.25</v>
      </c>
      <c r="AK21" s="845">
        <v>9.25</v>
      </c>
      <c r="AL21" s="845">
        <f>IF(AJ21="","",SUM(AJ21:AK21))</f>
        <v>145.5</v>
      </c>
      <c r="AM21" s="846">
        <f>IF(AJ21="","",AL21-NormTid)</f>
        <v>-14.830000000000013</v>
      </c>
      <c r="AN21" s="846">
        <f>IF(AM21="","",AM21+'Juni 2022'!AN21)</f>
        <v>17.619999999999976</v>
      </c>
    </row>
    <row r="22" spans="1:40" ht="22.35" customHeight="1" x14ac:dyDescent="0.2">
      <c r="A22" s="847">
        <v>8500</v>
      </c>
      <c r="B22" s="1182" t="s">
        <v>54</v>
      </c>
      <c r="C22" s="1110">
        <v>4</v>
      </c>
      <c r="D22" s="1110"/>
      <c r="E22" s="1110"/>
      <c r="F22" s="859" t="s">
        <v>32</v>
      </c>
      <c r="G22" s="859" t="s">
        <v>32</v>
      </c>
      <c r="H22" s="859" t="s">
        <v>32</v>
      </c>
      <c r="I22" s="859" t="s">
        <v>32</v>
      </c>
      <c r="J22" s="859" t="s">
        <v>32</v>
      </c>
      <c r="K22" s="859"/>
      <c r="L22" s="859"/>
      <c r="M22" s="859" t="s">
        <v>32</v>
      </c>
      <c r="N22" s="859" t="s">
        <v>32</v>
      </c>
      <c r="O22" s="859" t="s">
        <v>32</v>
      </c>
      <c r="P22" s="859" t="s">
        <v>32</v>
      </c>
      <c r="Q22" s="859" t="s">
        <v>32</v>
      </c>
      <c r="R22" s="859"/>
      <c r="S22" s="859"/>
      <c r="T22" s="859" t="s">
        <v>32</v>
      </c>
      <c r="U22" s="859" t="s">
        <v>32</v>
      </c>
      <c r="V22" s="859" t="s">
        <v>32</v>
      </c>
      <c r="W22" s="859" t="s">
        <v>32</v>
      </c>
      <c r="X22" s="859" t="s">
        <v>32</v>
      </c>
      <c r="Y22" s="859"/>
      <c r="Z22" s="859"/>
      <c r="AA22" s="964" t="s">
        <v>257</v>
      </c>
      <c r="AB22" s="964" t="s">
        <v>257</v>
      </c>
      <c r="AC22" s="964" t="s">
        <v>257</v>
      </c>
      <c r="AD22" s="964" t="s">
        <v>257</v>
      </c>
      <c r="AE22" s="964" t="s">
        <v>372</v>
      </c>
      <c r="AF22" s="845"/>
      <c r="AG22" s="1312"/>
      <c r="AH22" s="179"/>
      <c r="AI22" s="179"/>
      <c r="AJ22" s="845">
        <v>156.25</v>
      </c>
      <c r="AK22" s="845">
        <v>0.75</v>
      </c>
      <c r="AL22" s="845">
        <f>IF(AJ22="","",SUM(AJ22:AK22))</f>
        <v>157</v>
      </c>
      <c r="AM22" s="846">
        <f>IF(AJ22="","",AL22-NormTid)</f>
        <v>-3.3300000000000125</v>
      </c>
      <c r="AN22" s="846">
        <f>IF(AM22="","",AM22+'Juni 2022'!AN22)</f>
        <v>9.7699999999999747</v>
      </c>
    </row>
    <row r="23" spans="1:40" ht="22.35" customHeight="1" x14ac:dyDescent="0.2">
      <c r="A23" s="847"/>
      <c r="B23" s="1190"/>
      <c r="C23" s="1183" t="s">
        <v>32</v>
      </c>
      <c r="D23" s="975"/>
      <c r="E23" s="644"/>
      <c r="F23" s="644" t="s">
        <v>32</v>
      </c>
      <c r="G23" s="644" t="s">
        <v>32</v>
      </c>
      <c r="H23" s="1192" t="s">
        <v>32</v>
      </c>
      <c r="I23" s="1192" t="s">
        <v>32</v>
      </c>
      <c r="J23" s="1192" t="s">
        <v>32</v>
      </c>
      <c r="K23" s="974"/>
      <c r="L23" s="1192"/>
      <c r="M23" s="644" t="s">
        <v>32</v>
      </c>
      <c r="N23" s="1110" t="s">
        <v>32</v>
      </c>
      <c r="O23" s="1110" t="s">
        <v>32</v>
      </c>
      <c r="P23" s="644" t="s">
        <v>32</v>
      </c>
      <c r="Q23" s="644" t="s">
        <v>32</v>
      </c>
      <c r="R23" s="980"/>
      <c r="S23" s="980"/>
      <c r="T23" s="644" t="s">
        <v>32</v>
      </c>
      <c r="U23" s="644" t="s">
        <v>32</v>
      </c>
      <c r="V23" s="1192" t="s">
        <v>32</v>
      </c>
      <c r="W23" s="1192" t="s">
        <v>32</v>
      </c>
      <c r="X23" s="1192" t="s">
        <v>32</v>
      </c>
      <c r="Y23" s="1192"/>
      <c r="Z23" s="1192"/>
      <c r="AA23" s="1192" t="s">
        <v>32</v>
      </c>
      <c r="AB23" s="1192" t="s">
        <v>32</v>
      </c>
      <c r="AC23" s="1192" t="s">
        <v>32</v>
      </c>
      <c r="AD23" s="975" t="s">
        <v>32</v>
      </c>
      <c r="AE23" s="1192" t="s">
        <v>32</v>
      </c>
      <c r="AF23" s="1192"/>
      <c r="AG23" s="623"/>
      <c r="AJ23" s="845">
        <f t="shared" ref="AJ23" si="0">$AJ$12</f>
        <v>160.33000000000001</v>
      </c>
      <c r="AK23" s="845"/>
      <c r="AL23" s="845">
        <f t="shared" ref="AL23" si="1">IF(AJ23="","",SUM(AJ23:AK23))</f>
        <v>160.33000000000001</v>
      </c>
      <c r="AM23" s="846">
        <f>IF(AJ23="","",AL23-NormTid)</f>
        <v>0</v>
      </c>
      <c r="AN23" s="846">
        <f>IF(AM23="","",AM23+'Juni 2022'!AN23)</f>
        <v>0</v>
      </c>
    </row>
    <row r="24" spans="1:40" ht="22.35" customHeight="1" thickBot="1" x14ac:dyDescent="0.25">
      <c r="A24" s="861"/>
      <c r="B24" s="862" t="s">
        <v>56</v>
      </c>
      <c r="C24" s="1193" t="s">
        <v>32</v>
      </c>
      <c r="D24" s="1193"/>
      <c r="E24" s="1193"/>
      <c r="F24" s="1193" t="s">
        <v>32</v>
      </c>
      <c r="G24" s="1193" t="s">
        <v>32</v>
      </c>
      <c r="H24" s="1193" t="s">
        <v>32</v>
      </c>
      <c r="I24" s="1193" t="s">
        <v>32</v>
      </c>
      <c r="J24" s="1193" t="s">
        <v>32</v>
      </c>
      <c r="K24" s="1193"/>
      <c r="L24" s="1193"/>
      <c r="M24" s="1313" t="s">
        <v>32</v>
      </c>
      <c r="N24" s="1313" t="s">
        <v>32</v>
      </c>
      <c r="O24" s="1313" t="s">
        <v>32</v>
      </c>
      <c r="P24" s="1313" t="s">
        <v>32</v>
      </c>
      <c r="Q24" s="1313" t="s">
        <v>32</v>
      </c>
      <c r="R24" s="1313"/>
      <c r="S24" s="1313"/>
      <c r="T24" s="1313" t="s">
        <v>32</v>
      </c>
      <c r="U24" s="1313" t="s">
        <v>32</v>
      </c>
      <c r="V24" s="1313" t="s">
        <v>32</v>
      </c>
      <c r="W24" s="1313" t="s">
        <v>32</v>
      </c>
      <c r="X24" s="1313" t="s">
        <v>32</v>
      </c>
      <c r="Y24" s="1313"/>
      <c r="Z24" s="1313"/>
      <c r="AA24" s="1313" t="s">
        <v>32</v>
      </c>
      <c r="AB24" s="1313" t="s">
        <v>32</v>
      </c>
      <c r="AC24" s="1313" t="s">
        <v>32</v>
      </c>
      <c r="AD24" s="1313" t="s">
        <v>32</v>
      </c>
      <c r="AE24" s="1313" t="s">
        <v>32</v>
      </c>
      <c r="AF24" s="1313"/>
      <c r="AG24" s="1314"/>
      <c r="AJ24" t="s">
        <v>373</v>
      </c>
    </row>
    <row r="25" spans="1:40" ht="22.35" customHeight="1" thickBot="1" x14ac:dyDescent="0.25">
      <c r="A25" s="363"/>
      <c r="B25" s="364"/>
      <c r="C25" s="190" t="s">
        <v>0</v>
      </c>
      <c r="D25" s="190" t="s">
        <v>0</v>
      </c>
      <c r="E25" s="1110" t="s">
        <v>0</v>
      </c>
      <c r="F25" s="190" t="s">
        <v>0</v>
      </c>
      <c r="G25" s="190" t="s">
        <v>0</v>
      </c>
      <c r="H25" s="190"/>
      <c r="I25" s="190" t="s">
        <v>0</v>
      </c>
      <c r="J25" s="190" t="s">
        <v>0</v>
      </c>
      <c r="K25" s="190" t="s">
        <v>0</v>
      </c>
      <c r="L25" s="1110" t="s">
        <v>0</v>
      </c>
      <c r="M25" s="644">
        <v>21</v>
      </c>
      <c r="N25" s="644">
        <v>21</v>
      </c>
      <c r="O25" s="848">
        <v>21</v>
      </c>
      <c r="P25" s="848">
        <v>21</v>
      </c>
      <c r="Q25" s="848">
        <v>21</v>
      </c>
      <c r="R25" s="848">
        <v>21</v>
      </c>
      <c r="S25" s="848">
        <v>21</v>
      </c>
      <c r="T25" s="538" t="s">
        <v>0</v>
      </c>
      <c r="U25" s="538">
        <v>79</v>
      </c>
      <c r="V25" s="538"/>
      <c r="X25">
        <v>21</v>
      </c>
      <c r="Y25" s="190">
        <v>21</v>
      </c>
      <c r="Z25" s="190" t="s">
        <v>0</v>
      </c>
      <c r="AD25" t="s">
        <v>0</v>
      </c>
      <c r="AE25" t="s">
        <v>0</v>
      </c>
      <c r="AG25" s="190" t="s">
        <v>0</v>
      </c>
    </row>
    <row r="26" spans="1:40" ht="22.35" customHeight="1" x14ac:dyDescent="0.2">
      <c r="A26" s="291"/>
      <c r="B26" s="199"/>
      <c r="C26" s="190">
        <v>1</v>
      </c>
      <c r="D26" s="190"/>
      <c r="E26" s="190"/>
      <c r="F26" s="851" t="s">
        <v>0</v>
      </c>
      <c r="G26" s="851" t="s">
        <v>0</v>
      </c>
      <c r="H26" s="851" t="s">
        <v>203</v>
      </c>
      <c r="I26" s="851"/>
      <c r="J26" s="851" t="s">
        <v>0</v>
      </c>
      <c r="K26" s="190"/>
      <c r="L26" s="190"/>
      <c r="M26" s="190"/>
      <c r="N26" s="190"/>
      <c r="O26" s="644" t="s">
        <v>58</v>
      </c>
      <c r="P26" s="644" t="s">
        <v>58</v>
      </c>
      <c r="Q26" s="644" t="s">
        <v>58</v>
      </c>
      <c r="R26" s="190"/>
      <c r="S26" s="190"/>
      <c r="V26" t="s">
        <v>239</v>
      </c>
      <c r="X26" s="1315" t="s">
        <v>0</v>
      </c>
      <c r="Y26" s="1315" t="s">
        <v>0</v>
      </c>
      <c r="Z26" s="1315" t="s">
        <v>81</v>
      </c>
      <c r="AA26" s="190" t="s">
        <v>0</v>
      </c>
      <c r="AB26" s="190" t="s">
        <v>0</v>
      </c>
      <c r="AC26" s="190" t="s">
        <v>0</v>
      </c>
      <c r="AD26" t="s">
        <v>0</v>
      </c>
      <c r="AE26" t="s">
        <v>0</v>
      </c>
      <c r="AF26" s="190">
        <v>89</v>
      </c>
      <c r="AG26" s="190"/>
    </row>
    <row r="27" spans="1:40" ht="22.35" customHeight="1" x14ac:dyDescent="0.2">
      <c r="A27" s="291"/>
      <c r="B27" s="199"/>
      <c r="C27" s="190" t="s">
        <v>0</v>
      </c>
      <c r="D27" s="190">
        <v>23</v>
      </c>
      <c r="E27" s="190">
        <v>23</v>
      </c>
      <c r="K27" s="680" t="s">
        <v>0</v>
      </c>
      <c r="L27" s="680" t="s">
        <v>94</v>
      </c>
      <c r="M27" s="199" t="s">
        <v>0</v>
      </c>
      <c r="N27" s="199" t="s">
        <v>0</v>
      </c>
      <c r="R27" s="190"/>
      <c r="T27" s="190"/>
      <c r="U27" s="190"/>
      <c r="V27" s="190" t="s">
        <v>142</v>
      </c>
      <c r="W27" s="190"/>
      <c r="X27" s="190"/>
      <c r="Y27" s="190"/>
      <c r="Z27" s="190"/>
      <c r="AA27" s="190">
        <v>22</v>
      </c>
      <c r="AB27" s="190">
        <v>22</v>
      </c>
      <c r="AC27" s="190">
        <v>22</v>
      </c>
      <c r="AD27" s="190">
        <v>22</v>
      </c>
      <c r="AE27" s="190" t="s">
        <v>0</v>
      </c>
      <c r="AF27" s="190"/>
      <c r="AG27" s="190"/>
    </row>
    <row r="28" spans="1:40" ht="22.35" customHeight="1" x14ac:dyDescent="0.2">
      <c r="A28" s="291"/>
      <c r="B28" s="199"/>
      <c r="C28" s="190" t="s">
        <v>0</v>
      </c>
      <c r="D28" s="190"/>
      <c r="F28" s="190"/>
      <c r="G28" s="190"/>
      <c r="H28" s="190"/>
      <c r="I28" s="190"/>
      <c r="J28" s="190"/>
      <c r="K28" s="190"/>
      <c r="L28" s="190"/>
      <c r="R28" s="190"/>
      <c r="S28" s="190"/>
      <c r="T28" s="190"/>
      <c r="U28" s="190"/>
      <c r="V28" s="190"/>
      <c r="W28" s="190"/>
      <c r="X28" s="190"/>
      <c r="Y28" s="190"/>
      <c r="Z28" s="190"/>
      <c r="AA28" s="190"/>
      <c r="AB28" s="190" t="s">
        <v>0</v>
      </c>
      <c r="AC28" s="190" t="s">
        <v>0</v>
      </c>
      <c r="AD28" s="190"/>
      <c r="AE28" s="190"/>
      <c r="AF28" s="190"/>
      <c r="AG28" s="190"/>
    </row>
    <row r="29" spans="1:40" ht="22.35" customHeight="1" x14ac:dyDescent="0.2">
      <c r="A29" s="291"/>
      <c r="B29" s="199"/>
      <c r="C29" s="190"/>
      <c r="D29" s="190"/>
      <c r="E29" s="190"/>
      <c r="F29" s="190"/>
      <c r="G29" s="190"/>
      <c r="H29" s="190"/>
      <c r="I29" s="190"/>
      <c r="J29" s="190"/>
      <c r="T29" s="190"/>
      <c r="U29" s="190"/>
      <c r="V29" s="190"/>
      <c r="W29" s="190"/>
      <c r="X29" s="190"/>
      <c r="Y29" s="190"/>
      <c r="Z29" s="190"/>
      <c r="AA29" s="190"/>
      <c r="AB29" s="190"/>
      <c r="AC29" s="190"/>
      <c r="AD29" s="190"/>
      <c r="AE29" s="190"/>
      <c r="AF29" s="190"/>
      <c r="AG29" s="190"/>
    </row>
    <row r="30" spans="1:40" ht="12.75" customHeight="1" thickBot="1" x14ac:dyDescent="0.25">
      <c r="A30" s="158" t="s">
        <v>61</v>
      </c>
      <c r="C30" s="190"/>
      <c r="D30" s="190"/>
      <c r="E30" s="190"/>
      <c r="F30" s="190"/>
      <c r="G30" s="190"/>
      <c r="H30" s="190"/>
      <c r="I30" s="190"/>
      <c r="J30" s="190"/>
      <c r="K30" s="190"/>
      <c r="L30" s="190"/>
      <c r="M30" s="190"/>
      <c r="N30" s="190"/>
      <c r="O30" s="190"/>
      <c r="P30" s="190"/>
      <c r="Q30" s="190"/>
      <c r="R30" s="190"/>
      <c r="S30" s="190"/>
      <c r="T30" s="190"/>
      <c r="U30" s="190"/>
      <c r="V30" s="190"/>
      <c r="W30" s="190"/>
      <c r="X30" s="190"/>
      <c r="Y30" s="190"/>
      <c r="Z30" s="190"/>
      <c r="AA30" s="190"/>
      <c r="AB30" s="190"/>
      <c r="AC30" s="190"/>
      <c r="AD30" s="190"/>
      <c r="AE30" s="190"/>
      <c r="AF30" s="190"/>
      <c r="AG30" s="190"/>
      <c r="AK30" s="1"/>
    </row>
    <row r="31" spans="1:40" ht="28.5" customHeight="1" x14ac:dyDescent="0.2">
      <c r="A31" s="1316" t="s">
        <v>62</v>
      </c>
      <c r="B31" s="1317"/>
      <c r="C31" s="1317"/>
      <c r="D31" s="1318" t="s">
        <v>63</v>
      </c>
      <c r="E31" s="1319"/>
      <c r="F31" s="1319"/>
      <c r="G31" s="1319"/>
      <c r="H31" s="1319"/>
      <c r="I31" s="1319"/>
      <c r="J31" s="1319"/>
      <c r="K31" s="1319"/>
      <c r="L31" s="1319"/>
      <c r="M31" s="1320" t="s">
        <v>65</v>
      </c>
      <c r="N31" s="1319"/>
      <c r="O31" s="1319"/>
      <c r="P31" s="1319"/>
      <c r="Q31" s="1319"/>
      <c r="R31" s="1319"/>
      <c r="S31" s="1321"/>
      <c r="T31" s="4930" t="s">
        <v>66</v>
      </c>
      <c r="U31" s="4931"/>
      <c r="V31" s="4931"/>
      <c r="W31" s="4931"/>
      <c r="X31" s="4931"/>
      <c r="Y31" s="4931"/>
      <c r="Z31" s="4932"/>
      <c r="AA31" s="1322" t="s">
        <v>67</v>
      </c>
      <c r="AB31" s="1323"/>
      <c r="AC31" s="1323"/>
      <c r="AD31" s="1323"/>
      <c r="AE31" s="1323"/>
      <c r="AF31" s="1323"/>
      <c r="AG31" s="1324"/>
      <c r="AK31" s="1"/>
    </row>
    <row r="32" spans="1:40" ht="22.35" customHeight="1" x14ac:dyDescent="0.2">
      <c r="A32" s="878" t="s">
        <v>68</v>
      </c>
      <c r="B32" s="740"/>
      <c r="C32" s="740"/>
      <c r="D32" s="879" t="s">
        <v>69</v>
      </c>
      <c r="E32" s="880"/>
      <c r="F32" s="743"/>
      <c r="G32" s="743"/>
      <c r="H32" s="743"/>
      <c r="I32" s="743"/>
      <c r="J32" s="743"/>
      <c r="K32" s="743"/>
      <c r="L32" s="787"/>
      <c r="M32" s="881" t="s">
        <v>70</v>
      </c>
      <c r="N32" s="740"/>
      <c r="O32" s="882"/>
      <c r="P32" s="740"/>
      <c r="Q32" s="740"/>
      <c r="R32" s="740"/>
      <c r="S32" s="883"/>
      <c r="T32" s="879" t="s">
        <v>71</v>
      </c>
      <c r="U32" s="743"/>
      <c r="V32" s="880"/>
      <c r="W32" s="743"/>
      <c r="X32" s="743"/>
      <c r="Y32" s="743"/>
      <c r="Z32" s="787"/>
      <c r="AA32" s="159" t="s">
        <v>72</v>
      </c>
      <c r="AD32" s="100"/>
      <c r="AG32" s="103"/>
      <c r="AK32" s="1"/>
    </row>
    <row r="33" spans="1:38" ht="22.35" customHeight="1" x14ac:dyDescent="0.2">
      <c r="A33" s="884" t="s">
        <v>73</v>
      </c>
      <c r="B33" s="743"/>
      <c r="C33" s="743"/>
      <c r="D33" s="885"/>
      <c r="E33" s="743"/>
      <c r="F33" s="743"/>
      <c r="G33" s="787"/>
      <c r="H33" s="792" t="s">
        <v>74</v>
      </c>
      <c r="I33" s="743"/>
      <c r="J33" s="743"/>
      <c r="K33" s="743"/>
      <c r="L33" s="743"/>
      <c r="M33" s="886"/>
      <c r="N33" s="743"/>
      <c r="O33" s="743"/>
      <c r="P33" s="743"/>
      <c r="Q33" s="743"/>
      <c r="R33" s="743"/>
      <c r="S33" s="743"/>
      <c r="T33" s="885"/>
      <c r="U33" s="158" t="s">
        <v>75</v>
      </c>
      <c r="AA33" s="882"/>
      <c r="AB33" s="740"/>
      <c r="AC33" s="740"/>
      <c r="AD33" s="740"/>
      <c r="AE33" s="740"/>
      <c r="AF33" s="740"/>
      <c r="AG33" s="887"/>
      <c r="AK33" s="64"/>
    </row>
    <row r="34" spans="1:38" ht="22.35" customHeight="1" thickBot="1" x14ac:dyDescent="0.25">
      <c r="A34" s="631" t="s">
        <v>76</v>
      </c>
      <c r="B34" s="734"/>
      <c r="C34" s="734"/>
      <c r="D34" s="888"/>
      <c r="E34" s="734"/>
      <c r="F34" s="734"/>
      <c r="G34" s="889"/>
      <c r="H34" s="890" t="s">
        <v>77</v>
      </c>
      <c r="I34" s="889"/>
      <c r="J34" s="734"/>
      <c r="K34" s="734"/>
      <c r="L34" s="734"/>
      <c r="M34" s="891"/>
      <c r="N34" s="734"/>
      <c r="O34" s="734"/>
      <c r="P34" s="734"/>
      <c r="Q34" s="892"/>
      <c r="R34" s="892"/>
      <c r="S34" s="892"/>
      <c r="T34" s="888"/>
      <c r="U34" s="893" t="s">
        <v>78</v>
      </c>
      <c r="V34" s="734"/>
      <c r="W34" s="734"/>
      <c r="X34" s="734"/>
      <c r="Y34" s="734"/>
      <c r="Z34" s="734"/>
      <c r="AA34" s="734"/>
      <c r="AB34" s="734"/>
      <c r="AC34" s="734"/>
      <c r="AD34" s="734"/>
      <c r="AE34" s="734"/>
      <c r="AF34" s="734"/>
      <c r="AG34" s="89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895" t="s">
        <v>28</v>
      </c>
      <c r="B36" s="748" t="s">
        <v>29</v>
      </c>
      <c r="C36" s="796">
        <v>1</v>
      </c>
      <c r="D36" s="795">
        <v>2</v>
      </c>
      <c r="E36" s="795">
        <v>3</v>
      </c>
      <c r="F36" s="796">
        <v>4</v>
      </c>
      <c r="G36" s="796">
        <v>5</v>
      </c>
      <c r="H36" s="796">
        <v>6</v>
      </c>
      <c r="I36" s="796">
        <v>7</v>
      </c>
      <c r="J36" s="796">
        <v>8</v>
      </c>
      <c r="K36" s="795">
        <v>9</v>
      </c>
      <c r="L36" s="795">
        <v>10</v>
      </c>
      <c r="M36" s="796">
        <v>11</v>
      </c>
      <c r="N36" s="796">
        <v>12</v>
      </c>
      <c r="O36" s="796">
        <v>13</v>
      </c>
      <c r="P36" s="796">
        <v>14</v>
      </c>
      <c r="Q36" s="796">
        <v>15</v>
      </c>
      <c r="R36" s="795">
        <v>16</v>
      </c>
      <c r="S36" s="795">
        <v>17</v>
      </c>
      <c r="T36" s="796">
        <v>18</v>
      </c>
      <c r="U36" s="796">
        <v>19</v>
      </c>
      <c r="V36" s="796">
        <v>20</v>
      </c>
      <c r="W36" s="796">
        <v>21</v>
      </c>
      <c r="X36" s="796">
        <v>22</v>
      </c>
      <c r="Y36" s="795">
        <v>23</v>
      </c>
      <c r="Z36" s="795">
        <v>24</v>
      </c>
      <c r="AA36" s="796">
        <v>25</v>
      </c>
      <c r="AB36" s="796">
        <v>26</v>
      </c>
      <c r="AC36" s="796">
        <v>27</v>
      </c>
      <c r="AD36" s="796">
        <v>28</v>
      </c>
      <c r="AE36" s="796">
        <v>29</v>
      </c>
      <c r="AF36" s="795">
        <v>30</v>
      </c>
      <c r="AG36" s="1300">
        <v>31</v>
      </c>
      <c r="AH36" s="173"/>
      <c r="AI36" s="174"/>
      <c r="AL36" t="s">
        <v>0</v>
      </c>
    </row>
    <row r="37" spans="1:38" ht="22.35" customHeight="1" thickBot="1" x14ac:dyDescent="0.25">
      <c r="A37" s="1325">
        <v>1</v>
      </c>
      <c r="B37" s="1326" t="s">
        <v>79</v>
      </c>
      <c r="C37" s="1327">
        <v>4</v>
      </c>
      <c r="D37" s="1328"/>
      <c r="E37" s="1327"/>
      <c r="F37" s="1327">
        <v>3</v>
      </c>
      <c r="G37" s="1327">
        <v>3</v>
      </c>
      <c r="H37" s="1327">
        <v>3</v>
      </c>
      <c r="I37" s="1327">
        <v>3</v>
      </c>
      <c r="J37" s="1328">
        <v>3</v>
      </c>
      <c r="K37" s="329" t="s">
        <v>80</v>
      </c>
      <c r="L37" s="961" t="s">
        <v>81</v>
      </c>
      <c r="M37" s="1327">
        <v>11</v>
      </c>
      <c r="N37" s="1327">
        <v>11</v>
      </c>
      <c r="O37" s="1328">
        <v>11</v>
      </c>
      <c r="P37" s="1327">
        <v>11</v>
      </c>
      <c r="Q37" s="1329">
        <v>11</v>
      </c>
      <c r="R37" s="1328" t="s">
        <v>94</v>
      </c>
      <c r="S37" s="1327" t="s">
        <v>94</v>
      </c>
      <c r="T37" s="1330" t="s">
        <v>36</v>
      </c>
      <c r="U37" s="1330" t="s">
        <v>36</v>
      </c>
      <c r="V37" s="1330" t="s">
        <v>36</v>
      </c>
      <c r="W37" s="1330" t="s">
        <v>36</v>
      </c>
      <c r="X37" s="1329" t="s">
        <v>36</v>
      </c>
      <c r="Y37" s="1329" t="s">
        <v>83</v>
      </c>
      <c r="Z37" s="1327" t="s">
        <v>83</v>
      </c>
      <c r="AA37" s="1331">
        <v>8</v>
      </c>
      <c r="AB37" s="1331">
        <v>8</v>
      </c>
      <c r="AC37" s="1331">
        <v>8</v>
      </c>
      <c r="AD37" s="1331">
        <v>8</v>
      </c>
      <c r="AE37" s="1331">
        <v>8</v>
      </c>
      <c r="AF37" s="1331"/>
      <c r="AG37" s="1332"/>
      <c r="AH37" s="178"/>
      <c r="AI37" s="179"/>
      <c r="AL37" s="336"/>
    </row>
    <row r="38" spans="1:38" ht="22.35" customHeight="1" x14ac:dyDescent="0.2">
      <c r="A38" s="904">
        <v>6</v>
      </c>
      <c r="B38" s="1182" t="s">
        <v>84</v>
      </c>
      <c r="C38" s="1333" t="s">
        <v>36</v>
      </c>
      <c r="D38" s="809"/>
      <c r="E38" s="809"/>
      <c r="F38" s="928">
        <v>1</v>
      </c>
      <c r="G38" s="928">
        <v>1</v>
      </c>
      <c r="H38" s="928">
        <v>1</v>
      </c>
      <c r="I38" s="928">
        <v>1</v>
      </c>
      <c r="J38" s="928">
        <v>1</v>
      </c>
      <c r="K38" s="928"/>
      <c r="L38" s="928"/>
      <c r="M38" s="928">
        <v>9</v>
      </c>
      <c r="N38" s="928">
        <v>9</v>
      </c>
      <c r="O38" s="928">
        <v>9</v>
      </c>
      <c r="P38" s="928">
        <v>9</v>
      </c>
      <c r="Q38" s="928">
        <v>9</v>
      </c>
      <c r="R38" s="928" t="s">
        <v>80</v>
      </c>
      <c r="S38" s="928" t="s">
        <v>81</v>
      </c>
      <c r="T38" s="928" t="s">
        <v>36</v>
      </c>
      <c r="U38" s="928" t="s">
        <v>36</v>
      </c>
      <c r="V38" s="928" t="s">
        <v>36</v>
      </c>
      <c r="W38" s="928" t="s">
        <v>36</v>
      </c>
      <c r="X38" s="928" t="s">
        <v>36</v>
      </c>
      <c r="Y38" s="928" t="s">
        <v>82</v>
      </c>
      <c r="Z38" s="928" t="s">
        <v>83</v>
      </c>
      <c r="AA38" s="809">
        <v>6</v>
      </c>
      <c r="AB38" s="810">
        <v>6</v>
      </c>
      <c r="AC38" s="810">
        <v>6</v>
      </c>
      <c r="AD38" s="810">
        <v>6</v>
      </c>
      <c r="AE38" s="810">
        <v>6</v>
      </c>
      <c r="AF38" s="810"/>
      <c r="AG38" s="1199"/>
      <c r="AH38" s="178"/>
      <c r="AI38" s="179"/>
    </row>
    <row r="39" spans="1:38" ht="22.35" customHeight="1" thickBot="1" x14ac:dyDescent="0.25">
      <c r="A39" s="673">
        <v>11</v>
      </c>
      <c r="B39" s="905" t="s">
        <v>85</v>
      </c>
      <c r="C39" s="796" t="s">
        <v>36</v>
      </c>
      <c r="D39" s="908"/>
      <c r="E39" s="908"/>
      <c r="F39" s="908" t="s">
        <v>32</v>
      </c>
      <c r="G39" s="908" t="s">
        <v>32</v>
      </c>
      <c r="H39" s="906" t="s">
        <v>32</v>
      </c>
      <c r="I39" s="908" t="s">
        <v>32</v>
      </c>
      <c r="J39" s="908" t="s">
        <v>32</v>
      </c>
      <c r="K39" s="907"/>
      <c r="L39" s="908"/>
      <c r="M39" s="908" t="s">
        <v>32</v>
      </c>
      <c r="N39" s="908" t="s">
        <v>32</v>
      </c>
      <c r="O39" s="906" t="s">
        <v>32</v>
      </c>
      <c r="P39" s="908" t="s">
        <v>32</v>
      </c>
      <c r="Q39" s="908" t="s">
        <v>32</v>
      </c>
      <c r="R39" s="796" t="s">
        <v>0</v>
      </c>
      <c r="S39" s="908" t="s">
        <v>0</v>
      </c>
      <c r="T39" s="908" t="s">
        <v>32</v>
      </c>
      <c r="U39" s="908" t="s">
        <v>32</v>
      </c>
      <c r="V39" s="906" t="s">
        <v>32</v>
      </c>
      <c r="W39" s="908" t="s">
        <v>32</v>
      </c>
      <c r="X39" s="908" t="s">
        <v>32</v>
      </c>
      <c r="Y39" s="908" t="s">
        <v>0</v>
      </c>
      <c r="Z39" s="908" t="s">
        <v>0</v>
      </c>
      <c r="AA39" s="908" t="s">
        <v>32</v>
      </c>
      <c r="AB39" s="908" t="s">
        <v>32</v>
      </c>
      <c r="AC39" s="906" t="s">
        <v>32</v>
      </c>
      <c r="AD39" s="908" t="s">
        <v>32</v>
      </c>
      <c r="AE39" s="908" t="s">
        <v>32</v>
      </c>
      <c r="AF39" s="908"/>
      <c r="AG39" s="645"/>
      <c r="AH39" s="178"/>
      <c r="AI39" s="179"/>
    </row>
    <row r="40" spans="1:38" ht="22.35" customHeight="1" x14ac:dyDescent="0.2">
      <c r="A40" s="1325">
        <v>2</v>
      </c>
      <c r="B40" s="172" t="s">
        <v>88</v>
      </c>
      <c r="C40" s="1331">
        <v>3</v>
      </c>
      <c r="D40" s="1331"/>
      <c r="E40" s="1331"/>
      <c r="F40" s="1334">
        <v>11</v>
      </c>
      <c r="G40" s="1334">
        <v>11</v>
      </c>
      <c r="H40" s="1335">
        <v>11</v>
      </c>
      <c r="I40" s="1335">
        <v>11</v>
      </c>
      <c r="J40" s="1335">
        <v>11</v>
      </c>
      <c r="K40" s="1335" t="s">
        <v>94</v>
      </c>
      <c r="L40" s="1335" t="s">
        <v>344</v>
      </c>
      <c r="M40" s="1336" t="s">
        <v>36</v>
      </c>
      <c r="N40" s="1336" t="s">
        <v>36</v>
      </c>
      <c r="O40" s="1336" t="s">
        <v>36</v>
      </c>
      <c r="P40" s="1327" t="s">
        <v>36</v>
      </c>
      <c r="Q40" s="1329" t="s">
        <v>36</v>
      </c>
      <c r="R40" s="1329" t="s">
        <v>83</v>
      </c>
      <c r="S40" s="1328" t="s">
        <v>83</v>
      </c>
      <c r="T40" s="1329">
        <v>8</v>
      </c>
      <c r="U40" s="1329">
        <v>8</v>
      </c>
      <c r="V40" s="1329">
        <v>8</v>
      </c>
      <c r="W40" s="1329">
        <v>8</v>
      </c>
      <c r="X40" s="1329">
        <v>8</v>
      </c>
      <c r="Y40" s="1327"/>
      <c r="Z40" s="1327"/>
      <c r="AA40" s="1327" t="s">
        <v>36</v>
      </c>
      <c r="AB40" s="1327" t="s">
        <v>36</v>
      </c>
      <c r="AC40" s="1329" t="s">
        <v>36</v>
      </c>
      <c r="AD40" s="1329" t="s">
        <v>36</v>
      </c>
      <c r="AE40" s="1327" t="s">
        <v>36</v>
      </c>
      <c r="AF40" s="1327"/>
      <c r="AG40" s="1337"/>
      <c r="AH40" s="178"/>
      <c r="AI40" s="179"/>
    </row>
    <row r="41" spans="1:38" ht="22.35" customHeight="1" x14ac:dyDescent="0.2">
      <c r="A41" s="904">
        <v>7</v>
      </c>
      <c r="B41" s="819" t="s">
        <v>91</v>
      </c>
      <c r="C41" s="813">
        <v>2</v>
      </c>
      <c r="D41" s="811"/>
      <c r="E41" s="811"/>
      <c r="F41" s="811">
        <v>1</v>
      </c>
      <c r="G41" s="811">
        <v>1</v>
      </c>
      <c r="H41" s="811">
        <v>1</v>
      </c>
      <c r="I41" s="809">
        <v>1</v>
      </c>
      <c r="J41" s="811">
        <v>1</v>
      </c>
      <c r="K41" s="811"/>
      <c r="L41" s="811"/>
      <c r="M41" s="811">
        <v>2</v>
      </c>
      <c r="N41" s="815">
        <v>2</v>
      </c>
      <c r="O41" s="815">
        <v>2</v>
      </c>
      <c r="P41" s="815">
        <v>2</v>
      </c>
      <c r="Q41" s="815">
        <v>2</v>
      </c>
      <c r="R41" s="815" t="s">
        <v>37</v>
      </c>
      <c r="S41" s="811" t="s">
        <v>37</v>
      </c>
      <c r="T41" s="813">
        <v>4</v>
      </c>
      <c r="U41" s="811" t="s">
        <v>36</v>
      </c>
      <c r="V41" s="811" t="s">
        <v>36</v>
      </c>
      <c r="W41" s="812" t="s">
        <v>36</v>
      </c>
      <c r="X41" s="811" t="s">
        <v>36</v>
      </c>
      <c r="Y41" s="815"/>
      <c r="Z41" s="815"/>
      <c r="AA41" s="809">
        <v>4</v>
      </c>
      <c r="AB41" s="809">
        <v>4</v>
      </c>
      <c r="AC41" s="811">
        <v>4</v>
      </c>
      <c r="AD41" s="811">
        <v>4</v>
      </c>
      <c r="AE41" s="811">
        <v>4</v>
      </c>
      <c r="AF41" s="812" t="s">
        <v>35</v>
      </c>
      <c r="AG41" s="811" t="s">
        <v>35</v>
      </c>
      <c r="AH41" s="178"/>
      <c r="AI41" s="179"/>
    </row>
    <row r="42" spans="1:38" ht="22.35" customHeight="1" thickBot="1" x14ac:dyDescent="0.25">
      <c r="A42" s="673">
        <v>12</v>
      </c>
      <c r="B42" s="539" t="s">
        <v>93</v>
      </c>
      <c r="C42" s="907">
        <v>5</v>
      </c>
      <c r="D42" s="907"/>
      <c r="E42" s="907"/>
      <c r="F42" s="678">
        <v>10</v>
      </c>
      <c r="G42" s="907">
        <v>10</v>
      </c>
      <c r="H42" s="907">
        <v>10</v>
      </c>
      <c r="I42" s="908">
        <v>10</v>
      </c>
      <c r="J42" s="908">
        <v>10</v>
      </c>
      <c r="K42" s="796" t="s">
        <v>81</v>
      </c>
      <c r="L42" s="908" t="s">
        <v>81</v>
      </c>
      <c r="M42" s="908" t="s">
        <v>36</v>
      </c>
      <c r="N42" s="908" t="s">
        <v>36</v>
      </c>
      <c r="O42" s="920" t="s">
        <v>36</v>
      </c>
      <c r="P42" s="920" t="s">
        <v>36</v>
      </c>
      <c r="Q42" s="920" t="s">
        <v>36</v>
      </c>
      <c r="R42" s="908" t="s">
        <v>57</v>
      </c>
      <c r="S42" s="908" t="s">
        <v>57</v>
      </c>
      <c r="T42" s="937">
        <v>7</v>
      </c>
      <c r="U42" s="937" t="s">
        <v>352</v>
      </c>
      <c r="V42" s="937" t="s">
        <v>352</v>
      </c>
      <c r="W42" s="937" t="s">
        <v>352</v>
      </c>
      <c r="X42" s="937" t="s">
        <v>352</v>
      </c>
      <c r="Y42" s="908"/>
      <c r="Z42" s="908"/>
      <c r="AA42" s="908">
        <v>4</v>
      </c>
      <c r="AB42" s="908">
        <v>4</v>
      </c>
      <c r="AC42" s="796">
        <v>4</v>
      </c>
      <c r="AD42" s="796">
        <v>4</v>
      </c>
      <c r="AE42" s="796">
        <v>4</v>
      </c>
      <c r="AF42" s="796"/>
      <c r="AG42" s="797"/>
      <c r="AH42" s="178"/>
      <c r="AI42" s="179"/>
    </row>
    <row r="43" spans="1:38" ht="22.35" customHeight="1" x14ac:dyDescent="0.2">
      <c r="A43" s="1325">
        <v>3</v>
      </c>
      <c r="B43" s="1338" t="s">
        <v>96</v>
      </c>
      <c r="C43" s="1339">
        <v>11</v>
      </c>
      <c r="D43" s="1340" t="s">
        <v>94</v>
      </c>
      <c r="E43" s="1341" t="s">
        <v>94</v>
      </c>
      <c r="F43" s="1341" t="s">
        <v>36</v>
      </c>
      <c r="G43" s="1341" t="s">
        <v>36</v>
      </c>
      <c r="H43" s="1341" t="s">
        <v>36</v>
      </c>
      <c r="I43" s="1341" t="s">
        <v>36</v>
      </c>
      <c r="J43" s="1340" t="s">
        <v>36</v>
      </c>
      <c r="K43" s="1340" t="s">
        <v>83</v>
      </c>
      <c r="L43" s="1340" t="s">
        <v>83</v>
      </c>
      <c r="M43" s="1340">
        <v>8</v>
      </c>
      <c r="N43" s="1340">
        <v>8</v>
      </c>
      <c r="O43" s="1340">
        <v>8</v>
      </c>
      <c r="P43" s="1340">
        <v>8</v>
      </c>
      <c r="Q43" s="1340">
        <v>8</v>
      </c>
      <c r="R43" s="1341"/>
      <c r="S43" s="1341"/>
      <c r="T43" s="1341" t="s">
        <v>36</v>
      </c>
      <c r="U43" s="1341" t="s">
        <v>36</v>
      </c>
      <c r="V43" s="1340" t="s">
        <v>36</v>
      </c>
      <c r="W43" s="1340" t="s">
        <v>36</v>
      </c>
      <c r="X43" s="1339" t="s">
        <v>36</v>
      </c>
      <c r="Y43" s="1341"/>
      <c r="Z43" s="1341"/>
      <c r="AA43" s="1342">
        <v>1</v>
      </c>
      <c r="AB43" s="1342">
        <v>1</v>
      </c>
      <c r="AC43" s="1342">
        <v>1</v>
      </c>
      <c r="AD43" s="1342">
        <v>1</v>
      </c>
      <c r="AE43" s="1342">
        <v>1</v>
      </c>
      <c r="AF43" s="1342"/>
      <c r="AG43" s="1343"/>
      <c r="AH43" s="178"/>
      <c r="AI43" s="179"/>
    </row>
    <row r="44" spans="1:38" ht="22.35" customHeight="1" thickBot="1" x14ac:dyDescent="0.25">
      <c r="A44" s="904">
        <v>8</v>
      </c>
      <c r="B44" s="819" t="s">
        <v>97</v>
      </c>
      <c r="C44" s="816">
        <v>9</v>
      </c>
      <c r="D44" s="816" t="s">
        <v>80</v>
      </c>
      <c r="E44" s="816" t="s">
        <v>81</v>
      </c>
      <c r="F44" s="816" t="s">
        <v>36</v>
      </c>
      <c r="G44" s="815" t="s">
        <v>36</v>
      </c>
      <c r="H44" s="815" t="s">
        <v>36</v>
      </c>
      <c r="I44" s="868" t="s">
        <v>36</v>
      </c>
      <c r="J44" s="814" t="s">
        <v>36</v>
      </c>
      <c r="K44" s="809" t="s">
        <v>82</v>
      </c>
      <c r="L44" s="809" t="s">
        <v>83</v>
      </c>
      <c r="M44" s="809">
        <v>6</v>
      </c>
      <c r="N44" s="815">
        <v>6</v>
      </c>
      <c r="O44" s="828">
        <v>6</v>
      </c>
      <c r="P44" s="828">
        <v>6</v>
      </c>
      <c r="Q44" s="828">
        <v>6</v>
      </c>
      <c r="R44" s="919" t="s">
        <v>81</v>
      </c>
      <c r="S44" s="937" t="s">
        <v>81</v>
      </c>
      <c r="T44" s="828" t="s">
        <v>36</v>
      </c>
      <c r="U44" s="828" t="s">
        <v>36</v>
      </c>
      <c r="V44" s="868" t="s">
        <v>36</v>
      </c>
      <c r="W44" s="868" t="s">
        <v>36</v>
      </c>
      <c r="X44" s="814" t="s">
        <v>36</v>
      </c>
      <c r="Y44" s="868"/>
      <c r="Z44" s="868"/>
      <c r="AA44" s="868">
        <v>5</v>
      </c>
      <c r="AB44" s="868">
        <v>5</v>
      </c>
      <c r="AC44" s="927">
        <v>5</v>
      </c>
      <c r="AD44" s="1344">
        <v>5</v>
      </c>
      <c r="AE44" s="1344">
        <v>5</v>
      </c>
      <c r="AF44" s="816"/>
      <c r="AG44" s="917"/>
      <c r="AH44" s="178"/>
      <c r="AI44" s="179"/>
    </row>
    <row r="45" spans="1:38" ht="22.35" customHeight="1" thickBot="1" x14ac:dyDescent="0.25">
      <c r="A45" s="673">
        <v>13</v>
      </c>
      <c r="B45" s="905" t="s">
        <v>98</v>
      </c>
      <c r="C45" s="796">
        <v>10</v>
      </c>
      <c r="D45" s="796" t="s">
        <v>81</v>
      </c>
      <c r="E45" s="908" t="s">
        <v>81</v>
      </c>
      <c r="F45" s="908" t="s">
        <v>36</v>
      </c>
      <c r="G45" s="908" t="s">
        <v>36</v>
      </c>
      <c r="H45" s="908" t="s">
        <v>36</v>
      </c>
      <c r="I45" s="1345" t="s">
        <v>36</v>
      </c>
      <c r="J45" s="1345" t="s">
        <v>36</v>
      </c>
      <c r="K45" s="906" t="s">
        <v>57</v>
      </c>
      <c r="L45" s="906" t="s">
        <v>57</v>
      </c>
      <c r="M45" s="906">
        <v>7</v>
      </c>
      <c r="N45" s="906">
        <v>7</v>
      </c>
      <c r="O45" s="906">
        <v>7</v>
      </c>
      <c r="P45" s="906">
        <v>7</v>
      </c>
      <c r="Q45" s="906">
        <v>7</v>
      </c>
      <c r="R45" s="906"/>
      <c r="S45" s="906"/>
      <c r="T45" s="906" t="s">
        <v>343</v>
      </c>
      <c r="U45" s="908">
        <v>4</v>
      </c>
      <c r="V45" s="908">
        <v>4</v>
      </c>
      <c r="W45" s="908">
        <v>4</v>
      </c>
      <c r="X45" s="908">
        <v>4</v>
      </c>
      <c r="Y45" s="796"/>
      <c r="Z45" s="908"/>
      <c r="AA45" s="908" t="s">
        <v>257</v>
      </c>
      <c r="AB45" s="908" t="s">
        <v>257</v>
      </c>
      <c r="AC45" s="908" t="s">
        <v>257</v>
      </c>
      <c r="AD45" s="908" t="s">
        <v>257</v>
      </c>
      <c r="AE45" s="908" t="s">
        <v>257</v>
      </c>
      <c r="AF45" s="908"/>
      <c r="AG45" s="645"/>
      <c r="AH45" s="178"/>
      <c r="AI45" s="179"/>
    </row>
    <row r="46" spans="1:38" ht="22.35" customHeight="1" x14ac:dyDescent="0.2">
      <c r="A46" s="1325">
        <v>4</v>
      </c>
      <c r="B46" s="933" t="s">
        <v>99</v>
      </c>
      <c r="C46" s="1327" t="s">
        <v>36</v>
      </c>
      <c r="D46" s="1329" t="s">
        <v>83</v>
      </c>
      <c r="E46" s="1327" t="s">
        <v>83</v>
      </c>
      <c r="F46" s="1328">
        <v>8</v>
      </c>
      <c r="G46" s="1346">
        <v>8</v>
      </c>
      <c r="H46" s="1347">
        <v>8</v>
      </c>
      <c r="I46" s="1347">
        <v>8</v>
      </c>
      <c r="J46" s="1347">
        <v>8</v>
      </c>
      <c r="K46" s="1328"/>
      <c r="L46" s="1328"/>
      <c r="M46" s="1333" t="s">
        <v>36</v>
      </c>
      <c r="N46" s="1333" t="s">
        <v>36</v>
      </c>
      <c r="O46" s="1328" t="s">
        <v>36</v>
      </c>
      <c r="P46" s="1328" t="s">
        <v>36</v>
      </c>
      <c r="Q46" s="1333" t="s">
        <v>36</v>
      </c>
      <c r="R46" s="1333" t="s">
        <v>0</v>
      </c>
      <c r="S46" s="1328"/>
      <c r="T46" s="1327">
        <v>1</v>
      </c>
      <c r="U46" s="1327">
        <v>1</v>
      </c>
      <c r="V46" s="1348">
        <v>1</v>
      </c>
      <c r="W46" s="1330">
        <v>1</v>
      </c>
      <c r="X46" s="1327">
        <v>1</v>
      </c>
      <c r="Y46" s="1328"/>
      <c r="Z46" s="1327"/>
      <c r="AA46" s="1330">
        <v>9</v>
      </c>
      <c r="AB46" s="1327">
        <v>9</v>
      </c>
      <c r="AC46" s="1327">
        <v>9</v>
      </c>
      <c r="AD46" s="1327">
        <v>9</v>
      </c>
      <c r="AE46" s="1329">
        <v>9</v>
      </c>
      <c r="AF46" s="1327" t="s">
        <v>80</v>
      </c>
      <c r="AG46" s="1337" t="s">
        <v>81</v>
      </c>
      <c r="AH46" s="178"/>
      <c r="AI46" s="179"/>
    </row>
    <row r="47" spans="1:38" ht="22.35" customHeight="1" x14ac:dyDescent="0.2">
      <c r="A47" s="904">
        <v>9</v>
      </c>
      <c r="B47" s="819" t="s">
        <v>100</v>
      </c>
      <c r="C47" s="868" t="s">
        <v>36</v>
      </c>
      <c r="D47" s="868" t="s">
        <v>82</v>
      </c>
      <c r="E47" s="868" t="s">
        <v>83</v>
      </c>
      <c r="F47" s="927">
        <v>6</v>
      </c>
      <c r="G47" s="927">
        <v>6</v>
      </c>
      <c r="H47" s="868">
        <v>6</v>
      </c>
      <c r="I47" s="868">
        <v>6</v>
      </c>
      <c r="J47" s="868">
        <v>6</v>
      </c>
      <c r="K47" s="868"/>
      <c r="L47" s="868"/>
      <c r="M47" s="868" t="s">
        <v>36</v>
      </c>
      <c r="N47" s="868" t="s">
        <v>36</v>
      </c>
      <c r="O47" s="813" t="s">
        <v>36</v>
      </c>
      <c r="P47" s="813" t="s">
        <v>36</v>
      </c>
      <c r="Q47" s="813" t="s">
        <v>36</v>
      </c>
      <c r="R47" s="741"/>
      <c r="S47" s="868"/>
      <c r="T47" s="868">
        <v>5</v>
      </c>
      <c r="U47" s="868">
        <v>5</v>
      </c>
      <c r="V47" s="813">
        <v>5</v>
      </c>
      <c r="W47" s="868">
        <v>5</v>
      </c>
      <c r="X47" s="868">
        <v>5</v>
      </c>
      <c r="Y47" s="868"/>
      <c r="Z47" s="868"/>
      <c r="AA47" s="868">
        <v>10</v>
      </c>
      <c r="AB47" s="868">
        <v>10</v>
      </c>
      <c r="AC47" s="868">
        <v>10</v>
      </c>
      <c r="AD47" s="868">
        <v>10</v>
      </c>
      <c r="AE47" s="868">
        <v>10</v>
      </c>
      <c r="AF47" s="868" t="s">
        <v>81</v>
      </c>
      <c r="AG47" s="917" t="s">
        <v>81</v>
      </c>
      <c r="AH47" s="178"/>
      <c r="AI47" s="179"/>
    </row>
    <row r="48" spans="1:38" ht="22.35" customHeight="1" thickBot="1" x14ac:dyDescent="0.25">
      <c r="A48" s="673">
        <v>14</v>
      </c>
      <c r="B48" s="905" t="s">
        <v>102</v>
      </c>
      <c r="C48" s="796" t="s">
        <v>36</v>
      </c>
      <c r="D48" s="908" t="s">
        <v>57</v>
      </c>
      <c r="E48" s="908" t="s">
        <v>57</v>
      </c>
      <c r="F48" s="911">
        <v>7</v>
      </c>
      <c r="G48" s="911">
        <v>7</v>
      </c>
      <c r="H48" s="911">
        <v>7</v>
      </c>
      <c r="I48" s="911">
        <v>7</v>
      </c>
      <c r="J48" s="911">
        <v>7</v>
      </c>
      <c r="K48" s="911"/>
      <c r="L48" s="911"/>
      <c r="M48" s="911">
        <v>4</v>
      </c>
      <c r="N48" s="911">
        <v>4</v>
      </c>
      <c r="O48" s="911">
        <v>4</v>
      </c>
      <c r="P48" s="911">
        <v>4</v>
      </c>
      <c r="Q48" s="911">
        <v>4</v>
      </c>
      <c r="R48" s="911"/>
      <c r="S48" s="911"/>
      <c r="T48" s="911">
        <v>3</v>
      </c>
      <c r="U48" s="911">
        <v>3</v>
      </c>
      <c r="V48" s="911">
        <v>3</v>
      </c>
      <c r="W48" s="911">
        <v>3</v>
      </c>
      <c r="X48" s="911">
        <v>3</v>
      </c>
      <c r="Y48" s="911"/>
      <c r="Z48" s="911"/>
      <c r="AA48" s="908">
        <v>11</v>
      </c>
      <c r="AB48" s="908">
        <v>11</v>
      </c>
      <c r="AC48" s="796">
        <v>11</v>
      </c>
      <c r="AD48" s="908">
        <v>11</v>
      </c>
      <c r="AE48" s="908">
        <v>11</v>
      </c>
      <c r="AF48" s="796" t="s">
        <v>94</v>
      </c>
      <c r="AG48" s="797" t="s">
        <v>94</v>
      </c>
      <c r="AH48" s="178"/>
      <c r="AI48" s="179"/>
    </row>
    <row r="49" spans="1:40" ht="22.35" customHeight="1" x14ac:dyDescent="0.2">
      <c r="A49" s="1325">
        <v>5</v>
      </c>
      <c r="B49" s="819" t="s">
        <v>103</v>
      </c>
      <c r="C49" s="1329">
        <v>8</v>
      </c>
      <c r="D49" s="1327"/>
      <c r="E49" s="1327"/>
      <c r="F49" s="1329" t="s">
        <v>36</v>
      </c>
      <c r="G49" s="1329" t="s">
        <v>36</v>
      </c>
      <c r="H49" s="1329" t="s">
        <v>36</v>
      </c>
      <c r="I49" s="1329" t="s">
        <v>36</v>
      </c>
      <c r="J49" s="1329" t="s">
        <v>36</v>
      </c>
      <c r="K49" s="1327"/>
      <c r="L49" s="1327"/>
      <c r="M49" s="1327">
        <v>1</v>
      </c>
      <c r="N49" s="1349">
        <v>1</v>
      </c>
      <c r="O49" s="1328">
        <v>1</v>
      </c>
      <c r="P49" s="1327">
        <v>1</v>
      </c>
      <c r="Q49" s="1327">
        <v>1</v>
      </c>
      <c r="R49" s="1328"/>
      <c r="S49" s="1327"/>
      <c r="T49" s="1335">
        <v>9</v>
      </c>
      <c r="U49" s="1335">
        <v>9</v>
      </c>
      <c r="V49" s="1335">
        <v>9</v>
      </c>
      <c r="W49" s="1335">
        <v>9</v>
      </c>
      <c r="X49" s="1335">
        <v>9</v>
      </c>
      <c r="Y49" s="1335" t="s">
        <v>80</v>
      </c>
      <c r="Z49" s="1335" t="s">
        <v>81</v>
      </c>
      <c r="AA49" s="1335" t="s">
        <v>39</v>
      </c>
      <c r="AB49" s="1329" t="s">
        <v>36</v>
      </c>
      <c r="AC49" s="1329" t="s">
        <v>36</v>
      </c>
      <c r="AD49" s="1327" t="s">
        <v>36</v>
      </c>
      <c r="AE49" s="1327" t="s">
        <v>36</v>
      </c>
      <c r="AF49" s="1328" t="s">
        <v>82</v>
      </c>
      <c r="AG49" s="1350" t="s">
        <v>83</v>
      </c>
      <c r="AH49" s="178"/>
      <c r="AI49" s="179"/>
    </row>
    <row r="50" spans="1:40" ht="22.35" customHeight="1" x14ac:dyDescent="0.2">
      <c r="A50" s="904">
        <v>10</v>
      </c>
      <c r="B50" s="819" t="s">
        <v>104</v>
      </c>
      <c r="C50" s="1214">
        <v>6</v>
      </c>
      <c r="D50" s="1214"/>
      <c r="E50" s="1214"/>
      <c r="F50" s="815" t="s">
        <v>36</v>
      </c>
      <c r="G50" s="809" t="s">
        <v>36</v>
      </c>
      <c r="H50" s="809" t="s">
        <v>36</v>
      </c>
      <c r="I50" s="809" t="s">
        <v>36</v>
      </c>
      <c r="J50" s="809" t="s">
        <v>36</v>
      </c>
      <c r="K50" s="809"/>
      <c r="L50" s="809"/>
      <c r="M50" s="809">
        <v>5</v>
      </c>
      <c r="N50" s="809">
        <v>5</v>
      </c>
      <c r="O50" s="809">
        <v>5</v>
      </c>
      <c r="P50" s="809">
        <v>5</v>
      </c>
      <c r="Q50" s="809">
        <v>5</v>
      </c>
      <c r="R50" s="809"/>
      <c r="S50" s="809"/>
      <c r="T50" s="809">
        <v>10</v>
      </c>
      <c r="U50" s="809">
        <v>10</v>
      </c>
      <c r="V50" s="809">
        <v>10</v>
      </c>
      <c r="W50" s="815">
        <v>10</v>
      </c>
      <c r="X50" s="868">
        <v>10</v>
      </c>
      <c r="Y50" s="814" t="s">
        <v>81</v>
      </c>
      <c r="Z50" s="868" t="s">
        <v>81</v>
      </c>
      <c r="AA50" s="868" t="s">
        <v>36</v>
      </c>
      <c r="AB50" s="868" t="s">
        <v>36</v>
      </c>
      <c r="AC50" s="868" t="s">
        <v>36</v>
      </c>
      <c r="AD50" s="868" t="s">
        <v>36</v>
      </c>
      <c r="AE50" s="868" t="s">
        <v>36</v>
      </c>
      <c r="AF50" s="820" t="s">
        <v>374</v>
      </c>
      <c r="AG50" s="1351" t="s">
        <v>57</v>
      </c>
      <c r="AH50" s="178"/>
      <c r="AI50" s="179"/>
    </row>
    <row r="51" spans="1:40" ht="22.35" customHeight="1" thickBot="1" x14ac:dyDescent="0.25">
      <c r="A51" s="673">
        <v>15</v>
      </c>
      <c r="B51" s="905" t="s">
        <v>105</v>
      </c>
      <c r="C51" s="908">
        <v>7</v>
      </c>
      <c r="D51" s="908"/>
      <c r="E51" s="908"/>
      <c r="F51" s="930">
        <v>4</v>
      </c>
      <c r="G51" s="930">
        <v>4</v>
      </c>
      <c r="H51" s="930">
        <v>4</v>
      </c>
      <c r="I51" s="930">
        <v>4</v>
      </c>
      <c r="J51" s="930">
        <v>4</v>
      </c>
      <c r="K51" s="796"/>
      <c r="L51" s="908"/>
      <c r="M51" s="908">
        <v>3</v>
      </c>
      <c r="N51" s="908">
        <v>3</v>
      </c>
      <c r="O51" s="907">
        <v>3</v>
      </c>
      <c r="P51" s="907">
        <v>3</v>
      </c>
      <c r="Q51" s="907">
        <v>3</v>
      </c>
      <c r="R51" s="907"/>
      <c r="S51" s="907"/>
      <c r="T51" s="907">
        <v>11</v>
      </c>
      <c r="U51" s="907">
        <v>11</v>
      </c>
      <c r="V51" s="908">
        <v>11</v>
      </c>
      <c r="W51" s="908">
        <v>11</v>
      </c>
      <c r="X51" s="908">
        <v>11</v>
      </c>
      <c r="Y51" s="796" t="s">
        <v>94</v>
      </c>
      <c r="Z51" s="908" t="s">
        <v>94</v>
      </c>
      <c r="AA51" s="908" t="s">
        <v>36</v>
      </c>
      <c r="AB51" s="908" t="s">
        <v>36</v>
      </c>
      <c r="AC51" s="908" t="s">
        <v>36</v>
      </c>
      <c r="AD51" s="908" t="s">
        <v>36</v>
      </c>
      <c r="AE51" s="796" t="s">
        <v>36</v>
      </c>
      <c r="AF51" s="930" t="s">
        <v>83</v>
      </c>
      <c r="AG51" s="635" t="s">
        <v>83</v>
      </c>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c r="AL53" t="s">
        <v>0</v>
      </c>
    </row>
    <row r="54" spans="1:40" ht="22.35" customHeight="1" x14ac:dyDescent="0.2">
      <c r="A54" s="753" t="s">
        <v>28</v>
      </c>
      <c r="B54" s="753"/>
      <c r="C54" s="741"/>
      <c r="D54" s="753" t="s">
        <v>107</v>
      </c>
      <c r="E54" s="751"/>
      <c r="F54" s="741"/>
      <c r="G54" s="753" t="s">
        <v>108</v>
      </c>
      <c r="H54" s="751"/>
      <c r="I54" s="741"/>
      <c r="J54" s="753" t="s">
        <v>109</v>
      </c>
      <c r="K54" s="751"/>
      <c r="L54" s="741"/>
      <c r="M54" s="753" t="s">
        <v>110</v>
      </c>
      <c r="N54" s="751"/>
      <c r="O54" s="741"/>
      <c r="P54" s="753" t="s">
        <v>111</v>
      </c>
      <c r="Q54" s="751"/>
      <c r="R54" s="739"/>
      <c r="S54" s="752" t="s">
        <v>112</v>
      </c>
      <c r="T54" s="751"/>
      <c r="U54" s="741"/>
      <c r="V54" s="753" t="s">
        <v>113</v>
      </c>
      <c r="W54" s="751"/>
      <c r="X54" s="942" t="s">
        <v>114</v>
      </c>
      <c r="Y54" s="751"/>
      <c r="Z54" s="751"/>
      <c r="AA54" s="943"/>
      <c r="AB54" s="781"/>
      <c r="AC54" s="781"/>
      <c r="AD54" s="781"/>
      <c r="AE54" s="781"/>
      <c r="AF54" s="781"/>
      <c r="AG54" s="782"/>
      <c r="AH54" s="1"/>
    </row>
    <row r="55" spans="1:40" ht="22.35" customHeight="1" x14ac:dyDescent="0.2">
      <c r="A55" s="738">
        <v>8517</v>
      </c>
      <c r="B55" s="944" t="s">
        <v>115</v>
      </c>
      <c r="C55" s="735" t="s">
        <v>116</v>
      </c>
      <c r="D55" s="945"/>
      <c r="E55" s="780"/>
      <c r="F55" s="735" t="s">
        <v>116</v>
      </c>
      <c r="G55" s="945"/>
      <c r="H55" s="780"/>
      <c r="I55" s="735" t="s">
        <v>116</v>
      </c>
      <c r="J55" s="945"/>
      <c r="K55" s="780"/>
      <c r="L55" s="735" t="s">
        <v>116</v>
      </c>
      <c r="M55" s="945"/>
      <c r="N55" s="780"/>
      <c r="O55" s="735" t="s">
        <v>117</v>
      </c>
      <c r="P55" s="945"/>
      <c r="Q55" s="780"/>
      <c r="R55" s="735"/>
      <c r="S55" s="945"/>
      <c r="T55" s="780"/>
      <c r="U55" s="735" t="s">
        <v>118</v>
      </c>
      <c r="V55" s="945"/>
      <c r="W55" s="780"/>
      <c r="X55" s="779"/>
      <c r="Y55" s="781"/>
      <c r="Z55" s="781"/>
      <c r="AA55" s="781"/>
      <c r="AB55" s="781"/>
      <c r="AC55" s="781"/>
      <c r="AD55" s="781"/>
      <c r="AE55" s="781"/>
      <c r="AF55" s="781"/>
      <c r="AG55" s="782"/>
      <c r="AH55" s="1"/>
    </row>
    <row r="56" spans="1:40" ht="22.35" customHeight="1" x14ac:dyDescent="0.2">
      <c r="B56" s="808" t="s">
        <v>119</v>
      </c>
      <c r="C56" s="946" t="s">
        <v>120</v>
      </c>
      <c r="D56" s="947"/>
      <c r="E56" s="580"/>
      <c r="F56" s="946" t="s">
        <v>120</v>
      </c>
      <c r="G56" s="948"/>
      <c r="H56" s="580"/>
      <c r="I56" s="735" t="s">
        <v>120</v>
      </c>
      <c r="J56" s="945"/>
      <c r="K56" s="949"/>
      <c r="L56" s="735" t="s">
        <v>120</v>
      </c>
      <c r="M56" s="945"/>
      <c r="N56" s="949"/>
      <c r="O56" s="735" t="s">
        <v>121</v>
      </c>
      <c r="P56" s="945"/>
      <c r="Q56" s="780"/>
      <c r="R56" s="950" t="s">
        <v>0</v>
      </c>
      <c r="S56" s="945"/>
      <c r="T56" s="949"/>
      <c r="U56" s="945" t="s">
        <v>0</v>
      </c>
      <c r="V56" s="945"/>
      <c r="W56" s="780"/>
      <c r="X56" s="675" t="s">
        <v>0</v>
      </c>
      <c r="Y56" s="72"/>
      <c r="Z56" s="72"/>
      <c r="AA56" s="72"/>
      <c r="AB56" s="72"/>
      <c r="AC56" s="72"/>
      <c r="AD56" s="72"/>
      <c r="AE56" s="72"/>
      <c r="AF56" s="72"/>
      <c r="AG56" s="111"/>
      <c r="AH56" s="1"/>
    </row>
    <row r="57" spans="1:40" ht="22.35" customHeight="1" x14ac:dyDescent="0.2">
      <c r="A57" s="951"/>
      <c r="B57" s="944" t="s">
        <v>122</v>
      </c>
      <c r="C57" s="946" t="s">
        <v>123</v>
      </c>
      <c r="D57" s="947"/>
      <c r="E57" s="948"/>
      <c r="F57" s="946" t="s">
        <v>123</v>
      </c>
      <c r="G57" s="947"/>
      <c r="H57" s="948"/>
      <c r="I57" s="946" t="s">
        <v>123</v>
      </c>
      <c r="J57" s="947"/>
      <c r="K57" s="948"/>
      <c r="L57" s="946" t="s">
        <v>123</v>
      </c>
      <c r="M57" s="947"/>
      <c r="N57" s="948"/>
      <c r="O57" s="946" t="s">
        <v>124</v>
      </c>
      <c r="P57" s="947"/>
      <c r="Q57" s="948"/>
      <c r="R57" s="676"/>
      <c r="S57" s="294"/>
      <c r="T57" s="580"/>
      <c r="U57" s="947"/>
      <c r="V57" s="947"/>
      <c r="W57" s="948"/>
      <c r="X57" s="779"/>
      <c r="Y57" s="781"/>
      <c r="Z57" s="781"/>
      <c r="AA57" s="781"/>
      <c r="AB57" s="781"/>
      <c r="AC57" s="781"/>
      <c r="AD57" s="781"/>
      <c r="AE57" s="781"/>
      <c r="AF57" s="781"/>
      <c r="AG57" s="782"/>
      <c r="AH57" s="1"/>
    </row>
    <row r="58" spans="1:40" ht="22.35" customHeight="1" x14ac:dyDescent="0.2">
      <c r="A58" s="753"/>
      <c r="B58" s="944"/>
      <c r="C58" s="540"/>
      <c r="D58" s="499"/>
      <c r="E58" s="500"/>
      <c r="F58" s="540"/>
      <c r="G58" s="499"/>
      <c r="H58" s="500"/>
      <c r="I58" s="540"/>
      <c r="J58" s="499"/>
      <c r="K58" s="500"/>
      <c r="L58" s="540"/>
      <c r="M58" s="499"/>
      <c r="N58" s="500"/>
      <c r="O58" s="540"/>
      <c r="P58" s="499"/>
      <c r="Q58" s="500"/>
      <c r="R58" s="540"/>
      <c r="S58" s="499"/>
      <c r="T58" s="500"/>
      <c r="U58" s="540"/>
      <c r="V58" s="499"/>
      <c r="W58" s="500"/>
      <c r="X58" s="780"/>
      <c r="Y58" s="781"/>
      <c r="Z58" s="781"/>
      <c r="AA58" s="781"/>
      <c r="AB58" s="781"/>
      <c r="AC58" s="781"/>
      <c r="AD58" s="781"/>
      <c r="AE58" s="781"/>
      <c r="AF58" s="781"/>
      <c r="AG58" s="782"/>
      <c r="AH58" s="1"/>
      <c r="AJ58" s="183"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1352"/>
      <c r="B60" s="1353" t="s">
        <v>29</v>
      </c>
      <c r="C60" s="796">
        <v>1</v>
      </c>
      <c r="D60" s="795">
        <v>2</v>
      </c>
      <c r="E60" s="795">
        <v>3</v>
      </c>
      <c r="F60" s="796">
        <v>4</v>
      </c>
      <c r="G60" s="796">
        <v>5</v>
      </c>
      <c r="H60" s="796">
        <v>6</v>
      </c>
      <c r="I60" s="796">
        <v>7</v>
      </c>
      <c r="J60" s="796">
        <v>8</v>
      </c>
      <c r="K60" s="795">
        <v>9</v>
      </c>
      <c r="L60" s="795">
        <v>10</v>
      </c>
      <c r="M60" s="796">
        <v>11</v>
      </c>
      <c r="N60" s="796">
        <v>12</v>
      </c>
      <c r="O60" s="796">
        <v>13</v>
      </c>
      <c r="P60" s="796">
        <v>14</v>
      </c>
      <c r="Q60" s="796">
        <v>15</v>
      </c>
      <c r="R60" s="795">
        <v>16</v>
      </c>
      <c r="S60" s="795">
        <v>17</v>
      </c>
      <c r="T60" s="796">
        <v>18</v>
      </c>
      <c r="U60" s="796">
        <v>19</v>
      </c>
      <c r="V60" s="796">
        <v>20</v>
      </c>
      <c r="W60" s="796">
        <v>21</v>
      </c>
      <c r="X60" s="796">
        <v>22</v>
      </c>
      <c r="Y60" s="795">
        <v>23</v>
      </c>
      <c r="Z60" s="795">
        <v>24</v>
      </c>
      <c r="AA60" s="796">
        <v>25</v>
      </c>
      <c r="AB60" s="796">
        <v>26</v>
      </c>
      <c r="AC60" s="796">
        <v>27</v>
      </c>
      <c r="AD60" s="796">
        <v>28</v>
      </c>
      <c r="AE60" s="796">
        <v>29</v>
      </c>
      <c r="AF60" s="795">
        <v>30</v>
      </c>
      <c r="AG60" s="1300">
        <v>31</v>
      </c>
      <c r="AH60" s="1"/>
      <c r="AJ60" s="1181" t="s">
        <v>30</v>
      </c>
      <c r="AK60" s="1181" t="s">
        <v>44</v>
      </c>
      <c r="AL60" s="1181" t="s">
        <v>45</v>
      </c>
      <c r="AM60" s="1181" t="s">
        <v>46</v>
      </c>
      <c r="AN60" s="1181" t="s">
        <v>47</v>
      </c>
    </row>
    <row r="61" spans="1:40" ht="22.35" customHeight="1" thickBot="1" x14ac:dyDescent="0.25">
      <c r="A61" s="1354"/>
      <c r="B61" s="1355" t="s">
        <v>126</v>
      </c>
      <c r="C61" s="1306">
        <v>26</v>
      </c>
      <c r="D61" s="1306"/>
      <c r="E61" s="1306">
        <v>26</v>
      </c>
      <c r="F61" s="1306">
        <v>25</v>
      </c>
      <c r="G61" s="1306">
        <v>25</v>
      </c>
      <c r="H61" s="1310">
        <v>25</v>
      </c>
      <c r="I61" s="1356" t="s">
        <v>128</v>
      </c>
      <c r="J61" s="920" t="s">
        <v>128</v>
      </c>
      <c r="K61" s="1306"/>
      <c r="L61" s="1306"/>
      <c r="M61" s="1356" t="s">
        <v>128</v>
      </c>
      <c r="N61" s="1356" t="s">
        <v>128</v>
      </c>
      <c r="O61" s="1356" t="s">
        <v>128</v>
      </c>
      <c r="P61" s="1356" t="s">
        <v>128</v>
      </c>
      <c r="Q61" s="1356" t="s">
        <v>128</v>
      </c>
      <c r="R61" s="1356" t="s">
        <v>127</v>
      </c>
      <c r="S61" s="1356" t="s">
        <v>127</v>
      </c>
      <c r="T61" s="1357" t="s">
        <v>36</v>
      </c>
      <c r="U61" s="1357" t="s">
        <v>36</v>
      </c>
      <c r="V61" s="1306">
        <v>21</v>
      </c>
      <c r="W61" s="1358">
        <v>21</v>
      </c>
      <c r="X61" s="1357" t="s">
        <v>36</v>
      </c>
      <c r="Y61" s="1358" t="s">
        <v>127</v>
      </c>
      <c r="Z61" s="1359" t="s">
        <v>127</v>
      </c>
      <c r="AA61" s="1307">
        <v>8</v>
      </c>
      <c r="AB61" s="1310">
        <v>8</v>
      </c>
      <c r="AC61" s="1310">
        <v>8</v>
      </c>
      <c r="AD61" s="1310">
        <v>8</v>
      </c>
      <c r="AE61" s="1310">
        <v>8</v>
      </c>
      <c r="AF61" s="1360"/>
      <c r="AG61" s="1360"/>
      <c r="AH61" s="1"/>
      <c r="AJ61" s="845">
        <v>195.5</v>
      </c>
      <c r="AK61" s="845">
        <v>14</v>
      </c>
      <c r="AL61" s="845">
        <f>IF(AJ61="","",SUM(AJ61:AK61))</f>
        <v>209.5</v>
      </c>
      <c r="AM61" s="846">
        <f>IF(AJ61="","",AL61-NormTid)</f>
        <v>49.169999999999987</v>
      </c>
      <c r="AN61" s="846">
        <f>IF(AM61="","",AM61+'Juni 2022'!AN61)</f>
        <v>207.93999999999997</v>
      </c>
    </row>
    <row r="62" spans="1:40" ht="22.35" customHeight="1" x14ac:dyDescent="0.2">
      <c r="A62" s="1182"/>
      <c r="B62" s="1182" t="s">
        <v>129</v>
      </c>
      <c r="C62" s="964" t="s">
        <v>146</v>
      </c>
      <c r="D62" s="644"/>
      <c r="E62" s="644"/>
      <c r="F62" s="644">
        <v>1</v>
      </c>
      <c r="G62" s="644">
        <v>1</v>
      </c>
      <c r="H62" s="1110">
        <v>1</v>
      </c>
      <c r="I62" s="1110">
        <v>1</v>
      </c>
      <c r="J62" s="1110" t="s">
        <v>243</v>
      </c>
      <c r="K62" s="1110" t="s">
        <v>53</v>
      </c>
      <c r="L62" s="1110" t="s">
        <v>53</v>
      </c>
      <c r="M62" s="1361" t="s">
        <v>32</v>
      </c>
      <c r="N62" s="1361" t="s">
        <v>32</v>
      </c>
      <c r="O62" s="647" t="s">
        <v>32</v>
      </c>
      <c r="P62" s="647" t="s">
        <v>32</v>
      </c>
      <c r="Q62" s="647" t="s">
        <v>32</v>
      </c>
      <c r="R62" s="647"/>
      <c r="S62" s="647"/>
      <c r="T62" s="647" t="s">
        <v>32</v>
      </c>
      <c r="U62" s="647" t="s">
        <v>32</v>
      </c>
      <c r="V62" s="1232" t="s">
        <v>32</v>
      </c>
      <c r="W62" s="647" t="s">
        <v>32</v>
      </c>
      <c r="X62" s="647" t="s">
        <v>32</v>
      </c>
      <c r="Y62" s="647"/>
      <c r="Z62" s="1232"/>
      <c r="AA62" s="859" t="s">
        <v>32</v>
      </c>
      <c r="AB62" s="859" t="s">
        <v>32</v>
      </c>
      <c r="AC62" s="859" t="s">
        <v>32</v>
      </c>
      <c r="AD62" s="859" t="s">
        <v>32</v>
      </c>
      <c r="AE62" s="859" t="s">
        <v>32</v>
      </c>
      <c r="AF62" s="859"/>
      <c r="AG62" s="968"/>
      <c r="AH62" s="1"/>
      <c r="AJ62" s="845">
        <v>155.25</v>
      </c>
      <c r="AK62" s="845">
        <v>0.75</v>
      </c>
      <c r="AL62" s="845">
        <f>IF(AJ62="","",SUM(AJ62:AK62))</f>
        <v>156</v>
      </c>
      <c r="AM62" s="846">
        <f t="shared" ref="AM62:AM79" si="2">IF(AJ62="","",AL62-NormTid)</f>
        <v>-4.3300000000000125</v>
      </c>
      <c r="AN62" s="846">
        <f>IF(AM62="","",AM62+'Juni 2022'!AN62)</f>
        <v>18.939999999999962</v>
      </c>
    </row>
    <row r="63" spans="1:40" ht="22.35" customHeight="1" x14ac:dyDescent="0.2">
      <c r="A63" s="1182"/>
      <c r="B63" s="1182" t="s">
        <v>130</v>
      </c>
      <c r="C63" s="1110" t="s">
        <v>257</v>
      </c>
      <c r="D63" s="332" t="s">
        <v>94</v>
      </c>
      <c r="E63" s="332" t="s">
        <v>94</v>
      </c>
      <c r="F63" s="1110">
        <v>5</v>
      </c>
      <c r="G63" s="961">
        <v>5</v>
      </c>
      <c r="H63" s="961">
        <v>5</v>
      </c>
      <c r="I63" s="961">
        <v>5</v>
      </c>
      <c r="J63" s="961">
        <v>5</v>
      </c>
      <c r="K63" s="1224" t="s">
        <v>32</v>
      </c>
      <c r="L63" s="1224" t="s">
        <v>32</v>
      </c>
      <c r="M63" s="964">
        <v>26</v>
      </c>
      <c r="N63" s="964">
        <v>26</v>
      </c>
      <c r="O63" s="964">
        <v>26</v>
      </c>
      <c r="P63" s="964">
        <v>26</v>
      </c>
      <c r="Q63" s="964">
        <v>26</v>
      </c>
      <c r="R63" s="1362"/>
      <c r="S63" s="1362" t="s">
        <v>375</v>
      </c>
      <c r="T63" s="1363" t="s">
        <v>128</v>
      </c>
      <c r="U63" s="1363" t="s">
        <v>128</v>
      </c>
      <c r="V63" s="1363" t="s">
        <v>128</v>
      </c>
      <c r="W63" s="1363" t="s">
        <v>128</v>
      </c>
      <c r="X63" s="1363" t="s">
        <v>128</v>
      </c>
      <c r="Y63" s="1110" t="s">
        <v>53</v>
      </c>
      <c r="Z63" s="960" t="s">
        <v>32</v>
      </c>
      <c r="AA63" s="1110">
        <v>26</v>
      </c>
      <c r="AB63" s="961">
        <v>26</v>
      </c>
      <c r="AC63" s="965">
        <v>26</v>
      </c>
      <c r="AD63" s="1110">
        <v>26</v>
      </c>
      <c r="AE63" s="1110">
        <v>26</v>
      </c>
      <c r="AF63" s="1224" t="s">
        <v>32</v>
      </c>
      <c r="AG63" s="1224" t="s">
        <v>32</v>
      </c>
      <c r="AH63" s="1"/>
      <c r="AJ63" s="845">
        <v>170</v>
      </c>
      <c r="AK63" s="845">
        <v>11.75</v>
      </c>
      <c r="AL63" s="845">
        <f t="shared" ref="AL63:AL73" si="3">IF(AJ63="","",SUM(AJ63:AK63))</f>
        <v>181.75</v>
      </c>
      <c r="AM63" s="846">
        <f t="shared" si="2"/>
        <v>21.419999999999987</v>
      </c>
      <c r="AN63" s="846">
        <f>IF(AM63="","",AM63+'Juni 2022'!AN63)</f>
        <v>22.439999999999962</v>
      </c>
    </row>
    <row r="64" spans="1:40" ht="22.35" customHeight="1" x14ac:dyDescent="0.2">
      <c r="A64" s="1182"/>
      <c r="B64" s="539" t="s">
        <v>132</v>
      </c>
      <c r="C64" s="965" t="s">
        <v>32</v>
      </c>
      <c r="D64" s="1224" t="s">
        <v>32</v>
      </c>
      <c r="E64" s="1224" t="s">
        <v>32</v>
      </c>
      <c r="F64" s="961">
        <v>26</v>
      </c>
      <c r="G64" s="1110">
        <v>26</v>
      </c>
      <c r="H64" s="1110">
        <v>26</v>
      </c>
      <c r="I64" s="1110">
        <v>26</v>
      </c>
      <c r="J64" s="1110">
        <v>26</v>
      </c>
      <c r="K64" s="644"/>
      <c r="L64" s="1110">
        <v>26</v>
      </c>
      <c r="M64" s="845">
        <v>25</v>
      </c>
      <c r="N64" s="1112">
        <v>25</v>
      </c>
      <c r="O64" s="851" t="s">
        <v>36</v>
      </c>
      <c r="P64" s="851" t="s">
        <v>36</v>
      </c>
      <c r="Q64" s="1363">
        <v>25</v>
      </c>
      <c r="R64" s="1224" t="s">
        <v>32</v>
      </c>
      <c r="S64" s="1224" t="s">
        <v>32</v>
      </c>
      <c r="T64" s="1110">
        <v>26</v>
      </c>
      <c r="U64" s="1110">
        <v>26</v>
      </c>
      <c r="V64" s="1110">
        <v>26</v>
      </c>
      <c r="W64" s="1112">
        <v>26</v>
      </c>
      <c r="X64" s="1112">
        <v>26</v>
      </c>
      <c r="Y64" s="960" t="s">
        <v>32</v>
      </c>
      <c r="Z64" s="961">
        <v>26</v>
      </c>
      <c r="AA64" s="644" t="s">
        <v>32</v>
      </c>
      <c r="AB64" s="644" t="s">
        <v>32</v>
      </c>
      <c r="AC64" s="644" t="s">
        <v>32</v>
      </c>
      <c r="AD64" s="644" t="s">
        <v>32</v>
      </c>
      <c r="AE64" s="644" t="s">
        <v>32</v>
      </c>
      <c r="AF64" s="960"/>
      <c r="AG64" s="856"/>
      <c r="AH64" s="1"/>
      <c r="AJ64" s="845">
        <v>152.5</v>
      </c>
      <c r="AK64" s="845">
        <v>8.75</v>
      </c>
      <c r="AL64" s="845">
        <f t="shared" si="3"/>
        <v>161.25</v>
      </c>
      <c r="AM64" s="846">
        <f t="shared" si="2"/>
        <v>0.91999999999998749</v>
      </c>
      <c r="AN64" s="846">
        <f>IF(AM64="","",AM64+'Juni 2022'!AN64)</f>
        <v>-40.060000000000031</v>
      </c>
    </row>
    <row r="65" spans="1:40" ht="22.35" customHeight="1" x14ac:dyDescent="0.2">
      <c r="A65" s="933"/>
      <c r="B65" s="1182" t="s">
        <v>133</v>
      </c>
      <c r="C65" s="1110" t="s">
        <v>134</v>
      </c>
      <c r="D65" s="1110"/>
      <c r="E65" s="1110"/>
      <c r="F65" s="1110" t="s">
        <v>134</v>
      </c>
      <c r="G65" s="1110" t="s">
        <v>134</v>
      </c>
      <c r="H65" s="1110" t="s">
        <v>134</v>
      </c>
      <c r="I65" s="1110" t="s">
        <v>134</v>
      </c>
      <c r="J65" s="1110" t="s">
        <v>134</v>
      </c>
      <c r="K65" s="963"/>
      <c r="L65" s="963"/>
      <c r="M65" s="1110" t="s">
        <v>134</v>
      </c>
      <c r="N65" s="1110" t="s">
        <v>134</v>
      </c>
      <c r="O65" s="1110" t="s">
        <v>134</v>
      </c>
      <c r="P65" s="1110" t="s">
        <v>134</v>
      </c>
      <c r="Q65" s="1110" t="s">
        <v>134</v>
      </c>
      <c r="R65" s="1110"/>
      <c r="S65" s="1110"/>
      <c r="T65" s="1110" t="s">
        <v>134</v>
      </c>
      <c r="U65" s="1364" t="s">
        <v>134</v>
      </c>
      <c r="V65" s="1110" t="s">
        <v>134</v>
      </c>
      <c r="W65" s="1110" t="s">
        <v>134</v>
      </c>
      <c r="X65" s="1110" t="s">
        <v>134</v>
      </c>
      <c r="Y65" s="848"/>
      <c r="Z65" s="644"/>
      <c r="AA65" s="859" t="s">
        <v>32</v>
      </c>
      <c r="AB65" s="859" t="s">
        <v>32</v>
      </c>
      <c r="AC65" s="859" t="s">
        <v>32</v>
      </c>
      <c r="AD65" s="859" t="s">
        <v>32</v>
      </c>
      <c r="AE65" s="859" t="s">
        <v>32</v>
      </c>
      <c r="AF65" s="859"/>
      <c r="AG65" s="968"/>
      <c r="AH65" s="1"/>
      <c r="AJ65" s="845">
        <v>153</v>
      </c>
      <c r="AK65" s="845">
        <v>0.5</v>
      </c>
      <c r="AL65" s="845">
        <f t="shared" si="3"/>
        <v>153.5</v>
      </c>
      <c r="AM65" s="846">
        <f t="shared" si="2"/>
        <v>-6.8300000000000125</v>
      </c>
      <c r="AN65" s="846">
        <f>IF(AM65="","",AM65+'Juni 2022'!AN65)</f>
        <v>-7.3100000000000378</v>
      </c>
    </row>
    <row r="66" spans="1:40" ht="22.35" customHeight="1" thickBot="1" x14ac:dyDescent="0.25">
      <c r="A66" s="1182"/>
      <c r="B66" s="1182" t="s">
        <v>136</v>
      </c>
      <c r="C66" s="1110" t="s">
        <v>137</v>
      </c>
      <c r="D66" s="1110"/>
      <c r="E66" s="1110"/>
      <c r="F66" s="859" t="s">
        <v>32</v>
      </c>
      <c r="G66" s="859" t="s">
        <v>32</v>
      </c>
      <c r="H66" s="859" t="s">
        <v>32</v>
      </c>
      <c r="I66" s="859" t="s">
        <v>32</v>
      </c>
      <c r="J66" s="859" t="s">
        <v>32</v>
      </c>
      <c r="K66" s="859"/>
      <c r="L66" s="859"/>
      <c r="M66" s="859" t="s">
        <v>32</v>
      </c>
      <c r="N66" s="859" t="s">
        <v>32</v>
      </c>
      <c r="O66" s="859" t="s">
        <v>32</v>
      </c>
      <c r="P66" s="859" t="s">
        <v>32</v>
      </c>
      <c r="Q66" s="859" t="s">
        <v>32</v>
      </c>
      <c r="R66" s="859"/>
      <c r="S66" s="859"/>
      <c r="T66" s="1110" t="s">
        <v>137</v>
      </c>
      <c r="U66" s="1110" t="s">
        <v>137</v>
      </c>
      <c r="V66" s="1110" t="s">
        <v>137</v>
      </c>
      <c r="W66" s="1110" t="s">
        <v>137</v>
      </c>
      <c r="X66" s="1110" t="s">
        <v>137</v>
      </c>
      <c r="Y66" s="1233"/>
      <c r="Z66" s="1233"/>
      <c r="AA66" s="1110" t="s">
        <v>137</v>
      </c>
      <c r="AB66" s="1110" t="s">
        <v>137</v>
      </c>
      <c r="AC66" s="1110" t="s">
        <v>137</v>
      </c>
      <c r="AD66" s="1110" t="s">
        <v>137</v>
      </c>
      <c r="AE66" s="1110" t="s">
        <v>137</v>
      </c>
      <c r="AF66" s="644"/>
      <c r="AG66" s="613"/>
      <c r="AH66" s="1"/>
      <c r="AJ66" s="845">
        <v>154</v>
      </c>
      <c r="AK66" s="845">
        <v>0</v>
      </c>
      <c r="AL66" s="845">
        <f t="shared" si="3"/>
        <v>154</v>
      </c>
      <c r="AM66" s="846">
        <f t="shared" si="2"/>
        <v>-6.3300000000000125</v>
      </c>
      <c r="AN66" s="846">
        <f>IF(AM66="","",AM66+'Juni 2022'!AN66)</f>
        <v>-12.560000000000088</v>
      </c>
    </row>
    <row r="67" spans="1:40" ht="22.35" customHeight="1" thickBot="1" x14ac:dyDescent="0.25">
      <c r="A67" s="1182"/>
      <c r="B67" s="501" t="s">
        <v>138</v>
      </c>
      <c r="C67" s="644">
        <v>6</v>
      </c>
      <c r="D67" s="644" t="s">
        <v>53</v>
      </c>
      <c r="E67" s="644"/>
      <c r="F67" s="644" t="s">
        <v>95</v>
      </c>
      <c r="G67" s="644" t="s">
        <v>95</v>
      </c>
      <c r="H67" s="644" t="s">
        <v>58</v>
      </c>
      <c r="I67" s="960" t="s">
        <v>58</v>
      </c>
      <c r="J67" s="644" t="s">
        <v>36</v>
      </c>
      <c r="K67" s="644"/>
      <c r="L67" s="644"/>
      <c r="M67" s="1327">
        <v>9</v>
      </c>
      <c r="N67" s="1329">
        <v>9</v>
      </c>
      <c r="O67" s="1329">
        <v>9</v>
      </c>
      <c r="P67" s="1329">
        <v>9</v>
      </c>
      <c r="Q67" s="1329">
        <v>9</v>
      </c>
      <c r="R67" s="1349" t="s">
        <v>80</v>
      </c>
      <c r="S67" s="1329" t="s">
        <v>81</v>
      </c>
      <c r="T67" s="1329" t="s">
        <v>36</v>
      </c>
      <c r="U67" s="1329" t="s">
        <v>36</v>
      </c>
      <c r="V67" s="1329" t="s">
        <v>36</v>
      </c>
      <c r="W67" s="1329" t="s">
        <v>36</v>
      </c>
      <c r="X67" s="1329" t="s">
        <v>36</v>
      </c>
      <c r="Y67" s="1328" t="s">
        <v>82</v>
      </c>
      <c r="Z67" s="1350" t="s">
        <v>83</v>
      </c>
      <c r="AA67" s="644">
        <v>89</v>
      </c>
      <c r="AB67" s="644" t="s">
        <v>134</v>
      </c>
      <c r="AC67" s="644" t="s">
        <v>134</v>
      </c>
      <c r="AD67" s="644" t="s">
        <v>134</v>
      </c>
      <c r="AE67" s="1327" t="s">
        <v>134</v>
      </c>
      <c r="AF67" s="644"/>
      <c r="AG67" s="856"/>
      <c r="AH67" s="1"/>
      <c r="AJ67" s="845">
        <v>153.5</v>
      </c>
      <c r="AK67" s="845">
        <v>7</v>
      </c>
      <c r="AL67" s="845">
        <f t="shared" si="3"/>
        <v>160.5</v>
      </c>
      <c r="AM67" s="846">
        <f t="shared" si="2"/>
        <v>0.16999999999998749</v>
      </c>
      <c r="AN67" s="846">
        <f>IF(AM67="","",AM67+'Juni 2022'!AN67)</f>
        <v>87.189999999999969</v>
      </c>
    </row>
    <row r="68" spans="1:40" ht="22.35" customHeight="1" x14ac:dyDescent="0.2">
      <c r="A68" s="1182"/>
      <c r="B68" s="501" t="s">
        <v>140</v>
      </c>
      <c r="C68" s="644">
        <v>22</v>
      </c>
      <c r="D68" s="1112">
        <v>22</v>
      </c>
      <c r="E68" s="1112">
        <v>22</v>
      </c>
      <c r="F68" s="543" t="s">
        <v>50</v>
      </c>
      <c r="G68" s="543" t="s">
        <v>50</v>
      </c>
      <c r="H68" s="543" t="s">
        <v>50</v>
      </c>
      <c r="I68" s="543" t="s">
        <v>50</v>
      </c>
      <c r="J68" s="543" t="s">
        <v>50</v>
      </c>
      <c r="K68" s="1112" t="s">
        <v>57</v>
      </c>
      <c r="L68" s="1112" t="s">
        <v>57</v>
      </c>
      <c r="M68" s="544" t="s">
        <v>50</v>
      </c>
      <c r="N68" s="544" t="s">
        <v>50</v>
      </c>
      <c r="O68" s="544" t="s">
        <v>50</v>
      </c>
      <c r="P68" s="544" t="s">
        <v>50</v>
      </c>
      <c r="Q68" s="544" t="s">
        <v>50</v>
      </c>
      <c r="R68" s="965"/>
      <c r="S68" s="644"/>
      <c r="T68" s="543" t="s">
        <v>50</v>
      </c>
      <c r="U68" s="543" t="s">
        <v>50</v>
      </c>
      <c r="V68" s="543" t="s">
        <v>50</v>
      </c>
      <c r="W68" s="543" t="s">
        <v>50</v>
      </c>
      <c r="X68" s="543" t="s">
        <v>50</v>
      </c>
      <c r="Y68" s="644"/>
      <c r="Z68" s="644"/>
      <c r="AA68" s="1333" t="s">
        <v>128</v>
      </c>
      <c r="AB68" s="1333" t="s">
        <v>128</v>
      </c>
      <c r="AC68" s="1333" t="s">
        <v>128</v>
      </c>
      <c r="AD68" s="1333" t="s">
        <v>128</v>
      </c>
      <c r="AE68" s="1333" t="s">
        <v>128</v>
      </c>
      <c r="AF68" s="1331" t="s">
        <v>127</v>
      </c>
      <c r="AG68" s="1331" t="s">
        <v>127</v>
      </c>
      <c r="AH68" s="1"/>
      <c r="AJ68" s="845">
        <v>177.5</v>
      </c>
      <c r="AK68" s="845">
        <v>6</v>
      </c>
      <c r="AL68" s="845">
        <f t="shared" si="3"/>
        <v>183.5</v>
      </c>
      <c r="AM68" s="846">
        <f t="shared" si="2"/>
        <v>23.169999999999987</v>
      </c>
      <c r="AN68" s="846">
        <f>IF(AM68="","",AM68+'Juni 2022'!AN68)</f>
        <v>61.189999999999962</v>
      </c>
    </row>
    <row r="69" spans="1:40" ht="22.35" customHeight="1" thickBot="1" x14ac:dyDescent="0.25">
      <c r="A69" s="1182"/>
      <c r="B69" s="539" t="s">
        <v>141</v>
      </c>
      <c r="C69" s="848">
        <v>11</v>
      </c>
      <c r="D69" s="848"/>
      <c r="E69" s="644"/>
      <c r="F69" s="1356" t="s">
        <v>128</v>
      </c>
      <c r="G69" s="1356" t="s">
        <v>128</v>
      </c>
      <c r="H69" s="920" t="s">
        <v>128</v>
      </c>
      <c r="I69" s="1356">
        <v>9</v>
      </c>
      <c r="J69" s="1356">
        <v>9</v>
      </c>
      <c r="K69" s="1356" t="s">
        <v>127</v>
      </c>
      <c r="L69" s="1356" t="s">
        <v>127</v>
      </c>
      <c r="M69" s="960" t="s">
        <v>36</v>
      </c>
      <c r="N69" s="960" t="s">
        <v>36</v>
      </c>
      <c r="O69" s="960" t="s">
        <v>36</v>
      </c>
      <c r="P69" s="960">
        <v>25</v>
      </c>
      <c r="Q69" s="960">
        <v>8</v>
      </c>
      <c r="R69" s="644"/>
      <c r="S69" s="848"/>
      <c r="T69" s="644">
        <v>21</v>
      </c>
      <c r="U69" s="644">
        <v>21</v>
      </c>
      <c r="V69" s="851" t="s">
        <v>36</v>
      </c>
      <c r="W69" s="851" t="s">
        <v>36</v>
      </c>
      <c r="X69" s="851" t="s">
        <v>36</v>
      </c>
      <c r="Y69" s="908" t="s">
        <v>57</v>
      </c>
      <c r="Z69" s="937" t="s">
        <v>57</v>
      </c>
      <c r="AA69" s="1110">
        <v>25</v>
      </c>
      <c r="AB69" s="1110">
        <v>25</v>
      </c>
      <c r="AC69" s="1110">
        <v>25</v>
      </c>
      <c r="AD69" s="1110">
        <v>25</v>
      </c>
      <c r="AE69" s="1110">
        <v>25</v>
      </c>
      <c r="AF69" s="644"/>
      <c r="AG69" s="613"/>
      <c r="AH69" s="1"/>
      <c r="AJ69" s="845">
        <v>181.25</v>
      </c>
      <c r="AK69" s="845">
        <v>11.5</v>
      </c>
      <c r="AL69" s="845">
        <f t="shared" si="3"/>
        <v>192.75</v>
      </c>
      <c r="AM69" s="846">
        <f t="shared" si="2"/>
        <v>32.419999999999987</v>
      </c>
      <c r="AN69" s="846">
        <f>IF(AM69="","",AM69+'Juni 2022'!AN69)</f>
        <v>114.18999999999997</v>
      </c>
    </row>
    <row r="70" spans="1:40" ht="22.35" customHeight="1" thickBot="1" x14ac:dyDescent="0.25">
      <c r="A70" s="501"/>
      <c r="B70" s="539" t="s">
        <v>143</v>
      </c>
      <c r="C70" s="859" t="s">
        <v>32</v>
      </c>
      <c r="D70" s="859"/>
      <c r="E70" s="859"/>
      <c r="F70" s="859" t="s">
        <v>32</v>
      </c>
      <c r="G70" s="859" t="s">
        <v>32</v>
      </c>
      <c r="H70" s="848" t="s">
        <v>36</v>
      </c>
      <c r="I70" s="848" t="s">
        <v>36</v>
      </c>
      <c r="J70" s="848" t="s">
        <v>36</v>
      </c>
      <c r="K70" s="644"/>
      <c r="L70" s="851"/>
      <c r="M70" s="1328">
        <v>69</v>
      </c>
      <c r="N70" s="1328">
        <v>69</v>
      </c>
      <c r="O70" s="1328">
        <v>69</v>
      </c>
      <c r="P70" s="1328">
        <v>69</v>
      </c>
      <c r="Q70" s="1328">
        <v>69</v>
      </c>
      <c r="R70" s="1349" t="s">
        <v>0</v>
      </c>
      <c r="S70" s="1329" t="s">
        <v>0</v>
      </c>
      <c r="T70" s="1335" t="s">
        <v>128</v>
      </c>
      <c r="U70" s="1335" t="s">
        <v>128</v>
      </c>
      <c r="V70" s="1335" t="s">
        <v>128</v>
      </c>
      <c r="W70" s="1335" t="s">
        <v>128</v>
      </c>
      <c r="X70" s="1335" t="s">
        <v>128</v>
      </c>
      <c r="Y70" s="1335" t="s">
        <v>127</v>
      </c>
      <c r="Z70" s="1335" t="s">
        <v>376</v>
      </c>
      <c r="AA70" s="1329" t="s">
        <v>36</v>
      </c>
      <c r="AB70" s="1329" t="s">
        <v>36</v>
      </c>
      <c r="AC70" s="1329" t="s">
        <v>36</v>
      </c>
      <c r="AD70" s="644">
        <v>89</v>
      </c>
      <c r="AE70" s="644">
        <v>89</v>
      </c>
      <c r="AF70" s="644"/>
      <c r="AG70" s="613">
        <v>26</v>
      </c>
      <c r="AJ70" s="845">
        <v>139.5</v>
      </c>
      <c r="AK70" s="845">
        <v>5.75</v>
      </c>
      <c r="AL70" s="845">
        <f t="shared" si="3"/>
        <v>145.25</v>
      </c>
      <c r="AM70" s="846">
        <f t="shared" si="2"/>
        <v>-15.080000000000013</v>
      </c>
      <c r="AN70" s="846">
        <f>IF(AM70="","",AM70+'Juni 2022'!AN70)</f>
        <v>87.189999999999969</v>
      </c>
    </row>
    <row r="71" spans="1:40" ht="22.35" customHeight="1" x14ac:dyDescent="0.2">
      <c r="A71" s="539"/>
      <c r="B71" s="541" t="s">
        <v>144</v>
      </c>
      <c r="C71" s="1110" t="s">
        <v>177</v>
      </c>
      <c r="D71" s="1112"/>
      <c r="E71" s="1333"/>
      <c r="F71" s="1110" t="s">
        <v>137</v>
      </c>
      <c r="G71" s="1110" t="s">
        <v>137</v>
      </c>
      <c r="H71" s="1110" t="s">
        <v>137</v>
      </c>
      <c r="I71" s="1110" t="s">
        <v>137</v>
      </c>
      <c r="J71" s="1110" t="s">
        <v>137</v>
      </c>
      <c r="K71" s="851" t="s">
        <v>0</v>
      </c>
      <c r="L71" s="851" t="s">
        <v>0</v>
      </c>
      <c r="M71" s="1110" t="s">
        <v>137</v>
      </c>
      <c r="N71" s="1110" t="s">
        <v>137</v>
      </c>
      <c r="O71" s="1110" t="s">
        <v>137</v>
      </c>
      <c r="P71" s="1110" t="s">
        <v>137</v>
      </c>
      <c r="Q71" s="1110" t="s">
        <v>137</v>
      </c>
      <c r="R71" s="1349" t="s">
        <v>0</v>
      </c>
      <c r="S71" s="1349" t="s">
        <v>0</v>
      </c>
      <c r="T71" s="1072">
        <v>79</v>
      </c>
      <c r="U71" s="1072" t="s">
        <v>134</v>
      </c>
      <c r="V71" s="828" t="s">
        <v>243</v>
      </c>
      <c r="W71" s="828">
        <v>79</v>
      </c>
      <c r="X71" s="828">
        <v>79</v>
      </c>
      <c r="Y71" s="644"/>
      <c r="Z71" s="644"/>
      <c r="AA71" s="644" t="s">
        <v>264</v>
      </c>
      <c r="AB71" s="644" t="s">
        <v>264</v>
      </c>
      <c r="AC71" s="644">
        <v>99</v>
      </c>
      <c r="AD71" s="644" t="s">
        <v>142</v>
      </c>
      <c r="AE71" s="644" t="s">
        <v>142</v>
      </c>
      <c r="AF71" s="644"/>
      <c r="AG71" s="856"/>
      <c r="AJ71" s="845">
        <v>155.25</v>
      </c>
      <c r="AK71" s="845">
        <v>0</v>
      </c>
      <c r="AL71" s="845">
        <f t="shared" si="3"/>
        <v>155.25</v>
      </c>
      <c r="AM71" s="846">
        <f t="shared" si="2"/>
        <v>-5.0800000000000125</v>
      </c>
      <c r="AN71" s="846">
        <f>IF(AM71="","",AM71+'Juni 2022'!AN71)</f>
        <v>0.84999999999996589</v>
      </c>
    </row>
    <row r="72" spans="1:40" ht="22.35" customHeight="1" thickBot="1" x14ac:dyDescent="0.25">
      <c r="A72" s="289"/>
      <c r="B72" s="539" t="s">
        <v>145</v>
      </c>
      <c r="C72" s="964" t="s">
        <v>377</v>
      </c>
      <c r="D72" s="845"/>
      <c r="E72" s="845"/>
      <c r="F72" s="545" t="s">
        <v>177</v>
      </c>
      <c r="G72" s="545" t="s">
        <v>177</v>
      </c>
      <c r="H72" s="644" t="s">
        <v>177</v>
      </c>
      <c r="I72" s="644" t="s">
        <v>177</v>
      </c>
      <c r="J72" s="644" t="s">
        <v>177</v>
      </c>
      <c r="K72" s="644"/>
      <c r="L72" s="644"/>
      <c r="M72">
        <v>22</v>
      </c>
      <c r="N72">
        <v>22</v>
      </c>
      <c r="O72">
        <v>22</v>
      </c>
      <c r="P72">
        <v>22</v>
      </c>
      <c r="Q72">
        <v>22</v>
      </c>
      <c r="R72">
        <v>22</v>
      </c>
      <c r="S72">
        <v>22</v>
      </c>
      <c r="T72" s="851" t="s">
        <v>36</v>
      </c>
      <c r="U72" s="851" t="s">
        <v>36</v>
      </c>
      <c r="V72" s="851" t="s">
        <v>36</v>
      </c>
      <c r="W72" s="851" t="s">
        <v>36</v>
      </c>
      <c r="X72" s="851" t="s">
        <v>36</v>
      </c>
      <c r="Y72" s="644"/>
      <c r="Z72">
        <v>21</v>
      </c>
      <c r="AA72" s="644" t="s">
        <v>36</v>
      </c>
      <c r="AB72" s="644">
        <v>69</v>
      </c>
      <c r="AC72" s="644">
        <v>69</v>
      </c>
      <c r="AD72" s="546" t="s">
        <v>32</v>
      </c>
      <c r="AE72" s="546" t="s">
        <v>32</v>
      </c>
      <c r="AH72" s="1"/>
      <c r="AJ72" s="845">
        <v>149.25</v>
      </c>
      <c r="AK72" s="845"/>
      <c r="AL72" s="845">
        <f t="shared" si="3"/>
        <v>149.25</v>
      </c>
      <c r="AM72" s="846">
        <f t="shared" si="2"/>
        <v>-11.080000000000013</v>
      </c>
      <c r="AN72" s="846">
        <f>IF(AM72="","",AM72+'Juni 2022'!AN72)</f>
        <v>26.509999999999977</v>
      </c>
    </row>
    <row r="73" spans="1:40" ht="22.35" customHeight="1" thickBot="1" x14ac:dyDescent="0.25">
      <c r="A73" s="539"/>
      <c r="B73" s="539" t="s">
        <v>354</v>
      </c>
      <c r="C73" s="476">
        <v>25</v>
      </c>
      <c r="D73" s="1110"/>
      <c r="E73" s="480" t="s">
        <v>127</v>
      </c>
      <c r="F73" s="644" t="s">
        <v>36</v>
      </c>
      <c r="G73" s="644" t="s">
        <v>36</v>
      </c>
      <c r="H73" s="644" t="s">
        <v>36</v>
      </c>
      <c r="I73" s="1306">
        <v>25</v>
      </c>
      <c r="J73" s="1306">
        <v>25</v>
      </c>
      <c r="K73" s="480" t="s">
        <v>127</v>
      </c>
      <c r="L73" s="644" t="s">
        <v>0</v>
      </c>
      <c r="M73" s="848" t="s">
        <v>177</v>
      </c>
      <c r="N73" s="644" t="s">
        <v>177</v>
      </c>
      <c r="O73" s="644" t="s">
        <v>177</v>
      </c>
      <c r="P73" s="644" t="s">
        <v>177</v>
      </c>
      <c r="Q73" s="644" t="s">
        <v>177</v>
      </c>
      <c r="R73" s="1328" t="s">
        <v>0</v>
      </c>
      <c r="S73" s="1365">
        <v>26</v>
      </c>
      <c r="T73" s="488" t="s">
        <v>177</v>
      </c>
      <c r="U73" s="488" t="s">
        <v>177</v>
      </c>
      <c r="V73" s="488" t="s">
        <v>177</v>
      </c>
      <c r="W73" s="476" t="s">
        <v>177</v>
      </c>
      <c r="X73" s="475" t="s">
        <v>177</v>
      </c>
      <c r="Y73" s="644"/>
      <c r="Z73" s="1366" t="s">
        <v>127</v>
      </c>
      <c r="AA73" s="1110" t="s">
        <v>177</v>
      </c>
      <c r="AB73" s="1110" t="s">
        <v>177</v>
      </c>
      <c r="AC73" s="961" t="s">
        <v>177</v>
      </c>
      <c r="AD73" s="1110" t="s">
        <v>177</v>
      </c>
      <c r="AE73" s="1110" t="s">
        <v>177</v>
      </c>
      <c r="AF73" s="644" t="s">
        <v>127</v>
      </c>
      <c r="AG73" s="856" t="s">
        <v>127</v>
      </c>
      <c r="AH73" s="1"/>
      <c r="AJ73" s="845">
        <v>185.5</v>
      </c>
      <c r="AK73" s="845">
        <v>6.75</v>
      </c>
      <c r="AL73" s="845">
        <f t="shared" si="3"/>
        <v>192.25</v>
      </c>
      <c r="AM73" s="846">
        <f t="shared" si="2"/>
        <v>31.919999999999987</v>
      </c>
      <c r="AN73" s="846">
        <f>IF(AM73="","",AM73+'Juni 2022'!AN73)</f>
        <v>62.589999999999975</v>
      </c>
    </row>
    <row r="74" spans="1:40" ht="22.35" customHeight="1" thickBot="1" x14ac:dyDescent="0.25">
      <c r="A74" s="539"/>
      <c r="B74" s="539" t="s">
        <v>355</v>
      </c>
      <c r="C74" s="1110">
        <v>3</v>
      </c>
      <c r="D74" s="1110"/>
      <c r="E74" s="851"/>
      <c r="F74" s="1327">
        <v>9</v>
      </c>
      <c r="G74" s="1329">
        <v>9</v>
      </c>
      <c r="H74" s="1340">
        <v>9</v>
      </c>
      <c r="I74" s="1340">
        <v>9</v>
      </c>
      <c r="J74" s="1340">
        <v>9</v>
      </c>
      <c r="K74" s="1367" t="s">
        <v>80</v>
      </c>
      <c r="L74" s="1340" t="s">
        <v>81</v>
      </c>
      <c r="M74" s="1340" t="s">
        <v>36</v>
      </c>
      <c r="N74" s="1340" t="s">
        <v>36</v>
      </c>
      <c r="O74" s="1340" t="s">
        <v>36</v>
      </c>
      <c r="P74" s="1341" t="s">
        <v>36</v>
      </c>
      <c r="Q74" s="1341" t="s">
        <v>36</v>
      </c>
      <c r="R74" s="1339" t="s">
        <v>82</v>
      </c>
      <c r="S74" s="1368" t="s">
        <v>83</v>
      </c>
      <c r="T74" s="1163">
        <v>6</v>
      </c>
      <c r="U74" s="1163">
        <v>6</v>
      </c>
      <c r="V74" s="1163">
        <v>6</v>
      </c>
      <c r="W74" s="1163">
        <v>6</v>
      </c>
      <c r="X74" s="1163">
        <v>6</v>
      </c>
      <c r="Y74" s="1163"/>
      <c r="Z74" s="1163"/>
      <c r="AA74" s="1163">
        <v>69</v>
      </c>
      <c r="AB74" s="1163">
        <v>69</v>
      </c>
      <c r="AC74" s="1163">
        <v>69</v>
      </c>
      <c r="AD74" s="1163">
        <v>69</v>
      </c>
      <c r="AE74" s="1163">
        <v>69</v>
      </c>
      <c r="AF74" s="644"/>
      <c r="AG74" s="856"/>
      <c r="AH74" s="1"/>
      <c r="AJ74" s="845">
        <f t="shared" ref="AJ74:AJ78" si="4">$AJ$12</f>
        <v>160.33000000000001</v>
      </c>
      <c r="AK74" s="845"/>
      <c r="AL74" s="845">
        <f t="shared" ref="AL74:AL78" si="5">IF(AJ74="","",SUM(AJ74:AK74))</f>
        <v>160.33000000000001</v>
      </c>
      <c r="AM74" s="846">
        <f t="shared" si="2"/>
        <v>0</v>
      </c>
      <c r="AN74" s="846">
        <f>IF(AM74="","",AM74+'Juni 2022'!AN74)</f>
        <v>0</v>
      </c>
    </row>
    <row r="75" spans="1:40" ht="22.35" customHeight="1" x14ac:dyDescent="0.2">
      <c r="A75" s="539"/>
      <c r="B75" s="331" t="s">
        <v>378</v>
      </c>
      <c r="C75" s="1110" t="s">
        <v>36</v>
      </c>
      <c r="D75" s="644"/>
      <c r="E75" s="644"/>
      <c r="F75" s="850" t="s">
        <v>32</v>
      </c>
      <c r="G75" s="480" t="s">
        <v>60</v>
      </c>
      <c r="H75" s="480">
        <v>99</v>
      </c>
      <c r="I75" s="480">
        <v>4</v>
      </c>
      <c r="J75" s="480">
        <v>1</v>
      </c>
      <c r="K75" s="644"/>
      <c r="L75" s="644"/>
      <c r="M75" s="1072">
        <v>79</v>
      </c>
      <c r="N75" s="1072">
        <v>79</v>
      </c>
      <c r="O75" s="828">
        <v>79</v>
      </c>
      <c r="P75" s="828">
        <v>79</v>
      </c>
      <c r="Q75" s="828">
        <v>79</v>
      </c>
      <c r="R75" s="644"/>
      <c r="S75" s="644"/>
      <c r="T75" s="1328">
        <v>69</v>
      </c>
      <c r="U75" s="1327">
        <v>69</v>
      </c>
      <c r="V75" s="1327">
        <v>69</v>
      </c>
      <c r="W75" s="1327">
        <v>69</v>
      </c>
      <c r="X75" s="1327">
        <v>69</v>
      </c>
      <c r="Y75" s="1327"/>
      <c r="Z75" s="1327"/>
      <c r="AA75" s="1329">
        <v>79</v>
      </c>
      <c r="AB75" s="1327">
        <v>79</v>
      </c>
      <c r="AC75" s="1327">
        <v>79</v>
      </c>
      <c r="AD75" s="1327">
        <v>79</v>
      </c>
      <c r="AE75" s="1327">
        <v>79</v>
      </c>
      <c r="AF75" s="1329"/>
      <c r="AG75" s="1337"/>
      <c r="AH75" s="1"/>
      <c r="AJ75" s="845">
        <f t="shared" si="4"/>
        <v>160.33000000000001</v>
      </c>
      <c r="AK75" s="845"/>
      <c r="AL75" s="845">
        <f t="shared" si="5"/>
        <v>160.33000000000001</v>
      </c>
      <c r="AM75" s="846">
        <f t="shared" si="2"/>
        <v>0</v>
      </c>
      <c r="AN75" s="846">
        <f>IF(AM75="","",AM75+'Juni 2022'!AN75)</f>
        <v>0</v>
      </c>
    </row>
    <row r="76" spans="1:40" ht="22.35" customHeight="1" x14ac:dyDescent="0.2">
      <c r="A76" s="539"/>
      <c r="B76" s="331" t="s">
        <v>0</v>
      </c>
      <c r="C76" s="1110" t="s">
        <v>32</v>
      </c>
      <c r="D76" s="644"/>
      <c r="E76" s="644"/>
      <c r="F76" s="644" t="s">
        <v>32</v>
      </c>
      <c r="G76" s="644" t="s">
        <v>32</v>
      </c>
      <c r="H76" s="644" t="s">
        <v>32</v>
      </c>
      <c r="I76" s="644" t="s">
        <v>32</v>
      </c>
      <c r="J76" s="644" t="s">
        <v>32</v>
      </c>
      <c r="K76" s="644"/>
      <c r="L76" s="644"/>
      <c r="M76" s="848" t="s">
        <v>32</v>
      </c>
      <c r="N76" s="644" t="s">
        <v>32</v>
      </c>
      <c r="O76" s="644" t="s">
        <v>32</v>
      </c>
      <c r="P76" s="644" t="s">
        <v>32</v>
      </c>
      <c r="Q76" s="644" t="s">
        <v>32</v>
      </c>
      <c r="R76" s="644"/>
      <c r="S76" s="644"/>
      <c r="T76" s="644" t="s">
        <v>32</v>
      </c>
      <c r="U76" s="644" t="s">
        <v>32</v>
      </c>
      <c r="V76" s="848" t="s">
        <v>32</v>
      </c>
      <c r="W76" s="848" t="s">
        <v>32</v>
      </c>
      <c r="X76" s="848" t="s">
        <v>32</v>
      </c>
      <c r="Y76" s="848"/>
      <c r="Z76" s="848"/>
      <c r="AA76" s="848" t="s">
        <v>32</v>
      </c>
      <c r="AB76" s="848" t="s">
        <v>32</v>
      </c>
      <c r="AC76" s="848" t="s">
        <v>32</v>
      </c>
      <c r="AD76" s="848" t="s">
        <v>32</v>
      </c>
      <c r="AE76" s="848" t="s">
        <v>32</v>
      </c>
      <c r="AF76" s="848"/>
      <c r="AG76" s="856"/>
      <c r="AH76" s="1"/>
      <c r="AJ76" s="845">
        <f t="shared" si="4"/>
        <v>160.33000000000001</v>
      </c>
      <c r="AK76" s="845"/>
      <c r="AL76" s="845">
        <f t="shared" si="5"/>
        <v>160.33000000000001</v>
      </c>
      <c r="AM76" s="846">
        <f t="shared" si="2"/>
        <v>0</v>
      </c>
      <c r="AN76" s="846">
        <f>IF(AM76="","",AM76+'Juni 2022'!AN76)</f>
        <v>0</v>
      </c>
    </row>
    <row r="77" spans="1:40" ht="22.35" customHeight="1" x14ac:dyDescent="0.2">
      <c r="A77" s="977"/>
      <c r="B77" s="933" t="s">
        <v>0</v>
      </c>
      <c r="C77" s="644" t="s">
        <v>32</v>
      </c>
      <c r="D77" s="644"/>
      <c r="E77" s="644"/>
      <c r="F77" s="644" t="s">
        <v>32</v>
      </c>
      <c r="G77" s="644" t="s">
        <v>32</v>
      </c>
      <c r="H77" s="644" t="s">
        <v>32</v>
      </c>
      <c r="I77" s="644" t="s">
        <v>32</v>
      </c>
      <c r="J77" s="644" t="s">
        <v>32</v>
      </c>
      <c r="K77" s="644"/>
      <c r="L77" s="644"/>
      <c r="M77" s="848" t="s">
        <v>32</v>
      </c>
      <c r="N77" s="644" t="s">
        <v>32</v>
      </c>
      <c r="O77" s="644" t="s">
        <v>32</v>
      </c>
      <c r="P77" s="644" t="s">
        <v>32</v>
      </c>
      <c r="Q77" s="644" t="s">
        <v>32</v>
      </c>
      <c r="R77" s="644"/>
      <c r="S77" s="644"/>
      <c r="T77" s="644" t="s">
        <v>32</v>
      </c>
      <c r="U77" s="644" t="s">
        <v>32</v>
      </c>
      <c r="V77" s="848" t="s">
        <v>32</v>
      </c>
      <c r="W77" s="848" t="s">
        <v>32</v>
      </c>
      <c r="X77" s="848" t="s">
        <v>32</v>
      </c>
      <c r="Y77" s="848"/>
      <c r="Z77" s="848"/>
      <c r="AA77" s="848" t="s">
        <v>32</v>
      </c>
      <c r="AB77" s="848" t="s">
        <v>32</v>
      </c>
      <c r="AC77" s="848" t="s">
        <v>32</v>
      </c>
      <c r="AD77" s="848" t="s">
        <v>32</v>
      </c>
      <c r="AE77" s="848" t="s">
        <v>32</v>
      </c>
      <c r="AF77" s="848"/>
      <c r="AG77" s="856"/>
      <c r="AH77" s="1"/>
      <c r="AJ77" s="845">
        <f t="shared" si="4"/>
        <v>160.33000000000001</v>
      </c>
      <c r="AK77" s="845"/>
      <c r="AL77" s="845">
        <f t="shared" si="5"/>
        <v>160.33000000000001</v>
      </c>
      <c r="AM77" s="846">
        <f t="shared" si="2"/>
        <v>0</v>
      </c>
      <c r="AN77" s="846">
        <f>IF(AM77="","",AM77+'Juni 2022'!AN77)</f>
        <v>0</v>
      </c>
    </row>
    <row r="78" spans="1:40" ht="22.35" customHeight="1" x14ac:dyDescent="0.2">
      <c r="A78" s="977"/>
      <c r="B78" s="1182" t="s">
        <v>0</v>
      </c>
      <c r="C78" s="644" t="s">
        <v>32</v>
      </c>
      <c r="D78" s="644" t="s">
        <v>32</v>
      </c>
      <c r="E78" s="644" t="s">
        <v>32</v>
      </c>
      <c r="F78" s="644" t="s">
        <v>32</v>
      </c>
      <c r="G78" s="644" t="s">
        <v>32</v>
      </c>
      <c r="H78" s="644" t="s">
        <v>32</v>
      </c>
      <c r="I78" s="644" t="s">
        <v>32</v>
      </c>
      <c r="J78" s="644" t="s">
        <v>32</v>
      </c>
      <c r="K78" s="644"/>
      <c r="L78" s="644"/>
      <c r="M78" s="644" t="s">
        <v>32</v>
      </c>
      <c r="N78" s="644" t="s">
        <v>32</v>
      </c>
      <c r="O78" s="644" t="s">
        <v>32</v>
      </c>
      <c r="P78" s="644" t="s">
        <v>32</v>
      </c>
      <c r="Q78" s="644" t="s">
        <v>32</v>
      </c>
      <c r="R78" s="644"/>
      <c r="S78" s="644"/>
      <c r="T78" s="851" t="s">
        <v>32</v>
      </c>
      <c r="U78" s="851" t="s">
        <v>32</v>
      </c>
      <c r="V78" s="974" t="s">
        <v>32</v>
      </c>
      <c r="W78" s="851" t="s">
        <v>32</v>
      </c>
      <c r="X78" s="851" t="s">
        <v>32</v>
      </c>
      <c r="Y78" s="644"/>
      <c r="Z78" s="851"/>
      <c r="AA78" s="851" t="s">
        <v>32</v>
      </c>
      <c r="AB78" s="851" t="s">
        <v>32</v>
      </c>
      <c r="AC78" s="851" t="s">
        <v>32</v>
      </c>
      <c r="AD78" s="851" t="s">
        <v>32</v>
      </c>
      <c r="AE78" s="975" t="s">
        <v>32</v>
      </c>
      <c r="AF78" s="851"/>
      <c r="AG78" s="978"/>
      <c r="AH78" s="1"/>
      <c r="AJ78" s="845">
        <f t="shared" si="4"/>
        <v>160.33000000000001</v>
      </c>
      <c r="AK78" s="845"/>
      <c r="AL78" s="845">
        <f t="shared" si="5"/>
        <v>160.33000000000001</v>
      </c>
      <c r="AM78" s="846">
        <f t="shared" si="2"/>
        <v>0</v>
      </c>
      <c r="AN78" s="846">
        <f>IF(AM78="","",AM78+'Juni 2022'!AN78)</f>
        <v>0</v>
      </c>
    </row>
    <row r="79" spans="1:40" ht="22.35" customHeight="1" thickBot="1" x14ac:dyDescent="0.25">
      <c r="A79" s="977"/>
      <c r="B79" s="502"/>
      <c r="C79" s="851"/>
      <c r="D79" s="975"/>
      <c r="E79" s="851"/>
      <c r="F79" s="644"/>
      <c r="G79" s="644"/>
      <c r="H79" s="644"/>
      <c r="I79" s="644"/>
      <c r="J79" s="644"/>
      <c r="K79" s="644"/>
      <c r="L79" s="644"/>
      <c r="M79" s="644"/>
      <c r="N79" s="644"/>
      <c r="O79" s="644"/>
      <c r="P79" s="644"/>
      <c r="Q79" s="644"/>
      <c r="R79" s="644"/>
      <c r="S79" s="644"/>
      <c r="T79" s="851"/>
      <c r="U79" s="851"/>
      <c r="V79" s="974"/>
      <c r="W79" s="851"/>
      <c r="X79" s="851"/>
      <c r="Y79" s="644"/>
      <c r="Z79" s="851"/>
      <c r="AA79" s="851"/>
      <c r="AB79" s="851"/>
      <c r="AC79" s="851"/>
      <c r="AD79" s="851"/>
      <c r="AE79" s="975"/>
      <c r="AF79" s="851"/>
      <c r="AG79" s="978"/>
      <c r="AH79" s="1"/>
      <c r="AJ79" s="845"/>
      <c r="AK79" s="845"/>
      <c r="AL79" s="845" t="str">
        <f t="shared" ref="AL79" si="6">IF(AJ79="","",SUM(AJ79:AK79))</f>
        <v/>
      </c>
      <c r="AM79" s="846" t="str">
        <f t="shared" si="2"/>
        <v/>
      </c>
      <c r="AN79" s="846" t="str">
        <f>IF(AM79="","",AM79+'Juni 2022'!AN79)</f>
        <v/>
      </c>
    </row>
    <row r="80" spans="1:40" ht="22.35" customHeight="1" thickBot="1" x14ac:dyDescent="0.25">
      <c r="A80" s="977"/>
      <c r="B80" s="194" t="s">
        <v>147</v>
      </c>
      <c r="C80" s="796">
        <v>1</v>
      </c>
      <c r="D80" s="795">
        <v>2</v>
      </c>
      <c r="E80" s="795">
        <v>3</v>
      </c>
      <c r="F80" s="796">
        <v>4</v>
      </c>
      <c r="G80" s="796">
        <v>5</v>
      </c>
      <c r="H80" s="796">
        <v>6</v>
      </c>
      <c r="I80" s="796">
        <v>7</v>
      </c>
      <c r="J80" s="796">
        <v>8</v>
      </c>
      <c r="K80" s="795">
        <v>9</v>
      </c>
      <c r="L80" s="795">
        <v>10</v>
      </c>
      <c r="M80" s="796">
        <v>11</v>
      </c>
      <c r="N80" s="796">
        <v>12</v>
      </c>
      <c r="O80" s="796">
        <v>13</v>
      </c>
      <c r="P80" s="796">
        <v>14</v>
      </c>
      <c r="Q80" s="796">
        <v>15</v>
      </c>
      <c r="R80" s="795">
        <v>16</v>
      </c>
      <c r="S80" s="795">
        <v>17</v>
      </c>
      <c r="T80" s="796">
        <v>18</v>
      </c>
      <c r="U80" s="796">
        <v>19</v>
      </c>
      <c r="V80" s="796">
        <v>20</v>
      </c>
      <c r="W80" s="796">
        <v>21</v>
      </c>
      <c r="X80" s="796">
        <v>22</v>
      </c>
      <c r="Y80" s="795">
        <v>23</v>
      </c>
      <c r="Z80" s="795">
        <v>24</v>
      </c>
      <c r="AA80" s="796">
        <v>25</v>
      </c>
      <c r="AB80" s="796">
        <v>26</v>
      </c>
      <c r="AC80" s="796">
        <v>27</v>
      </c>
      <c r="AD80" s="796">
        <v>28</v>
      </c>
      <c r="AE80" s="796">
        <v>29</v>
      </c>
      <c r="AF80" s="795">
        <v>30</v>
      </c>
      <c r="AG80" s="1300">
        <v>31</v>
      </c>
      <c r="AH80" s="1"/>
    </row>
    <row r="81" spans="1:36" ht="22.35" customHeight="1" thickBot="1" x14ac:dyDescent="0.25">
      <c r="A81" s="979"/>
      <c r="B81" s="335" t="s">
        <v>357</v>
      </c>
      <c r="C81" s="644">
        <v>89</v>
      </c>
      <c r="D81" s="644" t="s">
        <v>0</v>
      </c>
      <c r="E81" s="845"/>
      <c r="F81" s="920">
        <v>7</v>
      </c>
      <c r="G81" s="920">
        <v>7</v>
      </c>
      <c r="H81" s="930">
        <v>7</v>
      </c>
      <c r="I81" s="920">
        <v>7</v>
      </c>
      <c r="J81" s="920">
        <v>7</v>
      </c>
      <c r="K81" s="908"/>
      <c r="L81" s="908"/>
      <c r="M81" s="908">
        <v>4</v>
      </c>
      <c r="N81" s="908">
        <v>4</v>
      </c>
      <c r="O81" s="908">
        <v>4</v>
      </c>
      <c r="P81" s="908">
        <v>4</v>
      </c>
      <c r="Q81" s="908">
        <v>4</v>
      </c>
      <c r="R81" s="796"/>
      <c r="S81" s="908"/>
      <c r="T81" s="908">
        <v>3</v>
      </c>
      <c r="U81" s="908">
        <v>3</v>
      </c>
      <c r="V81" s="908">
        <v>3</v>
      </c>
      <c r="W81" s="908">
        <v>3</v>
      </c>
      <c r="X81" s="920">
        <v>3</v>
      </c>
      <c r="Y81" s="813" t="s">
        <v>80</v>
      </c>
      <c r="Z81" s="741"/>
      <c r="AA81" s="741">
        <v>1</v>
      </c>
      <c r="AB81" s="809">
        <v>1</v>
      </c>
      <c r="AC81" s="809">
        <v>1</v>
      </c>
      <c r="AD81" s="809">
        <v>1</v>
      </c>
      <c r="AE81" s="809">
        <v>1</v>
      </c>
      <c r="AF81" s="813" t="s">
        <v>57</v>
      </c>
      <c r="AG81" s="1199"/>
      <c r="AH81" s="1"/>
    </row>
    <row r="82" spans="1:36" ht="22.35" customHeight="1" thickBot="1" x14ac:dyDescent="0.25">
      <c r="A82" s="333"/>
      <c r="B82" s="1182" t="s">
        <v>379</v>
      </c>
      <c r="C82" s="644" t="s">
        <v>0</v>
      </c>
      <c r="D82" s="644" t="s">
        <v>0</v>
      </c>
      <c r="E82" s="644" t="s">
        <v>0</v>
      </c>
      <c r="F82" s="644" t="s">
        <v>0</v>
      </c>
      <c r="G82" s="644" t="s">
        <v>0</v>
      </c>
      <c r="H82" s="644" t="s">
        <v>0</v>
      </c>
      <c r="I82" s="644" t="s">
        <v>0</v>
      </c>
      <c r="J82" s="644" t="s">
        <v>0</v>
      </c>
      <c r="K82" s="644" t="s">
        <v>0</v>
      </c>
      <c r="L82" s="644" t="s">
        <v>0</v>
      </c>
      <c r="M82" s="644" t="s">
        <v>0</v>
      </c>
      <c r="N82" s="644" t="s">
        <v>0</v>
      </c>
      <c r="O82" s="644" t="s">
        <v>0</v>
      </c>
      <c r="P82" s="644" t="s">
        <v>0</v>
      </c>
      <c r="Q82" s="644" t="s">
        <v>0</v>
      </c>
      <c r="R82" s="644" t="s">
        <v>0</v>
      </c>
      <c r="S82" s="644" t="s">
        <v>0</v>
      </c>
      <c r="T82" s="644" t="s">
        <v>0</v>
      </c>
      <c r="U82" s="644" t="s">
        <v>0</v>
      </c>
      <c r="V82" s="644" t="s">
        <v>0</v>
      </c>
      <c r="W82" s="644" t="s">
        <v>0</v>
      </c>
      <c r="X82" s="644" t="s">
        <v>0</v>
      </c>
      <c r="Y82" s="644" t="s">
        <v>0</v>
      </c>
      <c r="Z82" s="644" t="s">
        <v>0</v>
      </c>
      <c r="AA82" s="644" t="s">
        <v>0</v>
      </c>
      <c r="AB82" s="644" t="s">
        <v>0</v>
      </c>
      <c r="AC82" s="480" t="s">
        <v>58</v>
      </c>
      <c r="AD82" s="480">
        <v>99</v>
      </c>
      <c r="AE82" s="480" t="s">
        <v>60</v>
      </c>
      <c r="AF82" s="644" t="s">
        <v>0</v>
      </c>
      <c r="AG82" s="644" t="s">
        <v>0</v>
      </c>
      <c r="AH82" s="1"/>
    </row>
    <row r="83" spans="1:36" ht="22.35" customHeight="1" x14ac:dyDescent="0.2">
      <c r="A83" s="333"/>
      <c r="B83" s="547" t="s">
        <v>359</v>
      </c>
      <c r="C83" s="644" t="s">
        <v>58</v>
      </c>
      <c r="D83" s="644"/>
      <c r="E83" s="644"/>
      <c r="F83" s="480">
        <v>8</v>
      </c>
      <c r="G83" s="480">
        <v>8</v>
      </c>
      <c r="H83" s="480">
        <v>8</v>
      </c>
      <c r="I83" s="480">
        <v>8</v>
      </c>
      <c r="J83" s="480">
        <v>8</v>
      </c>
      <c r="K83" s="1369" t="s">
        <v>83</v>
      </c>
      <c r="L83" s="1370" t="s">
        <v>83</v>
      </c>
      <c r="M83" s="851" t="s">
        <v>36</v>
      </c>
      <c r="N83" s="851" t="s">
        <v>36</v>
      </c>
      <c r="O83" s="851" t="s">
        <v>36</v>
      </c>
      <c r="P83" s="851" t="s">
        <v>36</v>
      </c>
      <c r="Q83" s="851" t="s">
        <v>36</v>
      </c>
      <c r="R83" s="1333" t="s">
        <v>82</v>
      </c>
      <c r="S83" s="1365" t="s">
        <v>83</v>
      </c>
      <c r="T83" s="644">
        <v>6</v>
      </c>
      <c r="U83" s="644">
        <v>6</v>
      </c>
      <c r="V83" s="644">
        <v>6</v>
      </c>
      <c r="W83" s="644">
        <v>6</v>
      </c>
      <c r="X83" s="644">
        <v>6</v>
      </c>
      <c r="Y83" s="848"/>
      <c r="Z83" s="848"/>
      <c r="AA83" s="848">
        <v>7</v>
      </c>
      <c r="AB83" s="848">
        <v>7</v>
      </c>
      <c r="AC83" s="848">
        <v>7</v>
      </c>
      <c r="AD83" s="1112">
        <v>7</v>
      </c>
      <c r="AE83" s="848">
        <v>7</v>
      </c>
      <c r="AF83" s="848"/>
      <c r="AG83" s="856"/>
      <c r="AH83" s="1"/>
    </row>
    <row r="84" spans="1:36" ht="22.35" customHeight="1" thickBot="1" x14ac:dyDescent="0.25">
      <c r="A84" s="333"/>
      <c r="B84" s="547" t="s">
        <v>380</v>
      </c>
      <c r="C84" s="851"/>
      <c r="D84" s="851"/>
      <c r="E84" s="851"/>
      <c r="F84" s="851"/>
      <c r="G84" s="851"/>
      <c r="H84" s="851"/>
      <c r="I84" s="851"/>
      <c r="J84" s="851"/>
      <c r="K84" s="851"/>
      <c r="L84" s="851"/>
      <c r="M84" s="851"/>
      <c r="N84" s="851"/>
      <c r="O84" s="851"/>
      <c r="P84" s="851"/>
      <c r="Q84" s="851"/>
      <c r="R84" s="851"/>
      <c r="S84" s="851"/>
      <c r="T84" s="851"/>
      <c r="U84" s="644" t="s">
        <v>32</v>
      </c>
      <c r="V84" s="1072">
        <v>89</v>
      </c>
      <c r="W84" s="987" t="s">
        <v>58</v>
      </c>
      <c r="X84" s="1072">
        <v>89</v>
      </c>
      <c r="Y84" s="848"/>
      <c r="Z84" s="848"/>
      <c r="AA84" s="969" t="s">
        <v>128</v>
      </c>
      <c r="AB84" s="969" t="s">
        <v>128</v>
      </c>
      <c r="AC84" s="969" t="s">
        <v>128</v>
      </c>
      <c r="AD84" s="969" t="s">
        <v>128</v>
      </c>
      <c r="AE84" s="969" t="s">
        <v>128</v>
      </c>
      <c r="AF84" s="848"/>
      <c r="AG84" s="856"/>
      <c r="AH84" s="1"/>
    </row>
    <row r="85" spans="1:36" ht="22.35" customHeight="1" x14ac:dyDescent="0.2">
      <c r="A85" s="333"/>
      <c r="B85" s="547" t="s">
        <v>381</v>
      </c>
      <c r="C85" s="851"/>
      <c r="D85" s="851"/>
      <c r="E85" s="851"/>
      <c r="F85" s="851"/>
      <c r="G85" s="851"/>
      <c r="H85" s="851"/>
      <c r="I85" s="851"/>
      <c r="J85" s="851"/>
      <c r="K85" s="851"/>
      <c r="L85" s="851"/>
      <c r="M85" s="851"/>
      <c r="N85" s="851"/>
      <c r="O85" s="851"/>
      <c r="P85" s="851"/>
      <c r="Q85" s="851"/>
      <c r="R85" s="851"/>
      <c r="S85" s="851"/>
      <c r="T85" s="851"/>
      <c r="U85" s="851"/>
      <c r="V85" s="851"/>
      <c r="W85" s="851"/>
      <c r="X85" s="851"/>
      <c r="Y85" s="851"/>
      <c r="Z85" s="851"/>
      <c r="AA85" s="851"/>
      <c r="AB85" s="851"/>
      <c r="AC85" s="644" t="s">
        <v>0</v>
      </c>
      <c r="AD85" s="480" t="s">
        <v>60</v>
      </c>
      <c r="AE85" s="1235" t="s">
        <v>382</v>
      </c>
      <c r="AF85" s="1235" t="s">
        <v>382</v>
      </c>
      <c r="AG85" s="1235" t="s">
        <v>382</v>
      </c>
      <c r="AH85" s="1"/>
    </row>
    <row r="86" spans="1:36" ht="22.35" customHeight="1" x14ac:dyDescent="0.2">
      <c r="A86" s="333"/>
      <c r="B86" s="547"/>
      <c r="C86" s="548"/>
      <c r="D86" s="548"/>
      <c r="E86" s="548"/>
      <c r="F86" s="851"/>
      <c r="G86" s="851"/>
      <c r="H86" s="851"/>
      <c r="I86" s="851"/>
      <c r="J86" s="851"/>
      <c r="K86" s="851"/>
      <c r="L86" s="851"/>
      <c r="M86" s="851"/>
      <c r="N86" s="851"/>
      <c r="O86" s="851"/>
      <c r="P86" s="851"/>
      <c r="Q86" s="851"/>
      <c r="R86" s="851"/>
      <c r="S86" s="851"/>
      <c r="T86" s="851"/>
      <c r="U86" s="851"/>
      <c r="V86" s="851"/>
      <c r="W86" s="851"/>
      <c r="X86" s="851"/>
      <c r="Y86" s="548"/>
      <c r="Z86" s="548"/>
      <c r="AA86" s="851"/>
      <c r="AB86" s="851"/>
      <c r="AC86" s="851"/>
      <c r="AD86" s="851"/>
      <c r="AE86" s="851"/>
      <c r="AF86" s="548"/>
      <c r="AG86" s="549"/>
      <c r="AH86" s="1"/>
    </row>
    <row r="87" spans="1:36" ht="22.35" customHeight="1" thickBot="1" x14ac:dyDescent="0.25">
      <c r="A87" s="333"/>
      <c r="B87" s="547" t="s">
        <v>383</v>
      </c>
      <c r="C87" s="498"/>
      <c r="D87" s="498"/>
      <c r="E87" s="498"/>
      <c r="F87" s="850" t="s">
        <v>32</v>
      </c>
      <c r="G87" s="480">
        <v>99</v>
      </c>
      <c r="H87" s="480" t="s">
        <v>60</v>
      </c>
      <c r="I87" s="480">
        <v>1</v>
      </c>
      <c r="J87" s="644" t="s">
        <v>58</v>
      </c>
      <c r="K87" s="644"/>
      <c r="L87" s="644"/>
      <c r="M87" s="644" t="s">
        <v>58</v>
      </c>
      <c r="N87" s="644" t="s">
        <v>58</v>
      </c>
      <c r="O87" s="644" t="s">
        <v>257</v>
      </c>
      <c r="P87" s="644" t="s">
        <v>257</v>
      </c>
      <c r="Q87" s="644" t="s">
        <v>257</v>
      </c>
      <c r="R87" s="644"/>
      <c r="S87" s="644"/>
      <c r="T87" s="644" t="s">
        <v>257</v>
      </c>
      <c r="U87" s="644" t="s">
        <v>257</v>
      </c>
      <c r="V87" s="644" t="s">
        <v>257</v>
      </c>
      <c r="W87" s="644" t="s">
        <v>257</v>
      </c>
      <c r="X87" s="644" t="s">
        <v>257</v>
      </c>
      <c r="Y87" s="538"/>
      <c r="Z87" s="538"/>
      <c r="AA87" s="647" t="s">
        <v>257</v>
      </c>
      <c r="AB87" s="647" t="s">
        <v>257</v>
      </c>
      <c r="AC87" s="647" t="s">
        <v>257</v>
      </c>
      <c r="AD87" s="647" t="s">
        <v>257</v>
      </c>
      <c r="AE87" s="647" t="s">
        <v>257</v>
      </c>
      <c r="AF87" s="538"/>
      <c r="AG87" s="334"/>
      <c r="AH87" s="1"/>
    </row>
    <row r="88" spans="1:36" ht="22.35" customHeight="1" thickBot="1" x14ac:dyDescent="0.25">
      <c r="A88" s="64"/>
      <c r="B88" s="1371" t="s">
        <v>150</v>
      </c>
      <c r="C88" s="1372"/>
      <c r="D88" s="1373"/>
      <c r="E88" s="1373"/>
      <c r="F88" s="1373"/>
      <c r="G88" s="1373"/>
      <c r="H88" s="1373"/>
      <c r="I88" s="1372"/>
      <c r="J88" s="1372"/>
      <c r="K88" s="1373"/>
      <c r="L88" s="1373"/>
      <c r="M88" s="1373"/>
      <c r="N88" s="1373"/>
      <c r="O88" s="1373"/>
      <c r="P88" s="1372"/>
      <c r="Q88" s="1372"/>
      <c r="R88" s="1372"/>
      <c r="S88" s="1374"/>
      <c r="T88" s="1374"/>
      <c r="U88" s="1374"/>
      <c r="V88" s="1372"/>
      <c r="W88" s="1372"/>
      <c r="X88" s="1372"/>
      <c r="Y88" s="1372"/>
      <c r="Z88" s="1372"/>
      <c r="AA88" s="1372"/>
      <c r="AB88" s="1372"/>
      <c r="AC88" s="1372"/>
      <c r="AD88" s="1372"/>
      <c r="AE88" s="1372"/>
      <c r="AF88" s="1372"/>
      <c r="AG88" s="1375"/>
      <c r="AH88" s="1"/>
      <c r="AJ88" s="183"/>
    </row>
    <row r="89" spans="1:36" ht="22.35" customHeight="1" thickBot="1" x14ac:dyDescent="0.25">
      <c r="A89" s="1376"/>
      <c r="B89" s="1377" t="s">
        <v>151</v>
      </c>
      <c r="C89" s="741">
        <v>6</v>
      </c>
      <c r="D89" s="741"/>
      <c r="E89" s="741"/>
      <c r="F89" s="815" t="s">
        <v>36</v>
      </c>
      <c r="G89" s="809" t="s">
        <v>36</v>
      </c>
      <c r="H89" s="809" t="s">
        <v>36</v>
      </c>
      <c r="I89" s="809" t="s">
        <v>36</v>
      </c>
      <c r="J89" s="809" t="s">
        <v>36</v>
      </c>
      <c r="K89" s="809"/>
      <c r="L89" s="809"/>
      <c r="M89" s="809">
        <v>5</v>
      </c>
      <c r="N89" s="809">
        <v>5</v>
      </c>
      <c r="O89" s="809">
        <v>5</v>
      </c>
      <c r="P89" s="809">
        <v>5</v>
      </c>
      <c r="Q89" s="809">
        <v>5</v>
      </c>
      <c r="R89" s="809"/>
      <c r="S89" s="809"/>
      <c r="T89" s="809">
        <v>10</v>
      </c>
      <c r="U89" s="809">
        <v>10</v>
      </c>
      <c r="V89" s="809">
        <v>10</v>
      </c>
      <c r="W89" s="815">
        <v>10</v>
      </c>
      <c r="X89" s="868">
        <v>10</v>
      </c>
      <c r="Y89" s="814" t="s">
        <v>81</v>
      </c>
      <c r="Z89" s="868" t="s">
        <v>81</v>
      </c>
      <c r="AA89" s="868" t="s">
        <v>36</v>
      </c>
      <c r="AB89" s="868" t="s">
        <v>36</v>
      </c>
      <c r="AC89" s="868" t="s">
        <v>36</v>
      </c>
      <c r="AD89" s="868" t="s">
        <v>36</v>
      </c>
      <c r="AE89" s="868" t="s">
        <v>36</v>
      </c>
      <c r="AF89" s="868" t="s">
        <v>57</v>
      </c>
      <c r="AG89" s="917" t="s">
        <v>57</v>
      </c>
      <c r="AH89" s="1"/>
      <c r="AJ89" s="216"/>
    </row>
    <row r="90" spans="1:36" ht="22.35" customHeight="1" x14ac:dyDescent="0.2">
      <c r="A90" s="324"/>
      <c r="AH90" s="1"/>
    </row>
    <row r="91" spans="1:36" ht="22.35" customHeight="1" thickBot="1" x14ac:dyDescent="0.25">
      <c r="A91" s="983"/>
      <c r="B91" s="748" t="s">
        <v>29</v>
      </c>
      <c r="C91" s="796">
        <v>1</v>
      </c>
      <c r="D91" s="795">
        <v>2</v>
      </c>
      <c r="E91" s="795">
        <v>3</v>
      </c>
      <c r="F91" s="796">
        <v>4</v>
      </c>
      <c r="G91" s="796">
        <v>5</v>
      </c>
      <c r="H91" s="796">
        <v>6</v>
      </c>
      <c r="I91" s="796">
        <v>7</v>
      </c>
      <c r="J91" s="796">
        <v>8</v>
      </c>
      <c r="K91" s="795">
        <v>9</v>
      </c>
      <c r="L91" s="795">
        <v>10</v>
      </c>
      <c r="M91" s="796">
        <v>11</v>
      </c>
      <c r="N91" s="796">
        <v>12</v>
      </c>
      <c r="O91" s="796">
        <v>13</v>
      </c>
      <c r="P91" s="796">
        <v>14</v>
      </c>
      <c r="Q91" s="796">
        <v>15</v>
      </c>
      <c r="R91" s="795">
        <v>16</v>
      </c>
      <c r="S91" s="795">
        <v>17</v>
      </c>
      <c r="T91" s="796">
        <v>18</v>
      </c>
      <c r="U91" s="796">
        <v>19</v>
      </c>
      <c r="V91" s="796">
        <v>20</v>
      </c>
      <c r="W91" s="796">
        <v>21</v>
      </c>
      <c r="X91" s="796">
        <v>22</v>
      </c>
      <c r="Y91" s="795">
        <v>23</v>
      </c>
      <c r="Z91" s="795">
        <v>24</v>
      </c>
      <c r="AA91" s="796">
        <v>25</v>
      </c>
      <c r="AB91" s="796">
        <v>26</v>
      </c>
      <c r="AC91" s="796">
        <v>27</v>
      </c>
      <c r="AD91" s="796">
        <v>28</v>
      </c>
      <c r="AE91" s="796">
        <v>29</v>
      </c>
      <c r="AF91" s="795">
        <v>30</v>
      </c>
      <c r="AG91" s="1300">
        <v>31</v>
      </c>
      <c r="AH91" s="1"/>
    </row>
    <row r="92" spans="1:36" ht="22.35" customHeight="1" x14ac:dyDescent="0.2">
      <c r="A92" s="983"/>
      <c r="B92" s="1378" t="s">
        <v>152</v>
      </c>
      <c r="C92" s="1328"/>
      <c r="D92" s="1348"/>
      <c r="E92" s="1328"/>
      <c r="F92" s="1328"/>
      <c r="G92" s="1328"/>
      <c r="H92" s="1328"/>
      <c r="I92" s="1328"/>
      <c r="J92" s="1328"/>
      <c r="K92" s="1328"/>
      <c r="L92" s="1328"/>
      <c r="M92" s="1328"/>
      <c r="N92" s="1328"/>
      <c r="O92" s="1328"/>
      <c r="P92" s="1328"/>
      <c r="Q92" s="1328"/>
      <c r="R92" s="1328"/>
      <c r="S92" s="1328"/>
      <c r="T92" s="1328"/>
      <c r="U92" s="1328"/>
      <c r="V92" s="1328"/>
      <c r="W92" s="1328"/>
      <c r="X92" s="1328"/>
      <c r="Y92" s="1328"/>
      <c r="Z92" s="1328"/>
      <c r="AA92" s="1328"/>
      <c r="AB92" s="1328"/>
      <c r="AC92" s="1328"/>
      <c r="AD92" s="1328"/>
      <c r="AE92" s="1328"/>
      <c r="AF92" s="1328"/>
      <c r="AG92" s="1350"/>
      <c r="AH92" s="1"/>
    </row>
    <row r="93" spans="1:36" ht="22.35" customHeight="1" x14ac:dyDescent="0.2">
      <c r="A93" s="983"/>
      <c r="B93" s="819"/>
      <c r="C93" s="985"/>
      <c r="D93" s="985"/>
      <c r="E93" s="985"/>
      <c r="F93" s="809"/>
      <c r="G93" s="809"/>
      <c r="H93" s="985"/>
      <c r="I93" s="985"/>
      <c r="J93" s="985"/>
      <c r="K93" s="985"/>
      <c r="L93" s="985"/>
      <c r="M93" s="985"/>
      <c r="N93" s="985"/>
      <c r="O93" s="985"/>
      <c r="P93" s="985"/>
      <c r="Q93" s="985"/>
      <c r="R93" s="985"/>
      <c r="S93" s="985"/>
      <c r="T93" s="814"/>
      <c r="U93" s="985"/>
      <c r="V93" s="985"/>
      <c r="W93" s="985"/>
      <c r="X93" s="985"/>
      <c r="Y93" s="985"/>
      <c r="Z93" s="985"/>
      <c r="AA93" s="985"/>
      <c r="AB93" s="985"/>
      <c r="AC93" s="985"/>
      <c r="AD93" s="985"/>
      <c r="AE93" s="985"/>
      <c r="AF93" s="985"/>
      <c r="AG93" s="986"/>
      <c r="AH93" s="1"/>
    </row>
    <row r="94" spans="1:36" ht="22.35" customHeight="1" x14ac:dyDescent="0.2">
      <c r="A94" s="983"/>
      <c r="B94" s="819"/>
      <c r="C94" s="814"/>
      <c r="D94" s="814"/>
      <c r="E94" s="814"/>
      <c r="F94" s="814"/>
      <c r="G94" s="814"/>
      <c r="H94" s="814"/>
      <c r="I94" s="814"/>
      <c r="J94" s="814"/>
      <c r="K94" s="814"/>
      <c r="L94" s="814"/>
      <c r="M94" s="814"/>
      <c r="N94" s="814"/>
      <c r="O94" s="814"/>
      <c r="P94" s="814"/>
      <c r="Q94" s="814"/>
      <c r="R94" s="814"/>
      <c r="S94" s="814"/>
      <c r="T94" s="814"/>
      <c r="U94" s="814"/>
      <c r="V94" s="814"/>
      <c r="W94" s="814"/>
      <c r="X94" s="814"/>
      <c r="Y94" s="814"/>
      <c r="Z94" s="814"/>
      <c r="AA94" s="814"/>
      <c r="AB94" s="814"/>
      <c r="AC94" s="814"/>
      <c r="AD94" s="814"/>
      <c r="AE94" s="814"/>
      <c r="AF94" s="814"/>
      <c r="AG94" s="1199"/>
      <c r="AH94" s="1"/>
    </row>
    <row r="95" spans="1:36" ht="22.35" customHeight="1" thickBot="1" x14ac:dyDescent="0.25">
      <c r="A95" s="197"/>
      <c r="B95" s="905"/>
      <c r="C95" s="987"/>
      <c r="D95" s="987"/>
      <c r="E95" s="987"/>
      <c r="F95" s="987"/>
      <c r="G95" s="987"/>
      <c r="H95" s="987"/>
      <c r="I95" s="987"/>
      <c r="J95" s="987"/>
      <c r="K95" s="987"/>
      <c r="L95" s="987"/>
      <c r="M95" s="987"/>
      <c r="N95" s="987"/>
      <c r="O95" s="987"/>
      <c r="P95" s="987"/>
      <c r="Q95" s="987"/>
      <c r="R95" s="987"/>
      <c r="S95" s="987"/>
      <c r="T95" s="987"/>
      <c r="U95" s="987"/>
      <c r="V95" s="987"/>
      <c r="W95" s="987"/>
      <c r="X95" s="987"/>
      <c r="Y95" s="987"/>
      <c r="Z95" s="987"/>
      <c r="AA95" s="987"/>
      <c r="AB95" s="987"/>
      <c r="AC95" s="987"/>
      <c r="AD95" s="987"/>
      <c r="AE95" s="987"/>
      <c r="AF95" s="987"/>
      <c r="AG95" s="797"/>
      <c r="AH95" s="1"/>
    </row>
    <row r="96" spans="1:36" ht="22.35" customHeight="1" x14ac:dyDescent="0.2">
      <c r="B96" s="198"/>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c r="AA96" s="199"/>
      <c r="AB96" s="199"/>
      <c r="AC96" s="199"/>
      <c r="AD96" s="199"/>
      <c r="AE96" s="199"/>
      <c r="AF96" s="199"/>
      <c r="AG96" s="199"/>
      <c r="AH96" s="1"/>
    </row>
    <row r="97" spans="1:35" ht="22.35" customHeight="1" x14ac:dyDescent="0.2">
      <c r="B97" s="198"/>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c r="AA97" s="199"/>
      <c r="AB97" s="199"/>
      <c r="AC97" s="199"/>
      <c r="AD97" s="199"/>
      <c r="AE97" s="199"/>
      <c r="AF97" s="199"/>
      <c r="AG97" s="199"/>
      <c r="AH97" s="1"/>
    </row>
    <row r="98" spans="1:35" ht="22.35" customHeight="1" thickBot="1" x14ac:dyDescent="0.25">
      <c r="A98" s="169" t="s">
        <v>156</v>
      </c>
    </row>
    <row r="99" spans="1:35" ht="22.35" customHeight="1" thickBot="1" x14ac:dyDescent="0.25">
      <c r="B99" s="1379" t="s">
        <v>157</v>
      </c>
      <c r="C99" s="1380"/>
      <c r="D99" s="1319" t="s">
        <v>107</v>
      </c>
      <c r="E99" s="1319"/>
      <c r="F99" s="1381"/>
      <c r="G99" s="1380"/>
      <c r="H99" s="1319" t="s">
        <v>108</v>
      </c>
      <c r="I99" s="1319"/>
      <c r="J99" s="1381"/>
      <c r="K99" s="1380"/>
      <c r="L99" s="1319" t="s">
        <v>109</v>
      </c>
      <c r="M99" s="1319"/>
      <c r="N99" s="1381"/>
      <c r="O99" s="1380"/>
      <c r="P99" s="1319" t="s">
        <v>110</v>
      </c>
      <c r="Q99" s="1319"/>
      <c r="R99" s="1381"/>
      <c r="S99" s="1380"/>
      <c r="T99" s="1319" t="s">
        <v>111</v>
      </c>
      <c r="U99" s="1319"/>
      <c r="V99" s="1381"/>
      <c r="W99" s="1380"/>
      <c r="X99" s="1319" t="s">
        <v>112</v>
      </c>
      <c r="Y99" s="1319"/>
      <c r="Z99" s="1381"/>
      <c r="AA99" s="1380"/>
      <c r="AB99" s="1319" t="s">
        <v>113</v>
      </c>
      <c r="AC99" s="1319"/>
      <c r="AD99" s="1319"/>
      <c r="AE99" s="1319" t="s">
        <v>158</v>
      </c>
      <c r="AF99" s="1319"/>
      <c r="AG99" s="1319"/>
      <c r="AH99" s="1319"/>
      <c r="AI99" s="1382"/>
    </row>
    <row r="100" spans="1:35" ht="22.35" customHeight="1" x14ac:dyDescent="0.2">
      <c r="B100" s="1383" t="s">
        <v>159</v>
      </c>
      <c r="C100" s="1384" t="s">
        <v>160</v>
      </c>
      <c r="D100" s="1319"/>
      <c r="E100" s="1323"/>
      <c r="F100" s="1385"/>
      <c r="G100" s="1384" t="s">
        <v>160</v>
      </c>
      <c r="H100" s="1386"/>
      <c r="I100" s="1323"/>
      <c r="J100" s="1385"/>
      <c r="K100" s="1387" t="s">
        <v>160</v>
      </c>
      <c r="L100" s="1319"/>
      <c r="M100" s="1319"/>
      <c r="N100" s="1381"/>
      <c r="O100" s="1387" t="s">
        <v>161</v>
      </c>
      <c r="P100" s="1388"/>
      <c r="Q100" s="1323"/>
      <c r="R100" s="1385"/>
      <c r="S100" s="1384" t="s">
        <v>162</v>
      </c>
      <c r="T100" s="1323"/>
      <c r="U100" s="1323"/>
      <c r="V100" s="1323"/>
      <c r="W100" s="1389"/>
      <c r="X100" s="1390"/>
      <c r="Y100" s="1390"/>
      <c r="Z100" s="1391"/>
      <c r="AA100" s="1323"/>
      <c r="AB100" s="1323"/>
      <c r="AC100" s="1323"/>
      <c r="AD100" s="1323"/>
      <c r="AE100" s="1392">
        <v>37</v>
      </c>
      <c r="AF100" s="1319"/>
      <c r="AG100" s="1323"/>
      <c r="AH100" s="1323"/>
      <c r="AI100" s="1324"/>
    </row>
    <row r="101" spans="1:35" ht="22.35" customHeight="1" x14ac:dyDescent="0.2">
      <c r="B101" s="749" t="s">
        <v>163</v>
      </c>
      <c r="C101" s="1002" t="s">
        <v>164</v>
      </c>
      <c r="D101" s="743"/>
      <c r="E101" s="743"/>
      <c r="F101" s="787"/>
      <c r="G101" s="1002" t="s">
        <v>165</v>
      </c>
      <c r="H101" s="886"/>
      <c r="I101" s="743"/>
      <c r="J101" s="787"/>
      <c r="K101" s="1002" t="s">
        <v>166</v>
      </c>
      <c r="L101" s="743" t="s">
        <v>167</v>
      </c>
      <c r="M101" s="743"/>
      <c r="N101" s="787"/>
      <c r="O101" s="1002" t="s">
        <v>166</v>
      </c>
      <c r="P101" s="886" t="s">
        <v>167</v>
      </c>
      <c r="Q101" s="743"/>
      <c r="R101" s="787"/>
      <c r="S101" s="1002" t="s">
        <v>165</v>
      </c>
      <c r="T101" s="743" t="s">
        <v>168</v>
      </c>
      <c r="U101" s="743"/>
      <c r="V101" s="787"/>
      <c r="W101" s="8" t="s">
        <v>127</v>
      </c>
      <c r="X101" s="14" t="s">
        <v>169</v>
      </c>
      <c r="Y101" s="14"/>
      <c r="Z101" s="14"/>
      <c r="AA101" s="742" t="s">
        <v>127</v>
      </c>
      <c r="AB101" s="743" t="s">
        <v>169</v>
      </c>
      <c r="AC101" s="742"/>
      <c r="AD101" s="742"/>
      <c r="AE101" s="742">
        <v>68</v>
      </c>
      <c r="AF101" s="743"/>
      <c r="AG101" s="743"/>
      <c r="AH101" s="743"/>
      <c r="AI101" s="788"/>
    </row>
    <row r="102" spans="1:35" ht="22.35" customHeight="1" x14ac:dyDescent="0.2">
      <c r="B102" s="749" t="s">
        <v>170</v>
      </c>
      <c r="C102" s="698" t="s">
        <v>171</v>
      </c>
      <c r="D102" s="743"/>
      <c r="E102" s="743"/>
      <c r="F102" s="787"/>
      <c r="G102" s="886" t="s">
        <v>171</v>
      </c>
      <c r="H102" s="886"/>
      <c r="I102" s="743"/>
      <c r="J102" s="787"/>
      <c r="K102" s="886" t="s">
        <v>171</v>
      </c>
      <c r="L102" s="743"/>
      <c r="M102" s="743"/>
      <c r="N102" s="787"/>
      <c r="O102" s="886" t="s">
        <v>171</v>
      </c>
      <c r="P102" s="886"/>
      <c r="Q102" s="743"/>
      <c r="R102" s="787"/>
      <c r="S102" s="886" t="s">
        <v>171</v>
      </c>
      <c r="T102" s="743"/>
      <c r="U102" s="743"/>
      <c r="V102" s="787"/>
      <c r="W102" s="742"/>
      <c r="X102" s="743"/>
      <c r="Y102" s="743"/>
      <c r="Z102" s="787"/>
      <c r="AA102" s="742"/>
      <c r="AB102" s="743"/>
      <c r="AC102" s="743"/>
      <c r="AD102" s="743"/>
      <c r="AE102" s="742">
        <v>0</v>
      </c>
      <c r="AF102" s="743"/>
      <c r="AG102" s="743"/>
      <c r="AH102" s="743"/>
      <c r="AI102" s="788"/>
    </row>
    <row r="103" spans="1:35" ht="22.35" customHeight="1" thickBot="1" x14ac:dyDescent="0.25">
      <c r="B103" s="1003" t="s">
        <v>172</v>
      </c>
      <c r="C103" s="1004" t="s">
        <v>160</v>
      </c>
      <c r="D103" s="276"/>
      <c r="E103" s="734"/>
      <c r="F103" s="889"/>
      <c r="G103" s="1004" t="s">
        <v>160</v>
      </c>
      <c r="H103" s="278"/>
      <c r="I103" s="734"/>
      <c r="J103" s="889"/>
      <c r="K103" s="1004" t="s">
        <v>160</v>
      </c>
      <c r="L103" s="276"/>
      <c r="M103" s="734"/>
      <c r="N103" s="889"/>
      <c r="O103" s="1004" t="s">
        <v>161</v>
      </c>
      <c r="P103" s="891"/>
      <c r="Q103" s="734"/>
      <c r="R103" s="889"/>
      <c r="S103" s="1004" t="s">
        <v>162</v>
      </c>
      <c r="T103" s="734"/>
      <c r="U103" s="734"/>
      <c r="V103" s="734"/>
      <c r="W103" s="1005"/>
      <c r="X103" s="734"/>
      <c r="Y103" s="734"/>
      <c r="Z103" s="699"/>
      <c r="AA103" s="734"/>
      <c r="AB103" s="734"/>
      <c r="AC103" s="734"/>
      <c r="AD103" s="734"/>
      <c r="AE103" s="1006">
        <v>37</v>
      </c>
      <c r="AF103" s="734"/>
      <c r="AG103" s="734"/>
      <c r="AH103" s="734"/>
      <c r="AI103" s="894"/>
    </row>
    <row r="104" spans="1:35" ht="22.35" customHeight="1" x14ac:dyDescent="0.2">
      <c r="D104" s="14"/>
    </row>
    <row r="105" spans="1:35" ht="22.35" customHeight="1" thickBot="1" x14ac:dyDescent="0.25">
      <c r="A105" s="739"/>
      <c r="B105" s="739" t="s">
        <v>29</v>
      </c>
      <c r="C105" s="796">
        <v>1</v>
      </c>
      <c r="D105" s="795">
        <v>2</v>
      </c>
      <c r="E105" s="795">
        <v>3</v>
      </c>
      <c r="F105" s="796">
        <v>4</v>
      </c>
      <c r="G105" s="796">
        <v>5</v>
      </c>
      <c r="H105" s="796">
        <v>6</v>
      </c>
      <c r="I105" s="796">
        <v>7</v>
      </c>
      <c r="J105" s="796">
        <v>8</v>
      </c>
      <c r="K105" s="795">
        <v>9</v>
      </c>
      <c r="L105" s="795">
        <v>10</v>
      </c>
      <c r="M105" s="796">
        <v>11</v>
      </c>
      <c r="N105" s="796">
        <v>12</v>
      </c>
      <c r="O105" s="796">
        <v>13</v>
      </c>
      <c r="P105" s="796">
        <v>14</v>
      </c>
      <c r="Q105" s="796">
        <v>15</v>
      </c>
      <c r="R105" s="795">
        <v>16</v>
      </c>
      <c r="S105" s="795">
        <v>17</v>
      </c>
      <c r="T105" s="796">
        <v>18</v>
      </c>
      <c r="U105" s="796">
        <v>19</v>
      </c>
      <c r="V105" s="796">
        <v>20</v>
      </c>
      <c r="W105" s="796">
        <v>21</v>
      </c>
      <c r="X105" s="796">
        <v>22</v>
      </c>
      <c r="Y105" s="795">
        <v>23</v>
      </c>
      <c r="Z105" s="795">
        <v>24</v>
      </c>
      <c r="AA105" s="796">
        <v>25</v>
      </c>
      <c r="AB105" s="796">
        <v>26</v>
      </c>
      <c r="AC105" s="796">
        <v>27</v>
      </c>
      <c r="AD105" s="796">
        <v>28</v>
      </c>
      <c r="AE105" s="796">
        <v>29</v>
      </c>
      <c r="AF105" s="795">
        <v>30</v>
      </c>
      <c r="AG105" s="1300">
        <v>31</v>
      </c>
      <c r="AH105" s="173"/>
      <c r="AI105" s="174"/>
    </row>
    <row r="106" spans="1:35" ht="22.35" customHeight="1" x14ac:dyDescent="0.2">
      <c r="A106" s="1393">
        <v>1</v>
      </c>
      <c r="B106" s="1394" t="s">
        <v>173</v>
      </c>
      <c r="C106" s="1328" t="s">
        <v>36</v>
      </c>
      <c r="D106" s="1328"/>
      <c r="E106" s="1328"/>
      <c r="F106" s="1328" t="s">
        <v>174</v>
      </c>
      <c r="G106" s="1328" t="s">
        <v>174</v>
      </c>
      <c r="H106" s="1328" t="s">
        <v>174</v>
      </c>
      <c r="I106" s="1328" t="s">
        <v>174</v>
      </c>
      <c r="J106" s="1328" t="s">
        <v>174</v>
      </c>
      <c r="K106" s="1328"/>
      <c r="L106" s="1328"/>
      <c r="M106" s="1328" t="s">
        <v>174</v>
      </c>
      <c r="N106" s="1334" t="s">
        <v>174</v>
      </c>
      <c r="O106" s="1328" t="s">
        <v>174</v>
      </c>
      <c r="P106" s="1328" t="s">
        <v>174</v>
      </c>
      <c r="Q106" s="1328" t="s">
        <v>174</v>
      </c>
      <c r="R106" s="1328"/>
      <c r="S106" s="1328"/>
      <c r="T106" s="1328" t="s">
        <v>128</v>
      </c>
      <c r="U106" s="1328" t="s">
        <v>128</v>
      </c>
      <c r="V106" s="1395" t="s">
        <v>128</v>
      </c>
      <c r="W106" s="1395" t="s">
        <v>128</v>
      </c>
      <c r="X106" s="1395" t="s">
        <v>128</v>
      </c>
      <c r="Y106" s="1395" t="s">
        <v>127</v>
      </c>
      <c r="Z106" s="1328" t="s">
        <v>127</v>
      </c>
      <c r="AA106" s="1328" t="s">
        <v>36</v>
      </c>
      <c r="AB106" s="1328" t="s">
        <v>36</v>
      </c>
      <c r="AC106" s="1328" t="s">
        <v>36</v>
      </c>
      <c r="AD106" s="1328" t="s">
        <v>36</v>
      </c>
      <c r="AE106" s="1328" t="s">
        <v>36</v>
      </c>
      <c r="AF106" s="1328"/>
      <c r="AG106" s="1328"/>
      <c r="AH106" s="178"/>
      <c r="AI106" s="179"/>
    </row>
    <row r="107" spans="1:35" ht="22.35" customHeight="1" x14ac:dyDescent="0.2">
      <c r="A107" s="1010">
        <v>2</v>
      </c>
      <c r="B107" s="1011" t="s">
        <v>175</v>
      </c>
      <c r="C107" s="813" t="s">
        <v>128</v>
      </c>
      <c r="D107" s="1012" t="s">
        <v>127</v>
      </c>
      <c r="E107" s="1012" t="s">
        <v>127</v>
      </c>
      <c r="F107" s="1012" t="s">
        <v>36</v>
      </c>
      <c r="G107" s="1245" t="s">
        <v>36</v>
      </c>
      <c r="H107" s="966" t="s">
        <v>95</v>
      </c>
      <c r="I107" s="966" t="s">
        <v>95</v>
      </c>
      <c r="J107" s="966" t="s">
        <v>95</v>
      </c>
      <c r="K107" s="1245" t="s">
        <v>0</v>
      </c>
      <c r="L107" s="814"/>
      <c r="M107" s="814" t="s">
        <v>95</v>
      </c>
      <c r="N107" s="814" t="s">
        <v>95</v>
      </c>
      <c r="O107" s="814" t="s">
        <v>95</v>
      </c>
      <c r="P107" s="814" t="s">
        <v>95</v>
      </c>
      <c r="Q107" s="814" t="s">
        <v>95</v>
      </c>
      <c r="R107" s="814"/>
      <c r="S107" s="814"/>
      <c r="T107" s="814" t="s">
        <v>95</v>
      </c>
      <c r="U107" s="814" t="s">
        <v>95</v>
      </c>
      <c r="V107" s="814" t="s">
        <v>95</v>
      </c>
      <c r="W107" s="814" t="s">
        <v>95</v>
      </c>
      <c r="X107" s="814" t="s">
        <v>95</v>
      </c>
      <c r="Y107" s="814"/>
      <c r="Z107" s="814"/>
      <c r="AA107" s="928" t="s">
        <v>128</v>
      </c>
      <c r="AB107" s="928" t="s">
        <v>128</v>
      </c>
      <c r="AC107" s="928" t="s">
        <v>128</v>
      </c>
      <c r="AD107" s="928" t="s">
        <v>128</v>
      </c>
      <c r="AE107" s="928" t="s">
        <v>128</v>
      </c>
      <c r="AF107" s="928" t="s">
        <v>127</v>
      </c>
      <c r="AG107" s="928" t="s">
        <v>127</v>
      </c>
      <c r="AH107" s="178"/>
      <c r="AI107" s="179"/>
    </row>
    <row r="108" spans="1:35" ht="22.35" customHeight="1" thickBot="1" x14ac:dyDescent="0.3">
      <c r="A108" s="1010">
        <v>3</v>
      </c>
      <c r="B108" s="1011" t="s">
        <v>178</v>
      </c>
      <c r="C108" s="1247" t="s">
        <v>174</v>
      </c>
      <c r="D108" s="1396"/>
      <c r="E108" s="312"/>
      <c r="F108" s="928" t="s">
        <v>128</v>
      </c>
      <c r="G108" s="928" t="s">
        <v>128</v>
      </c>
      <c r="H108" s="928" t="s">
        <v>128</v>
      </c>
      <c r="I108" s="928" t="s">
        <v>128</v>
      </c>
      <c r="J108" s="928" t="s">
        <v>128</v>
      </c>
      <c r="K108" s="928" t="s">
        <v>127</v>
      </c>
      <c r="L108" s="309" t="s">
        <v>127</v>
      </c>
      <c r="M108" s="928" t="s">
        <v>36</v>
      </c>
      <c r="N108" s="928" t="s">
        <v>36</v>
      </c>
      <c r="O108" s="928" t="s">
        <v>36</v>
      </c>
      <c r="P108" s="928" t="s">
        <v>36</v>
      </c>
      <c r="Q108" s="928" t="s">
        <v>36</v>
      </c>
      <c r="R108" s="928"/>
      <c r="S108" s="928"/>
      <c r="T108" s="1397" t="s">
        <v>174</v>
      </c>
      <c r="U108" s="1397" t="s">
        <v>174</v>
      </c>
      <c r="V108" s="1397" t="s">
        <v>174</v>
      </c>
      <c r="W108" s="1397" t="s">
        <v>174</v>
      </c>
      <c r="X108" s="1397" t="s">
        <v>174</v>
      </c>
      <c r="Y108" s="1397"/>
      <c r="Z108" s="1397"/>
      <c r="AA108" s="796" t="s">
        <v>243</v>
      </c>
      <c r="AB108" s="796" t="s">
        <v>243</v>
      </c>
      <c r="AC108" s="796" t="s">
        <v>243</v>
      </c>
      <c r="AD108" s="796" t="s">
        <v>243</v>
      </c>
      <c r="AE108" s="796" t="s">
        <v>243</v>
      </c>
      <c r="AF108" s="814"/>
      <c r="AG108" s="316" t="s">
        <v>0</v>
      </c>
      <c r="AH108" s="178"/>
      <c r="AI108" s="179"/>
    </row>
    <row r="109" spans="1:35" ht="22.35" customHeight="1" thickBot="1" x14ac:dyDescent="0.25">
      <c r="A109" s="1016">
        <v>4</v>
      </c>
      <c r="B109" s="1017" t="s">
        <v>173</v>
      </c>
      <c r="C109" s="1356" t="s">
        <v>174</v>
      </c>
      <c r="D109" s="1356"/>
      <c r="E109" s="1356"/>
      <c r="F109" s="1356" t="s">
        <v>174</v>
      </c>
      <c r="G109" s="1356" t="s">
        <v>174</v>
      </c>
      <c r="H109" s="1356" t="s">
        <v>174</v>
      </c>
      <c r="I109" s="1356" t="s">
        <v>174</v>
      </c>
      <c r="J109" s="1356" t="s">
        <v>174</v>
      </c>
      <c r="K109" s="1356" t="s">
        <v>0</v>
      </c>
      <c r="L109" s="1356" t="s">
        <v>0</v>
      </c>
      <c r="M109" s="1356" t="s">
        <v>128</v>
      </c>
      <c r="N109" s="1356" t="s">
        <v>128</v>
      </c>
      <c r="O109" s="1356" t="s">
        <v>128</v>
      </c>
      <c r="P109" s="1356" t="s">
        <v>128</v>
      </c>
      <c r="Q109" s="1356" t="s">
        <v>128</v>
      </c>
      <c r="R109" s="1356" t="s">
        <v>127</v>
      </c>
      <c r="S109" s="1356" t="s">
        <v>127</v>
      </c>
      <c r="T109" s="1356" t="s">
        <v>36</v>
      </c>
      <c r="U109" s="1356" t="s">
        <v>36</v>
      </c>
      <c r="V109" s="1356" t="s">
        <v>36</v>
      </c>
      <c r="W109" s="1356" t="s">
        <v>36</v>
      </c>
      <c r="X109" s="1356" t="s">
        <v>36</v>
      </c>
      <c r="Y109" s="796"/>
      <c r="Z109" s="796"/>
      <c r="AA109" s="796" t="s">
        <v>174</v>
      </c>
      <c r="AB109" s="796" t="s">
        <v>174</v>
      </c>
      <c r="AC109" s="1356" t="s">
        <v>174</v>
      </c>
      <c r="AD109" s="1356" t="s">
        <v>174</v>
      </c>
      <c r="AE109" s="1356" t="s">
        <v>174</v>
      </c>
      <c r="AF109" s="1356"/>
      <c r="AG109" s="797"/>
      <c r="AH109" s="178"/>
      <c r="AI109" s="179"/>
    </row>
    <row r="110" spans="1:35" ht="22.35" customHeight="1" thickBot="1" x14ac:dyDescent="0.25">
      <c r="A110" s="200"/>
      <c r="B110" s="190"/>
      <c r="C110" s="201"/>
      <c r="D110" s="201"/>
      <c r="E110" s="201"/>
      <c r="F110" s="201"/>
      <c r="G110" s="201"/>
      <c r="H110" s="201"/>
      <c r="I110" s="201"/>
      <c r="J110" s="201"/>
      <c r="K110" s="201"/>
      <c r="L110" s="201"/>
      <c r="M110" s="201"/>
      <c r="N110" s="201"/>
      <c r="O110" s="201"/>
      <c r="P110" s="201"/>
      <c r="Q110" s="201"/>
      <c r="R110" s="201"/>
      <c r="S110" s="201"/>
      <c r="T110" s="201"/>
      <c r="U110" s="201"/>
      <c r="V110" s="201"/>
      <c r="W110" s="201"/>
      <c r="X110" s="201"/>
      <c r="Y110" s="201"/>
      <c r="Z110" s="201"/>
      <c r="AA110" s="201"/>
      <c r="AB110" s="201"/>
      <c r="AC110" s="201"/>
      <c r="AD110" s="201"/>
      <c r="AE110" s="201"/>
      <c r="AF110" s="201"/>
      <c r="AG110" s="202"/>
      <c r="AH110" s="203"/>
      <c r="AI110" s="179"/>
    </row>
    <row r="111" spans="1:35" ht="22.35" customHeight="1" x14ac:dyDescent="0.2">
      <c r="A111" s="72"/>
      <c r="B111" s="1398" t="s">
        <v>180</v>
      </c>
      <c r="C111" s="1392"/>
      <c r="D111" s="1399" t="s">
        <v>107</v>
      </c>
      <c r="E111" s="1400"/>
      <c r="F111" s="1392"/>
      <c r="G111" s="1401" t="s">
        <v>108</v>
      </c>
      <c r="H111" s="1385"/>
      <c r="I111" s="1402"/>
      <c r="J111" s="1401" t="s">
        <v>109</v>
      </c>
      <c r="K111" s="1403"/>
      <c r="L111" s="1402"/>
      <c r="M111" s="1404" t="s">
        <v>110</v>
      </c>
      <c r="N111" s="1403"/>
      <c r="O111" s="1402"/>
      <c r="P111" s="1401" t="s">
        <v>111</v>
      </c>
      <c r="Q111" s="1405"/>
      <c r="R111" s="1402"/>
      <c r="S111" s="1401" t="s">
        <v>112</v>
      </c>
      <c r="T111" s="1406"/>
      <c r="U111" s="1402"/>
      <c r="V111" s="1401" t="s">
        <v>113</v>
      </c>
      <c r="W111" s="1405"/>
      <c r="X111" s="1407" t="s">
        <v>158</v>
      </c>
      <c r="Y111" s="1408"/>
      <c r="Z111" s="1408"/>
      <c r="AA111" s="1409"/>
      <c r="AB111" s="1387" t="s">
        <v>114</v>
      </c>
      <c r="AC111" s="1410"/>
      <c r="AD111" s="1410"/>
      <c r="AE111" s="1411"/>
      <c r="AF111" s="1411"/>
      <c r="AG111" s="1412"/>
      <c r="AH111" s="203"/>
      <c r="AI111" s="179"/>
    </row>
    <row r="112" spans="1:35" ht="22.35" customHeight="1" x14ac:dyDescent="0.2">
      <c r="A112" s="72"/>
      <c r="B112" s="744" t="s">
        <v>181</v>
      </c>
      <c r="C112" s="1033" t="s">
        <v>182</v>
      </c>
      <c r="D112" s="781"/>
      <c r="E112" s="782"/>
      <c r="F112" s="1033" t="s">
        <v>182</v>
      </c>
      <c r="G112" s="781"/>
      <c r="H112" s="782"/>
      <c r="I112" s="1033" t="s">
        <v>182</v>
      </c>
      <c r="J112" s="781"/>
      <c r="K112" s="782"/>
      <c r="L112" s="1033" t="s">
        <v>182</v>
      </c>
      <c r="M112" s="781"/>
      <c r="N112" s="782"/>
      <c r="O112" s="1033" t="s">
        <v>183</v>
      </c>
      <c r="P112" s="781"/>
      <c r="Q112" s="782"/>
      <c r="R112" s="1033"/>
      <c r="S112" s="781"/>
      <c r="T112" s="782"/>
      <c r="U112" s="1033"/>
      <c r="V112" s="781"/>
      <c r="W112" s="782"/>
      <c r="X112" s="1033"/>
      <c r="Y112" s="1034"/>
      <c r="Z112" s="1034"/>
      <c r="AA112" s="1034"/>
      <c r="AB112" s="779"/>
      <c r="AC112" s="1034"/>
      <c r="AD112" s="1034"/>
      <c r="AE112" s="1034"/>
      <c r="AF112" s="1034"/>
      <c r="AG112" s="1035"/>
      <c r="AH112" s="203"/>
      <c r="AI112" s="179"/>
    </row>
    <row r="113" spans="1:35" ht="22.35" customHeight="1" x14ac:dyDescent="0.2">
      <c r="A113" s="72"/>
      <c r="B113" s="17"/>
      <c r="C113" s="72"/>
      <c r="D113" s="72"/>
      <c r="E113" s="72"/>
      <c r="F113" s="72"/>
      <c r="G113" s="72"/>
      <c r="H113" s="72"/>
      <c r="I113" s="72"/>
      <c r="J113" s="72"/>
      <c r="K113" s="72"/>
      <c r="L113" s="72"/>
      <c r="M113" s="72"/>
      <c r="N113" s="72"/>
      <c r="O113" s="72"/>
      <c r="P113" s="72"/>
      <c r="Q113" s="72"/>
      <c r="R113" s="72"/>
      <c r="S113" s="72"/>
      <c r="T113" s="72"/>
      <c r="U113" s="72"/>
      <c r="V113" s="72"/>
      <c r="W113" s="72"/>
      <c r="X113" s="72"/>
      <c r="Y113" s="72"/>
      <c r="Z113" s="72"/>
      <c r="AA113" s="72"/>
      <c r="AB113" s="72"/>
      <c r="AC113" s="72"/>
      <c r="AD113" s="72"/>
      <c r="AE113" s="72"/>
      <c r="AF113" s="72"/>
      <c r="AG113" s="72"/>
      <c r="AH113" s="203"/>
      <c r="AI113" s="179"/>
    </row>
    <row r="114" spans="1:35" ht="22.35" customHeight="1" thickBot="1" x14ac:dyDescent="0.25">
      <c r="A114" s="981" t="s">
        <v>28</v>
      </c>
      <c r="B114" s="748" t="s">
        <v>29</v>
      </c>
      <c r="C114" s="796">
        <v>1</v>
      </c>
      <c r="D114" s="795">
        <v>2</v>
      </c>
      <c r="E114" s="795">
        <v>3</v>
      </c>
      <c r="F114" s="796">
        <v>4</v>
      </c>
      <c r="G114" s="796">
        <v>5</v>
      </c>
      <c r="H114" s="796">
        <v>6</v>
      </c>
      <c r="I114" s="796">
        <v>7</v>
      </c>
      <c r="J114" s="796">
        <v>8</v>
      </c>
      <c r="K114" s="795">
        <v>9</v>
      </c>
      <c r="L114" s="795">
        <v>10</v>
      </c>
      <c r="M114" s="796">
        <v>11</v>
      </c>
      <c r="N114" s="796">
        <v>12</v>
      </c>
      <c r="O114" s="796">
        <v>13</v>
      </c>
      <c r="P114" s="796">
        <v>14</v>
      </c>
      <c r="Q114" s="796">
        <v>15</v>
      </c>
      <c r="R114" s="795">
        <v>16</v>
      </c>
      <c r="S114" s="795">
        <v>17</v>
      </c>
      <c r="T114" s="796">
        <v>18</v>
      </c>
      <c r="U114" s="796">
        <v>19</v>
      </c>
      <c r="V114" s="796">
        <v>20</v>
      </c>
      <c r="W114" s="796">
        <v>21</v>
      </c>
      <c r="X114" s="796">
        <v>22</v>
      </c>
      <c r="Y114" s="795">
        <v>23</v>
      </c>
      <c r="Z114" s="795">
        <v>24</v>
      </c>
      <c r="AA114" s="796">
        <v>25</v>
      </c>
      <c r="AB114" s="796">
        <v>26</v>
      </c>
      <c r="AC114" s="796">
        <v>27</v>
      </c>
      <c r="AD114" s="796">
        <v>28</v>
      </c>
      <c r="AE114" s="796">
        <v>29</v>
      </c>
      <c r="AF114" s="795">
        <v>30</v>
      </c>
      <c r="AG114" s="1300">
        <v>31</v>
      </c>
      <c r="AH114" s="203"/>
      <c r="AI114" s="179"/>
    </row>
    <row r="115" spans="1:35" ht="22.35" customHeight="1" x14ac:dyDescent="0.2">
      <c r="A115" s="1413">
        <v>8520</v>
      </c>
      <c r="B115" s="1414" t="s">
        <v>184</v>
      </c>
      <c r="C115" s="1331" t="s">
        <v>358</v>
      </c>
      <c r="D115" s="1331"/>
      <c r="E115" s="1331"/>
      <c r="F115" s="1415" t="s">
        <v>358</v>
      </c>
      <c r="G115" s="1415" t="s">
        <v>358</v>
      </c>
      <c r="H115" s="1415" t="s">
        <v>358</v>
      </c>
      <c r="I115" s="1415" t="s">
        <v>358</v>
      </c>
      <c r="J115" s="1415" t="s">
        <v>358</v>
      </c>
      <c r="K115" s="1415"/>
      <c r="L115" s="1415"/>
      <c r="M115" s="1415" t="s">
        <v>358</v>
      </c>
      <c r="N115" s="1415" t="s">
        <v>358</v>
      </c>
      <c r="O115" s="1415" t="s">
        <v>358</v>
      </c>
      <c r="P115" s="1415" t="s">
        <v>358</v>
      </c>
      <c r="Q115" s="1415" t="s">
        <v>358</v>
      </c>
      <c r="R115" s="1328"/>
      <c r="S115" s="1328"/>
      <c r="T115" s="1328" t="s">
        <v>358</v>
      </c>
      <c r="U115" s="1328" t="s">
        <v>358</v>
      </c>
      <c r="V115" s="1328" t="s">
        <v>358</v>
      </c>
      <c r="W115" s="1328" t="s">
        <v>358</v>
      </c>
      <c r="X115" s="1328" t="s">
        <v>358</v>
      </c>
      <c r="Y115" s="1328"/>
      <c r="Z115" s="1328"/>
      <c r="AA115" s="1328" t="s">
        <v>358</v>
      </c>
      <c r="AB115" s="1328" t="s">
        <v>358</v>
      </c>
      <c r="AC115" s="1328" t="s">
        <v>358</v>
      </c>
      <c r="AD115" s="1328" t="s">
        <v>358</v>
      </c>
      <c r="AE115" s="1328" t="s">
        <v>358</v>
      </c>
      <c r="AF115" s="1328"/>
      <c r="AG115" s="1350"/>
      <c r="AH115" s="203"/>
      <c r="AI115" s="179"/>
    </row>
    <row r="116" spans="1:35" ht="22.35" customHeight="1" x14ac:dyDescent="0.2">
      <c r="A116" s="209"/>
      <c r="B116" s="208"/>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c r="AA116" s="199"/>
      <c r="AB116" s="199"/>
      <c r="AC116" s="199"/>
      <c r="AD116" s="199"/>
      <c r="AE116" s="199"/>
      <c r="AF116" s="199"/>
      <c r="AG116" s="199"/>
      <c r="AH116" s="203"/>
      <c r="AI116" s="179"/>
    </row>
    <row r="117" spans="1:35" ht="22.35" customHeight="1" x14ac:dyDescent="0.2">
      <c r="AH117" s="107"/>
      <c r="AI117" s="107"/>
    </row>
    <row r="118" spans="1:35" ht="22.35" customHeight="1" thickBot="1" x14ac:dyDescent="0.25">
      <c r="A118" s="169" t="s">
        <v>185</v>
      </c>
      <c r="B118" s="170"/>
      <c r="C118" s="170"/>
      <c r="D118" s="171"/>
      <c r="E118" s="171"/>
      <c r="F118" s="171"/>
      <c r="G118" s="105"/>
      <c r="H118" s="171"/>
      <c r="I118" s="171"/>
      <c r="J118" s="171"/>
      <c r="K118" s="171"/>
      <c r="L118" s="171"/>
      <c r="M118" s="171"/>
      <c r="N118" s="171"/>
      <c r="O118" s="171"/>
      <c r="P118" s="171"/>
      <c r="Q118" s="171"/>
      <c r="R118" s="171"/>
      <c r="S118" s="171"/>
      <c r="T118" s="171"/>
      <c r="U118" s="171"/>
      <c r="V118" s="171"/>
      <c r="W118" s="171"/>
      <c r="X118" s="171"/>
      <c r="Y118" s="171"/>
      <c r="Z118" s="171"/>
      <c r="AA118" s="171"/>
      <c r="AB118" s="171"/>
      <c r="AC118" s="171"/>
      <c r="AD118" s="171"/>
      <c r="AE118" s="171"/>
      <c r="AF118" s="171"/>
      <c r="AG118" s="171"/>
      <c r="AH118" s="170"/>
      <c r="AI118" s="170"/>
    </row>
    <row r="119" spans="1:35" ht="22.35" customHeight="1" x14ac:dyDescent="0.2">
      <c r="A119" s="169"/>
      <c r="B119" s="1398" t="s">
        <v>186</v>
      </c>
      <c r="C119" s="1416"/>
      <c r="D119" s="1417" t="s">
        <v>107</v>
      </c>
      <c r="E119" s="1418"/>
      <c r="F119" s="1419"/>
      <c r="G119" s="1416"/>
      <c r="H119" s="1417" t="s">
        <v>108</v>
      </c>
      <c r="I119" s="1418"/>
      <c r="J119" s="1419"/>
      <c r="K119" s="1416"/>
      <c r="L119" s="1417" t="s">
        <v>109</v>
      </c>
      <c r="M119" s="1418"/>
      <c r="N119" s="1419"/>
      <c r="O119" s="1416"/>
      <c r="P119" s="1417" t="s">
        <v>110</v>
      </c>
      <c r="Q119" s="1418"/>
      <c r="R119" s="1419"/>
      <c r="S119" s="1416"/>
      <c r="T119" s="1417" t="s">
        <v>111</v>
      </c>
      <c r="U119" s="1418"/>
      <c r="V119" s="1419"/>
      <c r="W119" s="1416"/>
      <c r="X119" s="1417" t="s">
        <v>112</v>
      </c>
      <c r="Y119" s="1418"/>
      <c r="Z119" s="1419"/>
      <c r="AA119" s="1416"/>
      <c r="AB119" s="1417" t="s">
        <v>113</v>
      </c>
      <c r="AC119" s="1418"/>
      <c r="AD119" s="1418"/>
      <c r="AE119" s="1420" t="s">
        <v>114</v>
      </c>
      <c r="AF119" s="1418"/>
      <c r="AG119" s="1418"/>
      <c r="AH119" s="1418"/>
      <c r="AI119" s="1421"/>
    </row>
    <row r="120" spans="1:35" ht="22.35" customHeight="1" x14ac:dyDescent="0.2">
      <c r="A120" s="169"/>
      <c r="B120" s="737" t="s">
        <v>159</v>
      </c>
      <c r="C120" s="1046">
        <v>69</v>
      </c>
      <c r="D120" s="1047" t="s">
        <v>187</v>
      </c>
      <c r="E120" s="1047"/>
      <c r="F120" s="1048"/>
      <c r="G120" s="1046">
        <v>69</v>
      </c>
      <c r="H120" s="1047" t="s">
        <v>187</v>
      </c>
      <c r="I120" s="1047"/>
      <c r="J120" s="1048"/>
      <c r="K120" s="1046">
        <v>69</v>
      </c>
      <c r="L120" s="1047" t="s">
        <v>187</v>
      </c>
      <c r="M120" s="1047"/>
      <c r="N120" s="1048"/>
      <c r="O120" s="1046">
        <v>69</v>
      </c>
      <c r="P120" s="1047" t="s">
        <v>187</v>
      </c>
      <c r="Q120" s="1047"/>
      <c r="R120" s="1048"/>
      <c r="S120" s="1046">
        <v>69</v>
      </c>
      <c r="T120" s="1047" t="s">
        <v>187</v>
      </c>
      <c r="U120" s="1047"/>
      <c r="V120" s="1048"/>
      <c r="W120" s="1046"/>
      <c r="X120" s="1049"/>
      <c r="Y120" s="1049"/>
      <c r="Z120" s="1050"/>
      <c r="AA120" s="1046"/>
      <c r="AB120" s="1047"/>
      <c r="AC120" s="1047"/>
      <c r="AD120" s="945"/>
      <c r="AE120" s="736">
        <v>35</v>
      </c>
      <c r="AF120" s="1047"/>
      <c r="AG120" s="1047"/>
      <c r="AH120" s="945"/>
      <c r="AI120" s="1051"/>
    </row>
    <row r="121" spans="1:35" ht="22.35" customHeight="1" x14ac:dyDescent="0.2">
      <c r="A121" s="169"/>
      <c r="B121" s="737" t="s">
        <v>163</v>
      </c>
      <c r="C121" s="1046">
        <v>79</v>
      </c>
      <c r="D121" s="1047" t="s">
        <v>188</v>
      </c>
      <c r="E121" s="1047"/>
      <c r="F121" s="1048"/>
      <c r="G121" s="1046">
        <v>79</v>
      </c>
      <c r="H121" s="1047" t="s">
        <v>188</v>
      </c>
      <c r="I121" s="1047"/>
      <c r="J121" s="1048"/>
      <c r="K121" s="1046">
        <v>79</v>
      </c>
      <c r="L121" s="1047" t="s">
        <v>188</v>
      </c>
      <c r="M121" s="1047"/>
      <c r="N121" s="1048"/>
      <c r="O121" s="1046">
        <v>79</v>
      </c>
      <c r="P121" s="1047" t="s">
        <v>188</v>
      </c>
      <c r="Q121" s="1047"/>
      <c r="R121" s="1048"/>
      <c r="S121" s="1046">
        <v>79</v>
      </c>
      <c r="T121" s="1047" t="s">
        <v>188</v>
      </c>
      <c r="U121" s="1047"/>
      <c r="V121" s="1048"/>
      <c r="W121" s="1046"/>
      <c r="X121" s="1047"/>
      <c r="Y121" s="1047"/>
      <c r="Z121" s="1048"/>
      <c r="AA121" s="1047"/>
      <c r="AB121" s="1047"/>
      <c r="AC121" s="1047"/>
      <c r="AD121" s="945"/>
      <c r="AE121" s="736">
        <v>40</v>
      </c>
      <c r="AF121" s="1047"/>
      <c r="AG121" s="1047"/>
      <c r="AH121" s="945"/>
      <c r="AI121" s="1051"/>
    </row>
    <row r="122" spans="1:35" ht="22.35" customHeight="1" x14ac:dyDescent="0.2">
      <c r="A122" s="169"/>
      <c r="B122" s="737" t="s">
        <v>170</v>
      </c>
      <c r="C122" s="1046">
        <v>89</v>
      </c>
      <c r="D122" s="1047" t="s">
        <v>189</v>
      </c>
      <c r="E122" s="1047"/>
      <c r="F122" s="1048"/>
      <c r="G122" s="1046">
        <v>89</v>
      </c>
      <c r="H122" s="1047" t="s">
        <v>189</v>
      </c>
      <c r="I122" s="1047"/>
      <c r="J122" s="1048"/>
      <c r="K122" s="1046">
        <v>89</v>
      </c>
      <c r="L122" s="1047" t="s">
        <v>189</v>
      </c>
      <c r="M122" s="1047"/>
      <c r="N122" s="1048"/>
      <c r="O122" s="1046">
        <v>89</v>
      </c>
      <c r="P122" s="1047" t="s">
        <v>189</v>
      </c>
      <c r="Q122" s="1047"/>
      <c r="R122" s="1048"/>
      <c r="S122" s="1046">
        <v>89</v>
      </c>
      <c r="T122" s="1047" t="s">
        <v>190</v>
      </c>
      <c r="U122" s="1047"/>
      <c r="V122" s="1048"/>
      <c r="W122" s="1052"/>
      <c r="X122" s="1053" t="s">
        <v>191</v>
      </c>
      <c r="Y122" s="1053"/>
      <c r="Z122" s="582"/>
      <c r="AA122" s="1052"/>
      <c r="AB122" s="1053"/>
      <c r="AC122" s="1053"/>
      <c r="AD122" s="947"/>
      <c r="AE122" s="736">
        <v>44</v>
      </c>
      <c r="AF122" s="1047"/>
      <c r="AG122" s="1047"/>
      <c r="AH122" s="945"/>
      <c r="AI122" s="1051"/>
    </row>
    <row r="123" spans="1:35" ht="22.35" customHeight="1" x14ac:dyDescent="0.2">
      <c r="A123" s="169"/>
      <c r="B123" s="38" t="s">
        <v>172</v>
      </c>
      <c r="C123" s="1052">
        <v>99</v>
      </c>
      <c r="D123" s="1053" t="s">
        <v>192</v>
      </c>
      <c r="E123" s="1053"/>
      <c r="F123" s="582"/>
      <c r="G123" s="1052">
        <v>99</v>
      </c>
      <c r="H123" s="1053" t="s">
        <v>192</v>
      </c>
      <c r="I123" s="1053"/>
      <c r="J123" s="582"/>
      <c r="K123" s="1052">
        <v>99</v>
      </c>
      <c r="L123" s="1053" t="s">
        <v>192</v>
      </c>
      <c r="M123" s="1053"/>
      <c r="N123" s="582"/>
      <c r="O123" s="1052">
        <v>99</v>
      </c>
      <c r="P123" s="1053" t="s">
        <v>192</v>
      </c>
      <c r="Q123" s="1053"/>
      <c r="R123" s="582"/>
      <c r="S123" s="1052">
        <v>99</v>
      </c>
      <c r="T123" s="1053" t="s">
        <v>171</v>
      </c>
      <c r="U123" s="1053"/>
      <c r="V123" s="947"/>
      <c r="W123" s="946"/>
      <c r="X123" s="947"/>
      <c r="Y123" s="1053"/>
      <c r="Z123" s="582"/>
      <c r="AA123" s="946"/>
      <c r="AB123" s="947"/>
      <c r="AC123" s="1053"/>
      <c r="AD123" s="582"/>
      <c r="AE123" s="1054">
        <v>28</v>
      </c>
      <c r="AF123" s="1053"/>
      <c r="AG123" s="1053"/>
      <c r="AH123" s="947"/>
      <c r="AI123" s="1055"/>
    </row>
    <row r="124" spans="1:35" ht="22.35" customHeight="1" thickBot="1" x14ac:dyDescent="0.25">
      <c r="A124" s="169"/>
      <c r="B124" s="1056" t="s">
        <v>193</v>
      </c>
      <c r="C124" s="1057" t="s">
        <v>58</v>
      </c>
      <c r="D124" s="1058" t="s">
        <v>194</v>
      </c>
      <c r="E124" s="745"/>
      <c r="F124" s="889"/>
      <c r="G124" s="1057" t="s">
        <v>58</v>
      </c>
      <c r="H124" s="1058" t="s">
        <v>194</v>
      </c>
      <c r="I124" s="734"/>
      <c r="J124" s="745"/>
      <c r="K124" s="1057" t="s">
        <v>58</v>
      </c>
      <c r="L124" s="1058" t="s">
        <v>194</v>
      </c>
      <c r="M124" s="745"/>
      <c r="N124" s="1059"/>
      <c r="O124" s="1057" t="s">
        <v>58</v>
      </c>
      <c r="P124" s="1058" t="s">
        <v>194</v>
      </c>
      <c r="Q124" s="745"/>
      <c r="R124" s="1058"/>
      <c r="S124" s="1057" t="s">
        <v>58</v>
      </c>
      <c r="T124" s="891" t="s">
        <v>195</v>
      </c>
      <c r="U124" s="1058"/>
      <c r="V124" s="1059"/>
      <c r="W124" s="745"/>
      <c r="X124" s="1058"/>
      <c r="Y124" s="1058"/>
      <c r="Z124" s="1058"/>
      <c r="AA124" s="1060"/>
      <c r="AB124" s="1061"/>
      <c r="AC124" s="1058"/>
      <c r="AD124" s="1062"/>
      <c r="AE124" s="1058"/>
      <c r="AF124" s="1058"/>
      <c r="AG124" s="1058"/>
      <c r="AH124" s="1063"/>
      <c r="AI124" s="1064"/>
    </row>
    <row r="125" spans="1:35" ht="22.35" customHeight="1" x14ac:dyDescent="0.2">
      <c r="A125" s="108"/>
      <c r="B125" s="169"/>
      <c r="C125" s="171"/>
      <c r="D125" s="171"/>
      <c r="E125" s="171"/>
      <c r="F125" s="171"/>
      <c r="G125" s="171"/>
      <c r="H125" s="171"/>
      <c r="I125" s="171"/>
      <c r="J125" s="171"/>
      <c r="K125" s="171"/>
      <c r="L125" s="171"/>
      <c r="M125" s="171"/>
      <c r="N125" s="171"/>
      <c r="O125" s="171"/>
      <c r="P125" s="171"/>
      <c r="Q125" s="171"/>
      <c r="R125" s="171"/>
      <c r="S125" s="171"/>
      <c r="T125" s="171"/>
      <c r="U125" s="171"/>
      <c r="V125" s="171"/>
      <c r="W125" s="171"/>
      <c r="X125" s="171"/>
      <c r="Y125" s="171"/>
      <c r="Z125" s="171"/>
      <c r="AA125" s="171"/>
      <c r="AB125" s="171"/>
      <c r="AC125" s="171"/>
      <c r="AD125" s="171"/>
      <c r="AE125" s="171"/>
      <c r="AF125" s="171"/>
      <c r="AG125" s="171"/>
      <c r="AH125" s="170"/>
      <c r="AI125" s="170"/>
    </row>
    <row r="126" spans="1:35" ht="22.35" customHeight="1" thickBot="1" x14ac:dyDescent="0.25">
      <c r="A126" s="981"/>
      <c r="B126" s="748" t="s">
        <v>29</v>
      </c>
      <c r="C126" s="796">
        <v>1</v>
      </c>
      <c r="D126" s="795">
        <v>2</v>
      </c>
      <c r="E126" s="795">
        <v>3</v>
      </c>
      <c r="F126" s="796">
        <v>4</v>
      </c>
      <c r="G126" s="796">
        <v>5</v>
      </c>
      <c r="H126" s="796">
        <v>6</v>
      </c>
      <c r="I126" s="796">
        <v>7</v>
      </c>
      <c r="J126" s="796">
        <v>8</v>
      </c>
      <c r="K126" s="795">
        <v>9</v>
      </c>
      <c r="L126" s="795">
        <v>10</v>
      </c>
      <c r="M126" s="796">
        <v>11</v>
      </c>
      <c r="N126" s="796">
        <v>12</v>
      </c>
      <c r="O126" s="796">
        <v>13</v>
      </c>
      <c r="P126" s="796">
        <v>14</v>
      </c>
      <c r="Q126" s="796">
        <v>15</v>
      </c>
      <c r="R126" s="795">
        <v>16</v>
      </c>
      <c r="S126" s="795">
        <v>17</v>
      </c>
      <c r="T126" s="796">
        <v>18</v>
      </c>
      <c r="U126" s="796">
        <v>19</v>
      </c>
      <c r="V126" s="796">
        <v>20</v>
      </c>
      <c r="W126" s="796">
        <v>21</v>
      </c>
      <c r="X126" s="796">
        <v>22</v>
      </c>
      <c r="Y126" s="795">
        <v>23</v>
      </c>
      <c r="Z126" s="795">
        <v>24</v>
      </c>
      <c r="AA126" s="796">
        <v>25</v>
      </c>
      <c r="AB126" s="796">
        <v>26</v>
      </c>
      <c r="AC126" s="796">
        <v>27</v>
      </c>
      <c r="AD126" s="796">
        <v>28</v>
      </c>
      <c r="AE126" s="796">
        <v>29</v>
      </c>
      <c r="AF126" s="795">
        <v>30</v>
      </c>
      <c r="AG126" s="1300">
        <v>31</v>
      </c>
      <c r="AH126" s="173"/>
      <c r="AI126" s="174"/>
    </row>
    <row r="127" spans="1:35" ht="22.35" customHeight="1" x14ac:dyDescent="0.2">
      <c r="A127" s="1393">
        <v>1</v>
      </c>
      <c r="B127" s="1422" t="s">
        <v>196</v>
      </c>
      <c r="C127" s="1327" t="s">
        <v>60</v>
      </c>
      <c r="D127" s="1327">
        <v>89</v>
      </c>
      <c r="E127" s="1328"/>
      <c r="F127" s="1328">
        <v>99</v>
      </c>
      <c r="G127" s="1329">
        <v>99</v>
      </c>
      <c r="H127" s="1327">
        <v>99</v>
      </c>
      <c r="I127" s="1329">
        <v>99</v>
      </c>
      <c r="J127" s="1329" t="s">
        <v>36</v>
      </c>
      <c r="K127" s="1327"/>
      <c r="L127" s="1329"/>
      <c r="M127" s="1423" t="s">
        <v>60</v>
      </c>
      <c r="N127" s="1423" t="s">
        <v>60</v>
      </c>
      <c r="O127" s="1423" t="s">
        <v>60</v>
      </c>
      <c r="P127" s="1423" t="s">
        <v>60</v>
      </c>
      <c r="Q127" s="1423" t="s">
        <v>60</v>
      </c>
      <c r="R127" s="1423"/>
      <c r="S127" s="1424"/>
      <c r="T127" s="1424">
        <v>69</v>
      </c>
      <c r="U127" s="1423">
        <v>69</v>
      </c>
      <c r="V127" s="1423">
        <v>69</v>
      </c>
      <c r="W127" s="1423">
        <v>69</v>
      </c>
      <c r="X127" s="1423">
        <v>69</v>
      </c>
      <c r="Y127" s="1423"/>
      <c r="Z127" s="1423"/>
      <c r="AA127" s="1425">
        <v>79</v>
      </c>
      <c r="AB127" s="1423">
        <v>79</v>
      </c>
      <c r="AC127" s="1423">
        <v>79</v>
      </c>
      <c r="AD127" s="1423">
        <v>79</v>
      </c>
      <c r="AE127" s="1423">
        <v>79</v>
      </c>
      <c r="AF127" s="1425"/>
      <c r="AG127" s="1426"/>
      <c r="AH127" s="191"/>
      <c r="AI127" s="107"/>
    </row>
    <row r="128" spans="1:35" ht="22.35" customHeight="1" thickBot="1" x14ac:dyDescent="0.25">
      <c r="A128" s="1010">
        <v>2</v>
      </c>
      <c r="B128" s="1068" t="s">
        <v>197</v>
      </c>
      <c r="C128" s="1270" t="s">
        <v>36</v>
      </c>
      <c r="D128" s="1270"/>
      <c r="E128" s="1270"/>
      <c r="F128" s="928" t="s">
        <v>58</v>
      </c>
      <c r="G128" s="928" t="s">
        <v>58</v>
      </c>
      <c r="H128" s="928" t="s">
        <v>58</v>
      </c>
      <c r="I128" s="928" t="s">
        <v>58</v>
      </c>
      <c r="J128" s="928" t="s">
        <v>58</v>
      </c>
      <c r="K128" s="928"/>
      <c r="L128" s="928"/>
      <c r="M128" s="928">
        <v>69</v>
      </c>
      <c r="N128" s="928">
        <v>69</v>
      </c>
      <c r="O128" s="928">
        <v>69</v>
      </c>
      <c r="P128" s="928">
        <v>69</v>
      </c>
      <c r="Q128" s="928">
        <v>69</v>
      </c>
      <c r="R128" s="928"/>
      <c r="S128" s="928"/>
      <c r="T128" s="928">
        <v>79</v>
      </c>
      <c r="U128" s="928">
        <v>79</v>
      </c>
      <c r="V128" s="928">
        <v>79</v>
      </c>
      <c r="W128" s="928">
        <v>79</v>
      </c>
      <c r="X128" s="928">
        <v>79</v>
      </c>
      <c r="Y128" s="928"/>
      <c r="Z128" s="928"/>
      <c r="AA128" s="1270">
        <v>89</v>
      </c>
      <c r="AB128" s="1270">
        <v>89</v>
      </c>
      <c r="AC128" s="1270">
        <v>89</v>
      </c>
      <c r="AD128" s="1270">
        <v>89</v>
      </c>
      <c r="AE128" s="1270">
        <v>89</v>
      </c>
      <c r="AF128" s="1270">
        <v>89</v>
      </c>
      <c r="AG128" s="1271"/>
      <c r="AH128" s="192"/>
      <c r="AI128" s="168"/>
    </row>
    <row r="129" spans="1:35" ht="22.35" customHeight="1" x14ac:dyDescent="0.2">
      <c r="A129" s="1010">
        <v>3</v>
      </c>
      <c r="B129" s="1068" t="s">
        <v>360</v>
      </c>
      <c r="C129" s="1072" t="s">
        <v>58</v>
      </c>
      <c r="D129" s="1072"/>
      <c r="E129" s="1072"/>
      <c r="F129" s="1327" t="s">
        <v>60</v>
      </c>
      <c r="G129" s="1327" t="s">
        <v>60</v>
      </c>
      <c r="H129" s="1327" t="s">
        <v>60</v>
      </c>
      <c r="I129" s="1327" t="s">
        <v>60</v>
      </c>
      <c r="J129" s="1327" t="s">
        <v>60</v>
      </c>
      <c r="K129" s="1072"/>
      <c r="L129" s="1072"/>
      <c r="M129" s="1327" t="s">
        <v>60</v>
      </c>
      <c r="N129" s="1327" t="s">
        <v>60</v>
      </c>
      <c r="O129" s="1327" t="s">
        <v>60</v>
      </c>
      <c r="P129" s="1327" t="s">
        <v>60</v>
      </c>
      <c r="Q129" s="1327" t="s">
        <v>60</v>
      </c>
      <c r="R129" s="828"/>
      <c r="S129" s="828"/>
      <c r="T129" s="828">
        <v>89</v>
      </c>
      <c r="U129" s="828">
        <v>89</v>
      </c>
      <c r="V129" s="1072">
        <v>89</v>
      </c>
      <c r="W129" s="1072">
        <v>89</v>
      </c>
      <c r="X129" s="1072">
        <v>89</v>
      </c>
      <c r="Y129" s="1072">
        <v>89</v>
      </c>
      <c r="Z129" s="1072"/>
      <c r="AA129" s="1427">
        <v>99</v>
      </c>
      <c r="AB129" s="1427">
        <v>99</v>
      </c>
      <c r="AC129" s="1428">
        <v>99</v>
      </c>
      <c r="AD129" s="1427">
        <v>99</v>
      </c>
      <c r="AE129" s="1427" t="s">
        <v>36</v>
      </c>
      <c r="AF129" s="1427"/>
      <c r="AG129" s="1429"/>
      <c r="AH129" s="191"/>
      <c r="AI129" s="107"/>
    </row>
    <row r="130" spans="1:35" ht="22.35" customHeight="1" x14ac:dyDescent="0.2">
      <c r="A130" s="1010">
        <v>4</v>
      </c>
      <c r="B130" s="501" t="s">
        <v>199</v>
      </c>
      <c r="C130" s="814">
        <v>69</v>
      </c>
      <c r="D130" s="814"/>
      <c r="E130" s="814"/>
      <c r="F130" s="814">
        <v>79</v>
      </c>
      <c r="G130" s="814">
        <v>79</v>
      </c>
      <c r="H130" s="814">
        <v>79</v>
      </c>
      <c r="I130" s="814">
        <v>79</v>
      </c>
      <c r="J130" s="814">
        <v>79</v>
      </c>
      <c r="K130" s="966" t="s">
        <v>83</v>
      </c>
      <c r="L130" s="966" t="s">
        <v>83</v>
      </c>
      <c r="M130" s="814">
        <v>89</v>
      </c>
      <c r="N130" s="814">
        <v>89</v>
      </c>
      <c r="O130" s="814">
        <v>89</v>
      </c>
      <c r="P130" s="814">
        <v>89</v>
      </c>
      <c r="Q130" s="985">
        <v>89</v>
      </c>
      <c r="R130" s="985">
        <v>89</v>
      </c>
      <c r="S130" s="814"/>
      <c r="T130" s="814">
        <v>99</v>
      </c>
      <c r="U130" s="814">
        <v>99</v>
      </c>
      <c r="V130" s="814">
        <v>99</v>
      </c>
      <c r="W130" s="814">
        <v>99</v>
      </c>
      <c r="X130" s="814" t="s">
        <v>36</v>
      </c>
      <c r="Y130" s="985"/>
      <c r="Z130" s="985"/>
      <c r="AA130" s="814" t="s">
        <v>58</v>
      </c>
      <c r="AB130" s="814" t="s">
        <v>58</v>
      </c>
      <c r="AC130" s="814" t="s">
        <v>58</v>
      </c>
      <c r="AD130" s="814" t="s">
        <v>201</v>
      </c>
      <c r="AE130" s="814" t="s">
        <v>201</v>
      </c>
      <c r="AF130" s="985"/>
      <c r="AG130" s="1070"/>
      <c r="AH130" s="191"/>
      <c r="AI130" s="107"/>
    </row>
    <row r="131" spans="1:35" ht="22.35" customHeight="1" thickBot="1" x14ac:dyDescent="0.25">
      <c r="A131" s="1016">
        <v>5</v>
      </c>
      <c r="B131" s="1076" t="s">
        <v>202</v>
      </c>
      <c r="C131" s="987">
        <v>79</v>
      </c>
      <c r="D131" s="987"/>
      <c r="E131" s="987"/>
      <c r="F131" s="796">
        <v>89</v>
      </c>
      <c r="G131" s="796">
        <v>89</v>
      </c>
      <c r="H131" s="908">
        <v>89</v>
      </c>
      <c r="I131" s="908">
        <v>89</v>
      </c>
      <c r="J131" s="908">
        <v>89</v>
      </c>
      <c r="K131" s="908">
        <v>89</v>
      </c>
      <c r="L131" s="796"/>
      <c r="M131" s="920">
        <v>99</v>
      </c>
      <c r="N131" s="920">
        <v>99</v>
      </c>
      <c r="O131" s="987">
        <v>99</v>
      </c>
      <c r="P131" s="987">
        <v>99</v>
      </c>
      <c r="Q131" s="987" t="s">
        <v>36</v>
      </c>
      <c r="R131" s="987"/>
      <c r="S131" s="796"/>
      <c r="T131" s="1272" t="s">
        <v>58</v>
      </c>
      <c r="U131" s="987" t="s">
        <v>58</v>
      </c>
      <c r="V131" s="987" t="s">
        <v>58</v>
      </c>
      <c r="W131" s="987" t="s">
        <v>58</v>
      </c>
      <c r="X131" s="987" t="s">
        <v>58</v>
      </c>
      <c r="Y131" s="987"/>
      <c r="Z131" s="987"/>
      <c r="AA131" s="911">
        <v>69</v>
      </c>
      <c r="AB131" s="911">
        <v>69</v>
      </c>
      <c r="AC131" s="1430">
        <v>69</v>
      </c>
      <c r="AD131" s="911">
        <v>69</v>
      </c>
      <c r="AE131" s="911">
        <v>69</v>
      </c>
      <c r="AF131" s="911"/>
      <c r="AG131" s="912"/>
      <c r="AH131" s="191"/>
      <c r="AI131" s="107"/>
    </row>
    <row r="132" spans="1:35" ht="22.35" customHeight="1" x14ac:dyDescent="0.2">
      <c r="A132" s="200"/>
      <c r="B132" s="217"/>
      <c r="C132" s="218"/>
      <c r="D132" s="218"/>
      <c r="E132" s="218"/>
      <c r="F132" s="199"/>
      <c r="G132" s="216"/>
      <c r="H132" s="216"/>
      <c r="I132" s="216"/>
      <c r="J132" s="216"/>
      <c r="K132" s="216"/>
      <c r="L132" s="199"/>
      <c r="M132" s="199"/>
      <c r="N132" s="218"/>
      <c r="O132" s="218"/>
      <c r="P132" s="218"/>
      <c r="Q132" s="218"/>
      <c r="R132" s="218"/>
      <c r="S132" s="199"/>
      <c r="T132" s="219"/>
      <c r="U132" s="218"/>
      <c r="V132" s="218"/>
      <c r="W132" s="218"/>
      <c r="X132" s="218"/>
      <c r="Y132" s="218"/>
      <c r="Z132" s="220"/>
      <c r="AA132" s="220"/>
      <c r="AB132" s="218"/>
      <c r="AC132" s="218"/>
      <c r="AD132" s="218"/>
      <c r="AE132" s="218"/>
      <c r="AF132" s="218"/>
      <c r="AG132" s="220"/>
      <c r="AH132" s="191"/>
      <c r="AI132" s="107"/>
    </row>
    <row r="133" spans="1:35" ht="22.35" customHeight="1" x14ac:dyDescent="0.2">
      <c r="A133" s="109"/>
      <c r="B133" s="110"/>
      <c r="C133" s="106"/>
      <c r="D133" s="106"/>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c r="AD133" s="106"/>
      <c r="AE133" s="106"/>
      <c r="AF133" s="106"/>
      <c r="AG133" s="106"/>
      <c r="AH133" s="107"/>
      <c r="AI133" s="107"/>
    </row>
    <row r="134" spans="1:35" ht="22.35" customHeight="1" thickBot="1" x14ac:dyDescent="0.25">
      <c r="A134" s="169" t="s">
        <v>204</v>
      </c>
      <c r="B134" s="170"/>
      <c r="C134" s="170"/>
      <c r="D134" s="171"/>
      <c r="E134" s="171"/>
      <c r="F134" s="171"/>
      <c r="G134" s="105"/>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x14ac:dyDescent="0.2">
      <c r="A135" s="169"/>
      <c r="B135" s="1398" t="s">
        <v>186</v>
      </c>
      <c r="C135" s="1416"/>
      <c r="D135" s="1417" t="s">
        <v>107</v>
      </c>
      <c r="E135" s="1418"/>
      <c r="F135" s="1419"/>
      <c r="G135" s="1416"/>
      <c r="H135" s="1417" t="s">
        <v>108</v>
      </c>
      <c r="I135" s="1418"/>
      <c r="J135" s="1419"/>
      <c r="K135" s="1416"/>
      <c r="L135" s="1417" t="s">
        <v>109</v>
      </c>
      <c r="M135" s="1418"/>
      <c r="N135" s="1419"/>
      <c r="O135" s="1416"/>
      <c r="P135" s="1417" t="s">
        <v>110</v>
      </c>
      <c r="Q135" s="1418"/>
      <c r="R135" s="1419"/>
      <c r="S135" s="1416"/>
      <c r="T135" s="1417" t="s">
        <v>111</v>
      </c>
      <c r="U135" s="1418"/>
      <c r="V135" s="1419"/>
      <c r="W135" s="1416"/>
      <c r="X135" s="1417" t="s">
        <v>112</v>
      </c>
      <c r="Y135" s="1418"/>
      <c r="Z135" s="1419"/>
      <c r="AA135" s="1416"/>
      <c r="AB135" s="1417" t="s">
        <v>113</v>
      </c>
      <c r="AC135" s="1418"/>
      <c r="AD135" s="1418"/>
      <c r="AE135" s="1420" t="s">
        <v>114</v>
      </c>
      <c r="AF135" s="1418"/>
      <c r="AG135" s="1418"/>
      <c r="AH135" s="1418"/>
      <c r="AI135" s="1421"/>
    </row>
    <row r="136" spans="1:35" ht="22.35" customHeight="1" x14ac:dyDescent="0.2">
      <c r="A136" s="169"/>
      <c r="B136" s="737" t="s">
        <v>205</v>
      </c>
      <c r="C136" s="735" t="s">
        <v>206</v>
      </c>
      <c r="D136" s="1047"/>
      <c r="E136" s="1047"/>
      <c r="F136" s="1048"/>
      <c r="G136" s="735" t="s">
        <v>206</v>
      </c>
      <c r="H136" s="1047"/>
      <c r="I136" s="1047"/>
      <c r="J136" s="1048"/>
      <c r="K136" s="735" t="s">
        <v>206</v>
      </c>
      <c r="L136" s="1047"/>
      <c r="M136" s="1047"/>
      <c r="N136" s="1048"/>
      <c r="O136" s="735" t="s">
        <v>206</v>
      </c>
      <c r="P136" s="1047"/>
      <c r="Q136" s="1047"/>
      <c r="R136" s="1048"/>
      <c r="S136" s="735" t="s">
        <v>206</v>
      </c>
      <c r="T136" s="1047"/>
      <c r="U136" s="1047"/>
      <c r="V136" s="1048"/>
      <c r="W136" s="735" t="s">
        <v>207</v>
      </c>
      <c r="X136" s="1049"/>
      <c r="Y136" s="1049"/>
      <c r="Z136" s="1050"/>
      <c r="AA136" s="735" t="s">
        <v>207</v>
      </c>
      <c r="AB136" s="1047"/>
      <c r="AC136" s="1047"/>
      <c r="AD136" s="945"/>
      <c r="AE136" s="736">
        <v>69</v>
      </c>
      <c r="AF136" s="185"/>
      <c r="AG136" s="185"/>
      <c r="AH136" s="185"/>
      <c r="AI136" s="186"/>
    </row>
    <row r="137" spans="1:35" ht="22.35" customHeight="1" x14ac:dyDescent="0.2">
      <c r="A137" s="169"/>
      <c r="B137" s="737" t="s">
        <v>163</v>
      </c>
      <c r="C137" s="735" t="s">
        <v>171</v>
      </c>
      <c r="D137" s="1047"/>
      <c r="E137" s="1047"/>
      <c r="F137" s="1048"/>
      <c r="G137" s="735" t="s">
        <v>171</v>
      </c>
      <c r="H137" s="1047"/>
      <c r="I137" s="1047"/>
      <c r="J137" s="1048"/>
      <c r="K137" s="735" t="s">
        <v>171</v>
      </c>
      <c r="L137" s="1047"/>
      <c r="M137" s="1047"/>
      <c r="N137" s="1048"/>
      <c r="O137" s="735" t="s">
        <v>171</v>
      </c>
      <c r="P137" s="1047"/>
      <c r="Q137" s="1047"/>
      <c r="R137" s="1048"/>
      <c r="S137" s="735" t="s">
        <v>171</v>
      </c>
      <c r="T137" s="1047"/>
      <c r="U137" s="1047"/>
      <c r="V137" s="1048"/>
      <c r="W137" s="735" t="s">
        <v>171</v>
      </c>
      <c r="X137" s="1047"/>
      <c r="Y137" s="1047"/>
      <c r="Z137" s="1048"/>
      <c r="AA137" s="1047" t="s">
        <v>171</v>
      </c>
      <c r="AB137" s="1047"/>
      <c r="AC137" s="1047"/>
      <c r="AD137" s="945"/>
      <c r="AE137" s="736">
        <v>0</v>
      </c>
      <c r="AF137" s="185"/>
      <c r="AG137" s="185"/>
      <c r="AH137" s="185"/>
      <c r="AI137" s="186"/>
    </row>
    <row r="138" spans="1:35" ht="22.35" customHeight="1" x14ac:dyDescent="0.2">
      <c r="A138" s="169"/>
      <c r="B138" s="737" t="s">
        <v>208</v>
      </c>
      <c r="C138" s="735" t="s">
        <v>206</v>
      </c>
      <c r="D138" s="1047"/>
      <c r="E138" s="1047"/>
      <c r="F138" s="1048"/>
      <c r="G138" s="735" t="s">
        <v>206</v>
      </c>
      <c r="H138" s="1047"/>
      <c r="I138" s="1047"/>
      <c r="J138" s="1048"/>
      <c r="K138" s="735" t="s">
        <v>206</v>
      </c>
      <c r="L138" s="1047"/>
      <c r="M138" s="1047"/>
      <c r="N138" s="1048"/>
      <c r="O138" s="735" t="s">
        <v>206</v>
      </c>
      <c r="P138" s="1047"/>
      <c r="Q138" s="1047"/>
      <c r="R138" s="1048"/>
      <c r="S138" s="735" t="s">
        <v>206</v>
      </c>
      <c r="T138" s="1047"/>
      <c r="U138" s="1047"/>
      <c r="V138" s="1048"/>
      <c r="W138" s="735" t="s">
        <v>207</v>
      </c>
      <c r="X138" s="1049"/>
      <c r="Y138" s="1049"/>
      <c r="Z138" s="1050"/>
      <c r="AA138" s="735" t="s">
        <v>207</v>
      </c>
      <c r="AB138" s="1047"/>
      <c r="AC138" s="1047"/>
      <c r="AD138" s="945"/>
      <c r="AE138" s="736">
        <v>69</v>
      </c>
      <c r="AF138" s="1047"/>
      <c r="AG138" s="1047" t="s">
        <v>0</v>
      </c>
      <c r="AH138" s="945"/>
      <c r="AI138" s="1051"/>
    </row>
    <row r="139" spans="1:35" ht="22.35" customHeight="1" x14ac:dyDescent="0.2">
      <c r="A139" s="169"/>
      <c r="B139" s="737" t="s">
        <v>172</v>
      </c>
      <c r="C139" s="735" t="s">
        <v>171</v>
      </c>
      <c r="D139" s="1047"/>
      <c r="E139" s="1047"/>
      <c r="F139" s="1048"/>
      <c r="G139" s="735" t="s">
        <v>171</v>
      </c>
      <c r="H139" s="1047"/>
      <c r="I139" s="1047"/>
      <c r="J139" s="1048"/>
      <c r="K139" s="735" t="s">
        <v>171</v>
      </c>
      <c r="L139" s="1047"/>
      <c r="M139" s="1047"/>
      <c r="N139" s="1048"/>
      <c r="O139" s="735" t="s">
        <v>171</v>
      </c>
      <c r="P139" s="1047"/>
      <c r="Q139" s="1047"/>
      <c r="R139" s="1048"/>
      <c r="S139" s="735" t="s">
        <v>171</v>
      </c>
      <c r="T139" s="1047"/>
      <c r="U139" s="1047"/>
      <c r="V139" s="1048"/>
      <c r="W139" s="735" t="s">
        <v>171</v>
      </c>
      <c r="X139" s="1047"/>
      <c r="Y139" s="1047"/>
      <c r="Z139" s="1048"/>
      <c r="AA139" s="1047" t="s">
        <v>171</v>
      </c>
      <c r="AB139" s="1047"/>
      <c r="AC139" s="1047"/>
      <c r="AD139" s="945"/>
      <c r="AE139" s="736">
        <v>0</v>
      </c>
      <c r="AF139" s="1047"/>
      <c r="AG139" s="1047"/>
      <c r="AH139" s="945"/>
      <c r="AI139" s="1051"/>
    </row>
    <row r="140" spans="1:35" ht="22.35" customHeight="1" x14ac:dyDescent="0.2">
      <c r="A140" s="169"/>
      <c r="B140" s="737" t="s">
        <v>209</v>
      </c>
      <c r="C140" s="735" t="s">
        <v>206</v>
      </c>
      <c r="D140" s="1047"/>
      <c r="E140" s="1047"/>
      <c r="F140" s="1048"/>
      <c r="G140" s="735" t="s">
        <v>206</v>
      </c>
      <c r="H140" s="1047"/>
      <c r="I140" s="1047"/>
      <c r="J140" s="1048"/>
      <c r="K140" s="735" t="s">
        <v>206</v>
      </c>
      <c r="L140" s="1047"/>
      <c r="M140" s="1047"/>
      <c r="N140" s="1048"/>
      <c r="O140" s="735" t="s">
        <v>206</v>
      </c>
      <c r="P140" s="1047"/>
      <c r="Q140" s="1047"/>
      <c r="R140" s="1048"/>
      <c r="S140" s="735" t="s">
        <v>206</v>
      </c>
      <c r="T140" s="1047"/>
      <c r="U140" s="1047"/>
      <c r="V140" s="1048"/>
      <c r="W140" s="735" t="s">
        <v>210</v>
      </c>
      <c r="X140" s="1053"/>
      <c r="Y140" s="1053"/>
      <c r="Z140" s="582"/>
      <c r="AA140" s="735" t="s">
        <v>210</v>
      </c>
      <c r="AB140" s="1053"/>
      <c r="AC140" s="1053"/>
      <c r="AD140" s="947"/>
      <c r="AE140" s="736">
        <v>66</v>
      </c>
      <c r="AF140" s="1047"/>
      <c r="AG140" s="1047"/>
      <c r="AH140" s="945"/>
      <c r="AI140" s="1051"/>
    </row>
    <row r="141" spans="1:35" ht="22.35" customHeight="1" thickBot="1" x14ac:dyDescent="0.25">
      <c r="A141" s="169"/>
      <c r="B141" s="737" t="s">
        <v>211</v>
      </c>
      <c r="C141" s="704" t="s">
        <v>171</v>
      </c>
      <c r="D141" s="705"/>
      <c r="E141" s="705"/>
      <c r="F141" s="706"/>
      <c r="G141" s="704" t="s">
        <v>171</v>
      </c>
      <c r="H141" s="705"/>
      <c r="I141" s="705"/>
      <c r="J141" s="706"/>
      <c r="K141" s="704" t="s">
        <v>171</v>
      </c>
      <c r="L141" s="705"/>
      <c r="M141" s="705"/>
      <c r="N141" s="706"/>
      <c r="O141" s="704" t="s">
        <v>171</v>
      </c>
      <c r="P141" s="705"/>
      <c r="Q141" s="705"/>
      <c r="R141" s="706"/>
      <c r="S141" s="704" t="s">
        <v>171</v>
      </c>
      <c r="T141" s="705"/>
      <c r="U141" s="705"/>
      <c r="V141" s="1063"/>
      <c r="W141" s="704" t="s">
        <v>171</v>
      </c>
      <c r="X141" s="1063"/>
      <c r="Y141" s="705"/>
      <c r="Z141" s="706"/>
      <c r="AA141" s="704" t="s">
        <v>171</v>
      </c>
      <c r="AB141" s="1063"/>
      <c r="AC141" s="705"/>
      <c r="AD141" s="706"/>
      <c r="AE141" s="707" t="s">
        <v>212</v>
      </c>
      <c r="AF141" s="705"/>
      <c r="AG141" s="705"/>
      <c r="AH141" s="1063"/>
      <c r="AI141" s="1064"/>
    </row>
    <row r="142" spans="1:35" ht="22.35" customHeight="1" x14ac:dyDescent="0.2">
      <c r="A142" s="108"/>
      <c r="B142" s="169"/>
      <c r="C142" s="171"/>
      <c r="D142" s="171"/>
      <c r="E142" s="171"/>
      <c r="F142" s="171"/>
      <c r="G142" s="171"/>
      <c r="H142" s="171"/>
      <c r="I142" s="171"/>
      <c r="J142" s="171"/>
      <c r="K142" s="171"/>
      <c r="L142" s="171"/>
      <c r="M142" s="171"/>
      <c r="N142" s="171"/>
      <c r="O142" s="171"/>
      <c r="P142" s="171"/>
      <c r="Q142" s="171"/>
      <c r="R142" s="171"/>
      <c r="S142" s="171"/>
      <c r="T142" s="171"/>
      <c r="U142" s="171"/>
      <c r="V142" s="171"/>
      <c r="W142" s="171"/>
      <c r="X142" s="171"/>
      <c r="Y142" s="171"/>
      <c r="Z142" s="171"/>
      <c r="AA142" s="171"/>
      <c r="AB142" s="171"/>
      <c r="AC142" s="171"/>
      <c r="AD142" s="171"/>
      <c r="AE142" s="171"/>
      <c r="AF142" s="171"/>
      <c r="AG142" s="171"/>
      <c r="AH142" s="170"/>
      <c r="AI142" s="170"/>
    </row>
    <row r="143" spans="1:35" ht="22.35" customHeight="1" thickBot="1" x14ac:dyDescent="0.25">
      <c r="A143" s="981"/>
      <c r="B143" s="1353" t="s">
        <v>29</v>
      </c>
      <c r="C143" s="796">
        <v>1</v>
      </c>
      <c r="D143" s="795">
        <v>2</v>
      </c>
      <c r="E143" s="795">
        <v>3</v>
      </c>
      <c r="F143" s="796">
        <v>4</v>
      </c>
      <c r="G143" s="796">
        <v>5</v>
      </c>
      <c r="H143" s="796">
        <v>6</v>
      </c>
      <c r="I143" s="796">
        <v>7</v>
      </c>
      <c r="J143" s="796">
        <v>8</v>
      </c>
      <c r="K143" s="795">
        <v>9</v>
      </c>
      <c r="L143" s="795">
        <v>10</v>
      </c>
      <c r="M143" s="796">
        <v>11</v>
      </c>
      <c r="N143" s="796">
        <v>12</v>
      </c>
      <c r="O143" s="796">
        <v>13</v>
      </c>
      <c r="P143" s="796">
        <v>14</v>
      </c>
      <c r="Q143" s="796">
        <v>15</v>
      </c>
      <c r="R143" s="795">
        <v>16</v>
      </c>
      <c r="S143" s="795">
        <v>17</v>
      </c>
      <c r="T143" s="796">
        <v>18</v>
      </c>
      <c r="U143" s="796">
        <v>19</v>
      </c>
      <c r="V143" s="796">
        <v>20</v>
      </c>
      <c r="W143" s="796">
        <v>21</v>
      </c>
      <c r="X143" s="796">
        <v>22</v>
      </c>
      <c r="Y143" s="795">
        <v>23</v>
      </c>
      <c r="Z143" s="795">
        <v>24</v>
      </c>
      <c r="AA143" s="796">
        <v>25</v>
      </c>
      <c r="AB143" s="796">
        <v>26</v>
      </c>
      <c r="AC143" s="796">
        <v>27</v>
      </c>
      <c r="AD143" s="796">
        <v>28</v>
      </c>
      <c r="AE143" s="796">
        <v>29</v>
      </c>
      <c r="AF143" s="795">
        <v>30</v>
      </c>
      <c r="AG143" s="1300">
        <v>31</v>
      </c>
      <c r="AH143" s="173"/>
      <c r="AI143" s="174"/>
    </row>
    <row r="144" spans="1:35" ht="22.35" customHeight="1" x14ac:dyDescent="0.2">
      <c r="A144" s="1431">
        <v>1</v>
      </c>
      <c r="B144" s="215" t="s">
        <v>213</v>
      </c>
      <c r="C144" s="1432" t="s">
        <v>36</v>
      </c>
      <c r="D144" s="1432"/>
      <c r="E144" s="1432"/>
      <c r="F144" s="1432">
        <v>21</v>
      </c>
      <c r="G144" s="1433">
        <v>21</v>
      </c>
      <c r="H144" s="1432">
        <v>21</v>
      </c>
      <c r="I144" s="1434">
        <v>21</v>
      </c>
      <c r="J144" s="1433">
        <v>21</v>
      </c>
      <c r="K144" s="1432">
        <v>21</v>
      </c>
      <c r="L144" s="1434">
        <v>21</v>
      </c>
      <c r="M144" s="1433" t="s">
        <v>36</v>
      </c>
      <c r="N144" s="1433" t="s">
        <v>36</v>
      </c>
      <c r="O144" s="1432" t="s">
        <v>36</v>
      </c>
      <c r="P144" s="1432" t="s">
        <v>36</v>
      </c>
      <c r="Q144" s="1432" t="s">
        <v>36</v>
      </c>
      <c r="R144" s="1432"/>
      <c r="S144" s="1432"/>
      <c r="T144" s="1432">
        <v>22</v>
      </c>
      <c r="U144" s="1432">
        <v>22</v>
      </c>
      <c r="V144" s="1432">
        <v>22</v>
      </c>
      <c r="W144" s="1434">
        <v>22</v>
      </c>
      <c r="X144" s="1432">
        <v>22</v>
      </c>
      <c r="Y144" s="1432">
        <v>22</v>
      </c>
      <c r="Z144" s="1434">
        <v>22</v>
      </c>
      <c r="AA144" s="1432" t="s">
        <v>36</v>
      </c>
      <c r="AB144" s="1432" t="s">
        <v>36</v>
      </c>
      <c r="AC144" s="1432" t="s">
        <v>36</v>
      </c>
      <c r="AD144" s="1432" t="s">
        <v>36</v>
      </c>
      <c r="AE144" s="1432" t="s">
        <v>36</v>
      </c>
      <c r="AF144" s="1432"/>
      <c r="AG144" s="1435"/>
      <c r="AH144" s="107"/>
      <c r="AI144" s="107"/>
    </row>
    <row r="145" spans="1:35" ht="22.35" customHeight="1" x14ac:dyDescent="0.2">
      <c r="A145" s="1086">
        <v>2</v>
      </c>
      <c r="B145" s="1182" t="s">
        <v>214</v>
      </c>
      <c r="C145" s="644" t="s">
        <v>36</v>
      </c>
      <c r="D145" s="644"/>
      <c r="E145" s="644"/>
      <c r="F145" s="644">
        <v>22</v>
      </c>
      <c r="G145" s="644">
        <v>22</v>
      </c>
      <c r="H145" s="644">
        <v>22</v>
      </c>
      <c r="I145" s="851">
        <v>22</v>
      </c>
      <c r="J145" s="644">
        <v>22</v>
      </c>
      <c r="K145" s="644">
        <v>22</v>
      </c>
      <c r="L145" s="851">
        <v>22</v>
      </c>
      <c r="M145" s="975" t="s">
        <v>36</v>
      </c>
      <c r="N145" s="975" t="s">
        <v>36</v>
      </c>
      <c r="O145" s="975" t="s">
        <v>36</v>
      </c>
      <c r="P145" s="975" t="s">
        <v>36</v>
      </c>
      <c r="Q145" s="975" t="s">
        <v>36</v>
      </c>
      <c r="R145" s="975"/>
      <c r="S145" s="975"/>
      <c r="T145" s="975">
        <v>23</v>
      </c>
      <c r="U145" s="975">
        <v>23</v>
      </c>
      <c r="V145" s="975">
        <v>23</v>
      </c>
      <c r="W145" s="851">
        <v>23</v>
      </c>
      <c r="X145" s="644">
        <v>23</v>
      </c>
      <c r="Y145" s="644">
        <v>23</v>
      </c>
      <c r="Z145" s="851">
        <v>23</v>
      </c>
      <c r="AA145" s="975" t="s">
        <v>36</v>
      </c>
      <c r="AB145" s="975" t="s">
        <v>36</v>
      </c>
      <c r="AC145" s="975" t="s">
        <v>36</v>
      </c>
      <c r="AD145" s="975" t="s">
        <v>36</v>
      </c>
      <c r="AE145" s="975" t="s">
        <v>36</v>
      </c>
      <c r="AF145" s="975"/>
      <c r="AG145" s="613"/>
      <c r="AH145" s="107"/>
      <c r="AI145" s="107"/>
    </row>
    <row r="146" spans="1:35" ht="22.35" customHeight="1" x14ac:dyDescent="0.2">
      <c r="A146" s="1086">
        <v>3</v>
      </c>
      <c r="B146" s="1182" t="s">
        <v>362</v>
      </c>
      <c r="C146" s="644" t="s">
        <v>36</v>
      </c>
      <c r="D146" s="644"/>
      <c r="E146" s="644"/>
      <c r="F146" s="859">
        <v>23</v>
      </c>
      <c r="G146" s="859">
        <v>23</v>
      </c>
      <c r="H146" s="859">
        <v>23</v>
      </c>
      <c r="I146" s="859">
        <v>23</v>
      </c>
      <c r="J146" s="859">
        <v>23</v>
      </c>
      <c r="K146" s="859">
        <v>23</v>
      </c>
      <c r="L146" s="859">
        <v>23</v>
      </c>
      <c r="M146" s="859" t="s">
        <v>36</v>
      </c>
      <c r="N146" s="859" t="s">
        <v>36</v>
      </c>
      <c r="O146" s="859" t="s">
        <v>36</v>
      </c>
      <c r="P146" s="859" t="s">
        <v>36</v>
      </c>
      <c r="Q146" s="859" t="s">
        <v>36</v>
      </c>
      <c r="R146" s="859"/>
      <c r="S146" s="859"/>
      <c r="T146" s="859">
        <v>21</v>
      </c>
      <c r="U146" s="859">
        <v>21</v>
      </c>
      <c r="V146" s="859">
        <v>21</v>
      </c>
      <c r="W146" s="859">
        <v>21</v>
      </c>
      <c r="X146" s="859">
        <v>21</v>
      </c>
      <c r="Y146" s="859">
        <v>21</v>
      </c>
      <c r="Z146" s="859">
        <v>21</v>
      </c>
      <c r="AA146" s="965" t="s">
        <v>36</v>
      </c>
      <c r="AB146" s="965" t="s">
        <v>36</v>
      </c>
      <c r="AC146" s="965" t="s">
        <v>36</v>
      </c>
      <c r="AD146" s="965" t="s">
        <v>36</v>
      </c>
      <c r="AE146" s="965" t="s">
        <v>36</v>
      </c>
      <c r="AF146" s="965"/>
      <c r="AG146" s="1226"/>
      <c r="AH146" s="107"/>
      <c r="AI146" s="107"/>
    </row>
    <row r="147" spans="1:35" ht="22.35" customHeight="1" x14ac:dyDescent="0.2">
      <c r="A147" s="1086">
        <v>4</v>
      </c>
      <c r="B147" s="1182" t="s">
        <v>0</v>
      </c>
      <c r="C147" s="644">
        <v>23</v>
      </c>
      <c r="D147" s="644">
        <v>23</v>
      </c>
      <c r="E147" s="851">
        <v>23</v>
      </c>
      <c r="F147" s="644" t="s">
        <v>36</v>
      </c>
      <c r="G147" s="644" t="s">
        <v>36</v>
      </c>
      <c r="H147" s="644" t="s">
        <v>36</v>
      </c>
      <c r="I147" s="644" t="s">
        <v>36</v>
      </c>
      <c r="J147" s="644" t="s">
        <v>36</v>
      </c>
      <c r="K147" s="644"/>
      <c r="L147" s="644"/>
      <c r="M147" s="644">
        <v>21</v>
      </c>
      <c r="N147" s="644">
        <v>21</v>
      </c>
      <c r="O147" s="848">
        <v>21</v>
      </c>
      <c r="P147" s="848">
        <v>21</v>
      </c>
      <c r="Q147" s="848">
        <v>21</v>
      </c>
      <c r="R147" s="848">
        <v>21</v>
      </c>
      <c r="S147" s="848">
        <v>21</v>
      </c>
      <c r="T147" s="848" t="s">
        <v>36</v>
      </c>
      <c r="U147" s="848" t="s">
        <v>36</v>
      </c>
      <c r="V147" s="848" t="s">
        <v>36</v>
      </c>
      <c r="W147" s="644" t="s">
        <v>36</v>
      </c>
      <c r="X147" s="644" t="s">
        <v>36</v>
      </c>
      <c r="Y147" s="644"/>
      <c r="Z147" s="644"/>
      <c r="AA147" s="644">
        <v>22</v>
      </c>
      <c r="AB147" s="644">
        <v>22</v>
      </c>
      <c r="AC147" s="644">
        <v>22</v>
      </c>
      <c r="AD147" s="851">
        <v>22</v>
      </c>
      <c r="AE147" s="644">
        <v>22</v>
      </c>
      <c r="AF147" s="644">
        <v>22</v>
      </c>
      <c r="AG147" s="978">
        <v>22</v>
      </c>
      <c r="AH147" s="107"/>
      <c r="AI147" s="107"/>
    </row>
    <row r="148" spans="1:35" ht="22.35" customHeight="1" x14ac:dyDescent="0.2">
      <c r="A148" s="1086">
        <v>5</v>
      </c>
      <c r="B148" s="1182" t="s">
        <v>217</v>
      </c>
      <c r="C148" s="644">
        <v>21</v>
      </c>
      <c r="D148" s="644">
        <v>21</v>
      </c>
      <c r="E148" s="851">
        <v>21</v>
      </c>
      <c r="F148" s="859" t="s">
        <v>36</v>
      </c>
      <c r="G148" s="859" t="s">
        <v>36</v>
      </c>
      <c r="H148" s="859" t="s">
        <v>36</v>
      </c>
      <c r="I148" s="859" t="s">
        <v>36</v>
      </c>
      <c r="J148" s="859" t="s">
        <v>36</v>
      </c>
      <c r="K148" s="859"/>
      <c r="L148" s="859"/>
      <c r="M148" s="859">
        <v>22</v>
      </c>
      <c r="N148" s="859">
        <v>22</v>
      </c>
      <c r="O148" s="859">
        <v>22</v>
      </c>
      <c r="P148" s="859">
        <v>22</v>
      </c>
      <c r="Q148" s="859">
        <v>22</v>
      </c>
      <c r="R148" s="859">
        <v>22</v>
      </c>
      <c r="S148" s="859">
        <v>22</v>
      </c>
      <c r="T148" s="859" t="s">
        <v>36</v>
      </c>
      <c r="U148" s="859" t="s">
        <v>36</v>
      </c>
      <c r="V148" s="859" t="s">
        <v>36</v>
      </c>
      <c r="W148" s="859" t="s">
        <v>36</v>
      </c>
      <c r="X148" s="859" t="s">
        <v>36</v>
      </c>
      <c r="Y148" s="859"/>
      <c r="Z148" s="859"/>
      <c r="AA148" s="644">
        <v>23</v>
      </c>
      <c r="AB148" s="644">
        <v>23</v>
      </c>
      <c r="AC148" s="975">
        <v>23</v>
      </c>
      <c r="AD148" s="975">
        <v>23</v>
      </c>
      <c r="AE148" s="975">
        <v>23</v>
      </c>
      <c r="AF148" s="644">
        <v>23</v>
      </c>
      <c r="AG148" s="978">
        <v>23</v>
      </c>
      <c r="AH148" s="107"/>
      <c r="AI148" s="107"/>
    </row>
    <row r="149" spans="1:35" ht="22.35" customHeight="1" thickBot="1" x14ac:dyDescent="0.25">
      <c r="A149" s="1090">
        <v>6</v>
      </c>
      <c r="B149" s="1091" t="s">
        <v>218</v>
      </c>
      <c r="C149" s="1273">
        <v>22</v>
      </c>
      <c r="D149" s="1273">
        <v>22</v>
      </c>
      <c r="E149" s="1273">
        <v>22</v>
      </c>
      <c r="F149" s="863" t="s">
        <v>36</v>
      </c>
      <c r="G149" s="863" t="s">
        <v>36</v>
      </c>
      <c r="H149" s="1093" t="s">
        <v>36</v>
      </c>
      <c r="I149" s="1093" t="s">
        <v>36</v>
      </c>
      <c r="J149" s="1093" t="s">
        <v>36</v>
      </c>
      <c r="K149" s="1093"/>
      <c r="L149" s="1093"/>
      <c r="M149" s="1093">
        <v>23</v>
      </c>
      <c r="N149" s="865">
        <v>23</v>
      </c>
      <c r="O149" s="865">
        <v>23</v>
      </c>
      <c r="P149" s="1092">
        <v>23</v>
      </c>
      <c r="Q149" s="863">
        <v>23</v>
      </c>
      <c r="R149" s="1436">
        <v>23</v>
      </c>
      <c r="S149" s="1436">
        <v>23</v>
      </c>
      <c r="T149" s="863" t="s">
        <v>36</v>
      </c>
      <c r="U149" s="863" t="s">
        <v>36</v>
      </c>
      <c r="V149" s="863" t="s">
        <v>36</v>
      </c>
      <c r="W149" s="863" t="s">
        <v>36</v>
      </c>
      <c r="X149" s="863" t="s">
        <v>36</v>
      </c>
      <c r="Y149" s="863"/>
      <c r="Z149" s="863"/>
      <c r="AA149" s="863">
        <v>21</v>
      </c>
      <c r="AB149" s="865">
        <v>21</v>
      </c>
      <c r="AC149" s="865">
        <v>21</v>
      </c>
      <c r="AD149" s="1092">
        <v>21</v>
      </c>
      <c r="AE149" s="863">
        <v>21</v>
      </c>
      <c r="AF149" s="863">
        <v>21</v>
      </c>
      <c r="AG149" s="1094">
        <v>21</v>
      </c>
      <c r="AH149" s="107"/>
      <c r="AI149" s="107"/>
    </row>
    <row r="150" spans="1:35" ht="22.35" customHeight="1" x14ac:dyDescent="0.2">
      <c r="A150" s="200"/>
      <c r="B150" s="198"/>
      <c r="C150" s="199"/>
      <c r="D150" s="199"/>
      <c r="E150" s="216"/>
      <c r="F150" s="199"/>
      <c r="G150" s="199"/>
      <c r="H150" s="221"/>
      <c r="I150" s="221"/>
      <c r="J150" s="221"/>
      <c r="K150" s="221"/>
      <c r="L150" s="221"/>
      <c r="M150" s="221"/>
      <c r="N150" s="192"/>
      <c r="O150" s="192"/>
      <c r="P150" s="216"/>
      <c r="Q150" s="199"/>
      <c r="R150" s="199"/>
      <c r="S150" s="216"/>
      <c r="T150" s="199"/>
      <c r="U150" s="199"/>
      <c r="V150" s="199"/>
      <c r="W150" s="199"/>
      <c r="X150" s="199"/>
      <c r="Y150" s="199"/>
      <c r="Z150" s="199"/>
      <c r="AA150" s="199"/>
      <c r="AB150" s="192"/>
      <c r="AC150" s="192"/>
      <c r="AD150" s="216"/>
      <c r="AE150" s="199"/>
      <c r="AF150" s="199"/>
      <c r="AG150" s="216"/>
      <c r="AH150" s="107"/>
      <c r="AI150" s="107"/>
    </row>
    <row r="151" spans="1:35" ht="22.35" customHeight="1" x14ac:dyDescent="0.2">
      <c r="A151" s="109"/>
      <c r="B151" s="110"/>
      <c r="C151" s="183"/>
      <c r="D151" s="183"/>
      <c r="E151" s="168"/>
      <c r="F151" s="183"/>
      <c r="G151" s="183"/>
      <c r="H151" s="183"/>
      <c r="I151" s="183"/>
      <c r="J151" s="183"/>
      <c r="K151" s="183"/>
      <c r="L151" s="183"/>
      <c r="M151" s="183"/>
      <c r="N151" s="183"/>
      <c r="O151" s="183"/>
      <c r="P151" s="168"/>
      <c r="Q151" s="183"/>
      <c r="R151" s="183"/>
      <c r="S151" s="168"/>
      <c r="T151" s="183"/>
      <c r="U151" s="183"/>
      <c r="V151" s="183"/>
      <c r="W151" s="183"/>
      <c r="X151" s="183"/>
      <c r="Y151" s="183"/>
      <c r="Z151" s="183"/>
      <c r="AA151" s="183"/>
      <c r="AB151" s="183"/>
      <c r="AC151" s="184"/>
      <c r="AD151" s="184"/>
      <c r="AE151" s="184"/>
      <c r="AF151" s="183"/>
      <c r="AG151" s="168"/>
      <c r="AH151" s="107"/>
      <c r="AI151" s="107"/>
    </row>
    <row r="152" spans="1:35" ht="22.35" customHeight="1" thickBot="1" x14ac:dyDescent="0.25">
      <c r="A152" s="158" t="s">
        <v>219</v>
      </c>
      <c r="D152" s="72"/>
      <c r="E152" s="72"/>
      <c r="F152" s="72"/>
      <c r="G152" s="105"/>
      <c r="H152" s="72"/>
      <c r="I152" s="72"/>
      <c r="J152" s="72"/>
      <c r="K152" s="72"/>
      <c r="L152" s="72"/>
      <c r="M152" s="72"/>
      <c r="N152" s="72"/>
      <c r="O152" s="72"/>
      <c r="P152" s="72"/>
      <c r="Q152" s="72"/>
      <c r="R152" s="72"/>
      <c r="S152" s="72"/>
      <c r="T152" s="72"/>
      <c r="U152" s="72"/>
      <c r="V152" s="72"/>
      <c r="W152" s="72"/>
      <c r="X152" s="72"/>
      <c r="Y152" s="72"/>
      <c r="Z152" s="72"/>
      <c r="AA152" s="72"/>
      <c r="AB152" s="72"/>
      <c r="AC152" s="72"/>
      <c r="AD152" s="72"/>
      <c r="AE152" s="72"/>
      <c r="AF152" s="72"/>
      <c r="AG152" s="72"/>
    </row>
    <row r="153" spans="1:35" ht="22.35" customHeight="1" x14ac:dyDescent="0.2">
      <c r="A153" s="1"/>
      <c r="B153" s="1398" t="s">
        <v>186</v>
      </c>
      <c r="C153" s="1392"/>
      <c r="D153" s="1417" t="s">
        <v>107</v>
      </c>
      <c r="E153" s="1323"/>
      <c r="F153" s="1385"/>
      <c r="G153" s="1392"/>
      <c r="H153" s="1417" t="s">
        <v>108</v>
      </c>
      <c r="I153" s="1323"/>
      <c r="J153" s="1385"/>
      <c r="K153" s="1392"/>
      <c r="L153" s="1417" t="s">
        <v>109</v>
      </c>
      <c r="M153" s="1323"/>
      <c r="N153" s="1385"/>
      <c r="O153" s="1392"/>
      <c r="P153" s="1417" t="s">
        <v>110</v>
      </c>
      <c r="Q153" s="1323"/>
      <c r="R153" s="1385"/>
      <c r="S153" s="1392"/>
      <c r="T153" s="1417" t="s">
        <v>111</v>
      </c>
      <c r="U153" s="1323"/>
      <c r="V153" s="1385"/>
      <c r="W153" s="1392"/>
      <c r="X153" s="1417" t="s">
        <v>112</v>
      </c>
      <c r="Y153" s="1323"/>
      <c r="Z153" s="1385"/>
      <c r="AA153" s="1392"/>
      <c r="AB153" s="1417" t="s">
        <v>113</v>
      </c>
      <c r="AC153" s="1323"/>
      <c r="AD153" s="1323"/>
      <c r="AE153" s="1420" t="s">
        <v>114</v>
      </c>
      <c r="AF153" s="1323"/>
      <c r="AG153" s="1323"/>
      <c r="AH153" s="1323"/>
      <c r="AI153" s="1324"/>
    </row>
    <row r="154" spans="1:35" ht="22.35" customHeight="1" x14ac:dyDescent="0.2">
      <c r="A154" s="1"/>
      <c r="B154" s="737" t="s">
        <v>159</v>
      </c>
      <c r="C154" s="735" t="s">
        <v>187</v>
      </c>
      <c r="D154" s="743"/>
      <c r="E154" s="743"/>
      <c r="F154" s="1048"/>
      <c r="G154" s="735" t="s">
        <v>187</v>
      </c>
      <c r="H154" s="743"/>
      <c r="I154" s="743"/>
      <c r="J154" s="1048"/>
      <c r="K154" s="735" t="s">
        <v>187</v>
      </c>
      <c r="L154" s="743"/>
      <c r="M154" s="743"/>
      <c r="N154" s="1048"/>
      <c r="O154" s="735" t="s">
        <v>220</v>
      </c>
      <c r="P154" s="743"/>
      <c r="Q154" s="743"/>
      <c r="R154" s="1048"/>
      <c r="S154" s="735" t="s">
        <v>171</v>
      </c>
      <c r="T154" s="743"/>
      <c r="U154" s="743"/>
      <c r="V154" s="1048"/>
      <c r="W154" s="1095"/>
      <c r="X154" s="1096"/>
      <c r="Y154" s="1096"/>
      <c r="Z154" s="1050"/>
      <c r="AA154" s="1046"/>
      <c r="AB154" s="743"/>
      <c r="AC154" s="743"/>
      <c r="AD154" s="945"/>
      <c r="AE154" s="736">
        <v>27</v>
      </c>
      <c r="AF154" s="743"/>
      <c r="AG154" s="743"/>
      <c r="AH154" s="945"/>
      <c r="AI154" s="788"/>
    </row>
    <row r="155" spans="1:35" ht="22.35" customHeight="1" x14ac:dyDescent="0.2">
      <c r="A155" s="1"/>
      <c r="B155" s="737" t="s">
        <v>163</v>
      </c>
      <c r="C155" s="735" t="s">
        <v>221</v>
      </c>
      <c r="D155" s="743"/>
      <c r="E155" s="743"/>
      <c r="F155" s="1048"/>
      <c r="G155" s="735" t="s">
        <v>221</v>
      </c>
      <c r="H155" s="743"/>
      <c r="I155" s="743"/>
      <c r="J155" s="1048"/>
      <c r="K155" s="735" t="s">
        <v>221</v>
      </c>
      <c r="L155" s="743"/>
      <c r="M155" s="743"/>
      <c r="N155" s="1048"/>
      <c r="O155" s="735" t="s">
        <v>221</v>
      </c>
      <c r="P155" s="743"/>
      <c r="Q155" s="743"/>
      <c r="R155" s="1048"/>
      <c r="S155" s="735" t="s">
        <v>187</v>
      </c>
      <c r="T155" s="743"/>
      <c r="U155" s="743"/>
      <c r="V155" s="1048"/>
      <c r="W155" s="735"/>
      <c r="X155" s="743"/>
      <c r="Y155" s="743"/>
      <c r="Z155" s="1048"/>
      <c r="AA155" s="743"/>
      <c r="AB155" s="743"/>
      <c r="AC155" s="743"/>
      <c r="AD155" s="945"/>
      <c r="AE155" s="736">
        <v>39</v>
      </c>
      <c r="AF155" s="743"/>
      <c r="AG155" s="743"/>
      <c r="AH155" s="945"/>
      <c r="AI155" s="788"/>
    </row>
    <row r="156" spans="1:35" ht="22.35" customHeight="1" x14ac:dyDescent="0.2">
      <c r="A156" s="1"/>
      <c r="B156" s="737" t="s">
        <v>170</v>
      </c>
      <c r="C156" s="735" t="s">
        <v>221</v>
      </c>
      <c r="D156" s="743"/>
      <c r="E156" s="743"/>
      <c r="F156" s="1048"/>
      <c r="G156" s="735" t="s">
        <v>221</v>
      </c>
      <c r="H156" s="743"/>
      <c r="I156" s="743"/>
      <c r="J156" s="1048"/>
      <c r="K156" s="735" t="s">
        <v>221</v>
      </c>
      <c r="L156" s="743"/>
      <c r="M156" s="743"/>
      <c r="N156" s="1048"/>
      <c r="O156" s="735" t="s">
        <v>221</v>
      </c>
      <c r="P156" s="743"/>
      <c r="Q156" s="743"/>
      <c r="R156" s="1048"/>
      <c r="S156" s="735" t="s">
        <v>221</v>
      </c>
      <c r="T156" s="743"/>
      <c r="U156" s="743"/>
      <c r="V156" s="1048"/>
      <c r="W156" s="946" t="s">
        <v>222</v>
      </c>
      <c r="X156" s="740"/>
      <c r="Y156" s="740"/>
      <c r="Z156" s="582"/>
      <c r="AA156" s="1052"/>
      <c r="AB156" s="740"/>
      <c r="AC156" s="740"/>
      <c r="AD156" s="947"/>
      <c r="AE156" s="736">
        <v>45</v>
      </c>
      <c r="AF156" s="743"/>
      <c r="AG156" s="743"/>
      <c r="AH156" s="945"/>
      <c r="AI156" s="788"/>
    </row>
    <row r="157" spans="1:35" ht="22.35" customHeight="1" thickBot="1" x14ac:dyDescent="0.25">
      <c r="A157" s="1"/>
      <c r="B157" s="223" t="s">
        <v>172</v>
      </c>
      <c r="C157" s="704"/>
      <c r="D157" s="734"/>
      <c r="E157" s="734"/>
      <c r="F157" s="706"/>
      <c r="G157" s="704"/>
      <c r="H157" s="734"/>
      <c r="I157" s="734"/>
      <c r="J157" s="706"/>
      <c r="K157" s="704"/>
      <c r="L157" s="734"/>
      <c r="M157" s="734"/>
      <c r="N157" s="706"/>
      <c r="O157" s="704"/>
      <c r="P157" s="734"/>
      <c r="Q157" s="734"/>
      <c r="R157" s="706"/>
      <c r="S157" s="704"/>
      <c r="T157" s="734"/>
      <c r="U157" s="734"/>
      <c r="V157" s="1063"/>
      <c r="W157" s="704"/>
      <c r="X157" s="1063"/>
      <c r="Y157" s="734"/>
      <c r="Z157" s="706"/>
      <c r="AA157" s="704"/>
      <c r="AB157" s="1063"/>
      <c r="AC157" s="734"/>
      <c r="AD157" s="706"/>
      <c r="AE157" s="713"/>
      <c r="AF157" s="734"/>
      <c r="AG157" s="734"/>
      <c r="AH157" s="1063"/>
      <c r="AI157" s="894"/>
    </row>
    <row r="158" spans="1:35" ht="22.35" customHeight="1" x14ac:dyDescent="0.2">
      <c r="A158" s="108"/>
      <c r="B158" s="1"/>
      <c r="C158" s="72"/>
      <c r="D158" s="72"/>
      <c r="E158" s="72"/>
      <c r="F158" s="72"/>
      <c r="G158" s="72"/>
      <c r="H158" s="72"/>
      <c r="I158" s="72"/>
      <c r="J158" s="72"/>
      <c r="K158" s="72"/>
      <c r="L158" s="72"/>
      <c r="M158" s="72"/>
      <c r="N158" s="72"/>
      <c r="O158" s="72"/>
      <c r="P158" s="72"/>
      <c r="Q158" s="72"/>
      <c r="R158" s="72"/>
      <c r="S158" s="72"/>
      <c r="T158" s="72"/>
      <c r="U158" s="72"/>
      <c r="V158" s="72"/>
      <c r="W158" s="72"/>
      <c r="X158" s="72"/>
      <c r="Y158" s="72"/>
      <c r="Z158" s="72"/>
      <c r="AA158" s="72"/>
      <c r="AB158" s="72"/>
      <c r="AC158" s="72"/>
      <c r="AD158" s="72"/>
      <c r="AE158" s="72"/>
      <c r="AF158" s="72"/>
      <c r="AG158" s="72"/>
    </row>
    <row r="159" spans="1:35" ht="22.35" customHeight="1" thickBot="1" x14ac:dyDescent="0.25">
      <c r="A159" s="981"/>
      <c r="B159" s="748" t="s">
        <v>29</v>
      </c>
      <c r="C159" s="1274">
        <v>1</v>
      </c>
      <c r="D159" s="1275">
        <v>2</v>
      </c>
      <c r="E159" s="1275">
        <v>3</v>
      </c>
      <c r="F159" s="1274">
        <v>4</v>
      </c>
      <c r="G159" s="1274">
        <v>5</v>
      </c>
      <c r="H159" s="1274">
        <v>6</v>
      </c>
      <c r="I159" s="1274">
        <v>7</v>
      </c>
      <c r="J159" s="1274">
        <v>8</v>
      </c>
      <c r="K159" s="1275">
        <v>9</v>
      </c>
      <c r="L159" s="1275">
        <v>10</v>
      </c>
      <c r="M159" s="1274">
        <v>11</v>
      </c>
      <c r="N159" s="1274">
        <v>12</v>
      </c>
      <c r="O159" s="1274">
        <v>13</v>
      </c>
      <c r="P159" s="1274">
        <v>14</v>
      </c>
      <c r="Q159" s="1274">
        <v>15</v>
      </c>
      <c r="R159" s="1275">
        <v>16</v>
      </c>
      <c r="S159" s="1275">
        <v>17</v>
      </c>
      <c r="T159" s="1274">
        <v>18</v>
      </c>
      <c r="U159" s="1274">
        <v>19</v>
      </c>
      <c r="V159" s="1274">
        <v>20</v>
      </c>
      <c r="W159" s="1274">
        <v>21</v>
      </c>
      <c r="X159" s="1274">
        <v>22</v>
      </c>
      <c r="Y159" s="1275">
        <v>23</v>
      </c>
      <c r="Z159" s="1275">
        <v>24</v>
      </c>
      <c r="AA159" s="1274">
        <v>25</v>
      </c>
      <c r="AB159" s="1274">
        <v>26</v>
      </c>
      <c r="AC159" s="1274">
        <v>27</v>
      </c>
      <c r="AD159" s="1274">
        <v>28</v>
      </c>
      <c r="AE159" s="1274">
        <v>29</v>
      </c>
      <c r="AF159" s="1275">
        <v>30</v>
      </c>
      <c r="AG159" s="1437">
        <v>31</v>
      </c>
      <c r="AH159" s="173"/>
      <c r="AI159" s="174"/>
    </row>
    <row r="160" spans="1:35" ht="22.35" customHeight="1" x14ac:dyDescent="0.2">
      <c r="A160" s="1393">
        <v>1</v>
      </c>
      <c r="B160" s="1438" t="s">
        <v>223</v>
      </c>
      <c r="C160" s="1439" t="s">
        <v>32</v>
      </c>
      <c r="D160" s="1432"/>
      <c r="E160" s="1432"/>
      <c r="F160" s="1440" t="s">
        <v>32</v>
      </c>
      <c r="G160" s="1440" t="s">
        <v>32</v>
      </c>
      <c r="H160" s="1440" t="s">
        <v>32</v>
      </c>
      <c r="I160" s="1440" t="s">
        <v>32</v>
      </c>
      <c r="J160" s="1440" t="s">
        <v>32</v>
      </c>
      <c r="K160" s="1440"/>
      <c r="L160" s="1440"/>
      <c r="M160" s="1440" t="s">
        <v>32</v>
      </c>
      <c r="N160" s="1440" t="s">
        <v>32</v>
      </c>
      <c r="O160" s="1440" t="s">
        <v>32</v>
      </c>
      <c r="P160" s="1440" t="s">
        <v>32</v>
      </c>
      <c r="Q160" s="1440" t="s">
        <v>32</v>
      </c>
      <c r="R160" s="1440"/>
      <c r="S160" s="1440"/>
      <c r="T160" s="1440" t="s">
        <v>32</v>
      </c>
      <c r="U160" s="1440" t="s">
        <v>32</v>
      </c>
      <c r="V160" s="1440" t="s">
        <v>32</v>
      </c>
      <c r="W160" s="1440" t="s">
        <v>32</v>
      </c>
      <c r="X160" s="1440" t="s">
        <v>32</v>
      </c>
      <c r="Y160" s="1440"/>
      <c r="Z160" s="1440"/>
      <c r="AA160" s="1440" t="s">
        <v>32</v>
      </c>
      <c r="AB160" s="1440" t="s">
        <v>32</v>
      </c>
      <c r="AC160" s="1440" t="s">
        <v>32</v>
      </c>
      <c r="AD160" s="1440" t="s">
        <v>32</v>
      </c>
      <c r="AE160" s="1440" t="s">
        <v>32</v>
      </c>
      <c r="AF160" s="1440"/>
      <c r="AG160" s="1441"/>
      <c r="AH160" s="203"/>
      <c r="AI160" s="179"/>
    </row>
    <row r="161" spans="1:35" ht="22.35" customHeight="1" x14ac:dyDescent="0.2">
      <c r="A161" s="1010">
        <v>2</v>
      </c>
      <c r="B161" s="1105" t="s">
        <v>224</v>
      </c>
      <c r="C161" s="476" t="s">
        <v>36</v>
      </c>
      <c r="D161" s="476"/>
      <c r="E161" s="476"/>
      <c r="F161" s="476" t="s">
        <v>225</v>
      </c>
      <c r="G161" s="476" t="s">
        <v>225</v>
      </c>
      <c r="H161" s="476" t="s">
        <v>225</v>
      </c>
      <c r="I161" s="476" t="s">
        <v>225</v>
      </c>
      <c r="J161" s="476" t="s">
        <v>225</v>
      </c>
      <c r="K161" s="476"/>
      <c r="L161" s="476"/>
      <c r="M161" s="550" t="s">
        <v>154</v>
      </c>
      <c r="N161" s="550" t="s">
        <v>154</v>
      </c>
      <c r="O161" s="550" t="s">
        <v>154</v>
      </c>
      <c r="P161" s="550" t="s">
        <v>154</v>
      </c>
      <c r="Q161" s="550" t="s">
        <v>154</v>
      </c>
      <c r="R161" s="550" t="s">
        <v>154</v>
      </c>
      <c r="S161" s="550"/>
      <c r="T161" s="550" t="s">
        <v>226</v>
      </c>
      <c r="U161" s="550" t="s">
        <v>226</v>
      </c>
      <c r="V161" s="550" t="s">
        <v>226</v>
      </c>
      <c r="W161" s="550" t="s">
        <v>226</v>
      </c>
      <c r="X161" s="550" t="s">
        <v>36</v>
      </c>
      <c r="Y161" s="550"/>
      <c r="Z161" s="550"/>
      <c r="AA161" s="550" t="s">
        <v>225</v>
      </c>
      <c r="AB161" s="550" t="s">
        <v>225</v>
      </c>
      <c r="AC161" s="550" t="s">
        <v>225</v>
      </c>
      <c r="AD161" s="550" t="s">
        <v>225</v>
      </c>
      <c r="AE161" s="550" t="s">
        <v>225</v>
      </c>
      <c r="AF161" s="550"/>
      <c r="AG161" s="1442"/>
      <c r="AH161" s="203"/>
      <c r="AI161" s="179"/>
    </row>
    <row r="162" spans="1:35" ht="22.35" customHeight="1" x14ac:dyDescent="0.2">
      <c r="A162" s="1010">
        <v>3</v>
      </c>
      <c r="B162" s="1109" t="s">
        <v>227</v>
      </c>
      <c r="C162" s="550" t="s">
        <v>225</v>
      </c>
      <c r="D162" s="476"/>
      <c r="E162" s="476"/>
      <c r="F162" s="490" t="s">
        <v>154</v>
      </c>
      <c r="G162" s="490" t="s">
        <v>384</v>
      </c>
      <c r="H162" s="489" t="s">
        <v>154</v>
      </c>
      <c r="I162" s="489" t="s">
        <v>154</v>
      </c>
      <c r="J162" s="489" t="s">
        <v>154</v>
      </c>
      <c r="K162" s="489" t="s">
        <v>154</v>
      </c>
      <c r="L162" s="476"/>
      <c r="M162" s="551" t="s">
        <v>226</v>
      </c>
      <c r="N162" s="476" t="s">
        <v>226</v>
      </c>
      <c r="O162" s="476"/>
      <c r="P162" s="476" t="s">
        <v>226</v>
      </c>
      <c r="Q162" s="476" t="s">
        <v>36</v>
      </c>
      <c r="R162" s="476"/>
      <c r="S162" s="476"/>
      <c r="T162" s="476" t="s">
        <v>225</v>
      </c>
      <c r="U162" s="476" t="s">
        <v>225</v>
      </c>
      <c r="V162" s="476" t="s">
        <v>225</v>
      </c>
      <c r="W162" s="476" t="s">
        <v>225</v>
      </c>
      <c r="X162" s="476" t="s">
        <v>225</v>
      </c>
      <c r="Y162" s="476"/>
      <c r="Z162" s="476"/>
      <c r="AA162" s="551" t="s">
        <v>154</v>
      </c>
      <c r="AB162" s="551" t="s">
        <v>154</v>
      </c>
      <c r="AC162" s="476" t="s">
        <v>154</v>
      </c>
      <c r="AD162" s="476" t="s">
        <v>154</v>
      </c>
      <c r="AE162" s="476" t="s">
        <v>154</v>
      </c>
      <c r="AF162" s="476" t="s">
        <v>154</v>
      </c>
      <c r="AG162" s="1443"/>
      <c r="AH162" s="203"/>
      <c r="AI162" s="179"/>
    </row>
    <row r="163" spans="1:35" ht="22.35" customHeight="1" x14ac:dyDescent="0.2">
      <c r="A163" s="1010">
        <v>4</v>
      </c>
      <c r="B163" s="1109" t="s">
        <v>228</v>
      </c>
      <c r="C163" s="476" t="s">
        <v>32</v>
      </c>
      <c r="D163" s="476" t="s">
        <v>154</v>
      </c>
      <c r="E163" s="476"/>
      <c r="F163" s="550"/>
      <c r="G163" s="550" t="s">
        <v>229</v>
      </c>
      <c r="H163" s="550" t="s">
        <v>32</v>
      </c>
      <c r="I163" s="550"/>
      <c r="J163" s="550" t="s">
        <v>32</v>
      </c>
      <c r="K163" s="550"/>
      <c r="L163" s="550"/>
      <c r="M163" s="476"/>
      <c r="N163" s="476" t="s">
        <v>229</v>
      </c>
      <c r="O163" s="476" t="s">
        <v>32</v>
      </c>
      <c r="P163" s="476"/>
      <c r="Q163" s="491" t="s">
        <v>32</v>
      </c>
      <c r="R163" s="491"/>
      <c r="S163" s="491"/>
      <c r="T163" s="476"/>
      <c r="U163" s="476" t="s">
        <v>229</v>
      </c>
      <c r="V163" s="476"/>
      <c r="W163" s="476"/>
      <c r="X163" s="491" t="s">
        <v>32</v>
      </c>
      <c r="Y163" s="476" t="s">
        <v>154</v>
      </c>
      <c r="Z163" s="476"/>
      <c r="AA163" s="476"/>
      <c r="AB163" s="476" t="s">
        <v>229</v>
      </c>
      <c r="AC163" s="476" t="s">
        <v>32</v>
      </c>
      <c r="AD163" s="476"/>
      <c r="AE163" s="491" t="s">
        <v>32</v>
      </c>
      <c r="AF163" s="476"/>
      <c r="AG163" s="1443"/>
      <c r="AH163" s="203"/>
      <c r="AI163" s="179"/>
    </row>
    <row r="164" spans="1:35" ht="22.35" customHeight="1" x14ac:dyDescent="0.2">
      <c r="A164" s="1010">
        <v>5</v>
      </c>
      <c r="B164" s="1109" t="s">
        <v>230</v>
      </c>
      <c r="C164" s="476"/>
      <c r="D164" s="476"/>
      <c r="E164" s="476"/>
      <c r="F164" s="476" t="s">
        <v>229</v>
      </c>
      <c r="G164" s="476"/>
      <c r="H164" s="476"/>
      <c r="I164" s="491" t="s">
        <v>32</v>
      </c>
      <c r="J164" s="476"/>
      <c r="K164" s="476"/>
      <c r="L164" s="476"/>
      <c r="M164" s="476" t="s">
        <v>229</v>
      </c>
      <c r="N164" s="476"/>
      <c r="O164" s="476"/>
      <c r="P164" s="491" t="s">
        <v>32</v>
      </c>
      <c r="Q164" s="476"/>
      <c r="R164" s="476"/>
      <c r="S164" s="476"/>
      <c r="T164" s="476" t="s">
        <v>229</v>
      </c>
      <c r="U164" s="476"/>
      <c r="V164" s="476"/>
      <c r="W164" s="491" t="s">
        <v>32</v>
      </c>
      <c r="X164" s="476"/>
      <c r="Y164" s="476"/>
      <c r="Z164" s="476"/>
      <c r="AA164" s="476" t="s">
        <v>229</v>
      </c>
      <c r="AB164" s="476"/>
      <c r="AC164" s="476"/>
      <c r="AD164" s="491" t="s">
        <v>32</v>
      </c>
      <c r="AE164" s="476"/>
      <c r="AF164" s="476"/>
      <c r="AG164" s="1443"/>
      <c r="AH164" s="203"/>
      <c r="AI164" s="179"/>
    </row>
    <row r="165" spans="1:35" ht="22.35" customHeight="1" x14ac:dyDescent="0.2">
      <c r="A165" s="1010">
        <v>6</v>
      </c>
      <c r="B165" s="1002" t="s">
        <v>231</v>
      </c>
      <c r="C165" s="550" t="s">
        <v>32</v>
      </c>
      <c r="D165" s="476"/>
      <c r="E165" s="552"/>
      <c r="F165" s="476" t="s">
        <v>32</v>
      </c>
      <c r="G165" s="476" t="s">
        <v>32</v>
      </c>
      <c r="H165" s="476" t="s">
        <v>32</v>
      </c>
      <c r="I165" s="476" t="s">
        <v>32</v>
      </c>
      <c r="J165" s="552" t="s">
        <v>32</v>
      </c>
      <c r="K165" s="476"/>
      <c r="L165" s="476"/>
      <c r="M165" s="476" t="s">
        <v>32</v>
      </c>
      <c r="N165" s="476" t="s">
        <v>32</v>
      </c>
      <c r="O165" s="476" t="s">
        <v>32</v>
      </c>
      <c r="P165" s="476" t="s">
        <v>32</v>
      </c>
      <c r="Q165" s="476" t="s">
        <v>32</v>
      </c>
      <c r="R165" s="476"/>
      <c r="S165" s="476"/>
      <c r="T165" s="491" t="s">
        <v>32</v>
      </c>
      <c r="U165" s="491" t="s">
        <v>32</v>
      </c>
      <c r="V165" s="491" t="s">
        <v>32</v>
      </c>
      <c r="W165" s="550" t="s">
        <v>32</v>
      </c>
      <c r="X165" s="550" t="s">
        <v>32</v>
      </c>
      <c r="Y165" s="550"/>
      <c r="Z165" s="550"/>
      <c r="AA165" s="550" t="s">
        <v>32</v>
      </c>
      <c r="AB165" s="550" t="s">
        <v>32</v>
      </c>
      <c r="AC165" s="550" t="s">
        <v>32</v>
      </c>
      <c r="AD165" s="550" t="s">
        <v>32</v>
      </c>
      <c r="AE165" s="550" t="s">
        <v>32</v>
      </c>
      <c r="AF165" s="550"/>
      <c r="AG165" s="1442"/>
      <c r="AH165" s="191"/>
      <c r="AI165" s="107"/>
    </row>
    <row r="166" spans="1:35" ht="22.35" customHeight="1" thickBot="1" x14ac:dyDescent="0.25">
      <c r="A166" s="1016"/>
      <c r="B166" s="1004"/>
      <c r="C166" s="1444"/>
      <c r="D166" s="1444"/>
      <c r="E166" s="1444"/>
      <c r="F166" s="1444"/>
      <c r="G166" s="1444"/>
      <c r="H166" s="1444"/>
      <c r="I166" s="1444"/>
      <c r="J166" s="1444"/>
      <c r="K166" s="1444"/>
      <c r="L166" s="1444"/>
      <c r="M166" s="1444"/>
      <c r="N166" s="1444"/>
      <c r="O166" s="1444"/>
      <c r="P166" s="1444"/>
      <c r="Q166" s="1444"/>
      <c r="R166" s="1444"/>
      <c r="S166" s="1444"/>
      <c r="T166" s="1444"/>
      <c r="U166" s="1444"/>
      <c r="V166" s="1444"/>
      <c r="W166" s="1444"/>
      <c r="X166" s="1444"/>
      <c r="Y166" s="1444"/>
      <c r="Z166" s="1444"/>
      <c r="AA166" s="1444"/>
      <c r="AB166" s="1444"/>
      <c r="AC166" s="1444"/>
      <c r="AD166" s="1444"/>
      <c r="AE166" s="1444"/>
      <c r="AF166" s="1444"/>
      <c r="AG166" s="583"/>
      <c r="AH166" s="107"/>
      <c r="AI166" s="107"/>
    </row>
    <row r="167" spans="1:35" ht="22.35" customHeight="1" x14ac:dyDescent="0.2">
      <c r="A167" s="200"/>
      <c r="B167" s="198"/>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c r="AA167" s="199"/>
      <c r="AB167" s="199"/>
      <c r="AC167" s="199"/>
      <c r="AD167" s="199"/>
      <c r="AE167" s="199"/>
      <c r="AF167" s="199"/>
      <c r="AG167" s="199"/>
      <c r="AH167" s="107"/>
      <c r="AI167" s="107"/>
    </row>
    <row r="168" spans="1:35" ht="22.35" customHeight="1" x14ac:dyDescent="0.2">
      <c r="A168" s="200"/>
      <c r="B168" s="198"/>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c r="AA168" s="199"/>
      <c r="AB168" s="199"/>
      <c r="AC168" s="199"/>
      <c r="AD168" s="199"/>
      <c r="AE168" s="199"/>
      <c r="AF168" s="199"/>
      <c r="AG168" s="199"/>
      <c r="AH168" s="107"/>
      <c r="AI168" s="107"/>
    </row>
    <row r="169" spans="1:35" ht="22.35" customHeight="1" thickBot="1" x14ac:dyDescent="0.25">
      <c r="A169" s="148" t="s">
        <v>232</v>
      </c>
      <c r="B169" s="72"/>
      <c r="C169" s="106"/>
      <c r="D169" s="72"/>
      <c r="E169" s="72"/>
      <c r="F169" s="106"/>
      <c r="G169" s="72"/>
      <c r="H169" s="72"/>
      <c r="I169" s="106"/>
      <c r="J169" s="106"/>
      <c r="K169" s="72"/>
      <c r="L169" s="106"/>
      <c r="M169" s="72"/>
      <c r="N169" s="72"/>
      <c r="O169" s="106"/>
      <c r="P169" s="72"/>
      <c r="Q169" s="106"/>
      <c r="R169" s="106"/>
      <c r="S169" s="72"/>
      <c r="T169" s="72"/>
      <c r="U169" s="106"/>
      <c r="V169" s="72"/>
      <c r="W169" s="106"/>
      <c r="X169" s="106"/>
      <c r="Y169" s="72"/>
      <c r="Z169" s="72"/>
      <c r="AA169" s="72"/>
      <c r="AB169" s="72"/>
      <c r="AC169" s="72"/>
      <c r="AD169" s="72"/>
      <c r="AE169" s="106"/>
      <c r="AF169" s="72"/>
      <c r="AG169" s="72"/>
      <c r="AH169" s="107"/>
      <c r="AI169" s="107"/>
    </row>
    <row r="170" spans="1:35" ht="22.35" customHeight="1" x14ac:dyDescent="0.2">
      <c r="A170" s="109"/>
      <c r="B170" s="1445" t="s">
        <v>233</v>
      </c>
      <c r="C170" s="1446"/>
      <c r="D170" s="361" t="s">
        <v>107</v>
      </c>
      <c r="E170" s="362"/>
      <c r="F170" s="1447"/>
      <c r="G170" s="1448"/>
      <c r="H170" s="361" t="s">
        <v>108</v>
      </c>
      <c r="I170" s="362"/>
      <c r="J170" s="1447"/>
      <c r="K170" s="1448"/>
      <c r="L170" s="361" t="s">
        <v>109</v>
      </c>
      <c r="M170" s="362"/>
      <c r="N170" s="1447"/>
      <c r="O170" s="1448"/>
      <c r="P170" s="361" t="s">
        <v>110</v>
      </c>
      <c r="Q170" s="362"/>
      <c r="R170" s="1447"/>
      <c r="S170" s="1448"/>
      <c r="T170" s="361" t="s">
        <v>111</v>
      </c>
      <c r="U170" s="362"/>
      <c r="V170" s="1447"/>
      <c r="W170" s="1448"/>
      <c r="X170" s="361" t="s">
        <v>112</v>
      </c>
      <c r="Y170" s="362"/>
      <c r="Z170" s="1447"/>
      <c r="AA170" s="1448"/>
      <c r="AB170" s="361" t="s">
        <v>113</v>
      </c>
      <c r="AC170" s="362"/>
      <c r="AD170" s="362"/>
      <c r="AE170" s="1449" t="s">
        <v>114</v>
      </c>
      <c r="AF170" s="362"/>
      <c r="AG170" s="362"/>
      <c r="AH170" s="362"/>
      <c r="AI170" s="1450"/>
    </row>
    <row r="171" spans="1:35" ht="22.35" customHeight="1" x14ac:dyDescent="0.2">
      <c r="A171" s="109"/>
      <c r="B171" s="503" t="s">
        <v>234</v>
      </c>
      <c r="C171" s="504" t="s">
        <v>235</v>
      </c>
      <c r="D171" s="505" t="s">
        <v>236</v>
      </c>
      <c r="E171" s="506"/>
      <c r="F171" s="507"/>
      <c r="G171" s="508"/>
      <c r="H171" s="505" t="s">
        <v>236</v>
      </c>
      <c r="I171" s="506"/>
      <c r="J171" s="507"/>
      <c r="K171" s="508"/>
      <c r="L171" s="505" t="s">
        <v>236</v>
      </c>
      <c r="M171" s="506"/>
      <c r="N171" s="507"/>
      <c r="O171" s="508"/>
      <c r="P171" s="505" t="s">
        <v>237</v>
      </c>
      <c r="Q171" s="506"/>
      <c r="R171" s="507"/>
      <c r="S171" s="508"/>
      <c r="T171" s="505" t="s">
        <v>238</v>
      </c>
      <c r="U171" s="507"/>
      <c r="V171" s="507"/>
      <c r="W171" s="509"/>
      <c r="X171" s="510"/>
      <c r="Y171" s="510"/>
      <c r="Z171" s="511"/>
      <c r="AA171" s="509"/>
      <c r="AB171" s="510"/>
      <c r="AC171" s="510"/>
      <c r="AD171" s="510"/>
      <c r="AE171" s="509"/>
      <c r="AF171" s="510"/>
      <c r="AG171" s="510"/>
      <c r="AH171" s="512"/>
      <c r="AI171" s="513"/>
    </row>
    <row r="172" spans="1:35" ht="22.35" customHeight="1" x14ac:dyDescent="0.2">
      <c r="A172" s="109"/>
      <c r="B172" s="503" t="s">
        <v>234</v>
      </c>
      <c r="C172" s="504" t="s">
        <v>239</v>
      </c>
      <c r="D172" s="505" t="s">
        <v>236</v>
      </c>
      <c r="E172" s="506"/>
      <c r="F172" s="507"/>
      <c r="G172" s="508"/>
      <c r="H172" s="505" t="s">
        <v>236</v>
      </c>
      <c r="I172" s="506"/>
      <c r="J172" s="507"/>
      <c r="K172" s="508"/>
      <c r="L172" s="505" t="s">
        <v>236</v>
      </c>
      <c r="M172" s="506"/>
      <c r="N172" s="507"/>
      <c r="O172" s="508"/>
      <c r="P172" s="505" t="s">
        <v>237</v>
      </c>
      <c r="Q172" s="506"/>
      <c r="R172" s="507"/>
      <c r="S172" s="508"/>
      <c r="T172" s="505" t="s">
        <v>238</v>
      </c>
      <c r="U172" s="507"/>
      <c r="V172" s="507"/>
      <c r="W172" s="509"/>
      <c r="X172" s="510"/>
      <c r="Y172" s="510"/>
      <c r="Z172" s="511"/>
      <c r="AA172" s="509"/>
      <c r="AB172" s="510"/>
      <c r="AC172" s="510"/>
      <c r="AD172" s="510"/>
      <c r="AE172" s="509"/>
      <c r="AF172" s="510"/>
      <c r="AG172" s="510"/>
      <c r="AH172" s="512"/>
      <c r="AI172" s="513"/>
    </row>
    <row r="173" spans="1:35" ht="22.35" customHeight="1" x14ac:dyDescent="0.2">
      <c r="A173" s="109"/>
      <c r="B173" s="503" t="s">
        <v>240</v>
      </c>
      <c r="C173" s="504" t="s">
        <v>50</v>
      </c>
      <c r="D173" s="505" t="s">
        <v>236</v>
      </c>
      <c r="E173" s="506"/>
      <c r="F173" s="507"/>
      <c r="G173" s="508"/>
      <c r="H173" s="505" t="s">
        <v>236</v>
      </c>
      <c r="I173" s="506"/>
      <c r="J173" s="507"/>
      <c r="K173" s="508"/>
      <c r="L173" s="505" t="s">
        <v>236</v>
      </c>
      <c r="M173" s="506"/>
      <c r="N173" s="507"/>
      <c r="O173" s="508"/>
      <c r="P173" s="505" t="s">
        <v>237</v>
      </c>
      <c r="Q173" s="506"/>
      <c r="R173" s="507"/>
      <c r="S173" s="508"/>
      <c r="T173" s="505" t="s">
        <v>238</v>
      </c>
      <c r="U173" s="507"/>
      <c r="V173" s="507"/>
      <c r="W173" s="509"/>
      <c r="X173" s="510"/>
      <c r="Y173" s="510"/>
      <c r="Z173" s="511"/>
      <c r="AA173" s="509"/>
      <c r="AB173" s="510"/>
      <c r="AC173" s="510"/>
      <c r="AD173" s="510"/>
      <c r="AE173" s="509"/>
      <c r="AF173" s="510"/>
      <c r="AG173" s="510"/>
      <c r="AH173" s="512"/>
      <c r="AI173" s="513"/>
    </row>
    <row r="174" spans="1:35" ht="22.35" customHeight="1" x14ac:dyDescent="0.2">
      <c r="A174" s="109"/>
      <c r="B174" s="503" t="s">
        <v>242</v>
      </c>
      <c r="C174" s="504" t="s">
        <v>243</v>
      </c>
      <c r="D174" s="505" t="s">
        <v>244</v>
      </c>
      <c r="E174" s="506"/>
      <c r="F174" s="507"/>
      <c r="G174" s="508"/>
      <c r="H174" s="505" t="s">
        <v>244</v>
      </c>
      <c r="I174" s="506"/>
      <c r="J174" s="507"/>
      <c r="K174" s="508"/>
      <c r="L174" s="505" t="s">
        <v>245</v>
      </c>
      <c r="M174" s="506"/>
      <c r="N174" s="507"/>
      <c r="O174" s="508"/>
      <c r="P174" s="505" t="s">
        <v>246</v>
      </c>
      <c r="Q174" s="506"/>
      <c r="R174" s="507"/>
      <c r="S174" s="508"/>
      <c r="T174" s="505" t="s">
        <v>247</v>
      </c>
      <c r="U174" s="507"/>
      <c r="V174" s="507"/>
      <c r="W174" s="509"/>
      <c r="X174" s="510"/>
      <c r="Y174" s="510"/>
      <c r="Z174" s="511"/>
      <c r="AA174" s="509"/>
      <c r="AB174" s="510"/>
      <c r="AC174" s="510"/>
      <c r="AD174" s="510"/>
      <c r="AE174" s="509"/>
      <c r="AF174" s="510"/>
      <c r="AG174" s="510"/>
      <c r="AH174" s="512"/>
      <c r="AI174" s="513"/>
    </row>
    <row r="175" spans="1:35" ht="22.35" customHeight="1" x14ac:dyDescent="0.2">
      <c r="A175" s="109"/>
      <c r="B175" s="503" t="s">
        <v>248</v>
      </c>
      <c r="C175" s="504" t="s">
        <v>249</v>
      </c>
      <c r="D175" s="505" t="s">
        <v>250</v>
      </c>
      <c r="E175" s="506"/>
      <c r="F175" s="507"/>
      <c r="G175" s="508"/>
      <c r="H175" s="505" t="s">
        <v>250</v>
      </c>
      <c r="I175" s="506"/>
      <c r="J175" s="507"/>
      <c r="K175" s="508"/>
      <c r="L175" s="505" t="s">
        <v>251</v>
      </c>
      <c r="M175" s="506"/>
      <c r="N175" s="507"/>
      <c r="O175" s="508"/>
      <c r="P175" s="505" t="s">
        <v>252</v>
      </c>
      <c r="Q175" s="506"/>
      <c r="R175" s="507"/>
      <c r="S175" s="508"/>
      <c r="T175" s="505" t="s">
        <v>253</v>
      </c>
      <c r="U175" s="507"/>
      <c r="V175" s="507"/>
      <c r="W175" s="509"/>
      <c r="X175" s="510"/>
      <c r="Y175" s="510"/>
      <c r="Z175" s="511"/>
      <c r="AA175" s="509"/>
      <c r="AB175" s="510"/>
      <c r="AC175" s="510"/>
      <c r="AD175" s="510"/>
      <c r="AE175" s="509"/>
      <c r="AF175" s="510"/>
      <c r="AG175" s="510"/>
      <c r="AH175" s="512"/>
      <c r="AI175" s="513"/>
    </row>
    <row r="176" spans="1:35" ht="22.35" customHeight="1" x14ac:dyDescent="0.2">
      <c r="A176" s="109"/>
      <c r="B176" s="503" t="s">
        <v>254</v>
      </c>
      <c r="C176" s="504" t="s">
        <v>142</v>
      </c>
      <c r="D176" s="505" t="s">
        <v>236</v>
      </c>
      <c r="E176" s="506"/>
      <c r="F176" s="507"/>
      <c r="G176" s="508"/>
      <c r="H176" s="505" t="s">
        <v>236</v>
      </c>
      <c r="I176" s="506"/>
      <c r="J176" s="507"/>
      <c r="K176" s="508"/>
      <c r="L176" s="505" t="s">
        <v>236</v>
      </c>
      <c r="M176" s="506"/>
      <c r="N176" s="507"/>
      <c r="O176" s="508"/>
      <c r="P176" s="505" t="s">
        <v>236</v>
      </c>
      <c r="Q176" s="506"/>
      <c r="R176" s="507"/>
      <c r="S176" s="508"/>
      <c r="T176" s="505" t="s">
        <v>250</v>
      </c>
      <c r="U176" s="507"/>
      <c r="V176" s="507"/>
      <c r="W176" s="509"/>
      <c r="X176" s="510"/>
      <c r="Y176" s="510"/>
      <c r="Z176" s="511"/>
      <c r="AA176" s="509"/>
      <c r="AB176" s="510"/>
      <c r="AC176" s="510"/>
      <c r="AD176" s="510"/>
      <c r="AE176" s="509"/>
      <c r="AF176" s="510"/>
      <c r="AG176" s="510"/>
      <c r="AH176" s="512"/>
      <c r="AI176" s="513"/>
    </row>
    <row r="177" spans="1:36" ht="22.35" customHeight="1" x14ac:dyDescent="0.2">
      <c r="A177" s="109"/>
      <c r="B177" s="503" t="s">
        <v>255</v>
      </c>
      <c r="C177" s="504" t="s">
        <v>134</v>
      </c>
      <c r="D177" s="505" t="s">
        <v>236</v>
      </c>
      <c r="E177" s="506"/>
      <c r="F177" s="507"/>
      <c r="G177" s="508"/>
      <c r="H177" s="505" t="s">
        <v>236</v>
      </c>
      <c r="I177" s="506"/>
      <c r="J177" s="507"/>
      <c r="K177" s="508"/>
      <c r="L177" s="505" t="s">
        <v>236</v>
      </c>
      <c r="M177" s="506"/>
      <c r="N177" s="507"/>
      <c r="O177" s="508"/>
      <c r="P177" s="505" t="s">
        <v>237</v>
      </c>
      <c r="Q177" s="506"/>
      <c r="R177" s="507"/>
      <c r="S177" s="508"/>
      <c r="T177" s="505" t="s">
        <v>238</v>
      </c>
      <c r="U177" s="507"/>
      <c r="V177" s="507"/>
      <c r="W177" s="509"/>
      <c r="X177" s="510"/>
      <c r="Y177" s="510"/>
      <c r="Z177" s="511"/>
      <c r="AA177" s="509"/>
      <c r="AB177" s="510"/>
      <c r="AC177" s="510"/>
      <c r="AD177" s="510"/>
      <c r="AE177" s="509"/>
      <c r="AF177" s="510"/>
      <c r="AG177" s="510"/>
      <c r="AH177" s="512"/>
      <c r="AI177" s="513"/>
    </row>
    <row r="178" spans="1:36" ht="22.35" customHeight="1" x14ac:dyDescent="0.2">
      <c r="A178" s="109"/>
      <c r="B178" s="503" t="s">
        <v>255</v>
      </c>
      <c r="C178" s="504" t="s">
        <v>176</v>
      </c>
      <c r="D178" s="505" t="s">
        <v>236</v>
      </c>
      <c r="E178" s="506"/>
      <c r="F178" s="507"/>
      <c r="G178" s="508"/>
      <c r="H178" s="505" t="s">
        <v>236</v>
      </c>
      <c r="I178" s="506"/>
      <c r="J178" s="507"/>
      <c r="K178" s="508"/>
      <c r="L178" s="505" t="s">
        <v>236</v>
      </c>
      <c r="M178" s="506"/>
      <c r="N178" s="507"/>
      <c r="O178" s="508"/>
      <c r="P178" s="505" t="s">
        <v>237</v>
      </c>
      <c r="Q178" s="506"/>
      <c r="R178" s="507"/>
      <c r="S178" s="508"/>
      <c r="T178" s="505" t="s">
        <v>238</v>
      </c>
      <c r="U178" s="507"/>
      <c r="V178" s="507"/>
      <c r="W178" s="509"/>
      <c r="X178" s="510"/>
      <c r="Y178" s="510"/>
      <c r="Z178" s="511"/>
      <c r="AA178" s="509"/>
      <c r="AB178" s="510"/>
      <c r="AC178" s="510"/>
      <c r="AD178" s="510"/>
      <c r="AE178" s="509"/>
      <c r="AF178" s="510"/>
      <c r="AG178" s="510"/>
      <c r="AH178" s="512"/>
      <c r="AI178" s="513"/>
    </row>
    <row r="179" spans="1:36" ht="22.35" customHeight="1" x14ac:dyDescent="0.2">
      <c r="A179" s="109"/>
      <c r="B179" s="503" t="s">
        <v>256</v>
      </c>
      <c r="C179" s="504" t="s">
        <v>257</v>
      </c>
      <c r="D179" s="505" t="s">
        <v>236</v>
      </c>
      <c r="E179" s="506"/>
      <c r="F179" s="507"/>
      <c r="G179" s="508"/>
      <c r="H179" s="505" t="s">
        <v>236</v>
      </c>
      <c r="I179" s="506"/>
      <c r="J179" s="507"/>
      <c r="K179" s="508"/>
      <c r="L179" s="505" t="s">
        <v>236</v>
      </c>
      <c r="M179" s="506"/>
      <c r="N179" s="507"/>
      <c r="O179" s="508"/>
      <c r="P179" s="505" t="s">
        <v>258</v>
      </c>
      <c r="Q179" s="506"/>
      <c r="R179" s="507"/>
      <c r="S179" s="508"/>
      <c r="T179" s="505" t="s">
        <v>253</v>
      </c>
      <c r="U179" s="507"/>
      <c r="V179" s="507"/>
      <c r="W179" s="509"/>
      <c r="X179" s="510"/>
      <c r="Y179" s="510"/>
      <c r="Z179" s="511"/>
      <c r="AA179" s="509"/>
      <c r="AB179" s="510"/>
      <c r="AC179" s="510"/>
      <c r="AD179" s="510"/>
      <c r="AE179" s="509"/>
      <c r="AF179" s="510"/>
      <c r="AG179" s="510"/>
      <c r="AH179" s="512"/>
      <c r="AI179" s="513"/>
    </row>
    <row r="180" spans="1:36" ht="22.35" customHeight="1" x14ac:dyDescent="0.2">
      <c r="A180" s="109"/>
      <c r="B180" s="514" t="s">
        <v>259</v>
      </c>
      <c r="C180" s="515" t="s">
        <v>95</v>
      </c>
      <c r="D180" s="516" t="s">
        <v>236</v>
      </c>
      <c r="E180" s="517"/>
      <c r="F180" s="518"/>
      <c r="G180" s="515"/>
      <c r="H180" s="516" t="s">
        <v>236</v>
      </c>
      <c r="I180" s="517"/>
      <c r="J180" s="518"/>
      <c r="K180" s="515"/>
      <c r="L180" s="516" t="s">
        <v>236</v>
      </c>
      <c r="M180" s="517"/>
      <c r="N180" s="518"/>
      <c r="O180" s="515"/>
      <c r="P180" s="516" t="s">
        <v>237</v>
      </c>
      <c r="Q180" s="517"/>
      <c r="R180" s="518"/>
      <c r="S180" s="515"/>
      <c r="T180" s="516" t="s">
        <v>238</v>
      </c>
      <c r="U180" s="518"/>
      <c r="V180" s="388"/>
      <c r="W180" s="519"/>
      <c r="X180" s="188"/>
      <c r="Y180" s="188"/>
      <c r="Z180" s="388"/>
      <c r="AA180" s="519"/>
      <c r="AB180" s="188"/>
      <c r="AC180" s="188"/>
      <c r="AD180" s="188"/>
      <c r="AE180" s="519"/>
      <c r="AF180" s="188"/>
      <c r="AG180" s="188"/>
      <c r="AH180" s="189"/>
      <c r="AI180" s="520"/>
      <c r="AJ180" s="190"/>
    </row>
    <row r="181" spans="1:36" ht="22.35" customHeight="1" x14ac:dyDescent="0.2">
      <c r="A181" s="109"/>
      <c r="B181" s="503" t="s">
        <v>260</v>
      </c>
      <c r="C181" s="504" t="s">
        <v>177</v>
      </c>
      <c r="D181" s="505" t="s">
        <v>236</v>
      </c>
      <c r="E181" s="506"/>
      <c r="F181" s="507"/>
      <c r="G181" s="508"/>
      <c r="H181" s="505" t="s">
        <v>236</v>
      </c>
      <c r="I181" s="506"/>
      <c r="J181" s="507"/>
      <c r="K181" s="508"/>
      <c r="L181" s="505" t="s">
        <v>236</v>
      </c>
      <c r="M181" s="506"/>
      <c r="N181" s="507"/>
      <c r="O181" s="508"/>
      <c r="P181" s="505" t="s">
        <v>237</v>
      </c>
      <c r="Q181" s="506"/>
      <c r="R181" s="507"/>
      <c r="S181" s="508"/>
      <c r="T181" s="505" t="s">
        <v>238</v>
      </c>
      <c r="U181" s="507"/>
      <c r="V181" s="506"/>
      <c r="W181" s="509"/>
      <c r="X181" s="510"/>
      <c r="Y181" s="510"/>
      <c r="Z181" s="510"/>
      <c r="AA181" s="509"/>
      <c r="AB181" s="510"/>
      <c r="AC181" s="510"/>
      <c r="AD181" s="510"/>
      <c r="AE181" s="509"/>
      <c r="AF181" s="510"/>
      <c r="AG181" s="510"/>
      <c r="AH181" s="512"/>
      <c r="AI181" s="513"/>
      <c r="AJ181" s="190"/>
    </row>
    <row r="182" spans="1:36" ht="22.35" customHeight="1" x14ac:dyDescent="0.2">
      <c r="A182" s="109"/>
      <c r="B182" s="503" t="s">
        <v>261</v>
      </c>
      <c r="C182" s="504" t="s">
        <v>137</v>
      </c>
      <c r="D182" s="505" t="s">
        <v>262</v>
      </c>
      <c r="E182" s="506"/>
      <c r="F182" s="507"/>
      <c r="G182" s="508"/>
      <c r="H182" s="505" t="s">
        <v>262</v>
      </c>
      <c r="I182" s="506"/>
      <c r="J182" s="507"/>
      <c r="K182" s="508"/>
      <c r="L182" s="505" t="s">
        <v>262</v>
      </c>
      <c r="M182" s="506"/>
      <c r="N182" s="506"/>
      <c r="O182" s="508"/>
      <c r="P182" s="505" t="s">
        <v>262</v>
      </c>
      <c r="Q182" s="506"/>
      <c r="R182" s="506"/>
      <c r="S182" s="508"/>
      <c r="T182" s="505" t="s">
        <v>253</v>
      </c>
      <c r="U182" s="507"/>
      <c r="V182" s="506"/>
      <c r="W182" s="521"/>
      <c r="X182" s="510"/>
      <c r="Y182" s="510"/>
      <c r="Z182" s="510"/>
      <c r="AA182" s="509"/>
      <c r="AB182" s="510"/>
      <c r="AC182" s="510"/>
      <c r="AD182" s="510"/>
      <c r="AE182" s="509"/>
      <c r="AF182" s="510"/>
      <c r="AG182" s="510"/>
      <c r="AH182" s="512"/>
      <c r="AI182" s="513"/>
      <c r="AJ182" s="190"/>
    </row>
    <row r="183" spans="1:36" ht="22.35" customHeight="1" x14ac:dyDescent="0.2">
      <c r="A183" s="109"/>
      <c r="B183" s="503" t="s">
        <v>263</v>
      </c>
      <c r="C183" s="504" t="s">
        <v>264</v>
      </c>
      <c r="D183" s="505" t="s">
        <v>262</v>
      </c>
      <c r="E183" s="506"/>
      <c r="F183" s="507"/>
      <c r="G183" s="508"/>
      <c r="H183" s="505" t="s">
        <v>262</v>
      </c>
      <c r="I183" s="506"/>
      <c r="J183" s="507"/>
      <c r="K183" s="508"/>
      <c r="L183" s="505" t="s">
        <v>262</v>
      </c>
      <c r="M183" s="506"/>
      <c r="N183" s="506"/>
      <c r="O183" s="508"/>
      <c r="P183" s="505" t="s">
        <v>262</v>
      </c>
      <c r="Q183" s="506"/>
      <c r="R183" s="506"/>
      <c r="S183" s="508"/>
      <c r="T183" s="505" t="s">
        <v>253</v>
      </c>
      <c r="U183" s="507"/>
      <c r="V183" s="506"/>
      <c r="W183" s="521"/>
      <c r="X183" s="510"/>
      <c r="Y183" s="510"/>
      <c r="Z183" s="511"/>
      <c r="AA183" s="522"/>
      <c r="AB183" s="510"/>
      <c r="AC183" s="510"/>
      <c r="AD183" s="510"/>
      <c r="AE183" s="509"/>
      <c r="AF183" s="510"/>
      <c r="AG183" s="510"/>
      <c r="AH183" s="512"/>
      <c r="AI183" s="513"/>
      <c r="AJ183" s="190"/>
    </row>
    <row r="184" spans="1:36" ht="22.35" customHeight="1" thickBot="1" x14ac:dyDescent="0.25">
      <c r="A184" s="109"/>
      <c r="B184" s="568" t="s">
        <v>265</v>
      </c>
      <c r="C184" s="569" t="s">
        <v>266</v>
      </c>
      <c r="D184" s="523" t="s">
        <v>262</v>
      </c>
      <c r="E184" s="524"/>
      <c r="F184" s="570"/>
      <c r="G184" s="571"/>
      <c r="H184" s="523" t="s">
        <v>262</v>
      </c>
      <c r="I184" s="524"/>
      <c r="J184" s="570"/>
      <c r="K184" s="571"/>
      <c r="L184" s="523" t="s">
        <v>262</v>
      </c>
      <c r="M184" s="524"/>
      <c r="N184" s="524"/>
      <c r="O184" s="571"/>
      <c r="P184" s="523" t="s">
        <v>262</v>
      </c>
      <c r="Q184" s="524"/>
      <c r="R184" s="524"/>
      <c r="S184" s="571"/>
      <c r="T184" s="523" t="s">
        <v>253</v>
      </c>
      <c r="U184" s="570"/>
      <c r="V184" s="524"/>
      <c r="W184" s="572"/>
      <c r="X184" s="525"/>
      <c r="Y184" s="525"/>
      <c r="Z184" s="573"/>
      <c r="AA184" s="526"/>
      <c r="AB184" s="525"/>
      <c r="AC184" s="525"/>
      <c r="AD184" s="525"/>
      <c r="AE184" s="574"/>
      <c r="AF184" s="525"/>
      <c r="AG184" s="525"/>
      <c r="AH184" s="527"/>
      <c r="AI184" s="575"/>
      <c r="AJ184" s="190"/>
    </row>
    <row r="185" spans="1:36" ht="22.35" customHeight="1" x14ac:dyDescent="0.2">
      <c r="A185" s="109"/>
      <c r="B185" s="206"/>
      <c r="C185" s="207"/>
      <c r="D185" s="208"/>
      <c r="E185" s="209"/>
      <c r="F185" s="209"/>
      <c r="G185" s="210"/>
      <c r="H185" s="208"/>
      <c r="I185" s="209"/>
      <c r="J185" s="209"/>
      <c r="K185" s="210"/>
      <c r="L185" s="208"/>
      <c r="M185" s="209"/>
      <c r="N185" s="209"/>
      <c r="O185" s="210"/>
      <c r="P185" s="198"/>
      <c r="Q185" s="209"/>
      <c r="R185" s="209"/>
      <c r="S185" s="210"/>
      <c r="T185" s="198"/>
      <c r="U185" s="209"/>
      <c r="V185" s="209"/>
      <c r="W185" s="209"/>
      <c r="X185" s="209"/>
      <c r="Y185" s="209"/>
      <c r="Z185" s="209"/>
      <c r="AA185" s="210"/>
      <c r="AB185" s="209"/>
      <c r="AC185" s="209"/>
      <c r="AD185" s="209"/>
      <c r="AE185" s="210"/>
      <c r="AF185" s="209"/>
      <c r="AG185" s="209"/>
      <c r="AH185" s="191"/>
      <c r="AI185" s="191"/>
      <c r="AJ185" s="190"/>
    </row>
    <row r="186" spans="1:36" ht="22.35" customHeight="1" thickBot="1" x14ac:dyDescent="0.25">
      <c r="A186" s="147"/>
      <c r="B186" s="528" t="s">
        <v>29</v>
      </c>
      <c r="C186" s="796">
        <v>1</v>
      </c>
      <c r="D186" s="795">
        <v>2</v>
      </c>
      <c r="E186" s="795">
        <v>3</v>
      </c>
      <c r="F186" s="796">
        <v>4</v>
      </c>
      <c r="G186" s="796">
        <v>5</v>
      </c>
      <c r="H186" s="796">
        <v>6</v>
      </c>
      <c r="I186" s="796">
        <v>7</v>
      </c>
      <c r="J186" s="796">
        <v>8</v>
      </c>
      <c r="K186" s="795">
        <v>9</v>
      </c>
      <c r="L186" s="795">
        <v>10</v>
      </c>
      <c r="M186" s="796">
        <v>11</v>
      </c>
      <c r="N186" s="796">
        <v>12</v>
      </c>
      <c r="O186" s="796">
        <v>13</v>
      </c>
      <c r="P186" s="796">
        <v>14</v>
      </c>
      <c r="Q186" s="796">
        <v>15</v>
      </c>
      <c r="R186" s="795">
        <v>16</v>
      </c>
      <c r="S186" s="795">
        <v>17</v>
      </c>
      <c r="T186" s="796">
        <v>18</v>
      </c>
      <c r="U186" s="796">
        <v>19</v>
      </c>
      <c r="V186" s="796">
        <v>20</v>
      </c>
      <c r="W186" s="796">
        <v>21</v>
      </c>
      <c r="X186" s="796">
        <v>22</v>
      </c>
      <c r="Y186" s="795">
        <v>23</v>
      </c>
      <c r="Z186" s="795">
        <v>24</v>
      </c>
      <c r="AA186" s="796">
        <v>25</v>
      </c>
      <c r="AB186" s="796">
        <v>26</v>
      </c>
      <c r="AC186" s="796">
        <v>27</v>
      </c>
      <c r="AD186" s="796">
        <v>28</v>
      </c>
      <c r="AE186" s="796">
        <v>29</v>
      </c>
      <c r="AF186" s="795">
        <v>30</v>
      </c>
      <c r="AG186" s="1300">
        <v>31</v>
      </c>
      <c r="AH186" s="180"/>
      <c r="AI186" s="174"/>
    </row>
    <row r="187" spans="1:36" ht="22.35" customHeight="1" x14ac:dyDescent="0.2">
      <c r="A187" s="109"/>
      <c r="B187" s="1451" t="s">
        <v>267</v>
      </c>
      <c r="C187" s="1452" t="s">
        <v>235</v>
      </c>
      <c r="D187" s="1452"/>
      <c r="E187" s="1452"/>
      <c r="F187" s="1452" t="s">
        <v>235</v>
      </c>
      <c r="G187" s="1452" t="s">
        <v>235</v>
      </c>
      <c r="H187" s="1452" t="s">
        <v>235</v>
      </c>
      <c r="I187" s="1452" t="s">
        <v>235</v>
      </c>
      <c r="J187" s="1452" t="s">
        <v>235</v>
      </c>
      <c r="K187" s="1452"/>
      <c r="L187" s="1452"/>
      <c r="M187" s="1452" t="s">
        <v>235</v>
      </c>
      <c r="N187" s="1452" t="s">
        <v>235</v>
      </c>
      <c r="O187" s="1452" t="s">
        <v>235</v>
      </c>
      <c r="P187" s="1452" t="s">
        <v>235</v>
      </c>
      <c r="Q187" s="1452" t="s">
        <v>235</v>
      </c>
      <c r="R187" s="1452"/>
      <c r="S187" s="1452"/>
      <c r="T187" s="1452" t="s">
        <v>235</v>
      </c>
      <c r="U187" s="1452" t="s">
        <v>235</v>
      </c>
      <c r="V187" s="1452" t="s">
        <v>235</v>
      </c>
      <c r="W187" s="1452" t="s">
        <v>235</v>
      </c>
      <c r="X187" s="1452" t="s">
        <v>235</v>
      </c>
      <c r="Y187" s="1452"/>
      <c r="Z187" s="1452"/>
      <c r="AA187" s="1452" t="s">
        <v>235</v>
      </c>
      <c r="AB187" s="1452" t="s">
        <v>235</v>
      </c>
      <c r="AC187" s="1452" t="s">
        <v>235</v>
      </c>
      <c r="AD187" s="1452" t="s">
        <v>235</v>
      </c>
      <c r="AE187" s="1452" t="s">
        <v>235</v>
      </c>
      <c r="AF187" s="1452"/>
      <c r="AG187" s="1452"/>
      <c r="AH187" s="179"/>
      <c r="AI187" s="179"/>
    </row>
    <row r="188" spans="1:36" ht="22.35" customHeight="1" x14ac:dyDescent="0.2">
      <c r="A188" s="109"/>
      <c r="B188" s="553" t="s">
        <v>268</v>
      </c>
      <c r="C188" s="1453" t="s">
        <v>235</v>
      </c>
      <c r="D188" s="1453"/>
      <c r="E188" s="1453"/>
      <c r="F188" s="1453" t="s">
        <v>235</v>
      </c>
      <c r="G188" s="1453" t="s">
        <v>235</v>
      </c>
      <c r="H188" s="1453" t="s">
        <v>235</v>
      </c>
      <c r="I188" s="1453" t="s">
        <v>235</v>
      </c>
      <c r="J188" s="1453" t="s">
        <v>235</v>
      </c>
      <c r="K188" s="1453"/>
      <c r="L188" s="1453"/>
      <c r="M188" s="1453" t="s">
        <v>235</v>
      </c>
      <c r="N188" s="1453" t="s">
        <v>235</v>
      </c>
      <c r="O188" s="1453" t="s">
        <v>235</v>
      </c>
      <c r="P188" s="1453" t="s">
        <v>235</v>
      </c>
      <c r="Q188" s="1453" t="s">
        <v>235</v>
      </c>
      <c r="R188" s="1453"/>
      <c r="S188" s="1453"/>
      <c r="T188" s="1453" t="s">
        <v>235</v>
      </c>
      <c r="U188" s="1453" t="s">
        <v>235</v>
      </c>
      <c r="V188" s="1453" t="s">
        <v>235</v>
      </c>
      <c r="W188" s="1453" t="s">
        <v>235</v>
      </c>
      <c r="X188" s="1453" t="s">
        <v>235</v>
      </c>
      <c r="Y188" s="1453"/>
      <c r="Z188" s="1453"/>
      <c r="AA188" s="1453" t="s">
        <v>235</v>
      </c>
      <c r="AB188" s="1453" t="s">
        <v>235</v>
      </c>
      <c r="AC188" s="1453" t="s">
        <v>235</v>
      </c>
      <c r="AD188" s="1453" t="s">
        <v>235</v>
      </c>
      <c r="AE188" s="1453" t="s">
        <v>235</v>
      </c>
      <c r="AF188" s="1453"/>
      <c r="AG188" s="1453"/>
      <c r="AH188" s="179"/>
      <c r="AI188" s="179"/>
    </row>
    <row r="189" spans="1:36" ht="22.35" customHeight="1" x14ac:dyDescent="0.2">
      <c r="A189" s="109"/>
      <c r="B189" s="553" t="s">
        <v>270</v>
      </c>
      <c r="C189" s="1453" t="s">
        <v>239</v>
      </c>
      <c r="D189" s="1453"/>
      <c r="E189" s="1453"/>
      <c r="F189" s="1453" t="s">
        <v>239</v>
      </c>
      <c r="G189" s="1453" t="s">
        <v>239</v>
      </c>
      <c r="H189" s="1453" t="s">
        <v>239</v>
      </c>
      <c r="I189" s="1453" t="s">
        <v>239</v>
      </c>
      <c r="J189" s="1453" t="s">
        <v>235</v>
      </c>
      <c r="K189" s="1453"/>
      <c r="L189" s="1453"/>
      <c r="M189" s="1453" t="s">
        <v>239</v>
      </c>
      <c r="N189" s="1453" t="s">
        <v>239</v>
      </c>
      <c r="O189" s="1453" t="s">
        <v>239</v>
      </c>
      <c r="P189" s="1453" t="s">
        <v>239</v>
      </c>
      <c r="Q189" s="1453" t="s">
        <v>239</v>
      </c>
      <c r="R189" s="1453"/>
      <c r="S189" s="1453"/>
      <c r="T189" s="1454" t="s">
        <v>235</v>
      </c>
      <c r="U189" s="1454" t="s">
        <v>239</v>
      </c>
      <c r="V189" s="1454" t="s">
        <v>239</v>
      </c>
      <c r="W189" s="1454" t="s">
        <v>239</v>
      </c>
      <c r="X189" s="1454" t="s">
        <v>239</v>
      </c>
      <c r="Y189" s="1454"/>
      <c r="Z189" s="1454"/>
      <c r="AA189" s="1454" t="s">
        <v>239</v>
      </c>
      <c r="AB189" s="1454" t="s">
        <v>239</v>
      </c>
      <c r="AC189" s="1454" t="s">
        <v>239</v>
      </c>
      <c r="AD189" s="1454" t="s">
        <v>239</v>
      </c>
      <c r="AE189" s="1454" t="s">
        <v>235</v>
      </c>
      <c r="AF189" s="1454"/>
      <c r="AG189" s="1454"/>
      <c r="AH189" s="179"/>
      <c r="AI189" s="179"/>
    </row>
    <row r="190" spans="1:36" ht="22.35" customHeight="1" x14ac:dyDescent="0.2">
      <c r="A190" s="109"/>
      <c r="B190" s="553" t="s">
        <v>271</v>
      </c>
      <c r="C190" s="1453" t="s">
        <v>50</v>
      </c>
      <c r="D190" s="1453"/>
      <c r="E190" s="1453"/>
      <c r="F190" s="1454" t="s">
        <v>50</v>
      </c>
      <c r="G190" s="1454" t="s">
        <v>50</v>
      </c>
      <c r="H190" s="1454" t="s">
        <v>50</v>
      </c>
      <c r="I190" s="1454" t="s">
        <v>50</v>
      </c>
      <c r="J190" s="1454" t="s">
        <v>50</v>
      </c>
      <c r="K190" s="1454"/>
      <c r="L190" s="1454"/>
      <c r="M190" s="1454" t="s">
        <v>50</v>
      </c>
      <c r="N190" s="1454" t="s">
        <v>50</v>
      </c>
      <c r="O190" s="1454" t="s">
        <v>50</v>
      </c>
      <c r="P190" s="1454" t="s">
        <v>50</v>
      </c>
      <c r="Q190" s="1454" t="s">
        <v>50</v>
      </c>
      <c r="R190" s="1454"/>
      <c r="S190" s="1454"/>
      <c r="T190" s="1454" t="s">
        <v>50</v>
      </c>
      <c r="U190" s="1454" t="s">
        <v>50</v>
      </c>
      <c r="V190" s="1454" t="s">
        <v>50</v>
      </c>
      <c r="W190" s="1454" t="s">
        <v>50</v>
      </c>
      <c r="X190" s="1454" t="s">
        <v>50</v>
      </c>
      <c r="Y190" s="1454"/>
      <c r="Z190" s="1454"/>
      <c r="AA190" s="1453" t="s">
        <v>50</v>
      </c>
      <c r="AB190" s="1453" t="s">
        <v>50</v>
      </c>
      <c r="AC190" s="1453" t="s">
        <v>50</v>
      </c>
      <c r="AD190" s="1453" t="s">
        <v>50</v>
      </c>
      <c r="AE190" s="1453" t="s">
        <v>50</v>
      </c>
      <c r="AF190" s="1453"/>
      <c r="AG190" s="1453"/>
      <c r="AH190" s="179"/>
      <c r="AI190" s="179"/>
    </row>
    <row r="191" spans="1:36" ht="22.35" customHeight="1" x14ac:dyDescent="0.2">
      <c r="A191" s="109"/>
      <c r="B191" s="933" t="s">
        <v>272</v>
      </c>
      <c r="C191" s="1453" t="s">
        <v>243</v>
      </c>
      <c r="D191" s="1453"/>
      <c r="E191" s="1453"/>
      <c r="F191" s="1453" t="s">
        <v>243</v>
      </c>
      <c r="G191" s="1453" t="s">
        <v>243</v>
      </c>
      <c r="H191" s="1453" t="s">
        <v>243</v>
      </c>
      <c r="I191" s="1453" t="s">
        <v>243</v>
      </c>
      <c r="J191" s="1455" t="s">
        <v>243</v>
      </c>
      <c r="K191" s="1453"/>
      <c r="L191" s="1453"/>
      <c r="M191" s="1453" t="s">
        <v>243</v>
      </c>
      <c r="N191" s="1453" t="s">
        <v>243</v>
      </c>
      <c r="O191" s="1453" t="s">
        <v>243</v>
      </c>
      <c r="P191" s="1453" t="s">
        <v>243</v>
      </c>
      <c r="Q191" s="1453" t="s">
        <v>243</v>
      </c>
      <c r="R191" s="1453"/>
      <c r="S191" s="1453"/>
      <c r="T191" s="1453" t="s">
        <v>243</v>
      </c>
      <c r="U191" s="1453" t="s">
        <v>243</v>
      </c>
      <c r="V191" s="1455" t="s">
        <v>243</v>
      </c>
      <c r="W191" s="1453" t="s">
        <v>243</v>
      </c>
      <c r="X191" s="1453" t="s">
        <v>243</v>
      </c>
      <c r="Y191" s="1453"/>
      <c r="Z191" s="1453"/>
      <c r="AA191" s="1454" t="s">
        <v>243</v>
      </c>
      <c r="AB191" s="1454" t="s">
        <v>243</v>
      </c>
      <c r="AC191" s="1454" t="s">
        <v>243</v>
      </c>
      <c r="AD191" s="1454" t="s">
        <v>243</v>
      </c>
      <c r="AE191" s="1454" t="s">
        <v>243</v>
      </c>
      <c r="AF191" s="1454"/>
      <c r="AG191" s="1454"/>
      <c r="AH191" s="179"/>
      <c r="AI191" s="179"/>
    </row>
    <row r="192" spans="1:36" ht="22.35" customHeight="1" x14ac:dyDescent="0.2">
      <c r="A192" s="109"/>
      <c r="B192" s="1182"/>
      <c r="C192" s="1453" t="s">
        <v>249</v>
      </c>
      <c r="D192" s="1453"/>
      <c r="E192" s="1453"/>
      <c r="F192" s="1453" t="s">
        <v>249</v>
      </c>
      <c r="G192" s="1453" t="s">
        <v>249</v>
      </c>
      <c r="H192" s="1453" t="s">
        <v>249</v>
      </c>
      <c r="I192" s="1453" t="s">
        <v>249</v>
      </c>
      <c r="J192" s="1453" t="s">
        <v>249</v>
      </c>
      <c r="K192" s="1453"/>
      <c r="L192" s="1453"/>
      <c r="M192" s="1453" t="s">
        <v>249</v>
      </c>
      <c r="N192" s="1453" t="s">
        <v>249</v>
      </c>
      <c r="O192" s="1453" t="s">
        <v>249</v>
      </c>
      <c r="P192" s="1453" t="s">
        <v>249</v>
      </c>
      <c r="Q192" s="1453" t="s">
        <v>249</v>
      </c>
      <c r="R192" s="1453"/>
      <c r="S192" s="1453"/>
      <c r="T192" s="1453" t="s">
        <v>249</v>
      </c>
      <c r="U192" s="1453" t="s">
        <v>249</v>
      </c>
      <c r="V192" s="1453" t="s">
        <v>249</v>
      </c>
      <c r="W192" s="1453" t="s">
        <v>249</v>
      </c>
      <c r="X192" s="1453" t="s">
        <v>249</v>
      </c>
      <c r="Y192" s="1453"/>
      <c r="Z192" s="1453"/>
      <c r="AA192" s="1453" t="s">
        <v>249</v>
      </c>
      <c r="AB192" s="1453" t="s">
        <v>249</v>
      </c>
      <c r="AC192" s="1453" t="s">
        <v>249</v>
      </c>
      <c r="AD192" s="1453" t="s">
        <v>249</v>
      </c>
      <c r="AE192" s="1453" t="s">
        <v>249</v>
      </c>
      <c r="AF192" s="1453"/>
      <c r="AG192" s="1453"/>
      <c r="AH192" s="179"/>
      <c r="AI192" s="179"/>
    </row>
    <row r="193" spans="1:35" ht="22.35" customHeight="1" x14ac:dyDescent="0.2">
      <c r="A193" s="109"/>
      <c r="B193" s="553" t="s">
        <v>273</v>
      </c>
      <c r="C193" s="1456" t="s">
        <v>142</v>
      </c>
      <c r="D193" s="1456"/>
      <c r="E193" s="1456"/>
      <c r="F193" s="1456" t="s">
        <v>142</v>
      </c>
      <c r="G193" s="1456" t="s">
        <v>142</v>
      </c>
      <c r="H193" s="1456" t="s">
        <v>142</v>
      </c>
      <c r="I193" s="1456" t="s">
        <v>142</v>
      </c>
      <c r="J193" s="1456" t="s">
        <v>142</v>
      </c>
      <c r="K193" s="1456"/>
      <c r="L193" s="1456"/>
      <c r="M193" s="1456" t="s">
        <v>142</v>
      </c>
      <c r="N193" s="1456" t="s">
        <v>142</v>
      </c>
      <c r="O193" s="1456" t="s">
        <v>142</v>
      </c>
      <c r="P193" s="1456" t="s">
        <v>142</v>
      </c>
      <c r="Q193" s="1456" t="s">
        <v>142</v>
      </c>
      <c r="R193" s="1456"/>
      <c r="S193" s="1456"/>
      <c r="T193" s="1456" t="s">
        <v>142</v>
      </c>
      <c r="U193" s="1456" t="s">
        <v>142</v>
      </c>
      <c r="V193" s="1457" t="s">
        <v>142</v>
      </c>
      <c r="W193" s="1457" t="s">
        <v>142</v>
      </c>
      <c r="X193" s="1457" t="s">
        <v>142</v>
      </c>
      <c r="Y193" s="1457"/>
      <c r="Z193" s="1457"/>
      <c r="AA193" s="1457" t="s">
        <v>142</v>
      </c>
      <c r="AB193" s="1457" t="s">
        <v>142</v>
      </c>
      <c r="AC193" s="1457" t="s">
        <v>142</v>
      </c>
      <c r="AD193" s="1457" t="s">
        <v>142</v>
      </c>
      <c r="AE193" s="1457" t="s">
        <v>385</v>
      </c>
      <c r="AF193" s="1458"/>
      <c r="AG193" s="1458"/>
      <c r="AH193" s="179"/>
      <c r="AI193" s="179"/>
    </row>
    <row r="194" spans="1:35" ht="22.35" customHeight="1" x14ac:dyDescent="0.2">
      <c r="A194" s="109"/>
      <c r="B194" s="539" t="s">
        <v>0</v>
      </c>
      <c r="C194" s="1453" t="s">
        <v>134</v>
      </c>
      <c r="D194" s="1453"/>
      <c r="E194" s="1453"/>
      <c r="F194" s="1453" t="s">
        <v>134</v>
      </c>
      <c r="G194" s="1453" t="s">
        <v>134</v>
      </c>
      <c r="H194" s="1453" t="s">
        <v>134</v>
      </c>
      <c r="I194" s="1453" t="s">
        <v>134</v>
      </c>
      <c r="J194" s="1453" t="s">
        <v>134</v>
      </c>
      <c r="K194" s="1453"/>
      <c r="L194" s="1453"/>
      <c r="M194" s="1453" t="s">
        <v>134</v>
      </c>
      <c r="N194" s="1453" t="s">
        <v>134</v>
      </c>
      <c r="O194" s="1453" t="s">
        <v>134</v>
      </c>
      <c r="P194" s="1453" t="s">
        <v>134</v>
      </c>
      <c r="Q194" s="1453" t="s">
        <v>134</v>
      </c>
      <c r="R194" s="1453"/>
      <c r="S194" s="1453"/>
      <c r="T194" s="1453" t="s">
        <v>134</v>
      </c>
      <c r="U194" s="1453" t="s">
        <v>134</v>
      </c>
      <c r="V194" s="1453" t="s">
        <v>134</v>
      </c>
      <c r="W194" s="1453" t="s">
        <v>134</v>
      </c>
      <c r="X194" s="1453" t="s">
        <v>134</v>
      </c>
      <c r="Y194" s="1453"/>
      <c r="Z194" s="1453"/>
      <c r="AA194" s="1453" t="s">
        <v>134</v>
      </c>
      <c r="AB194" s="1453" t="s">
        <v>134</v>
      </c>
      <c r="AC194" s="1453" t="s">
        <v>134</v>
      </c>
      <c r="AD194" s="1453" t="s">
        <v>134</v>
      </c>
      <c r="AE194" s="1453" t="s">
        <v>134</v>
      </c>
      <c r="AF194" s="1453"/>
      <c r="AG194" s="1453"/>
      <c r="AH194" s="179"/>
      <c r="AI194" s="179"/>
    </row>
    <row r="195" spans="1:35" ht="22.35" customHeight="1" x14ac:dyDescent="0.2">
      <c r="A195" s="109"/>
      <c r="B195" s="553" t="s">
        <v>274</v>
      </c>
      <c r="C195" s="292" t="s">
        <v>176</v>
      </c>
      <c r="D195" s="292"/>
      <c r="E195" s="292"/>
      <c r="F195" s="292" t="s">
        <v>176</v>
      </c>
      <c r="G195" s="292" t="s">
        <v>176</v>
      </c>
      <c r="H195" s="292" t="s">
        <v>176</v>
      </c>
      <c r="I195" s="292" t="s">
        <v>176</v>
      </c>
      <c r="J195" s="292" t="s">
        <v>176</v>
      </c>
      <c r="K195" s="292"/>
      <c r="L195" s="292"/>
      <c r="M195" s="292" t="s">
        <v>176</v>
      </c>
      <c r="N195" s="292" t="s">
        <v>176</v>
      </c>
      <c r="O195" s="292" t="s">
        <v>176</v>
      </c>
      <c r="P195" s="292" t="s">
        <v>176</v>
      </c>
      <c r="Q195" s="292" t="s">
        <v>176</v>
      </c>
      <c r="R195" s="292"/>
      <c r="S195" s="292"/>
      <c r="T195" s="292" t="s">
        <v>176</v>
      </c>
      <c r="U195" s="292" t="s">
        <v>176</v>
      </c>
      <c r="V195" s="292" t="s">
        <v>176</v>
      </c>
      <c r="W195" s="292" t="s">
        <v>176</v>
      </c>
      <c r="X195" s="292" t="s">
        <v>176</v>
      </c>
      <c r="Y195" s="292"/>
      <c r="Z195" s="292"/>
      <c r="AA195" s="292" t="s">
        <v>176</v>
      </c>
      <c r="AB195" s="292" t="s">
        <v>176</v>
      </c>
      <c r="AC195" s="292" t="s">
        <v>176</v>
      </c>
      <c r="AD195" s="292" t="s">
        <v>176</v>
      </c>
      <c r="AE195" s="292" t="s">
        <v>176</v>
      </c>
      <c r="AF195" s="292"/>
      <c r="AG195" s="292"/>
      <c r="AH195" s="179"/>
      <c r="AI195" s="179"/>
    </row>
    <row r="196" spans="1:35" ht="22.35" customHeight="1" x14ac:dyDescent="0.2">
      <c r="A196" s="109"/>
      <c r="B196" s="553" t="s">
        <v>275</v>
      </c>
      <c r="C196" s="859" t="s">
        <v>257</v>
      </c>
      <c r="D196" s="859"/>
      <c r="E196" s="859"/>
      <c r="F196" s="851" t="s">
        <v>257</v>
      </c>
      <c r="G196" s="851" t="s">
        <v>257</v>
      </c>
      <c r="H196" s="851" t="s">
        <v>257</v>
      </c>
      <c r="I196" s="851" t="s">
        <v>257</v>
      </c>
      <c r="J196" s="851" t="s">
        <v>257</v>
      </c>
      <c r="K196" s="851"/>
      <c r="L196" s="851"/>
      <c r="M196" s="851" t="s">
        <v>257</v>
      </c>
      <c r="N196" s="851" t="s">
        <v>257</v>
      </c>
      <c r="O196" s="851" t="s">
        <v>257</v>
      </c>
      <c r="P196" s="851" t="s">
        <v>257</v>
      </c>
      <c r="Q196" s="851" t="s">
        <v>257</v>
      </c>
      <c r="R196" s="851"/>
      <c r="S196" s="851"/>
      <c r="T196" s="851" t="s">
        <v>257</v>
      </c>
      <c r="U196" s="554" t="s">
        <v>257</v>
      </c>
      <c r="V196" s="554" t="s">
        <v>257</v>
      </c>
      <c r="W196" s="554" t="s">
        <v>257</v>
      </c>
      <c r="X196" s="554" t="s">
        <v>257</v>
      </c>
      <c r="Y196" s="554"/>
      <c r="Z196" s="554"/>
      <c r="AA196" s="555" t="s">
        <v>257</v>
      </c>
      <c r="AB196" s="555" t="s">
        <v>257</v>
      </c>
      <c r="AC196" s="555" t="s">
        <v>257</v>
      </c>
      <c r="AD196" s="555" t="s">
        <v>257</v>
      </c>
      <c r="AE196" s="554" t="s">
        <v>372</v>
      </c>
      <c r="AF196" s="851"/>
      <c r="AG196" s="851"/>
      <c r="AH196" s="179"/>
      <c r="AI196" s="179"/>
    </row>
    <row r="197" spans="1:35" ht="22.35" customHeight="1" x14ac:dyDescent="0.2">
      <c r="A197" s="109"/>
      <c r="B197" s="539" t="s">
        <v>276</v>
      </c>
      <c r="C197" s="851" t="s">
        <v>95</v>
      </c>
      <c r="D197" s="851"/>
      <c r="E197" s="851"/>
      <c r="F197" s="859" t="s">
        <v>95</v>
      </c>
      <c r="G197" s="859" t="s">
        <v>95</v>
      </c>
      <c r="H197" s="859" t="s">
        <v>95</v>
      </c>
      <c r="I197" s="859" t="s">
        <v>95</v>
      </c>
      <c r="J197" s="859" t="s">
        <v>95</v>
      </c>
      <c r="K197" s="859"/>
      <c r="L197" s="859"/>
      <c r="M197" s="859" t="s">
        <v>95</v>
      </c>
      <c r="N197" s="859" t="s">
        <v>95</v>
      </c>
      <c r="O197" s="859" t="s">
        <v>95</v>
      </c>
      <c r="P197" s="859" t="s">
        <v>95</v>
      </c>
      <c r="Q197" s="859" t="s">
        <v>95</v>
      </c>
      <c r="R197" s="859"/>
      <c r="S197" s="859"/>
      <c r="T197" s="859" t="s">
        <v>95</v>
      </c>
      <c r="U197" s="859" t="s">
        <v>95</v>
      </c>
      <c r="V197" s="859" t="s">
        <v>95</v>
      </c>
      <c r="W197" s="859" t="s">
        <v>95</v>
      </c>
      <c r="X197" s="859" t="s">
        <v>95</v>
      </c>
      <c r="Y197" s="859"/>
      <c r="Z197" s="859"/>
      <c r="AA197" s="851" t="s">
        <v>95</v>
      </c>
      <c r="AB197" s="851" t="s">
        <v>95</v>
      </c>
      <c r="AC197" s="851" t="s">
        <v>95</v>
      </c>
      <c r="AD197" s="851" t="s">
        <v>95</v>
      </c>
      <c r="AE197" s="851" t="s">
        <v>95</v>
      </c>
      <c r="AF197" s="851"/>
      <c r="AG197" s="530"/>
      <c r="AH197" s="179"/>
      <c r="AI197" s="179"/>
    </row>
    <row r="198" spans="1:35" ht="22.35" customHeight="1" x14ac:dyDescent="0.2">
      <c r="A198" s="109"/>
      <c r="B198" s="553" t="s">
        <v>277</v>
      </c>
      <c r="C198" s="531" t="s">
        <v>177</v>
      </c>
      <c r="D198" s="531"/>
      <c r="E198" s="531" t="s">
        <v>101</v>
      </c>
      <c r="F198" s="556" t="s">
        <v>177</v>
      </c>
      <c r="G198" s="531" t="s">
        <v>177</v>
      </c>
      <c r="H198" s="556" t="s">
        <v>177</v>
      </c>
      <c r="I198" s="531" t="s">
        <v>177</v>
      </c>
      <c r="J198" s="531" t="s">
        <v>177</v>
      </c>
      <c r="K198" s="556"/>
      <c r="L198" s="556"/>
      <c r="M198" s="556" t="s">
        <v>177</v>
      </c>
      <c r="N198" s="531" t="s">
        <v>177</v>
      </c>
      <c r="O198" s="556" t="s">
        <v>177</v>
      </c>
      <c r="P198" s="531" t="s">
        <v>177</v>
      </c>
      <c r="Q198" s="531" t="s">
        <v>177</v>
      </c>
      <c r="R198" s="556"/>
      <c r="S198" s="556"/>
      <c r="T198" s="556" t="s">
        <v>177</v>
      </c>
      <c r="U198" s="531" t="s">
        <v>177</v>
      </c>
      <c r="V198" s="556" t="s">
        <v>177</v>
      </c>
      <c r="W198" s="531" t="s">
        <v>177</v>
      </c>
      <c r="X198" s="531" t="s">
        <v>177</v>
      </c>
      <c r="Y198" s="556"/>
      <c r="Z198" s="556"/>
      <c r="AA198" s="556" t="s">
        <v>177</v>
      </c>
      <c r="AB198" s="531" t="s">
        <v>177</v>
      </c>
      <c r="AC198" s="556" t="s">
        <v>177</v>
      </c>
      <c r="AD198" s="531" t="s">
        <v>177</v>
      </c>
      <c r="AE198" s="531" t="s">
        <v>177</v>
      </c>
      <c r="AF198" s="851"/>
      <c r="AG198" s="851"/>
      <c r="AH198" s="179"/>
      <c r="AI198" s="179"/>
    </row>
    <row r="199" spans="1:35" ht="22.35" customHeight="1" x14ac:dyDescent="0.2">
      <c r="A199" s="109"/>
      <c r="B199" s="539"/>
      <c r="C199" s="851" t="s">
        <v>137</v>
      </c>
      <c r="D199" s="851"/>
      <c r="E199" s="851"/>
      <c r="F199" s="851" t="s">
        <v>137</v>
      </c>
      <c r="G199" s="851" t="s">
        <v>137</v>
      </c>
      <c r="H199" s="851" t="s">
        <v>137</v>
      </c>
      <c r="I199" s="851" t="s">
        <v>137</v>
      </c>
      <c r="J199" s="851" t="s">
        <v>137</v>
      </c>
      <c r="K199" s="851"/>
      <c r="L199" s="851"/>
      <c r="M199" s="851" t="s">
        <v>137</v>
      </c>
      <c r="N199" s="851" t="s">
        <v>137</v>
      </c>
      <c r="O199" s="851" t="s">
        <v>137</v>
      </c>
      <c r="P199" s="851" t="s">
        <v>137</v>
      </c>
      <c r="Q199" s="851" t="s">
        <v>137</v>
      </c>
      <c r="R199" s="851"/>
      <c r="S199" s="851"/>
      <c r="T199" s="851" t="s">
        <v>137</v>
      </c>
      <c r="U199" s="851" t="s">
        <v>137</v>
      </c>
      <c r="V199" s="851" t="s">
        <v>137</v>
      </c>
      <c r="W199" s="851" t="s">
        <v>137</v>
      </c>
      <c r="X199" s="851" t="s">
        <v>137</v>
      </c>
      <c r="Y199" s="851"/>
      <c r="Z199" s="851"/>
      <c r="AA199" s="851" t="s">
        <v>137</v>
      </c>
      <c r="AB199" s="851" t="s">
        <v>137</v>
      </c>
      <c r="AC199" s="851" t="s">
        <v>137</v>
      </c>
      <c r="AD199" s="851" t="s">
        <v>137</v>
      </c>
      <c r="AE199" s="851" t="s">
        <v>137</v>
      </c>
      <c r="AF199" s="851"/>
      <c r="AG199" s="851"/>
      <c r="AH199" s="179"/>
      <c r="AI199" s="179"/>
    </row>
    <row r="200" spans="1:35" ht="22.35" customHeight="1" x14ac:dyDescent="0.2">
      <c r="A200" s="109"/>
      <c r="B200" s="539" t="s">
        <v>278</v>
      </c>
      <c r="C200" s="851" t="s">
        <v>264</v>
      </c>
      <c r="D200" s="851"/>
      <c r="E200" s="851"/>
      <c r="F200" s="851" t="s">
        <v>264</v>
      </c>
      <c r="G200" s="851" t="s">
        <v>264</v>
      </c>
      <c r="H200" s="851" t="s">
        <v>264</v>
      </c>
      <c r="I200" s="851" t="s">
        <v>264</v>
      </c>
      <c r="J200" s="851" t="s">
        <v>264</v>
      </c>
      <c r="K200" s="851"/>
      <c r="L200" s="851"/>
      <c r="M200" s="851" t="s">
        <v>264</v>
      </c>
      <c r="N200" s="851" t="s">
        <v>264</v>
      </c>
      <c r="O200" s="851" t="s">
        <v>264</v>
      </c>
      <c r="P200" s="851" t="s">
        <v>264</v>
      </c>
      <c r="Q200" s="851" t="s">
        <v>264</v>
      </c>
      <c r="R200" s="851"/>
      <c r="S200" s="851"/>
      <c r="T200" s="851" t="s">
        <v>264</v>
      </c>
      <c r="U200" s="851" t="s">
        <v>264</v>
      </c>
      <c r="V200" s="851" t="s">
        <v>264</v>
      </c>
      <c r="W200" s="851" t="s">
        <v>264</v>
      </c>
      <c r="X200" s="851" t="s">
        <v>264</v>
      </c>
      <c r="Y200" s="851"/>
      <c r="Z200" s="851"/>
      <c r="AA200" s="964" t="s">
        <v>264</v>
      </c>
      <c r="AB200" s="964" t="s">
        <v>367</v>
      </c>
      <c r="AC200" s="323" t="s">
        <v>264</v>
      </c>
      <c r="AD200" s="965" t="s">
        <v>264</v>
      </c>
      <c r="AE200" s="965" t="s">
        <v>264</v>
      </c>
      <c r="AF200" s="851"/>
      <c r="AG200" s="851"/>
      <c r="AH200" s="107"/>
      <c r="AI200" s="107"/>
    </row>
    <row r="201" spans="1:35" ht="21" customHeight="1" thickBot="1" x14ac:dyDescent="0.25">
      <c r="A201" s="147"/>
      <c r="B201" s="1459" t="s">
        <v>279</v>
      </c>
      <c r="C201" s="1092" t="s">
        <v>266</v>
      </c>
      <c r="D201" s="1092"/>
      <c r="E201" s="1092"/>
      <c r="F201" s="1092" t="s">
        <v>266</v>
      </c>
      <c r="G201" s="1092" t="s">
        <v>266</v>
      </c>
      <c r="H201" s="1092" t="s">
        <v>266</v>
      </c>
      <c r="I201" s="1092" t="s">
        <v>266</v>
      </c>
      <c r="J201" s="1092" t="s">
        <v>266</v>
      </c>
      <c r="K201" s="1092"/>
      <c r="L201" s="1092"/>
      <c r="M201" s="1460" t="s">
        <v>266</v>
      </c>
      <c r="N201" s="1092" t="s">
        <v>266</v>
      </c>
      <c r="O201" s="1092" t="s">
        <v>266</v>
      </c>
      <c r="P201" s="1092" t="s">
        <v>266</v>
      </c>
      <c r="Q201" s="1092" t="s">
        <v>266</v>
      </c>
      <c r="R201" s="1092"/>
      <c r="S201" s="1092"/>
      <c r="T201" s="1092" t="s">
        <v>266</v>
      </c>
      <c r="U201" s="1092" t="s">
        <v>266</v>
      </c>
      <c r="V201" s="1092" t="s">
        <v>266</v>
      </c>
      <c r="W201" s="1092" t="s">
        <v>266</v>
      </c>
      <c r="X201" s="1092" t="s">
        <v>266</v>
      </c>
      <c r="Y201" s="1092"/>
      <c r="Z201" s="1092"/>
      <c r="AA201" s="1273" t="s">
        <v>266</v>
      </c>
      <c r="AB201" s="1273" t="s">
        <v>266</v>
      </c>
      <c r="AC201" s="1273" t="s">
        <v>266</v>
      </c>
      <c r="AD201" s="1273" t="s">
        <v>266</v>
      </c>
      <c r="AE201" s="1273" t="s">
        <v>266</v>
      </c>
      <c r="AF201" s="1273"/>
      <c r="AG201" s="1273"/>
      <c r="AH201" s="114"/>
    </row>
    <row r="202" spans="1:35" ht="21" customHeight="1" x14ac:dyDescent="0.2">
      <c r="A202" s="147"/>
      <c r="B202" s="217"/>
      <c r="C202" s="216"/>
      <c r="D202" s="216"/>
      <c r="E202" s="216"/>
      <c r="F202" s="216"/>
      <c r="G202" s="216"/>
      <c r="H202" s="216"/>
      <c r="I202" s="216"/>
      <c r="J202" s="216"/>
      <c r="K202" s="216"/>
      <c r="L202" s="216"/>
      <c r="M202" s="216"/>
      <c r="N202" s="216"/>
      <c r="O202" s="216"/>
      <c r="P202" s="216"/>
      <c r="Q202" s="216"/>
      <c r="R202" s="216"/>
      <c r="S202" s="216"/>
      <c r="T202" s="216"/>
      <c r="U202" s="216"/>
      <c r="V202" s="216"/>
      <c r="W202" s="216"/>
      <c r="X202" s="216"/>
      <c r="Y202" s="216"/>
      <c r="Z202" s="216"/>
      <c r="AA202" s="216"/>
      <c r="AB202" s="216"/>
      <c r="AC202" s="216"/>
      <c r="AD202" s="216"/>
      <c r="AE202" s="216"/>
      <c r="AF202" s="216"/>
      <c r="AG202" s="216"/>
      <c r="AH202" s="114"/>
    </row>
    <row r="203" spans="1:35" ht="22.35" customHeight="1" x14ac:dyDescent="0.2">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row>
    <row r="204" spans="1:35" ht="22.35" customHeight="1" thickBot="1" x14ac:dyDescent="0.25">
      <c r="A204" s="1" t="s">
        <v>280</v>
      </c>
      <c r="B204" s="59"/>
    </row>
    <row r="205" spans="1:35" ht="22.35" customHeight="1" x14ac:dyDescent="0.2">
      <c r="A205" s="1"/>
      <c r="B205" s="532" t="s">
        <v>281</v>
      </c>
      <c r="C205" s="1461" t="s">
        <v>107</v>
      </c>
      <c r="D205" s="1386"/>
      <c r="E205" s="1386"/>
      <c r="F205" s="1386"/>
      <c r="G205" s="1461" t="s">
        <v>108</v>
      </c>
      <c r="H205" s="1386"/>
      <c r="I205" s="1386"/>
      <c r="J205" s="1386"/>
      <c r="K205" s="1461" t="s">
        <v>109</v>
      </c>
      <c r="L205" s="1386"/>
      <c r="M205" s="1386"/>
      <c r="N205" s="1386"/>
      <c r="O205" s="1461" t="s">
        <v>110</v>
      </c>
      <c r="P205" s="1386"/>
      <c r="Q205" s="1386"/>
      <c r="R205" s="1386"/>
      <c r="S205" s="1461" t="s">
        <v>111</v>
      </c>
      <c r="T205" s="1386"/>
      <c r="U205" s="1386"/>
      <c r="V205" s="1386"/>
      <c r="W205" s="1461" t="s">
        <v>112</v>
      </c>
      <c r="X205" s="1323"/>
      <c r="Y205" s="1386"/>
      <c r="Z205" s="1462"/>
      <c r="AA205" s="1461" t="s">
        <v>113</v>
      </c>
      <c r="AB205" s="1323"/>
      <c r="AC205" s="1386"/>
      <c r="AD205" s="1462"/>
      <c r="AE205" s="1463" t="s">
        <v>114</v>
      </c>
      <c r="AF205" s="1386"/>
      <c r="AG205" s="1386"/>
      <c r="AH205" s="1386"/>
      <c r="AI205" s="1324"/>
    </row>
    <row r="206" spans="1:35" ht="22.35" customHeight="1" x14ac:dyDescent="0.2">
      <c r="A206" s="1"/>
      <c r="B206" s="533">
        <v>3701</v>
      </c>
      <c r="C206" s="110" t="s">
        <v>282</v>
      </c>
      <c r="D206" s="110"/>
      <c r="E206" s="110"/>
      <c r="F206" s="110"/>
      <c r="G206" s="534" t="s">
        <v>283</v>
      </c>
      <c r="H206" s="110"/>
      <c r="I206" s="110"/>
      <c r="J206" s="110"/>
      <c r="K206" s="534" t="s">
        <v>283</v>
      </c>
      <c r="L206" s="110"/>
      <c r="M206" s="110"/>
      <c r="N206" s="110"/>
      <c r="O206" s="534" t="s">
        <v>283</v>
      </c>
      <c r="P206" s="110"/>
      <c r="Q206" s="110"/>
      <c r="R206" s="110"/>
      <c r="S206" s="534" t="s">
        <v>284</v>
      </c>
      <c r="T206" s="110"/>
      <c r="U206" s="110"/>
      <c r="V206" s="110"/>
      <c r="W206" s="1002"/>
      <c r="X206" s="1464"/>
      <c r="Y206" s="886"/>
      <c r="Z206" s="1465"/>
      <c r="AA206" s="1002"/>
      <c r="AB206" s="1464"/>
      <c r="AC206" s="886"/>
      <c r="AD206" s="1465"/>
      <c r="AE206" s="1046"/>
      <c r="AF206" s="886"/>
      <c r="AG206" s="886"/>
      <c r="AH206" s="886"/>
      <c r="AI206" s="788"/>
    </row>
    <row r="207" spans="1:35" ht="22.35" customHeight="1" x14ac:dyDescent="0.2">
      <c r="B207" s="532">
        <v>3700</v>
      </c>
      <c r="C207" s="886" t="s">
        <v>182</v>
      </c>
      <c r="D207" s="886"/>
      <c r="E207" s="886"/>
      <c r="F207" s="886"/>
      <c r="G207" s="698" t="s">
        <v>182</v>
      </c>
      <c r="H207" s="886"/>
      <c r="I207" s="886"/>
      <c r="J207" s="886"/>
      <c r="K207" s="698" t="s">
        <v>182</v>
      </c>
      <c r="L207" s="886"/>
      <c r="M207" s="886"/>
      <c r="N207" s="886"/>
      <c r="O207" s="698" t="s">
        <v>182</v>
      </c>
      <c r="P207" s="886"/>
      <c r="Q207" s="886"/>
      <c r="R207" s="886"/>
      <c r="S207" s="698" t="s">
        <v>183</v>
      </c>
      <c r="T207" s="886"/>
      <c r="U207" s="886"/>
      <c r="V207" s="886"/>
      <c r="W207" s="1002"/>
      <c r="X207" s="886"/>
      <c r="Y207" s="886"/>
      <c r="Z207" s="1048"/>
      <c r="AA207" s="1046"/>
      <c r="AB207" s="886"/>
      <c r="AC207" s="886"/>
      <c r="AD207" s="945"/>
      <c r="AE207" s="1466"/>
      <c r="AF207" s="886"/>
      <c r="AG207" s="886"/>
      <c r="AH207" s="945"/>
      <c r="AI207" s="788"/>
    </row>
    <row r="208" spans="1:35" ht="22.35" customHeight="1" x14ac:dyDescent="0.2">
      <c r="A208" s="1"/>
      <c r="B208" s="532">
        <v>8514</v>
      </c>
      <c r="C208" s="886" t="s">
        <v>283</v>
      </c>
      <c r="D208" s="886"/>
      <c r="E208" s="886"/>
      <c r="F208" s="886"/>
      <c r="G208" s="698" t="s">
        <v>283</v>
      </c>
      <c r="H208" s="886"/>
      <c r="I208" s="886"/>
      <c r="J208" s="886"/>
      <c r="K208" s="698" t="s">
        <v>283</v>
      </c>
      <c r="L208" s="886"/>
      <c r="M208" s="886"/>
      <c r="N208" s="886"/>
      <c r="O208" s="698" t="s">
        <v>283</v>
      </c>
      <c r="P208" s="886"/>
      <c r="Q208" s="886"/>
      <c r="R208" s="886"/>
      <c r="S208" s="698" t="s">
        <v>285</v>
      </c>
      <c r="T208" s="886"/>
      <c r="U208" s="886"/>
      <c r="V208" s="886"/>
      <c r="W208" s="1002"/>
      <c r="X208" s="886"/>
      <c r="Y208" s="886"/>
      <c r="Z208" s="1048"/>
      <c r="AA208" s="735"/>
      <c r="AB208" s="886"/>
      <c r="AC208" s="886"/>
      <c r="AD208" s="945"/>
      <c r="AE208" s="735"/>
      <c r="AF208" s="886"/>
      <c r="AG208" s="886"/>
      <c r="AH208" s="945"/>
      <c r="AI208" s="788"/>
    </row>
    <row r="209" spans="1:35" ht="22.35" customHeight="1" x14ac:dyDescent="0.2">
      <c r="A209" s="1"/>
      <c r="B209" s="532">
        <v>8500</v>
      </c>
      <c r="C209" s="162" t="s">
        <v>286</v>
      </c>
      <c r="D209" s="162"/>
      <c r="E209" s="162"/>
      <c r="F209" s="162"/>
      <c r="G209" s="163" t="s">
        <v>286</v>
      </c>
      <c r="H209" s="162"/>
      <c r="I209" s="162"/>
      <c r="J209" s="162"/>
      <c r="K209" s="163" t="s">
        <v>286</v>
      </c>
      <c r="L209" s="162"/>
      <c r="M209" s="162"/>
      <c r="N209" s="162"/>
      <c r="O209" s="163" t="s">
        <v>286</v>
      </c>
      <c r="P209" s="162"/>
      <c r="Q209" s="162"/>
      <c r="R209" s="162"/>
      <c r="S209" s="163" t="s">
        <v>287</v>
      </c>
      <c r="T209" s="162"/>
      <c r="U209" s="162"/>
      <c r="V209" s="162"/>
      <c r="W209" s="1002"/>
      <c r="X209" s="162"/>
      <c r="Y209" s="162"/>
      <c r="Z209" s="120"/>
      <c r="AA209" s="119"/>
      <c r="AB209" s="162"/>
      <c r="AC209" s="162"/>
      <c r="AD209" s="120"/>
      <c r="AE209" s="119"/>
      <c r="AF209" s="162"/>
      <c r="AG209" s="162"/>
      <c r="AH209" s="112"/>
      <c r="AI209" s="118"/>
    </row>
    <row r="210" spans="1:35" ht="22.35" customHeight="1" x14ac:dyDescent="0.2">
      <c r="A210" s="1"/>
      <c r="B210" s="532">
        <v>8514</v>
      </c>
      <c r="C210" s="165" t="s">
        <v>283</v>
      </c>
      <c r="D210" s="165"/>
      <c r="E210" s="165"/>
      <c r="F210" s="165"/>
      <c r="G210" s="166" t="s">
        <v>283</v>
      </c>
      <c r="H210" s="165"/>
      <c r="I210" s="165"/>
      <c r="J210" s="165"/>
      <c r="K210" s="166" t="s">
        <v>283</v>
      </c>
      <c r="L210" s="165"/>
      <c r="M210" s="165"/>
      <c r="N210" s="165"/>
      <c r="O210" s="166" t="s">
        <v>283</v>
      </c>
      <c r="P210" s="165"/>
      <c r="Q210" s="165"/>
      <c r="R210" s="165"/>
      <c r="S210" s="166" t="s">
        <v>285</v>
      </c>
      <c r="T210" s="165"/>
      <c r="U210" s="165"/>
      <c r="V210" s="165"/>
      <c r="W210" s="1467"/>
      <c r="X210" s="116"/>
      <c r="Y210" s="162"/>
      <c r="Z210" s="164"/>
      <c r="AA210" s="154"/>
      <c r="AB210" s="116"/>
      <c r="AC210" s="162"/>
      <c r="AD210" s="162"/>
      <c r="AE210" s="117"/>
      <c r="AF210" s="162"/>
      <c r="AG210" s="162"/>
      <c r="AH210" s="162"/>
      <c r="AI210" s="118"/>
    </row>
    <row r="211" spans="1:35" ht="22.35" customHeight="1" thickBot="1" x14ac:dyDescent="0.25">
      <c r="A211" s="1"/>
      <c r="B211" s="1468" t="s">
        <v>288</v>
      </c>
      <c r="C211" s="891" t="s">
        <v>289</v>
      </c>
      <c r="D211" s="891"/>
      <c r="E211" s="891"/>
      <c r="F211" s="891"/>
      <c r="G211" s="1469" t="s">
        <v>289</v>
      </c>
      <c r="H211" s="891"/>
      <c r="I211" s="891"/>
      <c r="J211" s="891"/>
      <c r="K211" s="1004" t="s">
        <v>289</v>
      </c>
      <c r="L211" s="891"/>
      <c r="M211" s="891"/>
      <c r="N211" s="891"/>
      <c r="O211" s="1469" t="s">
        <v>289</v>
      </c>
      <c r="P211" s="891"/>
      <c r="Q211" s="891"/>
      <c r="R211" s="891"/>
      <c r="S211" s="1469" t="s">
        <v>290</v>
      </c>
      <c r="T211" s="891"/>
      <c r="U211" s="891"/>
      <c r="V211" s="891"/>
      <c r="W211" s="1004"/>
      <c r="X211" s="891"/>
      <c r="Y211" s="891"/>
      <c r="Z211" s="706"/>
      <c r="AA211" s="1057"/>
      <c r="AB211" s="891"/>
      <c r="AC211" s="891"/>
      <c r="AD211" s="1063"/>
      <c r="AE211" s="1470"/>
      <c r="AF211" s="891"/>
      <c r="AG211" s="891"/>
      <c r="AH211" s="1063"/>
      <c r="AI211" s="894"/>
    </row>
    <row r="212" spans="1:35" ht="22.35" customHeight="1" x14ac:dyDescent="0.2">
      <c r="A212" s="1"/>
      <c r="B212" s="18"/>
      <c r="C212" s="64"/>
      <c r="D212" s="110"/>
      <c r="E212" s="110"/>
      <c r="F212" s="69"/>
      <c r="G212" s="64"/>
      <c r="H212" s="110"/>
      <c r="I212" s="110"/>
      <c r="J212" s="69"/>
      <c r="K212" s="64"/>
      <c r="L212" s="110"/>
      <c r="M212" s="110"/>
      <c r="N212" s="69"/>
      <c r="O212" s="64"/>
      <c r="P212" s="110"/>
      <c r="Q212" s="110"/>
      <c r="R212" s="69"/>
      <c r="S212" s="64"/>
      <c r="T212" s="110"/>
      <c r="U212" s="110"/>
      <c r="V212" s="69"/>
      <c r="W212" s="69"/>
      <c r="Z212" s="69"/>
      <c r="AA212" s="69"/>
      <c r="AD212" s="69"/>
      <c r="AE212" s="69"/>
      <c r="AH212" s="69"/>
    </row>
    <row r="213" spans="1:35" ht="22.35" customHeight="1" x14ac:dyDescent="0.2">
      <c r="A213" s="1" t="s">
        <v>291</v>
      </c>
      <c r="B213" s="18"/>
      <c r="C213" s="64"/>
      <c r="D213" s="110"/>
      <c r="E213" s="110"/>
      <c r="F213" s="69"/>
      <c r="G213" s="64"/>
      <c r="H213" s="110"/>
      <c r="I213" s="110"/>
      <c r="J213" s="69"/>
      <c r="K213" s="64"/>
      <c r="L213" s="110"/>
      <c r="M213" s="110"/>
      <c r="N213" s="69"/>
      <c r="O213" s="64"/>
      <c r="P213" s="110"/>
      <c r="Q213" s="110"/>
      <c r="R213" s="69"/>
      <c r="S213" s="64"/>
      <c r="T213" s="110"/>
      <c r="U213" s="110"/>
      <c r="V213" s="69"/>
      <c r="W213" s="69"/>
      <c r="Z213" s="69"/>
      <c r="AA213" s="69"/>
      <c r="AD213" s="69"/>
      <c r="AE213" s="69"/>
      <c r="AH213" s="69"/>
    </row>
    <row r="214" spans="1:35" ht="22.35" customHeight="1" thickBot="1" x14ac:dyDescent="0.25">
      <c r="A214" s="981"/>
      <c r="B214" s="748" t="s">
        <v>29</v>
      </c>
      <c r="C214" s="796">
        <v>1</v>
      </c>
      <c r="D214" s="795">
        <v>2</v>
      </c>
      <c r="E214" s="795">
        <v>3</v>
      </c>
      <c r="F214" s="796">
        <v>4</v>
      </c>
      <c r="G214" s="796">
        <v>5</v>
      </c>
      <c r="H214" s="796">
        <v>6</v>
      </c>
      <c r="I214" s="796">
        <v>7</v>
      </c>
      <c r="J214" s="796">
        <v>8</v>
      </c>
      <c r="K214" s="795">
        <v>9</v>
      </c>
      <c r="L214" s="795">
        <v>10</v>
      </c>
      <c r="M214" s="796">
        <v>11</v>
      </c>
      <c r="N214" s="796">
        <v>12</v>
      </c>
      <c r="O214" s="796">
        <v>13</v>
      </c>
      <c r="P214" s="796">
        <v>14</v>
      </c>
      <c r="Q214" s="796">
        <v>15</v>
      </c>
      <c r="R214" s="795">
        <v>16</v>
      </c>
      <c r="S214" s="795">
        <v>17</v>
      </c>
      <c r="T214" s="796">
        <v>18</v>
      </c>
      <c r="U214" s="796">
        <v>19</v>
      </c>
      <c r="V214" s="796">
        <v>20</v>
      </c>
      <c r="W214" s="796">
        <v>21</v>
      </c>
      <c r="X214" s="796">
        <v>22</v>
      </c>
      <c r="Y214" s="795">
        <v>23</v>
      </c>
      <c r="Z214" s="795">
        <v>24</v>
      </c>
      <c r="AA214" s="796">
        <v>25</v>
      </c>
      <c r="AB214" s="796">
        <v>26</v>
      </c>
      <c r="AC214" s="796">
        <v>27</v>
      </c>
      <c r="AD214" s="796">
        <v>28</v>
      </c>
      <c r="AE214" s="796">
        <v>29</v>
      </c>
      <c r="AF214" s="795">
        <v>30</v>
      </c>
      <c r="AG214" s="1300">
        <v>31</v>
      </c>
      <c r="AH214" s="173"/>
      <c r="AI214" s="174"/>
    </row>
    <row r="215" spans="1:35" ht="22.35" customHeight="1" x14ac:dyDescent="0.2">
      <c r="A215" s="1471"/>
      <c r="B215" s="1472" t="s">
        <v>292</v>
      </c>
      <c r="C215" s="644" t="s">
        <v>32</v>
      </c>
      <c r="D215" s="644"/>
      <c r="E215" s="644"/>
      <c r="F215" s="644" t="s">
        <v>32</v>
      </c>
      <c r="G215" s="644" t="s">
        <v>32</v>
      </c>
      <c r="H215" s="644" t="s">
        <v>32</v>
      </c>
      <c r="I215" s="644" t="s">
        <v>32</v>
      </c>
      <c r="J215" s="644" t="s">
        <v>32</v>
      </c>
      <c r="K215" s="644"/>
      <c r="L215" s="644"/>
      <c r="M215" s="644" t="s">
        <v>32</v>
      </c>
      <c r="N215" s="848" t="s">
        <v>32</v>
      </c>
      <c r="O215" s="848" t="s">
        <v>32</v>
      </c>
      <c r="P215" s="848" t="s">
        <v>32</v>
      </c>
      <c r="Q215" s="975" t="s">
        <v>32</v>
      </c>
      <c r="R215" s="848"/>
      <c r="S215" s="848"/>
      <c r="T215" s="644" t="s">
        <v>32</v>
      </c>
      <c r="U215" s="848" t="s">
        <v>32</v>
      </c>
      <c r="V215" s="1473" t="s">
        <v>32</v>
      </c>
      <c r="W215" s="1473" t="s">
        <v>32</v>
      </c>
      <c r="X215" s="1473" t="s">
        <v>32</v>
      </c>
      <c r="Y215" s="848"/>
      <c r="Z215" s="644"/>
      <c r="AA215" s="644" t="s">
        <v>32</v>
      </c>
      <c r="AB215" s="644" t="s">
        <v>32</v>
      </c>
      <c r="AC215" s="848" t="s">
        <v>32</v>
      </c>
      <c r="AD215" s="848" t="s">
        <v>32</v>
      </c>
      <c r="AE215" s="848" t="s">
        <v>32</v>
      </c>
      <c r="AF215" s="848"/>
      <c r="AG215" s="293"/>
      <c r="AH215" s="173"/>
      <c r="AI215" s="174"/>
    </row>
    <row r="216" spans="1:35" ht="22.35" customHeight="1" x14ac:dyDescent="0.2">
      <c r="A216" s="1474"/>
      <c r="B216" s="1475" t="s">
        <v>293</v>
      </c>
      <c r="C216" s="644"/>
      <c r="D216" s="644"/>
      <c r="E216" s="644"/>
      <c r="F216" s="644"/>
      <c r="G216" s="644"/>
      <c r="H216" s="644"/>
      <c r="I216" s="644"/>
      <c r="J216" s="644"/>
      <c r="K216" s="644"/>
      <c r="L216" s="644"/>
      <c r="M216" s="644"/>
      <c r="N216" s="848"/>
      <c r="O216" s="848"/>
      <c r="P216" s="848"/>
      <c r="Q216" s="975"/>
      <c r="R216" s="848"/>
      <c r="S216" s="848"/>
      <c r="T216" s="644"/>
      <c r="U216" s="848"/>
      <c r="V216" s="1473"/>
      <c r="W216" s="1473"/>
      <c r="X216" s="1473"/>
      <c r="Y216" s="848"/>
      <c r="Z216" s="644"/>
      <c r="AA216" s="644"/>
      <c r="AB216" s="644"/>
      <c r="AC216" s="848"/>
      <c r="AD216" s="848"/>
      <c r="AE216" s="848"/>
      <c r="AF216" s="848"/>
      <c r="AG216" s="1476"/>
      <c r="AH216" s="173"/>
      <c r="AI216" s="174"/>
    </row>
    <row r="217" spans="1:35" ht="22.35" customHeight="1" x14ac:dyDescent="0.2">
      <c r="A217" s="1477">
        <v>8514</v>
      </c>
      <c r="B217" s="1478" t="s">
        <v>294</v>
      </c>
      <c r="C217" s="644" t="s">
        <v>32</v>
      </c>
      <c r="D217" s="644"/>
      <c r="E217" s="644"/>
      <c r="F217" s="644" t="s">
        <v>32</v>
      </c>
      <c r="G217" s="644" t="s">
        <v>32</v>
      </c>
      <c r="H217" s="644" t="s">
        <v>32</v>
      </c>
      <c r="I217" s="644" t="s">
        <v>32</v>
      </c>
      <c r="J217" s="644" t="s">
        <v>32</v>
      </c>
      <c r="K217" s="644"/>
      <c r="L217" s="644"/>
      <c r="M217" s="859" t="s">
        <v>32</v>
      </c>
      <c r="N217" s="859" t="s">
        <v>32</v>
      </c>
      <c r="O217" s="859" t="s">
        <v>32</v>
      </c>
      <c r="P217" s="859" t="s">
        <v>32</v>
      </c>
      <c r="Q217" s="859" t="s">
        <v>32</v>
      </c>
      <c r="R217" s="859"/>
      <c r="S217" s="859"/>
      <c r="T217" s="859" t="s">
        <v>32</v>
      </c>
      <c r="U217" s="859" t="s">
        <v>32</v>
      </c>
      <c r="V217" s="859" t="s">
        <v>32</v>
      </c>
      <c r="W217" s="859" t="s">
        <v>32</v>
      </c>
      <c r="X217" s="859" t="s">
        <v>32</v>
      </c>
      <c r="Y217" s="859"/>
      <c r="Z217" s="859"/>
      <c r="AA217" s="859" t="s">
        <v>32</v>
      </c>
      <c r="AB217" s="859" t="s">
        <v>32</v>
      </c>
      <c r="AC217" s="859" t="s">
        <v>32</v>
      </c>
      <c r="AD217" s="859" t="s">
        <v>32</v>
      </c>
      <c r="AE217" s="859" t="s">
        <v>32</v>
      </c>
      <c r="AF217" s="859"/>
      <c r="AG217" s="1479"/>
      <c r="AH217" s="178"/>
      <c r="AI217" s="179"/>
    </row>
    <row r="218" spans="1:35" ht="21" customHeight="1" x14ac:dyDescent="0.2">
      <c r="A218" s="1477">
        <v>3701</v>
      </c>
      <c r="B218" s="1480" t="s">
        <v>295</v>
      </c>
      <c r="C218" s="644"/>
      <c r="D218" s="644"/>
      <c r="E218" s="644"/>
      <c r="F218" s="644"/>
      <c r="G218" s="644"/>
      <c r="H218" s="644"/>
      <c r="I218" s="644"/>
      <c r="J218" s="644"/>
      <c r="K218" s="644"/>
      <c r="L218" s="644"/>
      <c r="M218" s="644"/>
      <c r="N218" s="848"/>
      <c r="O218" s="848"/>
      <c r="P218" s="848"/>
      <c r="Q218" s="975"/>
      <c r="R218" s="848"/>
      <c r="S218" s="848"/>
      <c r="T218" s="644"/>
      <c r="U218" s="848"/>
      <c r="V218" s="1473"/>
      <c r="W218" s="1473"/>
      <c r="X218" s="1473"/>
      <c r="Y218" s="848"/>
      <c r="Z218" s="644"/>
      <c r="AA218" s="644"/>
      <c r="AB218" s="644"/>
      <c r="AC218" s="848"/>
      <c r="AD218" s="848"/>
      <c r="AE218" s="848"/>
      <c r="AF218" s="848"/>
      <c r="AG218" s="1476"/>
      <c r="AH218" s="178"/>
      <c r="AI218" s="179"/>
    </row>
    <row r="219" spans="1:35" ht="21" customHeight="1" x14ac:dyDescent="0.2">
      <c r="A219" s="1477">
        <v>3701</v>
      </c>
      <c r="B219" s="933" t="s">
        <v>296</v>
      </c>
      <c r="C219" s="1481" t="s">
        <v>51</v>
      </c>
      <c r="D219" s="644"/>
      <c r="E219" s="644"/>
      <c r="F219" s="859" t="s">
        <v>32</v>
      </c>
      <c r="G219" s="859" t="s">
        <v>32</v>
      </c>
      <c r="H219" s="859" t="s">
        <v>32</v>
      </c>
      <c r="I219" s="859" t="s">
        <v>32</v>
      </c>
      <c r="J219" s="859" t="s">
        <v>32</v>
      </c>
      <c r="K219" s="859"/>
      <c r="L219" s="859"/>
      <c r="M219" s="859" t="s">
        <v>32</v>
      </c>
      <c r="N219" s="859" t="s">
        <v>32</v>
      </c>
      <c r="O219" s="859" t="s">
        <v>32</v>
      </c>
      <c r="P219" s="859" t="s">
        <v>32</v>
      </c>
      <c r="Q219" s="859" t="s">
        <v>32</v>
      </c>
      <c r="R219" s="859"/>
      <c r="S219" s="859"/>
      <c r="T219" s="859" t="s">
        <v>32</v>
      </c>
      <c r="U219" s="859" t="s">
        <v>32</v>
      </c>
      <c r="V219" s="859" t="s">
        <v>32</v>
      </c>
      <c r="W219" s="859" t="s">
        <v>32</v>
      </c>
      <c r="X219" s="859" t="s">
        <v>32</v>
      </c>
      <c r="Y219" s="859"/>
      <c r="Z219" s="859"/>
      <c r="AA219" s="859" t="s">
        <v>32</v>
      </c>
      <c r="AB219" s="859" t="s">
        <v>32</v>
      </c>
      <c r="AC219" s="859" t="s">
        <v>32</v>
      </c>
      <c r="AD219" s="859" t="s">
        <v>32</v>
      </c>
      <c r="AE219" s="859" t="s">
        <v>32</v>
      </c>
      <c r="AF219" s="859"/>
      <c r="AG219" s="1479"/>
      <c r="AH219" s="178"/>
      <c r="AI219" s="179"/>
    </row>
    <row r="220" spans="1:35" ht="21" customHeight="1" x14ac:dyDescent="0.2">
      <c r="A220" s="1477">
        <v>3701</v>
      </c>
      <c r="B220" s="933" t="s">
        <v>297</v>
      </c>
      <c r="C220" s="644" t="s">
        <v>32</v>
      </c>
      <c r="D220" s="644"/>
      <c r="E220" s="644"/>
      <c r="F220" s="859" t="s">
        <v>32</v>
      </c>
      <c r="G220" s="859" t="s">
        <v>32</v>
      </c>
      <c r="H220" s="859" t="s">
        <v>32</v>
      </c>
      <c r="I220" s="859" t="s">
        <v>32</v>
      </c>
      <c r="J220" s="859" t="s">
        <v>32</v>
      </c>
      <c r="K220" s="1481"/>
      <c r="L220" s="1481"/>
      <c r="M220" s="1481" t="s">
        <v>32</v>
      </c>
      <c r="N220" s="1481" t="s">
        <v>32</v>
      </c>
      <c r="O220" s="1481" t="s">
        <v>32</v>
      </c>
      <c r="P220" s="1481" t="s">
        <v>32</v>
      </c>
      <c r="Q220" s="1481" t="s">
        <v>32</v>
      </c>
      <c r="R220" s="1481"/>
      <c r="S220" s="1481"/>
      <c r="T220" s="1481" t="s">
        <v>51</v>
      </c>
      <c r="U220" s="859" t="s">
        <v>32</v>
      </c>
      <c r="V220" s="859" t="s">
        <v>32</v>
      </c>
      <c r="W220" s="859" t="s">
        <v>32</v>
      </c>
      <c r="X220" s="859" t="s">
        <v>32</v>
      </c>
      <c r="Y220" s="859"/>
      <c r="Z220" s="859"/>
      <c r="AA220" s="845" t="s">
        <v>32</v>
      </c>
      <c r="AB220" s="845" t="s">
        <v>32</v>
      </c>
      <c r="AC220" s="845" t="s">
        <v>32</v>
      </c>
      <c r="AD220" s="845" t="s">
        <v>32</v>
      </c>
      <c r="AE220" s="845" t="s">
        <v>32</v>
      </c>
      <c r="AF220" s="845"/>
      <c r="AG220" s="1482"/>
      <c r="AH220" s="178"/>
      <c r="AI220" s="179"/>
    </row>
    <row r="221" spans="1:35" ht="21" customHeight="1" x14ac:dyDescent="0.2">
      <c r="A221" s="1477">
        <v>3701</v>
      </c>
      <c r="B221" s="933" t="s">
        <v>298</v>
      </c>
      <c r="C221" s="644" t="s">
        <v>32</v>
      </c>
      <c r="D221" s="644"/>
      <c r="E221" s="644"/>
      <c r="F221" s="644" t="s">
        <v>32</v>
      </c>
      <c r="G221" s="644" t="s">
        <v>32</v>
      </c>
      <c r="H221" s="644" t="s">
        <v>32</v>
      </c>
      <c r="I221" s="644" t="s">
        <v>32</v>
      </c>
      <c r="J221" s="644" t="s">
        <v>32</v>
      </c>
      <c r="K221" s="644"/>
      <c r="L221" s="644"/>
      <c r="M221" s="859" t="s">
        <v>32</v>
      </c>
      <c r="N221" s="859" t="s">
        <v>32</v>
      </c>
      <c r="O221" s="859" t="s">
        <v>32</v>
      </c>
      <c r="P221" s="859" t="s">
        <v>32</v>
      </c>
      <c r="Q221" s="859" t="s">
        <v>32</v>
      </c>
      <c r="R221" s="859"/>
      <c r="S221" s="859"/>
      <c r="T221" s="859" t="s">
        <v>32</v>
      </c>
      <c r="U221" s="859" t="s">
        <v>32</v>
      </c>
      <c r="V221" s="859" t="s">
        <v>32</v>
      </c>
      <c r="W221" s="859" t="s">
        <v>32</v>
      </c>
      <c r="X221" s="859" t="s">
        <v>32</v>
      </c>
      <c r="Y221" s="859"/>
      <c r="Z221" s="859"/>
      <c r="AA221" s="859" t="s">
        <v>32</v>
      </c>
      <c r="AB221" s="859" t="s">
        <v>32</v>
      </c>
      <c r="AC221" s="859" t="s">
        <v>32</v>
      </c>
      <c r="AD221" s="859" t="s">
        <v>32</v>
      </c>
      <c r="AE221" s="859" t="s">
        <v>32</v>
      </c>
      <c r="AF221" s="859"/>
      <c r="AG221" s="1479"/>
      <c r="AH221" s="178"/>
      <c r="AI221" s="179"/>
    </row>
    <row r="222" spans="1:35" ht="22.35" customHeight="1" x14ac:dyDescent="0.2">
      <c r="A222" s="1477">
        <v>3701</v>
      </c>
      <c r="B222" s="1480" t="s">
        <v>299</v>
      </c>
      <c r="C222" s="644"/>
      <c r="D222" s="644"/>
      <c r="E222" s="644"/>
      <c r="F222" s="644"/>
      <c r="G222" s="644"/>
      <c r="H222" s="644"/>
      <c r="I222" s="644"/>
      <c r="J222" s="644"/>
      <c r="K222" s="644"/>
      <c r="L222" s="644"/>
      <c r="M222" s="644"/>
      <c r="N222" s="848"/>
      <c r="O222" s="848"/>
      <c r="P222" s="848"/>
      <c r="Q222" s="975"/>
      <c r="R222" s="848"/>
      <c r="S222" s="848"/>
      <c r="T222" s="644"/>
      <c r="U222" s="848"/>
      <c r="V222" s="1473"/>
      <c r="W222" s="1473"/>
      <c r="X222" s="1473"/>
      <c r="Y222" s="848"/>
      <c r="Z222" s="644"/>
      <c r="AA222" s="644"/>
      <c r="AB222" s="644"/>
      <c r="AC222" s="848"/>
      <c r="AD222" s="848"/>
      <c r="AE222" s="848"/>
      <c r="AF222" s="848"/>
      <c r="AG222" s="1476"/>
      <c r="AH222" s="178"/>
      <c r="AI222" s="179"/>
    </row>
    <row r="223" spans="1:35" ht="22.35" customHeight="1" x14ac:dyDescent="0.2">
      <c r="A223" s="1477">
        <v>3701</v>
      </c>
      <c r="B223" s="933" t="s">
        <v>300</v>
      </c>
      <c r="C223" s="644" t="s">
        <v>32</v>
      </c>
      <c r="D223" s="644"/>
      <c r="E223" s="644"/>
      <c r="F223" s="859" t="s">
        <v>32</v>
      </c>
      <c r="G223" s="859" t="s">
        <v>32</v>
      </c>
      <c r="H223" s="859" t="s">
        <v>32</v>
      </c>
      <c r="I223" s="859" t="s">
        <v>32</v>
      </c>
      <c r="J223" s="859" t="s">
        <v>32</v>
      </c>
      <c r="K223" s="859"/>
      <c r="L223" s="859"/>
      <c r="M223" s="859" t="s">
        <v>32</v>
      </c>
      <c r="N223" s="859" t="s">
        <v>32</v>
      </c>
      <c r="O223" s="859" t="s">
        <v>32</v>
      </c>
      <c r="P223" s="859" t="s">
        <v>32</v>
      </c>
      <c r="Q223" s="859" t="s">
        <v>32</v>
      </c>
      <c r="R223" s="859"/>
      <c r="S223" s="859"/>
      <c r="T223" s="859" t="s">
        <v>32</v>
      </c>
      <c r="U223" s="859" t="s">
        <v>32</v>
      </c>
      <c r="V223" s="859" t="s">
        <v>32</v>
      </c>
      <c r="W223" s="859" t="s">
        <v>32</v>
      </c>
      <c r="X223" s="859" t="s">
        <v>32</v>
      </c>
      <c r="Y223" s="859"/>
      <c r="Z223" s="859"/>
      <c r="AA223" s="859" t="s">
        <v>32</v>
      </c>
      <c r="AB223" s="859" t="s">
        <v>32</v>
      </c>
      <c r="AC223" s="859" t="s">
        <v>32</v>
      </c>
      <c r="AD223" s="859" t="s">
        <v>32</v>
      </c>
      <c r="AE223" s="859" t="s">
        <v>32</v>
      </c>
      <c r="AF223" s="859"/>
      <c r="AG223" s="1479"/>
      <c r="AH223" s="178"/>
      <c r="AI223" s="179"/>
    </row>
    <row r="224" spans="1:35" ht="22.35" customHeight="1" x14ac:dyDescent="0.2">
      <c r="A224" s="1477">
        <v>3701</v>
      </c>
      <c r="B224" s="933" t="s">
        <v>301</v>
      </c>
      <c r="C224" s="644" t="s">
        <v>32</v>
      </c>
      <c r="D224" s="644"/>
      <c r="E224" s="644"/>
      <c r="F224" s="1483" t="s">
        <v>32</v>
      </c>
      <c r="G224" s="1483" t="s">
        <v>32</v>
      </c>
      <c r="H224" s="1483" t="s">
        <v>32</v>
      </c>
      <c r="I224" s="1483" t="s">
        <v>32</v>
      </c>
      <c r="J224" s="1483" t="s">
        <v>32</v>
      </c>
      <c r="K224" s="644"/>
      <c r="L224" s="644"/>
      <c r="M224" s="859" t="s">
        <v>32</v>
      </c>
      <c r="N224" s="859" t="s">
        <v>32</v>
      </c>
      <c r="O224" s="859" t="s">
        <v>32</v>
      </c>
      <c r="P224" s="859" t="s">
        <v>32</v>
      </c>
      <c r="Q224" s="859" t="s">
        <v>32</v>
      </c>
      <c r="R224" s="859"/>
      <c r="S224" s="859"/>
      <c r="T224" s="859" t="s">
        <v>32</v>
      </c>
      <c r="U224" s="859" t="s">
        <v>32</v>
      </c>
      <c r="V224" s="859" t="s">
        <v>32</v>
      </c>
      <c r="W224" s="859" t="s">
        <v>32</v>
      </c>
      <c r="X224" s="859" t="s">
        <v>32</v>
      </c>
      <c r="Y224" s="859"/>
      <c r="Z224" s="859"/>
      <c r="AA224" s="859" t="s">
        <v>32</v>
      </c>
      <c r="AB224" s="859" t="s">
        <v>32</v>
      </c>
      <c r="AC224" s="859" t="s">
        <v>32</v>
      </c>
      <c r="AD224" s="859" t="s">
        <v>32</v>
      </c>
      <c r="AE224" s="859" t="s">
        <v>32</v>
      </c>
      <c r="AF224" s="859"/>
      <c r="AG224" s="1479"/>
      <c r="AH224" s="178"/>
      <c r="AI224" s="179"/>
    </row>
    <row r="225" spans="1:35" ht="22.35" customHeight="1" x14ac:dyDescent="0.2">
      <c r="A225" s="1484">
        <v>3701</v>
      </c>
      <c r="B225" s="933" t="s">
        <v>302</v>
      </c>
      <c r="C225" s="644" t="s">
        <v>32</v>
      </c>
      <c r="D225" s="644"/>
      <c r="E225" s="644"/>
      <c r="F225" s="644" t="s">
        <v>32</v>
      </c>
      <c r="G225" s="644" t="s">
        <v>32</v>
      </c>
      <c r="H225" s="1483" t="s">
        <v>32</v>
      </c>
      <c r="I225" s="644" t="s">
        <v>32</v>
      </c>
      <c r="J225" s="1483" t="s">
        <v>32</v>
      </c>
      <c r="K225" s="644"/>
      <c r="L225" s="644"/>
      <c r="M225" s="859" t="s">
        <v>32</v>
      </c>
      <c r="N225" s="859" t="s">
        <v>32</v>
      </c>
      <c r="O225" s="859" t="s">
        <v>32</v>
      </c>
      <c r="P225" s="859" t="s">
        <v>32</v>
      </c>
      <c r="Q225" s="859" t="s">
        <v>32</v>
      </c>
      <c r="R225" s="859"/>
      <c r="S225" s="859"/>
      <c r="T225" s="859" t="s">
        <v>32</v>
      </c>
      <c r="U225" s="859" t="s">
        <v>32</v>
      </c>
      <c r="V225" s="859" t="s">
        <v>32</v>
      </c>
      <c r="W225" s="859" t="s">
        <v>32</v>
      </c>
      <c r="X225" s="859" t="s">
        <v>32</v>
      </c>
      <c r="Y225" s="859"/>
      <c r="Z225" s="859"/>
      <c r="AA225" s="859" t="s">
        <v>32</v>
      </c>
      <c r="AB225" s="859" t="s">
        <v>32</v>
      </c>
      <c r="AC225" s="859" t="s">
        <v>32</v>
      </c>
      <c r="AD225" s="859" t="s">
        <v>32</v>
      </c>
      <c r="AE225" s="859" t="s">
        <v>32</v>
      </c>
      <c r="AF225" s="859"/>
      <c r="AG225" s="1479"/>
      <c r="AH225" s="178"/>
      <c r="AI225" s="179"/>
    </row>
    <row r="226" spans="1:35" ht="22.35" customHeight="1" x14ac:dyDescent="0.2">
      <c r="A226" s="1477">
        <v>3701</v>
      </c>
      <c r="B226" s="933" t="s">
        <v>303</v>
      </c>
      <c r="C226" s="859" t="s">
        <v>32</v>
      </c>
      <c r="D226" s="859"/>
      <c r="E226" s="859"/>
      <c r="F226" s="859" t="s">
        <v>32</v>
      </c>
      <c r="G226" s="859" t="s">
        <v>32</v>
      </c>
      <c r="H226" s="859" t="s">
        <v>32</v>
      </c>
      <c r="I226" s="859" t="s">
        <v>32</v>
      </c>
      <c r="J226" s="859" t="s">
        <v>32</v>
      </c>
      <c r="K226" s="859"/>
      <c r="L226" s="859"/>
      <c r="M226" s="859" t="s">
        <v>32</v>
      </c>
      <c r="N226" s="859" t="s">
        <v>32</v>
      </c>
      <c r="O226" s="859" t="s">
        <v>32</v>
      </c>
      <c r="P226" s="859" t="s">
        <v>32</v>
      </c>
      <c r="Q226" s="859" t="s">
        <v>32</v>
      </c>
      <c r="R226" s="859"/>
      <c r="S226" s="859"/>
      <c r="T226" s="859" t="s">
        <v>32</v>
      </c>
      <c r="U226" s="859" t="s">
        <v>32</v>
      </c>
      <c r="V226" s="859" t="s">
        <v>32</v>
      </c>
      <c r="W226" s="859" t="s">
        <v>32</v>
      </c>
      <c r="X226" s="859" t="s">
        <v>32</v>
      </c>
      <c r="Y226" s="859"/>
      <c r="Z226" s="859"/>
      <c r="AA226" s="859" t="s">
        <v>32</v>
      </c>
      <c r="AB226" s="859" t="s">
        <v>32</v>
      </c>
      <c r="AC226" s="859" t="s">
        <v>32</v>
      </c>
      <c r="AD226" s="859" t="s">
        <v>32</v>
      </c>
      <c r="AE226" s="859" t="s">
        <v>32</v>
      </c>
      <c r="AF226" s="859"/>
      <c r="AG226" s="1479"/>
      <c r="AH226" s="178"/>
      <c r="AI226" s="179"/>
    </row>
    <row r="227" spans="1:35" ht="22.35" customHeight="1" x14ac:dyDescent="0.2">
      <c r="A227" s="1477">
        <v>3701</v>
      </c>
      <c r="B227" s="933" t="s">
        <v>304</v>
      </c>
      <c r="C227" s="644" t="s">
        <v>32</v>
      </c>
      <c r="D227" s="644"/>
      <c r="E227" s="644"/>
      <c r="F227" s="644" t="s">
        <v>32</v>
      </c>
      <c r="G227" s="964" t="s">
        <v>51</v>
      </c>
      <c r="H227" s="845" t="s">
        <v>32</v>
      </c>
      <c r="I227" s="644" t="s">
        <v>32</v>
      </c>
      <c r="J227" s="644" t="s">
        <v>32</v>
      </c>
      <c r="K227" s="644"/>
      <c r="L227" s="644"/>
      <c r="M227" s="845" t="s">
        <v>32</v>
      </c>
      <c r="N227" s="845" t="s">
        <v>32</v>
      </c>
      <c r="O227" s="845" t="s">
        <v>32</v>
      </c>
      <c r="P227" s="845" t="s">
        <v>32</v>
      </c>
      <c r="Q227" s="845" t="s">
        <v>32</v>
      </c>
      <c r="R227" s="845"/>
      <c r="S227" s="845"/>
      <c r="T227" s="859" t="s">
        <v>32</v>
      </c>
      <c r="U227" s="859" t="s">
        <v>32</v>
      </c>
      <c r="V227" s="859" t="s">
        <v>32</v>
      </c>
      <c r="W227" s="859" t="s">
        <v>32</v>
      </c>
      <c r="X227" s="859" t="s">
        <v>32</v>
      </c>
      <c r="Y227" s="859"/>
      <c r="Z227" s="859"/>
      <c r="AA227" s="859" t="s">
        <v>32</v>
      </c>
      <c r="AB227" s="859" t="s">
        <v>32</v>
      </c>
      <c r="AC227" s="859" t="s">
        <v>32</v>
      </c>
      <c r="AD227" s="859" t="s">
        <v>32</v>
      </c>
      <c r="AE227" s="859" t="s">
        <v>32</v>
      </c>
      <c r="AF227" s="859"/>
      <c r="AG227" s="1479"/>
      <c r="AH227" s="178"/>
      <c r="AI227" s="179"/>
    </row>
    <row r="228" spans="1:35" ht="22.35" customHeight="1" x14ac:dyDescent="0.2">
      <c r="A228" s="1477"/>
      <c r="B228" s="933"/>
      <c r="C228" s="644" t="s">
        <v>32</v>
      </c>
      <c r="D228" s="644"/>
      <c r="E228" s="644"/>
      <c r="F228" s="644" t="s">
        <v>32</v>
      </c>
      <c r="G228" s="644" t="s">
        <v>32</v>
      </c>
      <c r="H228" s="644" t="s">
        <v>32</v>
      </c>
      <c r="I228" s="644" t="s">
        <v>32</v>
      </c>
      <c r="J228" s="644" t="s">
        <v>32</v>
      </c>
      <c r="K228" s="644"/>
      <c r="L228" s="644"/>
      <c r="M228" s="644" t="s">
        <v>32</v>
      </c>
      <c r="N228" s="848" t="s">
        <v>32</v>
      </c>
      <c r="O228" s="848" t="s">
        <v>32</v>
      </c>
      <c r="P228" s="848" t="s">
        <v>32</v>
      </c>
      <c r="Q228" s="975" t="s">
        <v>32</v>
      </c>
      <c r="R228" s="848"/>
      <c r="S228" s="848"/>
      <c r="T228" s="644" t="s">
        <v>32</v>
      </c>
      <c r="U228" s="848" t="s">
        <v>32</v>
      </c>
      <c r="V228" s="1473" t="s">
        <v>32</v>
      </c>
      <c r="W228" s="1473" t="s">
        <v>32</v>
      </c>
      <c r="X228" s="1473" t="s">
        <v>32</v>
      </c>
      <c r="Y228" s="848"/>
      <c r="Z228" s="644"/>
      <c r="AA228" s="644" t="s">
        <v>32</v>
      </c>
      <c r="AB228" s="644" t="s">
        <v>32</v>
      </c>
      <c r="AC228" s="848" t="s">
        <v>32</v>
      </c>
      <c r="AD228" s="848" t="s">
        <v>32</v>
      </c>
      <c r="AE228" s="848" t="s">
        <v>32</v>
      </c>
      <c r="AF228" s="848"/>
      <c r="AG228" s="1485"/>
      <c r="AH228" s="178"/>
      <c r="AI228" s="179"/>
    </row>
    <row r="229" spans="1:35" ht="22.35" customHeight="1" x14ac:dyDescent="0.2">
      <c r="A229" s="1477"/>
      <c r="B229" s="933" t="s">
        <v>306</v>
      </c>
      <c r="C229" s="644" t="s">
        <v>32</v>
      </c>
      <c r="D229" s="644"/>
      <c r="E229" s="644"/>
      <c r="F229" s="644" t="s">
        <v>32</v>
      </c>
      <c r="G229" s="644" t="s">
        <v>32</v>
      </c>
      <c r="H229" s="644" t="s">
        <v>32</v>
      </c>
      <c r="I229" s="644" t="s">
        <v>32</v>
      </c>
      <c r="J229" s="644" t="s">
        <v>32</v>
      </c>
      <c r="K229" s="644"/>
      <c r="L229" s="644"/>
      <c r="M229" s="859" t="s">
        <v>32</v>
      </c>
      <c r="N229" s="859" t="s">
        <v>32</v>
      </c>
      <c r="O229" s="859" t="s">
        <v>32</v>
      </c>
      <c r="P229" s="859" t="s">
        <v>32</v>
      </c>
      <c r="Q229" s="859" t="s">
        <v>32</v>
      </c>
      <c r="R229" s="859"/>
      <c r="S229" s="859"/>
      <c r="T229" s="859" t="s">
        <v>32</v>
      </c>
      <c r="U229" s="859" t="s">
        <v>32</v>
      </c>
      <c r="V229" s="859" t="s">
        <v>32</v>
      </c>
      <c r="W229" s="859" t="s">
        <v>32</v>
      </c>
      <c r="X229" s="859" t="s">
        <v>32</v>
      </c>
      <c r="Y229" s="859"/>
      <c r="Z229" s="859"/>
      <c r="AA229" s="859" t="s">
        <v>32</v>
      </c>
      <c r="AB229" s="859" t="s">
        <v>32</v>
      </c>
      <c r="AC229" s="859" t="s">
        <v>32</v>
      </c>
      <c r="AD229" s="859" t="s">
        <v>32</v>
      </c>
      <c r="AE229" s="859" t="s">
        <v>32</v>
      </c>
      <c r="AF229" s="859"/>
      <c r="AG229" s="1479"/>
      <c r="AH229" s="178"/>
      <c r="AI229" s="179"/>
    </row>
    <row r="230" spans="1:35" ht="22.35" customHeight="1" x14ac:dyDescent="0.2">
      <c r="A230" s="1477"/>
      <c r="B230" s="1480" t="s">
        <v>307</v>
      </c>
      <c r="C230" s="644"/>
      <c r="D230" s="644"/>
      <c r="E230" s="644"/>
      <c r="F230" s="644"/>
      <c r="G230" s="644"/>
      <c r="H230" s="644"/>
      <c r="I230" s="644"/>
      <c r="J230" s="644"/>
      <c r="K230" s="644"/>
      <c r="L230" s="644"/>
      <c r="M230" s="644"/>
      <c r="N230" s="848"/>
      <c r="O230" s="848"/>
      <c r="P230" s="848"/>
      <c r="Q230" s="975"/>
      <c r="R230" s="848"/>
      <c r="S230" s="848"/>
      <c r="T230" s="644"/>
      <c r="U230" s="848"/>
      <c r="V230" s="1473"/>
      <c r="W230" s="1473"/>
      <c r="X230" s="1473"/>
      <c r="Y230" s="848"/>
      <c r="Z230" s="644"/>
      <c r="AA230" s="644"/>
      <c r="AB230" s="644"/>
      <c r="AC230" s="848"/>
      <c r="AD230" s="848"/>
      <c r="AE230" s="848"/>
      <c r="AF230" s="848"/>
      <c r="AG230" s="1476"/>
      <c r="AH230" s="178"/>
      <c r="AI230" s="179"/>
    </row>
    <row r="231" spans="1:35" ht="22.35" customHeight="1" x14ac:dyDescent="0.2">
      <c r="A231" s="1477"/>
      <c r="B231" s="933" t="s">
        <v>308</v>
      </c>
      <c r="C231" s="859" t="s">
        <v>32</v>
      </c>
      <c r="D231" s="859"/>
      <c r="E231" s="859"/>
      <c r="F231" s="859" t="s">
        <v>32</v>
      </c>
      <c r="G231" s="859" t="s">
        <v>32</v>
      </c>
      <c r="H231" s="859" t="s">
        <v>32</v>
      </c>
      <c r="I231" s="859" t="s">
        <v>32</v>
      </c>
      <c r="J231" s="859" t="s">
        <v>32</v>
      </c>
      <c r="K231" s="859"/>
      <c r="L231" s="859"/>
      <c r="M231" s="859" t="s">
        <v>32</v>
      </c>
      <c r="N231" s="859" t="s">
        <v>32</v>
      </c>
      <c r="O231" s="859" t="s">
        <v>32</v>
      </c>
      <c r="P231" s="859" t="s">
        <v>32</v>
      </c>
      <c r="Q231" s="859" t="s">
        <v>32</v>
      </c>
      <c r="R231" s="859"/>
      <c r="S231" s="859"/>
      <c r="T231" s="859" t="s">
        <v>32</v>
      </c>
      <c r="U231" s="859" t="s">
        <v>32</v>
      </c>
      <c r="V231" s="859" t="s">
        <v>32</v>
      </c>
      <c r="W231" s="859" t="s">
        <v>32</v>
      </c>
      <c r="X231" s="859" t="s">
        <v>32</v>
      </c>
      <c r="Y231" s="859"/>
      <c r="Z231" s="859"/>
      <c r="AA231" s="859" t="s">
        <v>32</v>
      </c>
      <c r="AB231" s="859" t="s">
        <v>32</v>
      </c>
      <c r="AC231" s="859" t="s">
        <v>32</v>
      </c>
      <c r="AD231" s="859" t="s">
        <v>32</v>
      </c>
      <c r="AE231" s="859" t="s">
        <v>32</v>
      </c>
      <c r="AF231" s="859"/>
      <c r="AG231" s="1479"/>
      <c r="AH231" s="178"/>
      <c r="AI231" s="179"/>
    </row>
    <row r="232" spans="1:35" ht="22.35" customHeight="1" x14ac:dyDescent="0.2">
      <c r="A232" s="1477"/>
      <c r="B232" s="933" t="s">
        <v>309</v>
      </c>
      <c r="C232" s="644" t="s">
        <v>32</v>
      </c>
      <c r="D232" s="644"/>
      <c r="E232" s="644"/>
      <c r="F232" s="964" t="s">
        <v>32</v>
      </c>
      <c r="G232" s="964" t="s">
        <v>32</v>
      </c>
      <c r="H232" s="964" t="s">
        <v>51</v>
      </c>
      <c r="I232" s="845" t="s">
        <v>32</v>
      </c>
      <c r="J232" s="845" t="s">
        <v>32</v>
      </c>
      <c r="K232" s="845"/>
      <c r="L232" s="845"/>
      <c r="M232" s="859" t="s">
        <v>32</v>
      </c>
      <c r="N232" s="859" t="s">
        <v>32</v>
      </c>
      <c r="O232" s="859" t="s">
        <v>32</v>
      </c>
      <c r="P232" s="859" t="s">
        <v>32</v>
      </c>
      <c r="Q232" s="859" t="s">
        <v>32</v>
      </c>
      <c r="R232" s="859"/>
      <c r="S232" s="859"/>
      <c r="T232" s="859" t="s">
        <v>32</v>
      </c>
      <c r="U232" s="859" t="s">
        <v>32</v>
      </c>
      <c r="V232" s="859" t="s">
        <v>32</v>
      </c>
      <c r="W232" s="859" t="s">
        <v>32</v>
      </c>
      <c r="X232" s="859" t="s">
        <v>32</v>
      </c>
      <c r="Y232" s="859"/>
      <c r="Z232" s="859"/>
      <c r="AA232" s="554" t="s">
        <v>32</v>
      </c>
      <c r="AB232" s="554" t="s">
        <v>32</v>
      </c>
      <c r="AC232" s="554" t="s">
        <v>32</v>
      </c>
      <c r="AD232" s="554" t="s">
        <v>32</v>
      </c>
      <c r="AE232" s="554" t="s">
        <v>32</v>
      </c>
      <c r="AF232" s="554"/>
      <c r="AG232" s="1486"/>
      <c r="AH232" s="178"/>
      <c r="AI232" s="179"/>
    </row>
    <row r="233" spans="1:35" ht="22.35" customHeight="1" x14ac:dyDescent="0.2">
      <c r="A233" s="1477"/>
      <c r="B233" s="933" t="s">
        <v>310</v>
      </c>
      <c r="C233" s="644" t="s">
        <v>32</v>
      </c>
      <c r="D233" s="644"/>
      <c r="E233" s="644"/>
      <c r="F233" s="644" t="s">
        <v>32</v>
      </c>
      <c r="G233" s="644" t="s">
        <v>32</v>
      </c>
      <c r="H233" s="644" t="s">
        <v>32</v>
      </c>
      <c r="I233" s="644" t="s">
        <v>32</v>
      </c>
      <c r="J233" s="644" t="s">
        <v>32</v>
      </c>
      <c r="K233" s="644"/>
      <c r="L233" s="644"/>
      <c r="M233" s="845" t="s">
        <v>32</v>
      </c>
      <c r="N233" s="845" t="s">
        <v>32</v>
      </c>
      <c r="O233" s="845" t="s">
        <v>32</v>
      </c>
      <c r="P233" s="845" t="s">
        <v>32</v>
      </c>
      <c r="Q233" s="845" t="s">
        <v>32</v>
      </c>
      <c r="R233" s="845"/>
      <c r="S233" s="845"/>
      <c r="T233" s="845" t="s">
        <v>32</v>
      </c>
      <c r="U233" s="845" t="s">
        <v>32</v>
      </c>
      <c r="V233" s="845" t="s">
        <v>32</v>
      </c>
      <c r="W233" s="845" t="s">
        <v>32</v>
      </c>
      <c r="X233" s="845" t="s">
        <v>32</v>
      </c>
      <c r="Y233" s="848"/>
      <c r="Z233" s="644"/>
      <c r="AA233" s="644" t="s">
        <v>32</v>
      </c>
      <c r="AB233" s="644" t="s">
        <v>32</v>
      </c>
      <c r="AC233" s="848" t="s">
        <v>32</v>
      </c>
      <c r="AD233" s="848" t="s">
        <v>32</v>
      </c>
      <c r="AE233" s="848" t="s">
        <v>32</v>
      </c>
      <c r="AF233" s="848"/>
      <c r="AG233" s="1487"/>
      <c r="AH233" s="175"/>
      <c r="AI233" s="107"/>
    </row>
    <row r="234" spans="1:35" ht="22.35" customHeight="1" x14ac:dyDescent="0.2">
      <c r="A234" s="1477"/>
      <c r="B234" s="933" t="s">
        <v>311</v>
      </c>
      <c r="C234" s="964" t="s">
        <v>51</v>
      </c>
      <c r="D234" s="644"/>
      <c r="E234" s="644"/>
      <c r="F234" s="644" t="s">
        <v>32</v>
      </c>
      <c r="G234" s="644" t="s">
        <v>32</v>
      </c>
      <c r="H234" s="644" t="s">
        <v>32</v>
      </c>
      <c r="I234" s="644" t="s">
        <v>32</v>
      </c>
      <c r="J234" s="644" t="s">
        <v>32</v>
      </c>
      <c r="K234" s="644"/>
      <c r="L234" s="644"/>
      <c r="M234" s="859" t="s">
        <v>32</v>
      </c>
      <c r="N234" s="859" t="s">
        <v>32</v>
      </c>
      <c r="O234" s="859" t="s">
        <v>32</v>
      </c>
      <c r="P234" s="859" t="s">
        <v>32</v>
      </c>
      <c r="Q234" s="859" t="s">
        <v>32</v>
      </c>
      <c r="R234" s="859"/>
      <c r="S234" s="859"/>
      <c r="T234" s="859" t="s">
        <v>32</v>
      </c>
      <c r="U234" s="859" t="s">
        <v>32</v>
      </c>
      <c r="V234" s="859" t="s">
        <v>32</v>
      </c>
      <c r="W234" s="859" t="s">
        <v>32</v>
      </c>
      <c r="X234" s="859" t="s">
        <v>32</v>
      </c>
      <c r="Y234" s="859"/>
      <c r="Z234" s="859"/>
      <c r="AA234" s="859" t="s">
        <v>32</v>
      </c>
      <c r="AB234" s="859" t="s">
        <v>32</v>
      </c>
      <c r="AC234" s="859" t="s">
        <v>32</v>
      </c>
      <c r="AD234" s="859" t="s">
        <v>32</v>
      </c>
      <c r="AE234" s="859" t="s">
        <v>32</v>
      </c>
      <c r="AF234" s="859"/>
      <c r="AG234" s="1479"/>
      <c r="AH234" s="175"/>
      <c r="AI234" s="107"/>
    </row>
    <row r="235" spans="1:35" ht="22.35" customHeight="1" x14ac:dyDescent="0.2">
      <c r="A235" s="845"/>
      <c r="B235" s="1488"/>
      <c r="C235" s="644"/>
      <c r="D235" s="644"/>
      <c r="E235" s="644"/>
      <c r="F235" s="644"/>
      <c r="G235" s="644"/>
      <c r="H235" s="644"/>
      <c r="I235" s="644"/>
      <c r="J235" s="644"/>
      <c r="K235" s="644"/>
      <c r="L235" s="644"/>
      <c r="M235" s="845"/>
      <c r="N235" s="845"/>
      <c r="O235" s="845"/>
      <c r="P235" s="845"/>
      <c r="Q235" s="845"/>
      <c r="R235" s="845"/>
      <c r="S235" s="845"/>
      <c r="T235" s="845"/>
      <c r="U235" s="845"/>
      <c r="V235" s="845"/>
      <c r="W235" s="845"/>
      <c r="X235" s="845"/>
      <c r="Y235" s="845"/>
      <c r="Z235" s="845"/>
      <c r="AA235" s="845"/>
      <c r="AB235" s="845"/>
      <c r="AC235" s="845"/>
      <c r="AD235" s="845"/>
      <c r="AE235" s="845"/>
      <c r="AF235" s="845"/>
      <c r="AG235" s="1482"/>
      <c r="AH235" s="175"/>
      <c r="AI235" s="107"/>
    </row>
    <row r="236" spans="1:35" ht="22.35" customHeight="1" x14ac:dyDescent="0.2">
      <c r="A236" s="845"/>
      <c r="B236" s="933"/>
      <c r="C236" s="644"/>
      <c r="D236" s="644"/>
      <c r="E236" s="644"/>
      <c r="F236" s="644"/>
      <c r="G236" s="644"/>
      <c r="H236" s="644"/>
      <c r="I236" s="644"/>
      <c r="J236" s="644"/>
      <c r="K236" s="644"/>
      <c r="L236" s="644"/>
      <c r="M236" s="644"/>
      <c r="N236" s="848"/>
      <c r="O236" s="848"/>
      <c r="P236" s="848"/>
      <c r="Q236" s="975"/>
      <c r="R236" s="848"/>
      <c r="S236" s="644"/>
      <c r="T236" s="644"/>
      <c r="U236" s="848"/>
      <c r="V236" s="848"/>
      <c r="W236" s="848"/>
      <c r="X236" s="644"/>
      <c r="Y236" s="848"/>
      <c r="Z236" s="644"/>
      <c r="AA236" s="644"/>
      <c r="AB236" s="644"/>
      <c r="AC236" s="644"/>
      <c r="AD236" s="644"/>
      <c r="AE236" s="644"/>
      <c r="AF236" s="848"/>
      <c r="AG236" s="1487"/>
      <c r="AH236" s="175"/>
      <c r="AI236" s="107"/>
    </row>
    <row r="237" spans="1:35" ht="22.35" customHeight="1" x14ac:dyDescent="0.2">
      <c r="A237" s="845"/>
      <c r="B237" s="845"/>
      <c r="C237" s="644"/>
      <c r="D237" s="644"/>
      <c r="E237" s="644"/>
      <c r="F237" s="644"/>
      <c r="G237" s="644"/>
      <c r="H237" s="644"/>
      <c r="I237" s="644"/>
      <c r="J237" s="644"/>
      <c r="K237" s="644"/>
      <c r="L237" s="644"/>
      <c r="M237" s="644"/>
      <c r="N237" s="644"/>
      <c r="O237" s="644"/>
      <c r="P237" s="644"/>
      <c r="Q237" s="644"/>
      <c r="R237" s="644"/>
      <c r="S237" s="644"/>
      <c r="T237" s="644"/>
      <c r="U237" s="644"/>
      <c r="V237" s="644"/>
      <c r="W237" s="644"/>
      <c r="X237" s="644"/>
      <c r="Y237" s="644"/>
      <c r="Z237" s="644"/>
      <c r="AA237" s="644"/>
      <c r="AB237" s="644"/>
      <c r="AC237" s="644"/>
      <c r="AD237" s="644"/>
      <c r="AE237" s="644"/>
      <c r="AF237" s="644"/>
      <c r="AG237" s="1476"/>
      <c r="AH237" s="175"/>
      <c r="AI237" s="107"/>
    </row>
    <row r="238" spans="1:35" ht="22.35" customHeight="1" x14ac:dyDescent="0.2">
      <c r="A238" s="845"/>
      <c r="B238" s="845"/>
      <c r="C238" s="644"/>
      <c r="D238" s="644"/>
      <c r="E238" s="644"/>
      <c r="F238" s="644"/>
      <c r="G238" s="644"/>
      <c r="H238" s="1489"/>
      <c r="I238" s="644"/>
      <c r="J238" s="644"/>
      <c r="K238" s="644"/>
      <c r="L238" s="644"/>
      <c r="M238" s="644"/>
      <c r="N238" s="644"/>
      <c r="O238" s="644"/>
      <c r="P238" s="644"/>
      <c r="Q238" s="644"/>
      <c r="R238" s="644"/>
      <c r="S238" s="644"/>
      <c r="T238" s="644"/>
      <c r="U238" s="644"/>
      <c r="V238" s="644"/>
      <c r="W238" s="644"/>
      <c r="X238" s="644"/>
      <c r="Y238" s="644"/>
      <c r="Z238" s="644"/>
      <c r="AA238" s="644"/>
      <c r="AB238" s="644"/>
      <c r="AC238" s="644"/>
      <c r="AD238" s="644"/>
      <c r="AE238" s="644"/>
      <c r="AF238" s="644"/>
      <c r="AG238" s="1490"/>
      <c r="AH238" s="175"/>
      <c r="AI238" s="107"/>
    </row>
    <row r="239" spans="1:35" ht="22.35" customHeight="1" x14ac:dyDescent="0.2">
      <c r="A239" s="1477"/>
      <c r="B239" s="1491"/>
      <c r="C239" s="644"/>
      <c r="D239" s="644"/>
      <c r="E239" s="644"/>
      <c r="F239" s="644"/>
      <c r="G239" s="644"/>
      <c r="H239" s="644"/>
      <c r="I239" s="644"/>
      <c r="J239" s="644"/>
      <c r="K239" s="644"/>
      <c r="L239" s="644"/>
      <c r="M239" s="644"/>
      <c r="N239" s="644"/>
      <c r="O239" s="644"/>
      <c r="P239" s="644"/>
      <c r="Q239" s="644"/>
      <c r="R239" s="644"/>
      <c r="S239" s="644"/>
      <c r="T239" s="644"/>
      <c r="U239" s="644"/>
      <c r="V239" s="644"/>
      <c r="W239" s="644"/>
      <c r="X239" s="644"/>
      <c r="Y239" s="644"/>
      <c r="Z239" s="644"/>
      <c r="AA239" s="644"/>
      <c r="AB239" s="644"/>
      <c r="AC239" s="644"/>
      <c r="AD239" s="644"/>
      <c r="AE239" s="644"/>
      <c r="AF239" s="644"/>
      <c r="AG239" s="1490"/>
      <c r="AH239" s="175"/>
      <c r="AI239" s="107"/>
    </row>
    <row r="240" spans="1:35" ht="22.35" customHeight="1" x14ac:dyDescent="0.2">
      <c r="A240" s="1477"/>
      <c r="B240" s="1492"/>
      <c r="C240" s="644"/>
      <c r="D240" s="644"/>
      <c r="E240" s="644"/>
      <c r="F240" s="644"/>
      <c r="G240" s="644"/>
      <c r="H240" s="644"/>
      <c r="I240" s="644"/>
      <c r="J240" s="644"/>
      <c r="K240" s="644"/>
      <c r="L240" s="644"/>
      <c r="M240" s="644"/>
      <c r="N240" s="644"/>
      <c r="O240" s="644"/>
      <c r="P240" s="644"/>
      <c r="Q240" s="644"/>
      <c r="R240" s="644"/>
      <c r="S240" s="644"/>
      <c r="T240" s="644"/>
      <c r="U240" s="644"/>
      <c r="V240" s="644"/>
      <c r="W240" s="644"/>
      <c r="X240" s="644"/>
      <c r="Y240" s="644"/>
      <c r="Z240" s="644"/>
      <c r="AA240" s="644"/>
      <c r="AB240" s="644"/>
      <c r="AC240" s="644"/>
      <c r="AD240" s="644"/>
      <c r="AE240" s="644"/>
      <c r="AF240" s="644"/>
      <c r="AG240" s="1490"/>
      <c r="AH240" s="175"/>
      <c r="AI240" s="107"/>
    </row>
    <row r="241" spans="1:35" ht="22.35" customHeight="1" x14ac:dyDescent="0.2">
      <c r="A241" s="108"/>
      <c r="B241" s="121"/>
      <c r="C241" s="106"/>
      <c r="D241" s="106"/>
      <c r="E241" s="106"/>
      <c r="F241" s="106"/>
      <c r="G241" s="106"/>
      <c r="H241" s="106"/>
      <c r="I241" s="106"/>
      <c r="J241" s="106"/>
      <c r="L241" s="106"/>
      <c r="M241" s="106"/>
      <c r="N241" s="106"/>
      <c r="O241" s="106"/>
      <c r="P241" s="72"/>
      <c r="Q241" s="72"/>
      <c r="R241" s="72"/>
      <c r="S241" s="106"/>
      <c r="T241" s="106"/>
      <c r="U241" s="106"/>
      <c r="V241" s="106"/>
      <c r="W241" s="106"/>
      <c r="X241" s="106"/>
      <c r="Y241" s="106"/>
      <c r="Z241" s="106"/>
      <c r="AA241" s="106"/>
      <c r="AB241" s="106"/>
      <c r="AC241" s="106"/>
      <c r="AD241" s="106"/>
      <c r="AE241" s="106"/>
      <c r="AF241" s="106"/>
      <c r="AG241" s="106"/>
      <c r="AH241" s="107"/>
      <c r="AI241" s="107"/>
    </row>
    <row r="245" spans="1:35" ht="21" customHeight="1" thickBot="1" x14ac:dyDescent="0.25">
      <c r="A245" s="158" t="s">
        <v>312</v>
      </c>
    </row>
    <row r="246" spans="1:35" ht="21" customHeight="1" x14ac:dyDescent="0.2">
      <c r="B246" s="1493" t="s">
        <v>281</v>
      </c>
      <c r="C246" s="1392"/>
      <c r="D246" s="1417" t="s">
        <v>107</v>
      </c>
      <c r="E246" s="1323"/>
      <c r="F246" s="1385"/>
      <c r="G246" s="1392"/>
      <c r="H246" s="1417" t="s">
        <v>108</v>
      </c>
      <c r="I246" s="1323"/>
      <c r="J246" s="1385"/>
      <c r="K246" s="1392"/>
      <c r="L246" s="1417" t="s">
        <v>109</v>
      </c>
      <c r="M246" s="1323"/>
      <c r="N246" s="1385"/>
      <c r="O246" s="1392"/>
      <c r="P246" s="1417" t="s">
        <v>110</v>
      </c>
      <c r="Q246" s="1323"/>
      <c r="R246" s="1385"/>
      <c r="S246" s="1392"/>
      <c r="T246" s="1417" t="s">
        <v>111</v>
      </c>
      <c r="U246" s="1323"/>
      <c r="V246" s="1385"/>
      <c r="W246" s="1392"/>
      <c r="X246" s="1417" t="s">
        <v>112</v>
      </c>
      <c r="Y246" s="1323"/>
      <c r="Z246" s="1385"/>
      <c r="AA246" s="1392"/>
      <c r="AB246" s="1417" t="s">
        <v>113</v>
      </c>
      <c r="AC246" s="1323"/>
      <c r="AD246" s="1323"/>
      <c r="AE246" s="1420" t="s">
        <v>114</v>
      </c>
      <c r="AF246" s="1323"/>
      <c r="AG246" s="1323"/>
      <c r="AH246" s="1323"/>
      <c r="AI246" s="1324"/>
    </row>
    <row r="247" spans="1:35" ht="21" customHeight="1" x14ac:dyDescent="0.2">
      <c r="B247" s="3"/>
      <c r="C247" s="287" t="s">
        <v>313</v>
      </c>
      <c r="D247" s="116"/>
      <c r="E247" s="283"/>
      <c r="F247" s="284"/>
      <c r="G247" s="287" t="s">
        <v>313</v>
      </c>
      <c r="H247" s="116"/>
      <c r="I247" s="283"/>
      <c r="J247" s="284"/>
      <c r="K247" s="287" t="s">
        <v>313</v>
      </c>
      <c r="L247" s="116"/>
      <c r="M247" s="283"/>
      <c r="N247" s="284"/>
      <c r="O247" s="287" t="s">
        <v>313</v>
      </c>
      <c r="P247" s="282"/>
      <c r="Q247" s="283"/>
      <c r="R247" s="284"/>
      <c r="S247" s="288" t="s">
        <v>314</v>
      </c>
      <c r="T247" s="116"/>
      <c r="U247" s="283"/>
      <c r="V247" s="284"/>
      <c r="W247" s="154"/>
      <c r="X247" s="116"/>
      <c r="Y247" s="162"/>
      <c r="Z247" s="164"/>
      <c r="AA247" s="154"/>
      <c r="AB247" s="116"/>
      <c r="AC247" s="162"/>
      <c r="AD247" s="162"/>
      <c r="AE247" s="117"/>
      <c r="AF247" s="162"/>
      <c r="AG247" s="14"/>
      <c r="AH247" s="14"/>
      <c r="AI247" s="118"/>
    </row>
    <row r="248" spans="1:35" ht="21" customHeight="1" x14ac:dyDescent="0.2">
      <c r="A248" s="110"/>
      <c r="B248" s="1494"/>
      <c r="C248" s="1095" t="s">
        <v>189</v>
      </c>
      <c r="D248" s="1495"/>
      <c r="E248" s="283"/>
      <c r="F248" s="284"/>
      <c r="G248" s="1095" t="s">
        <v>189</v>
      </c>
      <c r="H248" s="116"/>
      <c r="I248" s="283"/>
      <c r="J248" s="284"/>
      <c r="K248" s="1095" t="s">
        <v>189</v>
      </c>
      <c r="L248" s="116"/>
      <c r="M248" s="283"/>
      <c r="N248" s="284"/>
      <c r="O248" s="1095" t="s">
        <v>189</v>
      </c>
      <c r="P248" s="116"/>
      <c r="Q248" s="283"/>
      <c r="R248" s="284"/>
      <c r="S248" s="287" t="s">
        <v>315</v>
      </c>
      <c r="T248" s="116"/>
      <c r="U248" s="283"/>
      <c r="V248" s="284"/>
      <c r="W248" s="154"/>
      <c r="X248" s="116"/>
      <c r="Y248" s="162"/>
      <c r="Z248" s="164"/>
      <c r="AA248" s="154"/>
      <c r="AB248" s="116"/>
      <c r="AC248" s="162"/>
      <c r="AD248" s="162"/>
      <c r="AE248" s="117"/>
      <c r="AF248" s="162"/>
      <c r="AG248" s="14"/>
      <c r="AH248" s="14"/>
      <c r="AI248" s="118"/>
    </row>
    <row r="249" spans="1:35" ht="21" customHeight="1" x14ac:dyDescent="0.2">
      <c r="B249" s="1494"/>
      <c r="C249" s="1095" t="s">
        <v>192</v>
      </c>
      <c r="D249" s="1495"/>
      <c r="E249" s="283"/>
      <c r="F249" s="284"/>
      <c r="G249" s="1095" t="s">
        <v>192</v>
      </c>
      <c r="H249" s="116"/>
      <c r="I249" s="283"/>
      <c r="J249" s="284"/>
      <c r="K249" s="1095" t="s">
        <v>192</v>
      </c>
      <c r="L249" s="116"/>
      <c r="M249" s="283"/>
      <c r="N249" s="284"/>
      <c r="O249" s="1095" t="s">
        <v>192</v>
      </c>
      <c r="P249" s="116"/>
      <c r="Q249" s="283"/>
      <c r="R249" s="284"/>
      <c r="S249" s="1095" t="s">
        <v>187</v>
      </c>
      <c r="T249" s="116"/>
      <c r="U249" s="283"/>
      <c r="V249" s="284"/>
      <c r="W249" s="154"/>
      <c r="X249" s="116"/>
      <c r="Y249" s="162"/>
      <c r="Z249" s="164"/>
      <c r="AA249" s="154"/>
      <c r="AB249" s="116"/>
      <c r="AC249" s="162"/>
      <c r="AD249" s="162"/>
      <c r="AE249" s="117"/>
      <c r="AF249" s="162"/>
      <c r="AG249" s="14"/>
      <c r="AH249" s="14"/>
      <c r="AI249" s="118"/>
    </row>
    <row r="250" spans="1:35" ht="21" customHeight="1" x14ac:dyDescent="0.2">
      <c r="B250" s="1494"/>
      <c r="C250" s="735"/>
      <c r="D250" s="945"/>
      <c r="E250" s="162"/>
      <c r="F250" s="164"/>
      <c r="G250" s="735"/>
      <c r="H250" s="945"/>
      <c r="I250" s="162"/>
      <c r="J250" s="164"/>
      <c r="K250" s="735"/>
      <c r="L250" s="945"/>
      <c r="M250" s="162"/>
      <c r="N250" s="164"/>
      <c r="O250" s="735"/>
      <c r="P250" s="945"/>
      <c r="Q250" s="162"/>
      <c r="R250" s="164"/>
      <c r="S250" s="735"/>
      <c r="T250" s="945"/>
      <c r="U250" s="162"/>
      <c r="V250" s="164"/>
      <c r="W250" s="154"/>
      <c r="X250" s="116"/>
      <c r="Y250" s="162"/>
      <c r="Z250" s="164"/>
      <c r="AA250" s="154"/>
      <c r="AB250" s="116"/>
      <c r="AC250" s="162"/>
      <c r="AD250" s="162"/>
      <c r="AE250" s="117"/>
      <c r="AF250" s="162"/>
      <c r="AG250" s="14"/>
      <c r="AH250" s="14"/>
      <c r="AI250" s="118"/>
    </row>
    <row r="251" spans="1:35" ht="21" customHeight="1" x14ac:dyDescent="0.2">
      <c r="B251" s="1494"/>
      <c r="C251" s="1046"/>
      <c r="D251" s="945"/>
      <c r="E251" s="162"/>
      <c r="F251" s="164"/>
      <c r="G251" s="116"/>
      <c r="H251" s="116"/>
      <c r="I251" s="162"/>
      <c r="J251" s="164"/>
      <c r="K251" s="116"/>
      <c r="L251" s="116"/>
      <c r="M251" s="162"/>
      <c r="N251" s="164"/>
      <c r="O251" s="116"/>
      <c r="P251" s="116"/>
      <c r="Q251" s="162"/>
      <c r="R251" s="164"/>
      <c r="S251" s="116"/>
      <c r="T251" s="116"/>
      <c r="U251" s="162"/>
      <c r="V251" s="164"/>
      <c r="W251" s="154"/>
      <c r="X251" s="116"/>
      <c r="Y251" s="162"/>
      <c r="Z251" s="164"/>
      <c r="AA251" s="154"/>
      <c r="AB251" s="116"/>
      <c r="AC251" s="162"/>
      <c r="AD251" s="162"/>
      <c r="AE251" s="117"/>
      <c r="AF251" s="162"/>
      <c r="AG251" s="14"/>
      <c r="AH251" s="14"/>
      <c r="AI251" s="118"/>
    </row>
    <row r="252" spans="1:35" ht="21" customHeight="1" x14ac:dyDescent="0.2">
      <c r="B252" s="1494" t="s">
        <v>159</v>
      </c>
      <c r="C252" s="1046" t="s">
        <v>316</v>
      </c>
      <c r="D252" s="1495"/>
      <c r="E252" s="283"/>
      <c r="F252" s="284"/>
      <c r="G252" s="1046" t="s">
        <v>316</v>
      </c>
      <c r="H252" s="1495"/>
      <c r="I252" s="283"/>
      <c r="J252" s="284"/>
      <c r="K252" s="1046" t="s">
        <v>316</v>
      </c>
      <c r="L252" s="1495"/>
      <c r="M252" s="283"/>
      <c r="N252" s="284"/>
      <c r="O252" s="1046" t="s">
        <v>316</v>
      </c>
      <c r="P252" s="1495"/>
      <c r="Q252" s="283"/>
      <c r="R252" s="284"/>
      <c r="S252" s="116" t="s">
        <v>317</v>
      </c>
      <c r="T252" s="116"/>
      <c r="U252" s="283"/>
      <c r="V252" s="284"/>
      <c r="W252" s="154"/>
      <c r="X252" s="116"/>
      <c r="Y252" s="162"/>
      <c r="Z252" s="164"/>
      <c r="AA252" s="154"/>
      <c r="AB252" s="116"/>
      <c r="AC252" s="162"/>
      <c r="AD252" s="162"/>
      <c r="AE252" s="117"/>
      <c r="AF252" s="162"/>
      <c r="AG252" s="14"/>
      <c r="AH252" s="14"/>
      <c r="AI252" s="118"/>
    </row>
    <row r="253" spans="1:35" ht="21" customHeight="1" x14ac:dyDescent="0.2">
      <c r="B253" s="1494" t="s">
        <v>163</v>
      </c>
      <c r="C253" s="1046" t="s">
        <v>318</v>
      </c>
      <c r="D253" s="1495"/>
      <c r="E253" s="283"/>
      <c r="F253" s="284"/>
      <c r="G253" s="1046" t="s">
        <v>318</v>
      </c>
      <c r="H253" s="1495"/>
      <c r="I253" s="283"/>
      <c r="J253" s="284"/>
      <c r="K253" s="1046" t="s">
        <v>318</v>
      </c>
      <c r="L253" s="1495"/>
      <c r="M253" s="283"/>
      <c r="N253" s="284"/>
      <c r="O253" s="1046" t="s">
        <v>318</v>
      </c>
      <c r="P253" s="1495"/>
      <c r="Q253" s="283"/>
      <c r="R253" s="284"/>
      <c r="S253" s="116" t="s">
        <v>319</v>
      </c>
      <c r="T253" s="116"/>
      <c r="U253" s="283"/>
      <c r="V253" s="284"/>
      <c r="W253" s="154"/>
      <c r="X253" s="116"/>
      <c r="Y253" s="162"/>
      <c r="Z253" s="164"/>
      <c r="AA253" s="154"/>
      <c r="AB253" s="116"/>
      <c r="AC253" s="162"/>
      <c r="AD253" s="162"/>
      <c r="AE253" s="117"/>
      <c r="AF253" s="162"/>
      <c r="AG253" s="14"/>
      <c r="AH253" s="14"/>
      <c r="AI253" s="118"/>
    </row>
    <row r="254" spans="1:35" ht="21" customHeight="1" thickBot="1" x14ac:dyDescent="0.25">
      <c r="B254" s="1496" t="s">
        <v>170</v>
      </c>
      <c r="C254" s="1057" t="s">
        <v>320</v>
      </c>
      <c r="D254" s="1497"/>
      <c r="E254" s="285"/>
      <c r="F254" s="286"/>
      <c r="G254" s="1057" t="s">
        <v>320</v>
      </c>
      <c r="H254" s="1497"/>
      <c r="I254" s="285"/>
      <c r="J254" s="286"/>
      <c r="K254" s="1057" t="s">
        <v>320</v>
      </c>
      <c r="L254" s="1497"/>
      <c r="M254" s="285"/>
      <c r="N254" s="286"/>
      <c r="O254" s="1057" t="s">
        <v>320</v>
      </c>
      <c r="P254" s="1497"/>
      <c r="Q254" s="285"/>
      <c r="R254" s="286"/>
      <c r="S254" s="225" t="s">
        <v>321</v>
      </c>
      <c r="T254" s="225"/>
      <c r="U254" s="285"/>
      <c r="V254" s="286"/>
      <c r="W254" s="277"/>
      <c r="X254" s="225"/>
      <c r="Y254" s="278"/>
      <c r="Z254" s="279"/>
      <c r="AA254" s="280"/>
      <c r="AB254" s="225"/>
      <c r="AC254" s="278"/>
      <c r="AD254" s="278"/>
      <c r="AE254" s="281"/>
      <c r="AF254" s="278"/>
      <c r="AG254" s="276"/>
      <c r="AH254" s="276"/>
      <c r="AI254" s="222"/>
    </row>
    <row r="255" spans="1:35" ht="21" customHeight="1" x14ac:dyDescent="0.2">
      <c r="B255" s="59"/>
      <c r="C255" s="64"/>
      <c r="D255" s="18"/>
      <c r="G255" s="64"/>
      <c r="H255" s="18"/>
      <c r="K255" s="64"/>
      <c r="L255" s="18"/>
      <c r="O255" s="64"/>
      <c r="P255" s="18"/>
      <c r="S255" s="64"/>
      <c r="T255" s="64"/>
      <c r="X255" s="64"/>
      <c r="AB255" s="64"/>
      <c r="AE255" s="64"/>
    </row>
    <row r="256" spans="1:35" ht="21" customHeight="1" x14ac:dyDescent="0.2">
      <c r="A256" s="122" t="s">
        <v>322</v>
      </c>
    </row>
    <row r="257" spans="1:35" ht="21" customHeight="1" thickBot="1" x14ac:dyDescent="0.25">
      <c r="A257" s="981"/>
      <c r="B257" s="1353" t="s">
        <v>29</v>
      </c>
      <c r="C257" s="796">
        <v>1</v>
      </c>
      <c r="D257" s="795">
        <v>2</v>
      </c>
      <c r="E257" s="795">
        <v>3</v>
      </c>
      <c r="F257" s="796">
        <v>4</v>
      </c>
      <c r="G257" s="796">
        <v>5</v>
      </c>
      <c r="H257" s="796">
        <v>6</v>
      </c>
      <c r="I257" s="796">
        <v>7</v>
      </c>
      <c r="J257" s="796">
        <v>8</v>
      </c>
      <c r="K257" s="795">
        <v>9</v>
      </c>
      <c r="L257" s="795">
        <v>10</v>
      </c>
      <c r="M257" s="796">
        <v>11</v>
      </c>
      <c r="N257" s="796">
        <v>12</v>
      </c>
      <c r="O257" s="796">
        <v>13</v>
      </c>
      <c r="P257" s="796">
        <v>14</v>
      </c>
      <c r="Q257" s="796">
        <v>15</v>
      </c>
      <c r="R257" s="795">
        <v>16</v>
      </c>
      <c r="S257" s="795">
        <v>17</v>
      </c>
      <c r="T257" s="796">
        <v>18</v>
      </c>
      <c r="U257" s="796">
        <v>19</v>
      </c>
      <c r="V257" s="796">
        <v>20</v>
      </c>
      <c r="W257" s="796">
        <v>21</v>
      </c>
      <c r="X257" s="796">
        <v>22</v>
      </c>
      <c r="Y257" s="795">
        <v>23</v>
      </c>
      <c r="Z257" s="795">
        <v>24</v>
      </c>
      <c r="AA257" s="796">
        <v>25</v>
      </c>
      <c r="AB257" s="796">
        <v>26</v>
      </c>
      <c r="AC257" s="796">
        <v>27</v>
      </c>
      <c r="AD257" s="796">
        <v>28</v>
      </c>
      <c r="AE257" s="796">
        <v>29</v>
      </c>
      <c r="AF257" s="795">
        <v>30</v>
      </c>
      <c r="AG257" s="1300">
        <v>31</v>
      </c>
      <c r="AH257" s="173"/>
      <c r="AI257" s="174"/>
    </row>
    <row r="258" spans="1:35" ht="21" customHeight="1" x14ac:dyDescent="0.2">
      <c r="A258" s="1498">
        <v>3702</v>
      </c>
      <c r="B258" s="172"/>
      <c r="C258" s="644" t="s">
        <v>32</v>
      </c>
      <c r="D258" s="644"/>
      <c r="E258" s="644"/>
      <c r="F258" s="644" t="s">
        <v>32</v>
      </c>
      <c r="G258" s="644" t="s">
        <v>32</v>
      </c>
      <c r="H258" s="644" t="s">
        <v>32</v>
      </c>
      <c r="I258" s="644" t="s">
        <v>32</v>
      </c>
      <c r="J258" s="644" t="s">
        <v>32</v>
      </c>
      <c r="K258" s="644"/>
      <c r="L258" s="644"/>
      <c r="M258" s="644" t="s">
        <v>32</v>
      </c>
      <c r="N258" s="848" t="s">
        <v>32</v>
      </c>
      <c r="O258" s="848" t="s">
        <v>32</v>
      </c>
      <c r="P258" s="848" t="s">
        <v>32</v>
      </c>
      <c r="Q258" s="975" t="s">
        <v>32</v>
      </c>
      <c r="R258" s="848"/>
      <c r="S258" s="644"/>
      <c r="T258" s="644" t="s">
        <v>32</v>
      </c>
      <c r="U258" s="848" t="s">
        <v>32</v>
      </c>
      <c r="V258" s="848" t="s">
        <v>32</v>
      </c>
      <c r="W258" s="848" t="s">
        <v>32</v>
      </c>
      <c r="X258" s="644" t="s">
        <v>32</v>
      </c>
      <c r="Y258" s="848"/>
      <c r="Z258" s="848"/>
      <c r="AA258" s="644" t="s">
        <v>32</v>
      </c>
      <c r="AB258" s="644" t="s">
        <v>32</v>
      </c>
      <c r="AC258" s="644" t="s">
        <v>32</v>
      </c>
      <c r="AD258" s="644" t="s">
        <v>32</v>
      </c>
      <c r="AE258" s="644" t="s">
        <v>32</v>
      </c>
      <c r="AF258" s="644"/>
      <c r="AG258" s="644"/>
      <c r="AH258" s="178"/>
      <c r="AI258" s="179"/>
    </row>
    <row r="259" spans="1:35" ht="21" customHeight="1" x14ac:dyDescent="0.2">
      <c r="A259" s="808"/>
      <c r="B259" s="1011" t="s">
        <v>323</v>
      </c>
      <c r="C259" s="859" t="s">
        <v>32</v>
      </c>
      <c r="D259" s="644"/>
      <c r="E259" s="644"/>
      <c r="F259" s="644" t="s">
        <v>32</v>
      </c>
      <c r="G259" s="644" t="s">
        <v>32</v>
      </c>
      <c r="H259" s="644" t="s">
        <v>32</v>
      </c>
      <c r="I259" s="644" t="s">
        <v>32</v>
      </c>
      <c r="J259" s="644" t="s">
        <v>32</v>
      </c>
      <c r="K259" s="644"/>
      <c r="L259" s="644"/>
      <c r="M259" s="644" t="s">
        <v>32</v>
      </c>
      <c r="N259" s="848" t="s">
        <v>32</v>
      </c>
      <c r="O259" s="848" t="s">
        <v>32</v>
      </c>
      <c r="P259" s="848" t="s">
        <v>32</v>
      </c>
      <c r="Q259" s="975" t="s">
        <v>32</v>
      </c>
      <c r="R259" s="848"/>
      <c r="S259" s="644"/>
      <c r="T259" s="644" t="s">
        <v>32</v>
      </c>
      <c r="U259" s="848" t="s">
        <v>32</v>
      </c>
      <c r="V259" s="848" t="s">
        <v>32</v>
      </c>
      <c r="W259" s="848" t="s">
        <v>32</v>
      </c>
      <c r="X259" s="644" t="s">
        <v>32</v>
      </c>
      <c r="Y259" s="848"/>
      <c r="Z259" s="848"/>
      <c r="AA259" s="644" t="s">
        <v>32</v>
      </c>
      <c r="AB259" s="644" t="s">
        <v>32</v>
      </c>
      <c r="AC259" s="644" t="s">
        <v>32</v>
      </c>
      <c r="AD259" s="644" t="s">
        <v>32</v>
      </c>
      <c r="AE259" s="644" t="s">
        <v>32</v>
      </c>
      <c r="AF259" s="644"/>
      <c r="AG259" s="644"/>
      <c r="AH259" s="178"/>
      <c r="AI259" s="179"/>
    </row>
    <row r="260" spans="1:35" ht="21" customHeight="1" x14ac:dyDescent="0.2">
      <c r="A260" s="1499"/>
      <c r="B260" s="1011"/>
      <c r="C260" s="644" t="s">
        <v>32</v>
      </c>
      <c r="D260" s="644"/>
      <c r="E260" s="644"/>
      <c r="F260" s="644" t="s">
        <v>32</v>
      </c>
      <c r="G260" s="644" t="s">
        <v>32</v>
      </c>
      <c r="H260" s="644" t="s">
        <v>32</v>
      </c>
      <c r="I260" s="644" t="s">
        <v>32</v>
      </c>
      <c r="J260" s="644" t="s">
        <v>32</v>
      </c>
      <c r="K260" s="644"/>
      <c r="L260" s="644"/>
      <c r="M260" s="644" t="s">
        <v>32</v>
      </c>
      <c r="N260" s="848" t="s">
        <v>32</v>
      </c>
      <c r="O260" s="848" t="s">
        <v>32</v>
      </c>
      <c r="P260" s="848" t="s">
        <v>32</v>
      </c>
      <c r="Q260" s="975" t="s">
        <v>32</v>
      </c>
      <c r="R260" s="848"/>
      <c r="S260" s="644"/>
      <c r="T260" s="644" t="s">
        <v>32</v>
      </c>
      <c r="U260" s="848" t="s">
        <v>32</v>
      </c>
      <c r="V260" s="848" t="s">
        <v>32</v>
      </c>
      <c r="W260" s="848" t="s">
        <v>32</v>
      </c>
      <c r="X260" s="644" t="s">
        <v>32</v>
      </c>
      <c r="Y260" s="848"/>
      <c r="Z260" s="848"/>
      <c r="AA260" s="644" t="s">
        <v>32</v>
      </c>
      <c r="AB260" s="644" t="s">
        <v>32</v>
      </c>
      <c r="AC260" s="644" t="s">
        <v>32</v>
      </c>
      <c r="AD260" s="644" t="s">
        <v>32</v>
      </c>
      <c r="AE260" s="644" t="s">
        <v>32</v>
      </c>
      <c r="AF260" s="644"/>
      <c r="AG260" s="644"/>
      <c r="AH260" s="178"/>
      <c r="AI260" s="179"/>
    </row>
    <row r="261" spans="1:35" ht="21" customHeight="1" thickBot="1" x14ac:dyDescent="0.25">
      <c r="A261" s="1500"/>
      <c r="B261" s="1501"/>
      <c r="C261" s="796"/>
      <c r="D261" s="796"/>
      <c r="E261" s="796"/>
      <c r="F261" s="796"/>
      <c r="G261" s="796"/>
      <c r="H261" s="796"/>
      <c r="I261" s="796"/>
      <c r="J261" s="796"/>
      <c r="K261" s="796"/>
      <c r="L261" s="796"/>
      <c r="M261" s="796"/>
      <c r="N261" s="796"/>
      <c r="O261" s="796"/>
      <c r="P261" s="796"/>
      <c r="Q261" s="796"/>
      <c r="R261" s="796"/>
      <c r="S261" s="796"/>
      <c r="T261" s="796"/>
      <c r="U261" s="796"/>
      <c r="V261" s="796"/>
      <c r="W261" s="796"/>
      <c r="X261" s="796"/>
      <c r="Y261" s="796"/>
      <c r="Z261" s="796"/>
      <c r="AA261" s="796"/>
      <c r="AB261" s="796"/>
      <c r="AC261" s="796"/>
      <c r="AD261" s="796"/>
      <c r="AE261" s="796"/>
      <c r="AF261" s="796"/>
      <c r="AG261" s="797"/>
      <c r="AH261" s="178"/>
      <c r="AI261" s="179"/>
    </row>
    <row r="262" spans="1:35" ht="21" customHeight="1" x14ac:dyDescent="0.2">
      <c r="A262" s="214"/>
      <c r="B262" s="667" t="s">
        <v>324</v>
      </c>
      <c r="C262" s="668"/>
      <c r="D262" s="668"/>
      <c r="E262" s="668"/>
      <c r="F262" s="668"/>
      <c r="G262" s="668"/>
      <c r="H262" s="668"/>
      <c r="I262" s="668"/>
      <c r="J262" s="668"/>
      <c r="K262" s="668"/>
      <c r="L262" s="668"/>
      <c r="M262" s="668"/>
      <c r="N262" s="668"/>
      <c r="O262" s="668"/>
      <c r="P262" s="668"/>
      <c r="Q262" s="668"/>
      <c r="R262" s="668"/>
      <c r="S262" s="668"/>
      <c r="T262" s="668"/>
      <c r="U262" s="668"/>
      <c r="V262" s="668"/>
      <c r="W262" s="668"/>
      <c r="X262" s="668"/>
      <c r="Y262" s="668"/>
      <c r="Z262" s="668"/>
      <c r="AA262" s="668"/>
      <c r="AB262" s="668"/>
      <c r="AC262" s="668"/>
      <c r="AD262" s="668"/>
      <c r="AE262" s="668"/>
      <c r="AF262" s="668"/>
      <c r="AG262" s="669"/>
      <c r="AH262" s="176"/>
      <c r="AI262" s="177"/>
    </row>
    <row r="263" spans="1:35" ht="21" customHeight="1" x14ac:dyDescent="0.2">
      <c r="A263" s="1498">
        <v>3702</v>
      </c>
      <c r="B263" s="1502" t="s">
        <v>325</v>
      </c>
      <c r="C263" s="1503" t="s">
        <v>326</v>
      </c>
      <c r="D263" s="1504"/>
      <c r="E263" s="1504"/>
      <c r="F263" s="1504" t="s">
        <v>326</v>
      </c>
      <c r="G263" s="1504" t="s">
        <v>326</v>
      </c>
      <c r="H263" s="1504" t="s">
        <v>326</v>
      </c>
      <c r="I263" s="1504" t="s">
        <v>326</v>
      </c>
      <c r="J263" s="868" t="s">
        <v>326</v>
      </c>
      <c r="K263" s="868"/>
      <c r="L263" s="868"/>
      <c r="M263" s="868" t="s">
        <v>326</v>
      </c>
      <c r="N263" s="868" t="s">
        <v>326</v>
      </c>
      <c r="O263" s="868" t="s">
        <v>326</v>
      </c>
      <c r="P263" s="868" t="s">
        <v>326</v>
      </c>
      <c r="Q263" s="868" t="s">
        <v>326</v>
      </c>
      <c r="R263" s="868"/>
      <c r="S263" s="828"/>
      <c r="T263" s="868" t="s">
        <v>326</v>
      </c>
      <c r="U263" s="868" t="s">
        <v>326</v>
      </c>
      <c r="V263" s="868" t="s">
        <v>326</v>
      </c>
      <c r="W263" s="868" t="s">
        <v>326</v>
      </c>
      <c r="X263" s="868" t="s">
        <v>326</v>
      </c>
      <c r="Y263" s="868"/>
      <c r="Z263" s="868"/>
      <c r="AA263" s="868" t="s">
        <v>326</v>
      </c>
      <c r="AB263" s="868" t="s">
        <v>326</v>
      </c>
      <c r="AC263" s="868" t="s">
        <v>326</v>
      </c>
      <c r="AD263" s="868" t="s">
        <v>326</v>
      </c>
      <c r="AE263" s="868" t="s">
        <v>326</v>
      </c>
      <c r="AF263" s="828"/>
      <c r="AG263" s="828"/>
      <c r="AH263" s="178"/>
      <c r="AI263" s="179"/>
    </row>
    <row r="264" spans="1:35" ht="21" customHeight="1" x14ac:dyDescent="0.2">
      <c r="A264" s="1498"/>
      <c r="B264" s="1002" t="s">
        <v>327</v>
      </c>
      <c r="C264" s="1505" t="s">
        <v>328</v>
      </c>
      <c r="D264" s="1504"/>
      <c r="E264" s="1504"/>
      <c r="F264" s="1505" t="s">
        <v>386</v>
      </c>
      <c r="G264" s="1503" t="s">
        <v>328</v>
      </c>
      <c r="H264" s="1503" t="s">
        <v>328</v>
      </c>
      <c r="I264" s="1503" t="s">
        <v>328</v>
      </c>
      <c r="J264" s="1503" t="s">
        <v>328</v>
      </c>
      <c r="K264" s="1503"/>
      <c r="L264" s="1503"/>
      <c r="M264" s="1503" t="s">
        <v>328</v>
      </c>
      <c r="N264" s="1503" t="s">
        <v>328</v>
      </c>
      <c r="O264" s="1503" t="s">
        <v>328</v>
      </c>
      <c r="P264" s="1503" t="s">
        <v>328</v>
      </c>
      <c r="Q264" s="1503" t="s">
        <v>328</v>
      </c>
      <c r="R264" s="868"/>
      <c r="S264" s="868"/>
      <c r="T264" s="868" t="s">
        <v>328</v>
      </c>
      <c r="U264" s="868" t="s">
        <v>328</v>
      </c>
      <c r="V264" s="868" t="s">
        <v>328</v>
      </c>
      <c r="W264" s="868" t="s">
        <v>328</v>
      </c>
      <c r="X264" s="868" t="s">
        <v>328</v>
      </c>
      <c r="Y264" s="828"/>
      <c r="Z264" s="868"/>
      <c r="AA264" s="868" t="s">
        <v>328</v>
      </c>
      <c r="AB264" s="868" t="s">
        <v>328</v>
      </c>
      <c r="AC264" s="828" t="s">
        <v>328</v>
      </c>
      <c r="AD264" s="828" t="s">
        <v>328</v>
      </c>
      <c r="AE264" s="828" t="s">
        <v>328</v>
      </c>
      <c r="AF264" s="815"/>
      <c r="AG264" s="815"/>
      <c r="AH264" s="178"/>
      <c r="AI264" s="179"/>
    </row>
    <row r="265" spans="1:35" ht="21" customHeight="1" thickBot="1" x14ac:dyDescent="0.25">
      <c r="A265" s="1506"/>
      <c r="B265" s="1507" t="s">
        <v>329</v>
      </c>
      <c r="C265" s="1508" t="s">
        <v>387</v>
      </c>
      <c r="D265" s="1509"/>
      <c r="E265" s="1509"/>
      <c r="F265" s="1509" t="s">
        <v>330</v>
      </c>
      <c r="G265" s="1509" t="s">
        <v>330</v>
      </c>
      <c r="H265" s="1509" t="s">
        <v>330</v>
      </c>
      <c r="I265" s="1509" t="s">
        <v>330</v>
      </c>
      <c r="J265" s="678" t="s">
        <v>330</v>
      </c>
      <c r="K265" s="678" t="s">
        <v>94</v>
      </c>
      <c r="L265" s="907"/>
      <c r="M265" s="908" t="s">
        <v>330</v>
      </c>
      <c r="N265" s="908" t="s">
        <v>330</v>
      </c>
      <c r="O265" s="907" t="s">
        <v>330</v>
      </c>
      <c r="P265" s="908" t="s">
        <v>330</v>
      </c>
      <c r="Q265" s="908" t="s">
        <v>330</v>
      </c>
      <c r="R265" s="908"/>
      <c r="S265" s="908"/>
      <c r="T265" s="911" t="s">
        <v>330</v>
      </c>
      <c r="U265" s="911" t="s">
        <v>330</v>
      </c>
      <c r="V265" s="911" t="s">
        <v>330</v>
      </c>
      <c r="W265" s="911" t="s">
        <v>330</v>
      </c>
      <c r="X265" s="911" t="s">
        <v>330</v>
      </c>
      <c r="Y265" s="911"/>
      <c r="Z265" s="911"/>
      <c r="AA265" s="911" t="s">
        <v>330</v>
      </c>
      <c r="AB265" s="911" t="s">
        <v>330</v>
      </c>
      <c r="AC265" s="911" t="s">
        <v>330</v>
      </c>
      <c r="AD265" s="911" t="s">
        <v>330</v>
      </c>
      <c r="AE265" s="911" t="s">
        <v>330</v>
      </c>
      <c r="AF265" s="911"/>
      <c r="AG265" s="911"/>
      <c r="AH265" s="178"/>
      <c r="AI265" s="179"/>
    </row>
    <row r="266" spans="1:35" ht="21" customHeight="1" x14ac:dyDescent="0.2"/>
    <row r="267" spans="1:35" ht="24" customHeight="1" x14ac:dyDescent="0.2"/>
    <row r="268" spans="1:35" ht="25.5" customHeight="1" thickBot="1" x14ac:dyDescent="0.25">
      <c r="A268" s="158" t="s">
        <v>331</v>
      </c>
    </row>
    <row r="269" spans="1:35" ht="21" customHeight="1" x14ac:dyDescent="0.2">
      <c r="A269" s="1"/>
      <c r="B269" s="1493" t="s">
        <v>281</v>
      </c>
      <c r="C269" s="1392"/>
      <c r="D269" s="1417" t="s">
        <v>107</v>
      </c>
      <c r="E269" s="1323"/>
      <c r="F269" s="1385"/>
      <c r="G269" s="1392"/>
      <c r="H269" s="1417" t="s">
        <v>108</v>
      </c>
      <c r="I269" s="1323"/>
      <c r="J269" s="1385"/>
      <c r="K269" s="1392"/>
      <c r="L269" s="1417" t="s">
        <v>109</v>
      </c>
      <c r="M269" s="1323"/>
      <c r="N269" s="1385"/>
      <c r="O269" s="1392"/>
      <c r="P269" s="1417" t="s">
        <v>110</v>
      </c>
      <c r="Q269" s="1323"/>
      <c r="R269" s="1385"/>
      <c r="S269" s="1392"/>
      <c r="T269" s="1417" t="s">
        <v>111</v>
      </c>
      <c r="U269" s="1323"/>
      <c r="V269" s="1385"/>
      <c r="W269" s="1392"/>
      <c r="X269" s="1417" t="s">
        <v>112</v>
      </c>
      <c r="Y269" s="1323"/>
      <c r="Z269" s="1385"/>
      <c r="AA269" s="1392"/>
      <c r="AB269" s="1417" t="s">
        <v>113</v>
      </c>
      <c r="AC269" s="1323"/>
      <c r="AD269" s="1323"/>
      <c r="AE269" s="1420" t="s">
        <v>114</v>
      </c>
      <c r="AF269" s="1323"/>
      <c r="AG269" s="1323"/>
      <c r="AH269" s="1323"/>
      <c r="AI269" s="1324"/>
    </row>
    <row r="270" spans="1:35" ht="21" customHeight="1" x14ac:dyDescent="0.2">
      <c r="A270" s="1"/>
      <c r="B270" s="3"/>
      <c r="C270" s="8"/>
      <c r="D270" s="116"/>
      <c r="E270" s="14"/>
      <c r="F270" s="115"/>
      <c r="G270" s="8"/>
      <c r="H270" s="116"/>
      <c r="I270" s="14"/>
      <c r="J270" s="115"/>
      <c r="K270" s="8"/>
      <c r="L270" s="116"/>
      <c r="M270" s="14"/>
      <c r="N270" s="115"/>
      <c r="O270" s="8"/>
      <c r="P270" s="116"/>
      <c r="Q270" s="14"/>
      <c r="R270" s="115"/>
      <c r="S270" s="8"/>
      <c r="T270" s="116"/>
      <c r="U270" s="14"/>
      <c r="V270" s="115"/>
      <c r="W270" s="8"/>
      <c r="X270" s="116"/>
      <c r="Y270" s="14"/>
      <c r="Z270" s="115"/>
      <c r="AA270" s="8"/>
      <c r="AB270" s="116"/>
      <c r="AC270" s="14"/>
      <c r="AD270" s="14"/>
      <c r="AE270" s="117"/>
      <c r="AF270" s="14"/>
      <c r="AG270" s="14"/>
      <c r="AH270" s="14"/>
      <c r="AI270" s="118"/>
    </row>
    <row r="271" spans="1:35" ht="21" customHeight="1" x14ac:dyDescent="0.2">
      <c r="A271" s="110"/>
      <c r="B271" s="1494"/>
      <c r="C271" s="735"/>
      <c r="D271" s="743"/>
      <c r="E271" s="743"/>
      <c r="F271" s="1048"/>
      <c r="G271" s="735"/>
      <c r="H271" s="743"/>
      <c r="I271" s="743"/>
      <c r="J271" s="1048"/>
      <c r="K271" s="735"/>
      <c r="L271" s="743"/>
      <c r="M271" s="743"/>
      <c r="N271" s="1048"/>
      <c r="O271" s="735"/>
      <c r="P271" s="743"/>
      <c r="Q271" s="743"/>
      <c r="R271" s="1048"/>
      <c r="S271" s="735"/>
      <c r="T271" s="743"/>
      <c r="U271" s="743"/>
      <c r="V271" s="1048"/>
      <c r="W271" s="735"/>
      <c r="X271" s="743"/>
      <c r="Y271" s="743"/>
      <c r="Z271" s="1048"/>
      <c r="AA271" s="1046"/>
      <c r="AB271" s="743"/>
      <c r="AC271" s="743"/>
      <c r="AD271" s="945"/>
      <c r="AE271" s="1510"/>
      <c r="AF271" s="743"/>
      <c r="AG271" s="743"/>
      <c r="AH271" s="945"/>
      <c r="AI271" s="788"/>
    </row>
    <row r="272" spans="1:35" ht="21" customHeight="1" thickBot="1" x14ac:dyDescent="0.25">
      <c r="A272" s="1"/>
      <c r="B272" s="1056"/>
      <c r="C272" s="1057"/>
      <c r="D272" s="734"/>
      <c r="E272" s="734"/>
      <c r="F272" s="706"/>
      <c r="G272" s="1057"/>
      <c r="H272" s="734"/>
      <c r="I272" s="734"/>
      <c r="J272" s="706"/>
      <c r="K272" s="1057"/>
      <c r="L272" s="734"/>
      <c r="M272" s="734"/>
      <c r="N272" s="706"/>
      <c r="O272" s="1057"/>
      <c r="P272" s="734"/>
      <c r="Q272" s="734"/>
      <c r="R272" s="706"/>
      <c r="S272" s="1057"/>
      <c r="T272" s="734"/>
      <c r="U272" s="734"/>
      <c r="V272" s="706"/>
      <c r="W272" s="704"/>
      <c r="X272" s="734"/>
      <c r="Y272" s="734"/>
      <c r="Z272" s="706"/>
      <c r="AA272" s="704"/>
      <c r="AB272" s="734"/>
      <c r="AC272" s="734"/>
      <c r="AD272" s="1063"/>
      <c r="AE272" s="704"/>
      <c r="AF272" s="734"/>
      <c r="AG272" s="734"/>
      <c r="AH272" s="1063"/>
      <c r="AI272" s="894"/>
    </row>
    <row r="273" spans="1:36" ht="21" customHeight="1" x14ac:dyDescent="0.2">
      <c r="A273" s="1"/>
      <c r="B273" s="18"/>
      <c r="C273" s="64"/>
      <c r="F273" s="69"/>
      <c r="G273" s="64"/>
      <c r="J273" s="69"/>
      <c r="K273" s="64"/>
      <c r="N273" s="69"/>
      <c r="O273" s="64"/>
      <c r="R273" s="69"/>
      <c r="S273" s="64"/>
      <c r="V273" s="69"/>
      <c r="W273" s="69"/>
      <c r="Z273" s="69"/>
      <c r="AA273" s="69"/>
      <c r="AD273" s="69"/>
      <c r="AE273" s="69"/>
      <c r="AH273" s="69"/>
    </row>
    <row r="274" spans="1:36" ht="33" customHeight="1" x14ac:dyDescent="0.2">
      <c r="A274" s="158" t="s">
        <v>332</v>
      </c>
      <c r="B274" s="18"/>
      <c r="C274" s="64"/>
      <c r="F274" s="69"/>
      <c r="G274" s="64"/>
      <c r="J274" s="69"/>
      <c r="K274" s="64"/>
      <c r="N274" s="69"/>
      <c r="O274" s="64"/>
      <c r="R274" s="69"/>
      <c r="S274" s="64"/>
      <c r="V274" s="69"/>
      <c r="W274" s="69"/>
      <c r="Z274" s="69"/>
      <c r="AA274" s="69"/>
      <c r="AD274" s="69"/>
      <c r="AE274" s="69"/>
      <c r="AH274" s="294"/>
      <c r="AI274" s="190"/>
      <c r="AJ274" s="190"/>
    </row>
    <row r="275" spans="1:36" ht="21" customHeight="1" thickBot="1" x14ac:dyDescent="0.25">
      <c r="A275" s="1511" t="s">
        <v>28</v>
      </c>
      <c r="B275" s="1512" t="s">
        <v>29</v>
      </c>
      <c r="C275" s="796">
        <v>1</v>
      </c>
      <c r="D275" s="795">
        <v>2</v>
      </c>
      <c r="E275" s="795">
        <v>3</v>
      </c>
      <c r="F275" s="796">
        <v>4</v>
      </c>
      <c r="G275" s="796">
        <v>5</v>
      </c>
      <c r="H275" s="796">
        <v>6</v>
      </c>
      <c r="I275" s="796">
        <v>7</v>
      </c>
      <c r="J275" s="796">
        <v>8</v>
      </c>
      <c r="K275" s="795">
        <v>9</v>
      </c>
      <c r="L275" s="795">
        <v>10</v>
      </c>
      <c r="M275" s="796">
        <v>11</v>
      </c>
      <c r="N275" s="796">
        <v>12</v>
      </c>
      <c r="O275" s="796">
        <v>13</v>
      </c>
      <c r="P275" s="796">
        <v>14</v>
      </c>
      <c r="Q275" s="796">
        <v>15</v>
      </c>
      <c r="R275" s="795">
        <v>16</v>
      </c>
      <c r="S275" s="795">
        <v>17</v>
      </c>
      <c r="T275" s="796">
        <v>18</v>
      </c>
      <c r="U275" s="796">
        <v>19</v>
      </c>
      <c r="V275" s="796">
        <v>20</v>
      </c>
      <c r="W275" s="796">
        <v>21</v>
      </c>
      <c r="X275" s="796">
        <v>22</v>
      </c>
      <c r="Y275" s="795">
        <v>23</v>
      </c>
      <c r="Z275" s="795">
        <v>24</v>
      </c>
      <c r="AA275" s="796">
        <v>25</v>
      </c>
      <c r="AB275" s="796">
        <v>26</v>
      </c>
      <c r="AC275" s="796">
        <v>27</v>
      </c>
      <c r="AD275" s="796">
        <v>28</v>
      </c>
      <c r="AE275" s="796">
        <v>29</v>
      </c>
      <c r="AF275" s="795">
        <v>30</v>
      </c>
      <c r="AG275" s="1300">
        <v>31</v>
      </c>
      <c r="AH275" s="295"/>
      <c r="AI275" s="296"/>
      <c r="AJ275" s="190"/>
    </row>
    <row r="276" spans="1:36" ht="21" customHeight="1" x14ac:dyDescent="0.2">
      <c r="A276" s="88"/>
      <c r="B276" s="1513" t="s">
        <v>333</v>
      </c>
      <c r="C276" s="644" t="s">
        <v>32</v>
      </c>
      <c r="D276" s="644"/>
      <c r="E276" s="644"/>
      <c r="F276" s="644" t="s">
        <v>32</v>
      </c>
      <c r="G276" s="644" t="s">
        <v>32</v>
      </c>
      <c r="H276" s="644" t="s">
        <v>32</v>
      </c>
      <c r="I276" s="644" t="s">
        <v>32</v>
      </c>
      <c r="J276" s="644" t="s">
        <v>32</v>
      </c>
      <c r="K276" s="644"/>
      <c r="L276" s="644"/>
      <c r="M276" s="644" t="s">
        <v>32</v>
      </c>
      <c r="N276" s="848" t="s">
        <v>32</v>
      </c>
      <c r="O276" s="848" t="s">
        <v>32</v>
      </c>
      <c r="P276" s="848" t="s">
        <v>32</v>
      </c>
      <c r="Q276" s="975" t="s">
        <v>32</v>
      </c>
      <c r="R276" s="848"/>
      <c r="S276" s="644"/>
      <c r="T276" s="644" t="s">
        <v>32</v>
      </c>
      <c r="U276" s="848" t="s">
        <v>32</v>
      </c>
      <c r="V276" s="848" t="s">
        <v>32</v>
      </c>
      <c r="W276" s="848" t="s">
        <v>32</v>
      </c>
      <c r="X276" s="644" t="s">
        <v>32</v>
      </c>
      <c r="Y276" s="848"/>
      <c r="Z276" s="848"/>
      <c r="AA276" s="644" t="s">
        <v>32</v>
      </c>
      <c r="AB276" s="644" t="s">
        <v>32</v>
      </c>
      <c r="AC276" s="644" t="s">
        <v>32</v>
      </c>
      <c r="AD276" s="644" t="s">
        <v>32</v>
      </c>
      <c r="AE276" s="644" t="s">
        <v>32</v>
      </c>
      <c r="AF276" s="644"/>
      <c r="AG276" s="300"/>
      <c r="AH276" s="297"/>
      <c r="AI276" s="298"/>
      <c r="AJ276" s="190"/>
    </row>
    <row r="277" spans="1:36" ht="21" customHeight="1" x14ac:dyDescent="0.2">
      <c r="A277" s="1514"/>
      <c r="B277" s="1502" t="s">
        <v>334</v>
      </c>
      <c r="C277" s="644" t="s">
        <v>32</v>
      </c>
      <c r="D277" s="644"/>
      <c r="E277" s="644"/>
      <c r="F277" s="644" t="s">
        <v>32</v>
      </c>
      <c r="G277" s="644" t="s">
        <v>32</v>
      </c>
      <c r="H277" s="644" t="s">
        <v>32</v>
      </c>
      <c r="I277" s="644" t="s">
        <v>32</v>
      </c>
      <c r="J277" s="644" t="s">
        <v>32</v>
      </c>
      <c r="K277" s="644"/>
      <c r="L277" s="644"/>
      <c r="M277" s="859" t="s">
        <v>32</v>
      </c>
      <c r="N277" s="859" t="s">
        <v>32</v>
      </c>
      <c r="O277" s="859" t="s">
        <v>32</v>
      </c>
      <c r="P277" s="859" t="s">
        <v>32</v>
      </c>
      <c r="Q277" s="859" t="s">
        <v>32</v>
      </c>
      <c r="R277" s="859"/>
      <c r="S277" s="859"/>
      <c r="T277" s="859" t="s">
        <v>32</v>
      </c>
      <c r="U277" s="859" t="s">
        <v>32</v>
      </c>
      <c r="V277" s="859" t="s">
        <v>32</v>
      </c>
      <c r="W277" s="859" t="s">
        <v>32</v>
      </c>
      <c r="X277" s="859" t="s">
        <v>32</v>
      </c>
      <c r="Y277" s="859"/>
      <c r="Z277" s="859"/>
      <c r="AA277" s="859" t="s">
        <v>32</v>
      </c>
      <c r="AB277" s="859" t="s">
        <v>32</v>
      </c>
      <c r="AC277" s="859" t="s">
        <v>32</v>
      </c>
      <c r="AD277" s="859" t="s">
        <v>32</v>
      </c>
      <c r="AE277" s="859" t="s">
        <v>32</v>
      </c>
      <c r="AF277" s="859"/>
      <c r="AG277" s="1515"/>
      <c r="AH277" s="297"/>
      <c r="AI277" s="298"/>
      <c r="AJ277" s="190"/>
    </row>
    <row r="278" spans="1:36" ht="21" customHeight="1" x14ac:dyDescent="0.2">
      <c r="A278" s="895"/>
      <c r="B278" s="1502" t="s">
        <v>335</v>
      </c>
      <c r="C278" s="644" t="s">
        <v>32</v>
      </c>
      <c r="D278" s="644"/>
      <c r="E278" s="644"/>
      <c r="F278" s="859" t="s">
        <v>32</v>
      </c>
      <c r="G278" s="859" t="s">
        <v>32</v>
      </c>
      <c r="H278" s="859" t="s">
        <v>32</v>
      </c>
      <c r="I278" s="859" t="s">
        <v>32</v>
      </c>
      <c r="J278" s="859" t="s">
        <v>32</v>
      </c>
      <c r="K278" s="859"/>
      <c r="L278" s="859"/>
      <c r="M278" s="859" t="s">
        <v>32</v>
      </c>
      <c r="N278" s="859" t="s">
        <v>32</v>
      </c>
      <c r="O278" s="859" t="s">
        <v>32</v>
      </c>
      <c r="P278" s="859" t="s">
        <v>32</v>
      </c>
      <c r="Q278" s="859" t="s">
        <v>32</v>
      </c>
      <c r="R278" s="859"/>
      <c r="S278" s="859"/>
      <c r="T278" s="859" t="s">
        <v>32</v>
      </c>
      <c r="U278" s="859" t="s">
        <v>32</v>
      </c>
      <c r="V278" s="859" t="s">
        <v>32</v>
      </c>
      <c r="W278" s="859" t="s">
        <v>32</v>
      </c>
      <c r="X278" s="859" t="s">
        <v>32</v>
      </c>
      <c r="Y278" s="848"/>
      <c r="Z278" s="848"/>
      <c r="AA278" s="644" t="s">
        <v>32</v>
      </c>
      <c r="AB278" s="644" t="s">
        <v>32</v>
      </c>
      <c r="AC278" s="644" t="s">
        <v>32</v>
      </c>
      <c r="AD278" s="644" t="s">
        <v>32</v>
      </c>
      <c r="AE278" s="644" t="s">
        <v>32</v>
      </c>
      <c r="AF278" s="644"/>
      <c r="AG278" s="1516"/>
      <c r="AH278" s="297"/>
      <c r="AI278" s="298"/>
      <c r="AJ278" s="190"/>
    </row>
    <row r="279" spans="1:36" ht="21" customHeight="1" x14ac:dyDescent="0.2">
      <c r="A279" s="536"/>
      <c r="B279" s="1502" t="s">
        <v>336</v>
      </c>
      <c r="C279" s="554" t="s">
        <v>32</v>
      </c>
      <c r="D279" s="644"/>
      <c r="E279" s="644"/>
      <c r="F279" s="964" t="s">
        <v>32</v>
      </c>
      <c r="G279" s="964" t="s">
        <v>51</v>
      </c>
      <c r="H279" s="644" t="s">
        <v>32</v>
      </c>
      <c r="I279" s="644" t="s">
        <v>32</v>
      </c>
      <c r="J279" s="644" t="s">
        <v>32</v>
      </c>
      <c r="K279" s="644"/>
      <c r="L279" s="644"/>
      <c r="M279" s="644" t="s">
        <v>32</v>
      </c>
      <c r="N279" s="848" t="s">
        <v>32</v>
      </c>
      <c r="O279" s="848" t="s">
        <v>32</v>
      </c>
      <c r="P279" s="848" t="s">
        <v>32</v>
      </c>
      <c r="Q279" s="975" t="s">
        <v>32</v>
      </c>
      <c r="R279" s="848"/>
      <c r="S279" s="644"/>
      <c r="T279" s="644" t="s">
        <v>32</v>
      </c>
      <c r="U279" s="848" t="s">
        <v>32</v>
      </c>
      <c r="V279" s="848" t="s">
        <v>32</v>
      </c>
      <c r="W279" s="848" t="s">
        <v>32</v>
      </c>
      <c r="X279" s="644" t="s">
        <v>32</v>
      </c>
      <c r="Y279" s="848"/>
      <c r="Z279" s="848"/>
      <c r="AA279" s="859" t="s">
        <v>32</v>
      </c>
      <c r="AB279" s="859" t="s">
        <v>32</v>
      </c>
      <c r="AC279" s="859" t="s">
        <v>32</v>
      </c>
      <c r="AD279" s="859" t="s">
        <v>32</v>
      </c>
      <c r="AE279" s="859" t="s">
        <v>32</v>
      </c>
      <c r="AF279" s="859"/>
      <c r="AG279" s="1515"/>
      <c r="AH279" s="297"/>
      <c r="AI279" s="298"/>
      <c r="AJ279" s="190"/>
    </row>
    <row r="280" spans="1:36" ht="21" customHeight="1" x14ac:dyDescent="0.2">
      <c r="A280" s="536"/>
      <c r="B280" s="1502" t="s">
        <v>337</v>
      </c>
      <c r="C280" s="557" t="s">
        <v>32</v>
      </c>
      <c r="D280" s="644"/>
      <c r="E280" s="644"/>
      <c r="F280" s="644" t="s">
        <v>32</v>
      </c>
      <c r="G280" s="1483" t="s">
        <v>32</v>
      </c>
      <c r="H280" s="644" t="s">
        <v>32</v>
      </c>
      <c r="I280" s="1483" t="s">
        <v>32</v>
      </c>
      <c r="J280" s="1483" t="s">
        <v>32</v>
      </c>
      <c r="K280" s="644"/>
      <c r="L280" s="644"/>
      <c r="M280" s="859" t="s">
        <v>32</v>
      </c>
      <c r="N280" s="859" t="s">
        <v>32</v>
      </c>
      <c r="O280" s="859" t="s">
        <v>32</v>
      </c>
      <c r="P280" s="859" t="s">
        <v>32</v>
      </c>
      <c r="Q280" s="859" t="s">
        <v>32</v>
      </c>
      <c r="R280" s="859"/>
      <c r="S280" s="859"/>
      <c r="T280" s="859" t="s">
        <v>32</v>
      </c>
      <c r="U280" s="859" t="s">
        <v>32</v>
      </c>
      <c r="V280" s="859" t="s">
        <v>32</v>
      </c>
      <c r="W280" s="859" t="s">
        <v>32</v>
      </c>
      <c r="X280" s="859" t="s">
        <v>32</v>
      </c>
      <c r="Y280" s="848"/>
      <c r="Z280" s="848"/>
      <c r="AA280" s="644" t="s">
        <v>32</v>
      </c>
      <c r="AB280" s="644" t="s">
        <v>32</v>
      </c>
      <c r="AC280" s="644" t="s">
        <v>32</v>
      </c>
      <c r="AD280" s="557" t="s">
        <v>32</v>
      </c>
      <c r="AE280" s="557" t="s">
        <v>32</v>
      </c>
      <c r="AF280" s="644"/>
      <c r="AG280" s="1070"/>
      <c r="AH280" s="297"/>
      <c r="AI280" s="298"/>
      <c r="AJ280" s="190"/>
    </row>
    <row r="281" spans="1:36" ht="21" customHeight="1" x14ac:dyDescent="0.2">
      <c r="A281" s="536"/>
      <c r="B281" s="1502" t="s">
        <v>338</v>
      </c>
      <c r="C281" s="1483" t="s">
        <v>32</v>
      </c>
      <c r="D281" s="644"/>
      <c r="E281" s="644"/>
      <c r="F281" s="644" t="s">
        <v>32</v>
      </c>
      <c r="G281" s="644" t="s">
        <v>32</v>
      </c>
      <c r="H281" s="644" t="s">
        <v>32</v>
      </c>
      <c r="I281" s="644" t="s">
        <v>32</v>
      </c>
      <c r="J281" s="644" t="s">
        <v>32</v>
      </c>
      <c r="K281" s="644"/>
      <c r="L281" s="644"/>
      <c r="M281" s="644" t="s">
        <v>32</v>
      </c>
      <c r="N281" s="848" t="s">
        <v>32</v>
      </c>
      <c r="O281" s="848" t="s">
        <v>32</v>
      </c>
      <c r="P281" s="848" t="s">
        <v>32</v>
      </c>
      <c r="Q281" s="975" t="s">
        <v>32</v>
      </c>
      <c r="R281" s="848"/>
      <c r="S281" s="644"/>
      <c r="T281" s="644" t="s">
        <v>32</v>
      </c>
      <c r="U281" s="848" t="s">
        <v>32</v>
      </c>
      <c r="V281" s="848" t="s">
        <v>32</v>
      </c>
      <c r="W281" s="848" t="s">
        <v>32</v>
      </c>
      <c r="X281" s="557" t="s">
        <v>32</v>
      </c>
      <c r="Y281" s="848"/>
      <c r="Z281" s="848"/>
      <c r="AA281" s="644" t="s">
        <v>32</v>
      </c>
      <c r="AB281" s="644" t="s">
        <v>32</v>
      </c>
      <c r="AC281" s="644" t="s">
        <v>32</v>
      </c>
      <c r="AD281" s="644" t="s">
        <v>32</v>
      </c>
      <c r="AE281" s="644" t="s">
        <v>32</v>
      </c>
      <c r="AF281" s="644"/>
      <c r="AG281" s="917"/>
      <c r="AH281" s="297"/>
      <c r="AI281" s="298"/>
      <c r="AJ281" s="190"/>
    </row>
    <row r="282" spans="1:36" ht="21" customHeight="1" x14ac:dyDescent="0.2">
      <c r="A282" s="536"/>
      <c r="B282" s="1502" t="s">
        <v>339</v>
      </c>
      <c r="C282" s="644" t="s">
        <v>32</v>
      </c>
      <c r="D282" s="644"/>
      <c r="E282" s="644"/>
      <c r="F282" s="644" t="s">
        <v>32</v>
      </c>
      <c r="G282" s="644" t="s">
        <v>32</v>
      </c>
      <c r="H282" s="859" t="s">
        <v>32</v>
      </c>
      <c r="I282" s="964" t="s">
        <v>51</v>
      </c>
      <c r="J282" s="644" t="s">
        <v>32</v>
      </c>
      <c r="K282" s="644"/>
      <c r="L282" s="644"/>
      <c r="M282" s="644" t="s">
        <v>32</v>
      </c>
      <c r="N282" s="848" t="s">
        <v>32</v>
      </c>
      <c r="O282" s="848" t="s">
        <v>32</v>
      </c>
      <c r="P282" s="848" t="s">
        <v>32</v>
      </c>
      <c r="Q282" s="975" t="s">
        <v>32</v>
      </c>
      <c r="R282" s="848"/>
      <c r="S282" s="644"/>
      <c r="T282" s="859" t="s">
        <v>32</v>
      </c>
      <c r="U282" s="859" t="s">
        <v>32</v>
      </c>
      <c r="V282" s="859" t="s">
        <v>32</v>
      </c>
      <c r="W282" s="859" t="s">
        <v>32</v>
      </c>
      <c r="X282" s="859" t="s">
        <v>32</v>
      </c>
      <c r="Y282" s="859"/>
      <c r="Z282" s="859"/>
      <c r="AA282" s="859" t="s">
        <v>32</v>
      </c>
      <c r="AB282" s="859" t="s">
        <v>32</v>
      </c>
      <c r="AC282" s="859" t="s">
        <v>32</v>
      </c>
      <c r="AD282" s="859" t="s">
        <v>32</v>
      </c>
      <c r="AE282" s="859" t="s">
        <v>32</v>
      </c>
      <c r="AF282" s="859"/>
      <c r="AG282" s="1517"/>
      <c r="AH282" s="297"/>
      <c r="AI282" s="298"/>
      <c r="AJ282" s="190"/>
    </row>
    <row r="283" spans="1:36" ht="21" customHeight="1" x14ac:dyDescent="0.2">
      <c r="A283" s="536"/>
      <c r="B283" s="1502"/>
      <c r="C283" s="644" t="s">
        <v>32</v>
      </c>
      <c r="D283" s="644"/>
      <c r="E283" s="644"/>
      <c r="F283" s="644" t="s">
        <v>32</v>
      </c>
      <c r="G283" s="644" t="s">
        <v>32</v>
      </c>
      <c r="H283" s="644" t="s">
        <v>32</v>
      </c>
      <c r="I283" s="644" t="s">
        <v>32</v>
      </c>
      <c r="J283" s="644" t="s">
        <v>32</v>
      </c>
      <c r="K283" s="644"/>
      <c r="L283" s="644"/>
      <c r="M283" s="644" t="s">
        <v>32</v>
      </c>
      <c r="N283" s="848" t="s">
        <v>32</v>
      </c>
      <c r="O283" s="848" t="s">
        <v>32</v>
      </c>
      <c r="P283" s="848" t="s">
        <v>32</v>
      </c>
      <c r="Q283" s="975" t="s">
        <v>32</v>
      </c>
      <c r="R283" s="848"/>
      <c r="S283" s="644"/>
      <c r="T283" s="644" t="s">
        <v>32</v>
      </c>
      <c r="U283" s="848" t="s">
        <v>32</v>
      </c>
      <c r="V283" s="848" t="s">
        <v>32</v>
      </c>
      <c r="W283" s="848" t="s">
        <v>32</v>
      </c>
      <c r="X283" s="644" t="s">
        <v>32</v>
      </c>
      <c r="Y283" s="848"/>
      <c r="Z283" s="848"/>
      <c r="AA283" s="644" t="s">
        <v>32</v>
      </c>
      <c r="AB283" s="644" t="s">
        <v>32</v>
      </c>
      <c r="AC283" s="644" t="s">
        <v>32</v>
      </c>
      <c r="AD283" s="644" t="s">
        <v>32</v>
      </c>
      <c r="AE283" s="644" t="s">
        <v>32</v>
      </c>
      <c r="AF283" s="644"/>
      <c r="AG283" s="917"/>
      <c r="AH283" s="297"/>
      <c r="AI283" s="298"/>
      <c r="AJ283" s="190"/>
    </row>
    <row r="284" spans="1:36" ht="21" customHeight="1" x14ac:dyDescent="0.2">
      <c r="A284" s="536"/>
      <c r="B284" s="1502" t="s">
        <v>340</v>
      </c>
      <c r="C284" s="554" t="s">
        <v>32</v>
      </c>
      <c r="D284" s="644"/>
      <c r="E284" s="644"/>
      <c r="F284" s="859" t="s">
        <v>32</v>
      </c>
      <c r="G284" s="859" t="s">
        <v>32</v>
      </c>
      <c r="H284" s="859" t="s">
        <v>32</v>
      </c>
      <c r="I284" s="859" t="s">
        <v>32</v>
      </c>
      <c r="J284" s="859" t="s">
        <v>32</v>
      </c>
      <c r="K284" s="859"/>
      <c r="L284" s="859"/>
      <c r="M284" s="859" t="s">
        <v>32</v>
      </c>
      <c r="N284" s="859" t="s">
        <v>32</v>
      </c>
      <c r="O284" s="859" t="s">
        <v>32</v>
      </c>
      <c r="P284" s="859" t="s">
        <v>32</v>
      </c>
      <c r="Q284" s="859" t="s">
        <v>32</v>
      </c>
      <c r="R284" s="859"/>
      <c r="S284" s="859"/>
      <c r="T284" s="859" t="s">
        <v>32</v>
      </c>
      <c r="U284" s="859" t="s">
        <v>32</v>
      </c>
      <c r="V284" s="859" t="s">
        <v>32</v>
      </c>
      <c r="W284" s="859" t="s">
        <v>32</v>
      </c>
      <c r="X284" s="859" t="s">
        <v>32</v>
      </c>
      <c r="Y284" s="848"/>
      <c r="Z284" s="848"/>
      <c r="AA284" s="644" t="s">
        <v>32</v>
      </c>
      <c r="AB284" s="644" t="s">
        <v>32</v>
      </c>
      <c r="AC284" s="644" t="s">
        <v>32</v>
      </c>
      <c r="AD284" s="644" t="s">
        <v>32</v>
      </c>
      <c r="AE284" s="644" t="s">
        <v>32</v>
      </c>
      <c r="AF284" s="644"/>
      <c r="AG284" s="917"/>
      <c r="AH284" s="297"/>
      <c r="AI284" s="298"/>
      <c r="AJ284" s="190"/>
    </row>
    <row r="285" spans="1:36" ht="21" customHeight="1" x14ac:dyDescent="0.2">
      <c r="A285" s="536"/>
      <c r="B285" s="1502" t="s">
        <v>341</v>
      </c>
      <c r="C285" s="644" t="s">
        <v>32</v>
      </c>
      <c r="D285" s="644"/>
      <c r="E285" s="644"/>
      <c r="F285" s="644" t="s">
        <v>32</v>
      </c>
      <c r="G285" s="644" t="s">
        <v>32</v>
      </c>
      <c r="H285" s="644" t="s">
        <v>32</v>
      </c>
      <c r="I285" s="644" t="s">
        <v>32</v>
      </c>
      <c r="J285" s="1518" t="s">
        <v>32</v>
      </c>
      <c r="K285" s="644"/>
      <c r="L285" s="644"/>
      <c r="M285" s="644" t="s">
        <v>32</v>
      </c>
      <c r="N285" s="848" t="s">
        <v>32</v>
      </c>
      <c r="O285" s="964" t="s">
        <v>32</v>
      </c>
      <c r="P285" s="964" t="s">
        <v>32</v>
      </c>
      <c r="Q285" s="964" t="s">
        <v>51</v>
      </c>
      <c r="R285" s="848"/>
      <c r="S285" s="644"/>
      <c r="T285" s="644" t="s">
        <v>32</v>
      </c>
      <c r="U285" s="848" t="s">
        <v>32</v>
      </c>
      <c r="V285" s="848" t="s">
        <v>32</v>
      </c>
      <c r="W285" s="848" t="s">
        <v>32</v>
      </c>
      <c r="X285" s="644" t="s">
        <v>32</v>
      </c>
      <c r="Y285" s="848"/>
      <c r="Z285" s="848"/>
      <c r="AA285" s="644" t="s">
        <v>32</v>
      </c>
      <c r="AB285" s="644" t="s">
        <v>32</v>
      </c>
      <c r="AC285" s="644" t="s">
        <v>32</v>
      </c>
      <c r="AD285" s="644" t="s">
        <v>32</v>
      </c>
      <c r="AE285" s="644" t="s">
        <v>32</v>
      </c>
      <c r="AF285" s="644"/>
      <c r="AG285" s="917"/>
      <c r="AH285" s="297"/>
      <c r="AI285" s="298"/>
      <c r="AJ285" s="190"/>
    </row>
    <row r="286" spans="1:36" ht="21" customHeight="1" x14ac:dyDescent="0.2">
      <c r="A286" s="536"/>
      <c r="B286" s="1502" t="s">
        <v>342</v>
      </c>
      <c r="C286" s="644" t="s">
        <v>32</v>
      </c>
      <c r="D286" s="644"/>
      <c r="E286" s="644"/>
      <c r="F286" s="644" t="s">
        <v>32</v>
      </c>
      <c r="G286" s="644" t="s">
        <v>32</v>
      </c>
      <c r="H286" s="644" t="s">
        <v>32</v>
      </c>
      <c r="I286" s="644" t="s">
        <v>32</v>
      </c>
      <c r="J286" s="644" t="s">
        <v>32</v>
      </c>
      <c r="K286" s="644"/>
      <c r="L286" s="644"/>
      <c r="M286" s="644" t="s">
        <v>32</v>
      </c>
      <c r="N286" s="848" t="s">
        <v>32</v>
      </c>
      <c r="O286" s="848" t="s">
        <v>32</v>
      </c>
      <c r="P286" s="848" t="s">
        <v>32</v>
      </c>
      <c r="Q286" s="975" t="s">
        <v>32</v>
      </c>
      <c r="R286" s="848"/>
      <c r="S286" s="644"/>
      <c r="T286" s="644" t="s">
        <v>32</v>
      </c>
      <c r="U286" s="848" t="s">
        <v>32</v>
      </c>
      <c r="V286" s="848" t="s">
        <v>32</v>
      </c>
      <c r="W286" s="848" t="s">
        <v>32</v>
      </c>
      <c r="X286" s="644" t="s">
        <v>32</v>
      </c>
      <c r="Y286" s="848"/>
      <c r="Z286" s="848"/>
      <c r="AA286" s="859" t="s">
        <v>32</v>
      </c>
      <c r="AB286" s="859" t="s">
        <v>32</v>
      </c>
      <c r="AC286" s="859" t="s">
        <v>32</v>
      </c>
      <c r="AD286" s="859" t="s">
        <v>32</v>
      </c>
      <c r="AE286" s="859" t="s">
        <v>32</v>
      </c>
      <c r="AF286" s="859"/>
      <c r="AG286" s="929"/>
      <c r="AH286" s="297"/>
      <c r="AI286" s="298"/>
      <c r="AJ286" s="190"/>
    </row>
    <row r="287" spans="1:36" ht="21" customHeight="1" x14ac:dyDescent="0.2">
      <c r="A287" s="536"/>
      <c r="B287" s="1502"/>
      <c r="C287" s="644"/>
      <c r="D287" s="974"/>
      <c r="E287" s="644"/>
      <c r="F287" s="644"/>
      <c r="G287" s="644"/>
      <c r="H287" s="644"/>
      <c r="I287" s="644"/>
      <c r="J287" s="644"/>
      <c r="K287" s="644"/>
      <c r="L287" s="644"/>
      <c r="M287" s="644"/>
      <c r="N287" s="644"/>
      <c r="O287" s="644"/>
      <c r="P287" s="644"/>
      <c r="Q287" s="644"/>
      <c r="R287" s="644"/>
      <c r="S287" s="644"/>
      <c r="T287" s="644"/>
      <c r="U287" s="644"/>
      <c r="V287" s="644"/>
      <c r="W287" s="644"/>
      <c r="X287" s="644"/>
      <c r="Y287" s="644"/>
      <c r="Z287" s="644"/>
      <c r="AA287" s="644"/>
      <c r="AB287" s="644"/>
      <c r="AC287" s="644"/>
      <c r="AD287" s="644"/>
      <c r="AE287" s="644"/>
      <c r="AF287" s="644"/>
      <c r="AG287" s="917"/>
      <c r="AH287" s="297"/>
      <c r="AI287" s="298"/>
      <c r="AJ287" s="190"/>
    </row>
    <row r="288" spans="1:36" ht="21" customHeight="1" x14ac:dyDescent="0.2">
      <c r="A288" s="845"/>
      <c r="B288" s="1519"/>
      <c r="C288" s="868"/>
      <c r="D288" s="868"/>
      <c r="E288" s="868"/>
      <c r="F288" s="868"/>
      <c r="G288" s="868"/>
      <c r="H288" s="868"/>
      <c r="I288" s="868"/>
      <c r="J288" s="868"/>
      <c r="K288" s="868"/>
      <c r="L288" s="868"/>
      <c r="M288" s="868"/>
      <c r="N288" s="814"/>
      <c r="O288" s="814"/>
      <c r="P288" s="868"/>
      <c r="Q288" s="868"/>
      <c r="R288" s="868"/>
      <c r="S288" s="868"/>
      <c r="T288" s="868"/>
      <c r="U288" s="868"/>
      <c r="V288" s="868"/>
      <c r="W288" s="868"/>
      <c r="X288" s="868"/>
      <c r="Y288" s="868"/>
      <c r="Z288" s="868"/>
      <c r="AA288" s="868"/>
      <c r="AB288" s="814"/>
      <c r="AC288" s="814"/>
      <c r="AD288" s="868"/>
      <c r="AE288" s="868"/>
      <c r="AF288" s="868"/>
      <c r="AG288" s="917"/>
      <c r="AH288" s="297"/>
      <c r="AI288" s="299"/>
      <c r="AJ288" s="190"/>
    </row>
    <row r="289" spans="1:36" ht="21" customHeight="1" thickBot="1" x14ac:dyDescent="0.25">
      <c r="A289" s="1520"/>
      <c r="B289" s="862"/>
      <c r="C289" s="1521"/>
      <c r="D289" s="1522"/>
      <c r="E289" s="1522"/>
      <c r="F289" s="1522"/>
      <c r="G289" s="1522"/>
      <c r="H289" s="1522"/>
      <c r="I289" s="1522"/>
      <c r="J289" s="1522"/>
      <c r="K289" s="1522"/>
      <c r="L289" s="1522"/>
      <c r="M289" s="1522"/>
      <c r="N289" s="1523"/>
      <c r="O289" s="1523"/>
      <c r="P289" s="1522"/>
      <c r="Q289" s="1522"/>
      <c r="R289" s="1522"/>
      <c r="S289" s="1522"/>
      <c r="T289" s="1522"/>
      <c r="U289" s="1522"/>
      <c r="V289" s="1522"/>
      <c r="W289" s="1522"/>
      <c r="X289" s="1522"/>
      <c r="Y289" s="1522"/>
      <c r="Z289" s="1522"/>
      <c r="AA289" s="1522"/>
      <c r="AB289" s="1523"/>
      <c r="AC289" s="1523"/>
      <c r="AD289" s="1522"/>
      <c r="AE289" s="1522"/>
      <c r="AF289" s="1522"/>
      <c r="AG289" s="1524"/>
      <c r="AH289" s="297"/>
      <c r="AI289" s="299"/>
      <c r="AJ289" s="190"/>
    </row>
    <row r="290" spans="1:36" x14ac:dyDescent="0.2">
      <c r="AH290" s="190"/>
      <c r="AI290" s="190"/>
      <c r="AJ290" s="190"/>
    </row>
    <row r="291" spans="1:36" x14ac:dyDescent="0.2">
      <c r="AH291" s="190"/>
      <c r="AI291" s="190"/>
      <c r="AJ291" s="190"/>
    </row>
    <row r="292" spans="1:36" x14ac:dyDescent="0.2">
      <c r="AH292" s="190"/>
      <c r="AI292" s="190"/>
      <c r="AJ292" s="190"/>
    </row>
    <row r="293" spans="1:36" x14ac:dyDescent="0.2">
      <c r="AH293" s="190"/>
      <c r="AI293" s="190"/>
      <c r="AJ293" s="190"/>
    </row>
  </sheetData>
  <sheetProtection algorithmName="SHA-512" hashValue="rIid0ow9oJUTc5C+50dillCIQ+c3+MUs8zfX7h2el+cB9/Mq+NJnfiUMhXEzA/sljpYd1bjDdAUuWLw5Hwl2Qw==" saltValue="6Si1oMnXs+wNMtohjMDpew==" spinCount="100000" sheet="1" objects="1" scenarios="1"/>
  <protectedRanges>
    <protectedRange sqref="B127:B128"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29 B131:B132"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65472-F585-4F39-BB35-5D2C623897F7}">
  <sheetPr codeName="Ark74"/>
  <dimension ref="A1:AN302"/>
  <sheetViews>
    <sheetView zoomScaleNormal="100" workbookViewId="0">
      <pane xSplit="2" ySplit="3" topLeftCell="C81" activePane="bottomRight" state="frozen"/>
      <selection pane="topRight" activeCell="AF77" sqref="AF77"/>
      <selection pane="bottomLeft" activeCell="AF77" sqref="AF77"/>
      <selection pane="bottomRight" activeCell="AK162" sqref="AK162"/>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1525" t="s">
        <v>2</v>
      </c>
      <c r="C2" s="1526" t="s">
        <v>3</v>
      </c>
      <c r="D2" s="1527"/>
      <c r="E2" s="1528" t="s">
        <v>4</v>
      </c>
      <c r="F2" s="1529"/>
      <c r="G2" s="1530"/>
      <c r="H2" s="1530"/>
      <c r="I2" s="1530"/>
      <c r="J2" s="1530"/>
      <c r="K2" s="1531"/>
      <c r="L2" s="1532" t="s">
        <v>5</v>
      </c>
      <c r="M2" s="1533"/>
      <c r="N2" s="1534"/>
      <c r="O2" s="1535" t="s">
        <v>6</v>
      </c>
      <c r="P2" s="1536"/>
      <c r="Q2" s="1537"/>
      <c r="R2" s="1538"/>
      <c r="S2" s="1539" t="s">
        <v>7</v>
      </c>
      <c r="T2" s="1540"/>
      <c r="U2" s="1541"/>
      <c r="V2" s="1540"/>
      <c r="W2" s="1542" t="s">
        <v>8</v>
      </c>
      <c r="X2" s="1543"/>
      <c r="Y2" s="1544"/>
      <c r="Z2" s="160" t="s">
        <v>9</v>
      </c>
      <c r="AA2" s="1545"/>
      <c r="AB2" s="1546"/>
      <c r="AC2" s="1547"/>
      <c r="AD2" s="1548" t="s">
        <v>10</v>
      </c>
      <c r="AE2" s="1549"/>
      <c r="AF2" s="1549"/>
      <c r="AG2" s="1550"/>
    </row>
    <row r="3" spans="1:38" ht="13.35" customHeight="1" x14ac:dyDescent="0.2">
      <c r="A3" s="1"/>
      <c r="B3" s="1551" t="s">
        <v>11</v>
      </c>
      <c r="C3" s="1552" t="s">
        <v>12</v>
      </c>
      <c r="D3" s="1553"/>
      <c r="E3" s="91"/>
      <c r="F3" s="92"/>
      <c r="G3" s="92"/>
      <c r="H3" s="161" t="s">
        <v>13</v>
      </c>
      <c r="I3" s="93"/>
      <c r="J3" s="93"/>
      <c r="K3" s="94"/>
      <c r="L3" s="1554" t="s">
        <v>14</v>
      </c>
      <c r="M3" s="1555"/>
      <c r="N3" s="1556"/>
      <c r="O3" s="93"/>
      <c r="P3" s="93"/>
      <c r="Q3" s="93"/>
      <c r="R3" s="93"/>
      <c r="S3" s="14"/>
      <c r="T3" s="95" t="s">
        <v>15</v>
      </c>
      <c r="U3" s="96"/>
      <c r="V3" s="97"/>
      <c r="W3" s="98"/>
      <c r="X3" s="99"/>
      <c r="Y3" s="161" t="s">
        <v>16</v>
      </c>
      <c r="Z3" s="1555"/>
      <c r="AA3" s="1555"/>
      <c r="AB3" s="1557"/>
      <c r="AC3" s="1558"/>
      <c r="AD3" s="1559" t="s">
        <v>17</v>
      </c>
      <c r="AE3" s="1560"/>
      <c r="AF3" s="1560"/>
      <c r="AG3" s="1561"/>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1562" t="s">
        <v>20</v>
      </c>
      <c r="B6" s="1555"/>
      <c r="C6" s="1563"/>
      <c r="D6" s="1562" t="s">
        <v>21</v>
      </c>
      <c r="E6" s="1555"/>
      <c r="F6" s="1555"/>
      <c r="G6" s="1555"/>
      <c r="H6" s="1564"/>
      <c r="I6" s="1555"/>
      <c r="J6" s="1555"/>
      <c r="K6" s="1555"/>
      <c r="L6" s="1565" t="s">
        <v>22</v>
      </c>
      <c r="M6" s="1555"/>
      <c r="N6" s="1555"/>
      <c r="O6" s="1555"/>
      <c r="P6" s="1555"/>
      <c r="Q6" s="1555"/>
      <c r="R6" s="1555"/>
      <c r="S6" s="1563"/>
      <c r="T6" s="1566"/>
      <c r="U6" s="1555"/>
      <c r="V6" s="1555"/>
      <c r="W6" s="1555"/>
      <c r="X6" s="1555"/>
      <c r="Y6" s="1555"/>
      <c r="Z6" s="1555"/>
      <c r="AA6" s="1563"/>
      <c r="AB6" s="1567"/>
      <c r="AC6" s="1568"/>
      <c r="AD6" s="1568"/>
      <c r="AE6" s="1568"/>
      <c r="AF6" s="1568"/>
      <c r="AG6" s="1569"/>
    </row>
    <row r="7" spans="1:38" ht="22.35" customHeight="1" x14ac:dyDescent="0.2">
      <c r="A7" s="1562" t="s">
        <v>23</v>
      </c>
      <c r="B7" s="1555"/>
      <c r="C7" s="1555"/>
      <c r="D7" s="1555"/>
      <c r="E7" s="1555"/>
      <c r="F7" s="1555"/>
      <c r="G7" s="1555"/>
      <c r="H7" s="1555"/>
      <c r="I7" s="1555"/>
      <c r="J7" s="1555"/>
      <c r="K7" s="1563"/>
      <c r="L7" s="153" t="s">
        <v>24</v>
      </c>
      <c r="M7" s="14"/>
      <c r="N7" s="14"/>
      <c r="O7" s="14"/>
      <c r="P7" s="14"/>
      <c r="Q7" s="14"/>
      <c r="R7" s="14"/>
      <c r="S7" s="14"/>
      <c r="T7" s="14"/>
      <c r="U7" s="1555"/>
      <c r="V7" s="1555"/>
      <c r="W7" s="1555"/>
      <c r="X7" s="1555"/>
      <c r="Y7" s="1555"/>
      <c r="Z7" s="1555"/>
      <c r="AA7" s="1555"/>
      <c r="AB7" s="1570"/>
      <c r="AC7" s="1555"/>
      <c r="AD7" s="1555"/>
      <c r="AE7" s="1555"/>
      <c r="AF7" s="1555"/>
      <c r="AG7" s="1563"/>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1571" t="s">
        <v>28</v>
      </c>
      <c r="B11" s="1572" t="s">
        <v>29</v>
      </c>
      <c r="C11" s="1573">
        <v>1</v>
      </c>
      <c r="D11" s="1573">
        <v>2</v>
      </c>
      <c r="E11" s="1573">
        <v>3</v>
      </c>
      <c r="F11" s="1573">
        <v>4</v>
      </c>
      <c r="G11" s="1573">
        <v>5</v>
      </c>
      <c r="H11" s="1574">
        <v>6</v>
      </c>
      <c r="I11" s="1574">
        <v>7</v>
      </c>
      <c r="J11" s="1573">
        <v>8</v>
      </c>
      <c r="K11" s="1573">
        <v>9</v>
      </c>
      <c r="L11" s="1573">
        <v>10</v>
      </c>
      <c r="M11" s="1573">
        <v>11</v>
      </c>
      <c r="N11" s="1573">
        <v>12</v>
      </c>
      <c r="O11" s="1574">
        <v>13</v>
      </c>
      <c r="P11" s="1574">
        <v>14</v>
      </c>
      <c r="Q11" s="1573">
        <v>15</v>
      </c>
      <c r="R11" s="1573">
        <v>16</v>
      </c>
      <c r="S11" s="1573">
        <v>17</v>
      </c>
      <c r="T11" s="1573">
        <v>18</v>
      </c>
      <c r="U11" s="1573">
        <v>19</v>
      </c>
      <c r="V11" s="1574">
        <v>20</v>
      </c>
      <c r="W11" s="1574">
        <v>21</v>
      </c>
      <c r="X11" s="1573">
        <v>22</v>
      </c>
      <c r="Y11" s="1573">
        <v>23</v>
      </c>
      <c r="Z11" s="1573">
        <v>24</v>
      </c>
      <c r="AA11" s="1573">
        <v>25</v>
      </c>
      <c r="AB11" s="1573">
        <v>26</v>
      </c>
      <c r="AC11" s="1574">
        <v>27</v>
      </c>
      <c r="AD11" s="1574">
        <v>28</v>
      </c>
      <c r="AE11" s="1573">
        <v>29</v>
      </c>
      <c r="AF11" s="1573">
        <v>30</v>
      </c>
      <c r="AG11" s="1575">
        <v>31</v>
      </c>
      <c r="AH11" s="173"/>
      <c r="AI11" s="174"/>
      <c r="AJ11" s="1576" t="s">
        <v>30</v>
      </c>
    </row>
    <row r="12" spans="1:38" ht="22.35" customHeight="1" x14ac:dyDescent="0.2">
      <c r="A12" s="1577">
        <v>8500</v>
      </c>
      <c r="B12" s="1578" t="s">
        <v>31</v>
      </c>
      <c r="C12" s="1579" t="s">
        <v>32</v>
      </c>
      <c r="D12" s="1579" t="s">
        <v>32</v>
      </c>
      <c r="E12" s="1580" t="s">
        <v>32</v>
      </c>
      <c r="F12" s="1581" t="s">
        <v>32</v>
      </c>
      <c r="G12" s="1581" t="s">
        <v>32</v>
      </c>
      <c r="H12" s="1579"/>
      <c r="I12" s="1582"/>
      <c r="J12" s="1580" t="s">
        <v>32</v>
      </c>
      <c r="K12" s="1579" t="s">
        <v>32</v>
      </c>
      <c r="L12" s="1579" t="s">
        <v>32</v>
      </c>
      <c r="M12" s="1581" t="s">
        <v>32</v>
      </c>
      <c r="N12" s="1581" t="s">
        <v>32</v>
      </c>
      <c r="O12" s="1579"/>
      <c r="P12" s="1582"/>
      <c r="Q12" s="183"/>
      <c r="R12" s="1583" t="s">
        <v>32</v>
      </c>
      <c r="S12" s="1583" t="s">
        <v>32</v>
      </c>
      <c r="T12" s="1584" t="s">
        <v>32</v>
      </c>
      <c r="U12" s="1583" t="s">
        <v>32</v>
      </c>
      <c r="V12" s="1583" t="s">
        <v>32</v>
      </c>
      <c r="W12" s="1583"/>
      <c r="X12" s="1583" t="s">
        <v>32</v>
      </c>
      <c r="Y12" s="1583" t="s">
        <v>32</v>
      </c>
      <c r="Z12" s="1583" t="s">
        <v>32</v>
      </c>
      <c r="AA12" s="1583" t="s">
        <v>32</v>
      </c>
      <c r="AB12" s="1583" t="s">
        <v>32</v>
      </c>
      <c r="AC12" s="1583"/>
      <c r="AD12" s="1583"/>
      <c r="AE12" s="1583" t="s">
        <v>32</v>
      </c>
      <c r="AF12" s="1583" t="s">
        <v>32</v>
      </c>
      <c r="AG12" s="1583" t="s">
        <v>32</v>
      </c>
      <c r="AH12" s="179"/>
      <c r="AI12" s="179"/>
      <c r="AJ12" s="1576">
        <v>160.33000000000001</v>
      </c>
    </row>
    <row r="13" spans="1:38" ht="22.35" customHeight="1" x14ac:dyDescent="0.2">
      <c r="A13" s="1585" t="s">
        <v>33</v>
      </c>
      <c r="B13" s="1586"/>
      <c r="C13" s="1586"/>
      <c r="D13" s="1586"/>
      <c r="E13" s="1586"/>
      <c r="F13" s="1586"/>
      <c r="G13" s="1586"/>
      <c r="H13" s="1586"/>
      <c r="I13" s="1586"/>
      <c r="J13" s="1586"/>
      <c r="K13" s="1586"/>
      <c r="L13" s="1586"/>
      <c r="M13" s="1586"/>
      <c r="N13" s="1586"/>
      <c r="O13" s="1586"/>
      <c r="P13" s="1586"/>
      <c r="Q13" s="1586"/>
      <c r="R13" s="1586"/>
      <c r="S13" s="1586"/>
      <c r="T13" s="1586"/>
      <c r="U13" s="1586"/>
      <c r="V13" s="1586"/>
      <c r="W13" s="1586"/>
      <c r="X13" s="1586"/>
      <c r="Y13" s="1586"/>
      <c r="Z13" s="1586"/>
      <c r="AA13" s="1586"/>
      <c r="AB13" s="1586"/>
      <c r="AC13" s="1586"/>
      <c r="AD13" s="1586"/>
      <c r="AE13" s="1586"/>
      <c r="AF13" s="1586"/>
      <c r="AG13" s="1587"/>
      <c r="AH13" s="177"/>
      <c r="AI13" s="177"/>
    </row>
    <row r="14" spans="1:38" ht="22.35" customHeight="1" x14ac:dyDescent="0.2">
      <c r="A14" s="1588">
        <v>8546</v>
      </c>
      <c r="B14" s="1578" t="s">
        <v>34</v>
      </c>
      <c r="C14" s="1589" t="s">
        <v>36</v>
      </c>
      <c r="D14" s="1589" t="s">
        <v>39</v>
      </c>
      <c r="E14" s="323" t="s">
        <v>36</v>
      </c>
      <c r="F14" s="1590" t="s">
        <v>36</v>
      </c>
      <c r="G14" s="1590" t="s">
        <v>36</v>
      </c>
      <c r="H14" s="1591"/>
      <c r="I14" s="1591"/>
      <c r="J14" s="1591">
        <v>4</v>
      </c>
      <c r="K14" s="1592">
        <v>4</v>
      </c>
      <c r="L14" s="1591">
        <v>4</v>
      </c>
      <c r="M14" s="1593">
        <v>4</v>
      </c>
      <c r="N14" s="1590">
        <v>4</v>
      </c>
      <c r="O14" s="1590" t="s">
        <v>35</v>
      </c>
      <c r="P14" s="1594" t="s">
        <v>35</v>
      </c>
      <c r="Q14" s="1503" t="s">
        <v>36</v>
      </c>
      <c r="R14" s="1503" t="s">
        <v>36</v>
      </c>
      <c r="S14" s="1503" t="s">
        <v>36</v>
      </c>
      <c r="T14" s="1503" t="s">
        <v>36</v>
      </c>
      <c r="U14" s="1503" t="s">
        <v>36</v>
      </c>
      <c r="V14" s="1503"/>
      <c r="W14" s="1503"/>
      <c r="X14" s="1503">
        <v>1</v>
      </c>
      <c r="Y14" s="1503">
        <v>1</v>
      </c>
      <c r="Z14" s="1503">
        <v>1</v>
      </c>
      <c r="AA14" s="1503">
        <v>1</v>
      </c>
      <c r="AB14" s="1503">
        <v>1</v>
      </c>
      <c r="AC14" s="1503"/>
      <c r="AD14" s="1503"/>
      <c r="AE14" s="1503">
        <v>2</v>
      </c>
      <c r="AF14" s="1503">
        <v>2</v>
      </c>
      <c r="AG14" s="1517">
        <v>2</v>
      </c>
      <c r="AH14" s="179"/>
      <c r="AI14" s="179"/>
    </row>
    <row r="15" spans="1:38" ht="22.35" customHeight="1" x14ac:dyDescent="0.2">
      <c r="A15" s="1588">
        <v>8546</v>
      </c>
      <c r="B15" s="1595" t="s">
        <v>38</v>
      </c>
      <c r="C15" s="1592">
        <v>2</v>
      </c>
      <c r="D15" s="1591">
        <v>2</v>
      </c>
      <c r="E15" s="1591">
        <v>2</v>
      </c>
      <c r="F15" s="1594">
        <v>2</v>
      </c>
      <c r="G15" s="1594">
        <v>2</v>
      </c>
      <c r="H15" s="1594" t="s">
        <v>37</v>
      </c>
      <c r="I15" s="1591" t="s">
        <v>37</v>
      </c>
      <c r="J15" s="1592" t="s">
        <v>36</v>
      </c>
      <c r="K15" s="1594" t="s">
        <v>36</v>
      </c>
      <c r="L15" s="1591" t="s">
        <v>36</v>
      </c>
      <c r="M15" s="1591" t="s">
        <v>36</v>
      </c>
      <c r="N15" s="1591" t="s">
        <v>36</v>
      </c>
      <c r="O15" s="1591"/>
      <c r="P15" s="1591"/>
      <c r="Q15" s="1591">
        <v>4</v>
      </c>
      <c r="R15" s="1591">
        <v>4</v>
      </c>
      <c r="S15" s="1591">
        <v>4</v>
      </c>
      <c r="T15" s="1591">
        <v>4</v>
      </c>
      <c r="U15" s="1591">
        <v>4</v>
      </c>
      <c r="V15" s="1591" t="s">
        <v>35</v>
      </c>
      <c r="W15" s="1591" t="s">
        <v>35</v>
      </c>
      <c r="X15" s="1591" t="s">
        <v>36</v>
      </c>
      <c r="Y15" s="1596" t="s">
        <v>36</v>
      </c>
      <c r="Z15" s="1596" t="s">
        <v>36</v>
      </c>
      <c r="AA15" s="1591" t="s">
        <v>36</v>
      </c>
      <c r="AB15" s="1591" t="s">
        <v>36</v>
      </c>
      <c r="AC15" s="1591"/>
      <c r="AD15" s="1591"/>
      <c r="AE15" s="1591">
        <v>1</v>
      </c>
      <c r="AF15" s="1591">
        <v>1</v>
      </c>
      <c r="AG15" s="1597">
        <v>1</v>
      </c>
      <c r="AH15" s="179"/>
      <c r="AI15" s="179"/>
      <c r="AL15" t="s">
        <v>0</v>
      </c>
    </row>
    <row r="16" spans="1:38" ht="22.35" customHeight="1" x14ac:dyDescent="0.2">
      <c r="A16" s="1588">
        <v>8546</v>
      </c>
      <c r="B16" s="1598" t="s">
        <v>40</v>
      </c>
      <c r="C16" s="1599" t="s">
        <v>36</v>
      </c>
      <c r="D16" s="1599" t="s">
        <v>36</v>
      </c>
      <c r="E16" s="1599" t="s">
        <v>36</v>
      </c>
      <c r="F16" s="1599" t="s">
        <v>36</v>
      </c>
      <c r="G16" s="1599" t="s">
        <v>36</v>
      </c>
      <c r="H16" s="1599"/>
      <c r="I16" s="1599"/>
      <c r="J16" s="1599">
        <v>1</v>
      </c>
      <c r="K16" s="1599">
        <v>1</v>
      </c>
      <c r="L16" s="1599">
        <v>1</v>
      </c>
      <c r="M16" s="1599">
        <v>1</v>
      </c>
      <c r="N16" s="1599">
        <v>1</v>
      </c>
      <c r="O16" s="1599"/>
      <c r="P16" s="1599"/>
      <c r="Q16" s="1600">
        <v>2</v>
      </c>
      <c r="R16" s="1600">
        <v>2</v>
      </c>
      <c r="S16" s="1601">
        <v>2</v>
      </c>
      <c r="T16" s="1601">
        <v>2</v>
      </c>
      <c r="U16" s="1601">
        <v>2</v>
      </c>
      <c r="V16" s="1601" t="s">
        <v>37</v>
      </c>
      <c r="W16" s="1602" t="s">
        <v>37</v>
      </c>
      <c r="X16" s="1601" t="s">
        <v>36</v>
      </c>
      <c r="Y16" s="1600" t="s">
        <v>36</v>
      </c>
      <c r="Z16" s="1603" t="s">
        <v>36</v>
      </c>
      <c r="AA16" s="1600" t="s">
        <v>36</v>
      </c>
      <c r="AB16" s="1600" t="s">
        <v>36</v>
      </c>
      <c r="AC16" s="1600"/>
      <c r="AD16" s="1601"/>
      <c r="AE16" s="1601">
        <v>4</v>
      </c>
      <c r="AF16" s="1601">
        <v>4</v>
      </c>
      <c r="AG16" s="1604">
        <v>4</v>
      </c>
      <c r="AH16" s="179"/>
      <c r="AI16" s="179"/>
    </row>
    <row r="17" spans="1:40" ht="22.35" customHeight="1" x14ac:dyDescent="0.2">
      <c r="A17" s="1588">
        <v>8546</v>
      </c>
      <c r="B17" s="1595" t="s">
        <v>41</v>
      </c>
      <c r="C17" s="1503">
        <v>4</v>
      </c>
      <c r="D17" s="1503">
        <v>4</v>
      </c>
      <c r="E17" s="1503">
        <v>4</v>
      </c>
      <c r="F17" s="1503">
        <v>4</v>
      </c>
      <c r="G17" s="1503">
        <v>4</v>
      </c>
      <c r="H17" s="1503" t="s">
        <v>35</v>
      </c>
      <c r="I17" s="1503" t="s">
        <v>35</v>
      </c>
      <c r="J17" s="1503" t="s">
        <v>36</v>
      </c>
      <c r="K17" s="1503" t="s">
        <v>36</v>
      </c>
      <c r="L17" s="1503" t="s">
        <v>36</v>
      </c>
      <c r="M17" s="1503" t="s">
        <v>36</v>
      </c>
      <c r="N17" s="1503" t="s">
        <v>36</v>
      </c>
      <c r="O17" s="1503"/>
      <c r="P17" s="1503"/>
      <c r="Q17" s="1590">
        <v>1</v>
      </c>
      <c r="R17" s="1590">
        <v>1</v>
      </c>
      <c r="S17">
        <v>1</v>
      </c>
      <c r="T17">
        <v>1</v>
      </c>
      <c r="U17" s="1591">
        <v>1</v>
      </c>
      <c r="V17" s="1591"/>
      <c r="W17" s="1591"/>
      <c r="X17">
        <v>1</v>
      </c>
      <c r="Y17" s="1591">
        <v>1</v>
      </c>
      <c r="Z17" s="1591">
        <v>1</v>
      </c>
      <c r="AA17" s="1605">
        <v>1</v>
      </c>
      <c r="AB17" s="1605">
        <v>1</v>
      </c>
      <c r="AC17" s="1605" t="s">
        <v>37</v>
      </c>
      <c r="AD17" s="1605" t="s">
        <v>37</v>
      </c>
      <c r="AE17" s="1605" t="s">
        <v>36</v>
      </c>
      <c r="AF17" s="1605" t="s">
        <v>36</v>
      </c>
      <c r="AG17" s="1606" t="s">
        <v>36</v>
      </c>
      <c r="AH17" s="179"/>
      <c r="AI17" s="179"/>
    </row>
    <row r="18" spans="1:40" ht="22.35" customHeight="1" x14ac:dyDescent="0.2">
      <c r="A18" s="1588">
        <v>8546</v>
      </c>
      <c r="B18" s="1598" t="s">
        <v>42</v>
      </c>
      <c r="C18" s="1592">
        <v>1</v>
      </c>
      <c r="D18" s="1607">
        <v>1</v>
      </c>
      <c r="E18" s="1607">
        <v>1</v>
      </c>
      <c r="F18" s="1591">
        <v>1</v>
      </c>
      <c r="G18" s="1608">
        <v>1</v>
      </c>
      <c r="H18" s="1591"/>
      <c r="I18" s="1591"/>
      <c r="J18" s="1594">
        <v>2</v>
      </c>
      <c r="K18" s="1594">
        <v>2</v>
      </c>
      <c r="L18" s="1591">
        <v>2</v>
      </c>
      <c r="M18" s="1594">
        <v>2</v>
      </c>
      <c r="N18" s="1594">
        <v>2</v>
      </c>
      <c r="O18" s="1591" t="s">
        <v>37</v>
      </c>
      <c r="P18" s="1594" t="s">
        <v>37</v>
      </c>
      <c r="Q18" t="s">
        <v>36</v>
      </c>
      <c r="R18" t="s">
        <v>36</v>
      </c>
      <c r="S18" s="1594" t="s">
        <v>36</v>
      </c>
      <c r="T18" s="1594" t="s">
        <v>36</v>
      </c>
      <c r="U18" s="1593" t="s">
        <v>36</v>
      </c>
      <c r="V18" s="1593"/>
      <c r="W18" s="1591"/>
      <c r="X18" s="1591">
        <v>4</v>
      </c>
      <c r="Y18" s="1591">
        <v>4</v>
      </c>
      <c r="Z18" s="1591">
        <v>4</v>
      </c>
      <c r="AA18" s="1591">
        <v>4</v>
      </c>
      <c r="AB18" s="1591">
        <v>4</v>
      </c>
      <c r="AC18" s="1609" t="s">
        <v>35</v>
      </c>
      <c r="AD18" s="1591" t="s">
        <v>35</v>
      </c>
      <c r="AE18" s="1591" t="s">
        <v>36</v>
      </c>
      <c r="AF18" s="1591" t="s">
        <v>36</v>
      </c>
      <c r="AG18" s="1597" t="s">
        <v>36</v>
      </c>
      <c r="AH18" s="179"/>
      <c r="AI18" s="179"/>
    </row>
    <row r="19" spans="1:40" ht="22.35" customHeight="1" thickBot="1" x14ac:dyDescent="0.25">
      <c r="A19" s="1610" t="s">
        <v>43</v>
      </c>
      <c r="B19" s="1611"/>
      <c r="C19" s="1612"/>
      <c r="D19" s="1612"/>
      <c r="E19" s="1612"/>
      <c r="F19" s="1612"/>
      <c r="G19" s="1612"/>
      <c r="H19" s="1612"/>
      <c r="I19" s="1612"/>
      <c r="J19" s="1612"/>
      <c r="K19" s="1612"/>
      <c r="L19" s="1612"/>
      <c r="M19" s="1612"/>
      <c r="N19" s="1612"/>
      <c r="O19" s="1612"/>
      <c r="P19" s="1612"/>
      <c r="Q19" s="1612"/>
      <c r="R19" s="1612"/>
      <c r="S19" s="1612"/>
      <c r="T19" s="1612"/>
      <c r="U19" s="1612"/>
      <c r="V19" s="1612"/>
      <c r="W19" s="1612"/>
      <c r="X19" s="1612"/>
      <c r="Y19" s="1612"/>
      <c r="Z19" s="1612"/>
      <c r="AA19" s="1612"/>
      <c r="AB19" s="1612"/>
      <c r="AC19" s="1612"/>
      <c r="AD19" s="1612"/>
      <c r="AE19" s="1612"/>
      <c r="AF19" s="1612"/>
      <c r="AG19" s="1613"/>
      <c r="AH19" s="177"/>
      <c r="AI19" s="177"/>
      <c r="AJ19" s="1576" t="s">
        <v>30</v>
      </c>
      <c r="AK19" s="1576" t="s">
        <v>44</v>
      </c>
      <c r="AL19" s="1576" t="s">
        <v>45</v>
      </c>
      <c r="AM19" s="1576" t="s">
        <v>46</v>
      </c>
      <c r="AN19" s="1576" t="s">
        <v>47</v>
      </c>
    </row>
    <row r="20" spans="1:40" ht="22.35" customHeight="1" x14ac:dyDescent="0.2">
      <c r="A20" s="1614">
        <v>8500</v>
      </c>
      <c r="B20" s="1615" t="s">
        <v>49</v>
      </c>
      <c r="C20" s="1616" t="s">
        <v>32</v>
      </c>
      <c r="D20" s="1616" t="s">
        <v>32</v>
      </c>
      <c r="E20" s="1616" t="s">
        <v>32</v>
      </c>
      <c r="F20" s="1616" t="s">
        <v>32</v>
      </c>
      <c r="G20" s="1616">
        <v>1</v>
      </c>
      <c r="H20" s="1616"/>
      <c r="I20" s="1617"/>
      <c r="J20" s="1616" t="s">
        <v>32</v>
      </c>
      <c r="K20" s="1616" t="s">
        <v>32</v>
      </c>
      <c r="L20" s="1616" t="s">
        <v>32</v>
      </c>
      <c r="M20" s="1616" t="s">
        <v>32</v>
      </c>
      <c r="N20" s="1616" t="s">
        <v>32</v>
      </c>
      <c r="O20" s="1616"/>
      <c r="P20" s="1617"/>
      <c r="Q20" s="1616" t="s">
        <v>32</v>
      </c>
      <c r="R20" s="1616" t="s">
        <v>32</v>
      </c>
      <c r="S20" s="340" t="s">
        <v>32</v>
      </c>
      <c r="T20" s="341" t="s">
        <v>32</v>
      </c>
      <c r="U20" s="1618" t="s">
        <v>51</v>
      </c>
      <c r="V20" s="1616"/>
      <c r="W20" s="1619"/>
      <c r="X20" s="1415" t="s">
        <v>32</v>
      </c>
      <c r="Y20" s="1415" t="s">
        <v>32</v>
      </c>
      <c r="Z20" s="1415" t="s">
        <v>32</v>
      </c>
      <c r="AA20" s="1415" t="s">
        <v>32</v>
      </c>
      <c r="AB20" s="1415" t="s">
        <v>32</v>
      </c>
      <c r="AC20" s="1415"/>
      <c r="AD20" s="1620"/>
      <c r="AE20" s="1415" t="s">
        <v>32</v>
      </c>
      <c r="AF20" s="1415" t="s">
        <v>32</v>
      </c>
      <c r="AG20" s="1415" t="s">
        <v>32</v>
      </c>
      <c r="AH20" s="179"/>
      <c r="AI20" s="179"/>
      <c r="AJ20" s="1621">
        <f>$AJ$12</f>
        <v>160.33000000000001</v>
      </c>
      <c r="AK20" s="1621"/>
      <c r="AL20" s="1621">
        <f>IF(AJ20="","",SUM(AJ20:AK20))</f>
        <v>160.33000000000001</v>
      </c>
      <c r="AM20" s="1622">
        <f>IF(AJ20="","",AL20-AJ20)</f>
        <v>0</v>
      </c>
      <c r="AN20" s="1622">
        <f>IF(AM20="","",AM20+'Juli 2022'!AN20)</f>
        <v>0</v>
      </c>
    </row>
    <row r="21" spans="1:40" ht="22.35" customHeight="1" x14ac:dyDescent="0.2">
      <c r="A21" s="1623">
        <v>8500</v>
      </c>
      <c r="B21" s="1624" t="s">
        <v>52</v>
      </c>
      <c r="C21" s="1591">
        <v>4</v>
      </c>
      <c r="D21" s="1591">
        <v>4</v>
      </c>
      <c r="E21" s="1591">
        <v>4</v>
      </c>
      <c r="F21" s="1591">
        <v>4</v>
      </c>
      <c r="G21" s="1591">
        <v>4</v>
      </c>
      <c r="H21" s="1591" t="s">
        <v>35</v>
      </c>
      <c r="I21" s="1591" t="s">
        <v>35</v>
      </c>
      <c r="J21" s="1579" t="s">
        <v>36</v>
      </c>
      <c r="K21" s="1579" t="s">
        <v>36</v>
      </c>
      <c r="L21" s="1579" t="s">
        <v>36</v>
      </c>
      <c r="M21" s="1581" t="s">
        <v>36</v>
      </c>
      <c r="N21" s="1581" t="s">
        <v>36</v>
      </c>
      <c r="O21" s="1579"/>
      <c r="P21" s="1582"/>
      <c r="Q21">
        <v>2</v>
      </c>
      <c r="R21" s="1579">
        <v>2</v>
      </c>
      <c r="S21" s="1579">
        <v>2</v>
      </c>
      <c r="T21" s="1581">
        <v>2</v>
      </c>
      <c r="U21" s="1581">
        <v>2</v>
      </c>
      <c r="V21" s="1579"/>
      <c r="W21" s="1582"/>
      <c r="X21" s="1579">
        <v>2</v>
      </c>
      <c r="Y21" s="1579">
        <v>2</v>
      </c>
      <c r="Z21">
        <v>2</v>
      </c>
      <c r="AA21" s="1581">
        <v>2</v>
      </c>
      <c r="AB21" s="1581">
        <v>2</v>
      </c>
      <c r="AC21" s="1579"/>
      <c r="AD21" s="1582"/>
      <c r="AE21" s="1591">
        <v>4</v>
      </c>
      <c r="AF21" s="1591">
        <v>4</v>
      </c>
      <c r="AG21" s="1597">
        <v>4</v>
      </c>
      <c r="AH21" s="179"/>
      <c r="AI21" s="179"/>
      <c r="AJ21" s="1621">
        <v>170.5</v>
      </c>
      <c r="AK21" s="1621">
        <v>9.5</v>
      </c>
      <c r="AL21" s="1621">
        <f t="shared" ref="AL21:AL23" si="0">IF(AJ21="","",SUM(AJ21:AK21))</f>
        <v>180</v>
      </c>
      <c r="AM21" s="1622">
        <f t="shared" ref="AM21:AM23" si="1">IF(AJ21="","",AL21-AJ21)</f>
        <v>9.5</v>
      </c>
      <c r="AN21" s="1622">
        <f>IF(AM21="","",AM21+'Juli 2022'!AN21)</f>
        <v>27.119999999999976</v>
      </c>
    </row>
    <row r="22" spans="1:40" ht="22.35" customHeight="1" x14ac:dyDescent="0.2">
      <c r="A22" s="1623">
        <v>8500</v>
      </c>
      <c r="B22" s="1578" t="s">
        <v>54</v>
      </c>
      <c r="C22" s="1579">
        <v>5</v>
      </c>
      <c r="D22" s="1579">
        <v>5</v>
      </c>
      <c r="E22" s="1579">
        <v>5</v>
      </c>
      <c r="F22" s="1581">
        <v>5</v>
      </c>
      <c r="G22" s="1581">
        <v>5</v>
      </c>
      <c r="H22" s="1625"/>
      <c r="I22" s="1625"/>
      <c r="J22" s="1625" t="s">
        <v>177</v>
      </c>
      <c r="K22" s="1625" t="s">
        <v>177</v>
      </c>
      <c r="L22" s="1625" t="s">
        <v>177</v>
      </c>
      <c r="M22" s="1625" t="s">
        <v>177</v>
      </c>
      <c r="N22" s="1625" t="s">
        <v>177</v>
      </c>
      <c r="O22" s="1626"/>
      <c r="P22" s="1626"/>
      <c r="Q22" s="1625" t="s">
        <v>264</v>
      </c>
      <c r="R22" s="1625" t="s">
        <v>264</v>
      </c>
      <c r="S22" s="1625" t="s">
        <v>264</v>
      </c>
      <c r="T22" s="1625" t="s">
        <v>264</v>
      </c>
      <c r="U22" s="1625" t="s">
        <v>264</v>
      </c>
      <c r="V22" s="1627" t="s">
        <v>37</v>
      </c>
      <c r="W22" s="1627" t="s">
        <v>37</v>
      </c>
      <c r="X22" s="1625" t="s">
        <v>264</v>
      </c>
      <c r="Y22" s="1625" t="s">
        <v>264</v>
      </c>
      <c r="Z22" t="s">
        <v>264</v>
      </c>
      <c r="AA22" s="1625" t="s">
        <v>264</v>
      </c>
      <c r="AB22" s="1625" t="s">
        <v>264</v>
      </c>
      <c r="AC22" s="1594"/>
      <c r="AD22" s="1591"/>
      <c r="AE22" s="1591">
        <v>2</v>
      </c>
      <c r="AF22" s="1591">
        <v>2</v>
      </c>
      <c r="AG22" s="1597">
        <v>2</v>
      </c>
      <c r="AH22" s="179"/>
      <c r="AI22" s="179"/>
      <c r="AJ22" s="1621">
        <v>172.5</v>
      </c>
      <c r="AK22" s="1621">
        <v>4.25</v>
      </c>
      <c r="AL22" s="1621">
        <f t="shared" si="0"/>
        <v>176.75</v>
      </c>
      <c r="AM22" s="1622">
        <f t="shared" si="1"/>
        <v>4.25</v>
      </c>
      <c r="AN22" s="1622">
        <f>IF(AM22="","",AM22+'Juli 2022'!AN22)</f>
        <v>14.019999999999975</v>
      </c>
    </row>
    <row r="23" spans="1:40" ht="22.35" customHeight="1" x14ac:dyDescent="0.2">
      <c r="A23" s="1623"/>
      <c r="B23" s="1624"/>
      <c r="C23" s="1582" t="s">
        <v>32</v>
      </c>
      <c r="D23" s="1628" t="s">
        <v>32</v>
      </c>
      <c r="E23" s="1581" t="s">
        <v>32</v>
      </c>
      <c r="F23" s="1581" t="s">
        <v>32</v>
      </c>
      <c r="G23" s="1581" t="s">
        <v>32</v>
      </c>
      <c r="H23" s="1629"/>
      <c r="I23" s="1629"/>
      <c r="J23" s="1582" t="s">
        <v>32</v>
      </c>
      <c r="K23" s="1628" t="s">
        <v>32</v>
      </c>
      <c r="L23" s="1581" t="s">
        <v>32</v>
      </c>
      <c r="M23" s="1581" t="s">
        <v>32</v>
      </c>
      <c r="N23" s="1581" t="s">
        <v>32</v>
      </c>
      <c r="O23" s="1629"/>
      <c r="P23" s="1629"/>
      <c r="Q23" s="1582" t="s">
        <v>32</v>
      </c>
      <c r="R23" s="1628" t="s">
        <v>32</v>
      </c>
      <c r="S23" s="1581" t="s">
        <v>32</v>
      </c>
      <c r="T23" s="1581" t="s">
        <v>32</v>
      </c>
      <c r="U23" s="1581" t="s">
        <v>32</v>
      </c>
      <c r="V23" s="1629"/>
      <c r="W23" s="1629"/>
      <c r="X23" s="1582" t="s">
        <v>32</v>
      </c>
      <c r="Y23" s="1628" t="s">
        <v>32</v>
      </c>
      <c r="Z23" s="1581" t="s">
        <v>32</v>
      </c>
      <c r="AA23" s="1581" t="s">
        <v>32</v>
      </c>
      <c r="AB23" s="1581" t="s">
        <v>32</v>
      </c>
      <c r="AC23" s="1629"/>
      <c r="AD23" s="1629"/>
      <c r="AE23" s="1582" t="s">
        <v>32</v>
      </c>
      <c r="AF23" s="1628" t="s">
        <v>32</v>
      </c>
      <c r="AG23" s="1581" t="s">
        <v>32</v>
      </c>
      <c r="AJ23" s="1621">
        <f t="shared" ref="AJ23" si="2">$AJ$12</f>
        <v>160.33000000000001</v>
      </c>
      <c r="AK23" s="1621"/>
      <c r="AL23" s="1621">
        <f t="shared" si="0"/>
        <v>160.33000000000001</v>
      </c>
      <c r="AM23" s="1622">
        <f t="shared" si="1"/>
        <v>0</v>
      </c>
      <c r="AN23" s="1622">
        <f>IF(AM23="","",AM23+'Juli 2022'!AN23)</f>
        <v>0</v>
      </c>
    </row>
    <row r="24" spans="1:40" ht="22.35" customHeight="1" thickBot="1" x14ac:dyDescent="0.25">
      <c r="A24" s="1630"/>
      <c r="B24" s="1631" t="s">
        <v>56</v>
      </c>
      <c r="C24" s="1632" t="s">
        <v>32</v>
      </c>
      <c r="D24" s="1632" t="s">
        <v>32</v>
      </c>
      <c r="E24" s="1632" t="s">
        <v>32</v>
      </c>
      <c r="F24" s="1632" t="s">
        <v>32</v>
      </c>
      <c r="G24" s="1632" t="s">
        <v>32</v>
      </c>
      <c r="H24" s="1632"/>
      <c r="I24" s="1632"/>
      <c r="J24" s="1632" t="s">
        <v>32</v>
      </c>
      <c r="K24" s="1632" t="s">
        <v>32</v>
      </c>
      <c r="L24" s="1632" t="s">
        <v>32</v>
      </c>
      <c r="M24" s="1632" t="s">
        <v>32</v>
      </c>
      <c r="N24" s="1632" t="s">
        <v>32</v>
      </c>
      <c r="O24" s="1632"/>
      <c r="P24" s="1632"/>
      <c r="Q24" s="1632" t="s">
        <v>32</v>
      </c>
      <c r="R24" s="1632" t="s">
        <v>32</v>
      </c>
      <c r="S24" s="1632" t="s">
        <v>32</v>
      </c>
      <c r="T24" s="1632" t="s">
        <v>32</v>
      </c>
      <c r="U24" s="1632" t="s">
        <v>32</v>
      </c>
      <c r="V24" s="1632"/>
      <c r="W24" s="1632"/>
      <c r="X24" s="1632" t="s">
        <v>32</v>
      </c>
      <c r="Y24" s="1632" t="s">
        <v>32</v>
      </c>
      <c r="Z24" s="1632" t="s">
        <v>32</v>
      </c>
      <c r="AA24" s="1632" t="s">
        <v>32</v>
      </c>
      <c r="AB24" s="1632" t="s">
        <v>32</v>
      </c>
      <c r="AC24" s="1632"/>
      <c r="AD24" s="1632"/>
      <c r="AE24" s="1632" t="s">
        <v>32</v>
      </c>
      <c r="AF24" s="1632" t="s">
        <v>32</v>
      </c>
      <c r="AG24" s="1632" t="s">
        <v>32</v>
      </c>
    </row>
    <row r="25" spans="1:40" ht="22.35" customHeight="1" x14ac:dyDescent="0.2">
      <c r="A25" s="363"/>
      <c r="B25" s="364"/>
      <c r="C25" s="337" t="s">
        <v>266</v>
      </c>
      <c r="D25" s="337" t="s">
        <v>266</v>
      </c>
      <c r="E25" s="337" t="s">
        <v>266</v>
      </c>
      <c r="F25" s="337" t="s">
        <v>266</v>
      </c>
      <c r="G25" s="337" t="s">
        <v>266</v>
      </c>
      <c r="I25" s="1579" t="s">
        <v>0</v>
      </c>
      <c r="J25" s="219" t="s">
        <v>266</v>
      </c>
      <c r="K25" s="337" t="s">
        <v>266</v>
      </c>
      <c r="L25" t="s">
        <v>0</v>
      </c>
      <c r="O25" t="s">
        <v>0</v>
      </c>
      <c r="P25" t="s">
        <v>0</v>
      </c>
      <c r="Q25" t="s">
        <v>0</v>
      </c>
      <c r="S25" t="s">
        <v>0</v>
      </c>
      <c r="V25" t="s">
        <v>0</v>
      </c>
      <c r="W25" t="s">
        <v>0</v>
      </c>
      <c r="X25" t="s">
        <v>0</v>
      </c>
      <c r="AC25" t="s">
        <v>0</v>
      </c>
      <c r="AD25" t="s">
        <v>0</v>
      </c>
      <c r="AE25">
        <v>21</v>
      </c>
      <c r="AF25">
        <v>21</v>
      </c>
      <c r="AG25">
        <v>21</v>
      </c>
    </row>
    <row r="26" spans="1:40" ht="22.35" customHeight="1" x14ac:dyDescent="0.2">
      <c r="A26" s="291"/>
      <c r="B26" s="199"/>
      <c r="I26" t="s">
        <v>0</v>
      </c>
      <c r="L26" t="s">
        <v>0</v>
      </c>
      <c r="M26" t="s">
        <v>0</v>
      </c>
      <c r="N26" t="s">
        <v>0</v>
      </c>
      <c r="U26">
        <v>3</v>
      </c>
    </row>
    <row r="27" spans="1:40" ht="22.35" customHeight="1" x14ac:dyDescent="0.2">
      <c r="A27" s="291"/>
      <c r="B27" s="199"/>
      <c r="P27" t="s">
        <v>0</v>
      </c>
      <c r="S27" t="s">
        <v>60</v>
      </c>
      <c r="T27" t="s">
        <v>60</v>
      </c>
      <c r="U27" t="s">
        <v>60</v>
      </c>
      <c r="Z27" s="1581" t="s">
        <v>0</v>
      </c>
      <c r="AA27" t="s">
        <v>0</v>
      </c>
      <c r="AB27" t="s">
        <v>0</v>
      </c>
    </row>
    <row r="28" spans="1:40" ht="22.35" customHeight="1" x14ac:dyDescent="0.2">
      <c r="A28" s="291"/>
      <c r="B28" s="199"/>
      <c r="X28" t="s">
        <v>0</v>
      </c>
      <c r="Y28" t="s">
        <v>0</v>
      </c>
      <c r="Z28" t="s">
        <v>0</v>
      </c>
      <c r="AA28" t="s">
        <v>0</v>
      </c>
      <c r="AB28" t="s">
        <v>0</v>
      </c>
    </row>
    <row r="29" spans="1:40" ht="22.35" customHeight="1" x14ac:dyDescent="0.2">
      <c r="A29" s="291"/>
      <c r="B29" s="199"/>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1316" t="s">
        <v>62</v>
      </c>
      <c r="B31" s="1633"/>
      <c r="C31" s="1633"/>
      <c r="D31" s="1634" t="s">
        <v>63</v>
      </c>
      <c r="E31" s="1635"/>
      <c r="F31" s="1635"/>
      <c r="G31" s="1635"/>
      <c r="H31" s="1635"/>
      <c r="I31" s="1635"/>
      <c r="J31" s="1635"/>
      <c r="K31" s="1635"/>
      <c r="L31" s="1635"/>
      <c r="M31" s="1636" t="s">
        <v>65</v>
      </c>
      <c r="N31" s="1635"/>
      <c r="O31" s="1635"/>
      <c r="P31" s="1635"/>
      <c r="Q31" s="1635"/>
      <c r="R31" s="1635"/>
      <c r="S31" s="1637"/>
      <c r="T31" s="4933" t="s">
        <v>66</v>
      </c>
      <c r="U31" s="4934"/>
      <c r="V31" s="4934"/>
      <c r="W31" s="4934"/>
      <c r="X31" s="4934"/>
      <c r="Y31" s="4934"/>
      <c r="Z31" s="4935"/>
      <c r="AA31" s="1638" t="s">
        <v>67</v>
      </c>
      <c r="AB31" s="1639"/>
      <c r="AC31" s="1639"/>
      <c r="AD31" s="1639"/>
      <c r="AE31" s="1639"/>
      <c r="AF31" s="1639"/>
      <c r="AG31" s="1640"/>
      <c r="AK31" s="1"/>
    </row>
    <row r="32" spans="1:40" ht="22.35" customHeight="1" x14ac:dyDescent="0.2">
      <c r="A32" s="878" t="s">
        <v>68</v>
      </c>
      <c r="B32" s="1568"/>
      <c r="C32" s="1568"/>
      <c r="D32" s="879" t="s">
        <v>69</v>
      </c>
      <c r="E32" s="880"/>
      <c r="F32" s="1555"/>
      <c r="G32" s="1555"/>
      <c r="H32" s="1555"/>
      <c r="I32" s="1555"/>
      <c r="J32" s="1555"/>
      <c r="K32" s="1555"/>
      <c r="L32" s="1563"/>
      <c r="M32" s="881" t="s">
        <v>70</v>
      </c>
      <c r="N32" s="1568"/>
      <c r="O32" s="882"/>
      <c r="P32" s="1568"/>
      <c r="Q32" s="1568"/>
      <c r="R32" s="1568"/>
      <c r="S32" s="883"/>
      <c r="T32" s="879" t="s">
        <v>71</v>
      </c>
      <c r="U32" s="1555"/>
      <c r="V32" s="880"/>
      <c r="W32" s="1555"/>
      <c r="X32" s="1555"/>
      <c r="Y32" s="1555"/>
      <c r="Z32" s="1563"/>
      <c r="AA32" s="159" t="s">
        <v>72</v>
      </c>
      <c r="AD32" s="100"/>
      <c r="AG32" s="103"/>
      <c r="AK32" s="1"/>
    </row>
    <row r="33" spans="1:38" ht="22.35" customHeight="1" x14ac:dyDescent="0.2">
      <c r="A33" s="884" t="s">
        <v>73</v>
      </c>
      <c r="B33" s="1555"/>
      <c r="C33" s="1555"/>
      <c r="D33" s="885"/>
      <c r="E33" s="1555"/>
      <c r="F33" s="1555"/>
      <c r="G33" s="1563"/>
      <c r="H33" s="1570" t="s">
        <v>74</v>
      </c>
      <c r="I33" s="1555"/>
      <c r="J33" s="1555"/>
      <c r="K33" s="1555"/>
      <c r="L33" s="1555"/>
      <c r="M33" s="886"/>
      <c r="N33" s="1555"/>
      <c r="O33" s="1555"/>
      <c r="P33" s="1555"/>
      <c r="Q33" s="1555"/>
      <c r="R33" s="1555"/>
      <c r="S33" s="1555"/>
      <c r="T33" s="885"/>
      <c r="U33" s="158" t="s">
        <v>75</v>
      </c>
      <c r="AA33" s="882"/>
      <c r="AB33" s="1568"/>
      <c r="AC33" s="1568"/>
      <c r="AD33" s="1568"/>
      <c r="AE33" s="1568"/>
      <c r="AF33" s="1568"/>
      <c r="AG33" s="887"/>
      <c r="AK33" s="64"/>
    </row>
    <row r="34" spans="1:38" ht="22.35" customHeight="1" thickBot="1" x14ac:dyDescent="0.25">
      <c r="A34" s="631" t="s">
        <v>76</v>
      </c>
      <c r="B34" s="734"/>
      <c r="C34" s="734"/>
      <c r="D34" s="888"/>
      <c r="E34" s="734"/>
      <c r="F34" s="734"/>
      <c r="G34" s="889"/>
      <c r="H34" s="890" t="s">
        <v>77</v>
      </c>
      <c r="I34" s="889"/>
      <c r="J34" s="734"/>
      <c r="K34" s="734"/>
      <c r="L34" s="734"/>
      <c r="M34" s="891"/>
      <c r="N34" s="734"/>
      <c r="O34" s="734"/>
      <c r="P34" s="734"/>
      <c r="Q34" s="892"/>
      <c r="R34" s="892"/>
      <c r="S34" s="892"/>
      <c r="T34" s="888"/>
      <c r="U34" s="893" t="s">
        <v>78</v>
      </c>
      <c r="V34" s="734"/>
      <c r="W34" s="734"/>
      <c r="X34" s="734"/>
      <c r="Y34" s="734"/>
      <c r="Z34" s="734"/>
      <c r="AA34" s="734"/>
      <c r="AB34" s="734"/>
      <c r="AC34" s="734"/>
      <c r="AD34" s="734"/>
      <c r="AE34" s="734"/>
      <c r="AF34" s="734"/>
      <c r="AG34" s="89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895" t="s">
        <v>28</v>
      </c>
      <c r="B36" s="748" t="s">
        <v>29</v>
      </c>
      <c r="C36" s="1573">
        <v>1</v>
      </c>
      <c r="D36" s="1573">
        <v>2</v>
      </c>
      <c r="E36" s="1573">
        <v>3</v>
      </c>
      <c r="F36" s="1573">
        <v>4</v>
      </c>
      <c r="G36" s="1573">
        <v>5</v>
      </c>
      <c r="H36" s="1574">
        <v>6</v>
      </c>
      <c r="I36" s="1574">
        <v>7</v>
      </c>
      <c r="J36" s="1573">
        <v>8</v>
      </c>
      <c r="K36" s="1573">
        <v>9</v>
      </c>
      <c r="L36" s="1573">
        <v>10</v>
      </c>
      <c r="M36" s="1573">
        <v>11</v>
      </c>
      <c r="N36" s="1573">
        <v>12</v>
      </c>
      <c r="O36" s="1574">
        <v>13</v>
      </c>
      <c r="P36" s="1574">
        <v>14</v>
      </c>
      <c r="Q36" s="1573">
        <v>15</v>
      </c>
      <c r="R36" s="1573">
        <v>16</v>
      </c>
      <c r="S36" s="1573">
        <v>17</v>
      </c>
      <c r="T36" s="1573">
        <v>18</v>
      </c>
      <c r="U36" s="1573">
        <v>19</v>
      </c>
      <c r="V36" s="1574">
        <v>20</v>
      </c>
      <c r="W36" s="1574">
        <v>21</v>
      </c>
      <c r="X36" s="1573">
        <v>22</v>
      </c>
      <c r="Y36" s="1573">
        <v>23</v>
      </c>
      <c r="Z36" s="1573">
        <v>24</v>
      </c>
      <c r="AA36" s="1573">
        <v>25</v>
      </c>
      <c r="AB36" s="1573">
        <v>26</v>
      </c>
      <c r="AC36" s="1574">
        <v>27</v>
      </c>
      <c r="AD36" s="1574">
        <v>28</v>
      </c>
      <c r="AE36" s="1573">
        <v>29</v>
      </c>
      <c r="AF36" s="1573">
        <v>30</v>
      </c>
      <c r="AG36" s="1575">
        <v>31</v>
      </c>
      <c r="AH36" s="173"/>
      <c r="AI36" s="174"/>
      <c r="AL36" t="s">
        <v>0</v>
      </c>
    </row>
    <row r="37" spans="1:38" ht="22.35" customHeight="1" thickBot="1" x14ac:dyDescent="0.25">
      <c r="A37" s="1641">
        <v>1</v>
      </c>
      <c r="B37" s="1642" t="s">
        <v>79</v>
      </c>
      <c r="C37" s="1643" t="s">
        <v>36</v>
      </c>
      <c r="D37" s="1643" t="s">
        <v>36</v>
      </c>
      <c r="E37" s="1643" t="s">
        <v>36</v>
      </c>
      <c r="F37" s="1643" t="s">
        <v>36</v>
      </c>
      <c r="G37" s="1643" t="s">
        <v>36</v>
      </c>
      <c r="H37" s="1643"/>
      <c r="I37" s="1643"/>
      <c r="J37" s="1643">
        <v>1</v>
      </c>
      <c r="K37" s="1643">
        <v>1</v>
      </c>
      <c r="L37" s="1643">
        <v>1</v>
      </c>
      <c r="M37" s="1643">
        <v>1</v>
      </c>
      <c r="N37" s="1643">
        <v>1</v>
      </c>
      <c r="O37" s="1643"/>
      <c r="P37" s="1643"/>
      <c r="Q37" s="1644">
        <v>9</v>
      </c>
      <c r="R37" s="1616">
        <v>9</v>
      </c>
      <c r="S37" s="1645">
        <v>9</v>
      </c>
      <c r="T37" s="1645">
        <v>9</v>
      </c>
      <c r="U37" s="1645">
        <v>9</v>
      </c>
      <c r="V37" s="1645" t="s">
        <v>80</v>
      </c>
      <c r="W37" s="1645" t="s">
        <v>81</v>
      </c>
      <c r="X37" s="1644" t="s">
        <v>36</v>
      </c>
      <c r="Y37" s="1646" t="s">
        <v>36</v>
      </c>
      <c r="Z37" s="1645" t="s">
        <v>36</v>
      </c>
      <c r="AA37" s="1645" t="s">
        <v>36</v>
      </c>
      <c r="AB37" s="1644" t="s">
        <v>36</v>
      </c>
      <c r="AC37" s="1618" t="s">
        <v>82</v>
      </c>
      <c r="AD37" s="1618" t="s">
        <v>388</v>
      </c>
      <c r="AE37" s="1647">
        <v>6</v>
      </c>
      <c r="AF37" s="1647">
        <v>6</v>
      </c>
      <c r="AG37" s="1648">
        <v>6</v>
      </c>
      <c r="AH37" s="178"/>
      <c r="AI37" s="179"/>
    </row>
    <row r="38" spans="1:38" ht="22.35" customHeight="1" x14ac:dyDescent="0.2">
      <c r="A38" s="904">
        <v>6</v>
      </c>
      <c r="B38" s="1578" t="s">
        <v>84</v>
      </c>
      <c r="C38" s="810" t="s">
        <v>36</v>
      </c>
      <c r="D38" s="810" t="s">
        <v>36</v>
      </c>
      <c r="E38" s="1645" t="s">
        <v>36</v>
      </c>
      <c r="F38" s="1645" t="s">
        <v>36</v>
      </c>
      <c r="G38" s="1645" t="s">
        <v>36</v>
      </c>
      <c r="H38" s="810" t="s">
        <v>36</v>
      </c>
      <c r="I38" s="1590"/>
      <c r="J38" s="1590">
        <v>5</v>
      </c>
      <c r="K38" s="1590">
        <v>5</v>
      </c>
      <c r="L38" s="1590">
        <v>5</v>
      </c>
      <c r="M38" s="1590">
        <v>5</v>
      </c>
      <c r="N38" s="1590">
        <v>5</v>
      </c>
      <c r="O38" s="1590"/>
      <c r="P38" s="1590"/>
      <c r="Q38" s="1590">
        <v>10</v>
      </c>
      <c r="R38" s="1590">
        <v>10</v>
      </c>
      <c r="S38" s="1590">
        <v>10</v>
      </c>
      <c r="T38" s="1590">
        <v>10</v>
      </c>
      <c r="U38" s="1590">
        <v>10</v>
      </c>
      <c r="V38" s="1590" t="s">
        <v>81</v>
      </c>
      <c r="W38" s="1590" t="s">
        <v>81</v>
      </c>
      <c r="X38" s="1590" t="s">
        <v>36</v>
      </c>
      <c r="Y38" s="1646" t="s">
        <v>36</v>
      </c>
      <c r="Z38" s="1645" t="s">
        <v>36</v>
      </c>
      <c r="AA38" s="1590" t="s">
        <v>36</v>
      </c>
      <c r="AB38" s="1590" t="s">
        <v>36</v>
      </c>
      <c r="AC38" s="1590" t="s">
        <v>57</v>
      </c>
      <c r="AD38" s="1590" t="s">
        <v>57</v>
      </c>
      <c r="AE38" s="1590">
        <v>7</v>
      </c>
      <c r="AF38" s="1590">
        <v>7</v>
      </c>
      <c r="AG38" s="1199">
        <v>7</v>
      </c>
      <c r="AH38" s="178"/>
      <c r="AI38" s="179"/>
    </row>
    <row r="39" spans="1:38" ht="22.35" customHeight="1" thickBot="1" x14ac:dyDescent="0.25">
      <c r="A39" s="673">
        <v>11</v>
      </c>
      <c r="B39" s="905" t="s">
        <v>85</v>
      </c>
      <c r="C39" s="908" t="s">
        <v>32</v>
      </c>
      <c r="D39" s="908" t="s">
        <v>32</v>
      </c>
      <c r="E39" s="1649" t="s">
        <v>32</v>
      </c>
      <c r="F39" s="908" t="s">
        <v>32</v>
      </c>
      <c r="G39" s="908" t="s">
        <v>32</v>
      </c>
      <c r="H39" s="908"/>
      <c r="I39" s="907"/>
      <c r="J39" s="908" t="s">
        <v>32</v>
      </c>
      <c r="K39" s="908" t="s">
        <v>32</v>
      </c>
      <c r="L39" s="1649" t="s">
        <v>32</v>
      </c>
      <c r="M39" s="908" t="s">
        <v>32</v>
      </c>
      <c r="N39" s="908" t="s">
        <v>32</v>
      </c>
      <c r="O39" s="907"/>
      <c r="P39" s="908"/>
      <c r="Q39" s="908" t="s">
        <v>32</v>
      </c>
      <c r="R39" s="908" t="s">
        <v>32</v>
      </c>
      <c r="S39" s="1649" t="s">
        <v>32</v>
      </c>
      <c r="T39" s="908" t="s">
        <v>32</v>
      </c>
      <c r="U39" s="908" t="s">
        <v>32</v>
      </c>
      <c r="V39" s="910" t="s">
        <v>0</v>
      </c>
      <c r="W39" s="910" t="s">
        <v>0</v>
      </c>
      <c r="X39" s="908" t="s">
        <v>32</v>
      </c>
      <c r="Y39" s="908" t="s">
        <v>32</v>
      </c>
      <c r="Z39" s="1649" t="s">
        <v>32</v>
      </c>
      <c r="AA39" s="908" t="s">
        <v>32</v>
      </c>
      <c r="AB39" s="1646" t="s">
        <v>32</v>
      </c>
      <c r="AC39" s="930" t="s">
        <v>0</v>
      </c>
      <c r="AD39" s="930" t="s">
        <v>0</v>
      </c>
      <c r="AE39" s="908" t="s">
        <v>32</v>
      </c>
      <c r="AF39" s="908" t="s">
        <v>32</v>
      </c>
      <c r="AG39" s="1649" t="s">
        <v>32</v>
      </c>
      <c r="AH39" s="178"/>
      <c r="AI39" s="179"/>
    </row>
    <row r="40" spans="1:38" ht="22.35" customHeight="1" x14ac:dyDescent="0.2">
      <c r="A40" s="1641">
        <v>2</v>
      </c>
      <c r="B40" s="172" t="s">
        <v>88</v>
      </c>
      <c r="C40" s="1618">
        <v>1</v>
      </c>
      <c r="D40" s="1618">
        <v>1</v>
      </c>
      <c r="E40" s="1618">
        <v>1</v>
      </c>
      <c r="F40" s="1618">
        <v>1</v>
      </c>
      <c r="G40" s="1618" t="s">
        <v>377</v>
      </c>
      <c r="H40" s="1645"/>
      <c r="I40" s="1645"/>
      <c r="J40" s="1616">
        <v>9</v>
      </c>
      <c r="K40" s="1616">
        <v>9</v>
      </c>
      <c r="L40" s="1645">
        <v>9</v>
      </c>
      <c r="M40" s="1645">
        <v>9</v>
      </c>
      <c r="N40" s="1645">
        <v>9</v>
      </c>
      <c r="O40" s="1644" t="s">
        <v>80</v>
      </c>
      <c r="P40" s="1645" t="s">
        <v>81</v>
      </c>
      <c r="Q40" s="1644" t="s">
        <v>36</v>
      </c>
      <c r="R40" s="1644" t="s">
        <v>36</v>
      </c>
      <c r="S40" s="1644" t="s">
        <v>36</v>
      </c>
      <c r="T40" s="1650" t="s">
        <v>36</v>
      </c>
      <c r="U40" s="1644" t="s">
        <v>36</v>
      </c>
      <c r="V40" s="1644" t="s">
        <v>82</v>
      </c>
      <c r="W40" s="1644" t="s">
        <v>83</v>
      </c>
      <c r="X40" s="1644">
        <v>6</v>
      </c>
      <c r="Y40" s="1645">
        <v>6</v>
      </c>
      <c r="Z40" s="1645">
        <v>6</v>
      </c>
      <c r="AA40" s="1645">
        <v>6</v>
      </c>
      <c r="AB40" s="1645">
        <v>6</v>
      </c>
      <c r="AC40" s="1644"/>
      <c r="AD40" s="1644"/>
      <c r="AE40" s="1645" t="s">
        <v>36</v>
      </c>
      <c r="AF40" s="1645" t="s">
        <v>36</v>
      </c>
      <c r="AG40" s="1651" t="s">
        <v>36</v>
      </c>
      <c r="AH40" s="178"/>
      <c r="AI40" s="179"/>
    </row>
    <row r="41" spans="1:38" ht="22.35" customHeight="1" x14ac:dyDescent="0.2">
      <c r="A41" s="904">
        <v>7</v>
      </c>
      <c r="B41" s="1595" t="s">
        <v>91</v>
      </c>
      <c r="C41" s="1206" t="s">
        <v>36</v>
      </c>
      <c r="D41" s="1206" t="s">
        <v>36</v>
      </c>
      <c r="E41" s="1206" t="s">
        <v>36</v>
      </c>
      <c r="F41" s="1206" t="s">
        <v>36</v>
      </c>
      <c r="G41" s="1206" t="s">
        <v>36</v>
      </c>
      <c r="H41" s="1206"/>
      <c r="I41" s="1206"/>
      <c r="J41" s="1206">
        <v>1</v>
      </c>
      <c r="K41" s="1206">
        <v>1</v>
      </c>
      <c r="L41" s="1206">
        <v>1</v>
      </c>
      <c r="M41" s="1206">
        <v>1</v>
      </c>
      <c r="N41" s="1206">
        <v>1</v>
      </c>
      <c r="O41" s="1206"/>
      <c r="P41" s="1206"/>
      <c r="Q41" s="1503" t="s">
        <v>36</v>
      </c>
      <c r="R41" s="1503" t="s">
        <v>36</v>
      </c>
      <c r="S41" s="1503" t="s">
        <v>36</v>
      </c>
      <c r="T41" s="1503" t="s">
        <v>36</v>
      </c>
      <c r="U41" s="1503" t="s">
        <v>36</v>
      </c>
      <c r="V41" s="1503" t="s">
        <v>57</v>
      </c>
      <c r="W41" s="1503" t="s">
        <v>57</v>
      </c>
      <c r="X41" s="1503">
        <v>7</v>
      </c>
      <c r="Y41" s="1503">
        <v>7</v>
      </c>
      <c r="Z41" s="1503">
        <v>7</v>
      </c>
      <c r="AA41" s="1503">
        <v>7</v>
      </c>
      <c r="AB41" s="1503">
        <v>7</v>
      </c>
      <c r="AC41" s="1503"/>
      <c r="AD41" s="1503"/>
      <c r="AE41" s="1503">
        <v>4</v>
      </c>
      <c r="AF41" s="1503">
        <v>4</v>
      </c>
      <c r="AG41" s="1517">
        <v>4</v>
      </c>
      <c r="AH41" s="178"/>
      <c r="AI41" s="179"/>
    </row>
    <row r="42" spans="1:38" ht="22.35" customHeight="1" thickBot="1" x14ac:dyDescent="0.25">
      <c r="A42" s="673">
        <v>12</v>
      </c>
      <c r="B42" s="539" t="s">
        <v>93</v>
      </c>
      <c r="C42" s="907">
        <v>3</v>
      </c>
      <c r="D42" s="907">
        <v>3</v>
      </c>
      <c r="E42" s="907">
        <v>3</v>
      </c>
      <c r="F42" s="907">
        <v>3</v>
      </c>
      <c r="G42" s="907">
        <v>3</v>
      </c>
      <c r="H42" s="907"/>
      <c r="I42" s="908"/>
      <c r="J42" s="908">
        <v>11</v>
      </c>
      <c r="K42" s="1573">
        <v>11</v>
      </c>
      <c r="L42" s="908">
        <v>11</v>
      </c>
      <c r="M42" s="908">
        <v>11</v>
      </c>
      <c r="N42" s="908">
        <v>11</v>
      </c>
      <c r="O42" s="908" t="s">
        <v>94</v>
      </c>
      <c r="P42" s="908" t="s">
        <v>94</v>
      </c>
      <c r="Q42" s="908" t="s">
        <v>36</v>
      </c>
      <c r="R42" s="920" t="s">
        <v>36</v>
      </c>
      <c r="S42" s="920" t="s">
        <v>36</v>
      </c>
      <c r="T42" s="1650" t="s">
        <v>36</v>
      </c>
      <c r="U42" s="920" t="s">
        <v>36</v>
      </c>
      <c r="V42" s="930" t="s">
        <v>83</v>
      </c>
      <c r="W42" s="930" t="s">
        <v>83</v>
      </c>
      <c r="X42" s="908">
        <v>8</v>
      </c>
      <c r="Y42" s="908">
        <v>8</v>
      </c>
      <c r="Z42" s="908">
        <v>8</v>
      </c>
      <c r="AA42" s="908">
        <v>8</v>
      </c>
      <c r="AB42" s="908">
        <v>8</v>
      </c>
      <c r="AC42" s="1573"/>
      <c r="AD42" s="1573"/>
      <c r="AE42" s="920" t="s">
        <v>36</v>
      </c>
      <c r="AF42" s="920" t="s">
        <v>36</v>
      </c>
      <c r="AG42" s="920" t="s">
        <v>36</v>
      </c>
      <c r="AH42" s="178"/>
      <c r="AI42" s="179"/>
    </row>
    <row r="43" spans="1:38" ht="22.35" customHeight="1" x14ac:dyDescent="0.2">
      <c r="A43" s="1641">
        <v>3</v>
      </c>
      <c r="B43" s="1652" t="s">
        <v>96</v>
      </c>
      <c r="C43" s="1653">
        <v>9</v>
      </c>
      <c r="D43" s="1653">
        <v>9</v>
      </c>
      <c r="E43" s="1653">
        <v>9</v>
      </c>
      <c r="F43" s="1653">
        <v>9</v>
      </c>
      <c r="G43" s="1653">
        <v>9</v>
      </c>
      <c r="H43" s="1653" t="s">
        <v>80</v>
      </c>
      <c r="I43" s="1653" t="s">
        <v>81</v>
      </c>
      <c r="J43" s="1653" t="s">
        <v>36</v>
      </c>
      <c r="K43" s="1653" t="s">
        <v>36</v>
      </c>
      <c r="L43" s="1653" t="s">
        <v>36</v>
      </c>
      <c r="M43" s="1653" t="s">
        <v>36</v>
      </c>
      <c r="N43" s="1653" t="s">
        <v>36</v>
      </c>
      <c r="O43" s="1653" t="s">
        <v>82</v>
      </c>
      <c r="P43" s="1653" t="s">
        <v>83</v>
      </c>
      <c r="Q43" s="1654">
        <v>6</v>
      </c>
      <c r="R43" s="1655">
        <v>6</v>
      </c>
      <c r="S43" s="1655">
        <v>6</v>
      </c>
      <c r="T43" s="1655">
        <v>6</v>
      </c>
      <c r="U43" s="1655">
        <v>6</v>
      </c>
      <c r="V43" s="1654"/>
      <c r="W43" s="1654"/>
      <c r="X43" s="1656" t="s">
        <v>36</v>
      </c>
      <c r="Y43" s="1655" t="s">
        <v>36</v>
      </c>
      <c r="Z43" s="1655" t="s">
        <v>36</v>
      </c>
      <c r="AA43" s="1655" t="s">
        <v>36</v>
      </c>
      <c r="AB43" s="1655" t="s">
        <v>36</v>
      </c>
      <c r="AC43" s="1657"/>
      <c r="AD43" s="1655"/>
      <c r="AE43" s="1655">
        <v>5</v>
      </c>
      <c r="AF43" s="1655">
        <v>5</v>
      </c>
      <c r="AG43" s="1658">
        <v>5</v>
      </c>
      <c r="AH43" s="178"/>
      <c r="AI43" s="179"/>
    </row>
    <row r="44" spans="1:38" ht="22.35" customHeight="1" x14ac:dyDescent="0.2">
      <c r="A44" s="904">
        <v>8</v>
      </c>
      <c r="B44" s="1595" t="s">
        <v>97</v>
      </c>
      <c r="C44" s="816">
        <v>10</v>
      </c>
      <c r="D44" s="816">
        <v>10</v>
      </c>
      <c r="E44" s="816">
        <v>10</v>
      </c>
      <c r="F44" s="816">
        <v>10</v>
      </c>
      <c r="G44" s="1594">
        <v>10</v>
      </c>
      <c r="H44" s="1594" t="s">
        <v>81</v>
      </c>
      <c r="I44" s="868" t="s">
        <v>81</v>
      </c>
      <c r="J44" s="1593" t="s">
        <v>36</v>
      </c>
      <c r="K44" s="1590" t="s">
        <v>36</v>
      </c>
      <c r="L44" s="1590" t="s">
        <v>36</v>
      </c>
      <c r="M44" s="1590" t="s">
        <v>36</v>
      </c>
      <c r="N44" s="1594" t="s">
        <v>36</v>
      </c>
      <c r="O44" s="1607" t="s">
        <v>57</v>
      </c>
      <c r="P44" s="1607" t="s">
        <v>57</v>
      </c>
      <c r="Q44" s="1607">
        <v>7</v>
      </c>
      <c r="R44" s="1607">
        <v>7</v>
      </c>
      <c r="S44" s="1607">
        <v>7</v>
      </c>
      <c r="T44" s="1607">
        <v>7</v>
      </c>
      <c r="U44" s="1607">
        <v>7</v>
      </c>
      <c r="V44" s="868"/>
      <c r="W44" s="868"/>
      <c r="X44" s="1593">
        <v>4</v>
      </c>
      <c r="Y44" s="1646">
        <v>4</v>
      </c>
      <c r="Z44" s="868">
        <v>4</v>
      </c>
      <c r="AA44" s="868">
        <v>4</v>
      </c>
      <c r="AB44" s="868">
        <v>4</v>
      </c>
      <c r="AC44" s="868"/>
      <c r="AD44" s="1594"/>
      <c r="AE44" s="1594">
        <v>3</v>
      </c>
      <c r="AF44" s="816">
        <v>3</v>
      </c>
      <c r="AG44" s="917">
        <v>3</v>
      </c>
      <c r="AH44" s="178"/>
      <c r="AI44" s="179"/>
    </row>
    <row r="45" spans="1:38" ht="22.35" customHeight="1" thickBot="1" x14ac:dyDescent="0.25">
      <c r="A45" s="673">
        <v>13</v>
      </c>
      <c r="B45" s="905" t="s">
        <v>98</v>
      </c>
      <c r="C45" s="1573">
        <v>11</v>
      </c>
      <c r="D45" s="1573">
        <v>11</v>
      </c>
      <c r="E45" s="908">
        <v>11</v>
      </c>
      <c r="F45" s="908">
        <v>11</v>
      </c>
      <c r="G45" s="908">
        <v>11</v>
      </c>
      <c r="H45" s="908" t="s">
        <v>94</v>
      </c>
      <c r="I45" s="908" t="s">
        <v>94</v>
      </c>
      <c r="J45" s="1573" t="s">
        <v>36</v>
      </c>
      <c r="K45" s="908" t="s">
        <v>36</v>
      </c>
      <c r="L45" s="930" t="s">
        <v>36</v>
      </c>
      <c r="M45" s="908" t="s">
        <v>36</v>
      </c>
      <c r="N45" s="930" t="s">
        <v>36</v>
      </c>
      <c r="O45" s="911" t="s">
        <v>83</v>
      </c>
      <c r="P45" s="911" t="s">
        <v>83</v>
      </c>
      <c r="Q45" s="911">
        <v>8</v>
      </c>
      <c r="R45" s="911">
        <v>8</v>
      </c>
      <c r="S45" s="911">
        <v>8</v>
      </c>
      <c r="T45" s="911">
        <v>8</v>
      </c>
      <c r="U45" s="911">
        <v>8</v>
      </c>
      <c r="V45" s="911"/>
      <c r="W45" s="911"/>
      <c r="X45" s="911" t="s">
        <v>36</v>
      </c>
      <c r="Y45" s="911" t="s">
        <v>36</v>
      </c>
      <c r="Z45" s="911" t="s">
        <v>36</v>
      </c>
      <c r="AA45" s="911" t="s">
        <v>36</v>
      </c>
      <c r="AB45" s="911" t="s">
        <v>36</v>
      </c>
      <c r="AC45" s="911"/>
      <c r="AD45" s="911"/>
      <c r="AE45" s="911">
        <v>1</v>
      </c>
      <c r="AF45" s="911">
        <v>1</v>
      </c>
      <c r="AG45" s="912">
        <v>1</v>
      </c>
      <c r="AH45" s="178"/>
      <c r="AI45" s="179"/>
    </row>
    <row r="46" spans="1:38" ht="22.35" customHeight="1" x14ac:dyDescent="0.2">
      <c r="A46" s="1641">
        <v>4</v>
      </c>
      <c r="B46" s="1642" t="s">
        <v>389</v>
      </c>
      <c r="C46" s="1645" t="s">
        <v>36</v>
      </c>
      <c r="D46" s="1659" t="s">
        <v>36</v>
      </c>
      <c r="E46" s="810" t="s">
        <v>36</v>
      </c>
      <c r="F46" s="810" t="s">
        <v>36</v>
      </c>
      <c r="G46" s="810" t="s">
        <v>36</v>
      </c>
      <c r="H46" s="1616" t="s">
        <v>82</v>
      </c>
      <c r="I46" s="1616" t="s">
        <v>83</v>
      </c>
      <c r="J46" s="1616">
        <v>6</v>
      </c>
      <c r="K46" s="1660">
        <v>6</v>
      </c>
      <c r="L46" s="1616">
        <v>6</v>
      </c>
      <c r="M46" s="1660">
        <v>6</v>
      </c>
      <c r="N46" s="1660">
        <v>6</v>
      </c>
      <c r="O46" s="810" t="s">
        <v>0</v>
      </c>
      <c r="P46" s="1616"/>
      <c r="Q46" s="1415" t="s">
        <v>36</v>
      </c>
      <c r="R46" s="1415" t="s">
        <v>36</v>
      </c>
      <c r="S46" s="1415" t="s">
        <v>36</v>
      </c>
      <c r="T46" s="1661" t="s">
        <v>36</v>
      </c>
      <c r="U46" s="1661" t="s">
        <v>36</v>
      </c>
      <c r="V46" s="1662"/>
      <c r="W46" s="1661"/>
      <c r="X46" s="1661">
        <v>5</v>
      </c>
      <c r="Y46" s="1415">
        <v>5</v>
      </c>
      <c r="Z46" s="1661">
        <v>5</v>
      </c>
      <c r="AA46" s="1661">
        <v>5</v>
      </c>
      <c r="AB46" s="1661">
        <v>5</v>
      </c>
      <c r="AC46" s="1661"/>
      <c r="AD46" s="1661"/>
      <c r="AE46" s="1663">
        <v>10</v>
      </c>
      <c r="AF46" s="1661">
        <v>10</v>
      </c>
      <c r="AG46" s="1664">
        <v>10</v>
      </c>
      <c r="AH46" s="178"/>
      <c r="AI46" s="179"/>
    </row>
    <row r="47" spans="1:38" ht="22.35" customHeight="1" x14ac:dyDescent="0.2">
      <c r="A47" s="904">
        <v>9</v>
      </c>
      <c r="B47" s="1595" t="s">
        <v>100</v>
      </c>
      <c r="C47" s="868" t="s">
        <v>36</v>
      </c>
      <c r="D47" s="868" t="s">
        <v>36</v>
      </c>
      <c r="E47" s="868" t="s">
        <v>36</v>
      </c>
      <c r="F47" s="868" t="s">
        <v>36</v>
      </c>
      <c r="G47" s="868" t="s">
        <v>36</v>
      </c>
      <c r="H47" s="868" t="s">
        <v>57</v>
      </c>
      <c r="I47" s="868" t="s">
        <v>57</v>
      </c>
      <c r="J47" s="868">
        <v>7</v>
      </c>
      <c r="K47" s="868">
        <v>7</v>
      </c>
      <c r="L47" s="868">
        <v>7</v>
      </c>
      <c r="M47" s="868">
        <v>7</v>
      </c>
      <c r="N47" s="868">
        <v>7</v>
      </c>
      <c r="O47" s="868"/>
      <c r="P47" s="868"/>
      <c r="Q47">
        <v>4</v>
      </c>
      <c r="R47">
        <v>4</v>
      </c>
      <c r="S47" s="868">
        <v>4</v>
      </c>
      <c r="T47" s="868">
        <v>4</v>
      </c>
      <c r="U47" s="868">
        <v>4</v>
      </c>
      <c r="V47" s="868"/>
      <c r="W47" s="868"/>
      <c r="X47" s="820">
        <v>3</v>
      </c>
      <c r="Y47" s="341">
        <v>3</v>
      </c>
      <c r="Z47" s="820" t="s">
        <v>345</v>
      </c>
      <c r="AA47" s="741">
        <v>3</v>
      </c>
      <c r="AB47" s="741">
        <v>3</v>
      </c>
      <c r="AC47" s="868"/>
      <c r="AD47" s="868"/>
      <c r="AE47" s="868">
        <v>11</v>
      </c>
      <c r="AF47" s="868">
        <v>11</v>
      </c>
      <c r="AG47" s="917">
        <v>11</v>
      </c>
      <c r="AH47" s="178"/>
      <c r="AI47" s="179"/>
    </row>
    <row r="48" spans="1:38" ht="22.35" customHeight="1" thickBot="1" x14ac:dyDescent="0.25">
      <c r="A48" s="673">
        <v>14</v>
      </c>
      <c r="B48" s="905" t="s">
        <v>102</v>
      </c>
      <c r="C48" s="1573" t="s">
        <v>36</v>
      </c>
      <c r="D48" s="908" t="s">
        <v>36</v>
      </c>
      <c r="E48" s="908" t="s">
        <v>36</v>
      </c>
      <c r="F48" s="908" t="s">
        <v>36</v>
      </c>
      <c r="G48" s="930" t="s">
        <v>36</v>
      </c>
      <c r="H48" s="930" t="s">
        <v>83</v>
      </c>
      <c r="I48" s="930" t="s">
        <v>83</v>
      </c>
      <c r="J48" s="908">
        <v>8</v>
      </c>
      <c r="K48" s="908">
        <v>8</v>
      </c>
      <c r="L48" s="908">
        <v>8</v>
      </c>
      <c r="M48" s="908">
        <v>8</v>
      </c>
      <c r="N48" s="908">
        <v>8</v>
      </c>
      <c r="O48" s="1573"/>
      <c r="P48" s="908"/>
      <c r="Q48" t="s">
        <v>36</v>
      </c>
      <c r="R48" t="s">
        <v>36</v>
      </c>
      <c r="S48" s="908" t="s">
        <v>36</v>
      </c>
      <c r="T48" s="908" t="s">
        <v>36</v>
      </c>
      <c r="U48" s="908" t="s">
        <v>36</v>
      </c>
      <c r="V48" s="908"/>
      <c r="W48" s="908"/>
      <c r="X48" s="1573">
        <v>1</v>
      </c>
      <c r="Y48" s="908">
        <v>1</v>
      </c>
      <c r="Z48" s="908">
        <v>1</v>
      </c>
      <c r="AA48" s="908">
        <v>1</v>
      </c>
      <c r="AB48" s="908">
        <v>1</v>
      </c>
      <c r="AC48" s="1573"/>
      <c r="AD48" s="908"/>
      <c r="AE48" s="908">
        <v>9</v>
      </c>
      <c r="AF48" s="1573">
        <v>9</v>
      </c>
      <c r="AG48" s="1575">
        <v>9</v>
      </c>
      <c r="AH48" s="178"/>
      <c r="AI48" s="179"/>
    </row>
    <row r="49" spans="1:40" ht="22.35" customHeight="1" x14ac:dyDescent="0.2">
      <c r="A49" s="1641">
        <v>5</v>
      </c>
      <c r="B49" s="1595" t="s">
        <v>103</v>
      </c>
      <c r="C49" s="1644">
        <v>6</v>
      </c>
      <c r="D49" s="1645">
        <v>6</v>
      </c>
      <c r="E49" s="1645">
        <v>6</v>
      </c>
      <c r="F49" s="1644">
        <v>6</v>
      </c>
      <c r="G49" s="1644">
        <v>6</v>
      </c>
      <c r="H49" s="1644"/>
      <c r="I49" s="1644"/>
      <c r="J49" s="1644" t="s">
        <v>36</v>
      </c>
      <c r="K49" s="1645" t="s">
        <v>36</v>
      </c>
      <c r="L49" s="1645" t="s">
        <v>36</v>
      </c>
      <c r="M49" s="1645" t="s">
        <v>36</v>
      </c>
      <c r="N49" s="1665" t="s">
        <v>36</v>
      </c>
      <c r="O49" s="1616"/>
      <c r="P49" s="1645"/>
      <c r="Q49">
        <v>5</v>
      </c>
      <c r="R49">
        <v>5</v>
      </c>
      <c r="S49" s="1645">
        <v>5</v>
      </c>
      <c r="T49" s="1645">
        <v>5</v>
      </c>
      <c r="U49" s="1644">
        <v>5</v>
      </c>
      <c r="V49" s="1644"/>
      <c r="W49" s="1644"/>
      <c r="X49" s="1644">
        <v>10</v>
      </c>
      <c r="Y49" s="1665">
        <v>10</v>
      </c>
      <c r="Z49" s="1644">
        <v>10</v>
      </c>
      <c r="AA49" s="1644">
        <v>10</v>
      </c>
      <c r="AB49" s="1644">
        <v>10</v>
      </c>
      <c r="AC49" s="1644" t="s">
        <v>81</v>
      </c>
      <c r="AD49" s="1645" t="s">
        <v>81</v>
      </c>
      <c r="AE49" s="1645" t="s">
        <v>36</v>
      </c>
      <c r="AF49" s="1616" t="s">
        <v>36</v>
      </c>
      <c r="AG49" s="1666" t="s">
        <v>36</v>
      </c>
      <c r="AH49" s="178"/>
      <c r="AI49" s="179"/>
    </row>
    <row r="50" spans="1:40" ht="22.35" customHeight="1" x14ac:dyDescent="0.2">
      <c r="A50" s="904">
        <v>10</v>
      </c>
      <c r="B50" s="1595" t="s">
        <v>104</v>
      </c>
      <c r="C50" s="868">
        <v>7</v>
      </c>
      <c r="D50" s="868">
        <v>7</v>
      </c>
      <c r="E50" s="868">
        <v>7</v>
      </c>
      <c r="F50" s="1594">
        <v>7</v>
      </c>
      <c r="G50" s="1590">
        <v>7</v>
      </c>
      <c r="H50" s="1590"/>
      <c r="I50" s="1590"/>
      <c r="J50" s="1590">
        <v>4</v>
      </c>
      <c r="K50" s="1590">
        <v>4</v>
      </c>
      <c r="L50" s="1590">
        <v>4</v>
      </c>
      <c r="M50" s="1590">
        <v>4</v>
      </c>
      <c r="N50" s="1590">
        <v>4</v>
      </c>
      <c r="O50" s="1590"/>
      <c r="P50" s="1590"/>
      <c r="Q50">
        <v>3</v>
      </c>
      <c r="R50">
        <v>3</v>
      </c>
      <c r="S50" s="1590">
        <v>3</v>
      </c>
      <c r="T50" s="1590">
        <v>3</v>
      </c>
      <c r="U50" s="1667">
        <v>3</v>
      </c>
      <c r="V50" s="1590"/>
      <c r="W50" s="1594"/>
      <c r="X50" s="868">
        <v>11</v>
      </c>
      <c r="Y50" s="1593">
        <v>11</v>
      </c>
      <c r="Z50" s="868">
        <v>11</v>
      </c>
      <c r="AA50" s="868">
        <v>11</v>
      </c>
      <c r="AB50" s="868">
        <v>11</v>
      </c>
      <c r="AC50" s="868" t="s">
        <v>94</v>
      </c>
      <c r="AD50" s="868" t="s">
        <v>94</v>
      </c>
      <c r="AE50" s="868" t="s">
        <v>36</v>
      </c>
      <c r="AF50" s="868" t="s">
        <v>36</v>
      </c>
      <c r="AG50" s="917" t="s">
        <v>36</v>
      </c>
      <c r="AH50" s="178"/>
      <c r="AI50" s="179"/>
    </row>
    <row r="51" spans="1:40" ht="22.35" customHeight="1" thickBot="1" x14ac:dyDescent="0.25">
      <c r="A51" s="673">
        <v>15</v>
      </c>
      <c r="B51" s="905" t="s">
        <v>105</v>
      </c>
      <c r="C51" s="908">
        <v>8</v>
      </c>
      <c r="D51" s="908">
        <v>8</v>
      </c>
      <c r="E51" s="908">
        <v>8</v>
      </c>
      <c r="F51" s="930">
        <v>8</v>
      </c>
      <c r="G51" s="930">
        <v>8</v>
      </c>
      <c r="H51" s="930"/>
      <c r="I51" s="930"/>
      <c r="J51" s="930" t="s">
        <v>36</v>
      </c>
      <c r="K51" s="1573" t="s">
        <v>36</v>
      </c>
      <c r="L51" s="908" t="s">
        <v>36</v>
      </c>
      <c r="M51" s="908" t="s">
        <v>36</v>
      </c>
      <c r="N51" s="908" t="s">
        <v>36</v>
      </c>
      <c r="O51" s="907"/>
      <c r="P51" s="907"/>
      <c r="Q51" s="907">
        <v>1</v>
      </c>
      <c r="R51" s="907">
        <v>1</v>
      </c>
      <c r="S51">
        <v>1</v>
      </c>
      <c r="T51">
        <v>1</v>
      </c>
      <c r="U51" s="907">
        <v>1</v>
      </c>
      <c r="V51" s="908"/>
      <c r="W51" s="908"/>
      <c r="X51" s="908">
        <v>9</v>
      </c>
      <c r="Y51" s="1573">
        <v>9</v>
      </c>
      <c r="Z51" s="908">
        <v>9</v>
      </c>
      <c r="AA51" s="908">
        <v>9</v>
      </c>
      <c r="AB51" s="908">
        <v>9</v>
      </c>
      <c r="AC51" s="908" t="s">
        <v>80</v>
      </c>
      <c r="AD51" s="908" t="s">
        <v>81</v>
      </c>
      <c r="AE51" s="1573" t="s">
        <v>36</v>
      </c>
      <c r="AF51" s="930" t="s">
        <v>36</v>
      </c>
      <c r="AG51" s="635" t="s">
        <v>36</v>
      </c>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753" t="s">
        <v>28</v>
      </c>
      <c r="B54" s="753"/>
      <c r="C54" s="741"/>
      <c r="D54" s="753" t="s">
        <v>107</v>
      </c>
      <c r="E54" s="751"/>
      <c r="F54" s="741"/>
      <c r="G54" s="753" t="s">
        <v>108</v>
      </c>
      <c r="H54" s="751"/>
      <c r="I54" s="741"/>
      <c r="J54" s="753" t="s">
        <v>109</v>
      </c>
      <c r="K54" s="751"/>
      <c r="L54" s="741"/>
      <c r="M54" s="753" t="s">
        <v>110</v>
      </c>
      <c r="N54" s="751"/>
      <c r="O54" s="741"/>
      <c r="P54" s="753" t="s">
        <v>111</v>
      </c>
      <c r="Q54" s="751"/>
      <c r="R54" s="739"/>
      <c r="S54" s="752" t="s">
        <v>112</v>
      </c>
      <c r="T54" s="751"/>
      <c r="U54" s="741"/>
      <c r="V54" s="753" t="s">
        <v>113</v>
      </c>
      <c r="W54" s="751"/>
      <c r="X54" s="942" t="s">
        <v>114</v>
      </c>
      <c r="Y54" s="751"/>
      <c r="Z54" s="751"/>
      <c r="AA54" s="943"/>
      <c r="AB54" s="1557"/>
      <c r="AC54" s="1557"/>
      <c r="AD54" s="1557"/>
      <c r="AE54" s="1557"/>
      <c r="AF54" s="1557"/>
      <c r="AG54" s="1558"/>
      <c r="AH54" s="1"/>
    </row>
    <row r="55" spans="1:40" ht="22.35" customHeight="1" x14ac:dyDescent="0.2">
      <c r="A55" s="738">
        <v>8517</v>
      </c>
      <c r="B55" s="944" t="s">
        <v>115</v>
      </c>
      <c r="C55" s="735" t="s">
        <v>116</v>
      </c>
      <c r="D55" s="945"/>
      <c r="E55" s="1556"/>
      <c r="F55" s="735" t="s">
        <v>116</v>
      </c>
      <c r="G55" s="945"/>
      <c r="H55" s="1556"/>
      <c r="I55" s="735" t="s">
        <v>116</v>
      </c>
      <c r="J55" s="945"/>
      <c r="K55" s="1556"/>
      <c r="L55" s="735" t="s">
        <v>116</v>
      </c>
      <c r="M55" s="945"/>
      <c r="N55" s="1556"/>
      <c r="O55" s="735" t="s">
        <v>117</v>
      </c>
      <c r="P55" s="945"/>
      <c r="Q55" s="1556"/>
      <c r="R55" s="735"/>
      <c r="S55" s="945"/>
      <c r="T55" s="1556"/>
      <c r="U55" s="735" t="s">
        <v>118</v>
      </c>
      <c r="V55" s="945"/>
      <c r="W55" s="1556"/>
      <c r="X55" s="1554"/>
      <c r="Y55" s="1557"/>
      <c r="Z55" s="1557"/>
      <c r="AA55" s="1557"/>
      <c r="AB55" s="1557"/>
      <c r="AC55" s="1557"/>
      <c r="AD55" s="1557"/>
      <c r="AE55" s="1557"/>
      <c r="AF55" s="1557"/>
      <c r="AG55" s="1558"/>
      <c r="AH55" s="1"/>
    </row>
    <row r="56" spans="1:40" ht="22.35" customHeight="1" x14ac:dyDescent="0.2">
      <c r="B56" s="1588" t="s">
        <v>119</v>
      </c>
      <c r="C56" s="946" t="s">
        <v>120</v>
      </c>
      <c r="D56" s="1668"/>
      <c r="E56" s="1669"/>
      <c r="F56" s="946" t="s">
        <v>120</v>
      </c>
      <c r="G56" s="1670"/>
      <c r="H56" s="1669"/>
      <c r="I56" s="735" t="s">
        <v>120</v>
      </c>
      <c r="J56" s="945"/>
      <c r="K56" s="949"/>
      <c r="L56" s="735" t="s">
        <v>120</v>
      </c>
      <c r="M56" s="945"/>
      <c r="N56" s="949"/>
      <c r="O56" s="735" t="s">
        <v>121</v>
      </c>
      <c r="P56" s="945"/>
      <c r="Q56" s="1556"/>
      <c r="R56" s="950" t="s">
        <v>0</v>
      </c>
      <c r="S56" s="945"/>
      <c r="T56" s="949"/>
      <c r="U56" s="945" t="s">
        <v>0</v>
      </c>
      <c r="V56" s="945"/>
      <c r="W56" s="1556"/>
      <c r="X56" s="675" t="s">
        <v>0</v>
      </c>
      <c r="Y56" s="72"/>
      <c r="Z56" s="72"/>
      <c r="AA56" s="72"/>
      <c r="AB56" s="72"/>
      <c r="AC56" s="72"/>
      <c r="AD56" s="72"/>
      <c r="AE56" s="72"/>
      <c r="AF56" s="72"/>
      <c r="AG56" s="111"/>
      <c r="AH56" s="1"/>
    </row>
    <row r="57" spans="1:40" ht="22.35" customHeight="1" x14ac:dyDescent="0.2">
      <c r="A57" s="951"/>
      <c r="B57" s="944" t="s">
        <v>122</v>
      </c>
      <c r="C57" s="946" t="s">
        <v>123</v>
      </c>
      <c r="D57" s="1668"/>
      <c r="E57" s="1670"/>
      <c r="F57" s="946" t="s">
        <v>123</v>
      </c>
      <c r="G57" s="1668"/>
      <c r="H57" s="1670"/>
      <c r="I57" s="946" t="s">
        <v>123</v>
      </c>
      <c r="J57" s="1668"/>
      <c r="K57" s="1670"/>
      <c r="L57" s="946" t="s">
        <v>123</v>
      </c>
      <c r="M57" s="1668"/>
      <c r="N57" s="1670"/>
      <c r="O57" s="946" t="s">
        <v>124</v>
      </c>
      <c r="P57" s="1668"/>
      <c r="Q57" s="1670"/>
      <c r="R57" s="676"/>
      <c r="S57" s="294"/>
      <c r="T57" s="1669"/>
      <c r="U57" s="1668"/>
      <c r="V57" s="1668"/>
      <c r="W57" s="1670"/>
      <c r="X57" s="1554"/>
      <c r="Y57" s="1557"/>
      <c r="Z57" s="1557"/>
      <c r="AA57" s="1557"/>
      <c r="AB57" s="1557"/>
      <c r="AC57" s="1557"/>
      <c r="AD57" s="1557"/>
      <c r="AE57" s="1557"/>
      <c r="AF57" s="1557"/>
      <c r="AG57" s="1558"/>
      <c r="AH57" s="1"/>
    </row>
    <row r="58" spans="1:40" ht="22.35" customHeight="1" x14ac:dyDescent="0.2">
      <c r="A58" s="753"/>
      <c r="B58" s="944"/>
      <c r="C58" s="952"/>
      <c r="D58" s="499"/>
      <c r="E58" s="500"/>
      <c r="F58" s="952"/>
      <c r="G58" s="499"/>
      <c r="H58" s="500"/>
      <c r="I58" s="952"/>
      <c r="J58" s="499"/>
      <c r="K58" s="500"/>
      <c r="L58" s="952"/>
      <c r="M58" s="499"/>
      <c r="N58" s="500"/>
      <c r="O58" s="952"/>
      <c r="P58" s="499"/>
      <c r="Q58" s="500"/>
      <c r="R58" s="952"/>
      <c r="S58" s="499"/>
      <c r="T58" s="500"/>
      <c r="U58" s="952"/>
      <c r="V58" s="499"/>
      <c r="W58" s="500"/>
      <c r="X58" s="1556"/>
      <c r="Y58" s="1557"/>
      <c r="Z58" s="1557"/>
      <c r="AA58" s="1557"/>
      <c r="AB58" s="1557"/>
      <c r="AC58" s="1557"/>
      <c r="AD58" s="1557"/>
      <c r="AE58" s="1557"/>
      <c r="AF58" s="1557"/>
      <c r="AG58" s="1558"/>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953"/>
      <c r="B60" s="954" t="s">
        <v>29</v>
      </c>
      <c r="C60" s="1573">
        <v>1</v>
      </c>
      <c r="D60" s="1573">
        <v>2</v>
      </c>
      <c r="E60" s="1573">
        <v>3</v>
      </c>
      <c r="F60" s="1573">
        <v>4</v>
      </c>
      <c r="G60" s="1573">
        <v>5</v>
      </c>
      <c r="H60" s="1574">
        <v>6</v>
      </c>
      <c r="I60" s="1574">
        <v>7</v>
      </c>
      <c r="J60" s="1573">
        <v>8</v>
      </c>
      <c r="K60" s="1573">
        <v>9</v>
      </c>
      <c r="L60" s="1573">
        <v>10</v>
      </c>
      <c r="M60" s="1573">
        <v>11</v>
      </c>
      <c r="N60" s="1573">
        <v>12</v>
      </c>
      <c r="O60" s="1574">
        <v>13</v>
      </c>
      <c r="P60" s="1574">
        <v>14</v>
      </c>
      <c r="Q60" s="1573">
        <v>15</v>
      </c>
      <c r="R60" s="1573">
        <v>16</v>
      </c>
      <c r="S60" s="1573">
        <v>17</v>
      </c>
      <c r="T60" s="1573">
        <v>18</v>
      </c>
      <c r="U60" s="1573">
        <v>19</v>
      </c>
      <c r="V60" s="1574">
        <v>20</v>
      </c>
      <c r="W60" s="1574">
        <v>21</v>
      </c>
      <c r="X60" s="1573">
        <v>22</v>
      </c>
      <c r="Y60" s="1573">
        <v>23</v>
      </c>
      <c r="Z60" s="1573">
        <v>24</v>
      </c>
      <c r="AA60" s="1573">
        <v>25</v>
      </c>
      <c r="AB60" s="1573">
        <v>26</v>
      </c>
      <c r="AC60" s="1574">
        <v>27</v>
      </c>
      <c r="AD60" s="1574">
        <v>28</v>
      </c>
      <c r="AE60" s="1573">
        <v>29</v>
      </c>
      <c r="AF60" s="1573">
        <v>30</v>
      </c>
      <c r="AG60" s="1575">
        <v>31</v>
      </c>
      <c r="AH60" s="1"/>
      <c r="AJ60" s="1576" t="s">
        <v>30</v>
      </c>
      <c r="AK60" s="1576" t="s">
        <v>44</v>
      </c>
      <c r="AL60" s="1576" t="s">
        <v>45</v>
      </c>
      <c r="AM60" s="1576" t="s">
        <v>46</v>
      </c>
      <c r="AN60" s="1576" t="s">
        <v>47</v>
      </c>
    </row>
    <row r="61" spans="1:40" ht="22.35" customHeight="1" x14ac:dyDescent="0.2">
      <c r="A61" s="1671"/>
      <c r="B61" s="1672" t="s">
        <v>126</v>
      </c>
      <c r="C61" s="1626">
        <v>25</v>
      </c>
      <c r="D61" s="1626">
        <v>25</v>
      </c>
      <c r="E61" s="1626">
        <v>25</v>
      </c>
      <c r="F61" s="1626">
        <v>25</v>
      </c>
      <c r="G61" s="1626">
        <v>25</v>
      </c>
      <c r="H61" s="1581"/>
      <c r="I61" s="1581">
        <v>26</v>
      </c>
      <c r="J61" s="1673" t="s">
        <v>32</v>
      </c>
      <c r="K61" s="1673" t="s">
        <v>32</v>
      </c>
      <c r="L61" s="1673" t="s">
        <v>32</v>
      </c>
      <c r="M61" s="1673" t="s">
        <v>134</v>
      </c>
      <c r="N61" s="1673" t="s">
        <v>134</v>
      </c>
      <c r="O61" s="1674"/>
      <c r="P61" s="1674"/>
      <c r="Q61" s="1675" t="s">
        <v>32</v>
      </c>
      <c r="R61" s="1675" t="s">
        <v>32</v>
      </c>
      <c r="S61" s="1675" t="s">
        <v>32</v>
      </c>
      <c r="T61" s="1675" t="s">
        <v>32</v>
      </c>
      <c r="U61" s="1675" t="s">
        <v>32</v>
      </c>
      <c r="V61" s="1675"/>
      <c r="W61" s="1675"/>
      <c r="X61" s="1675" t="s">
        <v>32</v>
      </c>
      <c r="Y61" s="1675" t="s">
        <v>32</v>
      </c>
      <c r="Z61" s="1675" t="s">
        <v>32</v>
      </c>
      <c r="AA61" s="1675" t="s">
        <v>32</v>
      </c>
      <c r="AB61" s="1675" t="s">
        <v>32</v>
      </c>
      <c r="AC61" s="1675"/>
      <c r="AD61" s="1675"/>
      <c r="AE61" s="1675" t="s">
        <v>32</v>
      </c>
      <c r="AF61" s="1675" t="s">
        <v>32</v>
      </c>
      <c r="AG61" s="1676" t="s">
        <v>32</v>
      </c>
      <c r="AH61" s="1"/>
      <c r="AJ61" s="1621">
        <v>193.5</v>
      </c>
      <c r="AK61" s="1621">
        <v>4</v>
      </c>
      <c r="AL61" s="1621">
        <f t="shared" ref="AL61:AL73" si="3">IF(AJ61="","",SUM(AJ61:AK61))</f>
        <v>197.5</v>
      </c>
      <c r="AM61" s="1622">
        <f t="shared" ref="AM61:AM78" si="4">IF(AJ61="","",AL61-NormTid)</f>
        <v>37.169999999999987</v>
      </c>
      <c r="AN61" s="1622">
        <f>IF(AM61="","",AM61+'Juli 2022'!AN61)</f>
        <v>245.10999999999996</v>
      </c>
    </row>
    <row r="62" spans="1:40" ht="22.35" customHeight="1" thickBot="1" x14ac:dyDescent="0.25">
      <c r="A62" s="1578"/>
      <c r="B62" s="1578" t="s">
        <v>129</v>
      </c>
      <c r="C62" s="1584" t="s">
        <v>32</v>
      </c>
      <c r="D62" s="1584" t="s">
        <v>32</v>
      </c>
      <c r="E62" s="1584" t="s">
        <v>32</v>
      </c>
      <c r="F62" s="1584" t="s">
        <v>32</v>
      </c>
      <c r="G62" s="1584" t="s">
        <v>32</v>
      </c>
      <c r="H62" s="1584"/>
      <c r="I62" s="1584"/>
      <c r="J62" s="1626">
        <v>26</v>
      </c>
      <c r="K62" s="965">
        <v>26</v>
      </c>
      <c r="L62" s="1626">
        <v>26</v>
      </c>
      <c r="M62" s="1626">
        <v>26</v>
      </c>
      <c r="N62" s="1626">
        <v>26</v>
      </c>
      <c r="O62" s="1581"/>
      <c r="P62" s="1581">
        <v>26</v>
      </c>
      <c r="Q62" s="1581">
        <v>8</v>
      </c>
      <c r="R62" s="1581" t="s">
        <v>32</v>
      </c>
      <c r="S62" s="908">
        <v>8</v>
      </c>
      <c r="T62" s="908">
        <v>8</v>
      </c>
      <c r="U62" s="908">
        <v>8</v>
      </c>
      <c r="V62" s="854" t="s">
        <v>127</v>
      </c>
      <c r="W62" s="960" t="s">
        <v>127</v>
      </c>
      <c r="X62" s="1581">
        <v>5</v>
      </c>
      <c r="Y62" s="1581">
        <v>5</v>
      </c>
      <c r="Z62" s="1626">
        <v>5</v>
      </c>
      <c r="AA62" s="1581">
        <v>5</v>
      </c>
      <c r="AB62" s="1112">
        <v>5</v>
      </c>
      <c r="AC62" s="1581"/>
      <c r="AD62" s="1579" t="s">
        <v>0</v>
      </c>
      <c r="AE62" s="965" t="s">
        <v>176</v>
      </c>
      <c r="AF62" s="965" t="s">
        <v>176</v>
      </c>
      <c r="AG62" s="1226" t="s">
        <v>176</v>
      </c>
      <c r="AH62" s="1"/>
      <c r="AJ62" s="1621">
        <v>180.75</v>
      </c>
      <c r="AK62" s="1621">
        <v>8.5</v>
      </c>
      <c r="AL62" s="1621">
        <f t="shared" si="3"/>
        <v>189.25</v>
      </c>
      <c r="AM62" s="1622">
        <f t="shared" si="4"/>
        <v>28.919999999999987</v>
      </c>
      <c r="AN62" s="1622">
        <f>IF(AM62="","",AM62+'Juli 2022'!AN62)</f>
        <v>47.85999999999995</v>
      </c>
    </row>
    <row r="63" spans="1:40" ht="22.35" customHeight="1" x14ac:dyDescent="0.2">
      <c r="A63" s="1578"/>
      <c r="B63" s="1578" t="s">
        <v>130</v>
      </c>
      <c r="C63" s="1579">
        <v>26</v>
      </c>
      <c r="D63" s="1579">
        <v>26</v>
      </c>
      <c r="E63" s="961">
        <v>26</v>
      </c>
      <c r="F63" s="961">
        <v>26</v>
      </c>
      <c r="G63" s="1579">
        <v>26</v>
      </c>
      <c r="H63" s="1112" t="s">
        <v>32</v>
      </c>
      <c r="I63" s="1579" t="s">
        <v>53</v>
      </c>
      <c r="J63" s="1579" t="s">
        <v>243</v>
      </c>
      <c r="K63" s="1579" t="s">
        <v>243</v>
      </c>
      <c r="L63" s="1579" t="s">
        <v>243</v>
      </c>
      <c r="M63" s="1579" t="s">
        <v>243</v>
      </c>
      <c r="N63" s="1579" t="s">
        <v>243</v>
      </c>
      <c r="O63" s="1579"/>
      <c r="P63" s="1579"/>
      <c r="Q63" s="1581" t="s">
        <v>32</v>
      </c>
      <c r="R63" s="647" t="s">
        <v>32</v>
      </c>
      <c r="S63" s="1581" t="s">
        <v>32</v>
      </c>
      <c r="T63" s="1581" t="s">
        <v>32</v>
      </c>
      <c r="U63" s="1581" t="s">
        <v>32</v>
      </c>
      <c r="V63" s="1581" t="s">
        <v>0</v>
      </c>
      <c r="W63" s="1581">
        <v>26</v>
      </c>
      <c r="X63" s="1581" t="s">
        <v>32</v>
      </c>
      <c r="Y63" s="1581" t="s">
        <v>32</v>
      </c>
      <c r="Z63" s="1581" t="s">
        <v>32</v>
      </c>
      <c r="AA63" s="1581" t="s">
        <v>32</v>
      </c>
      <c r="AB63" s="1581" t="s">
        <v>32</v>
      </c>
      <c r="AC63" s="1579"/>
      <c r="AD63" s="1579"/>
      <c r="AE63" s="1581" t="s">
        <v>32</v>
      </c>
      <c r="AF63" s="1581" t="s">
        <v>32</v>
      </c>
      <c r="AG63" s="1581" t="s">
        <v>32</v>
      </c>
      <c r="AH63" s="1"/>
      <c r="AJ63" s="1621">
        <v>174</v>
      </c>
      <c r="AK63" s="1621">
        <v>3.75</v>
      </c>
      <c r="AL63" s="1621">
        <f t="shared" si="3"/>
        <v>177.75</v>
      </c>
      <c r="AM63" s="1622">
        <f t="shared" si="4"/>
        <v>17.419999999999987</v>
      </c>
      <c r="AN63" s="1622">
        <f>IF(AM63="","",AM63+'Juli 2022'!AN63)</f>
        <v>39.85999999999995</v>
      </c>
    </row>
    <row r="64" spans="1:40" ht="22.35" customHeight="1" thickBot="1" x14ac:dyDescent="0.25">
      <c r="A64" s="1578"/>
      <c r="B64" s="539" t="s">
        <v>132</v>
      </c>
      <c r="C64" s="1581" t="s">
        <v>32</v>
      </c>
      <c r="D64" s="1581" t="s">
        <v>32</v>
      </c>
      <c r="E64" s="1581" t="s">
        <v>32</v>
      </c>
      <c r="F64" s="1581" t="s">
        <v>32</v>
      </c>
      <c r="G64" s="1581" t="s">
        <v>32</v>
      </c>
      <c r="H64" s="1581"/>
      <c r="I64" s="1112" t="s">
        <v>32</v>
      </c>
      <c r="J64" s="1581" t="s">
        <v>32</v>
      </c>
      <c r="K64" s="1581" t="s">
        <v>32</v>
      </c>
      <c r="L64" s="1581" t="s">
        <v>32</v>
      </c>
      <c r="M64" s="1581" t="s">
        <v>32</v>
      </c>
      <c r="N64" s="1581" t="s">
        <v>32</v>
      </c>
      <c r="O64" s="1581"/>
      <c r="P64" s="1581"/>
      <c r="Q64" s="1092" t="s">
        <v>32</v>
      </c>
      <c r="R64" s="1581" t="s">
        <v>32</v>
      </c>
      <c r="S64" s="1092" t="s">
        <v>32</v>
      </c>
      <c r="T64" s="1092" t="s">
        <v>32</v>
      </c>
      <c r="U64" s="1092" t="s">
        <v>32</v>
      </c>
      <c r="V64" s="1626"/>
      <c r="W64" s="1579" t="s">
        <v>0</v>
      </c>
      <c r="X64" s="1092" t="s">
        <v>32</v>
      </c>
      <c r="Y64" s="1092" t="s">
        <v>32</v>
      </c>
      <c r="Z64" t="s">
        <v>32</v>
      </c>
      <c r="AA64" s="1092" t="s">
        <v>32</v>
      </c>
      <c r="AB64" s="1092" t="s">
        <v>32</v>
      </c>
      <c r="AC64" s="1581"/>
      <c r="AD64" s="1581"/>
      <c r="AE64" s="1092" t="s">
        <v>32</v>
      </c>
      <c r="AF64" s="1677" t="s">
        <v>390</v>
      </c>
      <c r="AG64" s="1677" t="s">
        <v>390</v>
      </c>
      <c r="AH64" s="1"/>
      <c r="AJ64" s="1621">
        <v>169.5</v>
      </c>
      <c r="AK64" s="1621">
        <v>0.5</v>
      </c>
      <c r="AL64" s="1621">
        <f t="shared" si="3"/>
        <v>170</v>
      </c>
      <c r="AM64" s="1622">
        <f t="shared" si="4"/>
        <v>9.6699999999999875</v>
      </c>
      <c r="AN64" s="1622">
        <f>IF(AM64="","",AM64+'Juli 2022'!AN64)</f>
        <v>-30.390000000000043</v>
      </c>
    </row>
    <row r="65" spans="1:40" ht="22.35" customHeight="1" x14ac:dyDescent="0.2">
      <c r="A65" s="933"/>
      <c r="B65" s="1578" t="s">
        <v>133</v>
      </c>
      <c r="C65" s="1584" t="s">
        <v>32</v>
      </c>
      <c r="D65" s="1584" t="s">
        <v>32</v>
      </c>
      <c r="E65" s="1584" t="s">
        <v>32</v>
      </c>
      <c r="F65" s="1584" t="s">
        <v>32</v>
      </c>
      <c r="G65" s="1584" t="s">
        <v>32</v>
      </c>
      <c r="H65" s="1584"/>
      <c r="I65" s="1584"/>
      <c r="J65" s="1584" t="s">
        <v>32</v>
      </c>
      <c r="K65" s="1584" t="s">
        <v>32</v>
      </c>
      <c r="L65" s="1584" t="s">
        <v>32</v>
      </c>
      <c r="M65" s="1584" t="s">
        <v>32</v>
      </c>
      <c r="N65" s="1584" t="s">
        <v>32</v>
      </c>
      <c r="O65" s="1584"/>
      <c r="P65" s="1584"/>
      <c r="Q65" s="1579" t="s">
        <v>134</v>
      </c>
      <c r="R65" s="1579" t="s">
        <v>134</v>
      </c>
      <c r="S65" s="1579" t="s">
        <v>134</v>
      </c>
      <c r="T65" s="1579" t="s">
        <v>134</v>
      </c>
      <c r="U65" s="1579" t="s">
        <v>134</v>
      </c>
      <c r="V65" s="1626"/>
      <c r="W65" s="1626"/>
      <c r="X65" s="1579" t="s">
        <v>134</v>
      </c>
      <c r="Y65" s="1579" t="s">
        <v>134</v>
      </c>
      <c r="Z65" s="1579" t="s">
        <v>134</v>
      </c>
      <c r="AA65" s="1579" t="s">
        <v>134</v>
      </c>
      <c r="AB65" s="1362" t="s">
        <v>134</v>
      </c>
      <c r="AC65" s="1579"/>
      <c r="AD65" s="1579"/>
      <c r="AE65" s="1579" t="s">
        <v>134</v>
      </c>
      <c r="AF65" s="1579" t="s">
        <v>134</v>
      </c>
      <c r="AG65" s="1579" t="s">
        <v>134</v>
      </c>
      <c r="AH65" s="1"/>
      <c r="AJ65" s="1621">
        <v>170.5</v>
      </c>
      <c r="AK65" s="1621">
        <v>0.5</v>
      </c>
      <c r="AL65" s="1621">
        <f t="shared" si="3"/>
        <v>171</v>
      </c>
      <c r="AM65" s="1622">
        <f t="shared" si="4"/>
        <v>10.669999999999987</v>
      </c>
      <c r="AN65" s="1622">
        <f>IF(AM65="","",AM65+'Juli 2022'!AN65)</f>
        <v>3.3599999999999497</v>
      </c>
    </row>
    <row r="66" spans="1:40" ht="22.35" customHeight="1" x14ac:dyDescent="0.2">
      <c r="A66" s="1578"/>
      <c r="B66" s="1578" t="s">
        <v>136</v>
      </c>
      <c r="C66" s="1579" t="s">
        <v>137</v>
      </c>
      <c r="D66" s="1579" t="s">
        <v>137</v>
      </c>
      <c r="E66" s="1579" t="s">
        <v>137</v>
      </c>
      <c r="F66" s="1579" t="s">
        <v>137</v>
      </c>
      <c r="G66" s="1579" t="s">
        <v>137</v>
      </c>
      <c r="H66" s="1581"/>
      <c r="I66" s="1581"/>
      <c r="J66" s="647" t="s">
        <v>32</v>
      </c>
      <c r="K66" s="647" t="s">
        <v>32</v>
      </c>
      <c r="L66" s="647" t="s">
        <v>32</v>
      </c>
      <c r="M66" s="647" t="s">
        <v>32</v>
      </c>
      <c r="N66" s="1232" t="s">
        <v>32</v>
      </c>
      <c r="O66" s="647"/>
      <c r="P66" s="647"/>
      <c r="Q66" s="1579" t="s">
        <v>137</v>
      </c>
      <c r="R66" s="1579" t="s">
        <v>137</v>
      </c>
      <c r="S66" s="1579" t="s">
        <v>137</v>
      </c>
      <c r="T66" s="1579" t="s">
        <v>137</v>
      </c>
      <c r="U66" s="1579" t="s">
        <v>137</v>
      </c>
      <c r="V66" s="1581"/>
      <c r="W66" s="1581"/>
      <c r="X66" s="1579" t="s">
        <v>137</v>
      </c>
      <c r="Y66" s="1579" t="s">
        <v>137</v>
      </c>
      <c r="Z66" s="1579" t="s">
        <v>137</v>
      </c>
      <c r="AA66" s="1579" t="s">
        <v>137</v>
      </c>
      <c r="AB66" s="1579" t="s">
        <v>137</v>
      </c>
      <c r="AC66" s="1581"/>
      <c r="AD66" s="1581"/>
      <c r="AE66" s="1579" t="s">
        <v>137</v>
      </c>
      <c r="AF66" s="1579" t="s">
        <v>137</v>
      </c>
      <c r="AG66" s="1579" t="s">
        <v>137</v>
      </c>
      <c r="AH66" s="1"/>
      <c r="AJ66" s="1621">
        <v>171.25</v>
      </c>
      <c r="AK66" s="1621">
        <v>0</v>
      </c>
      <c r="AL66" s="1621">
        <f t="shared" si="3"/>
        <v>171.25</v>
      </c>
      <c r="AM66" s="1622">
        <f t="shared" si="4"/>
        <v>10.919999999999987</v>
      </c>
      <c r="AN66" s="1622">
        <f>IF(AM66="","",AM66+'Juli 2022'!AN66)</f>
        <v>-1.6400000000001</v>
      </c>
    </row>
    <row r="67" spans="1:40" ht="22.35" customHeight="1" thickBot="1" x14ac:dyDescent="0.25">
      <c r="A67" s="1578"/>
      <c r="B67" s="501" t="s">
        <v>138</v>
      </c>
      <c r="C67" s="1626" t="s">
        <v>134</v>
      </c>
      <c r="D67" s="1626" t="s">
        <v>134</v>
      </c>
      <c r="E67" s="1581" t="s">
        <v>134</v>
      </c>
      <c r="F67" s="1581" t="s">
        <v>134</v>
      </c>
      <c r="G67" s="1581" t="s">
        <v>134</v>
      </c>
      <c r="H67" s="908"/>
      <c r="I67" s="907"/>
      <c r="J67" s="908">
        <v>3</v>
      </c>
      <c r="K67" s="907">
        <v>3</v>
      </c>
      <c r="L67" s="908">
        <v>3</v>
      </c>
      <c r="M67" s="907">
        <v>3</v>
      </c>
      <c r="N67" s="907">
        <v>3</v>
      </c>
      <c r="O67" s="907"/>
      <c r="P67" s="908"/>
      <c r="Q67" s="1573">
        <v>11</v>
      </c>
      <c r="R67" s="1573">
        <v>11</v>
      </c>
      <c r="S67" s="908">
        <v>11</v>
      </c>
      <c r="T67" s="910">
        <v>11</v>
      </c>
      <c r="U67" s="910">
        <v>11</v>
      </c>
      <c r="V67" s="910" t="s">
        <v>94</v>
      </c>
      <c r="W67" s="910" t="s">
        <v>94</v>
      </c>
      <c r="X67" s="910" t="s">
        <v>36</v>
      </c>
      <c r="Y67" s="908" t="s">
        <v>36</v>
      </c>
      <c r="Z67" s="323" t="s">
        <v>36</v>
      </c>
      <c r="AA67" s="918" t="s">
        <v>36</v>
      </c>
      <c r="AB67" s="930" t="s">
        <v>36</v>
      </c>
      <c r="AC67" s="930" t="s">
        <v>83</v>
      </c>
      <c r="AD67" s="930" t="s">
        <v>83</v>
      </c>
      <c r="AE67" s="908">
        <v>8</v>
      </c>
      <c r="AF67" s="908">
        <v>8</v>
      </c>
      <c r="AG67" s="645">
        <v>8</v>
      </c>
      <c r="AH67" s="1"/>
      <c r="AJ67" s="1621">
        <v>187.75</v>
      </c>
      <c r="AK67" s="1621">
        <v>8.5</v>
      </c>
      <c r="AL67" s="1621">
        <f t="shared" si="3"/>
        <v>196.25</v>
      </c>
      <c r="AM67" s="1622">
        <f t="shared" si="4"/>
        <v>35.919999999999987</v>
      </c>
      <c r="AN67" s="1622">
        <f>IF(AM67="","",AM67+'Juli 2022'!AN67)</f>
        <v>123.10999999999996</v>
      </c>
    </row>
    <row r="68" spans="1:40" ht="22.35" customHeight="1" thickBot="1" x14ac:dyDescent="0.25">
      <c r="A68" s="1578"/>
      <c r="B68" s="501" t="s">
        <v>140</v>
      </c>
      <c r="C68" s="1581" t="s">
        <v>36</v>
      </c>
      <c r="D68" s="1581" t="s">
        <v>36</v>
      </c>
      <c r="E68" s="1581" t="s">
        <v>36</v>
      </c>
      <c r="F68" s="1626" t="s">
        <v>243</v>
      </c>
      <c r="G68" s="1626">
        <v>1</v>
      </c>
      <c r="H68" s="1581"/>
      <c r="I68" s="1581"/>
      <c r="J68" s="964" t="s">
        <v>51</v>
      </c>
      <c r="K68" s="1678" t="s">
        <v>32</v>
      </c>
      <c r="L68" s="1678" t="s">
        <v>32</v>
      </c>
      <c r="M68" s="1626" t="s">
        <v>32</v>
      </c>
      <c r="N68" s="1626" t="s">
        <v>32</v>
      </c>
      <c r="O68" s="1626" t="s">
        <v>127</v>
      </c>
      <c r="P68" s="1626" t="s">
        <v>127</v>
      </c>
      <c r="Q68" s="1679" t="s">
        <v>36</v>
      </c>
      <c r="R68" s="1679" t="s">
        <v>36</v>
      </c>
      <c r="S68" s="1679" t="s">
        <v>36</v>
      </c>
      <c r="T68" s="1581" t="s">
        <v>36</v>
      </c>
      <c r="U68" s="1679" t="s">
        <v>36</v>
      </c>
      <c r="V68" s="1581" t="s">
        <v>53</v>
      </c>
      <c r="W68" s="1581" t="s">
        <v>53</v>
      </c>
      <c r="X68" s="1581" t="s">
        <v>176</v>
      </c>
      <c r="Y68" s="1581" t="s">
        <v>176</v>
      </c>
      <c r="Z68" s="1581" t="s">
        <v>176</v>
      </c>
      <c r="AA68" s="1581" t="s">
        <v>176</v>
      </c>
      <c r="AB68" s="1581">
        <v>89</v>
      </c>
      <c r="AC68" s="1581"/>
      <c r="AD68" s="1581"/>
      <c r="AE68" s="1581">
        <v>10</v>
      </c>
      <c r="AF68" s="1581">
        <v>10</v>
      </c>
      <c r="AG68" s="613">
        <v>10</v>
      </c>
      <c r="AH68" s="1"/>
      <c r="AJ68" s="1621">
        <v>138</v>
      </c>
      <c r="AK68" s="1621">
        <v>4</v>
      </c>
      <c r="AL68" s="1621">
        <f t="shared" si="3"/>
        <v>142</v>
      </c>
      <c r="AM68" s="1622">
        <f t="shared" si="4"/>
        <v>-18.330000000000013</v>
      </c>
      <c r="AN68" s="1622">
        <f>IF(AM68="","",AM68+'Juli 2022'!AN68)</f>
        <v>42.85999999999995</v>
      </c>
    </row>
    <row r="69" spans="1:40" ht="22.35" customHeight="1" x14ac:dyDescent="0.2">
      <c r="A69" s="1578"/>
      <c r="B69" s="634" t="s">
        <v>141</v>
      </c>
      <c r="C69" s="1626" t="s">
        <v>177</v>
      </c>
      <c r="D69" s="1626" t="s">
        <v>177</v>
      </c>
      <c r="E69" s="1626" t="s">
        <v>177</v>
      </c>
      <c r="F69" s="1626" t="s">
        <v>177</v>
      </c>
      <c r="G69" s="1626" t="s">
        <v>177</v>
      </c>
      <c r="H69" s="1581"/>
      <c r="I69" s="1581"/>
      <c r="J69" s="1581">
        <v>25</v>
      </c>
      <c r="K69" s="1581">
        <v>25</v>
      </c>
      <c r="L69" s="1581">
        <v>25</v>
      </c>
      <c r="M69" s="1581">
        <v>25</v>
      </c>
      <c r="N69" s="1581">
        <v>25</v>
      </c>
      <c r="O69" s="1616" t="s">
        <v>83</v>
      </c>
      <c r="P69" s="1616" t="s">
        <v>83</v>
      </c>
      <c r="Q69" s="1679" t="s">
        <v>36</v>
      </c>
      <c r="R69" s="1679">
        <v>8</v>
      </c>
      <c r="S69" s="1679" t="s">
        <v>36</v>
      </c>
      <c r="T69" s="1581" t="s">
        <v>32</v>
      </c>
      <c r="U69" s="1679" t="s">
        <v>36</v>
      </c>
      <c r="V69" s="868" t="s">
        <v>57</v>
      </c>
      <c r="W69" s="868" t="s">
        <v>57</v>
      </c>
      <c r="X69" s="868">
        <v>7</v>
      </c>
      <c r="Y69" s="868">
        <v>7</v>
      </c>
      <c r="Z69" s="868">
        <v>7</v>
      </c>
      <c r="AA69" s="868">
        <v>7</v>
      </c>
      <c r="AB69" s="868">
        <v>7</v>
      </c>
      <c r="AC69" s="1581"/>
      <c r="AD69" s="1581"/>
      <c r="AE69" s="1581">
        <v>99</v>
      </c>
      <c r="AF69" s="1581">
        <v>99</v>
      </c>
      <c r="AG69" s="613">
        <v>99</v>
      </c>
      <c r="AH69" s="1"/>
      <c r="AJ69" s="1621">
        <v>214.25</v>
      </c>
      <c r="AK69" s="1621">
        <v>10.25</v>
      </c>
      <c r="AL69" s="1621">
        <f t="shared" si="3"/>
        <v>224.5</v>
      </c>
      <c r="AM69" s="1622">
        <f t="shared" si="4"/>
        <v>64.169999999999987</v>
      </c>
      <c r="AN69" s="1622">
        <f>IF(AM69="","",AM69+'Juli 2022'!AN69)</f>
        <v>178.35999999999996</v>
      </c>
    </row>
    <row r="70" spans="1:40" ht="22.35" customHeight="1" thickBot="1" x14ac:dyDescent="0.25">
      <c r="A70" s="501"/>
      <c r="B70" s="634" t="s">
        <v>143</v>
      </c>
      <c r="C70" s="1626">
        <v>4</v>
      </c>
      <c r="D70" s="1626">
        <v>4</v>
      </c>
      <c r="E70" s="1581">
        <v>4</v>
      </c>
      <c r="F70" s="1581">
        <v>4</v>
      </c>
      <c r="G70" s="1581">
        <v>4</v>
      </c>
      <c r="H70" s="1626"/>
      <c r="I70" s="1625"/>
      <c r="J70" s="816">
        <v>10</v>
      </c>
      <c r="K70" s="816">
        <v>10</v>
      </c>
      <c r="L70" s="816">
        <v>10</v>
      </c>
      <c r="M70" s="816">
        <v>10</v>
      </c>
      <c r="N70" s="1594">
        <v>10</v>
      </c>
      <c r="O70" s="1594" t="s">
        <v>81</v>
      </c>
      <c r="P70" s="868" t="s">
        <v>81</v>
      </c>
      <c r="Q70" s="1679" t="s">
        <v>36</v>
      </c>
      <c r="R70" s="1679" t="s">
        <v>36</v>
      </c>
      <c r="S70" s="1679" t="s">
        <v>36</v>
      </c>
      <c r="T70" s="1679" t="s">
        <v>36</v>
      </c>
      <c r="U70" s="1679" t="s">
        <v>36</v>
      </c>
      <c r="V70" s="1628"/>
      <c r="W70" s="1628"/>
      <c r="X70" s="1581">
        <v>89</v>
      </c>
      <c r="Y70" s="1581">
        <v>89</v>
      </c>
      <c r="Z70" s="1581">
        <v>89</v>
      </c>
      <c r="AA70" s="1581">
        <v>89</v>
      </c>
      <c r="AB70" s="1581" t="s">
        <v>32</v>
      </c>
      <c r="AC70" s="1112">
        <v>89</v>
      </c>
      <c r="AD70" s="1581"/>
      <c r="AE70" s="1581" t="s">
        <v>177</v>
      </c>
      <c r="AF70" s="1581" t="s">
        <v>177</v>
      </c>
      <c r="AG70" s="1581" t="s">
        <v>177</v>
      </c>
      <c r="AJ70" s="1621">
        <v>167.5</v>
      </c>
      <c r="AK70" s="1621">
        <v>5.5</v>
      </c>
      <c r="AL70" s="1621">
        <f t="shared" si="3"/>
        <v>173</v>
      </c>
      <c r="AM70" s="1622">
        <f t="shared" si="4"/>
        <v>12.669999999999987</v>
      </c>
      <c r="AN70" s="1622">
        <f>IF(AM70="","",AM70+'Juli 2022'!AN70)</f>
        <v>99.859999999999957</v>
      </c>
    </row>
    <row r="71" spans="1:40" ht="22.35" customHeight="1" x14ac:dyDescent="0.2">
      <c r="A71" s="539"/>
      <c r="B71" s="541" t="s">
        <v>144</v>
      </c>
      <c r="C71" s="1162" t="s">
        <v>243</v>
      </c>
      <c r="D71" s="1162" t="s">
        <v>243</v>
      </c>
      <c r="E71" s="1162" t="s">
        <v>243</v>
      </c>
      <c r="F71" s="1162" t="s">
        <v>243</v>
      </c>
      <c r="G71" s="964" t="s">
        <v>391</v>
      </c>
      <c r="H71" s="1621"/>
      <c r="I71" s="1621"/>
      <c r="J71" s="1579" t="s">
        <v>137</v>
      </c>
      <c r="K71" s="1579" t="s">
        <v>137</v>
      </c>
      <c r="L71" s="1579" t="s">
        <v>137</v>
      </c>
      <c r="M71" s="1579" t="s">
        <v>137</v>
      </c>
      <c r="N71" s="1579" t="s">
        <v>137</v>
      </c>
      <c r="O71" s="1625"/>
      <c r="P71" s="1579" t="s">
        <v>0</v>
      </c>
      <c r="Q71" s="1626" t="s">
        <v>177</v>
      </c>
      <c r="R71" s="1626" t="s">
        <v>177</v>
      </c>
      <c r="S71" s="1626" t="s">
        <v>177</v>
      </c>
      <c r="T71" s="1626" t="s">
        <v>177</v>
      </c>
      <c r="U71" s="1626" t="s">
        <v>177</v>
      </c>
      <c r="V71" s="1617"/>
      <c r="W71" s="1617"/>
      <c r="X71" s="1626" t="s">
        <v>32</v>
      </c>
      <c r="Y71" s="1626" t="s">
        <v>32</v>
      </c>
      <c r="Z71" s="1626" t="s">
        <v>32</v>
      </c>
      <c r="AA71" s="1626" t="s">
        <v>32</v>
      </c>
      <c r="AB71" t="s">
        <v>32</v>
      </c>
      <c r="AC71" s="1617"/>
      <c r="AD71" s="1617"/>
      <c r="AE71" s="1581" t="s">
        <v>264</v>
      </c>
      <c r="AF71" s="1581" t="s">
        <v>264</v>
      </c>
      <c r="AG71" s="856" t="s">
        <v>264</v>
      </c>
      <c r="AJ71" s="1621">
        <v>167.25</v>
      </c>
      <c r="AK71" s="1621">
        <v>0.5</v>
      </c>
      <c r="AL71" s="1621">
        <f t="shared" si="3"/>
        <v>167.75</v>
      </c>
      <c r="AM71" s="1622">
        <f t="shared" si="4"/>
        <v>7.4199999999999875</v>
      </c>
      <c r="AN71" s="1622">
        <f>IF(AM71="","",AM71+'Juli 2022'!AN71)</f>
        <v>8.2699999999999534</v>
      </c>
    </row>
    <row r="72" spans="1:40" ht="22.35" customHeight="1" thickBot="1" x14ac:dyDescent="0.25">
      <c r="A72" s="289"/>
      <c r="B72" s="634" t="s">
        <v>0</v>
      </c>
      <c r="C72" s="1626" t="s">
        <v>32</v>
      </c>
      <c r="D72" s="1626" t="s">
        <v>32</v>
      </c>
      <c r="E72" s="1581" t="s">
        <v>32</v>
      </c>
      <c r="F72" s="1581" t="s">
        <v>32</v>
      </c>
      <c r="G72" s="1581" t="s">
        <v>32</v>
      </c>
      <c r="H72" s="1581"/>
      <c r="I72" s="1581"/>
      <c r="J72" s="1581" t="s">
        <v>32</v>
      </c>
      <c r="K72" s="1581" t="s">
        <v>32</v>
      </c>
      <c r="L72" s="1581" t="s">
        <v>32</v>
      </c>
      <c r="M72" s="1581" t="s">
        <v>32</v>
      </c>
      <c r="N72" s="1581" t="s">
        <v>32</v>
      </c>
      <c r="O72" s="1625"/>
      <c r="P72" s="1625"/>
      <c r="Q72" s="1625" t="s">
        <v>32</v>
      </c>
      <c r="R72" s="1625" t="s">
        <v>32</v>
      </c>
      <c r="S72" s="1625" t="s">
        <v>32</v>
      </c>
      <c r="T72" s="1581" t="s">
        <v>32</v>
      </c>
      <c r="U72" s="1581" t="s">
        <v>32</v>
      </c>
      <c r="V72" s="1581"/>
      <c r="W72" s="1581"/>
      <c r="X72" s="1581" t="s">
        <v>32</v>
      </c>
      <c r="Y72" s="1581" t="s">
        <v>32</v>
      </c>
      <c r="Z72" s="1581" t="s">
        <v>32</v>
      </c>
      <c r="AA72" s="1581" t="s">
        <v>32</v>
      </c>
      <c r="AB72" s="1581" t="s">
        <v>32</v>
      </c>
      <c r="AC72" s="1581"/>
      <c r="AD72" s="1581"/>
      <c r="AE72" s="1581" t="s">
        <v>32</v>
      </c>
      <c r="AF72" s="1581" t="s">
        <v>32</v>
      </c>
      <c r="AG72" s="856" t="s">
        <v>32</v>
      </c>
      <c r="AH72" s="1"/>
      <c r="AJ72" s="1621" t="str">
        <f t="shared" ref="AJ72:AL78" si="5">IF(AH72="","",SUM(AH72:AI72))</f>
        <v/>
      </c>
      <c r="AK72" s="1621"/>
      <c r="AL72" s="1621" t="str">
        <f t="shared" si="3"/>
        <v/>
      </c>
      <c r="AM72" s="1622" t="str">
        <f t="shared" si="4"/>
        <v/>
      </c>
      <c r="AN72" s="1622" t="str">
        <f>IF(AM72="","",AM72+'Juli 2022'!AN72)</f>
        <v/>
      </c>
    </row>
    <row r="73" spans="1:40" ht="22.35" customHeight="1" x14ac:dyDescent="0.2">
      <c r="A73" s="539"/>
      <c r="B73" s="634" t="s">
        <v>354</v>
      </c>
      <c r="C73" s="1581" t="s">
        <v>36</v>
      </c>
      <c r="D73" s="1581" t="s">
        <v>36</v>
      </c>
      <c r="E73" s="960" t="s">
        <v>36</v>
      </c>
      <c r="F73" s="1581">
        <v>1</v>
      </c>
      <c r="G73" s="647" t="s">
        <v>32</v>
      </c>
      <c r="H73" s="1581" t="s">
        <v>53</v>
      </c>
      <c r="I73" s="1581" t="s">
        <v>53</v>
      </c>
      <c r="J73" s="1626" t="s">
        <v>134</v>
      </c>
      <c r="K73" s="1626" t="s">
        <v>134</v>
      </c>
      <c r="L73" s="1626" t="s">
        <v>134</v>
      </c>
      <c r="M73" s="965" t="s">
        <v>36</v>
      </c>
      <c r="N73" s="1232" t="s">
        <v>128</v>
      </c>
      <c r="O73" s="1680" t="s">
        <v>0</v>
      </c>
      <c r="P73" s="1681" t="s">
        <v>127</v>
      </c>
      <c r="Q73" s="1616" t="s">
        <v>128</v>
      </c>
      <c r="R73" s="1616" t="s">
        <v>128</v>
      </c>
      <c r="S73" s="1682" t="s">
        <v>128</v>
      </c>
      <c r="T73" s="1682" t="s">
        <v>128</v>
      </c>
      <c r="U73" s="1682" t="s">
        <v>128</v>
      </c>
      <c r="V73" s="1581" t="s">
        <v>53</v>
      </c>
      <c r="W73" s="1581" t="s">
        <v>53</v>
      </c>
      <c r="X73" s="1112" t="s">
        <v>36</v>
      </c>
      <c r="Y73" t="s">
        <v>36</v>
      </c>
      <c r="Z73" s="1112" t="s">
        <v>36</v>
      </c>
      <c r="AA73" s="1621" t="s">
        <v>36</v>
      </c>
      <c r="AB73" s="1679" t="s">
        <v>176</v>
      </c>
      <c r="AC73" s="1581"/>
      <c r="AD73" s="960">
        <v>26</v>
      </c>
      <c r="AE73" s="1581">
        <v>4</v>
      </c>
      <c r="AF73" s="1581">
        <v>4</v>
      </c>
      <c r="AG73" s="1581">
        <v>4</v>
      </c>
      <c r="AH73" s="1"/>
      <c r="AJ73" s="1621">
        <v>137</v>
      </c>
      <c r="AK73" s="1621">
        <v>5.75</v>
      </c>
      <c r="AL73" s="1621">
        <f t="shared" si="3"/>
        <v>142.75</v>
      </c>
      <c r="AM73" s="1622">
        <f t="shared" si="4"/>
        <v>-17.580000000000013</v>
      </c>
      <c r="AN73" s="1622">
        <f>IF(AM73="","",AM73+'Juli 2022'!AN73)</f>
        <v>45.009999999999962</v>
      </c>
    </row>
    <row r="74" spans="1:40" ht="22.35" customHeight="1" thickBot="1" x14ac:dyDescent="0.25">
      <c r="A74" s="539"/>
      <c r="B74" s="634" t="s">
        <v>355</v>
      </c>
      <c r="C74" s="1162">
        <v>4</v>
      </c>
      <c r="D74" s="1162">
        <v>4</v>
      </c>
      <c r="E74" s="1163">
        <v>4</v>
      </c>
      <c r="F74" s="1163">
        <v>4</v>
      </c>
      <c r="G74" s="1163">
        <v>4</v>
      </c>
      <c r="H74" s="1163"/>
      <c r="I74" s="1163"/>
      <c r="J74" s="1163">
        <v>89</v>
      </c>
      <c r="K74" s="1163">
        <v>89</v>
      </c>
      <c r="L74" s="1163">
        <v>89</v>
      </c>
      <c r="M74" s="1163">
        <v>89</v>
      </c>
      <c r="N74" s="1163">
        <v>89</v>
      </c>
      <c r="O74" s="1163">
        <v>89</v>
      </c>
      <c r="P74" s="1683"/>
      <c r="Q74" s="1163" t="s">
        <v>32</v>
      </c>
      <c r="R74" s="1163" t="s">
        <v>32</v>
      </c>
      <c r="S74" s="1683" t="s">
        <v>32</v>
      </c>
      <c r="T74" s="1163" t="s">
        <v>32</v>
      </c>
      <c r="U74" s="1163" t="s">
        <v>32</v>
      </c>
      <c r="V74" s="1163"/>
      <c r="W74" s="1163"/>
      <c r="X74" s="1163" t="s">
        <v>32</v>
      </c>
      <c r="Y74" s="1163" t="s">
        <v>32</v>
      </c>
      <c r="Z74" s="1163" t="s">
        <v>32</v>
      </c>
      <c r="AA74" s="1163" t="s">
        <v>32</v>
      </c>
      <c r="AB74" s="1163" t="s">
        <v>32</v>
      </c>
      <c r="AC74" s="1163"/>
      <c r="AD74" s="1163"/>
      <c r="AE74" s="1163" t="s">
        <v>32</v>
      </c>
      <c r="AF74" s="1163" t="s">
        <v>32</v>
      </c>
      <c r="AG74" s="1684" t="s">
        <v>32</v>
      </c>
      <c r="AH74" s="1"/>
      <c r="AJ74" s="1621">
        <f t="shared" ref="AJ74:AJ76" si="6">$AJ$12</f>
        <v>160.33000000000001</v>
      </c>
      <c r="AK74" s="1621"/>
      <c r="AL74" s="1621">
        <f>IF(AJ74="","",SUM(AJ74:AK74))</f>
        <v>160.33000000000001</v>
      </c>
      <c r="AM74" s="1622">
        <f t="shared" si="4"/>
        <v>0</v>
      </c>
      <c r="AN74" s="1622">
        <f>IF(AM74="","",AM74+'Juli 2022'!AN74)</f>
        <v>0</v>
      </c>
    </row>
    <row r="75" spans="1:40" ht="22.35" customHeight="1" x14ac:dyDescent="0.2">
      <c r="A75" s="539"/>
      <c r="B75" s="539" t="s">
        <v>378</v>
      </c>
      <c r="C75" s="1645">
        <v>89</v>
      </c>
      <c r="D75" s="1645">
        <v>89</v>
      </c>
      <c r="E75" s="1616">
        <v>89</v>
      </c>
      <c r="F75" s="1616">
        <v>89</v>
      </c>
      <c r="G75" s="1644">
        <v>89</v>
      </c>
      <c r="H75" s="1645">
        <v>89</v>
      </c>
      <c r="I75" s="1644"/>
      <c r="J75" s="1644">
        <v>99</v>
      </c>
      <c r="K75" s="1645">
        <v>99</v>
      </c>
      <c r="L75" s="1644">
        <v>99</v>
      </c>
      <c r="M75" s="1616">
        <v>99</v>
      </c>
      <c r="N75" s="1645" t="s">
        <v>36</v>
      </c>
      <c r="O75" s="1645"/>
      <c r="P75" s="1645"/>
      <c r="Q75" s="1645" t="s">
        <v>58</v>
      </c>
      <c r="R75" s="1645" t="s">
        <v>58</v>
      </c>
      <c r="S75" s="1616" t="s">
        <v>58</v>
      </c>
      <c r="T75" s="1616" t="s">
        <v>58</v>
      </c>
      <c r="U75" s="1645" t="s">
        <v>58</v>
      </c>
      <c r="V75" s="1645"/>
      <c r="W75" s="1645"/>
      <c r="X75" s="1645">
        <v>69</v>
      </c>
      <c r="Y75" s="1645">
        <v>69</v>
      </c>
      <c r="Z75" s="1645">
        <v>69</v>
      </c>
      <c r="AA75" s="1644">
        <v>69</v>
      </c>
      <c r="AB75" s="1645">
        <v>69</v>
      </c>
      <c r="AC75" s="1645"/>
      <c r="AD75" s="1645"/>
      <c r="AE75" s="1645">
        <v>79</v>
      </c>
      <c r="AF75" s="1644">
        <v>79</v>
      </c>
      <c r="AG75" s="1651">
        <v>79</v>
      </c>
      <c r="AH75" s="1"/>
      <c r="AJ75" s="1621">
        <f t="shared" si="6"/>
        <v>160.33000000000001</v>
      </c>
      <c r="AK75" s="1621"/>
      <c r="AL75" s="1621">
        <f t="shared" si="5"/>
        <v>160.33000000000001</v>
      </c>
      <c r="AM75" s="1622">
        <f t="shared" si="4"/>
        <v>0</v>
      </c>
      <c r="AN75" s="1622">
        <f>IF(AM75="","",AM75+'Juli 2022'!AN75)</f>
        <v>0</v>
      </c>
    </row>
    <row r="76" spans="1:40" ht="22.35" customHeight="1" x14ac:dyDescent="0.2">
      <c r="A76" s="539"/>
      <c r="B76" s="539"/>
      <c r="C76" s="1581"/>
      <c r="D76" s="974"/>
      <c r="E76" s="974"/>
      <c r="F76" s="974"/>
      <c r="G76" s="974"/>
      <c r="H76" s="974"/>
      <c r="I76" s="1581"/>
      <c r="J76" s="1581"/>
      <c r="K76" s="974"/>
      <c r="L76" s="974"/>
      <c r="M76" s="974"/>
      <c r="N76" s="974"/>
      <c r="O76" s="974"/>
      <c r="P76" s="1581"/>
      <c r="Q76" s="1581"/>
      <c r="R76" s="1581"/>
      <c r="S76" s="1579"/>
      <c r="T76" s="1579"/>
      <c r="U76" s="1579"/>
      <c r="V76" s="1581"/>
      <c r="W76" s="1581"/>
      <c r="X76" s="1581"/>
      <c r="Y76" s="1581"/>
      <c r="Z76" s="1581"/>
      <c r="AA76" s="1581"/>
      <c r="AB76" s="1581"/>
      <c r="AC76" s="1581"/>
      <c r="AD76" s="1581"/>
      <c r="AE76" s="1581"/>
      <c r="AF76" s="1581"/>
      <c r="AG76" s="613"/>
      <c r="AH76" s="1"/>
      <c r="AJ76" s="1621">
        <f t="shared" si="6"/>
        <v>160.33000000000001</v>
      </c>
      <c r="AK76" s="1621"/>
      <c r="AL76" s="1621">
        <f t="shared" si="5"/>
        <v>160.33000000000001</v>
      </c>
      <c r="AM76" s="1622">
        <f t="shared" si="4"/>
        <v>0</v>
      </c>
      <c r="AN76" s="1622">
        <f>IF(AM76="","",AM76+'Juli 2022'!AN76)</f>
        <v>0</v>
      </c>
    </row>
    <row r="77" spans="1:40" ht="22.35" customHeight="1" x14ac:dyDescent="0.2">
      <c r="A77" s="977"/>
      <c r="B77" s="933" t="s">
        <v>0</v>
      </c>
      <c r="C77" s="974"/>
      <c r="D77" s="974"/>
      <c r="E77" s="974"/>
      <c r="F77" s="974"/>
      <c r="G77" s="974"/>
      <c r="H77" s="974"/>
      <c r="I77" s="974"/>
      <c r="J77" s="974"/>
      <c r="K77" s="974"/>
      <c r="L77" s="974"/>
      <c r="M77" s="974"/>
      <c r="N77" s="974"/>
      <c r="O77" s="974"/>
      <c r="P77" s="974"/>
      <c r="Q77" s="974"/>
      <c r="R77" s="974"/>
      <c r="S77" s="974"/>
      <c r="T77" s="974"/>
      <c r="U77" s="974"/>
      <c r="V77" s="974"/>
      <c r="W77" s="974"/>
      <c r="X77" s="974"/>
      <c r="Y77" s="974"/>
      <c r="Z77" s="974"/>
      <c r="AA77" s="974"/>
      <c r="AB77" s="974"/>
      <c r="AC77" s="974"/>
      <c r="AD77" s="974"/>
      <c r="AE77" s="974"/>
      <c r="AF77" s="974"/>
      <c r="AG77" s="974"/>
      <c r="AH77" s="1"/>
      <c r="AJ77" s="1621"/>
      <c r="AK77" s="1621"/>
      <c r="AL77" s="1621" t="str">
        <f t="shared" si="5"/>
        <v/>
      </c>
      <c r="AM77" s="1622" t="str">
        <f t="shared" si="4"/>
        <v/>
      </c>
      <c r="AN77" s="1622" t="str">
        <f>IF(AM77="","",AM77+'Juli 2022'!AN77)</f>
        <v/>
      </c>
    </row>
    <row r="78" spans="1:40" ht="22.35" customHeight="1" x14ac:dyDescent="0.2">
      <c r="A78" s="977"/>
      <c r="B78" s="1578" t="s">
        <v>0</v>
      </c>
      <c r="C78" s="974"/>
      <c r="D78" s="974"/>
      <c r="E78" s="974"/>
      <c r="F78" s="974"/>
      <c r="G78" s="974"/>
      <c r="H78" s="974"/>
      <c r="I78" s="974"/>
      <c r="J78" s="974"/>
      <c r="K78" s="974"/>
      <c r="L78" s="974"/>
      <c r="M78" s="974"/>
      <c r="N78" s="974"/>
      <c r="O78" s="974"/>
      <c r="P78" s="974"/>
      <c r="Q78" s="974"/>
      <c r="R78" s="974"/>
      <c r="S78" s="974"/>
      <c r="T78" s="974"/>
      <c r="U78" s="974"/>
      <c r="V78" s="974"/>
      <c r="W78" s="974"/>
      <c r="X78" s="974"/>
      <c r="Y78" s="974"/>
      <c r="Z78" s="974"/>
      <c r="AA78" s="974"/>
      <c r="AB78" s="974"/>
      <c r="AC78" s="974"/>
      <c r="AD78" s="974"/>
      <c r="AE78" s="974"/>
      <c r="AF78" s="974"/>
      <c r="AG78" s="974"/>
      <c r="AH78" s="1"/>
      <c r="AJ78" s="1621"/>
      <c r="AK78" s="1621"/>
      <c r="AL78" s="1621" t="str">
        <f t="shared" si="5"/>
        <v/>
      </c>
      <c r="AM78" s="1622" t="str">
        <f t="shared" si="4"/>
        <v/>
      </c>
      <c r="AN78" s="1622" t="str">
        <f>IF(AM78="","",AM78+'Juli 2022'!AN78)</f>
        <v/>
      </c>
    </row>
    <row r="79" spans="1:40" ht="22.35" customHeight="1" thickBot="1" x14ac:dyDescent="0.25">
      <c r="A79" s="977"/>
      <c r="B79" s="502"/>
      <c r="C79" s="1625"/>
      <c r="D79" s="1628"/>
      <c r="E79" s="1625"/>
      <c r="F79" s="1581"/>
      <c r="G79" s="1581"/>
      <c r="H79" s="1581"/>
      <c r="I79" s="1581"/>
      <c r="J79" s="1581"/>
      <c r="K79" s="1581"/>
      <c r="L79" s="1581"/>
      <c r="M79" s="1581"/>
      <c r="N79" s="1581"/>
      <c r="O79" s="1581"/>
      <c r="P79" s="1581"/>
      <c r="Q79" s="1581"/>
      <c r="R79" s="1581"/>
      <c r="S79" s="1581"/>
      <c r="T79" s="1625"/>
      <c r="U79" s="1625"/>
      <c r="V79" s="974"/>
      <c r="W79" s="1625"/>
      <c r="X79" s="1625"/>
      <c r="Y79" s="1581"/>
      <c r="Z79" s="1625"/>
      <c r="AA79" s="1625"/>
      <c r="AB79" s="1625"/>
      <c r="AC79" s="1625"/>
      <c r="AD79" s="1625"/>
      <c r="AE79" s="1628"/>
      <c r="AF79" s="1625"/>
      <c r="AG79" s="978"/>
      <c r="AH79" s="1"/>
      <c r="AJ79" s="1621"/>
      <c r="AK79" s="1621"/>
      <c r="AL79" s="1621" t="str">
        <f t="shared" ref="AL79" si="7">IF(AJ79="","",SUM(AJ79:AK79))</f>
        <v/>
      </c>
      <c r="AM79" s="1622" t="str">
        <f t="shared" ref="AM79" si="8">IF(AJ79="","",AL79-_xlfn.SINGLE(NormTid))</f>
        <v/>
      </c>
      <c r="AN79" s="1622" t="str">
        <f>IF(AM79="","",AM79+'Juli 2022'!AN79)</f>
        <v/>
      </c>
    </row>
    <row r="80" spans="1:40" ht="22.35" customHeight="1" thickBot="1" x14ac:dyDescent="0.25">
      <c r="A80" s="977"/>
      <c r="B80" s="1371" t="s">
        <v>147</v>
      </c>
      <c r="C80" s="1274">
        <v>1</v>
      </c>
      <c r="D80" s="1274">
        <v>2</v>
      </c>
      <c r="E80" s="1274">
        <v>3</v>
      </c>
      <c r="F80" s="1274">
        <v>4</v>
      </c>
      <c r="G80" s="1274">
        <v>5</v>
      </c>
      <c r="H80" s="1275">
        <v>6</v>
      </c>
      <c r="I80" s="1275">
        <v>7</v>
      </c>
      <c r="J80" s="1274">
        <v>8</v>
      </c>
      <c r="K80" s="1274">
        <v>9</v>
      </c>
      <c r="L80" s="1274">
        <v>10</v>
      </c>
      <c r="M80" s="1274">
        <v>11</v>
      </c>
      <c r="N80" s="1274">
        <v>12</v>
      </c>
      <c r="O80" s="1275">
        <v>13</v>
      </c>
      <c r="P80" s="1275">
        <v>14</v>
      </c>
      <c r="Q80" s="1274">
        <v>15</v>
      </c>
      <c r="R80" s="1274">
        <v>16</v>
      </c>
      <c r="S80" s="1274">
        <v>17</v>
      </c>
      <c r="T80" s="1274">
        <v>18</v>
      </c>
      <c r="U80" s="1274">
        <v>19</v>
      </c>
      <c r="V80" s="1275">
        <v>20</v>
      </c>
      <c r="W80" s="1275">
        <v>21</v>
      </c>
      <c r="X80" s="1274">
        <v>22</v>
      </c>
      <c r="Y80" s="1274">
        <v>23</v>
      </c>
      <c r="Z80" s="1274">
        <v>24</v>
      </c>
      <c r="AA80" s="1274">
        <v>25</v>
      </c>
      <c r="AB80" s="1274">
        <v>26</v>
      </c>
      <c r="AC80" s="1275">
        <v>27</v>
      </c>
      <c r="AD80" s="1275">
        <v>28</v>
      </c>
      <c r="AE80" s="1274">
        <v>29</v>
      </c>
      <c r="AF80" s="1274">
        <v>30</v>
      </c>
      <c r="AG80" s="1276">
        <v>31</v>
      </c>
      <c r="AH80" s="1"/>
    </row>
    <row r="81" spans="1:38" ht="22.35" customHeight="1" thickBot="1" x14ac:dyDescent="0.25">
      <c r="A81" s="1685"/>
      <c r="B81" s="1686" t="s">
        <v>357</v>
      </c>
      <c r="C81" s="1593">
        <v>79</v>
      </c>
      <c r="D81" s="1593">
        <v>79</v>
      </c>
      <c r="E81" s="1593">
        <v>79</v>
      </c>
      <c r="F81" s="1593">
        <v>79</v>
      </c>
      <c r="G81" s="1593">
        <v>79</v>
      </c>
      <c r="H81" s="709"/>
      <c r="I81" s="709"/>
      <c r="J81" s="1607">
        <v>1</v>
      </c>
      <c r="K81" s="1607">
        <v>1</v>
      </c>
      <c r="L81" s="1607">
        <v>1</v>
      </c>
      <c r="M81" s="1607">
        <v>1</v>
      </c>
      <c r="N81" s="1607">
        <v>1</v>
      </c>
      <c r="O81" s="709"/>
      <c r="P81" s="709"/>
      <c r="Q81" s="338" t="s">
        <v>176</v>
      </c>
      <c r="R81" s="338" t="s">
        <v>176</v>
      </c>
      <c r="S81" s="338" t="s">
        <v>176</v>
      </c>
      <c r="T81" s="338" t="s">
        <v>176</v>
      </c>
      <c r="U81" s="338" t="s">
        <v>176</v>
      </c>
      <c r="V81" s="1687"/>
      <c r="W81" s="711"/>
      <c r="X81" s="1581">
        <v>8</v>
      </c>
      <c r="Y81" s="1581">
        <v>8</v>
      </c>
      <c r="Z81" s="964" t="s">
        <v>356</v>
      </c>
      <c r="AA81" s="1621" t="s">
        <v>392</v>
      </c>
      <c r="AB81" s="1621" t="s">
        <v>392</v>
      </c>
      <c r="AC81" s="711"/>
      <c r="AD81" s="711"/>
      <c r="AE81" s="710">
        <v>1</v>
      </c>
      <c r="AF81" s="711" t="s">
        <v>86</v>
      </c>
      <c r="AG81" s="1688" t="s">
        <v>86</v>
      </c>
      <c r="AH81" s="1"/>
    </row>
    <row r="82" spans="1:38" ht="22.35" customHeight="1" x14ac:dyDescent="0.2">
      <c r="A82" s="1685"/>
      <c r="B82" s="547" t="s">
        <v>380</v>
      </c>
      <c r="C82" s="969">
        <v>26</v>
      </c>
      <c r="D82" s="969">
        <v>26</v>
      </c>
      <c r="E82" s="969">
        <v>26</v>
      </c>
      <c r="F82" s="969">
        <v>26</v>
      </c>
      <c r="G82" s="969">
        <v>26</v>
      </c>
      <c r="H82" s="1581"/>
      <c r="I82" s="709"/>
      <c r="J82" s="1581" t="s">
        <v>128</v>
      </c>
      <c r="K82" s="1581" t="s">
        <v>128</v>
      </c>
      <c r="L82" s="1581" t="s">
        <v>128</v>
      </c>
      <c r="M82" s="1581" t="s">
        <v>128</v>
      </c>
      <c r="N82" s="1581" t="s">
        <v>128</v>
      </c>
      <c r="O82" s="709"/>
      <c r="P82" s="709"/>
      <c r="Q82" s="1689">
        <v>26</v>
      </c>
      <c r="R82" s="1689">
        <v>26</v>
      </c>
      <c r="S82" s="1689">
        <v>26</v>
      </c>
      <c r="T82" s="1689">
        <v>26</v>
      </c>
      <c r="U82" s="1689">
        <v>26</v>
      </c>
      <c r="V82" s="974"/>
      <c r="W82" s="1625"/>
      <c r="X82" s="1581">
        <v>26</v>
      </c>
      <c r="Y82" s="1581">
        <v>26</v>
      </c>
      <c r="Z82" s="1581">
        <v>26</v>
      </c>
      <c r="AA82" s="1581">
        <v>26</v>
      </c>
      <c r="AB82" s="1625" t="s">
        <v>393</v>
      </c>
      <c r="AC82" s="1625"/>
      <c r="AD82" s="1235" t="s">
        <v>393</v>
      </c>
      <c r="AE82" s="1628">
        <v>26</v>
      </c>
      <c r="AF82" s="1628">
        <v>26</v>
      </c>
      <c r="AG82" s="1628">
        <v>26</v>
      </c>
      <c r="AH82" s="1"/>
    </row>
    <row r="83" spans="1:38" ht="22.35" customHeight="1" x14ac:dyDescent="0.2">
      <c r="A83" s="1685"/>
      <c r="B83" s="547" t="s">
        <v>381</v>
      </c>
      <c r="C83" s="1581" t="s">
        <v>36</v>
      </c>
      <c r="D83" s="1581" t="s">
        <v>36</v>
      </c>
      <c r="E83" s="1581" t="s">
        <v>36</v>
      </c>
      <c r="F83" s="1236" t="s">
        <v>58</v>
      </c>
      <c r="G83" s="1236">
        <v>3</v>
      </c>
      <c r="H83" s="974"/>
      <c r="I83" s="1581"/>
      <c r="J83" s="1581">
        <v>23</v>
      </c>
      <c r="K83" s="1581">
        <v>23</v>
      </c>
      <c r="L83" s="1581">
        <v>23</v>
      </c>
      <c r="M83" s="1581">
        <v>23</v>
      </c>
      <c r="N83" s="1581">
        <v>23</v>
      </c>
      <c r="O83" s="1626">
        <v>23</v>
      </c>
      <c r="P83" s="1626">
        <v>23</v>
      </c>
      <c r="Q83" s="1626" t="s">
        <v>36</v>
      </c>
      <c r="R83" s="1626" t="s">
        <v>36</v>
      </c>
      <c r="S83" s="1626" t="s">
        <v>36</v>
      </c>
      <c r="T83" s="1626" t="s">
        <v>36</v>
      </c>
      <c r="U83" s="1626" t="s">
        <v>36</v>
      </c>
      <c r="V83" s="1626"/>
      <c r="W83" s="1581"/>
      <c r="X83" s="1581">
        <v>21</v>
      </c>
      <c r="Y83" s="1581">
        <v>21</v>
      </c>
      <c r="Z83" s="1581">
        <v>21</v>
      </c>
      <c r="AA83" s="1581">
        <v>21</v>
      </c>
      <c r="AB83" s="1581">
        <v>21</v>
      </c>
      <c r="AC83" s="1581">
        <v>21</v>
      </c>
      <c r="AD83" s="1625">
        <v>21</v>
      </c>
      <c r="AE83" s="1581" t="s">
        <v>36</v>
      </c>
      <c r="AF83" s="1581" t="s">
        <v>36</v>
      </c>
      <c r="AG83" s="978" t="s">
        <v>36</v>
      </c>
      <c r="AH83" s="1"/>
    </row>
    <row r="84" spans="1:38" ht="22.35" customHeight="1" x14ac:dyDescent="0.2">
      <c r="A84" s="1685"/>
      <c r="B84" s="547" t="s">
        <v>0</v>
      </c>
      <c r="C84" s="1581"/>
      <c r="D84" s="1581"/>
      <c r="E84" s="1581"/>
      <c r="F84" s="1581"/>
      <c r="G84" s="1581"/>
      <c r="H84" s="974"/>
      <c r="I84" s="1581"/>
      <c r="J84" s="1581"/>
      <c r="K84" s="1581"/>
      <c r="L84" s="1581"/>
      <c r="M84" s="1581"/>
      <c r="N84" s="1581"/>
      <c r="O84" s="1626"/>
      <c r="P84" s="1626"/>
      <c r="Q84" s="974" t="s">
        <v>32</v>
      </c>
      <c r="R84" s="974" t="s">
        <v>32</v>
      </c>
      <c r="S84" s="974" t="s">
        <v>32</v>
      </c>
      <c r="T84" s="974" t="s">
        <v>32</v>
      </c>
      <c r="U84" s="974" t="s">
        <v>32</v>
      </c>
      <c r="V84" s="1626"/>
      <c r="W84" s="1581"/>
      <c r="X84" s="974" t="s">
        <v>32</v>
      </c>
      <c r="Y84" s="974" t="s">
        <v>32</v>
      </c>
      <c r="Z84" s="974" t="s">
        <v>32</v>
      </c>
      <c r="AA84" s="974" t="s">
        <v>32</v>
      </c>
      <c r="AB84" s="974" t="s">
        <v>32</v>
      </c>
      <c r="AC84" s="1581"/>
      <c r="AD84" s="1625"/>
      <c r="AE84" s="974" t="s">
        <v>32</v>
      </c>
      <c r="AF84" s="974" t="s">
        <v>32</v>
      </c>
      <c r="AG84" s="974" t="s">
        <v>32</v>
      </c>
      <c r="AH84" s="1"/>
    </row>
    <row r="85" spans="1:38" ht="22.35" customHeight="1" thickBot="1" x14ac:dyDescent="0.25">
      <c r="A85" s="1685"/>
      <c r="B85" s="547" t="s">
        <v>0</v>
      </c>
      <c r="C85" s="974" t="s">
        <v>36</v>
      </c>
      <c r="D85" s="974" t="s">
        <v>32</v>
      </c>
      <c r="E85" s="1581" t="s">
        <v>32</v>
      </c>
      <c r="F85" s="1581" t="s">
        <v>32</v>
      </c>
      <c r="G85" s="1236" t="s">
        <v>32</v>
      </c>
      <c r="H85" s="1690">
        <v>89</v>
      </c>
      <c r="I85" s="974"/>
      <c r="J85" s="1581">
        <v>89</v>
      </c>
      <c r="K85" s="1581">
        <v>89</v>
      </c>
      <c r="L85" s="1581">
        <v>89</v>
      </c>
      <c r="M85" s="1581">
        <v>89</v>
      </c>
      <c r="N85" s="1581">
        <v>89</v>
      </c>
      <c r="O85" s="1581"/>
      <c r="P85" s="974"/>
      <c r="Q85" s="974" t="s">
        <v>32</v>
      </c>
      <c r="R85" s="974" t="s">
        <v>32</v>
      </c>
      <c r="S85" s="974" t="s">
        <v>32</v>
      </c>
      <c r="T85" s="974" t="s">
        <v>32</v>
      </c>
      <c r="U85" s="974" t="s">
        <v>32</v>
      </c>
      <c r="V85" s="974"/>
      <c r="W85" s="974"/>
      <c r="X85" s="974" t="s">
        <v>32</v>
      </c>
      <c r="Y85" s="1231" t="s">
        <v>32</v>
      </c>
      <c r="Z85" s="1231" t="s">
        <v>32</v>
      </c>
      <c r="AA85" s="1231" t="s">
        <v>32</v>
      </c>
      <c r="AB85" s="1231" t="s">
        <v>32</v>
      </c>
      <c r="AC85" s="647"/>
      <c r="AD85" s="1361"/>
      <c r="AE85" s="1231" t="s">
        <v>32</v>
      </c>
      <c r="AF85" s="1231" t="s">
        <v>32</v>
      </c>
      <c r="AG85" s="1231" t="s">
        <v>32</v>
      </c>
      <c r="AH85" s="1"/>
    </row>
    <row r="86" spans="1:38" ht="22.35" customHeight="1" x14ac:dyDescent="0.2">
      <c r="A86" s="1685"/>
      <c r="B86" s="1578" t="s">
        <v>359</v>
      </c>
      <c r="C86" s="1689">
        <v>9</v>
      </c>
      <c r="D86" s="1689">
        <v>9</v>
      </c>
      <c r="E86" s="1689">
        <v>9</v>
      </c>
      <c r="F86" s="1689">
        <v>9</v>
      </c>
      <c r="G86" s="1689">
        <v>9</v>
      </c>
      <c r="H86" s="1689" t="s">
        <v>80</v>
      </c>
      <c r="I86" s="1689" t="s">
        <v>81</v>
      </c>
      <c r="J86" s="1689" t="s">
        <v>36</v>
      </c>
      <c r="K86" s="1689" t="s">
        <v>36</v>
      </c>
      <c r="L86" s="1689" t="s">
        <v>36</v>
      </c>
      <c r="M86" s="1689" t="s">
        <v>36</v>
      </c>
      <c r="N86" s="1689" t="s">
        <v>36</v>
      </c>
      <c r="O86" s="1689" t="s">
        <v>82</v>
      </c>
      <c r="P86" s="1689" t="s">
        <v>83</v>
      </c>
      <c r="Q86" s="1644">
        <v>6</v>
      </c>
      <c r="R86" s="1645">
        <v>6</v>
      </c>
      <c r="S86" s="1645">
        <v>6</v>
      </c>
      <c r="T86" s="1645">
        <v>6</v>
      </c>
      <c r="U86" s="1645">
        <v>6</v>
      </c>
      <c r="V86" s="1644"/>
      <c r="W86" s="1644"/>
      <c r="X86" s="1691" t="s">
        <v>90</v>
      </c>
      <c r="Y86" s="1691" t="s">
        <v>90</v>
      </c>
      <c r="Z86" s="1645" t="s">
        <v>90</v>
      </c>
      <c r="AA86" s="1626" t="s">
        <v>36</v>
      </c>
      <c r="AB86" s="1626" t="s">
        <v>36</v>
      </c>
      <c r="AC86" s="674"/>
      <c r="AD86" s="1645"/>
      <c r="AE86" s="1645">
        <v>5</v>
      </c>
      <c r="AF86" s="1645">
        <v>5</v>
      </c>
      <c r="AG86" s="1651">
        <v>5</v>
      </c>
      <c r="AH86" s="1"/>
      <c r="AL86" t="s">
        <v>350</v>
      </c>
    </row>
    <row r="87" spans="1:38" ht="22.35" customHeight="1" thickBot="1" x14ac:dyDescent="0.25">
      <c r="A87" s="979"/>
      <c r="B87" s="1091" t="s">
        <v>383</v>
      </c>
      <c r="C87" s="1092" t="s">
        <v>257</v>
      </c>
      <c r="D87" s="1092" t="s">
        <v>257</v>
      </c>
      <c r="E87" s="1092" t="s">
        <v>257</v>
      </c>
      <c r="F87" s="1092" t="s">
        <v>257</v>
      </c>
      <c r="G87" s="1092" t="s">
        <v>257</v>
      </c>
      <c r="H87" s="863"/>
      <c r="I87" s="863"/>
      <c r="J87" s="1092" t="s">
        <v>257</v>
      </c>
      <c r="K87" s="1092" t="s">
        <v>257</v>
      </c>
      <c r="L87" s="1092" t="s">
        <v>257</v>
      </c>
      <c r="M87" s="1092" t="s">
        <v>257</v>
      </c>
      <c r="N87" s="1092" t="s">
        <v>257</v>
      </c>
      <c r="O87" s="863"/>
      <c r="P87" s="863"/>
      <c r="Q87" s="1092" t="s">
        <v>257</v>
      </c>
      <c r="R87" s="1092" t="s">
        <v>257</v>
      </c>
      <c r="S87" s="1692" t="s">
        <v>257</v>
      </c>
      <c r="T87" s="1092" t="s">
        <v>257</v>
      </c>
      <c r="U87" s="1092" t="s">
        <v>257</v>
      </c>
      <c r="V87" s="1693"/>
      <c r="W87" s="1092"/>
      <c r="X87" s="1092" t="s">
        <v>257</v>
      </c>
      <c r="Y87" s="1092" t="s">
        <v>257</v>
      </c>
      <c r="Z87" s="1092" t="s">
        <v>257</v>
      </c>
      <c r="AA87" s="1092" t="s">
        <v>257</v>
      </c>
      <c r="AB87" s="1092" t="s">
        <v>257</v>
      </c>
      <c r="AC87" s="1092"/>
      <c r="AD87" s="1092"/>
      <c r="AE87" s="1092" t="s">
        <v>394</v>
      </c>
      <c r="AF87" s="1092" t="s">
        <v>257</v>
      </c>
      <c r="AG87" s="1092" t="s">
        <v>257</v>
      </c>
      <c r="AH87" s="1"/>
    </row>
    <row r="88" spans="1:38" ht="22.35" customHeight="1" thickBot="1" x14ac:dyDescent="0.25">
      <c r="A88" s="333"/>
      <c r="B88" s="547" t="s">
        <v>379</v>
      </c>
      <c r="C88" s="558" t="s">
        <v>139</v>
      </c>
      <c r="D88" s="558" t="s">
        <v>139</v>
      </c>
      <c r="E88" s="558" t="s">
        <v>139</v>
      </c>
      <c r="F88" s="558" t="s">
        <v>139</v>
      </c>
      <c r="G88" s="558" t="s">
        <v>139</v>
      </c>
      <c r="H88" s="559"/>
      <c r="I88" s="559"/>
      <c r="J88" s="969">
        <v>26</v>
      </c>
      <c r="K88" s="969">
        <v>26</v>
      </c>
      <c r="L88" s="969">
        <v>26</v>
      </c>
      <c r="M88" s="969">
        <v>26</v>
      </c>
      <c r="N88" s="969">
        <v>26</v>
      </c>
      <c r="O88" s="498"/>
      <c r="P88" s="498"/>
      <c r="Q88" s="1679">
        <v>25</v>
      </c>
      <c r="R88" s="1679">
        <v>25</v>
      </c>
      <c r="S88" s="1679">
        <v>25</v>
      </c>
      <c r="T88" s="1679">
        <v>25</v>
      </c>
      <c r="U88" s="1679">
        <v>25</v>
      </c>
      <c r="V88" s="560"/>
      <c r="W88" s="548"/>
      <c r="X88" s="1581">
        <v>25</v>
      </c>
      <c r="Y88" s="1581">
        <v>25</v>
      </c>
      <c r="Z88" s="1581">
        <v>25</v>
      </c>
      <c r="AA88" s="1581">
        <v>25</v>
      </c>
      <c r="AB88" s="1581">
        <v>25</v>
      </c>
      <c r="AC88" s="548"/>
      <c r="AD88" s="548"/>
      <c r="AE88" s="561">
        <v>25</v>
      </c>
      <c r="AF88" s="548" t="s">
        <v>139</v>
      </c>
      <c r="AG88" s="339" t="s">
        <v>139</v>
      </c>
      <c r="AH88" s="1"/>
    </row>
    <row r="89" spans="1:38" ht="22.35" customHeight="1" thickBot="1" x14ac:dyDescent="0.25">
      <c r="A89" s="333"/>
      <c r="B89" s="547" t="s">
        <v>0</v>
      </c>
      <c r="C89" s="1616"/>
      <c r="D89" s="674"/>
      <c r="E89" s="1616"/>
      <c r="F89" s="1616"/>
      <c r="G89" s="1616"/>
      <c r="H89" s="1616"/>
      <c r="I89" s="1616"/>
      <c r="J89" s="1616"/>
      <c r="K89" s="1616"/>
      <c r="L89" s="1616"/>
      <c r="M89" s="1616"/>
      <c r="N89" s="1616"/>
      <c r="O89" s="1616"/>
      <c r="P89" s="1616"/>
      <c r="Q89" s="974" t="s">
        <v>32</v>
      </c>
      <c r="R89" s="1236" t="s">
        <v>58</v>
      </c>
      <c r="S89" s="1236">
        <v>89</v>
      </c>
      <c r="T89" s="1236">
        <v>4</v>
      </c>
      <c r="U89" s="1694" t="s">
        <v>32</v>
      </c>
      <c r="V89" s="1616"/>
      <c r="W89" s="1616"/>
      <c r="X89" s="974" t="s">
        <v>32</v>
      </c>
      <c r="Y89" s="974" t="s">
        <v>32</v>
      </c>
      <c r="Z89" s="974" t="s">
        <v>32</v>
      </c>
      <c r="AA89" s="974" t="s">
        <v>32</v>
      </c>
      <c r="AB89" s="974" t="s">
        <v>32</v>
      </c>
      <c r="AC89" s="1616"/>
      <c r="AD89" s="1616"/>
      <c r="AE89" s="974" t="s">
        <v>32</v>
      </c>
      <c r="AF89" s="974" t="s">
        <v>32</v>
      </c>
      <c r="AG89" s="974" t="s">
        <v>32</v>
      </c>
      <c r="AH89" s="974" t="s">
        <v>0</v>
      </c>
      <c r="AI89" s="974" t="s">
        <v>0</v>
      </c>
    </row>
    <row r="90" spans="1:38" ht="22.35" customHeight="1" thickBot="1" x14ac:dyDescent="0.25">
      <c r="A90" s="64"/>
      <c r="B90" s="1371" t="s">
        <v>150</v>
      </c>
      <c r="C90" s="682"/>
      <c r="D90" s="683"/>
      <c r="E90" s="683"/>
      <c r="F90" s="683"/>
      <c r="G90" s="683"/>
      <c r="H90" s="683"/>
      <c r="I90" s="682"/>
      <c r="J90" s="682"/>
      <c r="K90" s="683"/>
      <c r="L90" s="683"/>
      <c r="M90" s="683"/>
      <c r="N90" s="683"/>
      <c r="O90" s="683"/>
      <c r="P90" s="682"/>
      <c r="Q90" s="682"/>
      <c r="R90" s="682"/>
      <c r="S90" s="684"/>
      <c r="T90" s="684"/>
      <c r="U90" s="684"/>
      <c r="V90" s="682"/>
      <c r="W90" s="682"/>
      <c r="X90" s="682"/>
      <c r="Y90" s="682"/>
      <c r="Z90" s="682"/>
      <c r="AA90" s="682"/>
      <c r="AB90" s="682"/>
      <c r="AC90" s="682"/>
      <c r="AD90" s="682"/>
      <c r="AE90" s="682"/>
      <c r="AF90" s="682"/>
      <c r="AG90" s="685"/>
      <c r="AH90" s="1"/>
    </row>
    <row r="91" spans="1:38" ht="22.35" customHeight="1" thickBot="1" x14ac:dyDescent="0.25">
      <c r="A91" s="686"/>
      <c r="B91" s="1695" t="s">
        <v>151</v>
      </c>
      <c r="C91" s="868">
        <v>7</v>
      </c>
      <c r="D91" s="868">
        <v>7</v>
      </c>
      <c r="E91" s="868">
        <v>7</v>
      </c>
      <c r="F91" s="1696">
        <v>7</v>
      </c>
      <c r="G91" s="1590">
        <v>7</v>
      </c>
      <c r="H91" s="1590"/>
      <c r="I91" s="1590"/>
      <c r="J91" s="1590">
        <v>4</v>
      </c>
      <c r="K91" s="1590">
        <v>4</v>
      </c>
      <c r="L91" s="1590">
        <v>4</v>
      </c>
      <c r="M91" s="1590">
        <v>4</v>
      </c>
      <c r="N91" s="1590">
        <v>4</v>
      </c>
      <c r="O91" s="1590"/>
      <c r="P91" s="1590"/>
      <c r="Q91" s="1590">
        <v>3</v>
      </c>
      <c r="R91" s="1590">
        <v>3</v>
      </c>
      <c r="S91" s="1590">
        <v>79</v>
      </c>
      <c r="T91" s="1590">
        <v>3</v>
      </c>
      <c r="U91" s="1590">
        <v>3</v>
      </c>
      <c r="V91" s="1590"/>
      <c r="W91" s="1594"/>
      <c r="X91" s="868">
        <v>11</v>
      </c>
      <c r="Y91" s="1593">
        <v>11</v>
      </c>
      <c r="Z91" s="868">
        <v>11</v>
      </c>
      <c r="AA91" s="868">
        <v>11</v>
      </c>
      <c r="AB91" s="868">
        <v>11</v>
      </c>
      <c r="AC91" s="868" t="s">
        <v>94</v>
      </c>
      <c r="AD91" s="868" t="s">
        <v>94</v>
      </c>
      <c r="AE91" s="868" t="s">
        <v>36</v>
      </c>
      <c r="AF91" s="868" t="s">
        <v>36</v>
      </c>
      <c r="AG91" s="917" t="s">
        <v>36</v>
      </c>
      <c r="AH91" s="1"/>
    </row>
    <row r="92" spans="1:38" ht="22.35" customHeight="1" x14ac:dyDescent="0.2">
      <c r="A92" s="324"/>
      <c r="AH92" s="1"/>
    </row>
    <row r="93" spans="1:38" ht="22.35" customHeight="1" thickBot="1" x14ac:dyDescent="0.25">
      <c r="A93" s="983"/>
      <c r="B93" s="748" t="s">
        <v>29</v>
      </c>
      <c r="C93" s="1573">
        <v>1</v>
      </c>
      <c r="D93" s="1573">
        <v>2</v>
      </c>
      <c r="E93" s="1573">
        <v>3</v>
      </c>
      <c r="F93" s="1573">
        <v>4</v>
      </c>
      <c r="G93" s="1573">
        <v>5</v>
      </c>
      <c r="H93" s="1574">
        <v>6</v>
      </c>
      <c r="I93" s="1574">
        <v>7</v>
      </c>
      <c r="J93" s="1573">
        <v>8</v>
      </c>
      <c r="K93" s="1573">
        <v>9</v>
      </c>
      <c r="L93" s="1573">
        <v>10</v>
      </c>
      <c r="M93" s="1573">
        <v>11</v>
      </c>
      <c r="N93" s="1573">
        <v>12</v>
      </c>
      <c r="O93" s="1574">
        <v>13</v>
      </c>
      <c r="P93" s="1574">
        <v>14</v>
      </c>
      <c r="Q93" s="1573">
        <v>15</v>
      </c>
      <c r="R93" s="1573">
        <v>16</v>
      </c>
      <c r="S93" s="1573">
        <v>17</v>
      </c>
      <c r="T93" s="1573">
        <v>18</v>
      </c>
      <c r="U93" s="1573">
        <v>19</v>
      </c>
      <c r="V93" s="1574">
        <v>20</v>
      </c>
      <c r="W93" s="1574">
        <v>21</v>
      </c>
      <c r="X93" s="1573">
        <v>22</v>
      </c>
      <c r="Y93" s="1573">
        <v>23</v>
      </c>
      <c r="Z93" s="1573">
        <v>24</v>
      </c>
      <c r="AA93" s="1573">
        <v>25</v>
      </c>
      <c r="AB93" s="1573">
        <v>26</v>
      </c>
      <c r="AC93" s="1574">
        <v>27</v>
      </c>
      <c r="AD93" s="1574">
        <v>28</v>
      </c>
      <c r="AE93" s="1573">
        <v>29</v>
      </c>
      <c r="AF93" s="1573">
        <v>30</v>
      </c>
      <c r="AG93" s="1575">
        <v>31</v>
      </c>
      <c r="AH93" s="1"/>
    </row>
    <row r="94" spans="1:38" ht="22.35" customHeight="1" x14ac:dyDescent="0.2">
      <c r="A94" s="983"/>
      <c r="B94" s="687" t="s">
        <v>152</v>
      </c>
      <c r="C94" s="1616"/>
      <c r="D94" s="674"/>
      <c r="E94" s="1616"/>
      <c r="F94" s="1616"/>
      <c r="G94" s="1616"/>
      <c r="H94" s="1616"/>
      <c r="I94" s="1616"/>
      <c r="J94" s="1616"/>
      <c r="K94" s="1616"/>
      <c r="L94" s="1616"/>
      <c r="M94" s="1616"/>
      <c r="N94" s="1616"/>
      <c r="O94" s="1616"/>
      <c r="P94" s="1616"/>
      <c r="Q94" s="1616"/>
      <c r="R94" s="1616"/>
      <c r="S94" s="1616"/>
      <c r="T94" s="1616"/>
      <c r="U94" s="1616"/>
      <c r="V94" s="1616"/>
      <c r="W94" s="1616"/>
      <c r="X94" s="1616"/>
      <c r="Y94" s="1616"/>
      <c r="Z94" s="1616"/>
      <c r="AA94" s="1616"/>
      <c r="AB94" s="1616"/>
      <c r="AC94" s="1616"/>
      <c r="AD94" s="1616"/>
      <c r="AE94" s="1616"/>
      <c r="AF94" s="1616"/>
      <c r="AG94" s="1666"/>
      <c r="AH94" s="1"/>
    </row>
    <row r="95" spans="1:38" ht="22.35" customHeight="1" x14ac:dyDescent="0.2">
      <c r="A95" s="983"/>
      <c r="B95" s="1595"/>
      <c r="C95" s="985"/>
      <c r="D95" s="985"/>
      <c r="E95" s="985"/>
      <c r="F95" s="1590"/>
      <c r="G95" s="1590"/>
      <c r="H95" s="985"/>
      <c r="I95" s="985"/>
      <c r="J95" s="985"/>
      <c r="K95" s="985"/>
      <c r="L95" s="985"/>
      <c r="M95" s="985"/>
      <c r="N95" s="985"/>
      <c r="O95" s="985"/>
      <c r="P95" s="985"/>
      <c r="Q95" s="985"/>
      <c r="R95" s="985"/>
      <c r="S95" s="985"/>
      <c r="T95" s="1593"/>
      <c r="U95" s="985"/>
      <c r="V95" s="985"/>
      <c r="W95" s="985"/>
      <c r="X95" s="985"/>
      <c r="Y95" s="985"/>
      <c r="Z95" s="985"/>
      <c r="AA95" s="985"/>
      <c r="AB95" s="985"/>
      <c r="AC95" s="985"/>
      <c r="AD95" s="985"/>
      <c r="AE95" s="985"/>
      <c r="AF95" s="985"/>
      <c r="AG95" s="986"/>
      <c r="AH95" s="1"/>
    </row>
    <row r="96" spans="1:38" ht="22.35" customHeight="1" x14ac:dyDescent="0.2">
      <c r="A96" s="983"/>
      <c r="B96" s="1595"/>
      <c r="C96" s="1593"/>
      <c r="D96" s="1593"/>
      <c r="E96" s="1593"/>
      <c r="F96" s="1593"/>
      <c r="G96" s="1593"/>
      <c r="H96" s="1593"/>
      <c r="I96" s="1593"/>
      <c r="J96" s="1593"/>
      <c r="K96" s="1593"/>
      <c r="L96" s="1593"/>
      <c r="M96" s="1593"/>
      <c r="N96" s="1593"/>
      <c r="O96" s="1593"/>
      <c r="P96" s="1593"/>
      <c r="Q96" s="1593"/>
      <c r="R96" s="1593"/>
      <c r="S96" s="1593"/>
      <c r="T96" s="1593"/>
      <c r="U96" s="1593"/>
      <c r="V96" s="1593"/>
      <c r="W96" s="1593"/>
      <c r="X96" s="1593"/>
      <c r="Y96" s="1593"/>
      <c r="Z96" s="1593"/>
      <c r="AA96" s="1593"/>
      <c r="AB96" s="1593"/>
      <c r="AC96" s="1593"/>
      <c r="AD96" s="1593"/>
      <c r="AE96" s="1593"/>
      <c r="AF96" s="1593"/>
      <c r="AG96" s="1199"/>
      <c r="AH96" s="1"/>
    </row>
    <row r="97" spans="1:35" ht="22.35" customHeight="1" thickBot="1" x14ac:dyDescent="0.25">
      <c r="A97" s="197"/>
      <c r="B97" s="905"/>
      <c r="C97" s="987"/>
      <c r="D97" s="987"/>
      <c r="E97" s="987"/>
      <c r="F97" s="987"/>
      <c r="G97" s="987"/>
      <c r="H97" s="987"/>
      <c r="I97" s="987"/>
      <c r="J97" s="987"/>
      <c r="K97" s="987"/>
      <c r="L97" s="987"/>
      <c r="M97" s="987"/>
      <c r="N97" s="987"/>
      <c r="O97" s="987"/>
      <c r="P97" s="987"/>
      <c r="Q97" s="987"/>
      <c r="R97" s="987"/>
      <c r="S97" s="987"/>
      <c r="T97" s="987"/>
      <c r="U97" s="987"/>
      <c r="V97" s="987"/>
      <c r="W97" s="987"/>
      <c r="X97" s="987"/>
      <c r="Y97" s="987"/>
      <c r="Z97" s="987"/>
      <c r="AA97" s="987"/>
      <c r="AB97" s="987"/>
      <c r="AC97" s="987"/>
      <c r="AD97" s="987"/>
      <c r="AE97" s="987"/>
      <c r="AF97" s="987"/>
      <c r="AG97" s="1575"/>
      <c r="AH97" s="1"/>
    </row>
    <row r="98" spans="1:35" ht="22.35" customHeight="1" x14ac:dyDescent="0.2">
      <c r="A98" s="197"/>
      <c r="B98" s="198"/>
      <c r="C98" s="218"/>
      <c r="D98" s="218"/>
      <c r="E98" s="218"/>
      <c r="F98" s="218"/>
      <c r="G98" s="218"/>
      <c r="H98" s="218"/>
      <c r="I98" s="218"/>
      <c r="J98" s="218"/>
      <c r="K98" s="218"/>
      <c r="L98" s="218"/>
      <c r="M98" s="218"/>
      <c r="N98" s="218"/>
      <c r="O98" s="218"/>
      <c r="P98" s="218"/>
      <c r="Q98" s="218"/>
      <c r="R98" s="218"/>
      <c r="S98" s="218"/>
      <c r="T98" s="218"/>
      <c r="U98" s="218"/>
      <c r="V98" s="218"/>
      <c r="W98" s="218"/>
      <c r="X98" s="218"/>
      <c r="Y98" s="218"/>
      <c r="Z98" s="218"/>
      <c r="AA98" s="218"/>
      <c r="AB98" s="218"/>
      <c r="AC98" s="218"/>
      <c r="AD98" s="218"/>
      <c r="AE98" s="218"/>
      <c r="AF98" s="218"/>
      <c r="AG98" s="199"/>
      <c r="AH98" s="1"/>
    </row>
    <row r="99" spans="1:35" ht="22.35" customHeight="1" thickBot="1" x14ac:dyDescent="0.25">
      <c r="A99" s="197"/>
      <c r="B99" s="748" t="s">
        <v>29</v>
      </c>
      <c r="C99" s="1573">
        <v>1</v>
      </c>
      <c r="D99" s="1573">
        <v>2</v>
      </c>
      <c r="E99" s="1573">
        <v>3</v>
      </c>
      <c r="F99" s="1573">
        <v>4</v>
      </c>
      <c r="G99" s="1573">
        <v>5</v>
      </c>
      <c r="H99" s="1574">
        <v>6</v>
      </c>
      <c r="I99" s="1574">
        <v>7</v>
      </c>
      <c r="J99" s="1573">
        <v>8</v>
      </c>
      <c r="K99" s="1573">
        <v>9</v>
      </c>
      <c r="L99" s="1573">
        <v>10</v>
      </c>
      <c r="M99" s="1573">
        <v>11</v>
      </c>
      <c r="N99" s="1573">
        <v>12</v>
      </c>
      <c r="O99" s="1574">
        <v>13</v>
      </c>
      <c r="P99" s="1574">
        <v>14</v>
      </c>
      <c r="Q99" s="1573">
        <v>15</v>
      </c>
      <c r="R99" s="1573">
        <v>16</v>
      </c>
      <c r="S99" s="1573">
        <v>17</v>
      </c>
      <c r="T99" s="1573">
        <v>18</v>
      </c>
      <c r="U99" s="1573">
        <v>19</v>
      </c>
      <c r="V99" s="1574">
        <v>20</v>
      </c>
      <c r="W99" s="1574">
        <v>21</v>
      </c>
      <c r="X99" s="1573">
        <v>22</v>
      </c>
      <c r="Y99" s="1573">
        <v>23</v>
      </c>
      <c r="Z99" s="1573">
        <v>24</v>
      </c>
      <c r="AA99" s="1573">
        <v>25</v>
      </c>
      <c r="AB99" s="1573">
        <v>26</v>
      </c>
      <c r="AC99" s="1574">
        <v>27</v>
      </c>
      <c r="AD99" s="1574">
        <v>28</v>
      </c>
      <c r="AE99" s="1573">
        <v>29</v>
      </c>
      <c r="AF99" s="1573">
        <v>30</v>
      </c>
      <c r="AG99" s="1575">
        <v>31</v>
      </c>
      <c r="AH99" s="1"/>
    </row>
    <row r="100" spans="1:35" ht="22.35" customHeight="1" x14ac:dyDescent="0.2">
      <c r="A100" s="197"/>
      <c r="B100" s="687" t="s">
        <v>395</v>
      </c>
      <c r="C100" s="1616"/>
      <c r="D100" s="674"/>
      <c r="E100" s="1616"/>
      <c r="F100" s="1616"/>
      <c r="G100" s="1616"/>
      <c r="H100" s="1616"/>
      <c r="I100" s="1616"/>
      <c r="J100" s="1616"/>
      <c r="K100" s="1616"/>
      <c r="L100" s="1616"/>
      <c r="M100" s="1616"/>
      <c r="N100" s="1616"/>
      <c r="O100" s="1616"/>
      <c r="P100" s="1616"/>
      <c r="Q100" s="1616"/>
      <c r="R100" s="1616"/>
      <c r="S100" s="1616"/>
      <c r="T100" s="1616"/>
      <c r="U100" s="1616"/>
      <c r="V100" s="1616"/>
      <c r="W100" s="1616"/>
      <c r="X100" s="1616"/>
      <c r="Y100" s="1616"/>
      <c r="Z100" s="1616"/>
      <c r="AA100" s="1616"/>
      <c r="AB100" s="1616"/>
      <c r="AC100" s="1616"/>
      <c r="AD100" s="1616"/>
      <c r="AE100" s="1616"/>
      <c r="AF100" s="1616"/>
      <c r="AG100" s="1666"/>
      <c r="AH100" s="1"/>
    </row>
    <row r="101" spans="1:35" ht="22.35" customHeight="1" thickBot="1" x14ac:dyDescent="0.25">
      <c r="A101" s="197"/>
      <c r="B101" s="547" t="s">
        <v>396</v>
      </c>
      <c r="C101" s="974" t="s">
        <v>36</v>
      </c>
      <c r="D101" s="974" t="s">
        <v>32</v>
      </c>
      <c r="E101" s="1581" t="s">
        <v>32</v>
      </c>
      <c r="F101" s="1581" t="s">
        <v>32</v>
      </c>
      <c r="G101" s="1236" t="s">
        <v>32</v>
      </c>
      <c r="H101" s="1690">
        <v>89</v>
      </c>
      <c r="I101" s="974"/>
      <c r="J101" s="1581">
        <v>89</v>
      </c>
      <c r="K101" s="1581">
        <v>89</v>
      </c>
      <c r="L101" s="1581">
        <v>89</v>
      </c>
      <c r="M101" s="1581">
        <v>89</v>
      </c>
      <c r="N101" s="1581">
        <v>89</v>
      </c>
      <c r="O101" s="1581"/>
      <c r="P101" s="974"/>
      <c r="Q101" s="974" t="s">
        <v>32</v>
      </c>
      <c r="R101" s="974" t="s">
        <v>32</v>
      </c>
      <c r="S101" s="974" t="s">
        <v>32</v>
      </c>
      <c r="T101" s="974" t="s">
        <v>32</v>
      </c>
      <c r="U101" s="974" t="s">
        <v>32</v>
      </c>
      <c r="V101" s="974"/>
      <c r="W101" s="974"/>
      <c r="X101" s="974" t="s">
        <v>32</v>
      </c>
      <c r="Y101" s="1231" t="s">
        <v>32</v>
      </c>
      <c r="Z101" s="1231" t="s">
        <v>32</v>
      </c>
      <c r="AA101" s="1231" t="s">
        <v>32</v>
      </c>
      <c r="AB101" s="1231" t="s">
        <v>32</v>
      </c>
      <c r="AC101" s="647"/>
      <c r="AD101" s="1361"/>
      <c r="AE101" s="1231" t="s">
        <v>32</v>
      </c>
      <c r="AF101" s="1231" t="s">
        <v>32</v>
      </c>
      <c r="AG101" s="1231" t="s">
        <v>32</v>
      </c>
      <c r="AH101" s="1"/>
    </row>
    <row r="102" spans="1:35" ht="22.35" customHeight="1" thickBot="1" x14ac:dyDescent="0.25">
      <c r="A102" s="197"/>
      <c r="B102" s="547" t="s">
        <v>397</v>
      </c>
      <c r="C102" s="1616"/>
      <c r="D102" s="674"/>
      <c r="E102" s="1616"/>
      <c r="F102" s="1616"/>
      <c r="G102" s="1616"/>
      <c r="H102" s="1616"/>
      <c r="I102" s="1616"/>
      <c r="J102" s="1616"/>
      <c r="K102" s="1616"/>
      <c r="L102" s="1616"/>
      <c r="M102" s="1616"/>
      <c r="N102" s="1616"/>
      <c r="O102" s="1616"/>
      <c r="P102" s="1616"/>
      <c r="Q102" s="974" t="s">
        <v>32</v>
      </c>
      <c r="R102" s="1236" t="s">
        <v>58</v>
      </c>
      <c r="S102" s="1236">
        <v>89</v>
      </c>
      <c r="T102" s="1236">
        <v>4</v>
      </c>
      <c r="U102" s="1694" t="s">
        <v>32</v>
      </c>
      <c r="V102" s="1616"/>
      <c r="W102" s="1616"/>
      <c r="X102" s="974" t="s">
        <v>32</v>
      </c>
      <c r="Y102" s="974" t="s">
        <v>32</v>
      </c>
      <c r="Z102" s="974" t="s">
        <v>32</v>
      </c>
      <c r="AA102" s="974" t="s">
        <v>32</v>
      </c>
      <c r="AB102" s="974" t="s">
        <v>32</v>
      </c>
      <c r="AC102" s="1616"/>
      <c r="AD102" s="1616"/>
      <c r="AE102" s="974" t="s">
        <v>32</v>
      </c>
      <c r="AF102" s="1690" t="s">
        <v>398</v>
      </c>
      <c r="AG102" s="974" t="s">
        <v>32</v>
      </c>
      <c r="AH102" s="1"/>
    </row>
    <row r="103" spans="1:35" ht="22.35" customHeight="1" x14ac:dyDescent="0.2">
      <c r="A103" s="197"/>
      <c r="B103" s="547" t="s">
        <v>399</v>
      </c>
      <c r="C103" s="1581"/>
      <c r="D103" s="1581"/>
      <c r="E103" s="1581"/>
      <c r="F103" s="1581"/>
      <c r="G103" s="1581"/>
      <c r="H103" s="974"/>
      <c r="I103" s="1581"/>
      <c r="J103" s="1581"/>
      <c r="K103" s="1581"/>
      <c r="L103" s="1581"/>
      <c r="M103" s="1581"/>
      <c r="N103" s="1581"/>
      <c r="O103" s="1626"/>
      <c r="P103" s="1626"/>
      <c r="Q103" s="974"/>
      <c r="R103" s="974"/>
      <c r="S103" s="974"/>
      <c r="T103" s="974" t="s">
        <v>32</v>
      </c>
      <c r="U103" s="974" t="s">
        <v>32</v>
      </c>
      <c r="V103" s="1626"/>
      <c r="W103" s="1581"/>
      <c r="X103" s="974" t="s">
        <v>32</v>
      </c>
      <c r="Y103" s="974" t="s">
        <v>32</v>
      </c>
      <c r="Z103" s="974" t="s">
        <v>32</v>
      </c>
      <c r="AA103" s="974" t="s">
        <v>32</v>
      </c>
      <c r="AB103" s="974" t="s">
        <v>32</v>
      </c>
      <c r="AC103" s="1581"/>
      <c r="AD103" s="1625"/>
      <c r="AE103" s="974" t="s">
        <v>32</v>
      </c>
      <c r="AF103" s="974" t="s">
        <v>400</v>
      </c>
      <c r="AG103" s="1690" t="s">
        <v>400</v>
      </c>
      <c r="AH103" s="1"/>
    </row>
    <row r="104" spans="1:35" ht="22.35" customHeight="1" x14ac:dyDescent="0.2">
      <c r="A104" s="197"/>
      <c r="B104" s="1595"/>
      <c r="C104" s="985"/>
      <c r="D104" s="985"/>
      <c r="E104" s="985"/>
      <c r="F104" s="1590"/>
      <c r="G104" s="1590"/>
      <c r="H104" s="985"/>
      <c r="I104" s="985"/>
      <c r="J104" s="985"/>
      <c r="K104" s="985"/>
      <c r="L104" s="985"/>
      <c r="M104" s="985"/>
      <c r="N104" s="985"/>
      <c r="O104" s="985"/>
      <c r="P104" s="985"/>
      <c r="Q104" s="985"/>
      <c r="R104" s="985"/>
      <c r="S104" s="985"/>
      <c r="T104" s="1593"/>
      <c r="U104" s="985"/>
      <c r="V104" s="985"/>
      <c r="W104" s="985"/>
      <c r="X104" s="985"/>
      <c r="Y104" s="985"/>
      <c r="Z104" s="985"/>
      <c r="AA104" s="985"/>
      <c r="AB104" s="985"/>
      <c r="AC104" s="985"/>
      <c r="AD104" s="985"/>
      <c r="AE104" s="985"/>
      <c r="AF104" s="985"/>
      <c r="AG104" s="986"/>
      <c r="AH104" s="1"/>
    </row>
    <row r="105" spans="1:35" ht="22.35" customHeight="1" x14ac:dyDescent="0.2">
      <c r="B105" s="1595"/>
      <c r="C105" s="1593"/>
      <c r="D105" s="1593"/>
      <c r="E105" s="1593"/>
      <c r="F105" s="1593"/>
      <c r="G105" s="1593"/>
      <c r="H105" s="1593"/>
      <c r="I105" s="1593"/>
      <c r="J105" s="1593"/>
      <c r="K105" s="1593"/>
      <c r="L105" s="1593"/>
      <c r="M105" s="1593"/>
      <c r="N105" s="1593"/>
      <c r="O105" s="1593"/>
      <c r="P105" s="1593"/>
      <c r="Q105" s="1593"/>
      <c r="R105" s="1593"/>
      <c r="S105" s="1593"/>
      <c r="T105" s="1593"/>
      <c r="U105" s="1593"/>
      <c r="V105" s="1593"/>
      <c r="W105" s="1593"/>
      <c r="X105" s="1593"/>
      <c r="Y105" s="1593"/>
      <c r="Z105" s="1593"/>
      <c r="AA105" s="1593"/>
      <c r="AB105" s="1593"/>
      <c r="AC105" s="1593"/>
      <c r="AD105" s="1593"/>
      <c r="AE105" s="1593"/>
      <c r="AF105" s="1593"/>
      <c r="AG105" s="1199"/>
      <c r="AH105" s="1"/>
    </row>
    <row r="106" spans="1:35" ht="22.35" customHeight="1" thickBot="1" x14ac:dyDescent="0.25">
      <c r="B106" s="905"/>
      <c r="C106" s="987"/>
      <c r="D106" s="987"/>
      <c r="E106" s="987"/>
      <c r="F106" s="987"/>
      <c r="G106" s="987"/>
      <c r="H106" s="987"/>
      <c r="I106" s="987"/>
      <c r="J106" s="987"/>
      <c r="K106" s="987"/>
      <c r="L106" s="987"/>
      <c r="M106" s="987"/>
      <c r="N106" s="987"/>
      <c r="O106" s="987"/>
      <c r="P106" s="987"/>
      <c r="Q106" s="987"/>
      <c r="R106" s="987"/>
      <c r="S106" s="987"/>
      <c r="T106" s="987"/>
      <c r="U106" s="987"/>
      <c r="V106" s="987"/>
      <c r="W106" s="987"/>
      <c r="X106" s="987"/>
      <c r="Y106" s="987"/>
      <c r="Z106" s="987"/>
      <c r="AA106" s="987"/>
      <c r="AB106" s="987"/>
      <c r="AC106" s="987"/>
      <c r="AD106" s="987"/>
      <c r="AE106" s="987"/>
      <c r="AF106" s="987"/>
      <c r="AG106" s="1575"/>
      <c r="AH106" s="1"/>
    </row>
    <row r="107" spans="1:35" ht="22.35" customHeight="1" thickBot="1" x14ac:dyDescent="0.25">
      <c r="A107" s="169" t="s">
        <v>156</v>
      </c>
    </row>
    <row r="108" spans="1:35" ht="22.35" customHeight="1" thickBot="1" x14ac:dyDescent="0.25">
      <c r="B108" s="688" t="s">
        <v>157</v>
      </c>
      <c r="C108" s="689"/>
      <c r="D108" s="1635" t="s">
        <v>107</v>
      </c>
      <c r="E108" s="1635"/>
      <c r="F108" s="690"/>
      <c r="G108" s="689"/>
      <c r="H108" s="1635" t="s">
        <v>108</v>
      </c>
      <c r="I108" s="1635"/>
      <c r="J108" s="690"/>
      <c r="K108" s="689"/>
      <c r="L108" s="1635" t="s">
        <v>109</v>
      </c>
      <c r="M108" s="1635"/>
      <c r="N108" s="690"/>
      <c r="O108" s="689"/>
      <c r="P108" s="1635" t="s">
        <v>110</v>
      </c>
      <c r="Q108" s="1635"/>
      <c r="R108" s="690"/>
      <c r="S108" s="689"/>
      <c r="T108" s="1635" t="s">
        <v>111</v>
      </c>
      <c r="U108" s="1635"/>
      <c r="V108" s="690"/>
      <c r="W108" s="689"/>
      <c r="X108" s="1635" t="s">
        <v>112</v>
      </c>
      <c r="Y108" s="1635"/>
      <c r="Z108" s="690"/>
      <c r="AA108" s="689"/>
      <c r="AB108" s="1635" t="s">
        <v>113</v>
      </c>
      <c r="AC108" s="1635"/>
      <c r="AD108" s="1635"/>
      <c r="AE108" s="1635" t="s">
        <v>158</v>
      </c>
      <c r="AF108" s="1635"/>
      <c r="AG108" s="1635"/>
      <c r="AH108" s="1635"/>
      <c r="AI108" s="691"/>
    </row>
    <row r="109" spans="1:35" ht="22.35" customHeight="1" x14ac:dyDescent="0.2">
      <c r="B109" s="692" t="s">
        <v>159</v>
      </c>
      <c r="C109" s="693" t="s">
        <v>160</v>
      </c>
      <c r="D109" s="1635"/>
      <c r="E109" s="1639"/>
      <c r="F109" s="694"/>
      <c r="G109" s="693" t="s">
        <v>160</v>
      </c>
      <c r="H109" s="695"/>
      <c r="I109" s="1639"/>
      <c r="J109" s="694"/>
      <c r="K109" s="696" t="s">
        <v>160</v>
      </c>
      <c r="L109" s="1635"/>
      <c r="M109" s="1635"/>
      <c r="N109" s="690"/>
      <c r="O109" s="696" t="s">
        <v>161</v>
      </c>
      <c r="P109" s="697"/>
      <c r="Q109" s="1639"/>
      <c r="R109" s="694"/>
      <c r="S109" s="693" t="s">
        <v>162</v>
      </c>
      <c r="T109" s="1639"/>
      <c r="U109" s="1639"/>
      <c r="V109" s="1639"/>
      <c r="W109" s="1697"/>
      <c r="X109" s="1698"/>
      <c r="Y109" s="1698"/>
      <c r="Z109" s="1699"/>
      <c r="AA109" s="1639"/>
      <c r="AB109" s="1639"/>
      <c r="AC109" s="1639"/>
      <c r="AD109" s="1639"/>
      <c r="AE109" s="1700">
        <v>37</v>
      </c>
      <c r="AF109" s="1635"/>
      <c r="AG109" s="1639"/>
      <c r="AH109" s="1639"/>
      <c r="AI109" s="1640"/>
    </row>
    <row r="110" spans="1:35" ht="22.35" customHeight="1" x14ac:dyDescent="0.2">
      <c r="B110" s="749" t="s">
        <v>163</v>
      </c>
      <c r="C110" s="1002" t="s">
        <v>164</v>
      </c>
      <c r="D110" s="1555"/>
      <c r="E110" s="1555"/>
      <c r="F110" s="1563"/>
      <c r="G110" s="1002" t="s">
        <v>165</v>
      </c>
      <c r="H110" s="886"/>
      <c r="I110" s="1555"/>
      <c r="J110" s="1563"/>
      <c r="K110" s="1002" t="s">
        <v>166</v>
      </c>
      <c r="L110" s="1555" t="s">
        <v>167</v>
      </c>
      <c r="M110" s="1555"/>
      <c r="N110" s="1563"/>
      <c r="O110" s="1002" t="s">
        <v>166</v>
      </c>
      <c r="P110" s="886" t="s">
        <v>167</v>
      </c>
      <c r="Q110" s="1555"/>
      <c r="R110" s="1563"/>
      <c r="S110" s="1002" t="s">
        <v>165</v>
      </c>
      <c r="T110" s="1555" t="s">
        <v>168</v>
      </c>
      <c r="U110" s="1555"/>
      <c r="V110" s="1563"/>
      <c r="W110" s="8" t="s">
        <v>127</v>
      </c>
      <c r="X110" s="14" t="s">
        <v>169</v>
      </c>
      <c r="Y110" s="14"/>
      <c r="Z110" s="14"/>
      <c r="AA110" s="742" t="s">
        <v>127</v>
      </c>
      <c r="AB110" s="1555" t="s">
        <v>169</v>
      </c>
      <c r="AC110" s="742"/>
      <c r="AD110" s="742"/>
      <c r="AE110" s="742">
        <v>68</v>
      </c>
      <c r="AF110" s="1555"/>
      <c r="AG110" s="1555"/>
      <c r="AH110" s="1555"/>
      <c r="AI110" s="1564"/>
    </row>
    <row r="111" spans="1:35" ht="22.35" customHeight="1" x14ac:dyDescent="0.2">
      <c r="B111" s="749" t="s">
        <v>170</v>
      </c>
      <c r="C111" s="698" t="s">
        <v>171</v>
      </c>
      <c r="D111" s="1555"/>
      <c r="E111" s="1555"/>
      <c r="F111" s="1563"/>
      <c r="G111" s="886" t="s">
        <v>171</v>
      </c>
      <c r="H111" s="886"/>
      <c r="I111" s="1555"/>
      <c r="J111" s="1563"/>
      <c r="K111" s="886" t="s">
        <v>171</v>
      </c>
      <c r="L111" s="1555"/>
      <c r="M111" s="1555"/>
      <c r="N111" s="1563"/>
      <c r="O111" s="886" t="s">
        <v>171</v>
      </c>
      <c r="P111" s="886"/>
      <c r="Q111" s="1555"/>
      <c r="R111" s="1563"/>
      <c r="S111" s="886" t="s">
        <v>171</v>
      </c>
      <c r="T111" s="1555"/>
      <c r="U111" s="1555"/>
      <c r="V111" s="1563"/>
      <c r="W111" s="742"/>
      <c r="X111" s="1555"/>
      <c r="Y111" s="1555"/>
      <c r="Z111" s="1563"/>
      <c r="AA111" s="742"/>
      <c r="AB111" s="1555"/>
      <c r="AC111" s="1555"/>
      <c r="AD111" s="1555"/>
      <c r="AE111" s="742">
        <v>0</v>
      </c>
      <c r="AF111" s="1555"/>
      <c r="AG111" s="1555"/>
      <c r="AH111" s="1555"/>
      <c r="AI111" s="1564"/>
    </row>
    <row r="112" spans="1:35" ht="22.35" customHeight="1" thickBot="1" x14ac:dyDescent="0.25">
      <c r="B112" s="1003" t="s">
        <v>172</v>
      </c>
      <c r="C112" s="1004" t="s">
        <v>160</v>
      </c>
      <c r="D112" s="276"/>
      <c r="E112" s="734"/>
      <c r="F112" s="889"/>
      <c r="G112" s="1004" t="s">
        <v>160</v>
      </c>
      <c r="H112" s="278"/>
      <c r="I112" s="734"/>
      <c r="J112" s="889"/>
      <c r="K112" s="1004" t="s">
        <v>160</v>
      </c>
      <c r="L112" s="276"/>
      <c r="M112" s="734"/>
      <c r="N112" s="889"/>
      <c r="O112" s="1004" t="s">
        <v>161</v>
      </c>
      <c r="P112" s="891"/>
      <c r="Q112" s="734"/>
      <c r="R112" s="889"/>
      <c r="S112" s="1004" t="s">
        <v>162</v>
      </c>
      <c r="T112" s="734"/>
      <c r="U112" s="734"/>
      <c r="V112" s="734"/>
      <c r="W112" s="1005"/>
      <c r="X112" s="734"/>
      <c r="Y112" s="734"/>
      <c r="Z112" s="699"/>
      <c r="AA112" s="734"/>
      <c r="AB112" s="734"/>
      <c r="AC112" s="734"/>
      <c r="AD112" s="734"/>
      <c r="AE112" s="1006">
        <v>37</v>
      </c>
      <c r="AF112" s="734"/>
      <c r="AG112" s="734"/>
      <c r="AH112" s="734"/>
      <c r="AI112" s="894"/>
    </row>
    <row r="113" spans="1:35" ht="22.35" customHeight="1" x14ac:dyDescent="0.2">
      <c r="D113" s="14"/>
    </row>
    <row r="114" spans="1:35" ht="22.35" customHeight="1" thickBot="1" x14ac:dyDescent="0.25">
      <c r="A114" s="739"/>
      <c r="B114" s="739" t="s">
        <v>29</v>
      </c>
      <c r="C114" s="1573">
        <v>1</v>
      </c>
      <c r="D114" s="1573">
        <v>2</v>
      </c>
      <c r="E114" s="1573">
        <v>3</v>
      </c>
      <c r="F114" s="1573">
        <v>4</v>
      </c>
      <c r="G114" s="1573">
        <v>5</v>
      </c>
      <c r="H114" s="1574">
        <v>6</v>
      </c>
      <c r="I114" s="1574">
        <v>7</v>
      </c>
      <c r="J114" s="1573">
        <v>8</v>
      </c>
      <c r="K114" s="1573">
        <v>9</v>
      </c>
      <c r="L114" s="1573">
        <v>10</v>
      </c>
      <c r="M114" s="1573">
        <v>11</v>
      </c>
      <c r="N114" s="1573">
        <v>12</v>
      </c>
      <c r="O114" s="1574">
        <v>13</v>
      </c>
      <c r="P114" s="1574">
        <v>14</v>
      </c>
      <c r="Q114" s="1573">
        <v>15</v>
      </c>
      <c r="R114" s="1573">
        <v>16</v>
      </c>
      <c r="S114" s="1573">
        <v>17</v>
      </c>
      <c r="T114" s="1573">
        <v>18</v>
      </c>
      <c r="U114" s="1573">
        <v>19</v>
      </c>
      <c r="V114" s="1574">
        <v>20</v>
      </c>
      <c r="W114" s="1574">
        <v>21</v>
      </c>
      <c r="X114" s="1573">
        <v>22</v>
      </c>
      <c r="Y114" s="1573">
        <v>23</v>
      </c>
      <c r="Z114" s="1573">
        <v>24</v>
      </c>
      <c r="AA114" s="1573">
        <v>25</v>
      </c>
      <c r="AB114" s="1573">
        <v>26</v>
      </c>
      <c r="AC114" s="1574">
        <v>27</v>
      </c>
      <c r="AD114" s="1574">
        <v>28</v>
      </c>
      <c r="AE114" s="1573">
        <v>29</v>
      </c>
      <c r="AF114" s="1573">
        <v>30</v>
      </c>
      <c r="AG114" s="1575">
        <v>31</v>
      </c>
      <c r="AH114" s="173"/>
      <c r="AI114" s="174"/>
    </row>
    <row r="115" spans="1:35" ht="22.35" customHeight="1" x14ac:dyDescent="0.2">
      <c r="A115" s="1701">
        <v>1</v>
      </c>
      <c r="B115" s="1702" t="s">
        <v>173</v>
      </c>
      <c r="C115" s="1616" t="s">
        <v>174</v>
      </c>
      <c r="D115" s="1616" t="s">
        <v>174</v>
      </c>
      <c r="E115" s="1616" t="s">
        <v>174</v>
      </c>
      <c r="F115" s="1616" t="s">
        <v>174</v>
      </c>
      <c r="G115" s="1616" t="s">
        <v>174</v>
      </c>
      <c r="H115" s="1616"/>
      <c r="I115" s="1616"/>
      <c r="J115" s="1616" t="s">
        <v>174</v>
      </c>
      <c r="K115" s="1703" t="s">
        <v>174</v>
      </c>
      <c r="L115" s="1616" t="s">
        <v>174</v>
      </c>
      <c r="M115" s="1616" t="s">
        <v>174</v>
      </c>
      <c r="N115" s="1616" t="s">
        <v>174</v>
      </c>
      <c r="O115" s="1616"/>
      <c r="P115" s="1616"/>
      <c r="Q115" s="1616" t="s">
        <v>128</v>
      </c>
      <c r="R115" s="1616" t="s">
        <v>128</v>
      </c>
      <c r="S115" s="1704" t="s">
        <v>128</v>
      </c>
      <c r="T115" s="1704" t="s">
        <v>128</v>
      </c>
      <c r="U115" s="1704" t="s">
        <v>128</v>
      </c>
      <c r="V115" s="1704" t="s">
        <v>127</v>
      </c>
      <c r="W115" s="1616" t="s">
        <v>127</v>
      </c>
      <c r="X115" s="1616" t="s">
        <v>36</v>
      </c>
      <c r="Y115" s="1616" t="s">
        <v>36</v>
      </c>
      <c r="Z115" s="1616" t="s">
        <v>36</v>
      </c>
      <c r="AA115" s="1616" t="s">
        <v>36</v>
      </c>
      <c r="AB115" s="1616" t="s">
        <v>36</v>
      </c>
      <c r="AC115" s="1616"/>
      <c r="AD115" s="1616"/>
      <c r="AE115" s="1616" t="s">
        <v>174</v>
      </c>
      <c r="AF115" s="1616" t="s">
        <v>174</v>
      </c>
      <c r="AG115" s="1616" t="s">
        <v>174</v>
      </c>
      <c r="AH115" s="178"/>
      <c r="AI115" s="179"/>
    </row>
    <row r="116" spans="1:35" ht="22.35" customHeight="1" x14ac:dyDescent="0.2">
      <c r="A116" s="1010">
        <v>2</v>
      </c>
      <c r="B116" s="1011" t="s">
        <v>175</v>
      </c>
      <c r="C116" s="1503" t="s">
        <v>36</v>
      </c>
      <c r="D116" s="1503" t="s">
        <v>36</v>
      </c>
      <c r="E116" s="1503" t="s">
        <v>36</v>
      </c>
      <c r="F116" s="1503" t="s">
        <v>36</v>
      </c>
      <c r="G116" s="1503" t="s">
        <v>36</v>
      </c>
      <c r="H116" s="1584"/>
      <c r="I116" s="1503"/>
      <c r="J116" s="1214" t="s">
        <v>174</v>
      </c>
      <c r="K116" s="1214" t="s">
        <v>174</v>
      </c>
      <c r="L116" s="1214" t="s">
        <v>174</v>
      </c>
      <c r="M116" s="1214" t="s">
        <v>174</v>
      </c>
      <c r="N116" s="1214" t="s">
        <v>174</v>
      </c>
      <c r="O116" s="1214"/>
      <c r="P116" s="1214"/>
      <c r="Q116" s="1581" t="s">
        <v>174</v>
      </c>
      <c r="R116" s="1581" t="s">
        <v>174</v>
      </c>
      <c r="S116" s="1593">
        <v>79</v>
      </c>
      <c r="T116" s="1593">
        <v>79</v>
      </c>
      <c r="U116" s="1593">
        <v>79</v>
      </c>
      <c r="V116" s="1593"/>
      <c r="W116" s="1593"/>
      <c r="X116" s="1593" t="s">
        <v>128</v>
      </c>
      <c r="Y116" s="1593" t="s">
        <v>128</v>
      </c>
      <c r="Z116" s="1012" t="s">
        <v>128</v>
      </c>
      <c r="AA116" s="1012" t="s">
        <v>128</v>
      </c>
      <c r="AB116" s="1012" t="s">
        <v>128</v>
      </c>
      <c r="AC116" s="1012" t="s">
        <v>127</v>
      </c>
      <c r="AD116" s="1012" t="s">
        <v>127</v>
      </c>
      <c r="AE116" s="1593" t="s">
        <v>36</v>
      </c>
      <c r="AF116" s="1593" t="s">
        <v>36</v>
      </c>
      <c r="AG116" s="1593" t="s">
        <v>36</v>
      </c>
      <c r="AH116" s="178"/>
      <c r="AI116" s="179"/>
    </row>
    <row r="117" spans="1:35" ht="22.35" customHeight="1" x14ac:dyDescent="0.2">
      <c r="A117" s="1010">
        <v>3</v>
      </c>
      <c r="B117" s="1011" t="s">
        <v>178</v>
      </c>
      <c r="C117" s="966" t="s">
        <v>128</v>
      </c>
      <c r="D117" s="966" t="s">
        <v>128</v>
      </c>
      <c r="E117" s="966" t="s">
        <v>128</v>
      </c>
      <c r="F117" s="1593" t="s">
        <v>128</v>
      </c>
      <c r="G117" s="966" t="s">
        <v>128</v>
      </c>
      <c r="H117" s="1012" t="s">
        <v>127</v>
      </c>
      <c r="I117" s="183" t="s">
        <v>127</v>
      </c>
      <c r="J117" s="1593" t="s">
        <v>36</v>
      </c>
      <c r="K117" s="1593" t="s">
        <v>36</v>
      </c>
      <c r="L117" s="1593" t="s">
        <v>36</v>
      </c>
      <c r="M117" s="1593" t="s">
        <v>36</v>
      </c>
      <c r="N117" s="1627" t="s">
        <v>95</v>
      </c>
      <c r="O117" s="1593"/>
      <c r="P117" s="1593"/>
      <c r="Q117" s="1581" t="s">
        <v>95</v>
      </c>
      <c r="R117" s="1581" t="s">
        <v>95</v>
      </c>
      <c r="S117" s="1581" t="s">
        <v>95</v>
      </c>
      <c r="T117" s="1581" t="s">
        <v>95</v>
      </c>
      <c r="U117" s="1581" t="s">
        <v>95</v>
      </c>
      <c r="V117" s="1593"/>
      <c r="W117" s="1593"/>
      <c r="X117" s="1593" t="s">
        <v>177</v>
      </c>
      <c r="Y117" s="1593" t="s">
        <v>177</v>
      </c>
      <c r="Z117" s="1593" t="s">
        <v>177</v>
      </c>
      <c r="AA117" s="1593" t="s">
        <v>177</v>
      </c>
      <c r="AB117" s="1593" t="s">
        <v>177</v>
      </c>
      <c r="AC117" s="1593"/>
      <c r="AD117" s="1627" t="s">
        <v>83</v>
      </c>
      <c r="AE117" s="1593" t="s">
        <v>128</v>
      </c>
      <c r="AF117" s="1593" t="s">
        <v>128</v>
      </c>
      <c r="AG117" s="1593" t="s">
        <v>128</v>
      </c>
      <c r="AH117" s="178"/>
      <c r="AI117" s="179"/>
    </row>
    <row r="118" spans="1:35" ht="22.35" customHeight="1" thickBot="1" x14ac:dyDescent="0.25">
      <c r="A118" s="1016">
        <v>4</v>
      </c>
      <c r="B118" s="1017" t="s">
        <v>173</v>
      </c>
      <c r="C118" s="958" t="s">
        <v>174</v>
      </c>
      <c r="D118" s="958" t="s">
        <v>174</v>
      </c>
      <c r="E118" s="958" t="s">
        <v>174</v>
      </c>
      <c r="F118" s="958" t="s">
        <v>174</v>
      </c>
      <c r="G118" s="958" t="s">
        <v>174</v>
      </c>
      <c r="H118" s="958" t="s">
        <v>0</v>
      </c>
      <c r="I118" s="958" t="s">
        <v>0</v>
      </c>
      <c r="J118" s="958" t="s">
        <v>128</v>
      </c>
      <c r="K118" s="958" t="s">
        <v>128</v>
      </c>
      <c r="L118" s="958" t="s">
        <v>128</v>
      </c>
      <c r="M118" s="958" t="s">
        <v>128</v>
      </c>
      <c r="N118" s="958" t="s">
        <v>128</v>
      </c>
      <c r="O118" s="958" t="s">
        <v>127</v>
      </c>
      <c r="P118" s="958" t="s">
        <v>127</v>
      </c>
      <c r="Q118" s="958" t="s">
        <v>36</v>
      </c>
      <c r="R118" s="958" t="s">
        <v>36</v>
      </c>
      <c r="S118" s="958" t="s">
        <v>36</v>
      </c>
      <c r="T118" s="958" t="s">
        <v>36</v>
      </c>
      <c r="U118" s="958" t="s">
        <v>36</v>
      </c>
      <c r="V118" s="1573"/>
      <c r="W118" s="1573"/>
      <c r="X118" s="1573" t="s">
        <v>174</v>
      </c>
      <c r="Y118" s="1573" t="s">
        <v>174</v>
      </c>
      <c r="Z118" s="958" t="s">
        <v>174</v>
      </c>
      <c r="AA118" s="958" t="s">
        <v>174</v>
      </c>
      <c r="AB118" s="958" t="s">
        <v>174</v>
      </c>
      <c r="AC118" s="958"/>
      <c r="AD118" s="1705"/>
      <c r="AE118" s="1573" t="s">
        <v>174</v>
      </c>
      <c r="AF118" s="958" t="s">
        <v>174</v>
      </c>
      <c r="AG118" s="1575" t="s">
        <v>174</v>
      </c>
      <c r="AH118" s="178"/>
      <c r="AI118" s="179"/>
    </row>
    <row r="119" spans="1:35" ht="22.35" customHeight="1" thickBot="1" x14ac:dyDescent="0.25">
      <c r="A119" s="200"/>
      <c r="B119" s="190"/>
      <c r="C119" s="201"/>
      <c r="D119" s="201"/>
      <c r="E119" s="201"/>
      <c r="F119" s="201"/>
      <c r="G119" s="201"/>
      <c r="H119" s="201"/>
      <c r="I119" s="201"/>
      <c r="J119" s="201"/>
      <c r="K119" s="201"/>
      <c r="L119" s="201"/>
      <c r="M119" s="201"/>
      <c r="N119" s="201"/>
      <c r="O119" s="201"/>
      <c r="P119" s="201"/>
      <c r="Q119" s="201"/>
      <c r="R119" s="201"/>
      <c r="S119" s="201"/>
      <c r="T119" s="201"/>
      <c r="U119" s="201"/>
      <c r="V119" s="201"/>
      <c r="W119" s="201"/>
      <c r="X119" s="201"/>
      <c r="Y119" s="201"/>
      <c r="Z119" s="201"/>
      <c r="AA119" s="201"/>
      <c r="AB119" s="201"/>
      <c r="AC119" s="201"/>
      <c r="AD119" s="201"/>
      <c r="AE119" s="201"/>
      <c r="AF119" s="201"/>
      <c r="AG119" s="202"/>
      <c r="AH119" s="203"/>
      <c r="AI119" s="179"/>
    </row>
    <row r="120" spans="1:35" ht="22.35" customHeight="1" x14ac:dyDescent="0.2">
      <c r="A120" s="72"/>
      <c r="B120" s="700" t="s">
        <v>180</v>
      </c>
      <c r="C120" s="1700"/>
      <c r="D120" s="1706" t="s">
        <v>107</v>
      </c>
      <c r="E120" s="1707"/>
      <c r="F120" s="1700"/>
      <c r="G120" s="1708" t="s">
        <v>108</v>
      </c>
      <c r="H120" s="694"/>
      <c r="I120" s="1709"/>
      <c r="J120" s="1708" t="s">
        <v>109</v>
      </c>
      <c r="K120" s="1710"/>
      <c r="L120" s="1709"/>
      <c r="M120" s="1711" t="s">
        <v>110</v>
      </c>
      <c r="N120" s="1710"/>
      <c r="O120" s="1709"/>
      <c r="P120" s="1708" t="s">
        <v>111</v>
      </c>
      <c r="Q120" s="1712"/>
      <c r="R120" s="1709"/>
      <c r="S120" s="1708" t="s">
        <v>112</v>
      </c>
      <c r="T120" s="1713"/>
      <c r="U120" s="1709"/>
      <c r="V120" s="1708" t="s">
        <v>113</v>
      </c>
      <c r="W120" s="1712"/>
      <c r="X120" s="1714" t="s">
        <v>158</v>
      </c>
      <c r="Y120" s="1715"/>
      <c r="Z120" s="1715"/>
      <c r="AA120" s="1716"/>
      <c r="AB120" s="696" t="s">
        <v>114</v>
      </c>
      <c r="AC120" s="701"/>
      <c r="AD120" s="701"/>
      <c r="AE120" s="702"/>
      <c r="AF120" s="702"/>
      <c r="AG120" s="703"/>
      <c r="AH120" s="203"/>
      <c r="AI120" s="179"/>
    </row>
    <row r="121" spans="1:35" ht="22.35" customHeight="1" x14ac:dyDescent="0.2">
      <c r="A121" s="72"/>
      <c r="B121" s="744" t="s">
        <v>181</v>
      </c>
      <c r="C121" s="1033" t="s">
        <v>182</v>
      </c>
      <c r="D121" s="1557"/>
      <c r="E121" s="1558"/>
      <c r="F121" s="1033" t="s">
        <v>182</v>
      </c>
      <c r="G121" s="1557"/>
      <c r="H121" s="1558"/>
      <c r="I121" s="1033" t="s">
        <v>182</v>
      </c>
      <c r="J121" s="1557"/>
      <c r="K121" s="1558"/>
      <c r="L121" s="1033" t="s">
        <v>182</v>
      </c>
      <c r="M121" s="1557"/>
      <c r="N121" s="1558"/>
      <c r="O121" s="1033" t="s">
        <v>183</v>
      </c>
      <c r="P121" s="1557"/>
      <c r="Q121" s="1558"/>
      <c r="R121" s="1033"/>
      <c r="S121" s="1557"/>
      <c r="T121" s="1558"/>
      <c r="U121" s="1033"/>
      <c r="V121" s="1557"/>
      <c r="W121" s="1558"/>
      <c r="X121" s="1033"/>
      <c r="Y121" s="1034"/>
      <c r="Z121" s="1034"/>
      <c r="AA121" s="1034"/>
      <c r="AB121" s="1554"/>
      <c r="AC121" s="1034"/>
      <c r="AD121" s="1034"/>
      <c r="AE121" s="1034"/>
      <c r="AF121" s="1034"/>
      <c r="AG121" s="1035"/>
      <c r="AH121" s="203"/>
      <c r="AI121" s="179"/>
    </row>
    <row r="122" spans="1:35" ht="22.35" customHeight="1" x14ac:dyDescent="0.2">
      <c r="A122" s="72"/>
      <c r="B122" s="17"/>
      <c r="C122" s="72"/>
      <c r="D122" s="72"/>
      <c r="E122" s="72"/>
      <c r="F122" s="72"/>
      <c r="G122" s="72"/>
      <c r="H122" s="72"/>
      <c r="I122" s="72"/>
      <c r="J122" s="72"/>
      <c r="K122" s="72"/>
      <c r="L122" s="72"/>
      <c r="M122" s="72"/>
      <c r="N122" s="72"/>
      <c r="O122" s="72"/>
      <c r="P122" s="72"/>
      <c r="Q122" s="72"/>
      <c r="R122" s="72"/>
      <c r="S122" s="72"/>
      <c r="T122" s="72"/>
      <c r="U122" s="72"/>
      <c r="V122" s="72"/>
      <c r="W122" s="72"/>
      <c r="X122" s="72"/>
      <c r="Y122" s="72"/>
      <c r="Z122" s="72"/>
      <c r="AA122" s="72"/>
      <c r="AB122" s="72"/>
      <c r="AC122" s="72"/>
      <c r="AD122" s="72"/>
      <c r="AE122" s="72"/>
      <c r="AF122" s="72"/>
      <c r="AG122" s="72"/>
      <c r="AH122" s="203"/>
      <c r="AI122" s="179"/>
    </row>
    <row r="123" spans="1:35" ht="22.35" customHeight="1" thickBot="1" x14ac:dyDescent="0.25">
      <c r="A123" s="981" t="s">
        <v>28</v>
      </c>
      <c r="B123" s="748" t="s">
        <v>29</v>
      </c>
      <c r="C123" s="1573">
        <v>1</v>
      </c>
      <c r="D123" s="1573">
        <v>2</v>
      </c>
      <c r="E123" s="1573">
        <v>3</v>
      </c>
      <c r="F123" s="1573">
        <v>4</v>
      </c>
      <c r="G123" s="1573">
        <v>5</v>
      </c>
      <c r="H123" s="1574">
        <v>6</v>
      </c>
      <c r="I123" s="1574">
        <v>7</v>
      </c>
      <c r="J123" s="1573">
        <v>8</v>
      </c>
      <c r="K123" s="1573">
        <v>9</v>
      </c>
      <c r="L123" s="1573">
        <v>10</v>
      </c>
      <c r="M123" s="1573">
        <v>11</v>
      </c>
      <c r="N123" s="1573">
        <v>12</v>
      </c>
      <c r="O123" s="1574">
        <v>13</v>
      </c>
      <c r="P123" s="1574">
        <v>14</v>
      </c>
      <c r="Q123" s="1573">
        <v>15</v>
      </c>
      <c r="R123" s="1573">
        <v>16</v>
      </c>
      <c r="S123" s="1573">
        <v>17</v>
      </c>
      <c r="T123" s="1573">
        <v>18</v>
      </c>
      <c r="U123" s="1573">
        <v>19</v>
      </c>
      <c r="V123" s="1574">
        <v>20</v>
      </c>
      <c r="W123" s="1574">
        <v>21</v>
      </c>
      <c r="X123" s="1573">
        <v>22</v>
      </c>
      <c r="Y123" s="1573">
        <v>23</v>
      </c>
      <c r="Z123" s="1573">
        <v>24</v>
      </c>
      <c r="AA123" s="1573">
        <v>25</v>
      </c>
      <c r="AB123" s="1573">
        <v>26</v>
      </c>
      <c r="AC123" s="1574">
        <v>27</v>
      </c>
      <c r="AD123" s="1574">
        <v>28</v>
      </c>
      <c r="AE123" s="1573">
        <v>29</v>
      </c>
      <c r="AF123" s="1573">
        <v>30</v>
      </c>
      <c r="AG123" s="1575">
        <v>31</v>
      </c>
      <c r="AH123" s="203"/>
      <c r="AI123" s="179"/>
    </row>
    <row r="124" spans="1:35" ht="22.35" customHeight="1" x14ac:dyDescent="0.2">
      <c r="A124" s="1717">
        <v>8520</v>
      </c>
      <c r="B124" s="1718" t="s">
        <v>184</v>
      </c>
      <c r="C124" s="1616" t="s">
        <v>358</v>
      </c>
      <c r="D124" s="1616" t="s">
        <v>358</v>
      </c>
      <c r="E124" s="1616" t="s">
        <v>358</v>
      </c>
      <c r="F124" s="1616" t="s">
        <v>358</v>
      </c>
      <c r="G124" s="1616" t="s">
        <v>358</v>
      </c>
      <c r="H124" s="1616"/>
      <c r="I124" s="1616"/>
      <c r="J124" s="1616" t="s">
        <v>358</v>
      </c>
      <c r="K124" s="1616" t="s">
        <v>358</v>
      </c>
      <c r="L124" s="1616" t="s">
        <v>358</v>
      </c>
      <c r="M124" s="1616" t="s">
        <v>358</v>
      </c>
      <c r="N124" s="1616" t="s">
        <v>358</v>
      </c>
      <c r="O124" s="1616"/>
      <c r="P124" s="1616"/>
      <c r="Q124" s="1616" t="s">
        <v>358</v>
      </c>
      <c r="R124" s="1616" t="s">
        <v>358</v>
      </c>
      <c r="S124" s="1618" t="s">
        <v>358</v>
      </c>
      <c r="T124" s="1618" t="s">
        <v>358</v>
      </c>
      <c r="U124" s="1618" t="s">
        <v>401</v>
      </c>
      <c r="V124" s="1616"/>
      <c r="W124" s="1616"/>
      <c r="X124" s="1616" t="s">
        <v>358</v>
      </c>
      <c r="Y124" s="1616" t="s">
        <v>358</v>
      </c>
      <c r="Z124" s="1616" t="s">
        <v>358</v>
      </c>
      <c r="AA124" s="1616" t="s">
        <v>358</v>
      </c>
      <c r="AB124" s="680" t="s">
        <v>60</v>
      </c>
      <c r="AC124" s="1616"/>
      <c r="AD124" s="1616"/>
      <c r="AE124" s="1616" t="s">
        <v>358</v>
      </c>
      <c r="AF124" s="1616" t="s">
        <v>358</v>
      </c>
      <c r="AG124" s="1643" t="s">
        <v>358</v>
      </c>
      <c r="AH124" s="203"/>
      <c r="AI124" s="179"/>
    </row>
    <row r="125" spans="1:35" ht="22.35" customHeight="1" x14ac:dyDescent="0.2">
      <c r="A125" s="209"/>
      <c r="B125" s="208"/>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c r="AA125" s="199"/>
      <c r="AB125" s="199"/>
      <c r="AC125" s="199"/>
      <c r="AD125" s="199"/>
      <c r="AE125" s="199"/>
      <c r="AF125" s="199"/>
      <c r="AG125" s="199"/>
      <c r="AH125" s="203"/>
      <c r="AI125" s="179"/>
    </row>
    <row r="126" spans="1:35" ht="22.35" customHeight="1" x14ac:dyDescent="0.2">
      <c r="AH126" s="107"/>
      <c r="AI126" s="107"/>
    </row>
    <row r="127" spans="1:35" ht="22.35" customHeight="1" thickBot="1" x14ac:dyDescent="0.25">
      <c r="A127" s="169" t="s">
        <v>185</v>
      </c>
      <c r="B127" s="170"/>
      <c r="C127" s="170"/>
      <c r="D127" s="171"/>
      <c r="E127" s="171"/>
      <c r="F127" s="171"/>
      <c r="G127" s="105"/>
      <c r="H127" s="171"/>
      <c r="I127" s="171"/>
      <c r="J127" s="171"/>
      <c r="K127" s="171"/>
      <c r="L127" s="171"/>
      <c r="M127" s="171"/>
      <c r="N127" s="171"/>
      <c r="O127" s="171"/>
      <c r="P127" s="171"/>
      <c r="Q127" s="171"/>
      <c r="R127" s="171"/>
      <c r="S127" s="171"/>
      <c r="T127" s="171"/>
      <c r="U127" s="171"/>
      <c r="V127" s="171"/>
      <c r="W127" s="171"/>
      <c r="X127" s="171"/>
      <c r="Y127" s="171"/>
      <c r="Z127" s="171"/>
      <c r="AA127" s="171"/>
      <c r="AB127" s="171"/>
      <c r="AC127" s="171"/>
      <c r="AD127" s="171"/>
      <c r="AE127" s="171"/>
      <c r="AF127" s="171"/>
      <c r="AG127" s="171"/>
      <c r="AH127" s="170"/>
      <c r="AI127" s="170"/>
    </row>
    <row r="128" spans="1:35" ht="22.35" customHeight="1" x14ac:dyDescent="0.2">
      <c r="A128" s="169"/>
      <c r="B128" s="700" t="s">
        <v>186</v>
      </c>
      <c r="C128" s="1719"/>
      <c r="D128" s="1720" t="s">
        <v>107</v>
      </c>
      <c r="E128" s="1721"/>
      <c r="F128" s="1722"/>
      <c r="G128" s="1719"/>
      <c r="H128" s="1720" t="s">
        <v>108</v>
      </c>
      <c r="I128" s="1721"/>
      <c r="J128" s="1722"/>
      <c r="K128" s="1719"/>
      <c r="L128" s="1720" t="s">
        <v>109</v>
      </c>
      <c r="M128" s="1721"/>
      <c r="N128" s="1722"/>
      <c r="O128" s="1719"/>
      <c r="P128" s="1720" t="s">
        <v>110</v>
      </c>
      <c r="Q128" s="1721"/>
      <c r="R128" s="1722"/>
      <c r="S128" s="1719"/>
      <c r="T128" s="1720" t="s">
        <v>111</v>
      </c>
      <c r="U128" s="1721"/>
      <c r="V128" s="1722"/>
      <c r="W128" s="1719"/>
      <c r="X128" s="1720" t="s">
        <v>112</v>
      </c>
      <c r="Y128" s="1721"/>
      <c r="Z128" s="1722"/>
      <c r="AA128" s="1719"/>
      <c r="AB128" s="1720" t="s">
        <v>113</v>
      </c>
      <c r="AC128" s="1721"/>
      <c r="AD128" s="1721"/>
      <c r="AE128" s="1723" t="s">
        <v>114</v>
      </c>
      <c r="AF128" s="1721"/>
      <c r="AG128" s="1721"/>
      <c r="AH128" s="1721"/>
      <c r="AI128" s="1724"/>
    </row>
    <row r="129" spans="1:35" ht="22.35" customHeight="1" x14ac:dyDescent="0.2">
      <c r="A129" s="169"/>
      <c r="B129" s="737" t="s">
        <v>159</v>
      </c>
      <c r="C129" s="1046">
        <v>69</v>
      </c>
      <c r="D129" s="1047" t="s">
        <v>187</v>
      </c>
      <c r="E129" s="1047"/>
      <c r="F129" s="1048"/>
      <c r="G129" s="1046">
        <v>69</v>
      </c>
      <c r="H129" s="1047" t="s">
        <v>187</v>
      </c>
      <c r="I129" s="1047"/>
      <c r="J129" s="1048"/>
      <c r="K129" s="1046">
        <v>69</v>
      </c>
      <c r="L129" s="1047" t="s">
        <v>187</v>
      </c>
      <c r="M129" s="1047"/>
      <c r="N129" s="1048"/>
      <c r="O129" s="1046">
        <v>69</v>
      </c>
      <c r="P129" s="1047" t="s">
        <v>187</v>
      </c>
      <c r="Q129" s="1047"/>
      <c r="R129" s="1048"/>
      <c r="S129" s="1046">
        <v>69</v>
      </c>
      <c r="T129" s="1047" t="s">
        <v>187</v>
      </c>
      <c r="U129" s="1047"/>
      <c r="V129" s="1048"/>
      <c r="W129" s="1046"/>
      <c r="X129" s="1049"/>
      <c r="Y129" s="1049"/>
      <c r="Z129" s="1050"/>
      <c r="AA129" s="1046"/>
      <c r="AB129" s="1047"/>
      <c r="AC129" s="1047"/>
      <c r="AD129" s="945"/>
      <c r="AE129" s="736">
        <v>35</v>
      </c>
      <c r="AF129" s="1047"/>
      <c r="AG129" s="1047"/>
      <c r="AH129" s="945"/>
      <c r="AI129" s="1051"/>
    </row>
    <row r="130" spans="1:35" ht="22.35" customHeight="1" x14ac:dyDescent="0.2">
      <c r="A130" s="169"/>
      <c r="B130" s="737" t="s">
        <v>163</v>
      </c>
      <c r="C130" s="1046">
        <v>79</v>
      </c>
      <c r="D130" s="1047" t="s">
        <v>188</v>
      </c>
      <c r="E130" s="1047"/>
      <c r="F130" s="1048"/>
      <c r="G130" s="1046">
        <v>79</v>
      </c>
      <c r="H130" s="1047" t="s">
        <v>188</v>
      </c>
      <c r="I130" s="1047"/>
      <c r="J130" s="1048"/>
      <c r="K130" s="1046">
        <v>79</v>
      </c>
      <c r="L130" s="1047" t="s">
        <v>188</v>
      </c>
      <c r="M130" s="1047"/>
      <c r="N130" s="1048"/>
      <c r="O130" s="1046">
        <v>79</v>
      </c>
      <c r="P130" s="1047" t="s">
        <v>188</v>
      </c>
      <c r="Q130" s="1047"/>
      <c r="R130" s="1048"/>
      <c r="S130" s="1046">
        <v>79</v>
      </c>
      <c r="T130" s="1047" t="s">
        <v>188</v>
      </c>
      <c r="U130" s="1047"/>
      <c r="V130" s="1048"/>
      <c r="W130" s="1046"/>
      <c r="X130" s="1047"/>
      <c r="Y130" s="1047"/>
      <c r="Z130" s="1048"/>
      <c r="AA130" s="1047"/>
      <c r="AB130" s="1047"/>
      <c r="AC130" s="1047"/>
      <c r="AD130" s="945"/>
      <c r="AE130" s="736">
        <v>40</v>
      </c>
      <c r="AF130" s="1047"/>
      <c r="AG130" s="1047"/>
      <c r="AH130" s="945"/>
      <c r="AI130" s="1051"/>
    </row>
    <row r="131" spans="1:35" ht="22.35" customHeight="1" x14ac:dyDescent="0.2">
      <c r="A131" s="169"/>
      <c r="B131" s="737" t="s">
        <v>170</v>
      </c>
      <c r="C131" s="1046">
        <v>89</v>
      </c>
      <c r="D131" s="1047" t="s">
        <v>189</v>
      </c>
      <c r="E131" s="1047"/>
      <c r="F131" s="1048"/>
      <c r="G131" s="1046">
        <v>89</v>
      </c>
      <c r="H131" s="1047" t="s">
        <v>189</v>
      </c>
      <c r="I131" s="1047"/>
      <c r="J131" s="1048"/>
      <c r="K131" s="1046">
        <v>89</v>
      </c>
      <c r="L131" s="1047" t="s">
        <v>189</v>
      </c>
      <c r="M131" s="1047"/>
      <c r="N131" s="1048"/>
      <c r="O131" s="1046">
        <v>89</v>
      </c>
      <c r="P131" s="1047" t="s">
        <v>189</v>
      </c>
      <c r="Q131" s="1047"/>
      <c r="R131" s="1048"/>
      <c r="S131" s="1046">
        <v>89</v>
      </c>
      <c r="T131" s="1047" t="s">
        <v>190</v>
      </c>
      <c r="U131" s="1047"/>
      <c r="V131" s="1048"/>
      <c r="W131" s="1052"/>
      <c r="X131" s="1725" t="s">
        <v>191</v>
      </c>
      <c r="Y131" s="1725"/>
      <c r="Z131" s="1726"/>
      <c r="AA131" s="1052"/>
      <c r="AB131" s="1725"/>
      <c r="AC131" s="1725"/>
      <c r="AD131" s="1668"/>
      <c r="AE131" s="736">
        <v>44</v>
      </c>
      <c r="AF131" s="1047"/>
      <c r="AG131" s="1047"/>
      <c r="AH131" s="945"/>
      <c r="AI131" s="1051"/>
    </row>
    <row r="132" spans="1:35" ht="22.35" customHeight="1" x14ac:dyDescent="0.2">
      <c r="A132" s="169"/>
      <c r="B132" s="38" t="s">
        <v>172</v>
      </c>
      <c r="C132" s="1052">
        <v>99</v>
      </c>
      <c r="D132" s="1725" t="s">
        <v>192</v>
      </c>
      <c r="E132" s="1725"/>
      <c r="F132" s="1726"/>
      <c r="G132" s="1052">
        <v>99</v>
      </c>
      <c r="H132" s="1725" t="s">
        <v>192</v>
      </c>
      <c r="I132" s="1725"/>
      <c r="J132" s="1726"/>
      <c r="K132" s="1052">
        <v>99</v>
      </c>
      <c r="L132" s="1725" t="s">
        <v>192</v>
      </c>
      <c r="M132" s="1725"/>
      <c r="N132" s="1726"/>
      <c r="O132" s="1052">
        <v>99</v>
      </c>
      <c r="P132" s="1725" t="s">
        <v>192</v>
      </c>
      <c r="Q132" s="1725"/>
      <c r="R132" s="1726"/>
      <c r="S132" s="1052">
        <v>99</v>
      </c>
      <c r="T132" s="1725" t="s">
        <v>171</v>
      </c>
      <c r="U132" s="1725"/>
      <c r="V132" s="1668"/>
      <c r="W132" s="946"/>
      <c r="X132" s="1668"/>
      <c r="Y132" s="1725"/>
      <c r="Z132" s="1726"/>
      <c r="AA132" s="946"/>
      <c r="AB132" s="1668"/>
      <c r="AC132" s="1725"/>
      <c r="AD132" s="1726"/>
      <c r="AE132" s="1054">
        <v>28</v>
      </c>
      <c r="AF132" s="1725"/>
      <c r="AG132" s="1725"/>
      <c r="AH132" s="1668"/>
      <c r="AI132" s="1727"/>
    </row>
    <row r="133" spans="1:35" ht="22.35" customHeight="1" thickBot="1" x14ac:dyDescent="0.25">
      <c r="A133" s="169"/>
      <c r="B133" s="1056" t="s">
        <v>193</v>
      </c>
      <c r="C133" s="1057" t="s">
        <v>58</v>
      </c>
      <c r="D133" s="1058" t="s">
        <v>194</v>
      </c>
      <c r="E133" s="745"/>
      <c r="F133" s="889"/>
      <c r="G133" s="1057" t="s">
        <v>58</v>
      </c>
      <c r="H133" s="1058" t="s">
        <v>194</v>
      </c>
      <c r="I133" s="734"/>
      <c r="J133" s="745"/>
      <c r="K133" s="1057" t="s">
        <v>58</v>
      </c>
      <c r="L133" s="1058" t="s">
        <v>194</v>
      </c>
      <c r="M133" s="745"/>
      <c r="N133" s="1059"/>
      <c r="O133" s="1057" t="s">
        <v>58</v>
      </c>
      <c r="P133" s="1058" t="s">
        <v>194</v>
      </c>
      <c r="Q133" s="745"/>
      <c r="R133" s="1058"/>
      <c r="S133" s="1057" t="s">
        <v>58</v>
      </c>
      <c r="T133" s="891" t="s">
        <v>195</v>
      </c>
      <c r="U133" s="1058"/>
      <c r="V133" s="1059"/>
      <c r="W133" s="745"/>
      <c r="X133" s="1058"/>
      <c r="Y133" s="1058"/>
      <c r="Z133" s="1058"/>
      <c r="AA133" s="1060"/>
      <c r="AB133" s="1061"/>
      <c r="AC133" s="1058"/>
      <c r="AD133" s="1062"/>
      <c r="AE133" s="1058"/>
      <c r="AF133" s="1058"/>
      <c r="AG133" s="1058"/>
      <c r="AH133" s="1063"/>
      <c r="AI133" s="1064"/>
    </row>
    <row r="134" spans="1:35" ht="22.35" customHeight="1" x14ac:dyDescent="0.2">
      <c r="A134" s="108"/>
      <c r="B134" s="169"/>
      <c r="C134" s="171"/>
      <c r="D134" s="171"/>
      <c r="E134" s="171"/>
      <c r="F134" s="171"/>
      <c r="G134" s="171"/>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thickBot="1" x14ac:dyDescent="0.25">
      <c r="A135" s="981"/>
      <c r="B135" s="748" t="s">
        <v>29</v>
      </c>
      <c r="C135" s="1573">
        <v>1</v>
      </c>
      <c r="D135" s="1573">
        <v>2</v>
      </c>
      <c r="E135" s="1573">
        <v>3</v>
      </c>
      <c r="F135" s="1573">
        <v>4</v>
      </c>
      <c r="G135" s="1573">
        <v>5</v>
      </c>
      <c r="H135" s="1574">
        <v>6</v>
      </c>
      <c r="I135" s="1574">
        <v>7</v>
      </c>
      <c r="J135" s="1573">
        <v>8</v>
      </c>
      <c r="K135" s="1573">
        <v>9</v>
      </c>
      <c r="L135" s="1573">
        <v>10</v>
      </c>
      <c r="M135" s="1573">
        <v>11</v>
      </c>
      <c r="N135" s="1573">
        <v>12</v>
      </c>
      <c r="O135" s="1574">
        <v>13</v>
      </c>
      <c r="P135" s="1574">
        <v>14</v>
      </c>
      <c r="Q135" s="1573">
        <v>15</v>
      </c>
      <c r="R135" s="1573">
        <v>16</v>
      </c>
      <c r="S135" s="1573">
        <v>17</v>
      </c>
      <c r="T135" s="1573">
        <v>18</v>
      </c>
      <c r="U135" s="1573">
        <v>19</v>
      </c>
      <c r="V135" s="1574">
        <v>20</v>
      </c>
      <c r="W135" s="1574">
        <v>21</v>
      </c>
      <c r="X135" s="1573">
        <v>22</v>
      </c>
      <c r="Y135" s="1573">
        <v>23</v>
      </c>
      <c r="Z135" s="1573">
        <v>24</v>
      </c>
      <c r="AA135" s="1573">
        <v>25</v>
      </c>
      <c r="AB135" s="1573">
        <v>26</v>
      </c>
      <c r="AC135" s="1574">
        <v>27</v>
      </c>
      <c r="AD135" s="1574">
        <v>28</v>
      </c>
      <c r="AE135" s="1573">
        <v>29</v>
      </c>
      <c r="AF135" s="1573">
        <v>30</v>
      </c>
      <c r="AG135" s="1575">
        <v>31</v>
      </c>
      <c r="AH135" s="173"/>
      <c r="AI135" s="174"/>
    </row>
    <row r="136" spans="1:35" ht="22.35" customHeight="1" x14ac:dyDescent="0.2">
      <c r="A136" s="1701">
        <v>1</v>
      </c>
      <c r="B136" s="1728" t="s">
        <v>196</v>
      </c>
      <c r="C136" s="1729">
        <v>89</v>
      </c>
      <c r="D136" s="1729">
        <v>89</v>
      </c>
      <c r="E136" s="1730">
        <v>89</v>
      </c>
      <c r="F136" s="1730">
        <v>89</v>
      </c>
      <c r="G136" s="1731">
        <v>89</v>
      </c>
      <c r="H136" s="1729">
        <v>89</v>
      </c>
      <c r="I136" s="1731"/>
      <c r="J136" s="1731">
        <v>99</v>
      </c>
      <c r="K136" s="1729">
        <v>99</v>
      </c>
      <c r="L136" s="1731">
        <v>99</v>
      </c>
      <c r="M136" s="1730">
        <v>99</v>
      </c>
      <c r="N136" s="1729" t="s">
        <v>36</v>
      </c>
      <c r="O136" s="1729"/>
      <c r="P136" s="1729"/>
      <c r="Q136" s="1729" t="s">
        <v>58</v>
      </c>
      <c r="R136" s="1729" t="s">
        <v>58</v>
      </c>
      <c r="S136" s="1730" t="s">
        <v>58</v>
      </c>
      <c r="T136" s="1730" t="s">
        <v>58</v>
      </c>
      <c r="U136" s="1729" t="s">
        <v>58</v>
      </c>
      <c r="V136" s="1729"/>
      <c r="W136" s="1729"/>
      <c r="X136" s="1729">
        <v>69</v>
      </c>
      <c r="Y136" s="1729">
        <v>69</v>
      </c>
      <c r="Z136" s="1729">
        <v>69</v>
      </c>
      <c r="AA136" s="1731">
        <v>69</v>
      </c>
      <c r="AB136" s="1729">
        <v>69</v>
      </c>
      <c r="AC136" s="1729"/>
      <c r="AD136" s="1729"/>
      <c r="AE136" s="1729">
        <v>79</v>
      </c>
      <c r="AF136" s="1731">
        <v>79</v>
      </c>
      <c r="AG136" s="1732">
        <v>79</v>
      </c>
      <c r="AH136" s="191"/>
      <c r="AI136" s="107"/>
    </row>
    <row r="137" spans="1:35" ht="22.35" customHeight="1" thickBot="1" x14ac:dyDescent="0.25">
      <c r="A137" s="1010">
        <v>2</v>
      </c>
      <c r="B137" s="1068" t="s">
        <v>197</v>
      </c>
      <c r="C137" s="1590">
        <v>99</v>
      </c>
      <c r="D137" s="1590">
        <v>99</v>
      </c>
      <c r="E137" s="1590">
        <v>99</v>
      </c>
      <c r="F137" s="1590">
        <v>99</v>
      </c>
      <c r="G137" s="1590" t="s">
        <v>36</v>
      </c>
      <c r="H137" s="868"/>
      <c r="I137" s="868"/>
      <c r="J137" s="868" t="s">
        <v>58</v>
      </c>
      <c r="K137" s="868" t="s">
        <v>58</v>
      </c>
      <c r="L137" s="1593" t="s">
        <v>58</v>
      </c>
      <c r="M137" s="1593" t="s">
        <v>58</v>
      </c>
      <c r="N137" s="868" t="s">
        <v>58</v>
      </c>
      <c r="O137" s="868"/>
      <c r="P137" s="868"/>
      <c r="Q137" s="868">
        <v>69</v>
      </c>
      <c r="R137" s="1594">
        <v>69</v>
      </c>
      <c r="S137" s="868">
        <v>69</v>
      </c>
      <c r="T137" s="1593">
        <v>69</v>
      </c>
      <c r="U137" s="868">
        <v>69</v>
      </c>
      <c r="V137" s="868"/>
      <c r="W137" s="868"/>
      <c r="X137" s="868">
        <v>79</v>
      </c>
      <c r="Y137" s="868">
        <v>79</v>
      </c>
      <c r="Z137" s="987">
        <v>79</v>
      </c>
      <c r="AA137" s="1593">
        <v>79</v>
      </c>
      <c r="AB137" s="1594">
        <v>79</v>
      </c>
      <c r="AC137" s="1607"/>
      <c r="AD137" s="1607"/>
      <c r="AE137" s="1607">
        <v>89</v>
      </c>
      <c r="AF137" s="1607">
        <v>89</v>
      </c>
      <c r="AG137" s="1070">
        <v>89</v>
      </c>
      <c r="AH137" s="192"/>
      <c r="AI137" s="168"/>
    </row>
    <row r="138" spans="1:35" ht="22.35" customHeight="1" thickBot="1" x14ac:dyDescent="0.25">
      <c r="A138" s="1010">
        <v>3</v>
      </c>
      <c r="B138" s="1068" t="s">
        <v>360</v>
      </c>
      <c r="C138" s="1072" t="s">
        <v>58</v>
      </c>
      <c r="D138" s="1072" t="s">
        <v>58</v>
      </c>
      <c r="E138" s="1072" t="s">
        <v>58</v>
      </c>
      <c r="F138" s="1072" t="s">
        <v>58</v>
      </c>
      <c r="G138" s="1072" t="s">
        <v>58</v>
      </c>
      <c r="H138" s="1072"/>
      <c r="I138" s="1072"/>
      <c r="J138" s="1072">
        <v>69</v>
      </c>
      <c r="K138" s="1072">
        <v>69</v>
      </c>
      <c r="L138" s="1072">
        <v>69</v>
      </c>
      <c r="M138" s="1072">
        <v>69</v>
      </c>
      <c r="N138" s="1072">
        <v>69</v>
      </c>
      <c r="O138" s="1607"/>
      <c r="P138" s="1607"/>
      <c r="Q138" s="1206">
        <v>79</v>
      </c>
      <c r="R138" s="987">
        <v>79</v>
      </c>
      <c r="S138" s="1503">
        <v>79</v>
      </c>
      <c r="T138" s="1733">
        <v>79</v>
      </c>
      <c r="U138" s="1733">
        <v>79</v>
      </c>
      <c r="V138" s="1206"/>
      <c r="W138" s="1206"/>
      <c r="X138" s="1503">
        <v>89</v>
      </c>
      <c r="Y138" s="1503">
        <v>89</v>
      </c>
      <c r="Z138" s="1503">
        <v>89</v>
      </c>
      <c r="AA138" s="1503">
        <v>89</v>
      </c>
      <c r="AB138" s="1503">
        <v>89</v>
      </c>
      <c r="AC138" s="1503">
        <v>89</v>
      </c>
      <c r="AD138" s="1503"/>
      <c r="AE138" s="1503">
        <v>99</v>
      </c>
      <c r="AF138" s="1503">
        <v>99</v>
      </c>
      <c r="AG138" s="1517">
        <v>99</v>
      </c>
      <c r="AH138" s="191"/>
      <c r="AI138" s="107"/>
    </row>
    <row r="139" spans="1:35" ht="22.35" customHeight="1" thickBot="1" x14ac:dyDescent="0.25">
      <c r="A139" s="1010">
        <v>4</v>
      </c>
      <c r="B139" s="501" t="s">
        <v>199</v>
      </c>
      <c r="C139" s="1593">
        <v>69</v>
      </c>
      <c r="D139" s="1593">
        <v>69</v>
      </c>
      <c r="E139" s="1593">
        <v>69</v>
      </c>
      <c r="F139" s="1593">
        <v>69</v>
      </c>
      <c r="G139" s="1593">
        <v>69</v>
      </c>
      <c r="H139" s="1593"/>
      <c r="I139" s="1593"/>
      <c r="J139" s="1593">
        <v>79</v>
      </c>
      <c r="K139" s="1593">
        <v>79</v>
      </c>
      <c r="L139" s="1593">
        <v>79</v>
      </c>
      <c r="M139" s="1593">
        <v>79</v>
      </c>
      <c r="N139" s="1593">
        <v>79</v>
      </c>
      <c r="O139" s="1593"/>
      <c r="P139" s="1593"/>
      <c r="Q139" s="985">
        <v>89</v>
      </c>
      <c r="R139" s="985">
        <v>89</v>
      </c>
      <c r="S139" s="1593">
        <v>89</v>
      </c>
      <c r="T139" s="1593">
        <v>89</v>
      </c>
      <c r="U139" s="1593">
        <v>89</v>
      </c>
      <c r="V139" s="1593">
        <v>89</v>
      </c>
      <c r="W139" s="1593"/>
      <c r="X139" s="1593">
        <v>99</v>
      </c>
      <c r="Y139" s="985">
        <v>99</v>
      </c>
      <c r="Z139" s="987">
        <v>99</v>
      </c>
      <c r="AA139" s="1593">
        <v>99</v>
      </c>
      <c r="AB139" s="1593" t="s">
        <v>36</v>
      </c>
      <c r="AC139" s="1593"/>
      <c r="AD139" s="1593"/>
      <c r="AE139" s="1593" t="s">
        <v>58</v>
      </c>
      <c r="AF139" s="985" t="s">
        <v>58</v>
      </c>
      <c r="AG139" s="1070" t="s">
        <v>58</v>
      </c>
      <c r="AH139" s="191"/>
      <c r="AI139" s="107"/>
    </row>
    <row r="140" spans="1:35" ht="22.35" customHeight="1" thickBot="1" x14ac:dyDescent="0.25">
      <c r="A140" s="1016">
        <v>5</v>
      </c>
      <c r="B140" s="1076" t="s">
        <v>202</v>
      </c>
      <c r="C140" s="911">
        <v>79</v>
      </c>
      <c r="D140" s="911">
        <v>79</v>
      </c>
      <c r="E140" s="911">
        <v>79</v>
      </c>
      <c r="F140" s="911">
        <v>79</v>
      </c>
      <c r="G140" s="911">
        <v>79</v>
      </c>
      <c r="H140" s="911"/>
      <c r="I140" s="911"/>
      <c r="J140" s="911">
        <v>89</v>
      </c>
      <c r="K140" s="911">
        <v>89</v>
      </c>
      <c r="L140" s="911">
        <v>89</v>
      </c>
      <c r="M140" s="911">
        <v>89</v>
      </c>
      <c r="N140" s="911">
        <v>89</v>
      </c>
      <c r="O140" s="911">
        <v>89</v>
      </c>
      <c r="P140" s="911"/>
      <c r="Q140" s="906">
        <v>99</v>
      </c>
      <c r="R140" s="906" t="s">
        <v>402</v>
      </c>
      <c r="S140" s="1345">
        <v>99</v>
      </c>
      <c r="T140" s="1345">
        <v>99</v>
      </c>
      <c r="U140" s="1345" t="s">
        <v>36</v>
      </c>
      <c r="V140" s="1345"/>
      <c r="W140" s="1345"/>
      <c r="X140" s="987" t="s">
        <v>58</v>
      </c>
      <c r="Y140" s="987" t="s">
        <v>58</v>
      </c>
      <c r="Z140" s="987" t="s">
        <v>58</v>
      </c>
      <c r="AA140" s="1734" t="s">
        <v>58</v>
      </c>
      <c r="AB140" s="1735" t="s">
        <v>200</v>
      </c>
      <c r="AC140" s="1345"/>
      <c r="AD140" s="1345"/>
      <c r="AE140" s="918">
        <v>69</v>
      </c>
      <c r="AF140" s="918">
        <v>69</v>
      </c>
      <c r="AG140" s="343">
        <v>69</v>
      </c>
      <c r="AH140" s="191"/>
      <c r="AI140" s="107"/>
    </row>
    <row r="141" spans="1:35" ht="22.35" customHeight="1" x14ac:dyDescent="0.2">
      <c r="A141" s="200"/>
      <c r="B141" s="217"/>
      <c r="C141" s="218"/>
      <c r="D141" s="218"/>
      <c r="E141" s="218"/>
      <c r="F141" s="199"/>
      <c r="G141" s="216"/>
      <c r="H141" s="216"/>
      <c r="I141" s="216"/>
      <c r="J141" s="216"/>
      <c r="K141" s="216"/>
      <c r="L141" s="199"/>
      <c r="M141" s="199"/>
      <c r="N141" s="218"/>
      <c r="O141" s="218"/>
      <c r="P141" s="218"/>
      <c r="Q141" s="218"/>
      <c r="R141" s="218"/>
      <c r="S141" s="199"/>
      <c r="T141" s="219"/>
      <c r="U141" s="218"/>
      <c r="V141" s="218"/>
      <c r="W141" s="218"/>
      <c r="X141" s="218"/>
      <c r="Y141" s="218"/>
      <c r="Z141" s="220"/>
      <c r="AA141" s="220"/>
      <c r="AB141" s="218"/>
      <c r="AC141" s="218"/>
      <c r="AD141" s="218"/>
      <c r="AE141" s="218"/>
      <c r="AF141" s="218"/>
      <c r="AG141" s="220"/>
      <c r="AH141" s="191"/>
      <c r="AI141" s="107"/>
    </row>
    <row r="142" spans="1:35" ht="22.35" customHeight="1" x14ac:dyDescent="0.2">
      <c r="A142" s="109"/>
      <c r="B142" s="110"/>
      <c r="C142" s="106"/>
      <c r="D142" s="106"/>
      <c r="E142" s="106"/>
      <c r="F142" s="106"/>
      <c r="G142" s="106"/>
      <c r="H142" s="106"/>
      <c r="I142" s="106"/>
      <c r="J142" s="106"/>
      <c r="K142" s="106"/>
      <c r="L142" s="106"/>
      <c r="M142" s="106"/>
      <c r="N142" s="106"/>
      <c r="O142" s="106"/>
      <c r="P142" s="106"/>
      <c r="Q142" s="106"/>
      <c r="R142" s="106"/>
      <c r="S142" s="106"/>
      <c r="T142" s="106"/>
      <c r="U142" s="106"/>
      <c r="V142" s="106"/>
      <c r="W142" s="106"/>
      <c r="X142" s="106"/>
      <c r="Y142" s="106"/>
      <c r="Z142" s="106"/>
      <c r="AA142" s="106"/>
      <c r="AB142" s="106"/>
      <c r="AC142" s="106"/>
      <c r="AD142" s="106"/>
      <c r="AE142" s="106"/>
      <c r="AF142" s="106"/>
      <c r="AG142" s="106"/>
      <c r="AH142" s="107"/>
      <c r="AI142" s="107"/>
    </row>
    <row r="143" spans="1:35" ht="22.35" customHeight="1" thickBot="1" x14ac:dyDescent="0.25">
      <c r="A143" s="169" t="s">
        <v>204</v>
      </c>
      <c r="B143" s="170"/>
      <c r="C143" s="170"/>
      <c r="D143" s="171"/>
      <c r="E143" s="171"/>
      <c r="F143" s="171"/>
      <c r="G143" s="105"/>
      <c r="H143" s="171"/>
      <c r="I143" s="171"/>
      <c r="J143" s="171"/>
      <c r="K143" s="171"/>
      <c r="L143" s="171"/>
      <c r="M143" s="171"/>
      <c r="N143" s="171"/>
      <c r="O143" s="171"/>
      <c r="P143" s="171"/>
      <c r="Q143" s="171"/>
      <c r="R143" s="171"/>
      <c r="S143" s="171"/>
      <c r="T143" s="171"/>
      <c r="U143" s="171"/>
      <c r="V143" s="171"/>
      <c r="W143" s="171"/>
      <c r="X143" s="171"/>
      <c r="Y143" s="171"/>
      <c r="Z143" s="171"/>
      <c r="AA143" s="171"/>
      <c r="AB143" s="171"/>
      <c r="AC143" s="171"/>
      <c r="AD143" s="171"/>
      <c r="AE143" s="171"/>
      <c r="AF143" s="171"/>
      <c r="AG143" s="171"/>
      <c r="AH143" s="170"/>
      <c r="AI143" s="170"/>
    </row>
    <row r="144" spans="1:35" ht="22.35" customHeight="1" x14ac:dyDescent="0.2">
      <c r="A144" s="169"/>
      <c r="B144" s="700" t="s">
        <v>186</v>
      </c>
      <c r="C144" s="1719"/>
      <c r="D144" s="1720" t="s">
        <v>107</v>
      </c>
      <c r="E144" s="1721"/>
      <c r="F144" s="1722"/>
      <c r="G144" s="1719"/>
      <c r="H144" s="1720" t="s">
        <v>108</v>
      </c>
      <c r="I144" s="1721"/>
      <c r="J144" s="1722"/>
      <c r="K144" s="1719"/>
      <c r="L144" s="1720" t="s">
        <v>109</v>
      </c>
      <c r="M144" s="1721"/>
      <c r="N144" s="1722"/>
      <c r="O144" s="1719"/>
      <c r="P144" s="1720" t="s">
        <v>110</v>
      </c>
      <c r="Q144" s="1721"/>
      <c r="R144" s="1722"/>
      <c r="S144" s="1719"/>
      <c r="T144" s="1720" t="s">
        <v>111</v>
      </c>
      <c r="U144" s="1721"/>
      <c r="V144" s="1722"/>
      <c r="W144" s="1719"/>
      <c r="X144" s="1720" t="s">
        <v>112</v>
      </c>
      <c r="Y144" s="1721"/>
      <c r="Z144" s="1722"/>
      <c r="AA144" s="1719"/>
      <c r="AB144" s="1720" t="s">
        <v>113</v>
      </c>
      <c r="AC144" s="1721"/>
      <c r="AD144" s="1721"/>
      <c r="AE144" s="1723" t="s">
        <v>114</v>
      </c>
      <c r="AF144" s="1721"/>
      <c r="AG144" s="1721"/>
      <c r="AH144" s="1721"/>
      <c r="AI144" s="1724"/>
    </row>
    <row r="145" spans="1:35" ht="22.35" customHeight="1" x14ac:dyDescent="0.2">
      <c r="A145" s="169"/>
      <c r="B145" s="737" t="s">
        <v>205</v>
      </c>
      <c r="C145" s="735" t="s">
        <v>206</v>
      </c>
      <c r="D145" s="1047"/>
      <c r="E145" s="1047"/>
      <c r="F145" s="1048"/>
      <c r="G145" s="735" t="s">
        <v>206</v>
      </c>
      <c r="H145" s="1047"/>
      <c r="I145" s="1047"/>
      <c r="J145" s="1048"/>
      <c r="K145" s="735" t="s">
        <v>206</v>
      </c>
      <c r="L145" s="1047"/>
      <c r="M145" s="1047"/>
      <c r="N145" s="1048"/>
      <c r="O145" s="735" t="s">
        <v>206</v>
      </c>
      <c r="P145" s="1047"/>
      <c r="Q145" s="1047"/>
      <c r="R145" s="1048"/>
      <c r="S145" s="735" t="s">
        <v>206</v>
      </c>
      <c r="T145" s="1047"/>
      <c r="U145" s="1047"/>
      <c r="V145" s="1048"/>
      <c r="W145" s="735" t="s">
        <v>207</v>
      </c>
      <c r="X145" s="1049"/>
      <c r="Y145" s="1049"/>
      <c r="Z145" s="1050"/>
      <c r="AA145" s="735" t="s">
        <v>207</v>
      </c>
      <c r="AB145" s="1047"/>
      <c r="AC145" s="1047"/>
      <c r="AD145" s="945"/>
      <c r="AE145" s="736">
        <v>69</v>
      </c>
      <c r="AF145" s="185"/>
      <c r="AG145" s="185"/>
      <c r="AH145" s="185"/>
      <c r="AI145" s="186"/>
    </row>
    <row r="146" spans="1:35" ht="22.35" customHeight="1" x14ac:dyDescent="0.2">
      <c r="A146" s="169"/>
      <c r="B146" s="737" t="s">
        <v>163</v>
      </c>
      <c r="C146" s="735" t="s">
        <v>171</v>
      </c>
      <c r="D146" s="1047"/>
      <c r="E146" s="1047"/>
      <c r="F146" s="1048"/>
      <c r="G146" s="735" t="s">
        <v>171</v>
      </c>
      <c r="H146" s="1047"/>
      <c r="I146" s="1047"/>
      <c r="J146" s="1048"/>
      <c r="K146" s="735" t="s">
        <v>171</v>
      </c>
      <c r="L146" s="1047"/>
      <c r="M146" s="1047"/>
      <c r="N146" s="1048"/>
      <c r="O146" s="735" t="s">
        <v>171</v>
      </c>
      <c r="P146" s="1047"/>
      <c r="Q146" s="1047"/>
      <c r="R146" s="1048"/>
      <c r="S146" s="735" t="s">
        <v>171</v>
      </c>
      <c r="T146" s="1047"/>
      <c r="U146" s="1047"/>
      <c r="V146" s="1048"/>
      <c r="W146" s="735" t="s">
        <v>171</v>
      </c>
      <c r="X146" s="1047"/>
      <c r="Y146" s="1047"/>
      <c r="Z146" s="1048"/>
      <c r="AA146" s="1047" t="s">
        <v>171</v>
      </c>
      <c r="AB146" s="1047"/>
      <c r="AC146" s="1047"/>
      <c r="AD146" s="945"/>
      <c r="AE146" s="736">
        <v>0</v>
      </c>
      <c r="AF146" s="185"/>
      <c r="AG146" s="185"/>
      <c r="AH146" s="185"/>
      <c r="AI146" s="186"/>
    </row>
    <row r="147" spans="1:35" ht="22.35" customHeight="1" x14ac:dyDescent="0.2">
      <c r="A147" s="169"/>
      <c r="B147" s="737" t="s">
        <v>208</v>
      </c>
      <c r="C147" s="735" t="s">
        <v>206</v>
      </c>
      <c r="D147" s="1047"/>
      <c r="E147" s="1047"/>
      <c r="F147" s="1048"/>
      <c r="G147" s="735" t="s">
        <v>206</v>
      </c>
      <c r="H147" s="1047"/>
      <c r="I147" s="1047"/>
      <c r="J147" s="1048"/>
      <c r="K147" s="735" t="s">
        <v>206</v>
      </c>
      <c r="L147" s="1047"/>
      <c r="M147" s="1047"/>
      <c r="N147" s="1048"/>
      <c r="O147" s="735" t="s">
        <v>206</v>
      </c>
      <c r="P147" s="1047"/>
      <c r="Q147" s="1047"/>
      <c r="R147" s="1048"/>
      <c r="S147" s="735" t="s">
        <v>206</v>
      </c>
      <c r="T147" s="1047"/>
      <c r="U147" s="1047"/>
      <c r="V147" s="1048"/>
      <c r="W147" s="735" t="s">
        <v>207</v>
      </c>
      <c r="X147" s="1049"/>
      <c r="Y147" s="1049"/>
      <c r="Z147" s="1050"/>
      <c r="AA147" s="735" t="s">
        <v>207</v>
      </c>
      <c r="AB147" s="1047"/>
      <c r="AC147" s="1047"/>
      <c r="AD147" s="945"/>
      <c r="AE147" s="736">
        <v>69</v>
      </c>
      <c r="AF147" s="1047"/>
      <c r="AG147" s="1047" t="s">
        <v>0</v>
      </c>
      <c r="AH147" s="945"/>
      <c r="AI147" s="1051"/>
    </row>
    <row r="148" spans="1:35" ht="22.35" customHeight="1" x14ac:dyDescent="0.2">
      <c r="A148" s="169"/>
      <c r="B148" s="737" t="s">
        <v>172</v>
      </c>
      <c r="C148" s="735" t="s">
        <v>171</v>
      </c>
      <c r="D148" s="1047"/>
      <c r="E148" s="1047"/>
      <c r="F148" s="1048"/>
      <c r="G148" s="735" t="s">
        <v>171</v>
      </c>
      <c r="H148" s="1047"/>
      <c r="I148" s="1047"/>
      <c r="J148" s="1048"/>
      <c r="K148" s="735" t="s">
        <v>171</v>
      </c>
      <c r="L148" s="1047"/>
      <c r="M148" s="1047"/>
      <c r="N148" s="1048"/>
      <c r="O148" s="735" t="s">
        <v>171</v>
      </c>
      <c r="P148" s="1047"/>
      <c r="Q148" s="1047"/>
      <c r="R148" s="1048"/>
      <c r="S148" s="735" t="s">
        <v>171</v>
      </c>
      <c r="T148" s="1047"/>
      <c r="U148" s="1047"/>
      <c r="V148" s="1048"/>
      <c r="W148" s="735" t="s">
        <v>171</v>
      </c>
      <c r="X148" s="1047"/>
      <c r="Y148" s="1047"/>
      <c r="Z148" s="1048"/>
      <c r="AA148" s="1047" t="s">
        <v>171</v>
      </c>
      <c r="AB148" s="1047"/>
      <c r="AC148" s="1047"/>
      <c r="AD148" s="945"/>
      <c r="AE148" s="736">
        <v>0</v>
      </c>
      <c r="AF148" s="1047"/>
      <c r="AG148" s="1047"/>
      <c r="AH148" s="945"/>
      <c r="AI148" s="1051"/>
    </row>
    <row r="149" spans="1:35" ht="22.35" customHeight="1" x14ac:dyDescent="0.2">
      <c r="A149" s="169"/>
      <c r="B149" s="737" t="s">
        <v>209</v>
      </c>
      <c r="C149" s="735" t="s">
        <v>206</v>
      </c>
      <c r="D149" s="1047"/>
      <c r="E149" s="1047"/>
      <c r="F149" s="1048"/>
      <c r="G149" s="735" t="s">
        <v>206</v>
      </c>
      <c r="H149" s="1047"/>
      <c r="I149" s="1047"/>
      <c r="J149" s="1048"/>
      <c r="K149" s="735" t="s">
        <v>206</v>
      </c>
      <c r="L149" s="1047"/>
      <c r="M149" s="1047"/>
      <c r="N149" s="1048"/>
      <c r="O149" s="735" t="s">
        <v>206</v>
      </c>
      <c r="P149" s="1047"/>
      <c r="Q149" s="1047"/>
      <c r="R149" s="1048"/>
      <c r="S149" s="735" t="s">
        <v>206</v>
      </c>
      <c r="T149" s="1047"/>
      <c r="U149" s="1047"/>
      <c r="V149" s="1048"/>
      <c r="W149" s="735" t="s">
        <v>210</v>
      </c>
      <c r="X149" s="1725"/>
      <c r="Y149" s="1725"/>
      <c r="Z149" s="1726"/>
      <c r="AA149" s="735" t="s">
        <v>210</v>
      </c>
      <c r="AB149" s="1725"/>
      <c r="AC149" s="1725"/>
      <c r="AD149" s="1668"/>
      <c r="AE149" s="736">
        <v>66</v>
      </c>
      <c r="AF149" s="1047"/>
      <c r="AG149" s="1047"/>
      <c r="AH149" s="945"/>
      <c r="AI149" s="1051"/>
    </row>
    <row r="150" spans="1:35" ht="22.35" customHeight="1" thickBot="1" x14ac:dyDescent="0.25">
      <c r="A150" s="169"/>
      <c r="B150" s="737" t="s">
        <v>211</v>
      </c>
      <c r="C150" s="704" t="s">
        <v>171</v>
      </c>
      <c r="D150" s="705"/>
      <c r="E150" s="705"/>
      <c r="F150" s="706"/>
      <c r="G150" s="704" t="s">
        <v>171</v>
      </c>
      <c r="H150" s="705"/>
      <c r="I150" s="705"/>
      <c r="J150" s="706"/>
      <c r="K150" s="704" t="s">
        <v>171</v>
      </c>
      <c r="L150" s="705"/>
      <c r="M150" s="705"/>
      <c r="N150" s="706"/>
      <c r="O150" s="704" t="s">
        <v>171</v>
      </c>
      <c r="P150" s="705"/>
      <c r="Q150" s="705"/>
      <c r="R150" s="706"/>
      <c r="S150" s="704" t="s">
        <v>171</v>
      </c>
      <c r="T150" s="705"/>
      <c r="U150" s="705"/>
      <c r="V150" s="1063"/>
      <c r="W150" s="704" t="s">
        <v>171</v>
      </c>
      <c r="X150" s="1063"/>
      <c r="Y150" s="705"/>
      <c r="Z150" s="706"/>
      <c r="AA150" s="704" t="s">
        <v>171</v>
      </c>
      <c r="AB150" s="1063"/>
      <c r="AC150" s="705"/>
      <c r="AD150" s="706"/>
      <c r="AE150" s="707" t="s">
        <v>212</v>
      </c>
      <c r="AF150" s="705"/>
      <c r="AG150" s="705"/>
      <c r="AH150" s="1063"/>
      <c r="AI150" s="1064"/>
    </row>
    <row r="151" spans="1:35" ht="22.35" customHeight="1" x14ac:dyDescent="0.2">
      <c r="A151" s="108"/>
      <c r="B151" s="169"/>
      <c r="C151" s="171"/>
      <c r="D151" s="171"/>
      <c r="E151" s="171"/>
      <c r="F151" s="171"/>
      <c r="G151" s="171"/>
      <c r="H151" s="171"/>
      <c r="I151" s="171"/>
      <c r="J151" s="171"/>
      <c r="K151" s="171"/>
      <c r="L151" s="171"/>
      <c r="M151" s="171"/>
      <c r="N151" s="171"/>
      <c r="O151" s="171"/>
      <c r="P151" s="171"/>
      <c r="Q151" s="171"/>
      <c r="R151" s="171"/>
      <c r="S151" s="171"/>
      <c r="T151" s="171"/>
      <c r="U151" s="171"/>
      <c r="V151" s="171"/>
      <c r="W151" s="171"/>
      <c r="X151" s="171"/>
      <c r="Y151" s="171"/>
      <c r="Z151" s="171"/>
      <c r="AA151" s="171"/>
      <c r="AB151" s="171"/>
      <c r="AC151" s="171"/>
      <c r="AD151" s="171"/>
      <c r="AE151" s="171"/>
      <c r="AF151" s="171"/>
      <c r="AG151" s="171"/>
      <c r="AH151" s="170"/>
      <c r="AI151" s="170"/>
    </row>
    <row r="152" spans="1:35" ht="22.35" customHeight="1" thickBot="1" x14ac:dyDescent="0.25">
      <c r="A152" s="981"/>
      <c r="B152" s="954" t="s">
        <v>29</v>
      </c>
      <c r="C152" s="1573">
        <v>1</v>
      </c>
      <c r="D152" s="1573">
        <v>2</v>
      </c>
      <c r="E152" s="1573">
        <v>3</v>
      </c>
      <c r="F152" s="1573">
        <v>4</v>
      </c>
      <c r="G152" s="1573">
        <v>5</v>
      </c>
      <c r="H152" s="1574">
        <v>6</v>
      </c>
      <c r="I152" s="1574">
        <v>7</v>
      </c>
      <c r="J152" s="1573">
        <v>8</v>
      </c>
      <c r="K152" s="1573">
        <v>9</v>
      </c>
      <c r="L152" s="1573">
        <v>10</v>
      </c>
      <c r="M152" s="1573">
        <v>11</v>
      </c>
      <c r="N152" s="1573">
        <v>12</v>
      </c>
      <c r="O152" s="1574">
        <v>13</v>
      </c>
      <c r="P152" s="1574">
        <v>14</v>
      </c>
      <c r="Q152" s="1573">
        <v>15</v>
      </c>
      <c r="R152" s="1573">
        <v>16</v>
      </c>
      <c r="S152" s="1573">
        <v>17</v>
      </c>
      <c r="T152" s="1573">
        <v>18</v>
      </c>
      <c r="U152" s="1573">
        <v>19</v>
      </c>
      <c r="V152" s="1574">
        <v>20</v>
      </c>
      <c r="W152" s="1574">
        <v>21</v>
      </c>
      <c r="X152" s="1573">
        <v>22</v>
      </c>
      <c r="Y152" s="1573">
        <v>23</v>
      </c>
      <c r="Z152" s="1573">
        <v>24</v>
      </c>
      <c r="AA152" s="1573">
        <v>25</v>
      </c>
      <c r="AB152" s="1573">
        <v>26</v>
      </c>
      <c r="AC152" s="1574">
        <v>27</v>
      </c>
      <c r="AD152" s="1574">
        <v>28</v>
      </c>
      <c r="AE152" s="1573">
        <v>29</v>
      </c>
      <c r="AF152" s="1573">
        <v>30</v>
      </c>
      <c r="AG152" s="1575">
        <v>31</v>
      </c>
      <c r="AH152" s="173"/>
      <c r="AI152" s="174"/>
    </row>
    <row r="153" spans="1:35" ht="22.35" customHeight="1" thickBot="1" x14ac:dyDescent="0.25">
      <c r="A153" s="708">
        <v>1</v>
      </c>
      <c r="B153" s="215" t="s">
        <v>213</v>
      </c>
      <c r="C153" s="709">
        <v>23</v>
      </c>
      <c r="D153" s="709">
        <v>23</v>
      </c>
      <c r="E153" s="709">
        <v>23</v>
      </c>
      <c r="F153" s="709">
        <v>23</v>
      </c>
      <c r="G153" s="710">
        <v>23</v>
      </c>
      <c r="H153" s="709">
        <v>23</v>
      </c>
      <c r="I153" s="711">
        <v>23</v>
      </c>
      <c r="J153" s="710" t="s">
        <v>36</v>
      </c>
      <c r="K153" s="709" t="s">
        <v>36</v>
      </c>
      <c r="L153" s="711" t="s">
        <v>36</v>
      </c>
      <c r="M153" s="710" t="s">
        <v>36</v>
      </c>
      <c r="N153" s="710" t="s">
        <v>36</v>
      </c>
      <c r="O153" s="709"/>
      <c r="P153" s="709"/>
      <c r="Q153" s="709">
        <v>21</v>
      </c>
      <c r="R153" s="709">
        <v>21</v>
      </c>
      <c r="S153" s="709">
        <v>21</v>
      </c>
      <c r="T153" s="709">
        <v>21</v>
      </c>
      <c r="U153" s="709">
        <v>21</v>
      </c>
      <c r="V153" s="709">
        <v>21</v>
      </c>
      <c r="W153" s="711">
        <v>21</v>
      </c>
      <c r="X153" s="709" t="s">
        <v>36</v>
      </c>
      <c r="Y153" s="987" t="s">
        <v>36</v>
      </c>
      <c r="Z153" s="711" t="s">
        <v>36</v>
      </c>
      <c r="AA153" s="709" t="s">
        <v>36</v>
      </c>
      <c r="AB153" s="709" t="s">
        <v>36</v>
      </c>
      <c r="AC153" s="709"/>
      <c r="AD153" s="709"/>
      <c r="AE153" s="709">
        <v>22</v>
      </c>
      <c r="AF153" s="709">
        <v>22</v>
      </c>
      <c r="AG153" s="712">
        <v>22</v>
      </c>
      <c r="AH153" s="107"/>
      <c r="AI153" s="107"/>
    </row>
    <row r="154" spans="1:35" ht="22.35" customHeight="1" x14ac:dyDescent="0.2">
      <c r="A154" s="1086">
        <v>2</v>
      </c>
      <c r="B154" s="1578" t="s">
        <v>214</v>
      </c>
      <c r="C154" s="1581">
        <v>21</v>
      </c>
      <c r="D154" s="1581">
        <v>21</v>
      </c>
      <c r="E154" s="1581">
        <v>21</v>
      </c>
      <c r="F154" s="1581">
        <v>21</v>
      </c>
      <c r="G154" s="1581">
        <v>21</v>
      </c>
      <c r="H154" s="1581">
        <v>21</v>
      </c>
      <c r="I154" s="1625">
        <v>21</v>
      </c>
      <c r="J154" s="1581" t="s">
        <v>36</v>
      </c>
      <c r="K154" s="1581" t="s">
        <v>36</v>
      </c>
      <c r="L154" s="1625" t="s">
        <v>36</v>
      </c>
      <c r="M154" s="1628" t="s">
        <v>36</v>
      </c>
      <c r="N154" s="1628" t="s">
        <v>36</v>
      </c>
      <c r="O154" s="1628"/>
      <c r="P154" s="1628"/>
      <c r="Q154" s="1584">
        <v>22</v>
      </c>
      <c r="R154" s="1584">
        <v>22</v>
      </c>
      <c r="S154" s="1584">
        <v>22</v>
      </c>
      <c r="T154" s="1584">
        <v>22</v>
      </c>
      <c r="U154" s="1584">
        <v>22</v>
      </c>
      <c r="V154" s="1584">
        <v>22</v>
      </c>
      <c r="W154" s="1584">
        <v>22</v>
      </c>
      <c r="X154" s="1584" t="s">
        <v>36</v>
      </c>
      <c r="Y154" s="1584" t="s">
        <v>36</v>
      </c>
      <c r="Z154" s="1584" t="s">
        <v>36</v>
      </c>
      <c r="AA154" s="1584" t="s">
        <v>36</v>
      </c>
      <c r="AB154" s="1584" t="s">
        <v>36</v>
      </c>
      <c r="AC154" s="1584"/>
      <c r="AD154" s="1584"/>
      <c r="AE154" s="1584">
        <v>23</v>
      </c>
      <c r="AF154" s="1584">
        <v>23</v>
      </c>
      <c r="AG154" s="968">
        <v>23</v>
      </c>
      <c r="AH154" s="107"/>
      <c r="AI154" s="107"/>
    </row>
    <row r="155" spans="1:35" ht="22.35" customHeight="1" thickBot="1" x14ac:dyDescent="0.25">
      <c r="A155" s="1086">
        <v>3</v>
      </c>
      <c r="B155" s="1578" t="s">
        <v>362</v>
      </c>
      <c r="C155" s="965">
        <v>22</v>
      </c>
      <c r="D155" s="965">
        <v>22</v>
      </c>
      <c r="E155" s="965">
        <v>22</v>
      </c>
      <c r="F155" s="965">
        <v>22</v>
      </c>
      <c r="G155" s="965">
        <v>22</v>
      </c>
      <c r="H155" s="965">
        <v>22</v>
      </c>
      <c r="I155" s="965">
        <v>22</v>
      </c>
      <c r="J155" s="965" t="s">
        <v>36</v>
      </c>
      <c r="K155" s="965" t="s">
        <v>36</v>
      </c>
      <c r="L155" s="965" t="s">
        <v>36</v>
      </c>
      <c r="M155" s="965" t="s">
        <v>36</v>
      </c>
      <c r="N155" s="965" t="s">
        <v>36</v>
      </c>
      <c r="O155" s="965"/>
      <c r="P155" s="965"/>
      <c r="Q155" s="1581">
        <v>23</v>
      </c>
      <c r="R155" s="980">
        <v>23</v>
      </c>
      <c r="S155" s="980">
        <v>23</v>
      </c>
      <c r="T155" s="1581">
        <v>23</v>
      </c>
      <c r="U155" s="1628">
        <v>23</v>
      </c>
      <c r="V155" s="1628">
        <v>23</v>
      </c>
      <c r="W155" s="1625">
        <v>23</v>
      </c>
      <c r="X155" s="1581" t="s">
        <v>36</v>
      </c>
      <c r="Y155" s="987" t="s">
        <v>36</v>
      </c>
      <c r="Z155" s="1625" t="s">
        <v>36</v>
      </c>
      <c r="AA155" s="1581" t="s">
        <v>36</v>
      </c>
      <c r="AB155" s="1581" t="s">
        <v>36</v>
      </c>
      <c r="AC155" s="1581"/>
      <c r="AD155" s="1581"/>
      <c r="AE155" s="1581">
        <v>21</v>
      </c>
      <c r="AF155" s="1581">
        <v>21</v>
      </c>
      <c r="AG155" s="1088">
        <v>21</v>
      </c>
      <c r="AH155" s="107"/>
      <c r="AI155" s="107"/>
    </row>
    <row r="156" spans="1:35" ht="22.35" customHeight="1" x14ac:dyDescent="0.2">
      <c r="A156" s="1086">
        <v>4</v>
      </c>
      <c r="B156" s="1578" t="s">
        <v>0</v>
      </c>
      <c r="C156" s="1581" t="s">
        <v>36</v>
      </c>
      <c r="D156" s="1581" t="s">
        <v>36</v>
      </c>
      <c r="E156" s="1625" t="s">
        <v>36</v>
      </c>
      <c r="F156" s="1581" t="s">
        <v>36</v>
      </c>
      <c r="G156" s="1581" t="s">
        <v>36</v>
      </c>
      <c r="H156" s="1581"/>
      <c r="I156" s="1581"/>
      <c r="J156" s="1581">
        <v>23</v>
      </c>
      <c r="K156" s="1581">
        <v>23</v>
      </c>
      <c r="L156" s="1581">
        <v>23</v>
      </c>
      <c r="M156" s="1581">
        <v>23</v>
      </c>
      <c r="N156" s="1581">
        <v>23</v>
      </c>
      <c r="O156" s="1626">
        <v>23</v>
      </c>
      <c r="P156" s="1626">
        <v>23</v>
      </c>
      <c r="Q156" s="1626" t="s">
        <v>36</v>
      </c>
      <c r="R156" s="1626" t="s">
        <v>36</v>
      </c>
      <c r="S156" s="1626" t="s">
        <v>36</v>
      </c>
      <c r="T156" s="1626" t="s">
        <v>36</v>
      </c>
      <c r="U156" s="1626" t="s">
        <v>36</v>
      </c>
      <c r="V156" s="1626"/>
      <c r="W156" s="1581"/>
      <c r="X156" s="1581">
        <v>21</v>
      </c>
      <c r="Y156" s="1581">
        <v>21</v>
      </c>
      <c r="Z156" s="1581">
        <v>21</v>
      </c>
      <c r="AA156" s="1581">
        <v>21</v>
      </c>
      <c r="AB156" s="1581">
        <v>21</v>
      </c>
      <c r="AC156" s="1581">
        <v>21</v>
      </c>
      <c r="AD156" s="1625">
        <v>21</v>
      </c>
      <c r="AE156" s="1581" t="s">
        <v>36</v>
      </c>
      <c r="AF156" s="1581" t="s">
        <v>36</v>
      </c>
      <c r="AG156" s="978" t="s">
        <v>36</v>
      </c>
      <c r="AH156" s="107"/>
      <c r="AI156" s="107"/>
    </row>
    <row r="157" spans="1:35" ht="22.35" customHeight="1" thickBot="1" x14ac:dyDescent="0.25">
      <c r="A157" s="1086">
        <v>5</v>
      </c>
      <c r="B157" s="1578" t="s">
        <v>217</v>
      </c>
      <c r="C157" s="1581" t="s">
        <v>36</v>
      </c>
      <c r="D157" s="1581" t="s">
        <v>36</v>
      </c>
      <c r="E157" s="1625" t="s">
        <v>36</v>
      </c>
      <c r="F157" s="1628" t="s">
        <v>36</v>
      </c>
      <c r="G157" s="1581" t="s">
        <v>36</v>
      </c>
      <c r="H157" s="1581"/>
      <c r="I157" s="1581"/>
      <c r="J157" s="1581">
        <v>21</v>
      </c>
      <c r="K157" s="1581">
        <v>21</v>
      </c>
      <c r="L157" s="1581">
        <v>21</v>
      </c>
      <c r="M157" s="1581">
        <v>21</v>
      </c>
      <c r="N157" s="1581">
        <v>21</v>
      </c>
      <c r="O157" s="1581">
        <v>21</v>
      </c>
      <c r="P157" s="1625">
        <v>21</v>
      </c>
      <c r="Q157" s="1581" t="s">
        <v>36</v>
      </c>
      <c r="R157" s="1581" t="s">
        <v>36</v>
      </c>
      <c r="S157" s="1581" t="s">
        <v>36</v>
      </c>
      <c r="T157" s="987" t="s">
        <v>36</v>
      </c>
      <c r="U157" s="1581" t="s">
        <v>36</v>
      </c>
      <c r="V157" s="1581"/>
      <c r="W157" s="1581"/>
      <c r="X157" s="1581">
        <v>22</v>
      </c>
      <c r="Y157" s="1581">
        <v>22</v>
      </c>
      <c r="Z157" s="1581">
        <v>22</v>
      </c>
      <c r="AA157" s="1581">
        <v>22</v>
      </c>
      <c r="AB157" s="1581">
        <v>22</v>
      </c>
      <c r="AC157" s="1628">
        <v>22</v>
      </c>
      <c r="AD157" s="1628">
        <v>22</v>
      </c>
      <c r="AE157" s="1628" t="s">
        <v>36</v>
      </c>
      <c r="AF157" s="1581" t="s">
        <v>36</v>
      </c>
      <c r="AG157" s="978" t="s">
        <v>36</v>
      </c>
      <c r="AH157" s="107"/>
      <c r="AI157" s="107"/>
    </row>
    <row r="158" spans="1:35" ht="22.35" customHeight="1" thickBot="1" x14ac:dyDescent="0.25">
      <c r="A158" s="1090">
        <v>6</v>
      </c>
      <c r="B158" s="1091" t="s">
        <v>218</v>
      </c>
      <c r="C158" s="863" t="s">
        <v>36</v>
      </c>
      <c r="D158" s="863" t="s">
        <v>36</v>
      </c>
      <c r="E158" s="1092" t="s">
        <v>36</v>
      </c>
      <c r="F158" s="863" t="s">
        <v>36</v>
      </c>
      <c r="G158" s="863" t="s">
        <v>36</v>
      </c>
      <c r="H158" s="1093"/>
      <c r="I158" s="1093"/>
      <c r="J158" s="1093">
        <v>22</v>
      </c>
      <c r="K158" s="1093">
        <v>22</v>
      </c>
      <c r="L158" s="1093">
        <v>22</v>
      </c>
      <c r="M158" s="1093">
        <v>22</v>
      </c>
      <c r="N158" s="865">
        <v>22</v>
      </c>
      <c r="O158" s="865">
        <v>22</v>
      </c>
      <c r="P158" s="1092">
        <v>22</v>
      </c>
      <c r="Q158" s="863" t="s">
        <v>36</v>
      </c>
      <c r="R158" s="863" t="s">
        <v>36</v>
      </c>
      <c r="S158" s="1581" t="s">
        <v>36</v>
      </c>
      <c r="T158" s="987" t="s">
        <v>36</v>
      </c>
      <c r="U158" s="863" t="s">
        <v>36</v>
      </c>
      <c r="V158" s="863"/>
      <c r="W158" s="863"/>
      <c r="X158" s="863">
        <v>23</v>
      </c>
      <c r="Y158" s="863">
        <v>23</v>
      </c>
      <c r="Z158" s="863">
        <v>23</v>
      </c>
      <c r="AA158" s="863">
        <v>23</v>
      </c>
      <c r="AB158" s="865">
        <v>23</v>
      </c>
      <c r="AC158" s="865">
        <v>23</v>
      </c>
      <c r="AD158" s="1092">
        <v>23</v>
      </c>
      <c r="AE158" s="863" t="s">
        <v>36</v>
      </c>
      <c r="AF158" s="863" t="s">
        <v>36</v>
      </c>
      <c r="AG158" s="1094" t="s">
        <v>36</v>
      </c>
      <c r="AH158" s="107"/>
      <c r="AI158" s="107"/>
    </row>
    <row r="159" spans="1:35" ht="22.35" customHeight="1" x14ac:dyDescent="0.2">
      <c r="A159" s="200"/>
      <c r="B159" s="198"/>
      <c r="C159" s="199"/>
      <c r="D159" s="199"/>
      <c r="E159" s="216"/>
      <c r="F159" s="199"/>
      <c r="G159" s="199"/>
      <c r="H159" s="221"/>
      <c r="I159" s="221"/>
      <c r="J159" s="221"/>
      <c r="K159" s="221"/>
      <c r="L159" s="221"/>
      <c r="M159" s="221"/>
      <c r="N159" s="192"/>
      <c r="O159" s="192"/>
      <c r="P159" s="216"/>
      <c r="Q159" s="199"/>
      <c r="R159" s="199"/>
      <c r="S159" s="216"/>
      <c r="T159" s="199"/>
      <c r="U159" s="199"/>
      <c r="V159" s="199"/>
      <c r="W159" s="199"/>
      <c r="X159" s="199"/>
      <c r="Y159" s="199"/>
      <c r="Z159" s="199"/>
      <c r="AA159" s="199"/>
      <c r="AB159" s="192"/>
      <c r="AC159" s="192"/>
      <c r="AD159" s="216"/>
      <c r="AE159" s="199"/>
      <c r="AF159" s="199"/>
      <c r="AG159" s="216"/>
      <c r="AH159" s="107"/>
      <c r="AI159" s="107"/>
    </row>
    <row r="160" spans="1:35" ht="22.35" customHeight="1" x14ac:dyDescent="0.2">
      <c r="A160" s="109"/>
      <c r="B160" s="110"/>
      <c r="C160" s="183"/>
      <c r="D160" s="183"/>
      <c r="E160" s="168"/>
      <c r="F160" s="183"/>
      <c r="G160" s="183"/>
      <c r="H160" s="183"/>
      <c r="I160" s="183"/>
      <c r="J160" s="183"/>
      <c r="K160" s="183"/>
      <c r="L160" s="183"/>
      <c r="M160" s="183"/>
      <c r="N160" s="183"/>
      <c r="O160" s="183"/>
      <c r="P160" s="168"/>
      <c r="Q160" s="183"/>
      <c r="R160" s="183"/>
      <c r="S160" s="168"/>
      <c r="T160" s="183"/>
      <c r="U160" s="183"/>
      <c r="V160" s="183"/>
      <c r="W160" s="183"/>
      <c r="X160" s="183"/>
      <c r="Y160" s="183"/>
      <c r="Z160" s="183"/>
      <c r="AA160" s="183"/>
      <c r="AB160" s="183"/>
      <c r="AC160" s="184"/>
      <c r="AD160" s="184"/>
      <c r="AE160" s="184"/>
      <c r="AF160" s="183"/>
      <c r="AG160" s="168"/>
      <c r="AH160" s="107"/>
      <c r="AI160" s="107"/>
    </row>
    <row r="161" spans="1:35" ht="22.35" customHeight="1" thickBot="1" x14ac:dyDescent="0.25">
      <c r="A161" s="158" t="s">
        <v>219</v>
      </c>
      <c r="D161" s="72"/>
      <c r="E161" s="72"/>
      <c r="F161" s="72"/>
      <c r="G161" s="105"/>
      <c r="H161" s="72"/>
      <c r="I161" s="72"/>
      <c r="J161" s="72"/>
      <c r="K161" s="72"/>
      <c r="L161" s="72"/>
      <c r="M161" s="72"/>
      <c r="N161" s="72"/>
      <c r="O161" s="72"/>
      <c r="P161" s="72"/>
      <c r="Q161" s="72"/>
      <c r="R161" s="72"/>
      <c r="S161" s="72"/>
      <c r="T161" s="72"/>
      <c r="U161" s="72"/>
      <c r="V161" s="72"/>
      <c r="W161" s="72"/>
      <c r="X161" s="72"/>
      <c r="Y161" s="72"/>
      <c r="Z161" s="72"/>
      <c r="AA161" s="72"/>
      <c r="AB161" s="72"/>
      <c r="AC161" s="72"/>
      <c r="AD161" s="72"/>
      <c r="AE161" s="72"/>
      <c r="AF161" s="72"/>
      <c r="AG161" s="72"/>
    </row>
    <row r="162" spans="1:35" ht="22.35" customHeight="1" x14ac:dyDescent="0.2">
      <c r="A162" s="1"/>
      <c r="B162" s="700" t="s">
        <v>186</v>
      </c>
      <c r="C162" s="1700"/>
      <c r="D162" s="1720" t="s">
        <v>107</v>
      </c>
      <c r="E162" s="1639"/>
      <c r="F162" s="694"/>
      <c r="G162" s="1700"/>
      <c r="H162" s="1720" t="s">
        <v>108</v>
      </c>
      <c r="I162" s="1639"/>
      <c r="J162" s="694"/>
      <c r="K162" s="1700"/>
      <c r="L162" s="1720" t="s">
        <v>109</v>
      </c>
      <c r="M162" s="1639"/>
      <c r="N162" s="694"/>
      <c r="O162" s="1700"/>
      <c r="P162" s="1720" t="s">
        <v>110</v>
      </c>
      <c r="Q162" s="1639"/>
      <c r="R162" s="694"/>
      <c r="S162" s="1700"/>
      <c r="T162" s="1720" t="s">
        <v>111</v>
      </c>
      <c r="U162" s="1639"/>
      <c r="V162" s="694"/>
      <c r="W162" s="1700"/>
      <c r="X162" s="1720" t="s">
        <v>112</v>
      </c>
      <c r="Y162" s="1639"/>
      <c r="Z162" s="694"/>
      <c r="AA162" s="1700"/>
      <c r="AB162" s="1720" t="s">
        <v>113</v>
      </c>
      <c r="AC162" s="1639"/>
      <c r="AD162" s="1639"/>
      <c r="AE162" s="1723" t="s">
        <v>114</v>
      </c>
      <c r="AF162" s="1639"/>
      <c r="AG162" s="1639"/>
      <c r="AH162" s="1639"/>
      <c r="AI162" s="1640"/>
    </row>
    <row r="163" spans="1:35" ht="22.35" customHeight="1" x14ac:dyDescent="0.2">
      <c r="A163" s="1"/>
      <c r="B163" s="737" t="s">
        <v>159</v>
      </c>
      <c r="C163" s="735" t="s">
        <v>187</v>
      </c>
      <c r="D163" s="1555"/>
      <c r="E163" s="1555"/>
      <c r="F163" s="1048"/>
      <c r="G163" s="735" t="s">
        <v>187</v>
      </c>
      <c r="H163" s="1555"/>
      <c r="I163" s="1555"/>
      <c r="J163" s="1048"/>
      <c r="K163" s="735" t="s">
        <v>187</v>
      </c>
      <c r="L163" s="1555"/>
      <c r="M163" s="1555"/>
      <c r="N163" s="1048"/>
      <c r="O163" s="735" t="s">
        <v>220</v>
      </c>
      <c r="P163" s="1555"/>
      <c r="Q163" s="1555"/>
      <c r="R163" s="1048"/>
      <c r="S163" s="735" t="s">
        <v>171</v>
      </c>
      <c r="T163" s="1555"/>
      <c r="U163" s="1555"/>
      <c r="V163" s="1048"/>
      <c r="W163" s="1095"/>
      <c r="X163" s="1096"/>
      <c r="Y163" s="1096"/>
      <c r="Z163" s="1050"/>
      <c r="AA163" s="1046"/>
      <c r="AB163" s="1555"/>
      <c r="AC163" s="1555"/>
      <c r="AD163" s="945"/>
      <c r="AE163" s="736">
        <v>27</v>
      </c>
      <c r="AF163" s="1555"/>
      <c r="AG163" s="1555"/>
      <c r="AH163" s="945"/>
      <c r="AI163" s="1564"/>
    </row>
    <row r="164" spans="1:35" ht="22.35" customHeight="1" x14ac:dyDescent="0.2">
      <c r="A164" s="1"/>
      <c r="B164" s="737" t="s">
        <v>163</v>
      </c>
      <c r="C164" s="735" t="s">
        <v>221</v>
      </c>
      <c r="D164" s="1555"/>
      <c r="E164" s="1555"/>
      <c r="F164" s="1048"/>
      <c r="G164" s="735" t="s">
        <v>221</v>
      </c>
      <c r="H164" s="1555"/>
      <c r="I164" s="1555"/>
      <c r="J164" s="1048"/>
      <c r="K164" s="735" t="s">
        <v>221</v>
      </c>
      <c r="L164" s="1555"/>
      <c r="M164" s="1555"/>
      <c r="N164" s="1048"/>
      <c r="O164" s="735" t="s">
        <v>221</v>
      </c>
      <c r="P164" s="1555"/>
      <c r="Q164" s="1555"/>
      <c r="R164" s="1048"/>
      <c r="S164" s="735" t="s">
        <v>187</v>
      </c>
      <c r="T164" s="1555"/>
      <c r="U164" s="1555"/>
      <c r="V164" s="1048"/>
      <c r="W164" s="735"/>
      <c r="X164" s="1555"/>
      <c r="Y164" s="1555"/>
      <c r="Z164" s="1048"/>
      <c r="AA164" s="1555"/>
      <c r="AB164" s="1555"/>
      <c r="AC164" s="1555"/>
      <c r="AD164" s="945"/>
      <c r="AE164" s="736">
        <v>39</v>
      </c>
      <c r="AF164" s="1555"/>
      <c r="AG164" s="1555"/>
      <c r="AH164" s="945"/>
      <c r="AI164" s="1564"/>
    </row>
    <row r="165" spans="1:35" ht="22.35" customHeight="1" x14ac:dyDescent="0.2">
      <c r="A165" s="1"/>
      <c r="B165" s="737" t="s">
        <v>170</v>
      </c>
      <c r="C165" s="735" t="s">
        <v>221</v>
      </c>
      <c r="D165" s="1555"/>
      <c r="E165" s="1555"/>
      <c r="F165" s="1048"/>
      <c r="G165" s="735" t="s">
        <v>221</v>
      </c>
      <c r="H165" s="1555"/>
      <c r="I165" s="1555"/>
      <c r="J165" s="1048"/>
      <c r="K165" s="735" t="s">
        <v>221</v>
      </c>
      <c r="L165" s="1555"/>
      <c r="M165" s="1555"/>
      <c r="N165" s="1048"/>
      <c r="O165" s="735" t="s">
        <v>221</v>
      </c>
      <c r="P165" s="1555"/>
      <c r="Q165" s="1555"/>
      <c r="R165" s="1048"/>
      <c r="S165" s="735" t="s">
        <v>221</v>
      </c>
      <c r="T165" s="1555"/>
      <c r="U165" s="1555"/>
      <c r="V165" s="1048"/>
      <c r="W165" s="946" t="s">
        <v>222</v>
      </c>
      <c r="X165" s="1568"/>
      <c r="Y165" s="1568"/>
      <c r="Z165" s="1726"/>
      <c r="AA165" s="1052"/>
      <c r="AB165" s="1568"/>
      <c r="AC165" s="1568"/>
      <c r="AD165" s="1668"/>
      <c r="AE165" s="736">
        <v>45</v>
      </c>
      <c r="AF165" s="1555"/>
      <c r="AG165" s="1555"/>
      <c r="AH165" s="945"/>
      <c r="AI165" s="1564"/>
    </row>
    <row r="166" spans="1:35" ht="22.35" customHeight="1" thickBot="1" x14ac:dyDescent="0.25">
      <c r="A166" s="1"/>
      <c r="B166" s="223" t="s">
        <v>172</v>
      </c>
      <c r="C166" s="704"/>
      <c r="D166" s="734"/>
      <c r="E166" s="734"/>
      <c r="F166" s="706"/>
      <c r="G166" s="704"/>
      <c r="H166" s="734"/>
      <c r="I166" s="734"/>
      <c r="J166" s="706"/>
      <c r="K166" s="704"/>
      <c r="L166" s="734"/>
      <c r="M166" s="734"/>
      <c r="N166" s="706"/>
      <c r="O166" s="704"/>
      <c r="P166" s="734"/>
      <c r="Q166" s="734"/>
      <c r="R166" s="706"/>
      <c r="S166" s="704"/>
      <c r="T166" s="734"/>
      <c r="U166" s="734"/>
      <c r="V166" s="1063"/>
      <c r="W166" s="704"/>
      <c r="X166" s="1063"/>
      <c r="Y166" s="734"/>
      <c r="Z166" s="706"/>
      <c r="AA166" s="704"/>
      <c r="AB166" s="1063"/>
      <c r="AC166" s="734"/>
      <c r="AD166" s="706"/>
      <c r="AE166" s="713"/>
      <c r="AF166" s="734"/>
      <c r="AG166" s="734"/>
      <c r="AH166" s="1063"/>
      <c r="AI166" s="894"/>
    </row>
    <row r="167" spans="1:35" ht="22.35" customHeight="1" x14ac:dyDescent="0.2">
      <c r="A167" s="108"/>
      <c r="B167" s="1"/>
      <c r="C167" s="72"/>
      <c r="D167" s="72"/>
      <c r="E167" s="72"/>
      <c r="F167" s="72"/>
      <c r="G167" s="72"/>
      <c r="H167" s="72"/>
      <c r="I167" s="72"/>
      <c r="J167" s="72"/>
      <c r="K167" s="72"/>
      <c r="L167" s="72"/>
      <c r="M167" s="72"/>
      <c r="N167" s="72"/>
      <c r="O167" s="72"/>
      <c r="P167" s="72"/>
      <c r="Q167" s="72"/>
      <c r="R167" s="72"/>
      <c r="S167" s="72"/>
      <c r="T167" s="72"/>
      <c r="U167" s="72"/>
      <c r="V167" s="72"/>
      <c r="W167" s="72"/>
      <c r="X167" s="72"/>
      <c r="Y167" s="72"/>
      <c r="Z167" s="72"/>
      <c r="AA167" s="72"/>
      <c r="AB167" s="72"/>
      <c r="AC167" s="72"/>
      <c r="AD167" s="72"/>
      <c r="AE167" s="72"/>
      <c r="AF167" s="72"/>
      <c r="AG167" s="72"/>
    </row>
    <row r="168" spans="1:35" ht="22.35" customHeight="1" thickBot="1" x14ac:dyDescent="0.25">
      <c r="A168" s="981"/>
      <c r="B168" s="748" t="s">
        <v>29</v>
      </c>
      <c r="C168" s="1274">
        <v>1</v>
      </c>
      <c r="D168" s="1274">
        <v>2</v>
      </c>
      <c r="E168" s="1274">
        <v>3</v>
      </c>
      <c r="F168" s="1274">
        <v>4</v>
      </c>
      <c r="G168" s="1274">
        <v>5</v>
      </c>
      <c r="H168" s="1275">
        <v>6</v>
      </c>
      <c r="I168" s="1275">
        <v>7</v>
      </c>
      <c r="J168" s="1274">
        <v>8</v>
      </c>
      <c r="K168" s="1274">
        <v>9</v>
      </c>
      <c r="L168" s="1274">
        <v>10</v>
      </c>
      <c r="M168" s="1274">
        <v>11</v>
      </c>
      <c r="N168" s="1274">
        <v>12</v>
      </c>
      <c r="O168" s="1275">
        <v>13</v>
      </c>
      <c r="P168" s="1275">
        <v>14</v>
      </c>
      <c r="Q168" s="1274">
        <v>15</v>
      </c>
      <c r="R168" s="1274">
        <v>16</v>
      </c>
      <c r="S168" s="1274">
        <v>17</v>
      </c>
      <c r="T168" s="1274">
        <v>18</v>
      </c>
      <c r="U168" s="1274">
        <v>19</v>
      </c>
      <c r="V168" s="1275">
        <v>20</v>
      </c>
      <c r="W168" s="1275">
        <v>21</v>
      </c>
      <c r="X168" s="1274">
        <v>22</v>
      </c>
      <c r="Y168" s="1274">
        <v>23</v>
      </c>
      <c r="Z168" s="1274">
        <v>24</v>
      </c>
      <c r="AA168" s="1274">
        <v>25</v>
      </c>
      <c r="AB168" s="1274">
        <v>26</v>
      </c>
      <c r="AC168" s="1275">
        <v>27</v>
      </c>
      <c r="AD168" s="1275">
        <v>28</v>
      </c>
      <c r="AE168" s="1274">
        <v>29</v>
      </c>
      <c r="AF168" s="1274">
        <v>30</v>
      </c>
      <c r="AG168" s="1276">
        <v>31</v>
      </c>
      <c r="AH168" s="173"/>
      <c r="AI168" s="174"/>
    </row>
    <row r="169" spans="1:35" ht="22.35" customHeight="1" x14ac:dyDescent="0.2">
      <c r="A169" s="1701">
        <v>1</v>
      </c>
      <c r="B169" s="1736" t="s">
        <v>223</v>
      </c>
      <c r="C169" s="1737" t="s">
        <v>32</v>
      </c>
      <c r="D169" s="1737" t="s">
        <v>32</v>
      </c>
      <c r="E169" s="709" t="s">
        <v>32</v>
      </c>
      <c r="F169" s="709" t="s">
        <v>32</v>
      </c>
      <c r="G169" s="709" t="s">
        <v>32</v>
      </c>
      <c r="H169" s="709"/>
      <c r="I169" s="709"/>
      <c r="J169" s="710" t="s">
        <v>32</v>
      </c>
      <c r="K169" s="709" t="s">
        <v>32</v>
      </c>
      <c r="L169" s="710" t="s">
        <v>32</v>
      </c>
      <c r="M169" s="710" t="s">
        <v>32</v>
      </c>
      <c r="N169" s="1738" t="s">
        <v>32</v>
      </c>
      <c r="O169" s="1738"/>
      <c r="P169" s="710"/>
      <c r="Q169" s="1739" t="s">
        <v>32</v>
      </c>
      <c r="R169" s="710" t="s">
        <v>32</v>
      </c>
      <c r="S169" s="1739" t="s">
        <v>32</v>
      </c>
      <c r="T169" s="1739" t="s">
        <v>32</v>
      </c>
      <c r="U169" s="1739" t="s">
        <v>32</v>
      </c>
      <c r="V169" s="1739"/>
      <c r="W169" s="709"/>
      <c r="X169" s="1737" t="s">
        <v>32</v>
      </c>
      <c r="Y169" s="1737" t="s">
        <v>32</v>
      </c>
      <c r="Z169" t="s">
        <v>32</v>
      </c>
      <c r="AA169" s="1739" t="s">
        <v>32</v>
      </c>
      <c r="AB169" s="710" t="s">
        <v>32</v>
      </c>
      <c r="AC169" s="1739"/>
      <c r="AD169" s="1739"/>
      <c r="AE169" s="1739" t="s">
        <v>32</v>
      </c>
      <c r="AF169" s="1739" t="s">
        <v>32</v>
      </c>
      <c r="AG169" s="1740" t="s">
        <v>32</v>
      </c>
      <c r="AH169" s="203"/>
      <c r="AI169" s="179"/>
    </row>
    <row r="170" spans="1:35" ht="22.35" customHeight="1" x14ac:dyDescent="0.2">
      <c r="A170" s="1010">
        <v>2</v>
      </c>
      <c r="B170" s="1105" t="s">
        <v>224</v>
      </c>
      <c r="C170" s="1581" t="s">
        <v>154</v>
      </c>
      <c r="D170" s="1581" t="s">
        <v>154</v>
      </c>
      <c r="E170" s="1581" t="s">
        <v>154</v>
      </c>
      <c r="F170" s="1581" t="s">
        <v>154</v>
      </c>
      <c r="G170" s="1581" t="s">
        <v>154</v>
      </c>
      <c r="H170" s="1581" t="s">
        <v>154</v>
      </c>
      <c r="I170" s="1581"/>
      <c r="J170" s="1626" t="s">
        <v>226</v>
      </c>
      <c r="K170" s="1581" t="s">
        <v>226</v>
      </c>
      <c r="L170" s="1581" t="s">
        <v>226</v>
      </c>
      <c r="M170" s="1581" t="s">
        <v>226</v>
      </c>
      <c r="N170" s="1581" t="s">
        <v>36</v>
      </c>
      <c r="O170" s="1581"/>
      <c r="P170" s="1581"/>
      <c r="Q170" s="1581" t="s">
        <v>225</v>
      </c>
      <c r="R170" s="1581" t="s">
        <v>225</v>
      </c>
      <c r="S170" s="1581" t="s">
        <v>225</v>
      </c>
      <c r="T170" s="1581" t="s">
        <v>225</v>
      </c>
      <c r="U170" s="1581" t="s">
        <v>225</v>
      </c>
      <c r="V170" s="1581"/>
      <c r="W170" s="1581"/>
      <c r="X170" s="1581" t="s">
        <v>154</v>
      </c>
      <c r="Y170" t="s">
        <v>154</v>
      </c>
      <c r="Z170" s="1581" t="s">
        <v>154</v>
      </c>
      <c r="AA170" s="1581" t="s">
        <v>154</v>
      </c>
      <c r="AB170" s="1581" t="s">
        <v>154</v>
      </c>
      <c r="AC170" s="1581" t="s">
        <v>154</v>
      </c>
      <c r="AD170" s="1581"/>
      <c r="AE170" s="1581" t="s">
        <v>226</v>
      </c>
      <c r="AF170" s="1581" t="s">
        <v>226</v>
      </c>
      <c r="AG170" s="613" t="s">
        <v>226</v>
      </c>
      <c r="AH170" s="203"/>
      <c r="AI170" s="179"/>
    </row>
    <row r="171" spans="1:35" ht="22.35" customHeight="1" x14ac:dyDescent="0.2">
      <c r="A171" s="1010">
        <v>3</v>
      </c>
      <c r="B171" s="1109" t="s">
        <v>227</v>
      </c>
      <c r="C171" s="1626" t="s">
        <v>226</v>
      </c>
      <c r="D171" s="1581" t="s">
        <v>226</v>
      </c>
      <c r="E171" s="562" t="s">
        <v>226</v>
      </c>
      <c r="F171" s="562" t="s">
        <v>226</v>
      </c>
      <c r="G171" s="1581" t="s">
        <v>36</v>
      </c>
      <c r="H171" s="1581"/>
      <c r="I171" s="1581"/>
      <c r="J171" s="1581" t="s">
        <v>225</v>
      </c>
      <c r="K171" s="1581" t="s">
        <v>225</v>
      </c>
      <c r="L171" s="1581" t="s">
        <v>225</v>
      </c>
      <c r="M171" s="1581" t="s">
        <v>225</v>
      </c>
      <c r="N171" s="1581" t="s">
        <v>225</v>
      </c>
      <c r="O171" s="1581"/>
      <c r="P171" s="1581"/>
      <c r="Q171" s="964" t="s">
        <v>154</v>
      </c>
      <c r="R171" s="964" t="s">
        <v>384</v>
      </c>
      <c r="S171" s="1581" t="s">
        <v>154</v>
      </c>
      <c r="T171" s="1581" t="s">
        <v>154</v>
      </c>
      <c r="U171" s="1581" t="s">
        <v>154</v>
      </c>
      <c r="V171" s="1581" t="s">
        <v>154</v>
      </c>
      <c r="W171" s="1581"/>
      <c r="X171" s="1581" t="s">
        <v>226</v>
      </c>
      <c r="Y171" s="1581" t="s">
        <v>226</v>
      </c>
      <c r="Z171" s="498" t="s">
        <v>226</v>
      </c>
      <c r="AA171" s="557" t="s">
        <v>226</v>
      </c>
      <c r="AB171" t="s">
        <v>36</v>
      </c>
      <c r="AC171" s="1581"/>
      <c r="AD171" s="1581"/>
      <c r="AE171" s="1581" t="s">
        <v>225</v>
      </c>
      <c r="AF171" s="1581" t="s">
        <v>225</v>
      </c>
      <c r="AG171" s="613" t="s">
        <v>225</v>
      </c>
      <c r="AH171" s="203"/>
      <c r="AI171" s="179"/>
    </row>
    <row r="172" spans="1:35" ht="22.35" customHeight="1" x14ac:dyDescent="0.2">
      <c r="A172" s="1010">
        <v>4</v>
      </c>
      <c r="B172" s="1109" t="s">
        <v>228</v>
      </c>
      <c r="C172" s="965"/>
      <c r="D172" s="965" t="s">
        <v>229</v>
      </c>
      <c r="E172" s="965" t="s">
        <v>32</v>
      </c>
      <c r="F172" s="965"/>
      <c r="G172" s="965" t="s">
        <v>32</v>
      </c>
      <c r="H172" s="965"/>
      <c r="I172" s="965"/>
      <c r="J172" s="965"/>
      <c r="K172" s="965" t="s">
        <v>229</v>
      </c>
      <c r="L172" s="965"/>
      <c r="M172" s="965"/>
      <c r="N172" s="965" t="s">
        <v>32</v>
      </c>
      <c r="O172" s="965" t="s">
        <v>154</v>
      </c>
      <c r="P172" s="965"/>
      <c r="Q172" s="1581"/>
      <c r="R172" s="1581" t="s">
        <v>229</v>
      </c>
      <c r="S172" s="1581" t="s">
        <v>32</v>
      </c>
      <c r="T172" s="1581"/>
      <c r="U172" s="1579" t="s">
        <v>32</v>
      </c>
      <c r="V172" s="1581"/>
      <c r="W172" s="1581"/>
      <c r="X172" s="1581"/>
      <c r="Y172" s="1581" t="s">
        <v>229</v>
      </c>
      <c r="Z172" s="1581" t="s">
        <v>32</v>
      </c>
      <c r="AA172" s="1581"/>
      <c r="AB172" s="1579" t="s">
        <v>32</v>
      </c>
      <c r="AC172" s="1579"/>
      <c r="AD172" s="1579"/>
      <c r="AE172" s="1581"/>
      <c r="AF172" s="1581" t="s">
        <v>229</v>
      </c>
      <c r="AG172" s="613"/>
      <c r="AH172" s="203"/>
      <c r="AI172" s="179"/>
    </row>
    <row r="173" spans="1:35" ht="22.35" customHeight="1" x14ac:dyDescent="0.2">
      <c r="A173" s="1010">
        <v>5</v>
      </c>
      <c r="B173" s="1109" t="s">
        <v>230</v>
      </c>
      <c r="C173" s="489" t="s">
        <v>229</v>
      </c>
      <c r="D173" s="489"/>
      <c r="E173" s="489"/>
      <c r="F173" s="489" t="s">
        <v>32</v>
      </c>
      <c r="G173" s="489"/>
      <c r="H173" s="489"/>
      <c r="I173" s="489"/>
      <c r="J173" s="489" t="s">
        <v>229</v>
      </c>
      <c r="K173" s="489"/>
      <c r="L173" s="489"/>
      <c r="M173" s="489" t="s">
        <v>32</v>
      </c>
      <c r="N173" s="489"/>
      <c r="O173" s="489"/>
      <c r="P173" s="489"/>
      <c r="Q173" s="489" t="s">
        <v>229</v>
      </c>
      <c r="R173" s="489"/>
      <c r="S173" s="489"/>
      <c r="T173" s="489" t="s">
        <v>32</v>
      </c>
      <c r="U173" s="489"/>
      <c r="V173" s="489"/>
      <c r="W173" s="489"/>
      <c r="X173" s="489" t="s">
        <v>229</v>
      </c>
      <c r="Y173" s="489"/>
      <c r="Z173" s="489"/>
      <c r="AA173" s="489" t="s">
        <v>32</v>
      </c>
      <c r="AB173" s="489"/>
      <c r="AC173" s="489"/>
      <c r="AD173" s="489"/>
      <c r="AE173" s="489" t="s">
        <v>229</v>
      </c>
      <c r="AF173" s="489"/>
      <c r="AG173" s="1741"/>
      <c r="AH173" s="203"/>
      <c r="AI173" s="179"/>
    </row>
    <row r="174" spans="1:35" ht="22.35" customHeight="1" x14ac:dyDescent="0.2">
      <c r="A174" s="1010">
        <v>6</v>
      </c>
      <c r="B174" s="1002" t="s">
        <v>231</v>
      </c>
      <c r="C174" s="1584" t="s">
        <v>32</v>
      </c>
      <c r="D174" s="1584" t="s">
        <v>32</v>
      </c>
      <c r="E174" s="1584" t="s">
        <v>32</v>
      </c>
      <c r="F174" s="1584" t="s">
        <v>32</v>
      </c>
      <c r="G174" s="1584" t="s">
        <v>32</v>
      </c>
      <c r="H174" s="1584"/>
      <c r="I174" s="1584"/>
      <c r="J174" s="1584" t="s">
        <v>32</v>
      </c>
      <c r="K174" s="1584" t="s">
        <v>32</v>
      </c>
      <c r="L174" s="1584" t="s">
        <v>32</v>
      </c>
      <c r="M174" s="1579" t="s">
        <v>32</v>
      </c>
      <c r="N174" s="1579" t="s">
        <v>32</v>
      </c>
      <c r="O174" s="1581"/>
      <c r="P174" s="1581"/>
      <c r="Q174" s="1581" t="s">
        <v>32</v>
      </c>
      <c r="R174" s="1581" t="s">
        <v>32</v>
      </c>
      <c r="S174" s="563" t="s">
        <v>32</v>
      </c>
      <c r="T174" s="1626" t="s">
        <v>32</v>
      </c>
      <c r="U174" s="1581" t="s">
        <v>32</v>
      </c>
      <c r="V174" s="1626"/>
      <c r="W174" s="1626"/>
      <c r="X174" s="1579" t="s">
        <v>32</v>
      </c>
      <c r="Y174" s="1581" t="s">
        <v>32</v>
      </c>
      <c r="Z174" s="1581" t="s">
        <v>32</v>
      </c>
      <c r="AA174" s="1581" t="s">
        <v>32</v>
      </c>
      <c r="AB174" s="1581" t="s">
        <v>32</v>
      </c>
      <c r="AC174" s="563"/>
      <c r="AD174" s="1626"/>
      <c r="AE174" s="1581" t="s">
        <v>32</v>
      </c>
      <c r="AF174" s="1626" t="s">
        <v>32</v>
      </c>
      <c r="AG174" s="1742" t="s">
        <v>32</v>
      </c>
      <c r="AH174" s="191"/>
      <c r="AI174" s="107"/>
    </row>
    <row r="175" spans="1:35" ht="22.35" customHeight="1" thickBot="1" x14ac:dyDescent="0.25">
      <c r="A175" s="1016"/>
      <c r="B175" s="1004"/>
      <c r="C175" s="1743"/>
      <c r="D175" s="1743"/>
      <c r="E175" s="1743"/>
      <c r="F175" s="1743"/>
      <c r="G175" s="1743"/>
      <c r="H175" s="1743"/>
      <c r="I175" s="1743"/>
      <c r="J175" s="1743"/>
      <c r="K175" s="1743"/>
      <c r="L175" s="1743"/>
      <c r="M175" s="1743"/>
      <c r="N175" s="1743"/>
      <c r="O175" s="1743"/>
      <c r="P175" s="1743"/>
      <c r="Q175" s="1743"/>
      <c r="R175" s="1743"/>
      <c r="S175" s="1743"/>
      <c r="T175" s="1743"/>
      <c r="U175" s="1743"/>
      <c r="V175" s="1743"/>
      <c r="W175" s="1743"/>
      <c r="X175" s="1743"/>
      <c r="Y175" s="1743"/>
      <c r="Z175" s="1743"/>
      <c r="AA175" s="1743"/>
      <c r="AB175" s="1743"/>
      <c r="AC175" s="1743"/>
      <c r="AD175" s="1743"/>
      <c r="AE175" s="1743"/>
      <c r="AF175" s="1743"/>
      <c r="AG175" s="1744"/>
      <c r="AH175" s="107"/>
      <c r="AI175" s="107"/>
    </row>
    <row r="176" spans="1:35" ht="22.35" customHeight="1" x14ac:dyDescent="0.2">
      <c r="A176" s="200"/>
      <c r="B176" s="198"/>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c r="AA176" s="199"/>
      <c r="AB176" s="199"/>
      <c r="AC176" s="199"/>
      <c r="AD176" s="199"/>
      <c r="AE176" s="199"/>
      <c r="AF176" s="199"/>
      <c r="AG176" s="199"/>
      <c r="AH176" s="107"/>
      <c r="AI176" s="107"/>
    </row>
    <row r="177" spans="1:36" ht="22.35" customHeight="1" x14ac:dyDescent="0.2">
      <c r="A177" s="200"/>
      <c r="B177" s="198"/>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c r="AA177" s="199"/>
      <c r="AB177" s="199"/>
      <c r="AC177" s="199"/>
      <c r="AD177" s="199"/>
      <c r="AE177" s="199"/>
      <c r="AF177" s="199"/>
      <c r="AG177" s="199"/>
      <c r="AH177" s="107"/>
      <c r="AI177" s="107"/>
    </row>
    <row r="178" spans="1:36" ht="22.35" customHeight="1" thickBot="1" x14ac:dyDescent="0.25">
      <c r="A178" s="148" t="s">
        <v>232</v>
      </c>
      <c r="B178" s="72"/>
      <c r="C178" s="106"/>
      <c r="D178" s="72"/>
      <c r="E178" s="72"/>
      <c r="F178" s="106"/>
      <c r="G178" s="72"/>
      <c r="H178" s="72"/>
      <c r="I178" s="106"/>
      <c r="J178" s="106"/>
      <c r="K178" s="72"/>
      <c r="L178" s="106"/>
      <c r="M178" s="72"/>
      <c r="N178" s="72"/>
      <c r="O178" s="106"/>
      <c r="P178" s="72"/>
      <c r="Q178" s="106"/>
      <c r="R178" s="106"/>
      <c r="S178" s="72"/>
      <c r="T178" s="72"/>
      <c r="U178" s="106"/>
      <c r="V178" s="72"/>
      <c r="W178" s="106"/>
      <c r="X178" s="106"/>
      <c r="Y178" s="72"/>
      <c r="Z178" s="72"/>
      <c r="AA178" s="72"/>
      <c r="AB178" s="72"/>
      <c r="AC178" s="72"/>
      <c r="AD178" s="72"/>
      <c r="AE178" s="106"/>
      <c r="AF178" s="72"/>
      <c r="AG178" s="72"/>
      <c r="AH178" s="107"/>
      <c r="AI178" s="107"/>
    </row>
    <row r="179" spans="1:36" ht="22.35" customHeight="1" x14ac:dyDescent="0.2">
      <c r="A179" s="109"/>
      <c r="B179" s="1745" t="s">
        <v>233</v>
      </c>
      <c r="C179" s="1746"/>
      <c r="D179" s="361" t="s">
        <v>107</v>
      </c>
      <c r="E179" s="362"/>
      <c r="F179" s="1747"/>
      <c r="G179" s="1748"/>
      <c r="H179" s="361" t="s">
        <v>108</v>
      </c>
      <c r="I179" s="362"/>
      <c r="J179" s="1747"/>
      <c r="K179" s="1748"/>
      <c r="L179" s="361" t="s">
        <v>109</v>
      </c>
      <c r="M179" s="362"/>
      <c r="N179" s="1747"/>
      <c r="O179" s="1748"/>
      <c r="P179" s="361" t="s">
        <v>110</v>
      </c>
      <c r="Q179" s="362"/>
      <c r="R179" s="1747"/>
      <c r="S179" s="1748"/>
      <c r="T179" s="361" t="s">
        <v>111</v>
      </c>
      <c r="U179" s="362"/>
      <c r="V179" s="1747"/>
      <c r="W179" s="1748"/>
      <c r="X179" s="361" t="s">
        <v>112</v>
      </c>
      <c r="Y179" s="362"/>
      <c r="Z179" s="1747"/>
      <c r="AA179" s="1748"/>
      <c r="AB179" s="361" t="s">
        <v>113</v>
      </c>
      <c r="AC179" s="362"/>
      <c r="AD179" s="362"/>
      <c r="AE179" s="1749" t="s">
        <v>114</v>
      </c>
      <c r="AF179" s="362"/>
      <c r="AG179" s="362"/>
      <c r="AH179" s="362"/>
      <c r="AI179" s="1750"/>
    </row>
    <row r="180" spans="1:36" ht="22.35" customHeight="1" x14ac:dyDescent="0.2">
      <c r="A180" s="109"/>
      <c r="B180" s="503" t="s">
        <v>234</v>
      </c>
      <c r="C180" s="504" t="s">
        <v>235</v>
      </c>
      <c r="D180" s="505" t="s">
        <v>236</v>
      </c>
      <c r="E180" s="506"/>
      <c r="F180" s="507"/>
      <c r="G180" s="508"/>
      <c r="H180" s="505" t="s">
        <v>236</v>
      </c>
      <c r="I180" s="506"/>
      <c r="J180" s="507"/>
      <c r="K180" s="508"/>
      <c r="L180" s="505" t="s">
        <v>236</v>
      </c>
      <c r="M180" s="506"/>
      <c r="N180" s="507"/>
      <c r="O180" s="508"/>
      <c r="P180" s="505" t="s">
        <v>237</v>
      </c>
      <c r="Q180" s="506"/>
      <c r="R180" s="507"/>
      <c r="S180" s="508"/>
      <c r="T180" s="505" t="s">
        <v>238</v>
      </c>
      <c r="U180" s="507"/>
      <c r="V180" s="507"/>
      <c r="W180" s="509"/>
      <c r="X180" s="510"/>
      <c r="Y180" s="510"/>
      <c r="Z180" s="511"/>
      <c r="AA180" s="509"/>
      <c r="AB180" s="510"/>
      <c r="AC180" s="510"/>
      <c r="AD180" s="510"/>
      <c r="AE180" s="509"/>
      <c r="AF180" s="510"/>
      <c r="AG180" s="510"/>
      <c r="AH180" s="512"/>
      <c r="AI180" s="513"/>
    </row>
    <row r="181" spans="1:36" ht="22.35" customHeight="1" x14ac:dyDescent="0.2">
      <c r="A181" s="109"/>
      <c r="B181" s="503" t="s">
        <v>234</v>
      </c>
      <c r="C181" s="504" t="s">
        <v>239</v>
      </c>
      <c r="D181" s="505" t="s">
        <v>236</v>
      </c>
      <c r="E181" s="506"/>
      <c r="F181" s="507"/>
      <c r="G181" s="508"/>
      <c r="H181" s="505" t="s">
        <v>236</v>
      </c>
      <c r="I181" s="506"/>
      <c r="J181" s="507"/>
      <c r="K181" s="508"/>
      <c r="L181" s="505" t="s">
        <v>236</v>
      </c>
      <c r="M181" s="506"/>
      <c r="N181" s="507"/>
      <c r="O181" s="508"/>
      <c r="P181" s="505" t="s">
        <v>237</v>
      </c>
      <c r="Q181" s="506"/>
      <c r="R181" s="507"/>
      <c r="S181" s="508"/>
      <c r="T181" s="505" t="s">
        <v>238</v>
      </c>
      <c r="U181" s="507"/>
      <c r="V181" s="507"/>
      <c r="W181" s="509"/>
      <c r="X181" s="510"/>
      <c r="Y181" s="510"/>
      <c r="Z181" s="511"/>
      <c r="AA181" s="509"/>
      <c r="AB181" s="510"/>
      <c r="AC181" s="510"/>
      <c r="AD181" s="510"/>
      <c r="AE181" s="509"/>
      <c r="AF181" s="510"/>
      <c r="AG181" s="510"/>
      <c r="AH181" s="512"/>
      <c r="AI181" s="513"/>
    </row>
    <row r="182" spans="1:36" ht="22.35" customHeight="1" x14ac:dyDescent="0.2">
      <c r="A182" s="109"/>
      <c r="B182" s="503" t="s">
        <v>240</v>
      </c>
      <c r="C182" s="504" t="s">
        <v>50</v>
      </c>
      <c r="D182" s="505" t="s">
        <v>236</v>
      </c>
      <c r="E182" s="506"/>
      <c r="F182" s="507"/>
      <c r="G182" s="508"/>
      <c r="H182" s="505" t="s">
        <v>236</v>
      </c>
      <c r="I182" s="506"/>
      <c r="J182" s="507"/>
      <c r="K182" s="508"/>
      <c r="L182" s="505" t="s">
        <v>236</v>
      </c>
      <c r="M182" s="506"/>
      <c r="N182" s="507"/>
      <c r="O182" s="508"/>
      <c r="P182" s="505" t="s">
        <v>237</v>
      </c>
      <c r="Q182" s="506"/>
      <c r="R182" s="507"/>
      <c r="S182" s="508"/>
      <c r="T182" s="505" t="s">
        <v>238</v>
      </c>
      <c r="U182" s="507"/>
      <c r="V182" s="507"/>
      <c r="W182" s="509"/>
      <c r="X182" s="510"/>
      <c r="Y182" s="510"/>
      <c r="Z182" s="511"/>
      <c r="AA182" s="509"/>
      <c r="AB182" s="510"/>
      <c r="AC182" s="510"/>
      <c r="AD182" s="510"/>
      <c r="AE182" s="509"/>
      <c r="AF182" s="510"/>
      <c r="AG182" s="510"/>
      <c r="AH182" s="512"/>
      <c r="AI182" s="513"/>
    </row>
    <row r="183" spans="1:36" ht="22.35" customHeight="1" x14ac:dyDescent="0.2">
      <c r="A183" s="109"/>
      <c r="B183" s="503" t="s">
        <v>242</v>
      </c>
      <c r="C183" s="504" t="s">
        <v>243</v>
      </c>
      <c r="D183" s="505" t="s">
        <v>244</v>
      </c>
      <c r="E183" s="506"/>
      <c r="F183" s="507"/>
      <c r="G183" s="508"/>
      <c r="H183" s="505" t="s">
        <v>244</v>
      </c>
      <c r="I183" s="506"/>
      <c r="J183" s="507"/>
      <c r="K183" s="508"/>
      <c r="L183" s="505" t="s">
        <v>245</v>
      </c>
      <c r="M183" s="506"/>
      <c r="N183" s="507"/>
      <c r="O183" s="508"/>
      <c r="P183" s="505" t="s">
        <v>246</v>
      </c>
      <c r="Q183" s="506"/>
      <c r="R183" s="507"/>
      <c r="S183" s="508"/>
      <c r="T183" s="505" t="s">
        <v>247</v>
      </c>
      <c r="U183" s="507"/>
      <c r="V183" s="507"/>
      <c r="W183" s="509"/>
      <c r="X183" s="510"/>
      <c r="Y183" s="510"/>
      <c r="Z183" s="511"/>
      <c r="AA183" s="509"/>
      <c r="AB183" s="510"/>
      <c r="AC183" s="510"/>
      <c r="AD183" s="510"/>
      <c r="AE183" s="509"/>
      <c r="AF183" s="510"/>
      <c r="AG183" s="510"/>
      <c r="AH183" s="512"/>
      <c r="AI183" s="513"/>
    </row>
    <row r="184" spans="1:36" ht="22.35" customHeight="1" x14ac:dyDescent="0.2">
      <c r="A184" s="109"/>
      <c r="B184" s="503" t="s">
        <v>248</v>
      </c>
      <c r="C184" s="504" t="s">
        <v>249</v>
      </c>
      <c r="D184" s="505" t="s">
        <v>250</v>
      </c>
      <c r="E184" s="506"/>
      <c r="F184" s="507"/>
      <c r="G184" s="508"/>
      <c r="H184" s="505" t="s">
        <v>250</v>
      </c>
      <c r="I184" s="506"/>
      <c r="J184" s="507"/>
      <c r="K184" s="508"/>
      <c r="L184" s="505" t="s">
        <v>251</v>
      </c>
      <c r="M184" s="506"/>
      <c r="N184" s="507"/>
      <c r="O184" s="508"/>
      <c r="P184" s="505" t="s">
        <v>252</v>
      </c>
      <c r="Q184" s="506"/>
      <c r="R184" s="507"/>
      <c r="S184" s="508"/>
      <c r="T184" s="505" t="s">
        <v>253</v>
      </c>
      <c r="U184" s="507"/>
      <c r="V184" s="507"/>
      <c r="W184" s="509"/>
      <c r="X184" s="510"/>
      <c r="Y184" s="510"/>
      <c r="Z184" s="511"/>
      <c r="AA184" s="509"/>
      <c r="AB184" s="510"/>
      <c r="AC184" s="510"/>
      <c r="AD184" s="510"/>
      <c r="AE184" s="509"/>
      <c r="AF184" s="510"/>
      <c r="AG184" s="510"/>
      <c r="AH184" s="512"/>
      <c r="AI184" s="513"/>
    </row>
    <row r="185" spans="1:36" ht="22.35" customHeight="1" x14ac:dyDescent="0.2">
      <c r="A185" s="109"/>
      <c r="B185" s="503" t="s">
        <v>254</v>
      </c>
      <c r="C185" s="504" t="s">
        <v>142</v>
      </c>
      <c r="D185" s="505" t="s">
        <v>236</v>
      </c>
      <c r="E185" s="506"/>
      <c r="F185" s="507"/>
      <c r="G185" s="508"/>
      <c r="H185" s="505" t="s">
        <v>236</v>
      </c>
      <c r="I185" s="506"/>
      <c r="J185" s="507"/>
      <c r="K185" s="508"/>
      <c r="L185" s="505" t="s">
        <v>236</v>
      </c>
      <c r="M185" s="506"/>
      <c r="N185" s="507"/>
      <c r="O185" s="508"/>
      <c r="P185" s="505" t="s">
        <v>236</v>
      </c>
      <c r="Q185" s="506"/>
      <c r="R185" s="507"/>
      <c r="S185" s="508"/>
      <c r="T185" s="505" t="s">
        <v>250</v>
      </c>
      <c r="U185" s="507"/>
      <c r="V185" s="507"/>
      <c r="W185" s="509"/>
      <c r="X185" s="510"/>
      <c r="Y185" s="510"/>
      <c r="Z185" s="511"/>
      <c r="AA185" s="509"/>
      <c r="AB185" s="510"/>
      <c r="AC185" s="510"/>
      <c r="AD185" s="510"/>
      <c r="AE185" s="509"/>
      <c r="AF185" s="510"/>
      <c r="AG185" s="510"/>
      <c r="AH185" s="512"/>
      <c r="AI185" s="513"/>
    </row>
    <row r="186" spans="1:36" ht="22.35" customHeight="1" x14ac:dyDescent="0.2">
      <c r="A186" s="109"/>
      <c r="B186" s="503" t="s">
        <v>255</v>
      </c>
      <c r="C186" s="504" t="s">
        <v>134</v>
      </c>
      <c r="D186" s="505" t="s">
        <v>236</v>
      </c>
      <c r="E186" s="506"/>
      <c r="F186" s="507"/>
      <c r="G186" s="508"/>
      <c r="H186" s="505" t="s">
        <v>236</v>
      </c>
      <c r="I186" s="506"/>
      <c r="J186" s="507"/>
      <c r="K186" s="508"/>
      <c r="L186" s="505" t="s">
        <v>236</v>
      </c>
      <c r="M186" s="506"/>
      <c r="N186" s="507"/>
      <c r="O186" s="508"/>
      <c r="P186" s="505" t="s">
        <v>237</v>
      </c>
      <c r="Q186" s="506"/>
      <c r="R186" s="507"/>
      <c r="S186" s="508"/>
      <c r="T186" s="505" t="s">
        <v>238</v>
      </c>
      <c r="U186" s="507"/>
      <c r="V186" s="507"/>
      <c r="W186" s="509"/>
      <c r="X186" s="510"/>
      <c r="Y186" s="510"/>
      <c r="Z186" s="511"/>
      <c r="AA186" s="509"/>
      <c r="AB186" s="510"/>
      <c r="AC186" s="510"/>
      <c r="AD186" s="510"/>
      <c r="AE186" s="509"/>
      <c r="AF186" s="510"/>
      <c r="AG186" s="510"/>
      <c r="AH186" s="512"/>
      <c r="AI186" s="513"/>
    </row>
    <row r="187" spans="1:36" ht="22.35" customHeight="1" x14ac:dyDescent="0.2">
      <c r="A187" s="109"/>
      <c r="B187" s="503" t="s">
        <v>255</v>
      </c>
      <c r="C187" s="504" t="s">
        <v>176</v>
      </c>
      <c r="D187" s="505" t="s">
        <v>236</v>
      </c>
      <c r="E187" s="506"/>
      <c r="F187" s="507"/>
      <c r="G187" s="508"/>
      <c r="H187" s="505" t="s">
        <v>236</v>
      </c>
      <c r="I187" s="506"/>
      <c r="J187" s="507"/>
      <c r="K187" s="508"/>
      <c r="L187" s="505" t="s">
        <v>236</v>
      </c>
      <c r="M187" s="506"/>
      <c r="N187" s="507"/>
      <c r="O187" s="508"/>
      <c r="P187" s="505" t="s">
        <v>237</v>
      </c>
      <c r="Q187" s="506"/>
      <c r="R187" s="507"/>
      <c r="S187" s="508"/>
      <c r="T187" s="505" t="s">
        <v>238</v>
      </c>
      <c r="U187" s="507"/>
      <c r="V187" s="507"/>
      <c r="W187" s="509"/>
      <c r="X187" s="510"/>
      <c r="Y187" s="510"/>
      <c r="Z187" s="511"/>
      <c r="AA187" s="509"/>
      <c r="AB187" s="510"/>
      <c r="AC187" s="510"/>
      <c r="AD187" s="510"/>
      <c r="AE187" s="509"/>
      <c r="AF187" s="510"/>
      <c r="AG187" s="510"/>
      <c r="AH187" s="512"/>
      <c r="AI187" s="513"/>
    </row>
    <row r="188" spans="1:36" ht="22.35" customHeight="1" x14ac:dyDescent="0.2">
      <c r="A188" s="109"/>
      <c r="B188" s="503" t="s">
        <v>256</v>
      </c>
      <c r="C188" s="504" t="s">
        <v>257</v>
      </c>
      <c r="D188" s="505" t="s">
        <v>236</v>
      </c>
      <c r="E188" s="506"/>
      <c r="F188" s="507"/>
      <c r="G188" s="508"/>
      <c r="H188" s="505" t="s">
        <v>236</v>
      </c>
      <c r="I188" s="506"/>
      <c r="J188" s="507"/>
      <c r="K188" s="508"/>
      <c r="L188" s="505" t="s">
        <v>236</v>
      </c>
      <c r="M188" s="506"/>
      <c r="N188" s="507"/>
      <c r="O188" s="508"/>
      <c r="P188" s="505" t="s">
        <v>258</v>
      </c>
      <c r="Q188" s="506"/>
      <c r="R188" s="507"/>
      <c r="S188" s="508"/>
      <c r="T188" s="505" t="s">
        <v>253</v>
      </c>
      <c r="U188" s="507"/>
      <c r="V188" s="507"/>
      <c r="W188" s="509"/>
      <c r="X188" s="510"/>
      <c r="Y188" s="510"/>
      <c r="Z188" s="511"/>
      <c r="AA188" s="509"/>
      <c r="AB188" s="510"/>
      <c r="AC188" s="510"/>
      <c r="AD188" s="510"/>
      <c r="AE188" s="509"/>
      <c r="AF188" s="510"/>
      <c r="AG188" s="510"/>
      <c r="AH188" s="512"/>
      <c r="AI188" s="513"/>
    </row>
    <row r="189" spans="1:36" ht="22.35" customHeight="1" x14ac:dyDescent="0.2">
      <c r="A189" s="109"/>
      <c r="B189" s="514" t="s">
        <v>259</v>
      </c>
      <c r="C189" s="515" t="s">
        <v>95</v>
      </c>
      <c r="D189" s="516" t="s">
        <v>236</v>
      </c>
      <c r="E189" s="517"/>
      <c r="F189" s="518"/>
      <c r="G189" s="515"/>
      <c r="H189" s="516" t="s">
        <v>236</v>
      </c>
      <c r="I189" s="517"/>
      <c r="J189" s="518"/>
      <c r="K189" s="515"/>
      <c r="L189" s="516" t="s">
        <v>236</v>
      </c>
      <c r="M189" s="517"/>
      <c r="N189" s="518"/>
      <c r="O189" s="515"/>
      <c r="P189" s="516" t="s">
        <v>237</v>
      </c>
      <c r="Q189" s="517"/>
      <c r="R189" s="518"/>
      <c r="S189" s="515"/>
      <c r="T189" s="516" t="s">
        <v>238</v>
      </c>
      <c r="U189" s="518"/>
      <c r="V189" s="388"/>
      <c r="W189" s="519"/>
      <c r="X189" s="188"/>
      <c r="Y189" s="188"/>
      <c r="Z189" s="388"/>
      <c r="AA189" s="519"/>
      <c r="AB189" s="188"/>
      <c r="AC189" s="188"/>
      <c r="AD189" s="188"/>
      <c r="AE189" s="519"/>
      <c r="AF189" s="188"/>
      <c r="AG189" s="188"/>
      <c r="AH189" s="189"/>
      <c r="AI189" s="520"/>
      <c r="AJ189" s="190"/>
    </row>
    <row r="190" spans="1:36" ht="22.35" customHeight="1" x14ac:dyDescent="0.2">
      <c r="A190" s="109"/>
      <c r="B190" s="503" t="s">
        <v>260</v>
      </c>
      <c r="C190" s="504" t="s">
        <v>177</v>
      </c>
      <c r="D190" s="505" t="s">
        <v>236</v>
      </c>
      <c r="E190" s="506"/>
      <c r="F190" s="507"/>
      <c r="G190" s="508"/>
      <c r="H190" s="505" t="s">
        <v>236</v>
      </c>
      <c r="I190" s="506"/>
      <c r="J190" s="507"/>
      <c r="K190" s="508"/>
      <c r="L190" s="505" t="s">
        <v>236</v>
      </c>
      <c r="M190" s="506"/>
      <c r="N190" s="507"/>
      <c r="O190" s="508"/>
      <c r="P190" s="505" t="s">
        <v>237</v>
      </c>
      <c r="Q190" s="506"/>
      <c r="R190" s="507"/>
      <c r="S190" s="508"/>
      <c r="T190" s="505" t="s">
        <v>238</v>
      </c>
      <c r="U190" s="507"/>
      <c r="V190" s="506"/>
      <c r="W190" s="509"/>
      <c r="X190" s="510"/>
      <c r="Y190" s="510"/>
      <c r="Z190" s="510"/>
      <c r="AA190" s="509"/>
      <c r="AB190" s="510"/>
      <c r="AC190" s="510"/>
      <c r="AD190" s="510"/>
      <c r="AE190" s="509"/>
      <c r="AF190" s="510"/>
      <c r="AG190" s="510"/>
      <c r="AH190" s="512"/>
      <c r="AI190" s="513"/>
      <c r="AJ190" s="190"/>
    </row>
    <row r="191" spans="1:36" ht="22.35" customHeight="1" x14ac:dyDescent="0.2">
      <c r="A191" s="109"/>
      <c r="B191" s="503" t="s">
        <v>261</v>
      </c>
      <c r="C191" s="504" t="s">
        <v>137</v>
      </c>
      <c r="D191" s="505" t="s">
        <v>262</v>
      </c>
      <c r="E191" s="506"/>
      <c r="F191" s="507"/>
      <c r="G191" s="508"/>
      <c r="H191" s="505" t="s">
        <v>262</v>
      </c>
      <c r="I191" s="506"/>
      <c r="J191" s="507"/>
      <c r="K191" s="508"/>
      <c r="L191" s="505" t="s">
        <v>262</v>
      </c>
      <c r="M191" s="506"/>
      <c r="N191" s="506"/>
      <c r="O191" s="508"/>
      <c r="P191" s="505" t="s">
        <v>262</v>
      </c>
      <c r="Q191" s="506"/>
      <c r="R191" s="506"/>
      <c r="S191" s="508"/>
      <c r="T191" s="505" t="s">
        <v>253</v>
      </c>
      <c r="U191" s="507"/>
      <c r="V191" s="506"/>
      <c r="W191" s="521"/>
      <c r="X191" s="510"/>
      <c r="Y191" s="510"/>
      <c r="Z191" s="510"/>
      <c r="AA191" s="509"/>
      <c r="AB191" s="510"/>
      <c r="AC191" s="510"/>
      <c r="AD191" s="510"/>
      <c r="AE191" s="509"/>
      <c r="AF191" s="510"/>
      <c r="AG191" s="510"/>
      <c r="AH191" s="512"/>
      <c r="AI191" s="513"/>
      <c r="AJ191" s="190"/>
    </row>
    <row r="192" spans="1:36" ht="22.35" customHeight="1" x14ac:dyDescent="0.2">
      <c r="A192" s="109"/>
      <c r="B192" s="503" t="s">
        <v>263</v>
      </c>
      <c r="C192" s="504" t="s">
        <v>264</v>
      </c>
      <c r="D192" s="505" t="s">
        <v>262</v>
      </c>
      <c r="E192" s="506"/>
      <c r="F192" s="507"/>
      <c r="G192" s="508"/>
      <c r="H192" s="505" t="s">
        <v>262</v>
      </c>
      <c r="I192" s="506"/>
      <c r="J192" s="507"/>
      <c r="K192" s="508"/>
      <c r="L192" s="505" t="s">
        <v>262</v>
      </c>
      <c r="M192" s="506"/>
      <c r="N192" s="506"/>
      <c r="O192" s="508"/>
      <c r="P192" s="505" t="s">
        <v>262</v>
      </c>
      <c r="Q192" s="506"/>
      <c r="R192" s="506"/>
      <c r="S192" s="508"/>
      <c r="T192" s="505" t="s">
        <v>253</v>
      </c>
      <c r="U192" s="507"/>
      <c r="V192" s="506"/>
      <c r="W192" s="521"/>
      <c r="X192" s="510"/>
      <c r="Y192" s="510"/>
      <c r="Z192" s="511"/>
      <c r="AA192" s="522"/>
      <c r="AB192" s="510"/>
      <c r="AC192" s="510"/>
      <c r="AD192" s="510"/>
      <c r="AE192" s="509"/>
      <c r="AF192" s="510"/>
      <c r="AG192" s="510"/>
      <c r="AH192" s="512"/>
      <c r="AI192" s="513"/>
      <c r="AJ192" s="190"/>
    </row>
    <row r="193" spans="1:36" ht="22.35" customHeight="1" thickBot="1" x14ac:dyDescent="0.25">
      <c r="A193" s="109"/>
      <c r="B193" s="1119" t="s">
        <v>265</v>
      </c>
      <c r="C193" s="1120" t="s">
        <v>266</v>
      </c>
      <c r="D193" s="523" t="s">
        <v>262</v>
      </c>
      <c r="E193" s="524"/>
      <c r="F193" s="1751"/>
      <c r="G193" s="1752"/>
      <c r="H193" s="523" t="s">
        <v>262</v>
      </c>
      <c r="I193" s="524"/>
      <c r="J193" s="1751"/>
      <c r="K193" s="1752"/>
      <c r="L193" s="523" t="s">
        <v>262</v>
      </c>
      <c r="M193" s="524"/>
      <c r="N193" s="524"/>
      <c r="O193" s="1752"/>
      <c r="P193" s="523" t="s">
        <v>262</v>
      </c>
      <c r="Q193" s="524"/>
      <c r="R193" s="524"/>
      <c r="S193" s="1752"/>
      <c r="T193" s="523" t="s">
        <v>253</v>
      </c>
      <c r="U193" s="1751"/>
      <c r="V193" s="524"/>
      <c r="W193" s="1753"/>
      <c r="X193" s="1754"/>
      <c r="Y193" s="1754"/>
      <c r="Z193" s="1755"/>
      <c r="AA193" s="1756"/>
      <c r="AB193" s="1754"/>
      <c r="AC193" s="1754"/>
      <c r="AD193" s="1754"/>
      <c r="AE193" s="1757"/>
      <c r="AF193" s="1754"/>
      <c r="AG193" s="1754"/>
      <c r="AH193" s="1758"/>
      <c r="AI193" s="1759"/>
      <c r="AJ193" s="190"/>
    </row>
    <row r="194" spans="1:36" ht="22.35" customHeight="1" x14ac:dyDescent="0.2">
      <c r="A194" s="109"/>
      <c r="B194" s="206"/>
      <c r="C194" s="207"/>
      <c r="D194" s="208"/>
      <c r="E194" s="209"/>
      <c r="F194" s="209"/>
      <c r="G194" s="210"/>
      <c r="H194" s="208"/>
      <c r="I194" s="209"/>
      <c r="J194" s="209"/>
      <c r="K194" s="210"/>
      <c r="L194" s="208"/>
      <c r="M194" s="209"/>
      <c r="N194" s="209"/>
      <c r="O194" s="210"/>
      <c r="P194" s="198"/>
      <c r="Q194" s="209"/>
      <c r="R194" s="209"/>
      <c r="S194" s="210"/>
      <c r="T194" s="198"/>
      <c r="U194" s="209"/>
      <c r="V194" s="209"/>
      <c r="W194" s="209"/>
      <c r="X194" s="209"/>
      <c r="Y194" s="209"/>
      <c r="Z194" s="209"/>
      <c r="AA194" s="210"/>
      <c r="AB194" s="209"/>
      <c r="AC194" s="209"/>
      <c r="AD194" s="209"/>
      <c r="AE194" s="210"/>
      <c r="AF194" s="209"/>
      <c r="AG194" s="209"/>
      <c r="AH194" s="191"/>
      <c r="AI194" s="191"/>
      <c r="AJ194" s="190"/>
    </row>
    <row r="195" spans="1:36" ht="22.35" customHeight="1" thickBot="1" x14ac:dyDescent="0.25">
      <c r="A195" s="147"/>
      <c r="B195" s="528" t="s">
        <v>29</v>
      </c>
      <c r="C195" s="1573">
        <v>1</v>
      </c>
      <c r="D195" s="1573">
        <v>2</v>
      </c>
      <c r="E195" s="1573">
        <v>3</v>
      </c>
      <c r="F195" s="1573">
        <v>4</v>
      </c>
      <c r="G195" s="1573">
        <v>5</v>
      </c>
      <c r="H195" s="1574">
        <v>6</v>
      </c>
      <c r="I195" s="1574">
        <v>7</v>
      </c>
      <c r="J195" s="1573">
        <v>8</v>
      </c>
      <c r="K195" s="1573">
        <v>9</v>
      </c>
      <c r="L195" s="1573">
        <v>10</v>
      </c>
      <c r="M195" s="1573">
        <v>11</v>
      </c>
      <c r="N195" s="1573">
        <v>12</v>
      </c>
      <c r="O195" s="1574">
        <v>13</v>
      </c>
      <c r="P195" s="1574">
        <v>14</v>
      </c>
      <c r="Q195" s="1573">
        <v>15</v>
      </c>
      <c r="R195" s="1573">
        <v>16</v>
      </c>
      <c r="S195" s="1573">
        <v>17</v>
      </c>
      <c r="T195" s="1573">
        <v>18</v>
      </c>
      <c r="U195" s="1573">
        <v>19</v>
      </c>
      <c r="V195" s="1574">
        <v>20</v>
      </c>
      <c r="W195" s="1574">
        <v>21</v>
      </c>
      <c r="X195" s="1573">
        <v>22</v>
      </c>
      <c r="Y195" s="1573">
        <v>23</v>
      </c>
      <c r="Z195" s="1573">
        <v>24</v>
      </c>
      <c r="AA195" s="1573">
        <v>25</v>
      </c>
      <c r="AB195" s="1573">
        <v>26</v>
      </c>
      <c r="AC195" s="1574">
        <v>27</v>
      </c>
      <c r="AD195" s="1574">
        <v>28</v>
      </c>
      <c r="AE195" s="1573">
        <v>29</v>
      </c>
      <c r="AF195" s="1573">
        <v>30</v>
      </c>
      <c r="AG195" s="1575">
        <v>31</v>
      </c>
      <c r="AH195" s="180"/>
      <c r="AI195" s="174"/>
    </row>
    <row r="196" spans="1:36" ht="22.35" customHeight="1" x14ac:dyDescent="0.2">
      <c r="A196" s="109"/>
      <c r="B196" s="1760" t="s">
        <v>267</v>
      </c>
      <c r="C196" s="1761" t="s">
        <v>235</v>
      </c>
      <c r="D196" s="1761" t="s">
        <v>235</v>
      </c>
      <c r="E196" s="1761" t="s">
        <v>235</v>
      </c>
      <c r="F196" s="1761" t="s">
        <v>235</v>
      </c>
      <c r="G196" s="1761" t="s">
        <v>235</v>
      </c>
      <c r="H196" s="1761"/>
      <c r="I196" s="1761"/>
      <c r="J196" s="1761" t="s">
        <v>235</v>
      </c>
      <c r="K196" s="1761" t="s">
        <v>235</v>
      </c>
      <c r="L196" s="1761" t="s">
        <v>235</v>
      </c>
      <c r="M196" s="1761" t="s">
        <v>235</v>
      </c>
      <c r="N196" s="1761" t="s">
        <v>235</v>
      </c>
      <c r="O196" s="1761"/>
      <c r="P196" s="1761"/>
      <c r="Q196" s="1761" t="s">
        <v>235</v>
      </c>
      <c r="R196" s="1761" t="s">
        <v>235</v>
      </c>
      <c r="S196" s="1761" t="s">
        <v>235</v>
      </c>
      <c r="T196" s="1761" t="s">
        <v>235</v>
      </c>
      <c r="U196" s="1761" t="s">
        <v>235</v>
      </c>
      <c r="V196" s="1761"/>
      <c r="W196" s="1761"/>
      <c r="X196" s="1761" t="s">
        <v>235</v>
      </c>
      <c r="Y196" s="1761" t="s">
        <v>235</v>
      </c>
      <c r="Z196" s="1761" t="s">
        <v>235</v>
      </c>
      <c r="AA196" s="1761" t="s">
        <v>235</v>
      </c>
      <c r="AB196" s="1761" t="s">
        <v>235</v>
      </c>
      <c r="AC196" s="1761"/>
      <c r="AD196" s="1761"/>
      <c r="AE196" s="1761" t="s">
        <v>235</v>
      </c>
      <c r="AF196" s="1761" t="s">
        <v>235</v>
      </c>
      <c r="AG196" s="1761" t="s">
        <v>235</v>
      </c>
      <c r="AH196" s="179"/>
      <c r="AI196" s="179"/>
    </row>
    <row r="197" spans="1:36" ht="22.35" customHeight="1" x14ac:dyDescent="0.2">
      <c r="A197" s="109"/>
      <c r="B197" s="553" t="s">
        <v>268</v>
      </c>
      <c r="C197" s="1762" t="s">
        <v>235</v>
      </c>
      <c r="D197" s="1762" t="s">
        <v>235</v>
      </c>
      <c r="E197" s="1762" t="s">
        <v>235</v>
      </c>
      <c r="F197" s="1762" t="s">
        <v>235</v>
      </c>
      <c r="G197" s="1762" t="s">
        <v>235</v>
      </c>
      <c r="H197" s="1762"/>
      <c r="I197" s="1762"/>
      <c r="J197" s="1763" t="s">
        <v>235</v>
      </c>
      <c r="K197" s="1763" t="s">
        <v>235</v>
      </c>
      <c r="L197" s="1763" t="s">
        <v>235</v>
      </c>
      <c r="M197" s="1763" t="s">
        <v>235</v>
      </c>
      <c r="N197" s="1763" t="s">
        <v>235</v>
      </c>
      <c r="O197" s="1763"/>
      <c r="P197" s="1763"/>
      <c r="Q197" s="1763" t="s">
        <v>235</v>
      </c>
      <c r="R197" s="1763" t="s">
        <v>235</v>
      </c>
      <c r="S197" s="1763" t="s">
        <v>235</v>
      </c>
      <c r="T197" s="1763" t="s">
        <v>235</v>
      </c>
      <c r="U197" s="1763" t="s">
        <v>235</v>
      </c>
      <c r="V197" s="1763"/>
      <c r="W197" s="1763"/>
      <c r="X197" s="1763" t="s">
        <v>235</v>
      </c>
      <c r="Y197" s="1763" t="s">
        <v>235</v>
      </c>
      <c r="Z197" s="1763" t="s">
        <v>235</v>
      </c>
      <c r="AA197" s="1763" t="s">
        <v>235</v>
      </c>
      <c r="AB197" s="1763" t="s">
        <v>235</v>
      </c>
      <c r="AC197" s="1763"/>
      <c r="AD197" s="1763"/>
      <c r="AE197" s="1762" t="s">
        <v>235</v>
      </c>
      <c r="AF197" s="1762" t="s">
        <v>235</v>
      </c>
      <c r="AG197" s="1762" t="s">
        <v>235</v>
      </c>
      <c r="AH197" s="179"/>
      <c r="AI197" s="179"/>
    </row>
    <row r="198" spans="1:36" ht="22.35" customHeight="1" x14ac:dyDescent="0.2">
      <c r="A198" s="109"/>
      <c r="B198" s="553" t="s">
        <v>270</v>
      </c>
      <c r="C198" s="1763" t="s">
        <v>239</v>
      </c>
      <c r="D198" s="1763" t="s">
        <v>239</v>
      </c>
      <c r="E198" s="1763" t="s">
        <v>235</v>
      </c>
      <c r="F198" s="1762" t="s">
        <v>239</v>
      </c>
      <c r="G198" s="1762" t="s">
        <v>239</v>
      </c>
      <c r="H198" s="1762"/>
      <c r="I198" s="1762"/>
      <c r="J198" s="1762" t="s">
        <v>239</v>
      </c>
      <c r="K198" s="1763" t="s">
        <v>239</v>
      </c>
      <c r="L198" s="1762" t="s">
        <v>239</v>
      </c>
      <c r="M198" s="1762" t="s">
        <v>239</v>
      </c>
      <c r="N198" s="1762" t="s">
        <v>239</v>
      </c>
      <c r="O198" s="1762"/>
      <c r="P198" s="1762"/>
      <c r="Q198" s="1762" t="s">
        <v>239</v>
      </c>
      <c r="R198" s="1762" t="s">
        <v>239</v>
      </c>
      <c r="S198" s="1762" t="s">
        <v>235</v>
      </c>
      <c r="T198" s="1762" t="s">
        <v>239</v>
      </c>
      <c r="U198" s="1762" t="s">
        <v>239</v>
      </c>
      <c r="V198" s="1762"/>
      <c r="W198" s="1762"/>
      <c r="X198" s="1762" t="s">
        <v>239</v>
      </c>
      <c r="Y198" s="1762" t="s">
        <v>239</v>
      </c>
      <c r="Z198" s="1762" t="s">
        <v>235</v>
      </c>
      <c r="AA198" s="1762" t="s">
        <v>239</v>
      </c>
      <c r="AB198" s="1762" t="s">
        <v>239</v>
      </c>
      <c r="AC198" s="1762"/>
      <c r="AD198" s="1762"/>
      <c r="AE198" s="1762" t="s">
        <v>239</v>
      </c>
      <c r="AF198" s="1762" t="s">
        <v>239</v>
      </c>
      <c r="AG198" s="1762" t="s">
        <v>235</v>
      </c>
      <c r="AH198" s="179"/>
      <c r="AI198" s="179"/>
    </row>
    <row r="199" spans="1:36" ht="22.35" customHeight="1" x14ac:dyDescent="0.2">
      <c r="A199" s="109"/>
      <c r="B199" s="553" t="s">
        <v>271</v>
      </c>
      <c r="C199" s="1762" t="s">
        <v>50</v>
      </c>
      <c r="D199" s="1762" t="s">
        <v>50</v>
      </c>
      <c r="E199" s="1762" t="s">
        <v>50</v>
      </c>
      <c r="F199" s="1762" t="s">
        <v>50</v>
      </c>
      <c r="G199" s="1762" t="s">
        <v>50</v>
      </c>
      <c r="H199" s="1762"/>
      <c r="I199" s="1762"/>
      <c r="J199" s="1762" t="s">
        <v>50</v>
      </c>
      <c r="K199" s="1762" t="s">
        <v>50</v>
      </c>
      <c r="L199" s="1762" t="s">
        <v>50</v>
      </c>
      <c r="M199" s="1762" t="s">
        <v>50</v>
      </c>
      <c r="N199" s="1762" t="s">
        <v>50</v>
      </c>
      <c r="O199" s="1762"/>
      <c r="P199" s="1762"/>
      <c r="Q199" s="1762" t="s">
        <v>50</v>
      </c>
      <c r="R199" s="1762" t="s">
        <v>50</v>
      </c>
      <c r="S199" s="1762" t="s">
        <v>50</v>
      </c>
      <c r="T199" s="1762" t="s">
        <v>50</v>
      </c>
      <c r="U199" s="1762" t="s">
        <v>50</v>
      </c>
      <c r="V199" s="1762"/>
      <c r="W199" s="1762"/>
      <c r="X199" s="564" t="s">
        <v>50</v>
      </c>
      <c r="Y199" s="1764" t="s">
        <v>50</v>
      </c>
      <c r="Z199" s="1764" t="s">
        <v>403</v>
      </c>
      <c r="AA199" s="1765" t="s">
        <v>50</v>
      </c>
      <c r="AB199" s="1765" t="s">
        <v>50</v>
      </c>
      <c r="AC199" s="1762"/>
      <c r="AD199" s="1762"/>
      <c r="AE199" s="1762" t="s">
        <v>50</v>
      </c>
      <c r="AF199" s="1762" t="s">
        <v>50</v>
      </c>
      <c r="AG199" s="1762" t="s">
        <v>50</v>
      </c>
      <c r="AH199" s="179"/>
      <c r="AI199" s="179"/>
    </row>
    <row r="200" spans="1:36" ht="22.35" customHeight="1" x14ac:dyDescent="0.2">
      <c r="A200" s="109"/>
      <c r="B200" s="933" t="s">
        <v>272</v>
      </c>
      <c r="C200" s="1763" t="s">
        <v>243</v>
      </c>
      <c r="D200" s="1763" t="s">
        <v>243</v>
      </c>
      <c r="E200" s="1763" t="s">
        <v>243</v>
      </c>
      <c r="F200" s="1763" t="s">
        <v>243</v>
      </c>
      <c r="G200" s="1763" t="s">
        <v>243</v>
      </c>
      <c r="H200" s="1763"/>
      <c r="I200" s="1763"/>
      <c r="J200" s="1763" t="s">
        <v>243</v>
      </c>
      <c r="K200" s="1763" t="s">
        <v>243</v>
      </c>
      <c r="L200" s="1763" t="s">
        <v>243</v>
      </c>
      <c r="M200" s="1763" t="s">
        <v>243</v>
      </c>
      <c r="N200" s="1763" t="s">
        <v>243</v>
      </c>
      <c r="O200" s="1763"/>
      <c r="P200" s="1763"/>
      <c r="Q200" s="1762" t="s">
        <v>243</v>
      </c>
      <c r="R200" s="1762" t="s">
        <v>243</v>
      </c>
      <c r="S200" s="1762" t="s">
        <v>243</v>
      </c>
      <c r="T200" s="1762" t="s">
        <v>243</v>
      </c>
      <c r="U200" s="1762" t="s">
        <v>243</v>
      </c>
      <c r="V200" s="1762"/>
      <c r="W200" s="1762"/>
      <c r="X200" s="1762" t="s">
        <v>243</v>
      </c>
      <c r="Y200" s="1762" t="s">
        <v>243</v>
      </c>
      <c r="Z200" s="1762" t="s">
        <v>243</v>
      </c>
      <c r="AA200" s="1762" t="s">
        <v>243</v>
      </c>
      <c r="AB200" s="1762" t="s">
        <v>243</v>
      </c>
      <c r="AC200" s="1762"/>
      <c r="AD200" s="1762"/>
      <c r="AE200" s="1762" t="s">
        <v>243</v>
      </c>
      <c r="AF200" s="1762" t="s">
        <v>243</v>
      </c>
      <c r="AG200" s="1762" t="s">
        <v>243</v>
      </c>
      <c r="AH200" s="179"/>
      <c r="AI200" s="179"/>
    </row>
    <row r="201" spans="1:36" ht="22.35" customHeight="1" x14ac:dyDescent="0.2">
      <c r="A201" s="109"/>
      <c r="B201" s="1578"/>
      <c r="C201" s="1762" t="s">
        <v>249</v>
      </c>
      <c r="D201" s="1762" t="s">
        <v>249</v>
      </c>
      <c r="E201" s="1762" t="s">
        <v>249</v>
      </c>
      <c r="F201" s="1762" t="s">
        <v>249</v>
      </c>
      <c r="G201" s="1762" t="s">
        <v>249</v>
      </c>
      <c r="H201" s="1762"/>
      <c r="I201" s="1762"/>
      <c r="J201" s="1762" t="s">
        <v>249</v>
      </c>
      <c r="K201" s="1762" t="s">
        <v>249</v>
      </c>
      <c r="L201" s="1762" t="s">
        <v>249</v>
      </c>
      <c r="M201" s="1762" t="s">
        <v>249</v>
      </c>
      <c r="N201" s="1762" t="s">
        <v>249</v>
      </c>
      <c r="O201" s="1762"/>
      <c r="P201" s="1762"/>
      <c r="Q201" s="1762" t="s">
        <v>249</v>
      </c>
      <c r="R201" s="1762" t="s">
        <v>249</v>
      </c>
      <c r="S201" s="1762" t="s">
        <v>249</v>
      </c>
      <c r="T201" s="1762" t="s">
        <v>249</v>
      </c>
      <c r="U201" s="1762" t="s">
        <v>249</v>
      </c>
      <c r="V201" s="1762"/>
      <c r="W201" s="1762"/>
      <c r="X201" s="1762" t="s">
        <v>249</v>
      </c>
      <c r="Y201" s="1762" t="s">
        <v>249</v>
      </c>
      <c r="Z201" s="1762" t="s">
        <v>249</v>
      </c>
      <c r="AA201" s="1762" t="s">
        <v>249</v>
      </c>
      <c r="AB201" s="1762" t="s">
        <v>249</v>
      </c>
      <c r="AC201" s="1762"/>
      <c r="AD201" s="1762"/>
      <c r="AE201" s="1762" t="s">
        <v>249</v>
      </c>
      <c r="AF201" s="1762" t="s">
        <v>249</v>
      </c>
      <c r="AG201" s="1762" t="s">
        <v>249</v>
      </c>
      <c r="AH201" s="179"/>
      <c r="AI201" s="179"/>
    </row>
    <row r="202" spans="1:36" ht="22.35" customHeight="1" x14ac:dyDescent="0.2">
      <c r="A202" s="109"/>
      <c r="B202" s="553" t="s">
        <v>273</v>
      </c>
      <c r="C202" s="1766" t="s">
        <v>142</v>
      </c>
      <c r="D202" s="1766" t="s">
        <v>142</v>
      </c>
      <c r="E202" s="1766" t="s">
        <v>142</v>
      </c>
      <c r="F202" s="1766" t="s">
        <v>142</v>
      </c>
      <c r="G202" s="1766" t="s">
        <v>142</v>
      </c>
      <c r="H202" s="1766"/>
      <c r="I202" s="1766"/>
      <c r="J202" s="1766" t="s">
        <v>142</v>
      </c>
      <c r="K202" s="1766" t="s">
        <v>142</v>
      </c>
      <c r="L202" s="1766" t="s">
        <v>142</v>
      </c>
      <c r="M202" s="1766" t="s">
        <v>142</v>
      </c>
      <c r="N202" s="1766" t="s">
        <v>142</v>
      </c>
      <c r="O202" s="1766"/>
      <c r="P202" s="1766"/>
      <c r="Q202" s="1766" t="s">
        <v>142</v>
      </c>
      <c r="R202" s="1766" t="s">
        <v>142</v>
      </c>
      <c r="S202" s="1766" t="s">
        <v>142</v>
      </c>
      <c r="T202" s="1766" t="s">
        <v>142</v>
      </c>
      <c r="U202" s="1766" t="s">
        <v>142</v>
      </c>
      <c r="V202" s="1766"/>
      <c r="W202" s="1766"/>
      <c r="X202" s="1766" t="s">
        <v>142</v>
      </c>
      <c r="Y202" s="1766" t="s">
        <v>142</v>
      </c>
      <c r="Z202" s="1766" t="s">
        <v>142</v>
      </c>
      <c r="AA202" s="1766" t="s">
        <v>142</v>
      </c>
      <c r="AB202" s="1766" t="s">
        <v>142</v>
      </c>
      <c r="AC202" s="1766"/>
      <c r="AD202" s="1766"/>
      <c r="AE202" s="1766" t="s">
        <v>142</v>
      </c>
      <c r="AF202" s="1766" t="s">
        <v>142</v>
      </c>
      <c r="AG202" s="1766" t="s">
        <v>142</v>
      </c>
      <c r="AH202" s="179"/>
      <c r="AI202" s="179"/>
    </row>
    <row r="203" spans="1:36" ht="22.35" customHeight="1" x14ac:dyDescent="0.2">
      <c r="A203" s="109"/>
      <c r="B203" s="539" t="s">
        <v>0</v>
      </c>
      <c r="C203" s="1762" t="s">
        <v>134</v>
      </c>
      <c r="D203" s="1762" t="s">
        <v>134</v>
      </c>
      <c r="E203" s="1762" t="s">
        <v>134</v>
      </c>
      <c r="F203" s="1762" t="s">
        <v>134</v>
      </c>
      <c r="G203" s="1762" t="s">
        <v>134</v>
      </c>
      <c r="H203" s="1762"/>
      <c r="I203" s="1762"/>
      <c r="J203" s="1762" t="s">
        <v>134</v>
      </c>
      <c r="K203" s="1762" t="s">
        <v>134</v>
      </c>
      <c r="L203" s="1762" t="s">
        <v>134</v>
      </c>
      <c r="M203" s="1762" t="s">
        <v>134</v>
      </c>
      <c r="N203" s="1762" t="s">
        <v>134</v>
      </c>
      <c r="O203" s="1762"/>
      <c r="P203" s="1762"/>
      <c r="Q203" s="1762" t="s">
        <v>134</v>
      </c>
      <c r="R203" s="1762" t="s">
        <v>134</v>
      </c>
      <c r="S203" s="1762" t="s">
        <v>134</v>
      </c>
      <c r="T203" s="1762" t="s">
        <v>134</v>
      </c>
      <c r="U203" s="1762" t="s">
        <v>134</v>
      </c>
      <c r="V203" s="1762"/>
      <c r="W203" s="1762"/>
      <c r="X203" s="1762" t="s">
        <v>134</v>
      </c>
      <c r="Y203" s="1762" t="s">
        <v>134</v>
      </c>
      <c r="Z203" s="1762" t="s">
        <v>134</v>
      </c>
      <c r="AA203" s="1762" t="s">
        <v>134</v>
      </c>
      <c r="AB203" s="1762" t="s">
        <v>134</v>
      </c>
      <c r="AC203" s="1762"/>
      <c r="AD203" s="1762"/>
      <c r="AE203" s="1762" t="s">
        <v>134</v>
      </c>
      <c r="AF203" s="1762" t="s">
        <v>134</v>
      </c>
      <c r="AG203" s="1762" t="s">
        <v>134</v>
      </c>
      <c r="AH203" s="179"/>
      <c r="AI203" s="179"/>
    </row>
    <row r="204" spans="1:36" ht="22.35" customHeight="1" x14ac:dyDescent="0.2">
      <c r="A204" s="109"/>
      <c r="B204" s="553" t="s">
        <v>274</v>
      </c>
      <c r="C204" s="338" t="s">
        <v>176</v>
      </c>
      <c r="D204" s="338" t="s">
        <v>176</v>
      </c>
      <c r="E204" s="338" t="s">
        <v>176</v>
      </c>
      <c r="F204" s="338" t="s">
        <v>176</v>
      </c>
      <c r="G204" s="338" t="s">
        <v>176</v>
      </c>
      <c r="H204" s="338"/>
      <c r="I204" s="338"/>
      <c r="J204" s="338" t="s">
        <v>176</v>
      </c>
      <c r="K204" s="338" t="s">
        <v>176</v>
      </c>
      <c r="L204" s="338" t="s">
        <v>176</v>
      </c>
      <c r="M204" s="338" t="s">
        <v>176</v>
      </c>
      <c r="N204" s="338" t="s">
        <v>176</v>
      </c>
      <c r="O204" s="338"/>
      <c r="P204" s="338"/>
      <c r="Q204" s="310" t="s">
        <v>176</v>
      </c>
      <c r="R204" s="310" t="s">
        <v>176</v>
      </c>
      <c r="S204" s="310" t="s">
        <v>176</v>
      </c>
      <c r="T204" s="310" t="s">
        <v>176</v>
      </c>
      <c r="U204" s="310" t="s">
        <v>176</v>
      </c>
      <c r="V204" s="310"/>
      <c r="W204" s="310"/>
      <c r="X204" s="310" t="s">
        <v>176</v>
      </c>
      <c r="Y204" s="310" t="s">
        <v>176</v>
      </c>
      <c r="Z204" s="310" t="s">
        <v>176</v>
      </c>
      <c r="AA204" s="310" t="s">
        <v>176</v>
      </c>
      <c r="AB204" s="310" t="s">
        <v>176</v>
      </c>
      <c r="AC204" s="310"/>
      <c r="AD204" s="310"/>
      <c r="AE204" s="310" t="s">
        <v>176</v>
      </c>
      <c r="AF204" s="310" t="s">
        <v>176</v>
      </c>
      <c r="AG204" s="310" t="s">
        <v>176</v>
      </c>
      <c r="AH204" s="179"/>
      <c r="AI204" s="179"/>
    </row>
    <row r="205" spans="1:36" ht="22.35" customHeight="1" x14ac:dyDescent="0.2">
      <c r="A205" s="109"/>
      <c r="B205" s="553" t="s">
        <v>275</v>
      </c>
      <c r="C205" s="1625" t="s">
        <v>257</v>
      </c>
      <c r="D205" s="1625" t="s">
        <v>257</v>
      </c>
      <c r="E205" s="1625" t="s">
        <v>257</v>
      </c>
      <c r="F205" s="1625" t="s">
        <v>257</v>
      </c>
      <c r="G205" s="1625" t="s">
        <v>257</v>
      </c>
      <c r="H205" s="1625"/>
      <c r="I205" s="1625"/>
      <c r="J205" s="1625" t="s">
        <v>257</v>
      </c>
      <c r="K205" s="1625" t="s">
        <v>257</v>
      </c>
      <c r="L205" s="1625" t="s">
        <v>257</v>
      </c>
      <c r="M205" s="1625" t="s">
        <v>257</v>
      </c>
      <c r="N205" s="1625" t="s">
        <v>257</v>
      </c>
      <c r="O205" s="1625"/>
      <c r="P205" s="1625"/>
      <c r="Q205" s="1625" t="s">
        <v>257</v>
      </c>
      <c r="R205" s="1625" t="s">
        <v>257</v>
      </c>
      <c r="S205" s="1625" t="s">
        <v>257</v>
      </c>
      <c r="T205" s="1625" t="s">
        <v>257</v>
      </c>
      <c r="U205" s="1625" t="s">
        <v>257</v>
      </c>
      <c r="V205" s="1625"/>
      <c r="W205" s="1625"/>
      <c r="X205" s="1625" t="s">
        <v>257</v>
      </c>
      <c r="Y205" s="1625" t="s">
        <v>257</v>
      </c>
      <c r="Z205" s="1625" t="s">
        <v>257</v>
      </c>
      <c r="AA205" s="1625" t="s">
        <v>257</v>
      </c>
      <c r="AB205" s="1625" t="s">
        <v>257</v>
      </c>
      <c r="AC205" s="1625"/>
      <c r="AD205" s="1625"/>
      <c r="AE205" s="1625" t="s">
        <v>257</v>
      </c>
      <c r="AF205" s="1625" t="s">
        <v>257</v>
      </c>
      <c r="AG205" s="1625" t="s">
        <v>257</v>
      </c>
      <c r="AH205" s="179"/>
      <c r="AI205" s="179"/>
    </row>
    <row r="206" spans="1:36" ht="22.35" customHeight="1" x14ac:dyDescent="0.2">
      <c r="A206" s="109"/>
      <c r="B206" s="539" t="s">
        <v>276</v>
      </c>
      <c r="C206" s="1625" t="s">
        <v>95</v>
      </c>
      <c r="D206" s="1625" t="s">
        <v>95</v>
      </c>
      <c r="E206" s="1625" t="s">
        <v>95</v>
      </c>
      <c r="F206" s="1625" t="s">
        <v>95</v>
      </c>
      <c r="G206" s="1625" t="s">
        <v>95</v>
      </c>
      <c r="H206" s="1625"/>
      <c r="I206" s="1625"/>
      <c r="J206" s="1625" t="s">
        <v>95</v>
      </c>
      <c r="K206" s="1625" t="s">
        <v>95</v>
      </c>
      <c r="L206" s="1625" t="s">
        <v>95</v>
      </c>
      <c r="M206" s="1625" t="s">
        <v>95</v>
      </c>
      <c r="N206" s="964" t="s">
        <v>95</v>
      </c>
      <c r="O206" s="964"/>
      <c r="P206" s="964"/>
      <c r="Q206" s="565" t="s">
        <v>95</v>
      </c>
      <c r="R206" s="531" t="s">
        <v>95</v>
      </c>
      <c r="S206" s="531" t="s">
        <v>95</v>
      </c>
      <c r="T206" s="531" t="s">
        <v>95</v>
      </c>
      <c r="U206" s="531" t="s">
        <v>404</v>
      </c>
      <c r="V206" s="1621"/>
      <c r="W206" s="1625"/>
      <c r="X206" s="1625" t="s">
        <v>95</v>
      </c>
      <c r="Y206" s="1625" t="s">
        <v>95</v>
      </c>
      <c r="Z206" s="1625" t="s">
        <v>95</v>
      </c>
      <c r="AA206" s="1625" t="s">
        <v>95</v>
      </c>
      <c r="AB206" s="1625" t="s">
        <v>95</v>
      </c>
      <c r="AC206" s="1625"/>
      <c r="AD206" s="1625"/>
      <c r="AE206" s="1625" t="s">
        <v>95</v>
      </c>
      <c r="AF206" s="1625" t="s">
        <v>95</v>
      </c>
      <c r="AG206" s="1625" t="s">
        <v>95</v>
      </c>
      <c r="AH206" s="179"/>
      <c r="AI206" s="179"/>
    </row>
    <row r="207" spans="1:36" ht="22.35" customHeight="1" x14ac:dyDescent="0.2">
      <c r="A207" s="109"/>
      <c r="B207" s="553" t="s">
        <v>277</v>
      </c>
      <c r="C207" s="556" t="s">
        <v>177</v>
      </c>
      <c r="D207" s="531" t="s">
        <v>177</v>
      </c>
      <c r="E207" s="556" t="s">
        <v>177</v>
      </c>
      <c r="F207" s="531" t="s">
        <v>177</v>
      </c>
      <c r="G207" s="531" t="s">
        <v>177</v>
      </c>
      <c r="H207" s="1625"/>
      <c r="I207" s="1625"/>
      <c r="J207" s="556" t="s">
        <v>177</v>
      </c>
      <c r="K207" s="531" t="s">
        <v>177</v>
      </c>
      <c r="L207" s="556" t="s">
        <v>177</v>
      </c>
      <c r="M207" s="531" t="s">
        <v>177</v>
      </c>
      <c r="N207" s="531" t="s">
        <v>177</v>
      </c>
      <c r="O207" s="1625"/>
      <c r="P207" s="1625"/>
      <c r="Q207" s="556" t="s">
        <v>177</v>
      </c>
      <c r="R207" s="531" t="s">
        <v>177</v>
      </c>
      <c r="S207" s="556" t="s">
        <v>177</v>
      </c>
      <c r="T207" s="531" t="s">
        <v>177</v>
      </c>
      <c r="U207" s="531" t="s">
        <v>177</v>
      </c>
      <c r="V207" s="1625"/>
      <c r="W207" s="1625"/>
      <c r="X207" s="556" t="s">
        <v>177</v>
      </c>
      <c r="Y207" s="531" t="s">
        <v>177</v>
      </c>
      <c r="Z207" s="556" t="s">
        <v>177</v>
      </c>
      <c r="AA207" s="531" t="s">
        <v>177</v>
      </c>
      <c r="AB207" s="531" t="s">
        <v>177</v>
      </c>
      <c r="AC207" s="1625"/>
      <c r="AD207" s="1625"/>
      <c r="AE207" s="1625" t="s">
        <v>177</v>
      </c>
      <c r="AF207" s="1625" t="s">
        <v>177</v>
      </c>
      <c r="AG207" s="1625" t="s">
        <v>177</v>
      </c>
      <c r="AH207" s="179"/>
      <c r="AI207" s="179"/>
    </row>
    <row r="208" spans="1:36" ht="22.35" customHeight="1" x14ac:dyDescent="0.2">
      <c r="A208" s="109"/>
      <c r="B208" s="539"/>
      <c r="C208" s="1625" t="s">
        <v>137</v>
      </c>
      <c r="D208" s="1625" t="s">
        <v>137</v>
      </c>
      <c r="E208" s="1625" t="s">
        <v>137</v>
      </c>
      <c r="F208" s="1625" t="s">
        <v>137</v>
      </c>
      <c r="G208" s="1625" t="s">
        <v>137</v>
      </c>
      <c r="H208" s="1625"/>
      <c r="I208" s="1625"/>
      <c r="J208" s="1625" t="s">
        <v>137</v>
      </c>
      <c r="K208" s="1625" t="s">
        <v>137</v>
      </c>
      <c r="L208" s="1625" t="s">
        <v>137</v>
      </c>
      <c r="M208" s="1625" t="s">
        <v>137</v>
      </c>
      <c r="N208" s="1625" t="s">
        <v>137</v>
      </c>
      <c r="O208" s="1625"/>
      <c r="P208" s="1625"/>
      <c r="Q208" s="1625" t="s">
        <v>137</v>
      </c>
      <c r="R208" s="1625" t="s">
        <v>137</v>
      </c>
      <c r="S208" s="1625" t="s">
        <v>137</v>
      </c>
      <c r="T208" s="1625" t="s">
        <v>137</v>
      </c>
      <c r="U208" s="1625" t="s">
        <v>137</v>
      </c>
      <c r="V208" s="1625"/>
      <c r="W208" s="1625"/>
      <c r="X208" s="1625" t="s">
        <v>137</v>
      </c>
      <c r="Y208" s="1625" t="s">
        <v>137</v>
      </c>
      <c r="Z208" s="1625" t="s">
        <v>137</v>
      </c>
      <c r="AA208" s="1625" t="s">
        <v>137</v>
      </c>
      <c r="AB208" s="1625" t="s">
        <v>137</v>
      </c>
      <c r="AC208" s="1625"/>
      <c r="AD208" s="1625"/>
      <c r="AE208" s="1625" t="s">
        <v>137</v>
      </c>
      <c r="AF208" s="1625" t="s">
        <v>137</v>
      </c>
      <c r="AG208" s="1625" t="s">
        <v>137</v>
      </c>
      <c r="AH208" s="179"/>
      <c r="AI208" s="179"/>
    </row>
    <row r="209" spans="1:35" ht="22.35" customHeight="1" x14ac:dyDescent="0.2">
      <c r="A209" s="109"/>
      <c r="B209" s="539" t="s">
        <v>278</v>
      </c>
      <c r="C209" s="1625" t="s">
        <v>264</v>
      </c>
      <c r="D209" s="1625" t="s">
        <v>264</v>
      </c>
      <c r="E209" s="1625" t="s">
        <v>264</v>
      </c>
      <c r="F209" s="1625" t="s">
        <v>264</v>
      </c>
      <c r="G209" s="1625" t="s">
        <v>264</v>
      </c>
      <c r="H209" s="1625"/>
      <c r="I209" s="1625"/>
      <c r="J209" s="1625" t="s">
        <v>264</v>
      </c>
      <c r="K209" s="1625" t="s">
        <v>264</v>
      </c>
      <c r="L209" s="1625" t="s">
        <v>264</v>
      </c>
      <c r="M209" s="1625" t="s">
        <v>264</v>
      </c>
      <c r="N209" s="1625" t="s">
        <v>264</v>
      </c>
      <c r="O209" s="1625"/>
      <c r="P209" s="1625"/>
      <c r="Q209" s="1584" t="s">
        <v>264</v>
      </c>
      <c r="R209" s="1584" t="s">
        <v>264</v>
      </c>
      <c r="S209" s="1584" t="s">
        <v>264</v>
      </c>
      <c r="T209" s="1584" t="s">
        <v>264</v>
      </c>
      <c r="U209" s="1584" t="s">
        <v>264</v>
      </c>
      <c r="V209" s="1584"/>
      <c r="W209" s="1584"/>
      <c r="X209" s="1584" t="s">
        <v>264</v>
      </c>
      <c r="Y209" s="1584" t="s">
        <v>264</v>
      </c>
      <c r="Z209" s="1584" t="s">
        <v>264</v>
      </c>
      <c r="AA209" s="1584" t="s">
        <v>264</v>
      </c>
      <c r="AB209" s="1584" t="s">
        <v>264</v>
      </c>
      <c r="AC209" s="1584"/>
      <c r="AD209" s="1584"/>
      <c r="AE209" s="1584" t="s">
        <v>264</v>
      </c>
      <c r="AF209" s="1584" t="s">
        <v>264</v>
      </c>
      <c r="AG209" s="1584" t="s">
        <v>264</v>
      </c>
      <c r="AH209" s="107"/>
      <c r="AI209" s="107"/>
    </row>
    <row r="210" spans="1:35" ht="21" customHeight="1" thickBot="1" x14ac:dyDescent="0.25">
      <c r="A210" s="147"/>
      <c r="B210" s="1767" t="s">
        <v>279</v>
      </c>
      <c r="C210" s="1768" t="s">
        <v>266</v>
      </c>
      <c r="D210" s="1768" t="s">
        <v>266</v>
      </c>
      <c r="E210" s="1768" t="s">
        <v>266</v>
      </c>
      <c r="F210" s="1768" t="s">
        <v>266</v>
      </c>
      <c r="G210" s="1768" t="s">
        <v>266</v>
      </c>
      <c r="H210" s="1768"/>
      <c r="I210" s="1768"/>
      <c r="J210" s="1768" t="s">
        <v>266</v>
      </c>
      <c r="K210" s="1768" t="s">
        <v>266</v>
      </c>
      <c r="L210" s="1769" t="s">
        <v>266</v>
      </c>
      <c r="M210" s="1769" t="s">
        <v>266</v>
      </c>
      <c r="N210" s="1769" t="s">
        <v>266</v>
      </c>
      <c r="O210" s="1769"/>
      <c r="P210" s="1769"/>
      <c r="Q210" s="1092" t="s">
        <v>266</v>
      </c>
      <c r="R210" s="1092" t="s">
        <v>266</v>
      </c>
      <c r="S210" s="1092" t="s">
        <v>266</v>
      </c>
      <c r="T210" s="1092" t="s">
        <v>266</v>
      </c>
      <c r="U210" s="1092" t="s">
        <v>266</v>
      </c>
      <c r="V210" s="1092"/>
      <c r="W210" s="1092"/>
      <c r="X210" s="1092" t="s">
        <v>266</v>
      </c>
      <c r="Y210" s="1092" t="s">
        <v>266</v>
      </c>
      <c r="Z210" s="1092" t="s">
        <v>266</v>
      </c>
      <c r="AA210" s="1092" t="s">
        <v>266</v>
      </c>
      <c r="AB210" s="1092" t="s">
        <v>266</v>
      </c>
      <c r="AC210" s="1092"/>
      <c r="AD210" s="1092"/>
      <c r="AE210" s="1770" t="s">
        <v>266</v>
      </c>
      <c r="AF210" s="1770" t="s">
        <v>266</v>
      </c>
      <c r="AG210" s="1770" t="s">
        <v>266</v>
      </c>
      <c r="AH210" s="114"/>
    </row>
    <row r="211" spans="1:35" ht="21" customHeight="1" x14ac:dyDescent="0.2">
      <c r="A211" s="147"/>
      <c r="B211" s="217"/>
      <c r="C211" s="216"/>
      <c r="D211" s="216"/>
      <c r="E211" s="216"/>
      <c r="F211" s="216"/>
      <c r="G211" s="216"/>
      <c r="H211" s="216"/>
      <c r="I211" s="216"/>
      <c r="J211" s="216"/>
      <c r="K211" s="216"/>
      <c r="L211" s="216"/>
      <c r="M211" s="216"/>
      <c r="N211" s="216"/>
      <c r="O211" s="216"/>
      <c r="P211" s="216"/>
      <c r="Q211" s="216"/>
      <c r="R211" s="216"/>
      <c r="S211" s="216"/>
      <c r="T211" s="216"/>
      <c r="U211" s="216"/>
      <c r="V211" s="216"/>
      <c r="W211" s="216"/>
      <c r="X211" s="216"/>
      <c r="Y211" s="216"/>
      <c r="Z211" s="216"/>
      <c r="AA211" s="216"/>
      <c r="AB211" s="216"/>
      <c r="AC211" s="216"/>
      <c r="AD211" s="216"/>
      <c r="AE211" s="216"/>
      <c r="AF211" s="216"/>
      <c r="AG211" s="216"/>
      <c r="AH211" s="114"/>
    </row>
    <row r="212" spans="1:35" ht="22.35" customHeight="1" x14ac:dyDescent="0.2">
      <c r="C212" s="37"/>
      <c r="D212" s="37"/>
      <c r="E212" s="37"/>
      <c r="F212" s="37"/>
      <c r="G212" s="37"/>
      <c r="H212" s="37"/>
      <c r="I212" s="37"/>
      <c r="J212" s="37"/>
      <c r="K212" s="37"/>
      <c r="L212" s="37"/>
      <c r="M212" s="37"/>
      <c r="N212" s="37"/>
      <c r="O212" s="37"/>
      <c r="P212" s="37"/>
      <c r="Q212" s="37"/>
      <c r="R212" s="37"/>
      <c r="S212" s="37"/>
      <c r="T212" s="37"/>
      <c r="U212" s="37"/>
      <c r="V212" s="37"/>
      <c r="W212" s="37"/>
      <c r="X212" s="37"/>
      <c r="Y212" s="37"/>
      <c r="Z212" s="37"/>
      <c r="AA212" s="37"/>
      <c r="AB212" s="37"/>
      <c r="AC212" s="37"/>
      <c r="AD212" s="37"/>
      <c r="AE212" s="37"/>
      <c r="AF212" s="37"/>
      <c r="AG212" s="37"/>
    </row>
    <row r="213" spans="1:35" ht="22.35" customHeight="1" thickBot="1" x14ac:dyDescent="0.25">
      <c r="A213" s="1" t="s">
        <v>280</v>
      </c>
      <c r="B213" s="59"/>
    </row>
    <row r="214" spans="1:35" ht="22.35" customHeight="1" x14ac:dyDescent="0.2">
      <c r="A214" s="1"/>
      <c r="B214" s="532" t="s">
        <v>281</v>
      </c>
      <c r="C214" s="1771" t="s">
        <v>107</v>
      </c>
      <c r="D214" s="695"/>
      <c r="E214" s="695"/>
      <c r="F214" s="695"/>
      <c r="G214" s="1771" t="s">
        <v>108</v>
      </c>
      <c r="H214" s="695"/>
      <c r="I214" s="695"/>
      <c r="J214" s="695"/>
      <c r="K214" s="1771" t="s">
        <v>109</v>
      </c>
      <c r="L214" s="695"/>
      <c r="M214" s="695"/>
      <c r="N214" s="695"/>
      <c r="O214" s="1771" t="s">
        <v>110</v>
      </c>
      <c r="P214" s="695"/>
      <c r="Q214" s="695"/>
      <c r="R214" s="695"/>
      <c r="S214" s="1771" t="s">
        <v>111</v>
      </c>
      <c r="T214" s="695"/>
      <c r="U214" s="695"/>
      <c r="V214" s="695"/>
      <c r="W214" s="1771" t="s">
        <v>112</v>
      </c>
      <c r="X214" s="1639"/>
      <c r="Y214" s="695"/>
      <c r="Z214" s="1772"/>
      <c r="AA214" s="1771" t="s">
        <v>113</v>
      </c>
      <c r="AB214" s="1639"/>
      <c r="AC214" s="695"/>
      <c r="AD214" s="1772"/>
      <c r="AE214" s="1773" t="s">
        <v>114</v>
      </c>
      <c r="AF214" s="695"/>
      <c r="AG214" s="695"/>
      <c r="AH214" s="695"/>
      <c r="AI214" s="1640"/>
    </row>
    <row r="215" spans="1:35" ht="22.35" customHeight="1" x14ac:dyDescent="0.2">
      <c r="A215" s="1"/>
      <c r="B215" s="533">
        <v>3701</v>
      </c>
      <c r="C215" s="110" t="s">
        <v>282</v>
      </c>
      <c r="D215" s="110"/>
      <c r="E215" s="110"/>
      <c r="F215" s="110"/>
      <c r="G215" s="534" t="s">
        <v>283</v>
      </c>
      <c r="H215" s="110"/>
      <c r="I215" s="110"/>
      <c r="J215" s="110"/>
      <c r="K215" s="534" t="s">
        <v>283</v>
      </c>
      <c r="L215" s="110"/>
      <c r="M215" s="110"/>
      <c r="N215" s="110"/>
      <c r="O215" s="534" t="s">
        <v>283</v>
      </c>
      <c r="P215" s="110"/>
      <c r="Q215" s="110"/>
      <c r="R215" s="110"/>
      <c r="S215" s="534" t="s">
        <v>284</v>
      </c>
      <c r="T215" s="110"/>
      <c r="U215" s="110"/>
      <c r="V215" s="110"/>
      <c r="W215" s="1002"/>
      <c r="X215" s="1774"/>
      <c r="Y215" s="886"/>
      <c r="Z215" s="1775"/>
      <c r="AA215" s="1002"/>
      <c r="AB215" s="1774"/>
      <c r="AC215" s="886"/>
      <c r="AD215" s="1775"/>
      <c r="AE215" s="1046"/>
      <c r="AF215" s="886"/>
      <c r="AG215" s="886"/>
      <c r="AH215" s="886"/>
      <c r="AI215" s="1564"/>
    </row>
    <row r="216" spans="1:35" ht="22.35" customHeight="1" x14ac:dyDescent="0.2">
      <c r="B216" s="532">
        <v>3700</v>
      </c>
      <c r="C216" s="886" t="s">
        <v>182</v>
      </c>
      <c r="D216" s="886"/>
      <c r="E216" s="886"/>
      <c r="F216" s="886"/>
      <c r="G216" s="698" t="s">
        <v>182</v>
      </c>
      <c r="H216" s="886"/>
      <c r="I216" s="886"/>
      <c r="J216" s="886"/>
      <c r="K216" s="698" t="s">
        <v>182</v>
      </c>
      <c r="L216" s="886"/>
      <c r="M216" s="886"/>
      <c r="N216" s="886"/>
      <c r="O216" s="698" t="s">
        <v>182</v>
      </c>
      <c r="P216" s="886"/>
      <c r="Q216" s="886"/>
      <c r="R216" s="886"/>
      <c r="S216" s="698" t="s">
        <v>183</v>
      </c>
      <c r="T216" s="886"/>
      <c r="U216" s="886"/>
      <c r="V216" s="886"/>
      <c r="W216" s="1776"/>
      <c r="X216" s="1777"/>
      <c r="Y216" s="886"/>
      <c r="Z216" s="1048"/>
      <c r="AA216" s="1046"/>
      <c r="AB216" s="886"/>
      <c r="AC216" s="886"/>
      <c r="AD216" s="945"/>
      <c r="AE216" s="1778"/>
      <c r="AF216" s="886"/>
      <c r="AG216" s="886"/>
      <c r="AH216" s="945"/>
      <c r="AI216" s="1564"/>
    </row>
    <row r="217" spans="1:35" ht="22.35" customHeight="1" x14ac:dyDescent="0.2">
      <c r="A217" s="1"/>
      <c r="B217" s="532">
        <v>8514</v>
      </c>
      <c r="C217" s="886" t="s">
        <v>283</v>
      </c>
      <c r="D217" s="886"/>
      <c r="E217" s="886"/>
      <c r="F217" s="886"/>
      <c r="G217" s="698" t="s">
        <v>283</v>
      </c>
      <c r="H217" s="886"/>
      <c r="I217" s="886"/>
      <c r="J217" s="886"/>
      <c r="K217" s="698" t="s">
        <v>283</v>
      </c>
      <c r="L217" s="886"/>
      <c r="M217" s="886"/>
      <c r="N217" s="886"/>
      <c r="O217" s="698" t="s">
        <v>283</v>
      </c>
      <c r="P217" s="886"/>
      <c r="Q217" s="886"/>
      <c r="R217" s="886"/>
      <c r="S217" s="698" t="s">
        <v>285</v>
      </c>
      <c r="T217" s="886"/>
      <c r="U217" s="886"/>
      <c r="V217" s="886"/>
      <c r="W217" s="1776"/>
      <c r="X217" s="1777"/>
      <c r="Y217" s="886"/>
      <c r="Z217" s="1048"/>
      <c r="AA217" s="735"/>
      <c r="AB217" s="886"/>
      <c r="AC217" s="886"/>
      <c r="AD217" s="945"/>
      <c r="AE217" s="735"/>
      <c r="AF217" s="886"/>
      <c r="AG217" s="886"/>
      <c r="AH217" s="945"/>
      <c r="AI217" s="1564"/>
    </row>
    <row r="218" spans="1:35" ht="22.35" customHeight="1" x14ac:dyDescent="0.2">
      <c r="A218" s="1"/>
      <c r="B218" s="532">
        <v>8500</v>
      </c>
      <c r="C218" s="162" t="s">
        <v>286</v>
      </c>
      <c r="D218" s="162"/>
      <c r="E218" s="162"/>
      <c r="F218" s="162"/>
      <c r="G218" s="163" t="s">
        <v>286</v>
      </c>
      <c r="H218" s="162"/>
      <c r="I218" s="162"/>
      <c r="J218" s="162"/>
      <c r="K218" s="163" t="s">
        <v>286</v>
      </c>
      <c r="L218" s="162"/>
      <c r="M218" s="162"/>
      <c r="N218" s="162"/>
      <c r="O218" s="163" t="s">
        <v>286</v>
      </c>
      <c r="P218" s="162"/>
      <c r="Q218" s="162"/>
      <c r="R218" s="162"/>
      <c r="S218" s="163" t="s">
        <v>287</v>
      </c>
      <c r="T218" s="162"/>
      <c r="U218" s="162"/>
      <c r="V218" s="162"/>
      <c r="W218" s="1776"/>
      <c r="X218" s="162"/>
      <c r="Y218" s="162"/>
      <c r="Z218" s="120"/>
      <c r="AA218" s="119"/>
      <c r="AB218" s="162"/>
      <c r="AC218" s="162"/>
      <c r="AD218" s="120"/>
      <c r="AE218" s="119"/>
      <c r="AF218" s="162"/>
      <c r="AG218" s="162"/>
      <c r="AH218" s="112"/>
      <c r="AI218" s="118"/>
    </row>
    <row r="219" spans="1:35" ht="22.35" customHeight="1" x14ac:dyDescent="0.2">
      <c r="A219" s="1"/>
      <c r="B219" s="532">
        <v>8514</v>
      </c>
      <c r="C219" s="165" t="s">
        <v>283</v>
      </c>
      <c r="D219" s="165"/>
      <c r="E219" s="165"/>
      <c r="F219" s="165"/>
      <c r="G219" s="166" t="s">
        <v>283</v>
      </c>
      <c r="H219" s="165"/>
      <c r="I219" s="165"/>
      <c r="J219" s="165"/>
      <c r="K219" s="166" t="s">
        <v>283</v>
      </c>
      <c r="L219" s="165"/>
      <c r="M219" s="165"/>
      <c r="N219" s="165"/>
      <c r="O219" s="166" t="s">
        <v>283</v>
      </c>
      <c r="P219" s="165"/>
      <c r="Q219" s="165"/>
      <c r="R219" s="165"/>
      <c r="S219" s="166" t="s">
        <v>285</v>
      </c>
      <c r="T219" s="165"/>
      <c r="U219" s="165"/>
      <c r="V219" s="165"/>
      <c r="W219" s="1779"/>
      <c r="X219" s="116"/>
      <c r="Y219" s="162"/>
      <c r="Z219" s="164"/>
      <c r="AA219" s="154"/>
      <c r="AB219" s="116"/>
      <c r="AC219" s="162"/>
      <c r="AD219" s="162"/>
      <c r="AE219" s="117"/>
      <c r="AF219" s="162"/>
      <c r="AG219" s="162"/>
      <c r="AH219" s="162"/>
      <c r="AI219" s="118"/>
    </row>
    <row r="220" spans="1:35" ht="22.35" customHeight="1" thickBot="1" x14ac:dyDescent="0.25">
      <c r="A220" s="1"/>
      <c r="B220" s="566" t="s">
        <v>288</v>
      </c>
      <c r="C220" s="891" t="s">
        <v>289</v>
      </c>
      <c r="D220" s="891"/>
      <c r="E220" s="891"/>
      <c r="F220" s="891"/>
      <c r="G220" s="1780" t="s">
        <v>289</v>
      </c>
      <c r="H220" s="891"/>
      <c r="I220" s="891"/>
      <c r="J220" s="891"/>
      <c r="K220" s="1004" t="s">
        <v>289</v>
      </c>
      <c r="L220" s="891"/>
      <c r="M220" s="891"/>
      <c r="N220" s="891"/>
      <c r="O220" s="1780" t="s">
        <v>289</v>
      </c>
      <c r="P220" s="891"/>
      <c r="Q220" s="891"/>
      <c r="R220" s="891"/>
      <c r="S220" s="1780" t="s">
        <v>290</v>
      </c>
      <c r="T220" s="891"/>
      <c r="U220" s="891"/>
      <c r="V220" s="891"/>
      <c r="W220" s="1781"/>
      <c r="X220" s="1782"/>
      <c r="Y220" s="891"/>
      <c r="Z220" s="706"/>
      <c r="AA220" s="1057"/>
      <c r="AB220" s="891"/>
      <c r="AC220" s="891"/>
      <c r="AD220" s="1063"/>
      <c r="AE220" s="1783"/>
      <c r="AF220" s="891"/>
      <c r="AG220" s="891"/>
      <c r="AH220" s="1063"/>
      <c r="AI220" s="894"/>
    </row>
    <row r="221" spans="1:35" ht="22.35" customHeight="1" x14ac:dyDescent="0.2">
      <c r="A221" s="1"/>
      <c r="B221" s="18"/>
      <c r="C221" s="64"/>
      <c r="D221" s="110"/>
      <c r="E221" s="110"/>
      <c r="F221" s="69"/>
      <c r="G221" s="64"/>
      <c r="H221" s="110"/>
      <c r="I221" s="110"/>
      <c r="J221" s="69"/>
      <c r="K221" s="64"/>
      <c r="L221" s="110"/>
      <c r="M221" s="110"/>
      <c r="N221" s="69"/>
      <c r="O221" s="64"/>
      <c r="P221" s="110"/>
      <c r="Q221" s="110"/>
      <c r="R221" s="69"/>
      <c r="S221" s="64"/>
      <c r="T221" s="110"/>
      <c r="U221" s="110"/>
      <c r="V221" s="69"/>
      <c r="W221" s="69"/>
      <c r="Z221" s="69"/>
      <c r="AA221" s="69"/>
      <c r="AD221" s="69"/>
      <c r="AE221" s="69"/>
      <c r="AH221" s="69"/>
    </row>
    <row r="222" spans="1:35" ht="22.35" customHeight="1" x14ac:dyDescent="0.2">
      <c r="A222" s="1" t="s">
        <v>291</v>
      </c>
      <c r="B222" s="18"/>
      <c r="C222" s="64"/>
      <c r="D222" s="110"/>
      <c r="E222" s="110"/>
      <c r="F222" s="69"/>
      <c r="G222" s="64"/>
      <c r="H222" s="110"/>
      <c r="I222" s="110"/>
      <c r="J222" s="69"/>
      <c r="K222" s="64"/>
      <c r="L222" s="110"/>
      <c r="M222" s="110"/>
      <c r="N222" s="69"/>
      <c r="O222" s="64"/>
      <c r="P222" s="110"/>
      <c r="Q222" s="110"/>
      <c r="R222" s="69"/>
      <c r="S222" s="64"/>
      <c r="T222" s="110"/>
      <c r="U222" s="110"/>
      <c r="V222" s="69"/>
      <c r="W222" s="69"/>
      <c r="Z222" s="69"/>
      <c r="AA222" s="69"/>
      <c r="AD222" s="69"/>
      <c r="AE222" s="69"/>
      <c r="AH222" s="69"/>
    </row>
    <row r="223" spans="1:35" ht="22.35" customHeight="1" thickBot="1" x14ac:dyDescent="0.25">
      <c r="A223" s="981"/>
      <c r="B223" s="748" t="s">
        <v>29</v>
      </c>
      <c r="C223" s="1573">
        <v>1</v>
      </c>
      <c r="D223" s="1573">
        <v>2</v>
      </c>
      <c r="E223" s="1573">
        <v>3</v>
      </c>
      <c r="F223" s="1573">
        <v>4</v>
      </c>
      <c r="G223" s="1573">
        <v>5</v>
      </c>
      <c r="H223" s="1574">
        <v>6</v>
      </c>
      <c r="I223" s="1574">
        <v>7</v>
      </c>
      <c r="J223" s="1573">
        <v>8</v>
      </c>
      <c r="K223" s="1573">
        <v>9</v>
      </c>
      <c r="L223" s="1573">
        <v>10</v>
      </c>
      <c r="M223" s="1573">
        <v>11</v>
      </c>
      <c r="N223" s="1573">
        <v>12</v>
      </c>
      <c r="O223" s="1574">
        <v>13</v>
      </c>
      <c r="P223" s="1574">
        <v>14</v>
      </c>
      <c r="Q223" s="1573">
        <v>15</v>
      </c>
      <c r="R223" s="1573">
        <v>16</v>
      </c>
      <c r="S223" s="1573">
        <v>17</v>
      </c>
      <c r="T223" s="1573">
        <v>18</v>
      </c>
      <c r="U223" s="1573">
        <v>19</v>
      </c>
      <c r="V223" s="1574">
        <v>20</v>
      </c>
      <c r="W223" s="1574">
        <v>21</v>
      </c>
      <c r="X223" s="1573">
        <v>22</v>
      </c>
      <c r="Y223" s="1573">
        <v>23</v>
      </c>
      <c r="Z223" s="1573">
        <v>24</v>
      </c>
      <c r="AA223" s="1573">
        <v>25</v>
      </c>
      <c r="AB223" s="1573">
        <v>26</v>
      </c>
      <c r="AC223" s="1574">
        <v>27</v>
      </c>
      <c r="AD223" s="1574">
        <v>28</v>
      </c>
      <c r="AE223" s="1573">
        <v>29</v>
      </c>
      <c r="AF223" s="1573">
        <v>30</v>
      </c>
      <c r="AG223" s="1575">
        <v>31</v>
      </c>
      <c r="AH223" s="173"/>
      <c r="AI223" s="174"/>
    </row>
    <row r="224" spans="1:35" ht="22.35" customHeight="1" x14ac:dyDescent="0.2">
      <c r="A224" s="1784"/>
      <c r="B224" s="1785" t="s">
        <v>292</v>
      </c>
      <c r="C224" s="1581" t="s">
        <v>32</v>
      </c>
      <c r="D224" s="1581" t="s">
        <v>32</v>
      </c>
      <c r="E224" s="1581" t="s">
        <v>32</v>
      </c>
      <c r="F224" s="1581" t="s">
        <v>32</v>
      </c>
      <c r="G224" s="1581" t="s">
        <v>32</v>
      </c>
      <c r="H224" s="1581"/>
      <c r="I224" s="1581"/>
      <c r="J224" s="1581" t="s">
        <v>32</v>
      </c>
      <c r="K224" s="1581" t="s">
        <v>32</v>
      </c>
      <c r="L224" s="1581" t="s">
        <v>32</v>
      </c>
      <c r="M224" s="1581" t="s">
        <v>32</v>
      </c>
      <c r="N224" s="1626" t="s">
        <v>32</v>
      </c>
      <c r="O224" s="1626"/>
      <c r="P224" s="1626"/>
      <c r="Q224" s="489" t="s">
        <v>32</v>
      </c>
      <c r="R224" s="489" t="s">
        <v>32</v>
      </c>
      <c r="S224" s="489" t="s">
        <v>32</v>
      </c>
      <c r="T224" s="1584" t="s">
        <v>32</v>
      </c>
      <c r="U224" s="1584" t="s">
        <v>32</v>
      </c>
      <c r="V224" s="1584"/>
      <c r="W224" s="1584"/>
      <c r="X224" s="1584" t="s">
        <v>32</v>
      </c>
      <c r="Y224" s="1584" t="s">
        <v>32</v>
      </c>
      <c r="Z224" s="1584" t="s">
        <v>32</v>
      </c>
      <c r="AA224" s="1584" t="s">
        <v>32</v>
      </c>
      <c r="AB224" s="1584" t="s">
        <v>32</v>
      </c>
      <c r="AC224" s="1584"/>
      <c r="AD224" s="1584"/>
      <c r="AE224" s="1584" t="s">
        <v>32</v>
      </c>
      <c r="AF224" s="1584" t="s">
        <v>32</v>
      </c>
      <c r="AG224" s="308" t="s">
        <v>32</v>
      </c>
      <c r="AH224" s="173"/>
      <c r="AI224" s="174"/>
    </row>
    <row r="225" spans="1:35" ht="22.35" customHeight="1" x14ac:dyDescent="0.2">
      <c r="A225" s="1786"/>
      <c r="B225" s="1787" t="s">
        <v>293</v>
      </c>
      <c r="C225" s="1581"/>
      <c r="D225" s="1581"/>
      <c r="E225" s="1581"/>
      <c r="F225" s="1581"/>
      <c r="G225" s="1581"/>
      <c r="H225" s="1581"/>
      <c r="I225" s="1581"/>
      <c r="J225" s="1581"/>
      <c r="K225" s="1581"/>
      <c r="L225" s="1581"/>
      <c r="M225" s="1581"/>
      <c r="N225" s="1626"/>
      <c r="O225" s="1626"/>
      <c r="P225" s="1626"/>
      <c r="Q225" s="1628"/>
      <c r="R225" s="1626"/>
      <c r="S225" s="1581"/>
      <c r="T225" s="1581"/>
      <c r="U225" s="1626"/>
      <c r="V225" s="1626"/>
      <c r="W225" s="1626"/>
      <c r="X225" s="1581"/>
      <c r="Y225" s="1626"/>
      <c r="Z225" s="1581"/>
      <c r="AA225" s="1581"/>
      <c r="AB225" s="1581"/>
      <c r="AC225" s="1581"/>
      <c r="AD225" s="1628"/>
      <c r="AE225" s="1628"/>
      <c r="AF225" s="1628"/>
      <c r="AG225" s="1788"/>
      <c r="AH225" s="173"/>
      <c r="AI225" s="174"/>
    </row>
    <row r="226" spans="1:35" ht="22.35" customHeight="1" x14ac:dyDescent="0.2">
      <c r="A226" s="1789">
        <v>8514</v>
      </c>
      <c r="B226" s="1790" t="s">
        <v>294</v>
      </c>
      <c r="C226" s="1584" t="s">
        <v>32</v>
      </c>
      <c r="D226" s="1584" t="s">
        <v>32</v>
      </c>
      <c r="E226" s="1584" t="s">
        <v>32</v>
      </c>
      <c r="F226" s="1584" t="s">
        <v>32</v>
      </c>
      <c r="G226" s="1584" t="s">
        <v>32</v>
      </c>
      <c r="H226" s="1584"/>
      <c r="I226" s="1584"/>
      <c r="J226" s="1791" t="s">
        <v>32</v>
      </c>
      <c r="K226" s="1791" t="s">
        <v>32</v>
      </c>
      <c r="L226" s="1791" t="s">
        <v>32</v>
      </c>
      <c r="M226" s="1791" t="s">
        <v>32</v>
      </c>
      <c r="N226" s="1626" t="s">
        <v>32</v>
      </c>
      <c r="O226" s="1626"/>
      <c r="P226" s="1626"/>
      <c r="Q226" s="1628" t="s">
        <v>32</v>
      </c>
      <c r="R226" s="1626" t="s">
        <v>32</v>
      </c>
      <c r="S226" s="1581" t="s">
        <v>32</v>
      </c>
      <c r="T226" s="1581" t="s">
        <v>32</v>
      </c>
      <c r="U226" s="1626" t="s">
        <v>32</v>
      </c>
      <c r="V226" s="1626"/>
      <c r="W226" s="1626"/>
      <c r="X226" s="1626" t="s">
        <v>32</v>
      </c>
      <c r="Y226" s="1626" t="s">
        <v>32</v>
      </c>
      <c r="Z226" s="1581" t="s">
        <v>32</v>
      </c>
      <c r="AA226" s="1581" t="s">
        <v>32</v>
      </c>
      <c r="AB226" s="1581" t="s">
        <v>32</v>
      </c>
      <c r="AC226" s="1581"/>
      <c r="AD226" s="1628"/>
      <c r="AE226" s="1628" t="s">
        <v>32</v>
      </c>
      <c r="AF226" s="1628" t="s">
        <v>32</v>
      </c>
      <c r="AG226" s="1788" t="s">
        <v>32</v>
      </c>
      <c r="AH226" s="178"/>
      <c r="AI226" s="179"/>
    </row>
    <row r="227" spans="1:35" ht="21" customHeight="1" x14ac:dyDescent="0.2">
      <c r="A227" s="1789">
        <v>3701</v>
      </c>
      <c r="B227" s="1792" t="s">
        <v>295</v>
      </c>
      <c r="C227" s="1581"/>
      <c r="D227" s="1581"/>
      <c r="E227" s="1581"/>
      <c r="F227" s="1581"/>
      <c r="G227" s="1581"/>
      <c r="H227" s="1581"/>
      <c r="I227" s="1581"/>
      <c r="J227" s="1581"/>
      <c r="K227" s="1581"/>
      <c r="L227" s="1581"/>
      <c r="M227" s="1581"/>
      <c r="N227" s="1626"/>
      <c r="O227" s="1626"/>
      <c r="P227" s="1626"/>
      <c r="Q227" s="1628"/>
      <c r="R227" s="1626"/>
      <c r="S227" s="1581"/>
      <c r="T227" s="1581"/>
      <c r="U227" s="1626"/>
      <c r="V227" s="1626"/>
      <c r="W227" s="1626"/>
      <c r="X227" s="1581"/>
      <c r="Y227" s="1626"/>
      <c r="Z227" s="1581"/>
      <c r="AA227" s="1581"/>
      <c r="AB227" s="1581"/>
      <c r="AC227" s="1581"/>
      <c r="AD227" s="1626"/>
      <c r="AE227" s="1626"/>
      <c r="AF227" s="1626"/>
      <c r="AG227" s="1788"/>
      <c r="AH227" s="178"/>
      <c r="AI227" s="179"/>
    </row>
    <row r="228" spans="1:35" ht="21" customHeight="1" x14ac:dyDescent="0.2">
      <c r="A228" s="1789">
        <v>3701</v>
      </c>
      <c r="B228" s="1793" t="s">
        <v>296</v>
      </c>
      <c r="C228" s="1584" t="s">
        <v>32</v>
      </c>
      <c r="D228" s="1584" t="s">
        <v>32</v>
      </c>
      <c r="E228" s="1584" t="s">
        <v>32</v>
      </c>
      <c r="F228" s="1584" t="s">
        <v>32</v>
      </c>
      <c r="G228" s="1584" t="s">
        <v>32</v>
      </c>
      <c r="H228" s="1581"/>
      <c r="I228" s="1581"/>
      <c r="J228" s="1581" t="s">
        <v>32</v>
      </c>
      <c r="K228" s="1581" t="s">
        <v>32</v>
      </c>
      <c r="L228" s="1581" t="s">
        <v>32</v>
      </c>
      <c r="M228" s="1581" t="s">
        <v>32</v>
      </c>
      <c r="N228" s="1626" t="s">
        <v>32</v>
      </c>
      <c r="O228" s="1626"/>
      <c r="P228" s="1626"/>
      <c r="Q228" s="1628" t="s">
        <v>32</v>
      </c>
      <c r="R228" s="1626" t="s">
        <v>32</v>
      </c>
      <c r="S228" s="1581" t="s">
        <v>32</v>
      </c>
      <c r="T228" s="1581" t="s">
        <v>32</v>
      </c>
      <c r="U228" s="1626" t="s">
        <v>32</v>
      </c>
      <c r="V228" s="1626"/>
      <c r="W228" s="1626"/>
      <c r="X228" s="1626" t="s">
        <v>32</v>
      </c>
      <c r="Y228" s="1626" t="s">
        <v>32</v>
      </c>
      <c r="Z228" s="1581" t="s">
        <v>32</v>
      </c>
      <c r="AA228" s="1581" t="s">
        <v>32</v>
      </c>
      <c r="AB228" s="1581" t="s">
        <v>32</v>
      </c>
      <c r="AC228" s="1581"/>
      <c r="AD228" s="1626"/>
      <c r="AE228" s="1626" t="s">
        <v>32</v>
      </c>
      <c r="AF228" s="1626" t="s">
        <v>32</v>
      </c>
      <c r="AG228" s="1788" t="s">
        <v>32</v>
      </c>
      <c r="AH228" s="178"/>
      <c r="AI228" s="179"/>
    </row>
    <row r="229" spans="1:35" ht="21" customHeight="1" x14ac:dyDescent="0.2">
      <c r="A229" s="1789">
        <v>3701</v>
      </c>
      <c r="B229" s="1793" t="s">
        <v>297</v>
      </c>
      <c r="C229" s="1621" t="s">
        <v>32</v>
      </c>
      <c r="D229" s="1621" t="s">
        <v>32</v>
      </c>
      <c r="E229" s="1621" t="s">
        <v>32</v>
      </c>
      <c r="F229" s="1621" t="s">
        <v>32</v>
      </c>
      <c r="G229" s="1621" t="s">
        <v>32</v>
      </c>
      <c r="H229" s="1581"/>
      <c r="I229" s="1581"/>
      <c r="J229" s="1581" t="s">
        <v>32</v>
      </c>
      <c r="K229" s="964" t="s">
        <v>51</v>
      </c>
      <c r="L229" s="1621" t="s">
        <v>32</v>
      </c>
      <c r="M229" s="1581" t="s">
        <v>32</v>
      </c>
      <c r="N229" s="1626" t="s">
        <v>32</v>
      </c>
      <c r="O229" s="1794"/>
      <c r="P229" s="1794"/>
      <c r="Q229" s="1628" t="s">
        <v>32</v>
      </c>
      <c r="R229" s="1626" t="s">
        <v>32</v>
      </c>
      <c r="S229" s="1581" t="s">
        <v>32</v>
      </c>
      <c r="T229" s="1581" t="s">
        <v>32</v>
      </c>
      <c r="U229" s="1626" t="s">
        <v>32</v>
      </c>
      <c r="V229" s="1794"/>
      <c r="W229" s="1794"/>
      <c r="X229" s="964" t="s">
        <v>32</v>
      </c>
      <c r="Y229" s="964" t="s">
        <v>32</v>
      </c>
      <c r="Z229" s="964" t="s">
        <v>32</v>
      </c>
      <c r="AA229" s="964" t="s">
        <v>51</v>
      </c>
      <c r="AB229" s="1621" t="s">
        <v>32</v>
      </c>
      <c r="AC229" s="1794"/>
      <c r="AD229" s="1794"/>
      <c r="AE229" s="1628" t="s">
        <v>32</v>
      </c>
      <c r="AF229" s="1628" t="s">
        <v>32</v>
      </c>
      <c r="AG229" s="1788" t="s">
        <v>32</v>
      </c>
      <c r="AH229" s="178"/>
      <c r="AI229" s="179"/>
    </row>
    <row r="230" spans="1:35" ht="21" customHeight="1" x14ac:dyDescent="0.2">
      <c r="A230" s="1789">
        <v>3701</v>
      </c>
      <c r="B230" s="1793" t="s">
        <v>298</v>
      </c>
      <c r="C230" s="1584" t="s">
        <v>32</v>
      </c>
      <c r="D230" s="1584" t="s">
        <v>32</v>
      </c>
      <c r="E230" s="1584" t="s">
        <v>32</v>
      </c>
      <c r="F230" s="1584" t="s">
        <v>32</v>
      </c>
      <c r="G230" s="1584" t="s">
        <v>32</v>
      </c>
      <c r="H230" s="1626"/>
      <c r="I230" s="1626"/>
      <c r="J230" s="1581" t="s">
        <v>32</v>
      </c>
      <c r="K230" s="1581" t="s">
        <v>32</v>
      </c>
      <c r="L230" s="1581" t="s">
        <v>32</v>
      </c>
      <c r="M230" s="1581" t="s">
        <v>32</v>
      </c>
      <c r="N230" s="1626" t="s">
        <v>32</v>
      </c>
      <c r="O230" s="1626"/>
      <c r="P230" s="1626"/>
      <c r="Q230" s="1628" t="s">
        <v>32</v>
      </c>
      <c r="R230" s="1626" t="s">
        <v>32</v>
      </c>
      <c r="S230" s="1581" t="s">
        <v>32</v>
      </c>
      <c r="T230" s="1581" t="s">
        <v>32</v>
      </c>
      <c r="U230" s="1626" t="s">
        <v>32</v>
      </c>
      <c r="V230" s="1626"/>
      <c r="W230" s="1626"/>
      <c r="X230" s="1581" t="s">
        <v>32</v>
      </c>
      <c r="Y230" s="1626" t="s">
        <v>32</v>
      </c>
      <c r="Z230" s="1581" t="s">
        <v>32</v>
      </c>
      <c r="AA230" s="1581" t="s">
        <v>32</v>
      </c>
      <c r="AB230" s="1581" t="s">
        <v>32</v>
      </c>
      <c r="AC230" s="1581"/>
      <c r="AD230" s="1626"/>
      <c r="AE230" s="1626" t="s">
        <v>32</v>
      </c>
      <c r="AF230" s="1626" t="s">
        <v>32</v>
      </c>
      <c r="AG230" s="1788" t="s">
        <v>32</v>
      </c>
      <c r="AH230" s="178"/>
      <c r="AI230" s="179"/>
    </row>
    <row r="231" spans="1:35" ht="22.35" customHeight="1" x14ac:dyDescent="0.2">
      <c r="A231" s="1789">
        <v>3701</v>
      </c>
      <c r="B231" s="1792" t="s">
        <v>299</v>
      </c>
      <c r="C231" s="1581"/>
      <c r="D231" s="1581"/>
      <c r="E231" s="1581"/>
      <c r="F231" s="1581"/>
      <c r="G231" s="1581"/>
      <c r="H231" s="1626"/>
      <c r="I231" s="1626"/>
      <c r="J231" s="1581"/>
      <c r="K231" s="1581"/>
      <c r="L231" s="1581"/>
      <c r="M231" s="1581"/>
      <c r="N231" s="1626"/>
      <c r="O231" s="1626"/>
      <c r="P231" s="1626"/>
      <c r="Q231" s="1628"/>
      <c r="R231" s="1626"/>
      <c r="S231" s="1581"/>
      <c r="T231" s="1581"/>
      <c r="U231" s="1626"/>
      <c r="V231" s="1626"/>
      <c r="W231" s="1626"/>
      <c r="X231" s="1581"/>
      <c r="Y231" s="1626"/>
      <c r="Z231" s="1581"/>
      <c r="AA231" s="1581"/>
      <c r="AB231" s="1581"/>
      <c r="AC231" s="1581"/>
      <c r="AD231" s="1626"/>
      <c r="AE231" s="1626"/>
      <c r="AF231" s="1626"/>
      <c r="AG231" s="1788"/>
      <c r="AH231" s="178"/>
      <c r="AI231" s="179"/>
    </row>
    <row r="232" spans="1:35" ht="22.35" customHeight="1" x14ac:dyDescent="0.2">
      <c r="A232" s="1789">
        <v>3701</v>
      </c>
      <c r="B232" s="1793" t="s">
        <v>300</v>
      </c>
      <c r="C232" s="1581" t="s">
        <v>32</v>
      </c>
      <c r="D232" s="1581" t="s">
        <v>32</v>
      </c>
      <c r="E232" s="1581" t="s">
        <v>32</v>
      </c>
      <c r="F232" s="1581" t="s">
        <v>32</v>
      </c>
      <c r="G232" s="1581" t="s">
        <v>32</v>
      </c>
      <c r="H232" s="1581"/>
      <c r="I232" s="1581"/>
      <c r="J232" s="1581" t="s">
        <v>32</v>
      </c>
      <c r="K232" s="1581" t="s">
        <v>32</v>
      </c>
      <c r="L232" s="1581" t="s">
        <v>32</v>
      </c>
      <c r="M232" s="1581" t="s">
        <v>32</v>
      </c>
      <c r="N232" s="1626" t="s">
        <v>32</v>
      </c>
      <c r="O232" s="1626"/>
      <c r="P232" s="1626"/>
      <c r="Q232" s="1628" t="s">
        <v>32</v>
      </c>
      <c r="R232" s="1626" t="s">
        <v>32</v>
      </c>
      <c r="S232" s="1581" t="s">
        <v>32</v>
      </c>
      <c r="T232" s="1581" t="s">
        <v>32</v>
      </c>
      <c r="U232" s="1626" t="s">
        <v>32</v>
      </c>
      <c r="V232" s="1626"/>
      <c r="W232" s="1626"/>
      <c r="X232" s="1581" t="s">
        <v>32</v>
      </c>
      <c r="Y232" s="1626" t="s">
        <v>32</v>
      </c>
      <c r="Z232" s="1581" t="s">
        <v>32</v>
      </c>
      <c r="AA232" s="1581" t="s">
        <v>32</v>
      </c>
      <c r="AB232" s="1581" t="s">
        <v>32</v>
      </c>
      <c r="AC232" s="1581"/>
      <c r="AD232" s="1626"/>
      <c r="AE232" s="1626" t="s">
        <v>32</v>
      </c>
      <c r="AF232" s="1626" t="s">
        <v>32</v>
      </c>
      <c r="AG232" s="1788" t="s">
        <v>32</v>
      </c>
      <c r="AH232" s="178"/>
      <c r="AI232" s="179"/>
    </row>
    <row r="233" spans="1:35" ht="22.35" customHeight="1" x14ac:dyDescent="0.2">
      <c r="A233" s="1789">
        <v>3701</v>
      </c>
      <c r="B233" s="1793" t="s">
        <v>301</v>
      </c>
      <c r="C233" s="1581" t="s">
        <v>32</v>
      </c>
      <c r="D233" s="1795" t="s">
        <v>32</v>
      </c>
      <c r="E233" s="1581" t="s">
        <v>32</v>
      </c>
      <c r="F233" s="1796" t="s">
        <v>32</v>
      </c>
      <c r="G233" s="1621" t="s">
        <v>32</v>
      </c>
      <c r="H233" s="1628"/>
      <c r="I233" s="1581"/>
      <c r="J233" s="1581" t="s">
        <v>32</v>
      </c>
      <c r="K233" s="1581" t="s">
        <v>32</v>
      </c>
      <c r="L233" s="1581" t="s">
        <v>32</v>
      </c>
      <c r="M233" s="1581" t="s">
        <v>32</v>
      </c>
      <c r="N233" s="1626" t="s">
        <v>32</v>
      </c>
      <c r="O233" s="1626"/>
      <c r="P233" s="1626"/>
      <c r="Q233" s="1628" t="s">
        <v>32</v>
      </c>
      <c r="R233" s="1626" t="s">
        <v>32</v>
      </c>
      <c r="S233" s="1797" t="s">
        <v>32</v>
      </c>
      <c r="T233" s="1581" t="s">
        <v>32</v>
      </c>
      <c r="U233" s="1626" t="s">
        <v>32</v>
      </c>
      <c r="V233" s="1626"/>
      <c r="W233" s="1626"/>
      <c r="X233" s="1626" t="s">
        <v>32</v>
      </c>
      <c r="Y233" s="1626" t="s">
        <v>32</v>
      </c>
      <c r="Z233" s="1581" t="s">
        <v>32</v>
      </c>
      <c r="AA233" s="1581" t="s">
        <v>32</v>
      </c>
      <c r="AB233" s="1581" t="s">
        <v>32</v>
      </c>
      <c r="AC233" s="1797"/>
      <c r="AD233" s="1797"/>
      <c r="AE233" s="1797" t="s">
        <v>32</v>
      </c>
      <c r="AF233" s="1797" t="s">
        <v>32</v>
      </c>
      <c r="AG233" s="1788" t="s">
        <v>32</v>
      </c>
      <c r="AH233" s="178"/>
      <c r="AI233" s="179"/>
    </row>
    <row r="234" spans="1:35" ht="22.35" customHeight="1" x14ac:dyDescent="0.2">
      <c r="A234" s="1798">
        <v>3701</v>
      </c>
      <c r="B234" s="1793" t="s">
        <v>302</v>
      </c>
      <c r="C234" s="1581" t="s">
        <v>32</v>
      </c>
      <c r="D234" s="1581" t="s">
        <v>32</v>
      </c>
      <c r="E234" s="1581" t="s">
        <v>32</v>
      </c>
      <c r="F234" s="1581" t="s">
        <v>32</v>
      </c>
      <c r="G234" s="1795" t="s">
        <v>32</v>
      </c>
      <c r="H234" s="1581"/>
      <c r="I234" s="1581"/>
      <c r="J234" s="1584" t="s">
        <v>32</v>
      </c>
      <c r="K234" s="1584" t="s">
        <v>32</v>
      </c>
      <c r="L234" s="1584" t="s">
        <v>32</v>
      </c>
      <c r="M234" s="1584" t="s">
        <v>32</v>
      </c>
      <c r="N234" s="1584" t="s">
        <v>32</v>
      </c>
      <c r="O234" s="1626"/>
      <c r="P234" s="1626"/>
      <c r="Q234" s="1628" t="s">
        <v>32</v>
      </c>
      <c r="R234" s="1626" t="s">
        <v>32</v>
      </c>
      <c r="S234" s="1581" t="s">
        <v>32</v>
      </c>
      <c r="T234" s="1581" t="s">
        <v>32</v>
      </c>
      <c r="U234" s="1626" t="s">
        <v>32</v>
      </c>
      <c r="V234" s="1626"/>
      <c r="W234" s="1626"/>
      <c r="X234" s="1581" t="s">
        <v>32</v>
      </c>
      <c r="Y234" s="1626" t="s">
        <v>32</v>
      </c>
      <c r="Z234" s="1581" t="s">
        <v>32</v>
      </c>
      <c r="AA234" s="1581" t="s">
        <v>32</v>
      </c>
      <c r="AB234" s="1581" t="s">
        <v>32</v>
      </c>
      <c r="AC234" s="1581"/>
      <c r="AD234" s="1626"/>
      <c r="AE234" s="1626" t="s">
        <v>32</v>
      </c>
      <c r="AF234" s="1626" t="s">
        <v>32</v>
      </c>
      <c r="AG234" s="1788" t="s">
        <v>32</v>
      </c>
      <c r="AH234" s="178"/>
      <c r="AI234" s="179"/>
    </row>
    <row r="235" spans="1:35" ht="22.35" customHeight="1" x14ac:dyDescent="0.2">
      <c r="A235" s="1789">
        <v>3701</v>
      </c>
      <c r="B235" s="1793" t="s">
        <v>303</v>
      </c>
      <c r="C235" s="1621" t="s">
        <v>32</v>
      </c>
      <c r="D235" s="1621" t="s">
        <v>32</v>
      </c>
      <c r="E235" s="1621" t="s">
        <v>32</v>
      </c>
      <c r="F235" s="1621" t="s">
        <v>32</v>
      </c>
      <c r="G235" s="964" t="s">
        <v>32</v>
      </c>
      <c r="H235" s="964" t="s">
        <v>101</v>
      </c>
      <c r="I235" s="965"/>
      <c r="J235" s="1621" t="s">
        <v>32</v>
      </c>
      <c r="K235" s="1621" t="s">
        <v>32</v>
      </c>
      <c r="L235" s="1621" t="s">
        <v>32</v>
      </c>
      <c r="M235" s="1621" t="s">
        <v>32</v>
      </c>
      <c r="N235" s="1621" t="s">
        <v>32</v>
      </c>
      <c r="O235" s="1626"/>
      <c r="P235" s="1626"/>
      <c r="Q235" s="964" t="s">
        <v>51</v>
      </c>
      <c r="R235" s="1621" t="s">
        <v>32</v>
      </c>
      <c r="S235" s="1621" t="s">
        <v>32</v>
      </c>
      <c r="T235" s="1621" t="s">
        <v>32</v>
      </c>
      <c r="U235" s="1621" t="s">
        <v>32</v>
      </c>
      <c r="V235" s="1621"/>
      <c r="W235" s="1621"/>
      <c r="X235" s="1584" t="s">
        <v>32</v>
      </c>
      <c r="Y235" s="1795" t="s">
        <v>32</v>
      </c>
      <c r="Z235" s="1791" t="s">
        <v>32</v>
      </c>
      <c r="AA235" s="1791" t="s">
        <v>32</v>
      </c>
      <c r="AB235" s="1584" t="s">
        <v>32</v>
      </c>
      <c r="AC235" s="1581"/>
      <c r="AD235" s="1626"/>
      <c r="AE235" s="1796" t="s">
        <v>32</v>
      </c>
      <c r="AF235" s="1796" t="s">
        <v>32</v>
      </c>
      <c r="AG235" s="1799" t="s">
        <v>51</v>
      </c>
      <c r="AH235" s="178"/>
      <c r="AI235" s="179"/>
    </row>
    <row r="236" spans="1:35" ht="22.35" customHeight="1" x14ac:dyDescent="0.2">
      <c r="A236" s="1789">
        <v>3701</v>
      </c>
      <c r="B236" s="1793" t="s">
        <v>304</v>
      </c>
      <c r="C236" s="1584" t="s">
        <v>32</v>
      </c>
      <c r="D236" s="1584" t="s">
        <v>32</v>
      </c>
      <c r="E236" s="1584" t="s">
        <v>32</v>
      </c>
      <c r="F236" s="1584" t="s">
        <v>32</v>
      </c>
      <c r="G236" s="1584" t="s">
        <v>32</v>
      </c>
      <c r="H236" s="1584"/>
      <c r="I236" s="1584"/>
      <c r="J236" s="1795" t="s">
        <v>32</v>
      </c>
      <c r="K236" s="1795" t="s">
        <v>32</v>
      </c>
      <c r="L236" s="1795" t="s">
        <v>32</v>
      </c>
      <c r="M236" s="1795" t="s">
        <v>32</v>
      </c>
      <c r="N236" s="1795" t="s">
        <v>32</v>
      </c>
      <c r="O236" s="1626"/>
      <c r="P236" s="1626"/>
      <c r="Q236" s="1628" t="s">
        <v>32</v>
      </c>
      <c r="R236" s="1626" t="s">
        <v>32</v>
      </c>
      <c r="S236" s="1581" t="s">
        <v>32</v>
      </c>
      <c r="T236" s="1581" t="s">
        <v>32</v>
      </c>
      <c r="U236" s="1800" t="s">
        <v>32</v>
      </c>
      <c r="V236" s="1626"/>
      <c r="W236" s="1626"/>
      <c r="X236" s="1581" t="s">
        <v>32</v>
      </c>
      <c r="Y236" s="1626" t="s">
        <v>32</v>
      </c>
      <c r="Z236" s="1581" t="s">
        <v>32</v>
      </c>
      <c r="AA236" s="1581" t="s">
        <v>32</v>
      </c>
      <c r="AB236" s="1581" t="s">
        <v>32</v>
      </c>
      <c r="AC236" s="1581"/>
      <c r="AD236" s="1626"/>
      <c r="AE236" s="1626" t="s">
        <v>32</v>
      </c>
      <c r="AF236" s="1626" t="s">
        <v>32</v>
      </c>
      <c r="AG236" s="1801" t="s">
        <v>32</v>
      </c>
      <c r="AH236" s="178"/>
      <c r="AI236" s="179"/>
    </row>
    <row r="237" spans="1:35" ht="22.35" customHeight="1" x14ac:dyDescent="0.2">
      <c r="A237" s="1789"/>
      <c r="B237" s="1793"/>
      <c r="C237" s="1581" t="s">
        <v>32</v>
      </c>
      <c r="D237" s="1581" t="s">
        <v>32</v>
      </c>
      <c r="E237" s="1581" t="s">
        <v>32</v>
      </c>
      <c r="F237" s="1581" t="s">
        <v>32</v>
      </c>
      <c r="G237" s="1581" t="s">
        <v>32</v>
      </c>
      <c r="H237" s="1581"/>
      <c r="I237" s="1581"/>
      <c r="J237" s="1581" t="s">
        <v>32</v>
      </c>
      <c r="K237" s="1581" t="s">
        <v>32</v>
      </c>
      <c r="L237" s="1581" t="s">
        <v>32</v>
      </c>
      <c r="M237" s="1581" t="s">
        <v>32</v>
      </c>
      <c r="N237" s="1626" t="s">
        <v>32</v>
      </c>
      <c r="O237" s="1626"/>
      <c r="P237" s="1626"/>
      <c r="Q237" s="1628" t="s">
        <v>32</v>
      </c>
      <c r="R237" s="1626" t="s">
        <v>32</v>
      </c>
      <c r="S237" s="1581" t="s">
        <v>32</v>
      </c>
      <c r="T237" s="1581" t="s">
        <v>32</v>
      </c>
      <c r="U237" s="1626" t="s">
        <v>32</v>
      </c>
      <c r="V237" s="1626"/>
      <c r="W237" s="1626"/>
      <c r="X237" s="1626" t="s">
        <v>32</v>
      </c>
      <c r="Y237" s="1626" t="s">
        <v>32</v>
      </c>
      <c r="Z237" s="1581" t="s">
        <v>32</v>
      </c>
      <c r="AA237" s="1581" t="s">
        <v>32</v>
      </c>
      <c r="AB237" s="1581" t="s">
        <v>32</v>
      </c>
      <c r="AC237" s="1626"/>
      <c r="AD237" s="1626"/>
      <c r="AE237" s="1626" t="s">
        <v>32</v>
      </c>
      <c r="AF237" s="1626" t="s">
        <v>32</v>
      </c>
      <c r="AG237" s="1788" t="s">
        <v>32</v>
      </c>
      <c r="AH237" s="178"/>
      <c r="AI237" s="179"/>
    </row>
    <row r="238" spans="1:35" ht="22.35" customHeight="1" x14ac:dyDescent="0.2">
      <c r="A238" s="1789"/>
      <c r="B238" s="1793" t="s">
        <v>306</v>
      </c>
      <c r="C238" s="1581" t="s">
        <v>32</v>
      </c>
      <c r="D238" s="1581" t="s">
        <v>32</v>
      </c>
      <c r="E238" s="1581" t="s">
        <v>32</v>
      </c>
      <c r="F238" s="1581" t="s">
        <v>32</v>
      </c>
      <c r="G238" s="1581" t="s">
        <v>32</v>
      </c>
      <c r="H238" s="1581"/>
      <c r="I238" s="1581"/>
      <c r="J238" s="1581" t="s">
        <v>32</v>
      </c>
      <c r="K238" s="1581" t="s">
        <v>32</v>
      </c>
      <c r="L238" s="1581" t="s">
        <v>32</v>
      </c>
      <c r="M238" s="1581" t="s">
        <v>32</v>
      </c>
      <c r="N238" s="1626" t="s">
        <v>32</v>
      </c>
      <c r="O238" s="1626"/>
      <c r="P238" s="1626"/>
      <c r="Q238" s="1628" t="s">
        <v>32</v>
      </c>
      <c r="R238" s="1626" t="s">
        <v>32</v>
      </c>
      <c r="S238" s="1581" t="s">
        <v>32</v>
      </c>
      <c r="T238" s="1581" t="s">
        <v>32</v>
      </c>
      <c r="U238" s="1626" t="s">
        <v>32</v>
      </c>
      <c r="V238" s="1626"/>
      <c r="W238" s="1626"/>
      <c r="X238" s="1581" t="s">
        <v>32</v>
      </c>
      <c r="Y238" s="1626" t="s">
        <v>32</v>
      </c>
      <c r="Z238" s="1581" t="s">
        <v>32</v>
      </c>
      <c r="AA238" s="1581" t="s">
        <v>32</v>
      </c>
      <c r="AB238" s="1581" t="s">
        <v>32</v>
      </c>
      <c r="AC238" s="1581"/>
      <c r="AD238" s="1581"/>
      <c r="AE238" s="980" t="s">
        <v>32</v>
      </c>
      <c r="AF238" s="1581" t="s">
        <v>32</v>
      </c>
      <c r="AG238" s="1788" t="s">
        <v>32</v>
      </c>
      <c r="AH238" s="178"/>
      <c r="AI238" s="179"/>
    </row>
    <row r="239" spans="1:35" ht="22.35" customHeight="1" x14ac:dyDescent="0.2">
      <c r="A239" s="1789"/>
      <c r="B239" s="1792" t="s">
        <v>307</v>
      </c>
      <c r="C239" s="1581"/>
      <c r="D239" s="1581"/>
      <c r="E239" s="1581"/>
      <c r="F239" s="1581"/>
      <c r="G239" s="1581"/>
      <c r="H239" s="1581"/>
      <c r="I239" s="1581"/>
      <c r="J239" s="1581"/>
      <c r="K239" s="1581"/>
      <c r="L239" s="1581"/>
      <c r="M239" s="1581"/>
      <c r="N239" s="1626"/>
      <c r="O239" s="1626"/>
      <c r="P239" s="1626"/>
      <c r="Q239" s="1628"/>
      <c r="R239" s="1626"/>
      <c r="S239" s="1581"/>
      <c r="T239" s="1581"/>
      <c r="U239" s="1626"/>
      <c r="V239" s="1626"/>
      <c r="W239" s="1626"/>
      <c r="X239" s="1581"/>
      <c r="Y239" s="1626"/>
      <c r="Z239" s="1581"/>
      <c r="AA239" s="1581"/>
      <c r="AB239" s="1581"/>
      <c r="AC239" s="1581"/>
      <c r="AD239" s="1581"/>
      <c r="AE239" s="1581"/>
      <c r="AF239" s="1581"/>
      <c r="AG239" s="1788"/>
      <c r="AH239" s="178"/>
      <c r="AI239" s="179"/>
    </row>
    <row r="240" spans="1:35" ht="22.35" customHeight="1" x14ac:dyDescent="0.2">
      <c r="A240" s="1789"/>
      <c r="B240" s="1793" t="s">
        <v>308</v>
      </c>
      <c r="C240" s="1581" t="s">
        <v>32</v>
      </c>
      <c r="D240" s="1581" t="s">
        <v>32</v>
      </c>
      <c r="E240" s="1581" t="s">
        <v>32</v>
      </c>
      <c r="F240" s="1581" t="s">
        <v>32</v>
      </c>
      <c r="G240" s="1581" t="s">
        <v>32</v>
      </c>
      <c r="H240" s="1581"/>
      <c r="I240" s="1581"/>
      <c r="J240" s="1581" t="s">
        <v>32</v>
      </c>
      <c r="K240" s="1581" t="s">
        <v>32</v>
      </c>
      <c r="L240" s="1581" t="s">
        <v>32</v>
      </c>
      <c r="M240" s="1581" t="s">
        <v>32</v>
      </c>
      <c r="N240" s="1626" t="s">
        <v>32</v>
      </c>
      <c r="O240" s="1626"/>
      <c r="P240" s="1626"/>
      <c r="Q240" s="1628" t="s">
        <v>32</v>
      </c>
      <c r="R240" s="1626" t="s">
        <v>32</v>
      </c>
      <c r="S240" s="1802" t="s">
        <v>32</v>
      </c>
      <c r="T240" s="1800" t="s">
        <v>32</v>
      </c>
      <c r="U240" s="1800" t="s">
        <v>32</v>
      </c>
      <c r="V240" s="1626"/>
      <c r="W240" s="1626"/>
      <c r="X240" s="1581" t="s">
        <v>32</v>
      </c>
      <c r="Y240" s="1626" t="s">
        <v>32</v>
      </c>
      <c r="Z240" s="1581" t="s">
        <v>32</v>
      </c>
      <c r="AA240" s="1800" t="s">
        <v>32</v>
      </c>
      <c r="AB240" s="1581" t="s">
        <v>32</v>
      </c>
      <c r="AC240" s="1581"/>
      <c r="AD240" s="1581"/>
      <c r="AE240" s="1581" t="s">
        <v>32</v>
      </c>
      <c r="AF240" s="1581" t="s">
        <v>32</v>
      </c>
      <c r="AG240" s="1788" t="s">
        <v>32</v>
      </c>
      <c r="AH240" s="178"/>
      <c r="AI240" s="179"/>
    </row>
    <row r="241" spans="1:35" ht="22.35" customHeight="1" x14ac:dyDescent="0.2">
      <c r="A241" s="1789"/>
      <c r="B241" s="1793" t="s">
        <v>309</v>
      </c>
      <c r="C241" s="1581" t="s">
        <v>32</v>
      </c>
      <c r="D241" s="1581" t="s">
        <v>32</v>
      </c>
      <c r="E241" s="1581" t="s">
        <v>32</v>
      </c>
      <c r="F241" s="1581" t="s">
        <v>32</v>
      </c>
      <c r="G241" s="1581" t="s">
        <v>32</v>
      </c>
      <c r="H241" s="1581"/>
      <c r="I241" s="1581"/>
      <c r="J241" s="1581" t="s">
        <v>32</v>
      </c>
      <c r="K241" s="1581" t="s">
        <v>32</v>
      </c>
      <c r="L241" s="1581" t="s">
        <v>32</v>
      </c>
      <c r="M241" s="1581" t="s">
        <v>32</v>
      </c>
      <c r="N241" s="1626" t="s">
        <v>32</v>
      </c>
      <c r="O241" s="1626"/>
      <c r="P241" s="1626"/>
      <c r="Q241" s="1628" t="s">
        <v>32</v>
      </c>
      <c r="R241" s="1626" t="s">
        <v>32</v>
      </c>
      <c r="S241" s="1581" t="s">
        <v>32</v>
      </c>
      <c r="T241" s="1581" t="s">
        <v>32</v>
      </c>
      <c r="U241" s="1626" t="s">
        <v>32</v>
      </c>
      <c r="V241" s="1626"/>
      <c r="W241" s="1626"/>
      <c r="X241" s="1581" t="s">
        <v>32</v>
      </c>
      <c r="Y241" s="1626" t="s">
        <v>32</v>
      </c>
      <c r="Z241" s="1581" t="s">
        <v>32</v>
      </c>
      <c r="AA241" s="1581" t="s">
        <v>32</v>
      </c>
      <c r="AB241" s="1581" t="s">
        <v>32</v>
      </c>
      <c r="AC241" s="1581"/>
      <c r="AD241" s="1581"/>
      <c r="AE241" s="1581" t="s">
        <v>32</v>
      </c>
      <c r="AF241" s="964" t="s">
        <v>32</v>
      </c>
      <c r="AG241" s="1803" t="s">
        <v>32</v>
      </c>
      <c r="AH241" s="178"/>
      <c r="AI241" s="179"/>
    </row>
    <row r="242" spans="1:35" ht="22.35" customHeight="1" x14ac:dyDescent="0.2">
      <c r="A242" s="1789"/>
      <c r="B242" s="1793"/>
      <c r="C242" s="1581" t="s">
        <v>32</v>
      </c>
      <c r="D242" s="1581" t="s">
        <v>32</v>
      </c>
      <c r="E242" s="1581" t="s">
        <v>32</v>
      </c>
      <c r="F242" s="1581" t="s">
        <v>32</v>
      </c>
      <c r="G242" s="1581" t="s">
        <v>32</v>
      </c>
      <c r="H242" s="1581"/>
      <c r="I242" s="1581"/>
      <c r="J242" s="1581" t="s">
        <v>32</v>
      </c>
      <c r="K242" s="1581" t="s">
        <v>32</v>
      </c>
      <c r="L242" s="1581" t="s">
        <v>32</v>
      </c>
      <c r="M242" s="1581" t="s">
        <v>32</v>
      </c>
      <c r="N242" s="1626" t="s">
        <v>32</v>
      </c>
      <c r="O242" s="1626"/>
      <c r="P242" s="1626"/>
      <c r="Q242" s="1628" t="s">
        <v>32</v>
      </c>
      <c r="R242" s="1626" t="s">
        <v>32</v>
      </c>
      <c r="S242" s="1581" t="s">
        <v>32</v>
      </c>
      <c r="T242" s="1581" t="s">
        <v>32</v>
      </c>
      <c r="U242" s="1626" t="s">
        <v>32</v>
      </c>
      <c r="V242" s="1626"/>
      <c r="W242" s="1626"/>
      <c r="X242" s="1626" t="s">
        <v>32</v>
      </c>
      <c r="Y242" s="1626" t="s">
        <v>32</v>
      </c>
      <c r="Z242" s="1581" t="s">
        <v>32</v>
      </c>
      <c r="AA242" s="1581" t="s">
        <v>32</v>
      </c>
      <c r="AB242" s="1581" t="s">
        <v>32</v>
      </c>
      <c r="AC242" s="1626"/>
      <c r="AD242" s="1626"/>
      <c r="AE242" s="1626" t="s">
        <v>32</v>
      </c>
      <c r="AF242" s="1626" t="s">
        <v>32</v>
      </c>
      <c r="AG242" s="1804" t="s">
        <v>32</v>
      </c>
      <c r="AH242" s="175"/>
      <c r="AI242" s="107"/>
    </row>
    <row r="243" spans="1:35" ht="22.35" customHeight="1" x14ac:dyDescent="0.2">
      <c r="A243" s="1789"/>
      <c r="B243" s="1793" t="s">
        <v>311</v>
      </c>
      <c r="C243" s="1584" t="s">
        <v>32</v>
      </c>
      <c r="D243" s="1584" t="s">
        <v>32</v>
      </c>
      <c r="E243" s="1584" t="s">
        <v>32</v>
      </c>
      <c r="F243" s="1584" t="s">
        <v>32</v>
      </c>
      <c r="G243" s="1584" t="s">
        <v>32</v>
      </c>
      <c r="H243" s="1581"/>
      <c r="I243" s="1581"/>
      <c r="J243" s="1581" t="s">
        <v>32</v>
      </c>
      <c r="K243" s="1581" t="s">
        <v>32</v>
      </c>
      <c r="L243" s="1584" t="s">
        <v>32</v>
      </c>
      <c r="M243" s="1581" t="s">
        <v>32</v>
      </c>
      <c r="N243" s="1626" t="s">
        <v>32</v>
      </c>
      <c r="O243" s="1626"/>
      <c r="P243" s="1626"/>
      <c r="Q243" s="1628" t="s">
        <v>32</v>
      </c>
      <c r="R243" s="1626" t="s">
        <v>32</v>
      </c>
      <c r="S243" s="1581" t="s">
        <v>32</v>
      </c>
      <c r="T243" s="1581" t="s">
        <v>32</v>
      </c>
      <c r="U243" s="1626" t="s">
        <v>32</v>
      </c>
      <c r="V243" s="1626"/>
      <c r="W243" s="1626"/>
      <c r="X243" s="1626" t="s">
        <v>32</v>
      </c>
      <c r="Y243" s="1626" t="s">
        <v>32</v>
      </c>
      <c r="Z243" s="1581" t="s">
        <v>32</v>
      </c>
      <c r="AA243" s="1581" t="s">
        <v>32</v>
      </c>
      <c r="AB243" s="1581" t="s">
        <v>32</v>
      </c>
      <c r="AC243" s="1626"/>
      <c r="AD243" s="1626"/>
      <c r="AE243" s="1626" t="s">
        <v>32</v>
      </c>
      <c r="AF243" s="1626" t="s">
        <v>32</v>
      </c>
      <c r="AG243" s="1804" t="s">
        <v>32</v>
      </c>
      <c r="AH243" s="175"/>
      <c r="AI243" s="107"/>
    </row>
    <row r="244" spans="1:35" ht="22.35" customHeight="1" x14ac:dyDescent="0.2">
      <c r="A244" s="1621"/>
      <c r="B244" s="1805"/>
      <c r="C244" s="1581"/>
      <c r="D244" s="1581"/>
      <c r="E244" s="1581"/>
      <c r="F244" s="1581"/>
      <c r="G244" s="1581"/>
      <c r="H244" s="1581"/>
      <c r="I244" s="1581"/>
      <c r="J244" s="1581"/>
      <c r="K244" s="1581"/>
      <c r="L244" s="1581"/>
      <c r="M244" s="1581"/>
      <c r="N244" s="1581"/>
      <c r="O244" s="1581"/>
      <c r="P244" s="1581"/>
      <c r="Q244" s="1581"/>
      <c r="R244" s="1581"/>
      <c r="S244" s="1581"/>
      <c r="T244" s="1581"/>
      <c r="U244" s="1581"/>
      <c r="V244" s="1581"/>
      <c r="W244" s="1581"/>
      <c r="X244" s="1581"/>
      <c r="Y244" s="1581"/>
      <c r="Z244" s="1581"/>
      <c r="AA244" s="1581"/>
      <c r="AB244" s="1581"/>
      <c r="AC244" s="1581"/>
      <c r="AD244" s="1581"/>
      <c r="AE244" s="1581"/>
      <c r="AF244" s="1581"/>
      <c r="AG244" s="1788"/>
      <c r="AH244" s="175"/>
      <c r="AI244" s="107"/>
    </row>
    <row r="245" spans="1:35" ht="22.35" customHeight="1" x14ac:dyDescent="0.2">
      <c r="A245" s="1621"/>
      <c r="B245" s="933"/>
      <c r="C245" s="1581"/>
      <c r="D245" s="1581"/>
      <c r="E245" s="1581"/>
      <c r="F245" s="1581"/>
      <c r="G245" s="1581"/>
      <c r="H245" s="1581"/>
      <c r="I245" s="1581"/>
      <c r="J245" s="1581"/>
      <c r="K245" s="1581"/>
      <c r="L245" s="1581"/>
      <c r="M245" s="1581"/>
      <c r="N245" s="1626"/>
      <c r="O245" s="1626"/>
      <c r="P245" s="1626"/>
      <c r="Q245" s="1628"/>
      <c r="R245" s="1626"/>
      <c r="S245" s="1581"/>
      <c r="T245" s="1581"/>
      <c r="U245" s="1626"/>
      <c r="V245" s="1626"/>
      <c r="W245" s="1626"/>
      <c r="X245" s="1581"/>
      <c r="Y245" s="1626"/>
      <c r="Z245" s="1581"/>
      <c r="AA245" s="1581"/>
      <c r="AB245" s="1581"/>
      <c r="AC245" s="1581"/>
      <c r="AD245" s="1581"/>
      <c r="AE245" s="1581"/>
      <c r="AF245" s="1626"/>
      <c r="AG245" s="1804"/>
      <c r="AH245" s="175"/>
      <c r="AI245" s="107"/>
    </row>
    <row r="246" spans="1:35" ht="22.35" customHeight="1" x14ac:dyDescent="0.2">
      <c r="A246" s="1621"/>
      <c r="B246" s="1621"/>
      <c r="C246" s="1581"/>
      <c r="D246" s="1581"/>
      <c r="E246" s="1581"/>
      <c r="F246" s="1581"/>
      <c r="G246" s="1581"/>
      <c r="H246" s="1581"/>
      <c r="I246" s="1581"/>
      <c r="J246" s="1581"/>
      <c r="K246" s="1581"/>
      <c r="L246" s="1581"/>
      <c r="M246" s="1581"/>
      <c r="N246" s="1581"/>
      <c r="O246" s="1581"/>
      <c r="P246" s="1581"/>
      <c r="Q246" s="1581"/>
      <c r="R246" s="1581"/>
      <c r="S246" s="1581"/>
      <c r="T246" s="1581"/>
      <c r="U246" s="1581"/>
      <c r="V246" s="1581"/>
      <c r="W246" s="1581"/>
      <c r="X246" s="1581"/>
      <c r="Y246" s="1581"/>
      <c r="Z246" s="1581"/>
      <c r="AA246" s="1581"/>
      <c r="AB246" s="1581"/>
      <c r="AC246" s="1581"/>
      <c r="AD246" s="1581"/>
      <c r="AE246" s="1581"/>
      <c r="AF246" s="1581"/>
      <c r="AG246" s="1788"/>
      <c r="AH246" s="175"/>
      <c r="AI246" s="107"/>
    </row>
    <row r="247" spans="1:35" ht="22.35" customHeight="1" x14ac:dyDescent="0.2">
      <c r="A247" s="1621"/>
      <c r="B247" s="1621"/>
      <c r="C247" s="1581"/>
      <c r="D247" s="1581"/>
      <c r="E247" s="1581"/>
      <c r="F247" s="1581"/>
      <c r="G247" s="1581"/>
      <c r="H247" s="1806"/>
      <c r="I247" s="1581"/>
      <c r="J247" s="1581"/>
      <c r="K247" s="1581"/>
      <c r="L247" s="1581"/>
      <c r="M247" s="1581"/>
      <c r="N247" s="1581"/>
      <c r="O247" s="1581"/>
      <c r="P247" s="1581"/>
      <c r="Q247" s="1581"/>
      <c r="R247" s="1581"/>
      <c r="S247" s="1581"/>
      <c r="T247" s="1581"/>
      <c r="U247" s="1581"/>
      <c r="V247" s="1581"/>
      <c r="W247" s="1581"/>
      <c r="X247" s="1581"/>
      <c r="Y247" s="1581"/>
      <c r="Z247" s="1581"/>
      <c r="AA247" s="1581"/>
      <c r="AB247" s="1581"/>
      <c r="AC247" s="1581"/>
      <c r="AD247" s="1581"/>
      <c r="AE247" s="1581"/>
      <c r="AF247" s="1581"/>
      <c r="AG247" s="1807"/>
      <c r="AH247" s="175"/>
      <c r="AI247" s="107"/>
    </row>
    <row r="248" spans="1:35" ht="22.35" customHeight="1" x14ac:dyDescent="0.2">
      <c r="A248" s="1789"/>
      <c r="B248" s="1808"/>
      <c r="C248" s="1581"/>
      <c r="D248" s="1581"/>
      <c r="E248" s="1581"/>
      <c r="F248" s="1581"/>
      <c r="G248" s="1581"/>
      <c r="H248" s="1581"/>
      <c r="I248" s="1581"/>
      <c r="J248" s="1581"/>
      <c r="K248" s="1581"/>
      <c r="L248" s="1581"/>
      <c r="M248" s="1581"/>
      <c r="N248" s="1581"/>
      <c r="O248" s="1581"/>
      <c r="P248" s="1581"/>
      <c r="Q248" s="1581"/>
      <c r="R248" s="1581"/>
      <c r="S248" s="1581"/>
      <c r="T248" s="1581"/>
      <c r="U248" s="1581"/>
      <c r="V248" s="1581"/>
      <c r="W248" s="1581"/>
      <c r="X248" s="1581"/>
      <c r="Y248" s="1581"/>
      <c r="Z248" s="1581"/>
      <c r="AA248" s="1581"/>
      <c r="AB248" s="1581"/>
      <c r="AC248" s="1581"/>
      <c r="AD248" s="1581"/>
      <c r="AE248" s="1581"/>
      <c r="AF248" s="1581"/>
      <c r="AG248" s="1807"/>
      <c r="AH248" s="175"/>
      <c r="AI248" s="107"/>
    </row>
    <row r="249" spans="1:35" ht="22.35" customHeight="1" x14ac:dyDescent="0.2">
      <c r="A249" s="1789"/>
      <c r="B249" s="1809"/>
      <c r="C249" s="1581"/>
      <c r="D249" s="1581"/>
      <c r="E249" s="1581"/>
      <c r="F249" s="1581"/>
      <c r="G249" s="1581"/>
      <c r="H249" s="1581"/>
      <c r="I249" s="1581"/>
      <c r="J249" s="1581"/>
      <c r="K249" s="1581"/>
      <c r="L249" s="1581"/>
      <c r="M249" s="1581"/>
      <c r="N249" s="1581"/>
      <c r="O249" s="1581"/>
      <c r="P249" s="1581"/>
      <c r="Q249" s="1581"/>
      <c r="R249" s="1581"/>
      <c r="S249" s="1581"/>
      <c r="T249" s="1581"/>
      <c r="U249" s="1581"/>
      <c r="V249" s="1581"/>
      <c r="W249" s="1581"/>
      <c r="X249" s="1581"/>
      <c r="Y249" s="1581"/>
      <c r="Z249" s="1581"/>
      <c r="AA249" s="1581"/>
      <c r="AB249" s="1581"/>
      <c r="AC249" s="1581"/>
      <c r="AD249" s="1581"/>
      <c r="AE249" s="1581"/>
      <c r="AF249" s="1581"/>
      <c r="AG249" s="1807"/>
      <c r="AH249" s="175"/>
      <c r="AI249" s="107"/>
    </row>
    <row r="250" spans="1:35" ht="22.35" customHeight="1" x14ac:dyDescent="0.2">
      <c r="A250" s="108"/>
      <c r="B250" s="121"/>
      <c r="C250" s="106"/>
      <c r="D250" s="106"/>
      <c r="E250" s="106"/>
      <c r="F250" s="106"/>
      <c r="G250" s="106"/>
      <c r="H250" s="106"/>
      <c r="I250" s="106"/>
      <c r="J250" s="106"/>
      <c r="L250" s="106"/>
      <c r="M250" s="106"/>
      <c r="N250" s="106"/>
      <c r="O250" s="106"/>
      <c r="P250" s="72"/>
      <c r="Q250" s="72"/>
      <c r="R250" s="72"/>
      <c r="S250" s="106"/>
      <c r="T250" s="106"/>
      <c r="U250" s="106"/>
      <c r="V250" s="106"/>
      <c r="W250" s="106"/>
      <c r="X250" s="106"/>
      <c r="Y250" s="106"/>
      <c r="Z250" s="106"/>
      <c r="AA250" s="106"/>
      <c r="AB250" s="106"/>
      <c r="AC250" s="106"/>
      <c r="AD250" s="106"/>
      <c r="AE250" s="106"/>
      <c r="AF250" s="106"/>
      <c r="AG250" s="106"/>
      <c r="AH250" s="107"/>
      <c r="AI250" s="107"/>
    </row>
    <row r="254" spans="1:35" ht="21" customHeight="1" thickBot="1" x14ac:dyDescent="0.25">
      <c r="A254" s="158" t="s">
        <v>312</v>
      </c>
    </row>
    <row r="255" spans="1:35" ht="21" customHeight="1" x14ac:dyDescent="0.2">
      <c r="B255" s="1810" t="s">
        <v>281</v>
      </c>
      <c r="C255" s="1700"/>
      <c r="D255" s="1720" t="s">
        <v>107</v>
      </c>
      <c r="E255" s="1639"/>
      <c r="F255" s="694"/>
      <c r="G255" s="1700"/>
      <c r="H255" s="1720" t="s">
        <v>108</v>
      </c>
      <c r="I255" s="1639"/>
      <c r="J255" s="694"/>
      <c r="K255" s="1700"/>
      <c r="L255" s="1720" t="s">
        <v>109</v>
      </c>
      <c r="M255" s="1639"/>
      <c r="N255" s="694"/>
      <c r="O255" s="1700"/>
      <c r="P255" s="1720" t="s">
        <v>110</v>
      </c>
      <c r="Q255" s="1639"/>
      <c r="R255" s="694"/>
      <c r="S255" s="1700"/>
      <c r="T255" s="1720" t="s">
        <v>111</v>
      </c>
      <c r="U255" s="1639"/>
      <c r="V255" s="694"/>
      <c r="W255" s="1700"/>
      <c r="X255" s="1720" t="s">
        <v>112</v>
      </c>
      <c r="Y255" s="1639"/>
      <c r="Z255" s="694"/>
      <c r="AA255" s="1700"/>
      <c r="AB255" s="1720" t="s">
        <v>113</v>
      </c>
      <c r="AC255" s="1639"/>
      <c r="AD255" s="1639"/>
      <c r="AE255" s="1723" t="s">
        <v>114</v>
      </c>
      <c r="AF255" s="1639"/>
      <c r="AG255" s="1639"/>
      <c r="AH255" s="1639"/>
      <c r="AI255" s="1640"/>
    </row>
    <row r="256" spans="1:35" ht="21" customHeight="1" x14ac:dyDescent="0.2">
      <c r="B256" s="3"/>
      <c r="C256" s="287" t="s">
        <v>313</v>
      </c>
      <c r="D256" s="116"/>
      <c r="E256" s="283"/>
      <c r="F256" s="284"/>
      <c r="G256" s="287" t="s">
        <v>313</v>
      </c>
      <c r="H256" s="116"/>
      <c r="I256" s="283"/>
      <c r="J256" s="284"/>
      <c r="K256" s="287" t="s">
        <v>313</v>
      </c>
      <c r="L256" s="116"/>
      <c r="M256" s="283"/>
      <c r="N256" s="284"/>
      <c r="O256" s="287" t="s">
        <v>313</v>
      </c>
      <c r="P256" s="282"/>
      <c r="Q256" s="283"/>
      <c r="R256" s="284"/>
      <c r="S256" s="288" t="s">
        <v>314</v>
      </c>
      <c r="T256" s="116"/>
      <c r="U256" s="283"/>
      <c r="V256" s="284"/>
      <c r="W256" s="154"/>
      <c r="X256" s="116"/>
      <c r="Y256" s="162"/>
      <c r="Z256" s="164"/>
      <c r="AA256" s="154"/>
      <c r="AB256" s="116"/>
      <c r="AC256" s="162"/>
      <c r="AD256" s="162"/>
      <c r="AE256" s="117"/>
      <c r="AF256" s="162"/>
      <c r="AG256" s="14"/>
      <c r="AH256" s="14"/>
      <c r="AI256" s="118"/>
    </row>
    <row r="257" spans="1:35" ht="21" customHeight="1" x14ac:dyDescent="0.2">
      <c r="A257" s="110"/>
      <c r="B257" s="1811"/>
      <c r="C257" s="1095" t="s">
        <v>189</v>
      </c>
      <c r="D257" s="1812"/>
      <c r="E257" s="283"/>
      <c r="F257" s="284"/>
      <c r="G257" s="1095" t="s">
        <v>189</v>
      </c>
      <c r="H257" s="116"/>
      <c r="I257" s="283"/>
      <c r="J257" s="284"/>
      <c r="K257" s="1095" t="s">
        <v>189</v>
      </c>
      <c r="L257" s="116"/>
      <c r="M257" s="283"/>
      <c r="N257" s="284"/>
      <c r="O257" s="1095" t="s">
        <v>189</v>
      </c>
      <c r="P257" s="116"/>
      <c r="Q257" s="283"/>
      <c r="R257" s="284"/>
      <c r="S257" s="287" t="s">
        <v>315</v>
      </c>
      <c r="T257" s="116"/>
      <c r="U257" s="283"/>
      <c r="V257" s="284"/>
      <c r="W257" s="154"/>
      <c r="X257" s="116"/>
      <c r="Y257" s="162"/>
      <c r="Z257" s="164"/>
      <c r="AA257" s="154"/>
      <c r="AB257" s="116"/>
      <c r="AC257" s="162"/>
      <c r="AD257" s="162"/>
      <c r="AE257" s="117"/>
      <c r="AF257" s="162"/>
      <c r="AG257" s="14"/>
      <c r="AH257" s="14"/>
      <c r="AI257" s="118"/>
    </row>
    <row r="258" spans="1:35" ht="21" customHeight="1" x14ac:dyDescent="0.2">
      <c r="B258" s="1811"/>
      <c r="C258" s="1095" t="s">
        <v>192</v>
      </c>
      <c r="D258" s="1812"/>
      <c r="E258" s="283"/>
      <c r="F258" s="284"/>
      <c r="G258" s="1095" t="s">
        <v>192</v>
      </c>
      <c r="H258" s="116"/>
      <c r="I258" s="283"/>
      <c r="J258" s="284"/>
      <c r="K258" s="1095" t="s">
        <v>192</v>
      </c>
      <c r="L258" s="116"/>
      <c r="M258" s="283"/>
      <c r="N258" s="284"/>
      <c r="O258" s="1095" t="s">
        <v>192</v>
      </c>
      <c r="P258" s="116"/>
      <c r="Q258" s="283"/>
      <c r="R258" s="284"/>
      <c r="S258" s="1095" t="s">
        <v>187</v>
      </c>
      <c r="T258" s="116"/>
      <c r="U258" s="283"/>
      <c r="V258" s="284"/>
      <c r="W258" s="154"/>
      <c r="X258" s="116"/>
      <c r="Y258" s="162"/>
      <c r="Z258" s="164"/>
      <c r="AA258" s="154"/>
      <c r="AB258" s="116"/>
      <c r="AC258" s="162"/>
      <c r="AD258" s="162"/>
      <c r="AE258" s="117"/>
      <c r="AF258" s="162"/>
      <c r="AG258" s="14"/>
      <c r="AH258" s="14"/>
      <c r="AI258" s="118"/>
    </row>
    <row r="259" spans="1:35" ht="21" customHeight="1" x14ac:dyDescent="0.2">
      <c r="B259" s="1811"/>
      <c r="C259" s="735"/>
      <c r="D259" s="945"/>
      <c r="E259" s="162"/>
      <c r="F259" s="164"/>
      <c r="G259" s="735"/>
      <c r="H259" s="945"/>
      <c r="I259" s="162"/>
      <c r="J259" s="164"/>
      <c r="K259" s="735"/>
      <c r="L259" s="945"/>
      <c r="M259" s="162"/>
      <c r="N259" s="164"/>
      <c r="O259" s="735"/>
      <c r="P259" s="945"/>
      <c r="Q259" s="162"/>
      <c r="R259" s="164"/>
      <c r="S259" s="735"/>
      <c r="T259" s="945"/>
      <c r="U259" s="162"/>
      <c r="V259" s="164"/>
      <c r="W259" s="154"/>
      <c r="X259" s="116"/>
      <c r="Y259" s="162"/>
      <c r="Z259" s="164"/>
      <c r="AA259" s="154"/>
      <c r="AB259" s="116"/>
      <c r="AC259" s="162"/>
      <c r="AD259" s="162"/>
      <c r="AE259" s="117"/>
      <c r="AF259" s="162"/>
      <c r="AG259" s="14"/>
      <c r="AH259" s="14"/>
      <c r="AI259" s="118"/>
    </row>
    <row r="260" spans="1:35" ht="21" customHeight="1" x14ac:dyDescent="0.2">
      <c r="B260" s="1811"/>
      <c r="C260" s="1046"/>
      <c r="D260" s="945"/>
      <c r="E260" s="162"/>
      <c r="F260" s="164"/>
      <c r="G260" s="116"/>
      <c r="H260" s="116"/>
      <c r="I260" s="162"/>
      <c r="J260" s="164"/>
      <c r="K260" s="116"/>
      <c r="L260" s="116"/>
      <c r="M260" s="162"/>
      <c r="N260" s="164"/>
      <c r="O260" s="116"/>
      <c r="P260" s="116"/>
      <c r="Q260" s="162"/>
      <c r="R260" s="164"/>
      <c r="S260" s="116"/>
      <c r="T260" s="116"/>
      <c r="U260" s="162"/>
      <c r="V260" s="164"/>
      <c r="W260" s="154"/>
      <c r="X260" s="116"/>
      <c r="Y260" s="162"/>
      <c r="Z260" s="164"/>
      <c r="AA260" s="154"/>
      <c r="AB260" s="116"/>
      <c r="AC260" s="162"/>
      <c r="AD260" s="162"/>
      <c r="AE260" s="117"/>
      <c r="AF260" s="162"/>
      <c r="AG260" s="14"/>
      <c r="AH260" s="14"/>
      <c r="AI260" s="118"/>
    </row>
    <row r="261" spans="1:35" ht="21" customHeight="1" x14ac:dyDescent="0.2">
      <c r="B261" s="1811" t="s">
        <v>159</v>
      </c>
      <c r="C261" s="1046" t="s">
        <v>316</v>
      </c>
      <c r="D261" s="1812"/>
      <c r="E261" s="283"/>
      <c r="F261" s="284"/>
      <c r="G261" s="1046" t="s">
        <v>316</v>
      </c>
      <c r="H261" s="1812"/>
      <c r="I261" s="283"/>
      <c r="J261" s="284"/>
      <c r="K261" s="1046" t="s">
        <v>316</v>
      </c>
      <c r="L261" s="1812"/>
      <c r="M261" s="283"/>
      <c r="N261" s="284"/>
      <c r="O261" s="1046" t="s">
        <v>316</v>
      </c>
      <c r="P261" s="1812"/>
      <c r="Q261" s="283"/>
      <c r="R261" s="284"/>
      <c r="S261" s="116" t="s">
        <v>317</v>
      </c>
      <c r="T261" s="116"/>
      <c r="U261" s="283"/>
      <c r="V261" s="284"/>
      <c r="W261" s="154"/>
      <c r="X261" s="116"/>
      <c r="Y261" s="162"/>
      <c r="Z261" s="164"/>
      <c r="AA261" s="154"/>
      <c r="AB261" s="116"/>
      <c r="AC261" s="162"/>
      <c r="AD261" s="162"/>
      <c r="AE261" s="117"/>
      <c r="AF261" s="162"/>
      <c r="AG261" s="14"/>
      <c r="AH261" s="14"/>
      <c r="AI261" s="118"/>
    </row>
    <row r="262" spans="1:35" ht="21" customHeight="1" x14ac:dyDescent="0.2">
      <c r="B262" s="1811" t="s">
        <v>163</v>
      </c>
      <c r="C262" s="1046" t="s">
        <v>318</v>
      </c>
      <c r="D262" s="1812"/>
      <c r="E262" s="283"/>
      <c r="F262" s="284"/>
      <c r="G262" s="1046" t="s">
        <v>318</v>
      </c>
      <c r="H262" s="1812"/>
      <c r="I262" s="283"/>
      <c r="J262" s="284"/>
      <c r="K262" s="1046" t="s">
        <v>318</v>
      </c>
      <c r="L262" s="1812"/>
      <c r="M262" s="283"/>
      <c r="N262" s="284"/>
      <c r="O262" s="1046" t="s">
        <v>318</v>
      </c>
      <c r="P262" s="1812"/>
      <c r="Q262" s="283"/>
      <c r="R262" s="284"/>
      <c r="S262" s="116" t="s">
        <v>319</v>
      </c>
      <c r="T262" s="116"/>
      <c r="U262" s="283"/>
      <c r="V262" s="284"/>
      <c r="W262" s="154"/>
      <c r="X262" s="116"/>
      <c r="Y262" s="162"/>
      <c r="Z262" s="164"/>
      <c r="AA262" s="154"/>
      <c r="AB262" s="116"/>
      <c r="AC262" s="162"/>
      <c r="AD262" s="162"/>
      <c r="AE262" s="117"/>
      <c r="AF262" s="162"/>
      <c r="AG262" s="14"/>
      <c r="AH262" s="14"/>
      <c r="AI262" s="118"/>
    </row>
    <row r="263" spans="1:35" ht="21" customHeight="1" thickBot="1" x14ac:dyDescent="0.25">
      <c r="B263" s="1813" t="s">
        <v>170</v>
      </c>
      <c r="C263" s="1057" t="s">
        <v>320</v>
      </c>
      <c r="D263" s="1814"/>
      <c r="E263" s="285"/>
      <c r="F263" s="286"/>
      <c r="G263" s="1057" t="s">
        <v>320</v>
      </c>
      <c r="H263" s="1814"/>
      <c r="I263" s="285"/>
      <c r="J263" s="286"/>
      <c r="K263" s="1057" t="s">
        <v>320</v>
      </c>
      <c r="L263" s="1814"/>
      <c r="M263" s="285"/>
      <c r="N263" s="286"/>
      <c r="O263" s="1057" t="s">
        <v>320</v>
      </c>
      <c r="P263" s="1814"/>
      <c r="Q263" s="285"/>
      <c r="R263" s="286"/>
      <c r="S263" s="225" t="s">
        <v>321</v>
      </c>
      <c r="T263" s="225"/>
      <c r="U263" s="285"/>
      <c r="V263" s="286"/>
      <c r="W263" s="277"/>
      <c r="X263" s="225"/>
      <c r="Y263" s="278"/>
      <c r="Z263" s="279"/>
      <c r="AA263" s="280"/>
      <c r="AB263" s="225"/>
      <c r="AC263" s="278"/>
      <c r="AD263" s="278"/>
      <c r="AE263" s="281"/>
      <c r="AF263" s="278"/>
      <c r="AG263" s="276"/>
      <c r="AH263" s="276"/>
      <c r="AI263" s="222"/>
    </row>
    <row r="264" spans="1:35" ht="21" customHeight="1" x14ac:dyDescent="0.2">
      <c r="B264" s="59"/>
      <c r="C264" s="64"/>
      <c r="D264" s="18"/>
      <c r="G264" s="64"/>
      <c r="H264" s="18"/>
      <c r="K264" s="64"/>
      <c r="L264" s="18"/>
      <c r="O264" s="64"/>
      <c r="P264" s="18"/>
      <c r="S264" s="64"/>
      <c r="T264" s="64"/>
      <c r="X264" s="64"/>
      <c r="AB264" s="64"/>
      <c r="AE264" s="64"/>
    </row>
    <row r="265" spans="1:35" ht="21" customHeight="1" x14ac:dyDescent="0.2">
      <c r="A265" s="122" t="s">
        <v>322</v>
      </c>
    </row>
    <row r="266" spans="1:35" ht="21" customHeight="1" thickBot="1" x14ac:dyDescent="0.25">
      <c r="A266" s="981"/>
      <c r="B266" s="954" t="s">
        <v>29</v>
      </c>
      <c r="C266" s="1573">
        <v>1</v>
      </c>
      <c r="D266" s="1573">
        <v>2</v>
      </c>
      <c r="E266" s="1573">
        <v>3</v>
      </c>
      <c r="F266" s="1573">
        <v>4</v>
      </c>
      <c r="G266" s="1573">
        <v>5</v>
      </c>
      <c r="H266" s="1574">
        <v>6</v>
      </c>
      <c r="I266" s="1574">
        <v>7</v>
      </c>
      <c r="J266" s="1573">
        <v>8</v>
      </c>
      <c r="K266" s="1573">
        <v>9</v>
      </c>
      <c r="L266" s="1573">
        <v>10</v>
      </c>
      <c r="M266" s="1573">
        <v>11</v>
      </c>
      <c r="N266" s="1573">
        <v>12</v>
      </c>
      <c r="O266" s="1574">
        <v>13</v>
      </c>
      <c r="P266" s="1574">
        <v>14</v>
      </c>
      <c r="Q266" s="1573">
        <v>15</v>
      </c>
      <c r="R266" s="1573">
        <v>16</v>
      </c>
      <c r="S266" s="1573">
        <v>17</v>
      </c>
      <c r="T266" s="1573">
        <v>18</v>
      </c>
      <c r="U266" s="1573">
        <v>19</v>
      </c>
      <c r="V266" s="1574">
        <v>20</v>
      </c>
      <c r="W266" s="1574">
        <v>21</v>
      </c>
      <c r="X266" s="1573">
        <v>22</v>
      </c>
      <c r="Y266" s="1573">
        <v>23</v>
      </c>
      <c r="Z266" s="1573">
        <v>24</v>
      </c>
      <c r="AA266" s="1573">
        <v>25</v>
      </c>
      <c r="AB266" s="1573">
        <v>26</v>
      </c>
      <c r="AC266" s="1574">
        <v>27</v>
      </c>
      <c r="AD266" s="1574">
        <v>28</v>
      </c>
      <c r="AE266" s="1573">
        <v>29</v>
      </c>
      <c r="AF266" s="1573">
        <v>30</v>
      </c>
      <c r="AG266" s="1575">
        <v>31</v>
      </c>
      <c r="AH266" s="173"/>
      <c r="AI266" s="174"/>
    </row>
    <row r="267" spans="1:35" ht="21" customHeight="1" x14ac:dyDescent="0.2">
      <c r="A267" s="590">
        <v>3702</v>
      </c>
      <c r="B267" s="172"/>
      <c r="C267" s="1581" t="s">
        <v>32</v>
      </c>
      <c r="D267" s="1581" t="s">
        <v>32</v>
      </c>
      <c r="E267" s="1581" t="s">
        <v>32</v>
      </c>
      <c r="F267" s="1581" t="s">
        <v>32</v>
      </c>
      <c r="G267" s="1581" t="s">
        <v>32</v>
      </c>
      <c r="H267" s="1581"/>
      <c r="I267" s="1581"/>
      <c r="J267" s="1581" t="s">
        <v>32</v>
      </c>
      <c r="K267" s="1581" t="s">
        <v>32</v>
      </c>
      <c r="L267" s="1581" t="s">
        <v>32</v>
      </c>
      <c r="M267" s="1581" t="s">
        <v>32</v>
      </c>
      <c r="N267" s="1626" t="s">
        <v>32</v>
      </c>
      <c r="O267" s="1626"/>
      <c r="P267" s="1626"/>
      <c r="Q267" s="1628" t="s">
        <v>32</v>
      </c>
      <c r="R267" s="1626" t="s">
        <v>32</v>
      </c>
      <c r="S267" s="1581" t="s">
        <v>32</v>
      </c>
      <c r="T267" s="1581" t="s">
        <v>32</v>
      </c>
      <c r="U267" s="1626" t="s">
        <v>32</v>
      </c>
      <c r="V267" s="1626"/>
      <c r="W267" s="1626"/>
      <c r="X267" s="1581" t="s">
        <v>32</v>
      </c>
      <c r="Y267" s="1626" t="s">
        <v>32</v>
      </c>
      <c r="Z267" s="1626" t="s">
        <v>32</v>
      </c>
      <c r="AA267" s="1581" t="s">
        <v>32</v>
      </c>
      <c r="AB267" s="1581" t="s">
        <v>32</v>
      </c>
      <c r="AC267" s="1581"/>
      <c r="AD267" s="1581"/>
      <c r="AE267" s="1581" t="s">
        <v>32</v>
      </c>
      <c r="AF267" s="1581" t="s">
        <v>32</v>
      </c>
      <c r="AG267" s="1581" t="s">
        <v>32</v>
      </c>
      <c r="AH267" s="178"/>
      <c r="AI267" s="179"/>
    </row>
    <row r="268" spans="1:35" ht="21" customHeight="1" x14ac:dyDescent="0.2">
      <c r="A268" s="1588"/>
      <c r="B268" s="1011" t="s">
        <v>323</v>
      </c>
      <c r="C268" s="1581" t="s">
        <v>32</v>
      </c>
      <c r="D268" s="1581" t="s">
        <v>32</v>
      </c>
      <c r="E268" s="1581" t="s">
        <v>32</v>
      </c>
      <c r="F268" s="1581" t="s">
        <v>32</v>
      </c>
      <c r="G268" s="1581" t="s">
        <v>32</v>
      </c>
      <c r="H268" s="1581"/>
      <c r="I268" s="1581"/>
      <c r="J268" s="1584" t="s">
        <v>32</v>
      </c>
      <c r="K268" s="1584" t="s">
        <v>32</v>
      </c>
      <c r="L268" s="1584" t="s">
        <v>32</v>
      </c>
      <c r="M268" s="1584" t="s">
        <v>32</v>
      </c>
      <c r="N268" s="1584" t="s">
        <v>32</v>
      </c>
      <c r="O268" s="1584"/>
      <c r="P268" s="1584"/>
      <c r="Q268" s="1584" t="s">
        <v>32</v>
      </c>
      <c r="R268" s="1584" t="s">
        <v>32</v>
      </c>
      <c r="S268" s="1584" t="s">
        <v>32</v>
      </c>
      <c r="T268" s="1584" t="s">
        <v>32</v>
      </c>
      <c r="U268" s="1584" t="s">
        <v>32</v>
      </c>
      <c r="V268" s="1584"/>
      <c r="W268" s="1584"/>
      <c r="X268" s="1584" t="s">
        <v>32</v>
      </c>
      <c r="Y268" s="1584" t="s">
        <v>32</v>
      </c>
      <c r="Z268" s="1584" t="s">
        <v>32</v>
      </c>
      <c r="AA268" s="1584" t="s">
        <v>32</v>
      </c>
      <c r="AB268" s="1584" t="s">
        <v>32</v>
      </c>
      <c r="AC268" s="1584"/>
      <c r="AD268" s="1584"/>
      <c r="AE268" s="1581" t="s">
        <v>32</v>
      </c>
      <c r="AF268" s="1581" t="s">
        <v>32</v>
      </c>
      <c r="AG268" s="1581" t="s">
        <v>32</v>
      </c>
      <c r="AH268" s="178"/>
      <c r="AI268" s="179"/>
    </row>
    <row r="269" spans="1:35" ht="21" customHeight="1" x14ac:dyDescent="0.2">
      <c r="A269" s="591"/>
      <c r="B269" s="1011"/>
      <c r="C269" s="1581" t="s">
        <v>32</v>
      </c>
      <c r="D269" s="1581" t="s">
        <v>32</v>
      </c>
      <c r="E269" s="1581" t="s">
        <v>32</v>
      </c>
      <c r="F269" s="1581" t="s">
        <v>32</v>
      </c>
      <c r="G269" s="1581" t="s">
        <v>32</v>
      </c>
      <c r="H269" s="1581"/>
      <c r="I269" s="1581"/>
      <c r="J269" s="1581" t="s">
        <v>32</v>
      </c>
      <c r="K269" s="1581" t="s">
        <v>32</v>
      </c>
      <c r="L269" s="1581" t="s">
        <v>32</v>
      </c>
      <c r="M269" s="1581" t="s">
        <v>32</v>
      </c>
      <c r="N269" s="1626" t="s">
        <v>32</v>
      </c>
      <c r="O269" s="1626"/>
      <c r="P269" s="1626"/>
      <c r="Q269" s="1628" t="s">
        <v>32</v>
      </c>
      <c r="R269" s="1626" t="s">
        <v>32</v>
      </c>
      <c r="S269" s="1581" t="s">
        <v>32</v>
      </c>
      <c r="T269" s="1581" t="s">
        <v>32</v>
      </c>
      <c r="U269" s="1626" t="s">
        <v>32</v>
      </c>
      <c r="V269" s="1626"/>
      <c r="W269" s="1626"/>
      <c r="X269" s="1581" t="s">
        <v>32</v>
      </c>
      <c r="Y269" s="1626" t="s">
        <v>32</v>
      </c>
      <c r="Z269" s="1626" t="s">
        <v>32</v>
      </c>
      <c r="AA269" s="1581" t="s">
        <v>32</v>
      </c>
      <c r="AB269" s="1581" t="s">
        <v>32</v>
      </c>
      <c r="AC269" s="1581"/>
      <c r="AD269" s="1581"/>
      <c r="AE269" s="1581" t="s">
        <v>32</v>
      </c>
      <c r="AF269" s="1581" t="s">
        <v>32</v>
      </c>
      <c r="AG269" s="1581" t="s">
        <v>32</v>
      </c>
      <c r="AH269" s="178"/>
      <c r="AI269" s="179"/>
    </row>
    <row r="270" spans="1:35" ht="21" customHeight="1" thickBot="1" x14ac:dyDescent="0.25">
      <c r="A270" s="1815"/>
      <c r="B270" s="1816"/>
      <c r="C270" s="1573"/>
      <c r="D270" s="1573"/>
      <c r="E270" s="1573"/>
      <c r="F270" s="1573"/>
      <c r="G270" s="1573"/>
      <c r="H270" s="1573"/>
      <c r="I270" s="1573"/>
      <c r="J270" s="1573"/>
      <c r="K270" s="1573"/>
      <c r="L270" s="1573"/>
      <c r="M270" s="1573"/>
      <c r="N270" s="1573"/>
      <c r="O270" s="1573"/>
      <c r="P270" s="1573"/>
      <c r="Q270" s="1573"/>
      <c r="R270" s="1573"/>
      <c r="S270" s="1573"/>
      <c r="T270" s="1573"/>
      <c r="U270" s="1573"/>
      <c r="V270" s="1573"/>
      <c r="W270" s="1573"/>
      <c r="X270" s="1573"/>
      <c r="Y270" s="1573"/>
      <c r="Z270" s="1573"/>
      <c r="AA270" s="1573"/>
      <c r="AB270" s="1573"/>
      <c r="AC270" s="1573"/>
      <c r="AD270" s="1573"/>
      <c r="AE270" s="1573"/>
      <c r="AF270" s="1573"/>
      <c r="AG270" s="1575"/>
      <c r="AH270" s="178"/>
      <c r="AI270" s="179"/>
    </row>
    <row r="271" spans="1:35" ht="21" customHeight="1" x14ac:dyDescent="0.2">
      <c r="A271" s="214"/>
      <c r="B271" s="667" t="s">
        <v>324</v>
      </c>
      <c r="C271" s="668"/>
      <c r="D271" s="668"/>
      <c r="E271" s="668"/>
      <c r="F271" s="668"/>
      <c r="G271" s="668"/>
      <c r="H271" s="668"/>
      <c r="I271" s="668"/>
      <c r="J271" s="668"/>
      <c r="K271" s="668"/>
      <c r="L271" s="668"/>
      <c r="M271" s="668"/>
      <c r="N271" s="668"/>
      <c r="O271" s="668"/>
      <c r="P271" s="668"/>
      <c r="Q271" s="668"/>
      <c r="R271" s="668"/>
      <c r="S271" s="668"/>
      <c r="T271" s="668"/>
      <c r="U271" s="668"/>
      <c r="V271" s="668"/>
      <c r="W271" s="668"/>
      <c r="X271" s="668"/>
      <c r="Y271" s="668"/>
      <c r="Z271" s="668"/>
      <c r="AA271" s="668"/>
      <c r="AB271" s="668"/>
      <c r="AC271" s="668"/>
      <c r="AD271" s="668"/>
      <c r="AE271" s="668"/>
      <c r="AF271" s="668"/>
      <c r="AG271" s="669"/>
      <c r="AH271" s="176"/>
      <c r="AI271" s="177"/>
    </row>
    <row r="272" spans="1:35" ht="21" customHeight="1" x14ac:dyDescent="0.2">
      <c r="A272" s="590">
        <v>3702</v>
      </c>
      <c r="B272" s="1817" t="s">
        <v>325</v>
      </c>
      <c r="C272" s="1818" t="s">
        <v>326</v>
      </c>
      <c r="D272" s="1818" t="s">
        <v>326</v>
      </c>
      <c r="E272" s="1818" t="s">
        <v>326</v>
      </c>
      <c r="F272" s="1818" t="s">
        <v>326</v>
      </c>
      <c r="G272" s="868" t="s">
        <v>326</v>
      </c>
      <c r="H272" s="868"/>
      <c r="I272" s="868"/>
      <c r="J272" s="868" t="s">
        <v>326</v>
      </c>
      <c r="K272" s="868" t="s">
        <v>326</v>
      </c>
      <c r="L272" s="868" t="s">
        <v>326</v>
      </c>
      <c r="M272" s="868" t="s">
        <v>326</v>
      </c>
      <c r="N272" s="868" t="s">
        <v>326</v>
      </c>
      <c r="O272" s="868"/>
      <c r="P272" s="868"/>
      <c r="Q272" s="1503" t="s">
        <v>326</v>
      </c>
      <c r="R272" s="1503" t="s">
        <v>326</v>
      </c>
      <c r="S272" s="1503" t="s">
        <v>326</v>
      </c>
      <c r="T272" s="1503" t="s">
        <v>326</v>
      </c>
      <c r="U272" s="1503" t="s">
        <v>326</v>
      </c>
      <c r="V272" s="1503"/>
      <c r="W272" s="1503"/>
      <c r="X272" s="1503" t="s">
        <v>326</v>
      </c>
      <c r="Y272" s="1503" t="s">
        <v>326</v>
      </c>
      <c r="Z272" s="1503" t="s">
        <v>326</v>
      </c>
      <c r="AA272" s="1503" t="s">
        <v>326</v>
      </c>
      <c r="AB272" s="1503" t="s">
        <v>326</v>
      </c>
      <c r="AC272" s="1503"/>
      <c r="AD272" s="1503"/>
      <c r="AE272" s="1503" t="s">
        <v>326</v>
      </c>
      <c r="AF272" s="1503" t="s">
        <v>326</v>
      </c>
      <c r="AG272" s="1503" t="s">
        <v>326</v>
      </c>
      <c r="AH272" s="178"/>
      <c r="AI272" s="179"/>
    </row>
    <row r="273" spans="1:36" ht="21" customHeight="1" x14ac:dyDescent="0.2">
      <c r="A273" s="590"/>
      <c r="B273" s="1002" t="s">
        <v>327</v>
      </c>
      <c r="C273" s="1818" t="s">
        <v>328</v>
      </c>
      <c r="D273" s="1818" t="s">
        <v>328</v>
      </c>
      <c r="E273" s="1818" t="s">
        <v>328</v>
      </c>
      <c r="F273" s="1818" t="s">
        <v>328</v>
      </c>
      <c r="G273" s="868" t="s">
        <v>328</v>
      </c>
      <c r="H273" s="868"/>
      <c r="I273" s="868"/>
      <c r="J273" s="868" t="s">
        <v>328</v>
      </c>
      <c r="K273" s="868" t="s">
        <v>328</v>
      </c>
      <c r="L273" s="868" t="s">
        <v>328</v>
      </c>
      <c r="M273" s="868" t="s">
        <v>328</v>
      </c>
      <c r="N273" s="868" t="s">
        <v>328</v>
      </c>
      <c r="O273" s="868"/>
      <c r="P273" s="868"/>
      <c r="Q273" s="868" t="s">
        <v>328</v>
      </c>
      <c r="R273" s="868" t="s">
        <v>328</v>
      </c>
      <c r="S273" s="868" t="s">
        <v>328</v>
      </c>
      <c r="T273" s="868" t="s">
        <v>328</v>
      </c>
      <c r="U273" s="868" t="s">
        <v>328</v>
      </c>
      <c r="V273" s="868"/>
      <c r="W273" s="868"/>
      <c r="X273" s="868" t="s">
        <v>328</v>
      </c>
      <c r="Y273" s="1607" t="s">
        <v>328</v>
      </c>
      <c r="Z273" s="868" t="s">
        <v>328</v>
      </c>
      <c r="AA273" s="868" t="s">
        <v>328</v>
      </c>
      <c r="AB273" s="868" t="s">
        <v>328</v>
      </c>
      <c r="AC273" s="1607"/>
      <c r="AD273" s="1607"/>
      <c r="AE273" s="1607" t="s">
        <v>328</v>
      </c>
      <c r="AF273" s="1594" t="s">
        <v>328</v>
      </c>
      <c r="AG273" s="1594" t="s">
        <v>328</v>
      </c>
      <c r="AH273" s="178"/>
      <c r="AI273" s="179"/>
    </row>
    <row r="274" spans="1:36" ht="21" customHeight="1" thickBot="1" x14ac:dyDescent="0.25">
      <c r="A274" s="1819"/>
      <c r="B274" s="443" t="s">
        <v>329</v>
      </c>
      <c r="C274" s="1820" t="s">
        <v>330</v>
      </c>
      <c r="D274" s="1820" t="s">
        <v>330</v>
      </c>
      <c r="E274" s="1820" t="s">
        <v>330</v>
      </c>
      <c r="F274" s="1820" t="s">
        <v>330</v>
      </c>
      <c r="G274" s="911" t="s">
        <v>330</v>
      </c>
      <c r="H274" s="911"/>
      <c r="I274" s="911"/>
      <c r="J274" s="907" t="s">
        <v>330</v>
      </c>
      <c r="K274" s="907" t="s">
        <v>330</v>
      </c>
      <c r="L274" s="907" t="s">
        <v>330</v>
      </c>
      <c r="M274" s="908" t="s">
        <v>330</v>
      </c>
      <c r="N274" s="908" t="s">
        <v>330</v>
      </c>
      <c r="O274" s="907"/>
      <c r="P274" s="908"/>
      <c r="Q274" s="908" t="s">
        <v>330</v>
      </c>
      <c r="R274" s="908" t="s">
        <v>330</v>
      </c>
      <c r="S274" s="908" t="s">
        <v>330</v>
      </c>
      <c r="T274" s="908" t="s">
        <v>330</v>
      </c>
      <c r="U274" s="908" t="s">
        <v>330</v>
      </c>
      <c r="V274" s="908"/>
      <c r="W274" s="908"/>
      <c r="X274" s="908" t="s">
        <v>330</v>
      </c>
      <c r="Y274" s="908" t="s">
        <v>330</v>
      </c>
      <c r="Z274" s="908" t="s">
        <v>330</v>
      </c>
      <c r="AA274" s="908" t="s">
        <v>330</v>
      </c>
      <c r="AB274" s="908" t="s">
        <v>330</v>
      </c>
      <c r="AC274" s="908"/>
      <c r="AD274" s="930"/>
      <c r="AE274" s="930" t="s">
        <v>330</v>
      </c>
      <c r="AF274" s="930" t="s">
        <v>330</v>
      </c>
      <c r="AG274" s="930" t="s">
        <v>330</v>
      </c>
      <c r="AH274" s="178"/>
      <c r="AI274" s="179"/>
    </row>
    <row r="275" spans="1:36" ht="21" customHeight="1" x14ac:dyDescent="0.2"/>
    <row r="276" spans="1:36" ht="24" customHeight="1" x14ac:dyDescent="0.2"/>
    <row r="277" spans="1:36" ht="25.5" customHeight="1" thickBot="1" x14ac:dyDescent="0.25">
      <c r="A277" s="158" t="s">
        <v>331</v>
      </c>
    </row>
    <row r="278" spans="1:36" ht="21" customHeight="1" x14ac:dyDescent="0.2">
      <c r="A278" s="1"/>
      <c r="B278" s="1810" t="s">
        <v>281</v>
      </c>
      <c r="C278" s="1700"/>
      <c r="D278" s="1720" t="s">
        <v>107</v>
      </c>
      <c r="E278" s="1639"/>
      <c r="F278" s="694"/>
      <c r="G278" s="1700"/>
      <c r="H278" s="1720" t="s">
        <v>108</v>
      </c>
      <c r="I278" s="1639"/>
      <c r="J278" s="694"/>
      <c r="K278" s="1700"/>
      <c r="L278" s="1720" t="s">
        <v>109</v>
      </c>
      <c r="M278" s="1639"/>
      <c r="N278" s="694"/>
      <c r="O278" s="1700"/>
      <c r="P278" s="1720" t="s">
        <v>110</v>
      </c>
      <c r="Q278" s="1639"/>
      <c r="R278" s="694"/>
      <c r="S278" s="1700"/>
      <c r="T278" s="1720" t="s">
        <v>111</v>
      </c>
      <c r="U278" s="1639"/>
      <c r="V278" s="694"/>
      <c r="W278" s="1700"/>
      <c r="X278" s="1720" t="s">
        <v>112</v>
      </c>
      <c r="Y278" s="1639"/>
      <c r="Z278" s="694"/>
      <c r="AA278" s="1700"/>
      <c r="AB278" s="1720" t="s">
        <v>113</v>
      </c>
      <c r="AC278" s="1639"/>
      <c r="AD278" s="1639"/>
      <c r="AE278" s="1723" t="s">
        <v>114</v>
      </c>
      <c r="AF278" s="1639"/>
      <c r="AG278" s="1639"/>
      <c r="AH278" s="1639"/>
      <c r="AI278" s="1640"/>
    </row>
    <row r="279" spans="1:36" ht="21" customHeight="1" x14ac:dyDescent="0.2">
      <c r="A279" s="1"/>
      <c r="B279" s="3"/>
      <c r="C279" s="8"/>
      <c r="D279" s="116"/>
      <c r="E279" s="14"/>
      <c r="F279" s="115"/>
      <c r="G279" s="8"/>
      <c r="H279" s="116"/>
      <c r="I279" s="14"/>
      <c r="J279" s="115"/>
      <c r="K279" s="8"/>
      <c r="L279" s="116"/>
      <c r="M279" s="14"/>
      <c r="N279" s="115"/>
      <c r="O279" s="8"/>
      <c r="P279" s="116"/>
      <c r="Q279" s="14"/>
      <c r="R279" s="115"/>
      <c r="S279" s="8"/>
      <c r="T279" s="116"/>
      <c r="U279" s="14"/>
      <c r="V279" s="115"/>
      <c r="W279" s="8"/>
      <c r="X279" s="116"/>
      <c r="Y279" s="14"/>
      <c r="Z279" s="115"/>
      <c r="AA279" s="8"/>
      <c r="AB279" s="116"/>
      <c r="AC279" s="14"/>
      <c r="AD279" s="14"/>
      <c r="AE279" s="117"/>
      <c r="AF279" s="14"/>
      <c r="AG279" s="14"/>
      <c r="AH279" s="14"/>
      <c r="AI279" s="118"/>
    </row>
    <row r="280" spans="1:36" ht="21" customHeight="1" x14ac:dyDescent="0.2">
      <c r="A280" s="110"/>
      <c r="B280" s="1811"/>
      <c r="C280" s="735"/>
      <c r="D280" s="1555"/>
      <c r="E280" s="1555"/>
      <c r="F280" s="1048"/>
      <c r="G280" s="735"/>
      <c r="H280" s="1555"/>
      <c r="I280" s="1555"/>
      <c r="J280" s="1048"/>
      <c r="K280" s="735"/>
      <c r="L280" s="1555"/>
      <c r="M280" s="1555"/>
      <c r="N280" s="1048"/>
      <c r="O280" s="735"/>
      <c r="P280" s="1555"/>
      <c r="Q280" s="1555"/>
      <c r="R280" s="1048"/>
      <c r="S280" s="735"/>
      <c r="T280" s="1555"/>
      <c r="U280" s="1555"/>
      <c r="V280" s="1048"/>
      <c r="W280" s="735"/>
      <c r="X280" s="1555"/>
      <c r="Y280" s="1555"/>
      <c r="Z280" s="1048"/>
      <c r="AA280" s="1046"/>
      <c r="AB280" s="1555"/>
      <c r="AC280" s="1555"/>
      <c r="AD280" s="945"/>
      <c r="AE280" s="593"/>
      <c r="AF280" s="1555"/>
      <c r="AG280" s="1555"/>
      <c r="AH280" s="945"/>
      <c r="AI280" s="1564"/>
    </row>
    <row r="281" spans="1:36" ht="21" customHeight="1" thickBot="1" x14ac:dyDescent="0.25">
      <c r="A281" s="1"/>
      <c r="B281" s="1056"/>
      <c r="C281" s="1057"/>
      <c r="D281" s="734"/>
      <c r="E281" s="734"/>
      <c r="F281" s="706"/>
      <c r="G281" s="1057"/>
      <c r="H281" s="734"/>
      <c r="I281" s="734"/>
      <c r="J281" s="706"/>
      <c r="K281" s="1057"/>
      <c r="L281" s="734"/>
      <c r="M281" s="734"/>
      <c r="N281" s="706"/>
      <c r="O281" s="1057"/>
      <c r="P281" s="734"/>
      <c r="Q281" s="734"/>
      <c r="R281" s="706"/>
      <c r="S281" s="1057"/>
      <c r="T281" s="734"/>
      <c r="U281" s="734"/>
      <c r="V281" s="706"/>
      <c r="W281" s="704"/>
      <c r="X281" s="734"/>
      <c r="Y281" s="734"/>
      <c r="Z281" s="706"/>
      <c r="AA281" s="704"/>
      <c r="AB281" s="734"/>
      <c r="AC281" s="734"/>
      <c r="AD281" s="1063"/>
      <c r="AE281" s="704"/>
      <c r="AF281" s="734"/>
      <c r="AG281" s="734"/>
      <c r="AH281" s="1063"/>
      <c r="AI281" s="894"/>
    </row>
    <row r="282" spans="1:36" ht="21" customHeight="1" x14ac:dyDescent="0.2">
      <c r="A282" s="1"/>
      <c r="B282" s="18"/>
      <c r="C282" s="64"/>
      <c r="F282" s="69"/>
      <c r="G282" s="64"/>
      <c r="J282" s="69"/>
      <c r="K282" s="64"/>
      <c r="N282" s="69"/>
      <c r="O282" s="64"/>
      <c r="R282" s="69"/>
      <c r="S282" s="64"/>
      <c r="V282" s="69"/>
      <c r="W282" s="69"/>
      <c r="Z282" s="69"/>
      <c r="AA282" s="69"/>
      <c r="AD282" s="69"/>
      <c r="AE282" s="69"/>
      <c r="AH282" s="69"/>
    </row>
    <row r="283" spans="1:36" ht="33" customHeight="1" x14ac:dyDescent="0.2">
      <c r="A283" s="158" t="s">
        <v>332</v>
      </c>
      <c r="B283" s="18"/>
      <c r="C283" s="64"/>
      <c r="F283" s="69"/>
      <c r="G283" s="64"/>
      <c r="J283" s="69"/>
      <c r="K283" s="64"/>
      <c r="N283" s="69"/>
      <c r="O283" s="64"/>
      <c r="R283" s="69"/>
      <c r="S283" s="64"/>
      <c r="V283" s="69"/>
      <c r="W283" s="69"/>
      <c r="Z283" s="69"/>
      <c r="AA283" s="69"/>
      <c r="AD283" s="69"/>
      <c r="AE283" s="69"/>
      <c r="AH283" s="294"/>
      <c r="AI283" s="190"/>
      <c r="AJ283" s="190"/>
    </row>
    <row r="284" spans="1:36" ht="21" customHeight="1" thickBot="1" x14ac:dyDescent="0.25">
      <c r="A284" s="1821" t="s">
        <v>28</v>
      </c>
      <c r="B284" s="1822" t="s">
        <v>29</v>
      </c>
      <c r="C284" s="1573">
        <v>1</v>
      </c>
      <c r="D284" s="1573">
        <v>2</v>
      </c>
      <c r="E284" s="1573">
        <v>3</v>
      </c>
      <c r="F284" s="1573">
        <v>4</v>
      </c>
      <c r="G284" s="1573">
        <v>5</v>
      </c>
      <c r="H284" s="1574">
        <v>6</v>
      </c>
      <c r="I284" s="1574">
        <v>7</v>
      </c>
      <c r="J284" s="1573">
        <v>8</v>
      </c>
      <c r="K284" s="1573">
        <v>9</v>
      </c>
      <c r="L284" s="1573">
        <v>10</v>
      </c>
      <c r="M284" s="1573">
        <v>11</v>
      </c>
      <c r="N284" s="1573">
        <v>12</v>
      </c>
      <c r="O284" s="1574">
        <v>13</v>
      </c>
      <c r="P284" s="1574">
        <v>14</v>
      </c>
      <c r="Q284" s="1573">
        <v>15</v>
      </c>
      <c r="R284" s="1573">
        <v>16</v>
      </c>
      <c r="S284" s="1573">
        <v>17</v>
      </c>
      <c r="T284" s="1573">
        <v>18</v>
      </c>
      <c r="U284" s="1573">
        <v>19</v>
      </c>
      <c r="V284" s="1574">
        <v>20</v>
      </c>
      <c r="W284" s="1574">
        <v>21</v>
      </c>
      <c r="X284" s="1573">
        <v>22</v>
      </c>
      <c r="Y284" s="1573">
        <v>23</v>
      </c>
      <c r="Z284" s="1573">
        <v>24</v>
      </c>
      <c r="AA284" s="1573">
        <v>25</v>
      </c>
      <c r="AB284" s="1573">
        <v>26</v>
      </c>
      <c r="AC284" s="1574">
        <v>27</v>
      </c>
      <c r="AD284" s="1574">
        <v>28</v>
      </c>
      <c r="AE284" s="1573">
        <v>29</v>
      </c>
      <c r="AF284" s="1573">
        <v>30</v>
      </c>
      <c r="AG284" s="1575">
        <v>31</v>
      </c>
      <c r="AH284" s="295"/>
      <c r="AI284" s="296"/>
      <c r="AJ284" s="190"/>
    </row>
    <row r="285" spans="1:36" ht="21" customHeight="1" x14ac:dyDescent="0.2">
      <c r="A285" s="88"/>
      <c r="B285" s="402" t="s">
        <v>333</v>
      </c>
      <c r="C285" s="1823" t="s">
        <v>32</v>
      </c>
      <c r="D285" s="1823" t="s">
        <v>32</v>
      </c>
      <c r="E285" s="1823" t="s">
        <v>32</v>
      </c>
      <c r="F285" s="1823" t="s">
        <v>32</v>
      </c>
      <c r="G285" s="1581" t="s">
        <v>32</v>
      </c>
      <c r="H285" s="1626"/>
      <c r="I285" s="1581"/>
      <c r="J285" s="1581" t="s">
        <v>32</v>
      </c>
      <c r="K285" s="1581" t="s">
        <v>32</v>
      </c>
      <c r="L285" s="1581" t="s">
        <v>32</v>
      </c>
      <c r="M285" s="1581" t="s">
        <v>32</v>
      </c>
      <c r="N285" s="1626" t="s">
        <v>32</v>
      </c>
      <c r="O285" s="1626"/>
      <c r="P285" s="1626"/>
      <c r="Q285" s="1628" t="s">
        <v>32</v>
      </c>
      <c r="R285" s="1626" t="s">
        <v>32</v>
      </c>
      <c r="S285" s="1581" t="s">
        <v>32</v>
      </c>
      <c r="T285" s="1581" t="s">
        <v>32</v>
      </c>
      <c r="U285" s="1626" t="s">
        <v>32</v>
      </c>
      <c r="V285" s="1626"/>
      <c r="W285" s="1626"/>
      <c r="X285" s="1581" t="s">
        <v>32</v>
      </c>
      <c r="Y285" s="1626" t="s">
        <v>32</v>
      </c>
      <c r="Z285" s="1581" t="s">
        <v>32</v>
      </c>
      <c r="AA285" s="1581" t="s">
        <v>32</v>
      </c>
      <c r="AB285" s="1581" t="s">
        <v>32</v>
      </c>
      <c r="AC285" s="1581"/>
      <c r="AD285" s="1626"/>
      <c r="AE285" s="1626" t="s">
        <v>32</v>
      </c>
      <c r="AF285" s="1626" t="s">
        <v>32</v>
      </c>
      <c r="AG285" s="300" t="s">
        <v>32</v>
      </c>
      <c r="AH285" s="297"/>
      <c r="AI285" s="298"/>
      <c r="AJ285" s="190"/>
    </row>
    <row r="286" spans="1:36" ht="21" customHeight="1" x14ac:dyDescent="0.2">
      <c r="A286" s="596"/>
      <c r="B286" s="403" t="s">
        <v>334</v>
      </c>
      <c r="C286" s="1581" t="s">
        <v>32</v>
      </c>
      <c r="D286" s="1581" t="s">
        <v>32</v>
      </c>
      <c r="E286" s="1581" t="s">
        <v>32</v>
      </c>
      <c r="F286" s="1581" t="s">
        <v>32</v>
      </c>
      <c r="G286" s="1581" t="s">
        <v>32</v>
      </c>
      <c r="H286" s="1581"/>
      <c r="I286" s="1581"/>
      <c r="J286" s="1581" t="s">
        <v>32</v>
      </c>
      <c r="K286" s="1581" t="s">
        <v>32</v>
      </c>
      <c r="L286" s="1581" t="s">
        <v>32</v>
      </c>
      <c r="M286" s="1581" t="s">
        <v>32</v>
      </c>
      <c r="N286" s="1626" t="s">
        <v>32</v>
      </c>
      <c r="O286" s="1626"/>
      <c r="P286" s="1626"/>
      <c r="Q286" s="1628" t="s">
        <v>32</v>
      </c>
      <c r="R286" s="1626" t="s">
        <v>32</v>
      </c>
      <c r="S286" s="1581" t="s">
        <v>32</v>
      </c>
      <c r="T286" s="1581" t="s">
        <v>32</v>
      </c>
      <c r="U286" s="1626" t="s">
        <v>32</v>
      </c>
      <c r="V286" s="1626"/>
      <c r="W286" s="1626"/>
      <c r="X286" s="1581" t="s">
        <v>32</v>
      </c>
      <c r="Y286" s="1626" t="s">
        <v>32</v>
      </c>
      <c r="Z286" s="1581" t="s">
        <v>32</v>
      </c>
      <c r="AA286" s="1581" t="s">
        <v>32</v>
      </c>
      <c r="AB286" s="1581" t="s">
        <v>32</v>
      </c>
      <c r="AC286" s="1581"/>
      <c r="AD286" s="1626"/>
      <c r="AE286" s="1626" t="s">
        <v>32</v>
      </c>
      <c r="AF286" s="1626" t="s">
        <v>32</v>
      </c>
      <c r="AG286" s="444" t="s">
        <v>32</v>
      </c>
      <c r="AH286" s="297"/>
      <c r="AI286" s="298"/>
      <c r="AJ286" s="190"/>
    </row>
    <row r="287" spans="1:36" ht="21" customHeight="1" x14ac:dyDescent="0.2">
      <c r="A287" s="632"/>
      <c r="B287" s="403" t="s">
        <v>335</v>
      </c>
      <c r="C287" s="1823" t="s">
        <v>32</v>
      </c>
      <c r="D287" s="1823" t="s">
        <v>32</v>
      </c>
      <c r="E287" s="1823" t="s">
        <v>32</v>
      </c>
      <c r="F287" s="1823" t="s">
        <v>32</v>
      </c>
      <c r="G287" s="1581" t="s">
        <v>32</v>
      </c>
      <c r="H287" s="1626"/>
      <c r="I287" s="1581"/>
      <c r="J287" s="1581" t="s">
        <v>32</v>
      </c>
      <c r="K287" s="1581" t="s">
        <v>32</v>
      </c>
      <c r="L287" s="1581" t="s">
        <v>32</v>
      </c>
      <c r="M287" s="1581" t="s">
        <v>32</v>
      </c>
      <c r="N287" s="1626" t="s">
        <v>32</v>
      </c>
      <c r="O287" s="1626"/>
      <c r="P287" s="1626"/>
      <c r="Q287" s="1628" t="s">
        <v>32</v>
      </c>
      <c r="R287" s="1626" t="s">
        <v>32</v>
      </c>
      <c r="S287" s="1581" t="s">
        <v>32</v>
      </c>
      <c r="T287" s="1581" t="s">
        <v>32</v>
      </c>
      <c r="U287" s="1626" t="s">
        <v>32</v>
      </c>
      <c r="V287" s="1626"/>
      <c r="W287" s="1626"/>
      <c r="X287" s="1581" t="s">
        <v>32</v>
      </c>
      <c r="Y287" s="1626" t="s">
        <v>32</v>
      </c>
      <c r="Z287" s="1581" t="s">
        <v>32</v>
      </c>
      <c r="AA287" s="1581" t="s">
        <v>32</v>
      </c>
      <c r="AB287" s="1581" t="s">
        <v>32</v>
      </c>
      <c r="AC287" s="1581"/>
      <c r="AD287" s="1626"/>
      <c r="AE287" s="1626" t="s">
        <v>32</v>
      </c>
      <c r="AF287" s="1626" t="s">
        <v>32</v>
      </c>
      <c r="AG287" s="300" t="s">
        <v>32</v>
      </c>
      <c r="AH287" s="297"/>
      <c r="AI287" s="298"/>
      <c r="AJ287" s="190"/>
    </row>
    <row r="288" spans="1:36" ht="21" customHeight="1" x14ac:dyDescent="0.2">
      <c r="A288" s="597"/>
      <c r="B288" s="403" t="s">
        <v>336</v>
      </c>
      <c r="C288" s="1584" t="s">
        <v>32</v>
      </c>
      <c r="D288" s="1584" t="s">
        <v>32</v>
      </c>
      <c r="E288" s="1584" t="s">
        <v>32</v>
      </c>
      <c r="F288" s="1584" t="s">
        <v>32</v>
      </c>
      <c r="G288" s="1584" t="s">
        <v>32</v>
      </c>
      <c r="H288" s="1584"/>
      <c r="I288" s="1584"/>
      <c r="J288" s="1581" t="s">
        <v>32</v>
      </c>
      <c r="K288" s="1581" t="s">
        <v>32</v>
      </c>
      <c r="L288" s="1581" t="s">
        <v>32</v>
      </c>
      <c r="M288" s="1581" t="s">
        <v>32</v>
      </c>
      <c r="N288" s="1626" t="s">
        <v>32</v>
      </c>
      <c r="O288" s="1626"/>
      <c r="P288" s="1626"/>
      <c r="Q288" s="1628" t="s">
        <v>32</v>
      </c>
      <c r="R288" s="1626" t="s">
        <v>32</v>
      </c>
      <c r="S288" s="1581" t="s">
        <v>32</v>
      </c>
      <c r="T288" s="1581" t="s">
        <v>32</v>
      </c>
      <c r="U288" s="1626" t="s">
        <v>32</v>
      </c>
      <c r="V288" s="1626"/>
      <c r="W288" s="1626"/>
      <c r="X288" s="1581" t="s">
        <v>32</v>
      </c>
      <c r="Y288" s="1626" t="s">
        <v>32</v>
      </c>
      <c r="Z288" s="1581" t="s">
        <v>32</v>
      </c>
      <c r="AA288" s="1581" t="s">
        <v>32</v>
      </c>
      <c r="AB288" s="1581" t="s">
        <v>32</v>
      </c>
      <c r="AC288" s="1581"/>
      <c r="AD288" s="1626"/>
      <c r="AE288" s="1584" t="s">
        <v>32</v>
      </c>
      <c r="AF288" s="1584" t="s">
        <v>32</v>
      </c>
      <c r="AG288" s="1824" t="s">
        <v>32</v>
      </c>
      <c r="AH288" s="297"/>
      <c r="AI288" s="298"/>
      <c r="AJ288" s="190"/>
    </row>
    <row r="289" spans="1:36" ht="21" customHeight="1" x14ac:dyDescent="0.2">
      <c r="A289" s="597"/>
      <c r="B289" s="403" t="s">
        <v>337</v>
      </c>
      <c r="C289" s="1795" t="s">
        <v>32</v>
      </c>
      <c r="D289" s="1791" t="s">
        <v>32</v>
      </c>
      <c r="E289" s="1795" t="s">
        <v>32</v>
      </c>
      <c r="F289" s="1823" t="s">
        <v>32</v>
      </c>
      <c r="G289" s="1581" t="s">
        <v>32</v>
      </c>
      <c r="H289" s="1626"/>
      <c r="I289" s="1581"/>
      <c r="J289" s="1795" t="s">
        <v>32</v>
      </c>
      <c r="K289" s="1795" t="s">
        <v>32</v>
      </c>
      <c r="L289" s="1581" t="s">
        <v>32</v>
      </c>
      <c r="M289" s="1581" t="s">
        <v>32</v>
      </c>
      <c r="N289" s="1626" t="s">
        <v>32</v>
      </c>
      <c r="O289" s="1626"/>
      <c r="P289" s="1626"/>
      <c r="Q289" s="1795" t="s">
        <v>32</v>
      </c>
      <c r="R289" s="1626" t="s">
        <v>32</v>
      </c>
      <c r="S289" s="1581" t="s">
        <v>32</v>
      </c>
      <c r="T289" s="1581" t="s">
        <v>32</v>
      </c>
      <c r="U289" s="1626" t="s">
        <v>32</v>
      </c>
      <c r="V289" s="1626"/>
      <c r="W289" s="1626"/>
      <c r="X289" s="1581" t="s">
        <v>32</v>
      </c>
      <c r="Y289" s="1626" t="s">
        <v>32</v>
      </c>
      <c r="Z289" s="1581" t="s">
        <v>32</v>
      </c>
      <c r="AA289" s="1581" t="s">
        <v>32</v>
      </c>
      <c r="AB289" s="1581" t="s">
        <v>32</v>
      </c>
      <c r="AC289" s="1581"/>
      <c r="AD289" s="1626"/>
      <c r="AE289" s="1795" t="s">
        <v>32</v>
      </c>
      <c r="AF289" s="1795" t="s">
        <v>32</v>
      </c>
      <c r="AG289" s="300" t="s">
        <v>32</v>
      </c>
      <c r="AH289" s="297"/>
      <c r="AI289" s="298"/>
      <c r="AJ289" s="190"/>
    </row>
    <row r="290" spans="1:36" ht="21" customHeight="1" x14ac:dyDescent="0.2">
      <c r="A290" s="597"/>
      <c r="B290" s="403" t="s">
        <v>338</v>
      </c>
      <c r="C290" s="1584" t="s">
        <v>32</v>
      </c>
      <c r="D290" s="1584" t="s">
        <v>32</v>
      </c>
      <c r="E290" s="1584" t="s">
        <v>32</v>
      </c>
      <c r="F290" s="1584" t="s">
        <v>32</v>
      </c>
      <c r="G290" s="1584" t="s">
        <v>32</v>
      </c>
      <c r="H290" s="1584"/>
      <c r="I290" s="1584"/>
      <c r="J290" s="1584" t="s">
        <v>32</v>
      </c>
      <c r="K290" s="1584" t="s">
        <v>32</v>
      </c>
      <c r="L290" s="1584" t="s">
        <v>32</v>
      </c>
      <c r="M290" s="1584" t="s">
        <v>32</v>
      </c>
      <c r="N290" s="1584" t="s">
        <v>32</v>
      </c>
      <c r="O290" s="1626"/>
      <c r="P290" s="1626"/>
      <c r="Q290" s="489" t="s">
        <v>32</v>
      </c>
      <c r="R290" s="489" t="s">
        <v>32</v>
      </c>
      <c r="S290" s="489" t="s">
        <v>32</v>
      </c>
      <c r="T290" s="489" t="s">
        <v>32</v>
      </c>
      <c r="U290" s="489" t="s">
        <v>32</v>
      </c>
      <c r="V290" s="1626"/>
      <c r="W290" s="1626"/>
      <c r="X290" s="1581" t="s">
        <v>32</v>
      </c>
      <c r="Y290" s="1626" t="s">
        <v>32</v>
      </c>
      <c r="Z290" s="1581" t="s">
        <v>32</v>
      </c>
      <c r="AA290" s="1581" t="s">
        <v>32</v>
      </c>
      <c r="AB290" s="1581" t="s">
        <v>32</v>
      </c>
      <c r="AC290" s="1581"/>
      <c r="AD290" s="1626"/>
      <c r="AE290" s="1626" t="s">
        <v>32</v>
      </c>
      <c r="AF290" s="1626" t="s">
        <v>32</v>
      </c>
      <c r="AG290" s="444" t="s">
        <v>32</v>
      </c>
      <c r="AH290" s="297"/>
      <c r="AI290" s="298"/>
      <c r="AJ290" s="190"/>
    </row>
    <row r="291" spans="1:36" ht="21" customHeight="1" x14ac:dyDescent="0.2">
      <c r="A291" s="597"/>
      <c r="B291" s="403" t="s">
        <v>339</v>
      </c>
      <c r="C291" s="1825" t="s">
        <v>32</v>
      </c>
      <c r="D291" s="1825" t="s">
        <v>32</v>
      </c>
      <c r="E291" s="1825" t="s">
        <v>32</v>
      </c>
      <c r="F291" s="1825" t="s">
        <v>32</v>
      </c>
      <c r="G291" s="1584" t="s">
        <v>32</v>
      </c>
      <c r="H291" s="1584"/>
      <c r="I291" s="1584"/>
      <c r="J291" s="1581" t="s">
        <v>32</v>
      </c>
      <c r="K291" s="1581" t="s">
        <v>32</v>
      </c>
      <c r="L291" s="1581" t="s">
        <v>32</v>
      </c>
      <c r="M291" s="1581" t="s">
        <v>32</v>
      </c>
      <c r="N291" s="1626" t="s">
        <v>32</v>
      </c>
      <c r="O291" s="1626"/>
      <c r="P291" s="1626"/>
      <c r="Q291" s="1628" t="s">
        <v>32</v>
      </c>
      <c r="R291" s="1626" t="s">
        <v>32</v>
      </c>
      <c r="S291" s="1581" t="s">
        <v>32</v>
      </c>
      <c r="T291" s="1581" t="s">
        <v>32</v>
      </c>
      <c r="U291" s="1626" t="s">
        <v>32</v>
      </c>
      <c r="V291" s="1626"/>
      <c r="W291" s="1626"/>
      <c r="X291" s="1581" t="s">
        <v>32</v>
      </c>
      <c r="Y291" s="1626" t="s">
        <v>32</v>
      </c>
      <c r="Z291" s="1581" t="s">
        <v>32</v>
      </c>
      <c r="AA291" s="1581" t="s">
        <v>32</v>
      </c>
      <c r="AB291" s="1581" t="s">
        <v>32</v>
      </c>
      <c r="AC291" s="1581"/>
      <c r="AD291" s="1626"/>
      <c r="AE291" s="1626" t="s">
        <v>32</v>
      </c>
      <c r="AF291" s="1626" t="s">
        <v>32</v>
      </c>
      <c r="AG291" s="300" t="s">
        <v>32</v>
      </c>
      <c r="AH291" s="297"/>
      <c r="AI291" s="298"/>
      <c r="AJ291" s="190"/>
    </row>
    <row r="292" spans="1:36" ht="21" customHeight="1" x14ac:dyDescent="0.2">
      <c r="A292" s="597"/>
      <c r="B292" s="403" t="s">
        <v>370</v>
      </c>
      <c r="C292" s="1581" t="s">
        <v>32</v>
      </c>
      <c r="D292" s="1581" t="s">
        <v>32</v>
      </c>
      <c r="E292" s="1581" t="s">
        <v>32</v>
      </c>
      <c r="F292" s="1581" t="s">
        <v>32</v>
      </c>
      <c r="G292" s="1581" t="s">
        <v>32</v>
      </c>
      <c r="H292" s="1581"/>
      <c r="I292" s="1581"/>
      <c r="J292" s="1581" t="s">
        <v>32</v>
      </c>
      <c r="K292" s="1581" t="s">
        <v>32</v>
      </c>
      <c r="L292" s="1581" t="s">
        <v>32</v>
      </c>
      <c r="M292" s="1581" t="s">
        <v>32</v>
      </c>
      <c r="N292" s="1626" t="s">
        <v>32</v>
      </c>
      <c r="O292" s="1626"/>
      <c r="P292" s="1626"/>
      <c r="Q292" s="1628" t="s">
        <v>32</v>
      </c>
      <c r="R292" s="1626" t="s">
        <v>32</v>
      </c>
      <c r="S292" s="1581" t="s">
        <v>32</v>
      </c>
      <c r="T292" s="1581" t="s">
        <v>32</v>
      </c>
      <c r="U292" s="1626" t="s">
        <v>32</v>
      </c>
      <c r="V292" s="1626"/>
      <c r="W292" s="1626"/>
      <c r="X292" s="1581" t="s">
        <v>32</v>
      </c>
      <c r="Y292" s="1626" t="s">
        <v>32</v>
      </c>
      <c r="Z292" s="1581" t="s">
        <v>32</v>
      </c>
      <c r="AA292" s="1581" t="s">
        <v>32</v>
      </c>
      <c r="AB292" s="1581" t="s">
        <v>32</v>
      </c>
      <c r="AC292" s="1581"/>
      <c r="AD292" s="1626"/>
      <c r="AE292" s="1626" t="s">
        <v>32</v>
      </c>
      <c r="AF292" s="1626" t="s">
        <v>32</v>
      </c>
      <c r="AG292" s="444" t="s">
        <v>32</v>
      </c>
      <c r="AH292" s="297"/>
      <c r="AI292" s="298"/>
      <c r="AJ292" s="190"/>
    </row>
    <row r="293" spans="1:36" ht="21" customHeight="1" x14ac:dyDescent="0.2">
      <c r="A293" s="597"/>
      <c r="B293" s="403" t="s">
        <v>340</v>
      </c>
      <c r="C293" s="1823" t="s">
        <v>32</v>
      </c>
      <c r="D293" s="1823" t="s">
        <v>32</v>
      </c>
      <c r="E293" s="1823" t="s">
        <v>32</v>
      </c>
      <c r="F293" s="1823" t="s">
        <v>32</v>
      </c>
      <c r="G293" s="1581" t="s">
        <v>32</v>
      </c>
      <c r="H293" s="1626"/>
      <c r="I293" s="1581"/>
      <c r="J293" s="1581" t="s">
        <v>32</v>
      </c>
      <c r="K293" s="1581" t="s">
        <v>32</v>
      </c>
      <c r="L293" s="1581" t="s">
        <v>32</v>
      </c>
      <c r="M293" s="1581" t="s">
        <v>32</v>
      </c>
      <c r="N293" s="1626" t="s">
        <v>32</v>
      </c>
      <c r="O293" s="1626"/>
      <c r="P293" s="1626"/>
      <c r="Q293" s="1628" t="s">
        <v>32</v>
      </c>
      <c r="R293" s="1626" t="s">
        <v>32</v>
      </c>
      <c r="S293" s="1581" t="s">
        <v>32</v>
      </c>
      <c r="T293" s="1581" t="s">
        <v>32</v>
      </c>
      <c r="U293" s="1791" t="s">
        <v>32</v>
      </c>
      <c r="V293" s="1626"/>
      <c r="W293" s="1626"/>
      <c r="X293" s="1581" t="s">
        <v>32</v>
      </c>
      <c r="Y293" s="1626" t="s">
        <v>32</v>
      </c>
      <c r="Z293" s="1581" t="s">
        <v>32</v>
      </c>
      <c r="AA293" s="1581" t="s">
        <v>32</v>
      </c>
      <c r="AB293" s="1581" t="s">
        <v>32</v>
      </c>
      <c r="AC293" s="1581"/>
      <c r="AD293" s="1626"/>
      <c r="AE293" s="1626" t="s">
        <v>32</v>
      </c>
      <c r="AF293" s="1626" t="s">
        <v>32</v>
      </c>
      <c r="AG293" s="300" t="s">
        <v>32</v>
      </c>
      <c r="AH293" s="297"/>
      <c r="AI293" s="298"/>
      <c r="AJ293" s="190"/>
    </row>
    <row r="294" spans="1:36" ht="21" customHeight="1" x14ac:dyDescent="0.2">
      <c r="A294" s="597"/>
      <c r="B294" s="403" t="s">
        <v>341</v>
      </c>
      <c r="C294" s="1581" t="s">
        <v>32</v>
      </c>
      <c r="D294" s="1581" t="s">
        <v>32</v>
      </c>
      <c r="E294" s="1581" t="s">
        <v>32</v>
      </c>
      <c r="F294" s="1581" t="s">
        <v>32</v>
      </c>
      <c r="G294" s="1581" t="s">
        <v>32</v>
      </c>
      <c r="H294" s="1581"/>
      <c r="I294" s="1581"/>
      <c r="J294" s="1584" t="s">
        <v>32</v>
      </c>
      <c r="K294" s="1584" t="s">
        <v>32</v>
      </c>
      <c r="L294" s="1584" t="s">
        <v>32</v>
      </c>
      <c r="M294" s="1584" t="s">
        <v>32</v>
      </c>
      <c r="N294" s="1584" t="s">
        <v>32</v>
      </c>
      <c r="O294" s="1584"/>
      <c r="P294" s="1584"/>
      <c r="Q294" s="1584" t="s">
        <v>32</v>
      </c>
      <c r="R294" s="1584" t="s">
        <v>32</v>
      </c>
      <c r="S294" s="1584" t="s">
        <v>32</v>
      </c>
      <c r="T294" s="1584" t="s">
        <v>32</v>
      </c>
      <c r="U294" s="1584" t="s">
        <v>32</v>
      </c>
      <c r="V294" s="1584"/>
      <c r="W294" s="1584"/>
      <c r="X294" s="1584" t="s">
        <v>32</v>
      </c>
      <c r="Y294" s="1584" t="s">
        <v>32</v>
      </c>
      <c r="Z294" s="1584" t="s">
        <v>32</v>
      </c>
      <c r="AA294" s="1584" t="s">
        <v>32</v>
      </c>
      <c r="AB294" s="1584" t="s">
        <v>32</v>
      </c>
      <c r="AC294" s="1581"/>
      <c r="AD294" s="1626"/>
      <c r="AE294" s="1626" t="s">
        <v>32</v>
      </c>
      <c r="AF294" s="1626" t="s">
        <v>32</v>
      </c>
      <c r="AG294" s="444" t="s">
        <v>32</v>
      </c>
      <c r="AH294" s="297"/>
      <c r="AI294" s="298"/>
      <c r="AJ294" s="190"/>
    </row>
    <row r="295" spans="1:36" ht="21" customHeight="1" x14ac:dyDescent="0.2">
      <c r="A295" s="597"/>
      <c r="B295" s="403" t="s">
        <v>342</v>
      </c>
      <c r="C295" s="1825" t="s">
        <v>32</v>
      </c>
      <c r="D295" s="1825" t="s">
        <v>32</v>
      </c>
      <c r="E295" s="1825" t="s">
        <v>32</v>
      </c>
      <c r="F295" s="1825" t="s">
        <v>32</v>
      </c>
      <c r="G295" s="1584" t="s">
        <v>32</v>
      </c>
      <c r="H295" s="1584"/>
      <c r="I295" s="1584"/>
      <c r="J295" s="1584" t="s">
        <v>32</v>
      </c>
      <c r="K295" s="1584" t="s">
        <v>32</v>
      </c>
      <c r="L295" s="1584" t="s">
        <v>32</v>
      </c>
      <c r="M295" s="1584" t="s">
        <v>32</v>
      </c>
      <c r="N295" s="1584" t="s">
        <v>32</v>
      </c>
      <c r="O295" s="1584"/>
      <c r="P295" s="1584"/>
      <c r="Q295" s="1584" t="s">
        <v>32</v>
      </c>
      <c r="R295" s="1626" t="s">
        <v>32</v>
      </c>
      <c r="S295" s="1581" t="s">
        <v>32</v>
      </c>
      <c r="T295" s="1581" t="s">
        <v>32</v>
      </c>
      <c r="U295" s="1626" t="s">
        <v>32</v>
      </c>
      <c r="V295" s="1626"/>
      <c r="W295" s="1626"/>
      <c r="X295" s="1581" t="s">
        <v>32</v>
      </c>
      <c r="Y295" s="1626" t="s">
        <v>32</v>
      </c>
      <c r="Z295" s="1581" t="s">
        <v>32</v>
      </c>
      <c r="AA295" s="1581" t="s">
        <v>32</v>
      </c>
      <c r="AB295" s="1581" t="s">
        <v>32</v>
      </c>
      <c r="AC295" s="1581"/>
      <c r="AD295" s="1626"/>
      <c r="AE295" s="1626" t="s">
        <v>32</v>
      </c>
      <c r="AF295" s="1626" t="s">
        <v>32</v>
      </c>
      <c r="AG295" s="300" t="s">
        <v>32</v>
      </c>
      <c r="AH295" s="297"/>
      <c r="AI295" s="298"/>
      <c r="AJ295" s="190"/>
    </row>
    <row r="296" spans="1:36" ht="21" customHeight="1" x14ac:dyDescent="0.2">
      <c r="A296" s="597"/>
      <c r="B296" s="403"/>
      <c r="C296" s="1581"/>
      <c r="D296" s="974"/>
      <c r="E296" s="1581"/>
      <c r="F296" s="1581"/>
      <c r="G296" s="1581"/>
      <c r="H296" s="1581"/>
      <c r="I296" s="1581"/>
      <c r="J296" s="1581"/>
      <c r="K296" s="1581"/>
      <c r="L296" s="1581"/>
      <c r="M296" s="1581"/>
      <c r="N296" s="1581"/>
      <c r="O296" s="1581"/>
      <c r="P296" s="1581"/>
      <c r="Q296" s="1581"/>
      <c r="R296" s="1581"/>
      <c r="S296" s="1581"/>
      <c r="T296" s="1581"/>
      <c r="U296" s="1581"/>
      <c r="V296" s="1581"/>
      <c r="W296" s="1581"/>
      <c r="X296" s="1581"/>
      <c r="Y296" s="1581"/>
      <c r="Z296" s="1581"/>
      <c r="AA296" s="1581"/>
      <c r="AB296" s="1581"/>
      <c r="AC296" s="1581"/>
      <c r="AD296" s="1581"/>
      <c r="AE296" s="1581"/>
      <c r="AF296" s="1581"/>
      <c r="AG296" s="459"/>
      <c r="AH296" s="297"/>
      <c r="AI296" s="298"/>
      <c r="AJ296" s="190"/>
    </row>
    <row r="297" spans="1:36" ht="21" customHeight="1" x14ac:dyDescent="0.2">
      <c r="A297" s="489"/>
      <c r="B297" s="404"/>
      <c r="C297" s="868"/>
      <c r="D297" s="868"/>
      <c r="E297" s="868"/>
      <c r="F297" s="868"/>
      <c r="G297" s="868"/>
      <c r="H297" s="868"/>
      <c r="I297" s="868"/>
      <c r="J297" s="868"/>
      <c r="K297" s="868"/>
      <c r="L297" s="868"/>
      <c r="M297" s="868"/>
      <c r="N297" s="1593"/>
      <c r="O297" s="1593"/>
      <c r="P297" s="868"/>
      <c r="Q297" s="868"/>
      <c r="R297" s="868"/>
      <c r="S297" s="868"/>
      <c r="T297" s="868"/>
      <c r="U297" s="868"/>
      <c r="V297" s="868"/>
      <c r="W297" s="868"/>
      <c r="X297" s="868"/>
      <c r="Y297" s="868"/>
      <c r="Z297" s="868"/>
      <c r="AA297" s="868"/>
      <c r="AB297" s="1593"/>
      <c r="AC297" s="1593"/>
      <c r="AD297" s="868"/>
      <c r="AE297" s="868"/>
      <c r="AF297" s="868"/>
      <c r="AG297" s="459"/>
      <c r="AH297" s="297"/>
      <c r="AI297" s="299"/>
      <c r="AJ297" s="190"/>
    </row>
    <row r="298" spans="1:36" ht="21" customHeight="1" thickBot="1" x14ac:dyDescent="0.25">
      <c r="A298" s="1826"/>
      <c r="B298" s="1827"/>
      <c r="C298" s="1828"/>
      <c r="D298" s="1829"/>
      <c r="E298" s="1829"/>
      <c r="F298" s="1829"/>
      <c r="G298" s="1829"/>
      <c r="H298" s="1829"/>
      <c r="I298" s="1829"/>
      <c r="J298" s="1829"/>
      <c r="K298" s="1829"/>
      <c r="L298" s="1829"/>
      <c r="M298" s="1829"/>
      <c r="N298" s="1830"/>
      <c r="O298" s="1830"/>
      <c r="P298" s="1829"/>
      <c r="Q298" s="1829"/>
      <c r="R298" s="1829"/>
      <c r="S298" s="1829"/>
      <c r="T298" s="1829"/>
      <c r="U298" s="1829"/>
      <c r="V298" s="1829"/>
      <c r="W298" s="1829"/>
      <c r="X298" s="1829"/>
      <c r="Y298" s="1829"/>
      <c r="Z298" s="1829"/>
      <c r="AA298" s="1829"/>
      <c r="AB298" s="1830"/>
      <c r="AC298" s="1830"/>
      <c r="AD298" s="1829"/>
      <c r="AE298" s="1829"/>
      <c r="AF298" s="1829"/>
      <c r="AG298" s="1831"/>
      <c r="AH298" s="297"/>
      <c r="AI298" s="299"/>
      <c r="AJ298" s="190"/>
    </row>
    <row r="299" spans="1:36" x14ac:dyDescent="0.2">
      <c r="AH299" s="190"/>
      <c r="AI299" s="190"/>
      <c r="AJ299" s="190"/>
    </row>
    <row r="300" spans="1:36" x14ac:dyDescent="0.2">
      <c r="AH300" s="190"/>
      <c r="AI300" s="190"/>
      <c r="AJ300" s="190"/>
    </row>
    <row r="301" spans="1:36" x14ac:dyDescent="0.2">
      <c r="AH301" s="190"/>
      <c r="AI301" s="190"/>
      <c r="AJ301" s="190"/>
    </row>
    <row r="302" spans="1:36" x14ac:dyDescent="0.2">
      <c r="AH302" s="190"/>
      <c r="AI302" s="190"/>
      <c r="AJ302" s="190"/>
    </row>
  </sheetData>
  <sheetProtection algorithmName="SHA-512" hashValue="R0W07YL7+tj2+0edpYATaV6N0wngQ1s3Cao4x4jNaI6MTb0yz/4GUuBOL4ggOPeBAHD2KDH9AdrzGqhk0Dh89w==" saltValue="qwkrOMQpmQ5nzIh1svAY7A==" spinCount="100000" sheet="1" objects="1" scenarios="1"/>
  <protectedRanges>
    <protectedRange sqref="B136:B137"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38 B140:B141"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ignoredErrors>
    <ignoredError sqref="AD82 AB81:AB82 AA81 AF81:AG81 X86:Z86" numberStoredAsText="1"/>
  </ignoredError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8A7C9-A0E1-408F-82CE-6A6CD19759D8}">
  <sheetPr codeName="Ark75"/>
  <dimension ref="A1:AN307"/>
  <sheetViews>
    <sheetView zoomScale="90" zoomScaleNormal="90" workbookViewId="0">
      <pane xSplit="2" ySplit="3" topLeftCell="C88" activePane="bottomRight" state="frozen"/>
      <selection pane="topRight" activeCell="AJ86" sqref="AJ86"/>
      <selection pane="bottomLeft" activeCell="AJ86" sqref="AJ86"/>
      <selection pane="bottomRight" activeCell="J237" sqref="J237"/>
    </sheetView>
  </sheetViews>
  <sheetFormatPr defaultColWidth="9.140625" defaultRowHeight="12" x14ac:dyDescent="0.2"/>
  <cols>
    <col min="1" max="1" width="5.7109375" customWidth="1"/>
    <col min="2" max="2" width="20.5703125" customWidth="1"/>
    <col min="3" max="3" width="4.85546875" customWidth="1"/>
    <col min="4" max="9" width="4.140625" customWidth="1"/>
    <col min="10" max="10" width="5.42578125" customWidth="1"/>
    <col min="11" max="19" width="4.140625" customWidth="1"/>
    <col min="20" max="20" width="3.85546875" customWidth="1"/>
    <col min="21" max="33" width="4.140625" customWidth="1"/>
    <col min="34" max="34" width="4" customWidth="1"/>
    <col min="35" max="35" width="3.85546875" customWidth="1"/>
    <col min="36" max="37" width="12.140625" customWidth="1"/>
    <col min="38" max="38" width="15" customWidth="1"/>
    <col min="39" max="39" width="12.7109375" customWidth="1"/>
    <col min="40" max="42" width="11.140625" bestFit="1" customWidth="1"/>
  </cols>
  <sheetData>
    <row r="1" spans="1:38" ht="13.35" customHeight="1" x14ac:dyDescent="0.2">
      <c r="A1" t="s">
        <v>0</v>
      </c>
      <c r="B1" s="1" t="s">
        <v>1</v>
      </c>
    </row>
    <row r="2" spans="1:38" ht="13.35" customHeight="1" x14ac:dyDescent="0.2">
      <c r="B2" s="600" t="s">
        <v>2</v>
      </c>
      <c r="C2" s="601" t="s">
        <v>3</v>
      </c>
      <c r="D2" s="405"/>
      <c r="E2" s="602" t="s">
        <v>4</v>
      </c>
      <c r="F2" s="406"/>
      <c r="G2" s="407"/>
      <c r="H2" s="407"/>
      <c r="I2" s="407"/>
      <c r="J2" s="407"/>
      <c r="K2" s="408"/>
      <c r="L2" s="603" t="s">
        <v>5</v>
      </c>
      <c r="M2" s="409"/>
      <c r="N2" s="410"/>
      <c r="O2" s="604" t="s">
        <v>6</v>
      </c>
      <c r="P2" s="411"/>
      <c r="Q2" s="412"/>
      <c r="R2" s="413"/>
      <c r="S2" s="605" t="s">
        <v>7</v>
      </c>
      <c r="T2" s="414"/>
      <c r="U2" s="415"/>
      <c r="V2" s="414"/>
      <c r="W2" s="606" t="s">
        <v>8</v>
      </c>
      <c r="X2" s="416"/>
      <c r="Y2" s="417"/>
      <c r="Z2" s="160" t="s">
        <v>9</v>
      </c>
      <c r="AA2" s="418"/>
      <c r="AB2" s="419"/>
      <c r="AC2" s="420"/>
      <c r="AD2" s="421" t="s">
        <v>10</v>
      </c>
      <c r="AE2" s="422"/>
      <c r="AF2" s="422"/>
      <c r="AG2" s="423"/>
    </row>
    <row r="3" spans="1:38" ht="13.35" customHeight="1" x14ac:dyDescent="0.2">
      <c r="A3" s="1"/>
      <c r="B3" s="607" t="s">
        <v>11</v>
      </c>
      <c r="C3" s="608" t="s">
        <v>12</v>
      </c>
      <c r="D3" s="424"/>
      <c r="E3" s="91"/>
      <c r="F3" s="92"/>
      <c r="G3" s="92"/>
      <c r="H3" s="161" t="s">
        <v>13</v>
      </c>
      <c r="I3" s="93"/>
      <c r="J3" s="93"/>
      <c r="K3" s="94"/>
      <c r="L3" s="609" t="s">
        <v>14</v>
      </c>
      <c r="M3" s="425"/>
      <c r="N3" s="426"/>
      <c r="O3" s="93"/>
      <c r="P3" s="93"/>
      <c r="Q3" s="93"/>
      <c r="R3" s="93"/>
      <c r="S3" s="14"/>
      <c r="T3" s="95" t="s">
        <v>15</v>
      </c>
      <c r="U3" s="96"/>
      <c r="V3" s="97"/>
      <c r="W3" s="98"/>
      <c r="X3" s="99"/>
      <c r="Y3" s="161" t="s">
        <v>16</v>
      </c>
      <c r="Z3" s="425"/>
      <c r="AA3" s="425"/>
      <c r="AB3" s="427"/>
      <c r="AC3" s="428"/>
      <c r="AD3" s="610" t="s">
        <v>17</v>
      </c>
      <c r="AE3" s="429"/>
      <c r="AF3" s="429"/>
      <c r="AG3" s="430"/>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611" t="s">
        <v>20</v>
      </c>
      <c r="B6" s="425"/>
      <c r="C6" s="431"/>
      <c r="D6" s="611" t="s">
        <v>21</v>
      </c>
      <c r="E6" s="425"/>
      <c r="F6" s="425"/>
      <c r="G6" s="425"/>
      <c r="H6" s="432"/>
      <c r="I6" s="425"/>
      <c r="J6" s="425"/>
      <c r="K6" s="425"/>
      <c r="L6" s="433" t="s">
        <v>22</v>
      </c>
      <c r="M6" s="425"/>
      <c r="N6" s="425"/>
      <c r="O6" s="425"/>
      <c r="P6" s="425"/>
      <c r="Q6" s="425"/>
      <c r="R6" s="425"/>
      <c r="S6" s="431"/>
      <c r="T6" s="434"/>
      <c r="U6" s="425"/>
      <c r="V6" s="425"/>
      <c r="W6" s="425"/>
      <c r="X6" s="425"/>
      <c r="Y6" s="425"/>
      <c r="Z6" s="425"/>
      <c r="AA6" s="431"/>
      <c r="AB6" s="435"/>
      <c r="AC6" s="436"/>
      <c r="AD6" s="436"/>
      <c r="AE6" s="436"/>
      <c r="AF6" s="436"/>
      <c r="AG6" s="437"/>
    </row>
    <row r="7" spans="1:38" ht="22.35" customHeight="1" x14ac:dyDescent="0.2">
      <c r="A7" s="611" t="s">
        <v>23</v>
      </c>
      <c r="B7" s="425"/>
      <c r="C7" s="425"/>
      <c r="D7" s="425"/>
      <c r="E7" s="425"/>
      <c r="F7" s="425"/>
      <c r="G7" s="425"/>
      <c r="H7" s="425"/>
      <c r="I7" s="425"/>
      <c r="J7" s="425"/>
      <c r="K7" s="431"/>
      <c r="L7" s="153" t="s">
        <v>24</v>
      </c>
      <c r="M7" s="14"/>
      <c r="N7" s="14"/>
      <c r="O7" s="14"/>
      <c r="P7" s="14"/>
      <c r="Q7" s="14"/>
      <c r="R7" s="14"/>
      <c r="S7" s="14"/>
      <c r="T7" s="14"/>
      <c r="U7" s="425"/>
      <c r="V7" s="425"/>
      <c r="W7" s="425"/>
      <c r="X7" s="425"/>
      <c r="Y7" s="425"/>
      <c r="Z7" s="425"/>
      <c r="AA7" s="425"/>
      <c r="AB7" s="612"/>
      <c r="AC7" s="425"/>
      <c r="AD7" s="425"/>
      <c r="AE7" s="425"/>
      <c r="AF7" s="425"/>
      <c r="AG7" s="431"/>
    </row>
    <row r="8" spans="1:38" ht="22.35" customHeight="1" x14ac:dyDescent="0.2">
      <c r="A8" s="158" t="s">
        <v>25</v>
      </c>
      <c r="L8" s="100"/>
      <c r="AB8" s="1"/>
    </row>
    <row r="9" spans="1:38" ht="22.35" customHeight="1" x14ac:dyDescent="0.2">
      <c r="A9" s="158" t="s">
        <v>26</v>
      </c>
      <c r="L9" s="100"/>
      <c r="AB9" s="1"/>
      <c r="AL9" t="s">
        <v>0</v>
      </c>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t="s">
        <v>0</v>
      </c>
    </row>
    <row r="11" spans="1:38" ht="22.35" customHeight="1" thickBot="1" x14ac:dyDescent="0.25">
      <c r="A11" s="1832" t="s">
        <v>28</v>
      </c>
      <c r="B11" s="1833" t="s">
        <v>29</v>
      </c>
      <c r="C11" s="1834">
        <v>1</v>
      </c>
      <c r="D11" s="1834">
        <v>2</v>
      </c>
      <c r="E11" s="1835">
        <v>3</v>
      </c>
      <c r="F11" s="1835">
        <v>4</v>
      </c>
      <c r="G11" s="1834">
        <v>5</v>
      </c>
      <c r="H11" s="1834">
        <v>6</v>
      </c>
      <c r="I11" s="1834">
        <v>7</v>
      </c>
      <c r="J11" s="1834">
        <v>8</v>
      </c>
      <c r="K11" s="1834">
        <v>9</v>
      </c>
      <c r="L11" s="1835">
        <v>10</v>
      </c>
      <c r="M11" s="1835">
        <v>11</v>
      </c>
      <c r="N11" s="1834">
        <v>12</v>
      </c>
      <c r="O11" s="1834">
        <v>13</v>
      </c>
      <c r="P11" s="1834">
        <v>14</v>
      </c>
      <c r="Q11" s="1834">
        <v>15</v>
      </c>
      <c r="R11" s="1834">
        <v>16</v>
      </c>
      <c r="S11" s="1835">
        <v>17</v>
      </c>
      <c r="T11" s="1835">
        <v>18</v>
      </c>
      <c r="U11" s="1834">
        <v>19</v>
      </c>
      <c r="V11" s="1834">
        <v>20</v>
      </c>
      <c r="W11" s="1834">
        <v>21</v>
      </c>
      <c r="X11" s="1834">
        <v>22</v>
      </c>
      <c r="Y11" s="1834">
        <v>23</v>
      </c>
      <c r="Z11" s="1835">
        <v>24</v>
      </c>
      <c r="AA11" s="1835">
        <v>25</v>
      </c>
      <c r="AB11" s="1834">
        <v>26</v>
      </c>
      <c r="AC11" s="1834">
        <v>27</v>
      </c>
      <c r="AD11" s="1834">
        <v>28</v>
      </c>
      <c r="AE11" s="1834">
        <v>29</v>
      </c>
      <c r="AF11" s="1834">
        <v>30</v>
      </c>
      <c r="AG11" s="1836"/>
      <c r="AH11" s="173"/>
      <c r="AI11" s="174"/>
      <c r="AJ11" s="1837" t="s">
        <v>30</v>
      </c>
    </row>
    <row r="12" spans="1:38" ht="22.35" customHeight="1" x14ac:dyDescent="0.2">
      <c r="A12" s="1838">
        <v>8500</v>
      </c>
      <c r="B12" s="1839" t="s">
        <v>31</v>
      </c>
      <c r="C12" s="1840" t="s">
        <v>32</v>
      </c>
      <c r="D12" s="1840" t="s">
        <v>32</v>
      </c>
      <c r="E12" s="1840"/>
      <c r="F12" s="1840"/>
      <c r="G12" s="1841" t="s">
        <v>32</v>
      </c>
      <c r="H12" s="1841" t="s">
        <v>32</v>
      </c>
      <c r="I12" s="1841" t="s">
        <v>32</v>
      </c>
      <c r="J12" s="1841" t="s">
        <v>32</v>
      </c>
      <c r="K12" s="1841" t="s">
        <v>32</v>
      </c>
      <c r="L12" s="1841"/>
      <c r="M12" s="1841"/>
      <c r="N12" s="1841" t="s">
        <v>32</v>
      </c>
      <c r="O12" s="1841" t="s">
        <v>32</v>
      </c>
      <c r="P12" s="1841" t="s">
        <v>32</v>
      </c>
      <c r="Q12" s="1841" t="s">
        <v>32</v>
      </c>
      <c r="R12" s="1841" t="s">
        <v>32</v>
      </c>
      <c r="S12" s="1841"/>
      <c r="T12" s="1841"/>
      <c r="U12" s="1842" t="s">
        <v>32</v>
      </c>
      <c r="V12" s="1840" t="s">
        <v>32</v>
      </c>
      <c r="W12" s="1840" t="s">
        <v>32</v>
      </c>
      <c r="X12" s="1840" t="s">
        <v>32</v>
      </c>
      <c r="Y12" s="1840" t="s">
        <v>32</v>
      </c>
      <c r="Z12" s="1843"/>
      <c r="AA12" s="1844"/>
      <c r="AB12" s="1844" t="s">
        <v>32</v>
      </c>
      <c r="AC12" s="1823" t="s">
        <v>32</v>
      </c>
      <c r="AD12" s="1823" t="s">
        <v>32</v>
      </c>
      <c r="AE12" s="1823" t="s">
        <v>32</v>
      </c>
      <c r="AF12" s="1823" t="s">
        <v>32</v>
      </c>
      <c r="AG12" s="1845"/>
      <c r="AH12" s="179"/>
      <c r="AI12" s="179"/>
      <c r="AJ12" s="1837">
        <v>160.33000000000001</v>
      </c>
    </row>
    <row r="13" spans="1:38" ht="22.35" customHeight="1" thickBot="1" x14ac:dyDescent="0.25">
      <c r="A13" s="614" t="s">
        <v>33</v>
      </c>
      <c r="B13" s="615"/>
      <c r="C13" s="615"/>
      <c r="D13" s="615"/>
      <c r="E13" s="615"/>
      <c r="F13" s="615"/>
      <c r="G13" s="615"/>
      <c r="H13" s="615"/>
      <c r="I13" s="615"/>
      <c r="J13" s="615"/>
      <c r="K13" s="615"/>
      <c r="L13" s="615"/>
      <c r="M13" s="615"/>
      <c r="N13" s="615"/>
      <c r="O13" s="615"/>
      <c r="P13" s="615"/>
      <c r="Q13" s="615"/>
      <c r="R13" s="615"/>
      <c r="S13" s="615"/>
      <c r="T13" s="615"/>
      <c r="U13" s="615"/>
      <c r="V13" s="615"/>
      <c r="W13" s="615"/>
      <c r="X13" s="615"/>
      <c r="Y13" s="615"/>
      <c r="Z13" s="615"/>
      <c r="AA13" s="615"/>
      <c r="AB13" s="615"/>
      <c r="AC13" s="615"/>
      <c r="AD13" s="615"/>
      <c r="AE13" s="615"/>
      <c r="AF13" s="615"/>
      <c r="AG13" s="438"/>
      <c r="AH13" s="177"/>
      <c r="AI13" s="177"/>
    </row>
    <row r="14" spans="1:38" ht="22.35" customHeight="1" x14ac:dyDescent="0.2">
      <c r="A14" s="616">
        <v>8546</v>
      </c>
      <c r="B14" s="1839" t="s">
        <v>34</v>
      </c>
      <c r="C14" s="456">
        <v>2</v>
      </c>
      <c r="D14" s="456">
        <v>2</v>
      </c>
      <c r="E14" s="456" t="s">
        <v>37</v>
      </c>
      <c r="F14" s="456" t="s">
        <v>37</v>
      </c>
      <c r="G14" s="447" t="s">
        <v>36</v>
      </c>
      <c r="H14" s="452" t="s">
        <v>36</v>
      </c>
      <c r="I14" s="452" t="s">
        <v>36</v>
      </c>
      <c r="J14" s="452" t="s">
        <v>36</v>
      </c>
      <c r="K14" s="461" t="s">
        <v>36</v>
      </c>
      <c r="L14" s="1647" t="s">
        <v>0</v>
      </c>
      <c r="M14" s="445"/>
      <c r="N14" s="447">
        <v>4</v>
      </c>
      <c r="O14" s="447">
        <v>4</v>
      </c>
      <c r="P14" s="458">
        <v>4</v>
      </c>
      <c r="Q14" s="458">
        <v>4</v>
      </c>
      <c r="R14" s="452">
        <v>4</v>
      </c>
      <c r="S14" s="465" t="s">
        <v>35</v>
      </c>
      <c r="T14" s="458" t="s">
        <v>35</v>
      </c>
      <c r="U14" s="458" t="s">
        <v>36</v>
      </c>
      <c r="V14" s="452" t="s">
        <v>36</v>
      </c>
      <c r="W14" s="452" t="s">
        <v>36</v>
      </c>
      <c r="X14" s="452" t="s">
        <v>36</v>
      </c>
      <c r="Y14" s="452" t="s">
        <v>36</v>
      </c>
      <c r="Z14" s="452"/>
      <c r="AA14" s="452"/>
      <c r="AB14" s="452">
        <v>1</v>
      </c>
      <c r="AC14" s="452">
        <v>1</v>
      </c>
      <c r="AD14" s="458">
        <v>1</v>
      </c>
      <c r="AE14" s="452">
        <v>1</v>
      </c>
      <c r="AF14" s="452">
        <v>1</v>
      </c>
      <c r="AG14" s="439"/>
      <c r="AH14" s="179"/>
      <c r="AI14" s="179"/>
    </row>
    <row r="15" spans="1:38" ht="22.35" customHeight="1" x14ac:dyDescent="0.2">
      <c r="A15" s="616">
        <v>8546</v>
      </c>
      <c r="B15" s="454" t="s">
        <v>38</v>
      </c>
      <c r="C15" s="461">
        <v>1</v>
      </c>
      <c r="D15" s="452">
        <v>1</v>
      </c>
      <c r="E15" s="452"/>
      <c r="F15" s="458"/>
      <c r="G15" s="458">
        <v>2</v>
      </c>
      <c r="H15" s="458">
        <v>2</v>
      </c>
      <c r="I15" s="452">
        <v>2</v>
      </c>
      <c r="J15" s="461">
        <v>2</v>
      </c>
      <c r="K15" s="458">
        <v>2</v>
      </c>
      <c r="L15" s="452" t="s">
        <v>37</v>
      </c>
      <c r="M15" s="452" t="s">
        <v>37</v>
      </c>
      <c r="N15" s="452" t="s">
        <v>36</v>
      </c>
      <c r="O15" s="452" t="s">
        <v>36</v>
      </c>
      <c r="P15" s="452" t="s">
        <v>36</v>
      </c>
      <c r="Q15" s="452" t="s">
        <v>36</v>
      </c>
      <c r="R15" s="460" t="s">
        <v>36</v>
      </c>
      <c r="S15" s="452"/>
      <c r="T15" s="452"/>
      <c r="U15" s="452">
        <v>4</v>
      </c>
      <c r="V15" s="452">
        <v>4</v>
      </c>
      <c r="W15" s="452">
        <v>4</v>
      </c>
      <c r="X15" s="452">
        <v>4</v>
      </c>
      <c r="Y15" s="452">
        <v>4</v>
      </c>
      <c r="Z15" s="452" t="s">
        <v>35</v>
      </c>
      <c r="AA15" s="452" t="s">
        <v>35</v>
      </c>
      <c r="AB15" s="452" t="s">
        <v>36</v>
      </c>
      <c r="AC15" s="452" t="s">
        <v>36</v>
      </c>
      <c r="AD15" s="452" t="s">
        <v>36</v>
      </c>
      <c r="AE15" s="452" t="s">
        <v>36</v>
      </c>
      <c r="AF15" s="452" t="s">
        <v>36</v>
      </c>
      <c r="AG15" s="439"/>
      <c r="AH15" s="179"/>
      <c r="AI15" s="179"/>
      <c r="AL15" t="s">
        <v>0</v>
      </c>
    </row>
    <row r="16" spans="1:38" ht="22.35" customHeight="1" x14ac:dyDescent="0.2">
      <c r="A16" s="616">
        <v>8546</v>
      </c>
      <c r="B16" s="618" t="s">
        <v>40</v>
      </c>
      <c r="C16" s="619">
        <v>4</v>
      </c>
      <c r="D16" s="620">
        <v>4</v>
      </c>
      <c r="E16" s="620" t="s">
        <v>35</v>
      </c>
      <c r="F16" s="620" t="s">
        <v>35</v>
      </c>
      <c r="G16" s="620" t="s">
        <v>36</v>
      </c>
      <c r="H16" s="620" t="s">
        <v>36</v>
      </c>
      <c r="I16" s="457" t="s">
        <v>36</v>
      </c>
      <c r="J16" s="620" t="s">
        <v>36</v>
      </c>
      <c r="K16" s="620" t="s">
        <v>36</v>
      </c>
      <c r="L16" s="620"/>
      <c r="M16" s="620"/>
      <c r="N16" s="619">
        <v>1</v>
      </c>
      <c r="O16" s="619">
        <v>1</v>
      </c>
      <c r="P16" s="619">
        <v>1</v>
      </c>
      <c r="Q16" s="619">
        <v>1</v>
      </c>
      <c r="R16" s="619">
        <v>1</v>
      </c>
      <c r="S16" s="620"/>
      <c r="T16" s="620"/>
      <c r="U16" s="620">
        <v>2</v>
      </c>
      <c r="V16" s="620">
        <v>2</v>
      </c>
      <c r="W16" s="617">
        <v>2</v>
      </c>
      <c r="X16" s="620">
        <v>2</v>
      </c>
      <c r="Y16" s="619">
        <v>2</v>
      </c>
      <c r="Z16" s="619" t="s">
        <v>37</v>
      </c>
      <c r="AA16" s="619" t="s">
        <v>37</v>
      </c>
      <c r="AB16" s="619" t="s">
        <v>36</v>
      </c>
      <c r="AC16" s="619" t="s">
        <v>36</v>
      </c>
      <c r="AD16" s="620" t="s">
        <v>36</v>
      </c>
      <c r="AE16" s="620" t="s">
        <v>36</v>
      </c>
      <c r="AF16" s="620" t="s">
        <v>36</v>
      </c>
      <c r="AG16" s="487"/>
      <c r="AH16" s="179"/>
      <c r="AI16" s="179"/>
    </row>
    <row r="17" spans="1:40" ht="22.35" customHeight="1" x14ac:dyDescent="0.2">
      <c r="A17" s="616">
        <v>8546</v>
      </c>
      <c r="B17" s="454" t="s">
        <v>41</v>
      </c>
      <c r="C17" s="452" t="s">
        <v>36</v>
      </c>
      <c r="D17" s="464" t="s">
        <v>36</v>
      </c>
      <c r="E17" s="452"/>
      <c r="F17" s="458"/>
      <c r="G17" s="452">
        <v>4</v>
      </c>
      <c r="H17" s="452">
        <v>4</v>
      </c>
      <c r="I17" s="461">
        <v>4</v>
      </c>
      <c r="J17" s="452">
        <v>4</v>
      </c>
      <c r="K17" s="452">
        <v>4</v>
      </c>
      <c r="L17" s="452" t="s">
        <v>35</v>
      </c>
      <c r="M17" s="447" t="s">
        <v>35</v>
      </c>
      <c r="N17" s="447" t="s">
        <v>36</v>
      </c>
      <c r="O17" s="447" t="s">
        <v>36</v>
      </c>
      <c r="P17" s="447" t="s">
        <v>36</v>
      </c>
      <c r="Q17" s="1846" t="s">
        <v>36</v>
      </c>
      <c r="R17" s="447" t="s">
        <v>36</v>
      </c>
      <c r="S17" s="447"/>
      <c r="T17" s="452"/>
      <c r="U17" s="452">
        <v>1</v>
      </c>
      <c r="V17" s="452">
        <v>1</v>
      </c>
      <c r="W17" s="452">
        <v>1</v>
      </c>
      <c r="X17" s="461">
        <v>1</v>
      </c>
      <c r="Y17" s="452">
        <v>1</v>
      </c>
      <c r="Z17" s="452"/>
      <c r="AA17" s="621"/>
      <c r="AB17" s="621">
        <v>2</v>
      </c>
      <c r="AC17" s="621">
        <v>2</v>
      </c>
      <c r="AD17" s="621">
        <v>2</v>
      </c>
      <c r="AE17" s="621">
        <v>2</v>
      </c>
      <c r="AF17" s="621">
        <v>2</v>
      </c>
      <c r="AG17" s="439"/>
      <c r="AH17" s="179"/>
      <c r="AI17" s="179"/>
    </row>
    <row r="18" spans="1:40" ht="22.35" customHeight="1" x14ac:dyDescent="0.2">
      <c r="A18" s="616">
        <v>8546</v>
      </c>
      <c r="B18" s="618" t="s">
        <v>42</v>
      </c>
      <c r="C18" s="461" t="s">
        <v>36</v>
      </c>
      <c r="D18" s="455" t="s">
        <v>36</v>
      </c>
      <c r="E18" s="455"/>
      <c r="F18" s="452"/>
      <c r="G18" s="452">
        <v>1</v>
      </c>
      <c r="H18" s="452">
        <v>1</v>
      </c>
      <c r="I18" s="452">
        <v>1</v>
      </c>
      <c r="J18" s="1847">
        <v>1</v>
      </c>
      <c r="K18" s="1848">
        <v>1</v>
      </c>
      <c r="L18" s="452"/>
      <c r="M18" s="458"/>
      <c r="N18" s="458">
        <v>2</v>
      </c>
      <c r="O18" s="452">
        <v>2</v>
      </c>
      <c r="P18" s="458">
        <v>2</v>
      </c>
      <c r="Q18" s="458">
        <v>2</v>
      </c>
      <c r="R18" s="458">
        <v>2</v>
      </c>
      <c r="S18" s="458" t="s">
        <v>37</v>
      </c>
      <c r="T18" s="458" t="s">
        <v>37</v>
      </c>
      <c r="U18" s="445" t="s">
        <v>36</v>
      </c>
      <c r="V18" s="445" t="s">
        <v>36</v>
      </c>
      <c r="W18" s="452" t="s">
        <v>36</v>
      </c>
      <c r="X18" s="452" t="s">
        <v>36</v>
      </c>
      <c r="Y18" s="452" t="s">
        <v>36</v>
      </c>
      <c r="Z18" s="452"/>
      <c r="AA18" s="452"/>
      <c r="AB18" s="452">
        <v>4</v>
      </c>
      <c r="AC18" s="622">
        <v>4</v>
      </c>
      <c r="AD18" s="452">
        <v>4</v>
      </c>
      <c r="AE18" s="452">
        <v>4</v>
      </c>
      <c r="AF18" s="452">
        <v>4</v>
      </c>
      <c r="AG18" s="439"/>
      <c r="AH18" s="179"/>
      <c r="AI18" s="179"/>
    </row>
    <row r="19" spans="1:40" ht="22.35" customHeight="1" thickBot="1" x14ac:dyDescent="0.25">
      <c r="A19" s="1849" t="s">
        <v>43</v>
      </c>
      <c r="B19" s="1850"/>
      <c r="C19" s="1851"/>
      <c r="D19" s="1851"/>
      <c r="E19" s="1851"/>
      <c r="F19" s="1851"/>
      <c r="G19" s="1851"/>
      <c r="H19" s="1851"/>
      <c r="I19" s="1851"/>
      <c r="J19" s="1851"/>
      <c r="K19" s="1851"/>
      <c r="L19" s="1851"/>
      <c r="M19" s="1851"/>
      <c r="N19" s="1851"/>
      <c r="O19" s="1851"/>
      <c r="P19" s="1851"/>
      <c r="Q19" s="1851"/>
      <c r="R19" s="1851"/>
      <c r="S19" s="1851"/>
      <c r="T19" s="1851"/>
      <c r="U19" s="1851"/>
      <c r="V19" s="1851"/>
      <c r="W19" s="1851"/>
      <c r="X19" s="1851"/>
      <c r="Y19" s="1851"/>
      <c r="Z19" s="1851"/>
      <c r="AA19" s="1851"/>
      <c r="AB19" s="1851"/>
      <c r="AC19" s="1851"/>
      <c r="AD19" s="1851"/>
      <c r="AE19" s="1851"/>
      <c r="AF19" s="1851"/>
      <c r="AG19" s="1852"/>
      <c r="AH19" s="177"/>
      <c r="AI19" s="177"/>
      <c r="AJ19" s="1837" t="s">
        <v>30</v>
      </c>
      <c r="AK19" s="1837" t="s">
        <v>44</v>
      </c>
      <c r="AL19" s="1837" t="s">
        <v>45</v>
      </c>
      <c r="AM19" s="1837" t="s">
        <v>46</v>
      </c>
      <c r="AN19" s="1837" t="s">
        <v>47</v>
      </c>
    </row>
    <row r="20" spans="1:40" ht="22.35" customHeight="1" thickBot="1" x14ac:dyDescent="0.25">
      <c r="A20" s="1853">
        <v>8500</v>
      </c>
      <c r="B20" s="1854" t="s">
        <v>49</v>
      </c>
      <c r="C20" s="1855" t="s">
        <v>32</v>
      </c>
      <c r="D20" s="1855" t="s">
        <v>32</v>
      </c>
      <c r="E20" s="1855"/>
      <c r="F20" s="1855"/>
      <c r="G20" s="1855" t="s">
        <v>32</v>
      </c>
      <c r="H20" s="1855" t="s">
        <v>32</v>
      </c>
      <c r="I20" s="1855" t="s">
        <v>32</v>
      </c>
      <c r="J20" s="1856" t="s">
        <v>32</v>
      </c>
      <c r="K20" s="1856" t="s">
        <v>32</v>
      </c>
      <c r="L20" s="1647" t="s">
        <v>0</v>
      </c>
      <c r="M20" s="1856"/>
      <c r="N20" s="1856" t="s">
        <v>32</v>
      </c>
      <c r="O20" s="1856" t="s">
        <v>32</v>
      </c>
      <c r="P20" s="1856" t="s">
        <v>32</v>
      </c>
      <c r="Q20" s="1857" t="s">
        <v>32</v>
      </c>
      <c r="R20" s="1856" t="s">
        <v>32</v>
      </c>
      <c r="S20" s="1856"/>
      <c r="T20" s="1660" t="s">
        <v>405</v>
      </c>
      <c r="U20" s="1856" t="s">
        <v>32</v>
      </c>
      <c r="V20" s="1856" t="s">
        <v>32</v>
      </c>
      <c r="W20" s="1856" t="s">
        <v>32</v>
      </c>
      <c r="X20" s="1856" t="s">
        <v>32</v>
      </c>
      <c r="Y20" s="1856" t="s">
        <v>32</v>
      </c>
      <c r="Z20" s="1856"/>
      <c r="AA20" s="1856"/>
      <c r="AB20" s="1856" t="s">
        <v>32</v>
      </c>
      <c r="AC20" s="1856" t="s">
        <v>32</v>
      </c>
      <c r="AD20" s="1856" t="s">
        <v>32</v>
      </c>
      <c r="AE20" s="1856" t="s">
        <v>32</v>
      </c>
      <c r="AF20" s="1856" t="s">
        <v>32</v>
      </c>
      <c r="AG20" s="1858"/>
      <c r="AH20" s="179"/>
      <c r="AI20" s="179"/>
      <c r="AJ20" s="1840">
        <f>$AJ$12</f>
        <v>160.33000000000001</v>
      </c>
      <c r="AK20" s="1840"/>
      <c r="AL20" s="1840">
        <f>IF(AJ20="","",SUM(AJ20:AK20))</f>
        <v>160.33000000000001</v>
      </c>
      <c r="AM20" s="1859">
        <f>IF(AJ20="","",AL20-AJ20)</f>
        <v>0</v>
      </c>
      <c r="AN20" s="1859">
        <f>IF(AM20="","",AM20+'August 2022'!AN20)</f>
        <v>0</v>
      </c>
    </row>
    <row r="21" spans="1:40" ht="22.35" customHeight="1" thickBot="1" x14ac:dyDescent="0.25">
      <c r="A21" s="1860">
        <v>8500</v>
      </c>
      <c r="B21" s="1861" t="s">
        <v>52</v>
      </c>
      <c r="C21" s="452">
        <v>4</v>
      </c>
      <c r="D21" s="452">
        <v>4</v>
      </c>
      <c r="E21" s="452" t="s">
        <v>35</v>
      </c>
      <c r="F21" s="447" t="s">
        <v>35</v>
      </c>
      <c r="G21" s="452" t="s">
        <v>36</v>
      </c>
      <c r="H21" s="452" t="s">
        <v>36</v>
      </c>
      <c r="I21" s="452" t="s">
        <v>36</v>
      </c>
      <c r="J21" s="452" t="s">
        <v>36</v>
      </c>
      <c r="K21" s="452" t="s">
        <v>36</v>
      </c>
      <c r="L21" s="1823" t="s">
        <v>35</v>
      </c>
      <c r="M21" s="1840" t="s">
        <v>0</v>
      </c>
      <c r="N21" s="1862" t="s">
        <v>32</v>
      </c>
      <c r="O21" s="1862" t="s">
        <v>32</v>
      </c>
      <c r="P21" s="1862" t="s">
        <v>32</v>
      </c>
      <c r="Q21" s="1862" t="s">
        <v>32</v>
      </c>
      <c r="R21" s="1863" t="s">
        <v>343</v>
      </c>
      <c r="S21" s="1840" t="s">
        <v>53</v>
      </c>
      <c r="T21" s="1840" t="s">
        <v>53</v>
      </c>
      <c r="U21" s="1864">
        <v>1</v>
      </c>
      <c r="V21" s="1865" t="s">
        <v>32</v>
      </c>
      <c r="W21" s="1866" t="s">
        <v>32</v>
      </c>
      <c r="X21" s="1823">
        <v>4</v>
      </c>
      <c r="Y21" s="1823">
        <v>1</v>
      </c>
      <c r="Z21" s="1844" t="s">
        <v>37</v>
      </c>
      <c r="AA21" s="1844" t="s">
        <v>37</v>
      </c>
      <c r="AB21" s="452" t="s">
        <v>36</v>
      </c>
      <c r="AC21" s="452" t="s">
        <v>36</v>
      </c>
      <c r="AD21" s="452" t="s">
        <v>36</v>
      </c>
      <c r="AE21" s="452" t="s">
        <v>36</v>
      </c>
      <c r="AF21" s="452" t="s">
        <v>36</v>
      </c>
      <c r="AG21" s="1845"/>
      <c r="AH21" s="179"/>
      <c r="AI21" s="179"/>
      <c r="AJ21" s="1840">
        <v>156.44999999999999</v>
      </c>
      <c r="AK21" s="1840">
        <v>6.25</v>
      </c>
      <c r="AL21" s="1840">
        <f t="shared" ref="AL21:AL23" si="0">IF(AJ21="","",SUM(AJ21:AK21))</f>
        <v>162.69999999999999</v>
      </c>
      <c r="AM21" s="1859">
        <f t="shared" ref="AM21:AM23" si="1">IF(AJ21="","",AL21-AJ21)</f>
        <v>6.25</v>
      </c>
      <c r="AN21" s="1859">
        <f>IF(AM21="","",AM21+'August 2022'!AN21)</f>
        <v>33.369999999999976</v>
      </c>
    </row>
    <row r="22" spans="1:40" ht="22.35" customHeight="1" x14ac:dyDescent="0.2">
      <c r="A22" s="1860">
        <v>8500</v>
      </c>
      <c r="B22" s="1839" t="s">
        <v>54</v>
      </c>
      <c r="C22" s="1823">
        <v>2</v>
      </c>
      <c r="D22" s="1823">
        <v>2</v>
      </c>
      <c r="E22" s="1823" t="s">
        <v>37</v>
      </c>
      <c r="F22" s="1844" t="s">
        <v>37</v>
      </c>
      <c r="G22" s="452" t="s">
        <v>36</v>
      </c>
      <c r="H22" s="452" t="s">
        <v>36</v>
      </c>
      <c r="I22" s="447" t="s">
        <v>36</v>
      </c>
      <c r="J22" s="452">
        <v>1</v>
      </c>
      <c r="K22" s="452">
        <v>1</v>
      </c>
      <c r="L22" s="1647" t="s">
        <v>0</v>
      </c>
      <c r="M22" s="452"/>
      <c r="N22" s="458">
        <v>1</v>
      </c>
      <c r="O22" s="458">
        <v>1</v>
      </c>
      <c r="P22" s="458">
        <v>1</v>
      </c>
      <c r="Q22" s="458">
        <v>1</v>
      </c>
      <c r="R22" s="458">
        <v>1</v>
      </c>
      <c r="S22" s="452"/>
      <c r="T22" s="452"/>
      <c r="U22" s="452">
        <v>2</v>
      </c>
      <c r="V22" s="452">
        <v>2</v>
      </c>
      <c r="W22" s="461">
        <v>2</v>
      </c>
      <c r="X22" s="452">
        <v>2</v>
      </c>
      <c r="Y22" s="458">
        <v>2</v>
      </c>
      <c r="Z22" s="1867" t="s">
        <v>37</v>
      </c>
      <c r="AA22" s="1867" t="s">
        <v>37</v>
      </c>
      <c r="AB22" s="458" t="s">
        <v>36</v>
      </c>
      <c r="AC22" s="458" t="s">
        <v>36</v>
      </c>
      <c r="AD22" s="452" t="s">
        <v>36</v>
      </c>
      <c r="AE22" s="452" t="s">
        <v>36</v>
      </c>
      <c r="AF22" s="452" t="s">
        <v>36</v>
      </c>
      <c r="AG22" s="1868"/>
      <c r="AH22" s="179"/>
      <c r="AI22" s="179"/>
      <c r="AJ22" s="1840">
        <v>163.44999999999999</v>
      </c>
      <c r="AK22" s="1840">
        <v>5.25</v>
      </c>
      <c r="AL22" s="1840">
        <f t="shared" si="0"/>
        <v>168.7</v>
      </c>
      <c r="AM22" s="1859">
        <f t="shared" si="1"/>
        <v>5.25</v>
      </c>
      <c r="AN22" s="1859">
        <f>IF(AM22="","",AM22+'August 2022'!AN22)</f>
        <v>19.269999999999975</v>
      </c>
    </row>
    <row r="23" spans="1:40" ht="22.35" customHeight="1" x14ac:dyDescent="0.2">
      <c r="A23" s="1860"/>
      <c r="B23" s="1861"/>
      <c r="C23" s="1869" t="s">
        <v>32</v>
      </c>
      <c r="D23" s="1843" t="s">
        <v>32</v>
      </c>
      <c r="E23" s="1844"/>
      <c r="F23" s="1844"/>
      <c r="G23" s="1844" t="s">
        <v>32</v>
      </c>
      <c r="H23" s="1870" t="s">
        <v>32</v>
      </c>
      <c r="I23" s="1870" t="s">
        <v>32</v>
      </c>
      <c r="J23" s="1870" t="s">
        <v>32</v>
      </c>
      <c r="K23" s="1871" t="s">
        <v>32</v>
      </c>
      <c r="L23" s="1870"/>
      <c r="M23" s="1844"/>
      <c r="N23" s="1823" t="s">
        <v>32</v>
      </c>
      <c r="O23" s="1823" t="s">
        <v>32</v>
      </c>
      <c r="P23" s="1844" t="s">
        <v>32</v>
      </c>
      <c r="Q23" s="1844" t="s">
        <v>32</v>
      </c>
      <c r="R23" s="1872" t="s">
        <v>32</v>
      </c>
      <c r="S23" s="1872"/>
      <c r="T23" s="1844"/>
      <c r="U23" s="1844" t="s">
        <v>32</v>
      </c>
      <c r="V23" s="1870" t="s">
        <v>32</v>
      </c>
      <c r="W23" s="1870" t="s">
        <v>32</v>
      </c>
      <c r="X23" s="1870" t="s">
        <v>32</v>
      </c>
      <c r="Y23" s="1870" t="s">
        <v>32</v>
      </c>
      <c r="Z23" s="1870"/>
      <c r="AA23" s="1870"/>
      <c r="AB23" s="1870" t="s">
        <v>32</v>
      </c>
      <c r="AC23" s="1870" t="s">
        <v>32</v>
      </c>
      <c r="AD23" s="1843" t="s">
        <v>32</v>
      </c>
      <c r="AE23" s="1870" t="s">
        <v>32</v>
      </c>
      <c r="AF23" s="1870" t="s">
        <v>32</v>
      </c>
      <c r="AG23" s="1873"/>
      <c r="AJ23" s="1840">
        <f t="shared" ref="AJ23" si="2">$AJ$12</f>
        <v>160.33000000000001</v>
      </c>
      <c r="AK23" s="1840"/>
      <c r="AL23" s="1840">
        <f t="shared" si="0"/>
        <v>160.33000000000001</v>
      </c>
      <c r="AM23" s="1859">
        <f t="shared" si="1"/>
        <v>0</v>
      </c>
      <c r="AN23" s="1859">
        <f>IF(AM23="","",AM23+'August 2022'!AN23)</f>
        <v>0</v>
      </c>
    </row>
    <row r="24" spans="1:40" ht="22.35" customHeight="1" thickBot="1" x14ac:dyDescent="0.25">
      <c r="A24" s="1874"/>
      <c r="B24" s="1875" t="s">
        <v>56</v>
      </c>
      <c r="C24" s="1876" t="s">
        <v>32</v>
      </c>
      <c r="D24" s="1876" t="s">
        <v>51</v>
      </c>
      <c r="E24" s="1520"/>
      <c r="F24" s="1520"/>
      <c r="G24" s="1877" t="s">
        <v>32</v>
      </c>
      <c r="H24" s="1877" t="s">
        <v>32</v>
      </c>
      <c r="I24" s="1877" t="s">
        <v>32</v>
      </c>
      <c r="J24" s="1877" t="s">
        <v>32</v>
      </c>
      <c r="K24" s="1877" t="s">
        <v>32</v>
      </c>
      <c r="L24" s="1877"/>
      <c r="M24" s="1877"/>
      <c r="N24" s="1878" t="s">
        <v>32</v>
      </c>
      <c r="O24" s="1878" t="s">
        <v>32</v>
      </c>
      <c r="P24" s="1878" t="s">
        <v>32</v>
      </c>
      <c r="Q24" s="1879" t="s">
        <v>32</v>
      </c>
      <c r="R24" s="1878" t="s">
        <v>32</v>
      </c>
      <c r="S24" s="1877"/>
      <c r="T24" s="1877"/>
      <c r="U24" s="1878" t="s">
        <v>32</v>
      </c>
      <c r="V24" s="1878" t="s">
        <v>32</v>
      </c>
      <c r="W24" s="1878" t="s">
        <v>32</v>
      </c>
      <c r="X24" s="1877" t="s">
        <v>32</v>
      </c>
      <c r="Y24" s="1878" t="s">
        <v>32</v>
      </c>
      <c r="Z24" s="1743"/>
      <c r="AA24" s="1743"/>
      <c r="AB24" s="1743" t="s">
        <v>32</v>
      </c>
      <c r="AC24" s="1743" t="s">
        <v>32</v>
      </c>
      <c r="AD24" s="1743" t="s">
        <v>32</v>
      </c>
      <c r="AE24" s="1743" t="s">
        <v>32</v>
      </c>
      <c r="AF24" s="1743" t="s">
        <v>32</v>
      </c>
      <c r="AG24" s="867"/>
    </row>
    <row r="25" spans="1:40" ht="22.35" customHeight="1" x14ac:dyDescent="0.2">
      <c r="A25" s="363"/>
      <c r="B25" s="364"/>
      <c r="D25" s="362"/>
      <c r="E25" s="362"/>
      <c r="F25" s="362"/>
      <c r="G25" s="362"/>
      <c r="H25" s="362"/>
      <c r="I25" s="362"/>
      <c r="J25" s="362"/>
      <c r="K25" s="362"/>
      <c r="L25" s="362"/>
      <c r="M25" s="362"/>
      <c r="N25" s="362"/>
      <c r="O25" s="362"/>
      <c r="P25" s="362"/>
      <c r="Q25" s="362"/>
      <c r="R25" s="362"/>
      <c r="S25" s="362"/>
      <c r="T25" s="362"/>
      <c r="U25" s="362"/>
      <c r="V25" s="362"/>
      <c r="W25" s="362" t="s">
        <v>0</v>
      </c>
      <c r="X25" s="362" t="s">
        <v>0</v>
      </c>
      <c r="Y25" s="362" t="s">
        <v>0</v>
      </c>
      <c r="AF25" t="s">
        <v>0</v>
      </c>
    </row>
    <row r="26" spans="1:40" ht="22.35" customHeight="1" x14ac:dyDescent="0.2">
      <c r="A26" s="291"/>
      <c r="B26" s="199"/>
      <c r="C26" s="190"/>
      <c r="D26" s="190"/>
      <c r="E26" s="190"/>
      <c r="F26" s="190"/>
      <c r="G26" s="190"/>
      <c r="H26" s="190"/>
      <c r="I26" s="190"/>
      <c r="J26" s="190"/>
      <c r="K26" s="190"/>
      <c r="L26" s="1823" t="s">
        <v>0</v>
      </c>
      <c r="M26" s="1823" t="s">
        <v>0</v>
      </c>
      <c r="N26" s="190"/>
      <c r="O26" s="342"/>
      <c r="P26" s="207" t="s">
        <v>0</v>
      </c>
      <c r="Q26" s="190" t="s">
        <v>0</v>
      </c>
      <c r="R26" s="190"/>
      <c r="S26" s="207"/>
      <c r="T26" s="190"/>
      <c r="U26" s="190"/>
      <c r="V26" s="190"/>
      <c r="W26" s="190" t="s">
        <v>0</v>
      </c>
      <c r="X26" s="190"/>
      <c r="Y26" s="190" t="s">
        <v>0</v>
      </c>
    </row>
    <row r="27" spans="1:40" ht="22.35" customHeight="1" x14ac:dyDescent="0.2">
      <c r="A27" s="291"/>
      <c r="B27" s="199"/>
      <c r="C27" s="190"/>
      <c r="D27" s="190" t="s">
        <v>0</v>
      </c>
      <c r="E27" s="190" t="s">
        <v>0</v>
      </c>
      <c r="F27" s="190" t="s">
        <v>0</v>
      </c>
      <c r="G27" s="190" t="s">
        <v>0</v>
      </c>
      <c r="H27" s="190"/>
      <c r="I27" s="190"/>
      <c r="J27" s="190"/>
      <c r="K27" s="190"/>
      <c r="L27" s="190" t="s">
        <v>0</v>
      </c>
      <c r="M27" s="190" t="s">
        <v>0</v>
      </c>
      <c r="N27" s="190"/>
      <c r="O27" s="190"/>
      <c r="P27" s="190"/>
      <c r="Q27" s="190"/>
      <c r="R27" s="190"/>
      <c r="S27" s="190"/>
      <c r="T27" s="190"/>
      <c r="Y27" t="s">
        <v>0</v>
      </c>
    </row>
    <row r="28" spans="1:40" ht="22.35" customHeight="1" x14ac:dyDescent="0.2">
      <c r="A28" s="291"/>
      <c r="B28" s="199"/>
      <c r="F28" s="190"/>
      <c r="G28" s="190"/>
      <c r="H28" s="190"/>
      <c r="I28" s="190"/>
      <c r="J28" s="190"/>
      <c r="K28" s="190"/>
      <c r="L28" s="190"/>
      <c r="M28" s="190"/>
      <c r="N28" s="190"/>
      <c r="O28" s="190"/>
      <c r="P28" s="190"/>
      <c r="Q28" s="190"/>
      <c r="R28" s="190"/>
      <c r="S28" s="190"/>
      <c r="T28" s="190"/>
      <c r="U28" s="190"/>
      <c r="V28" s="190" t="s">
        <v>0</v>
      </c>
      <c r="W28" s="190"/>
      <c r="X28" s="190"/>
      <c r="Y28" s="190"/>
    </row>
    <row r="29" spans="1:40" ht="22.35" customHeight="1" x14ac:dyDescent="0.2">
      <c r="A29" s="291"/>
      <c r="B29" s="199"/>
      <c r="C29" s="190"/>
      <c r="D29" s="190"/>
      <c r="E29" s="190"/>
      <c r="F29" s="190"/>
      <c r="G29" s="190"/>
      <c r="H29" s="190"/>
      <c r="I29" s="190"/>
      <c r="J29" s="190"/>
      <c r="K29" s="190"/>
      <c r="L29" s="190"/>
      <c r="M29" s="190"/>
      <c r="N29" s="190"/>
      <c r="O29" s="190" t="s">
        <v>350</v>
      </c>
      <c r="P29" s="190"/>
      <c r="Q29" s="190"/>
      <c r="R29" s="190"/>
      <c r="S29" s="190"/>
      <c r="T29" s="190"/>
      <c r="U29" s="190"/>
      <c r="V29" s="190"/>
      <c r="W29" s="190"/>
      <c r="X29" s="190"/>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1880" t="s">
        <v>62</v>
      </c>
      <c r="B31" s="1881"/>
      <c r="C31" s="1881"/>
      <c r="D31" s="1882" t="s">
        <v>63</v>
      </c>
      <c r="E31" s="1883"/>
      <c r="F31" s="1883"/>
      <c r="G31" s="1883"/>
      <c r="H31" s="1883"/>
      <c r="I31" s="1883"/>
      <c r="J31" s="1883"/>
      <c r="K31" s="1883"/>
      <c r="L31" s="1883"/>
      <c r="M31" s="1884" t="s">
        <v>65</v>
      </c>
      <c r="N31" s="1883"/>
      <c r="O31" s="1883"/>
      <c r="P31" s="1883"/>
      <c r="Q31" s="1883"/>
      <c r="R31" s="1883"/>
      <c r="S31" s="1885"/>
      <c r="T31" s="4936" t="s">
        <v>66</v>
      </c>
      <c r="U31" s="4937"/>
      <c r="V31" s="4937"/>
      <c r="W31" s="4937"/>
      <c r="X31" s="4937"/>
      <c r="Y31" s="4937"/>
      <c r="Z31" s="4938"/>
      <c r="AA31" s="1886" t="s">
        <v>67</v>
      </c>
      <c r="AB31" s="1887"/>
      <c r="AC31" s="1887"/>
      <c r="AD31" s="1887"/>
      <c r="AE31" s="1887"/>
      <c r="AF31" s="1887"/>
      <c r="AG31" s="1888"/>
      <c r="AK31" s="1"/>
    </row>
    <row r="32" spans="1:40" ht="22.35" customHeight="1" x14ac:dyDescent="0.2">
      <c r="A32" s="878" t="s">
        <v>68</v>
      </c>
      <c r="B32" s="436"/>
      <c r="C32" s="436"/>
      <c r="D32" s="879" t="s">
        <v>69</v>
      </c>
      <c r="E32" s="880"/>
      <c r="F32" s="425"/>
      <c r="G32" s="425"/>
      <c r="H32" s="425"/>
      <c r="I32" s="425"/>
      <c r="J32" s="425"/>
      <c r="K32" s="425"/>
      <c r="L32" s="431"/>
      <c r="M32" s="881" t="s">
        <v>70</v>
      </c>
      <c r="N32" s="436"/>
      <c r="O32" s="1889"/>
      <c r="P32" s="436"/>
      <c r="Q32" s="436"/>
      <c r="R32" s="436"/>
      <c r="S32" s="1890"/>
      <c r="T32" s="879" t="s">
        <v>71</v>
      </c>
      <c r="U32" s="425"/>
      <c r="V32" s="880"/>
      <c r="W32" s="425"/>
      <c r="X32" s="425"/>
      <c r="Y32" s="425"/>
      <c r="Z32" s="431"/>
      <c r="AA32" s="159" t="s">
        <v>72</v>
      </c>
      <c r="AD32" s="100"/>
      <c r="AG32" s="103"/>
      <c r="AK32" s="1"/>
    </row>
    <row r="33" spans="1:38" ht="22.35" customHeight="1" x14ac:dyDescent="0.2">
      <c r="A33" s="884" t="s">
        <v>73</v>
      </c>
      <c r="B33" s="425"/>
      <c r="C33" s="425"/>
      <c r="D33" s="885"/>
      <c r="E33" s="425"/>
      <c r="F33" s="425"/>
      <c r="G33" s="431"/>
      <c r="H33" s="612" t="s">
        <v>74</v>
      </c>
      <c r="I33" s="425"/>
      <c r="J33" s="425"/>
      <c r="K33" s="425"/>
      <c r="L33" s="425"/>
      <c r="M33" s="886"/>
      <c r="N33" s="425"/>
      <c r="O33" s="425"/>
      <c r="P33" s="425"/>
      <c r="Q33" s="425"/>
      <c r="R33" s="425"/>
      <c r="S33" s="425"/>
      <c r="T33" s="885"/>
      <c r="U33" s="158" t="s">
        <v>75</v>
      </c>
      <c r="AA33" s="1889"/>
      <c r="AB33" s="436"/>
      <c r="AC33" s="436"/>
      <c r="AD33" s="436"/>
      <c r="AE33" s="436"/>
      <c r="AF33" s="436"/>
      <c r="AG33" s="1891"/>
      <c r="AK33" s="64"/>
    </row>
    <row r="34" spans="1:38" ht="22.35" customHeight="1" thickBot="1" x14ac:dyDescent="0.25">
      <c r="A34" s="631" t="s">
        <v>76</v>
      </c>
      <c r="B34" s="734"/>
      <c r="C34" s="734"/>
      <c r="D34" s="888"/>
      <c r="E34" s="734"/>
      <c r="F34" s="734"/>
      <c r="G34" s="889"/>
      <c r="H34" s="890" t="s">
        <v>77</v>
      </c>
      <c r="I34" s="889"/>
      <c r="J34" s="734"/>
      <c r="K34" s="734"/>
      <c r="L34" s="734"/>
      <c r="M34" s="891"/>
      <c r="N34" s="734"/>
      <c r="O34" s="734"/>
      <c r="P34" s="734"/>
      <c r="Q34" s="892"/>
      <c r="R34" s="892"/>
      <c r="S34" s="892"/>
      <c r="T34" s="888"/>
      <c r="U34" s="893" t="s">
        <v>78</v>
      </c>
      <c r="V34" s="734"/>
      <c r="W34" s="734"/>
      <c r="X34" s="734"/>
      <c r="Y34" s="734"/>
      <c r="Z34" s="734"/>
      <c r="AA34" s="734"/>
      <c r="AB34" s="734"/>
      <c r="AC34" s="734"/>
      <c r="AD34" s="734"/>
      <c r="AE34" s="734"/>
      <c r="AF34" s="734"/>
      <c r="AG34" s="89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895" t="s">
        <v>28</v>
      </c>
      <c r="B36" s="748" t="s">
        <v>29</v>
      </c>
      <c r="C36" s="1834">
        <v>1</v>
      </c>
      <c r="D36" s="1834">
        <v>2</v>
      </c>
      <c r="E36" s="1835">
        <v>3</v>
      </c>
      <c r="F36" s="1835">
        <v>4</v>
      </c>
      <c r="G36" s="1834">
        <v>5</v>
      </c>
      <c r="H36" s="1834">
        <v>6</v>
      </c>
      <c r="I36" s="1834">
        <v>7</v>
      </c>
      <c r="J36" s="1834">
        <v>8</v>
      </c>
      <c r="K36" s="447">
        <v>4</v>
      </c>
      <c r="L36" s="1835">
        <v>10</v>
      </c>
      <c r="M36" s="1835">
        <v>11</v>
      </c>
      <c r="N36" s="1834">
        <v>12</v>
      </c>
      <c r="O36" s="1834">
        <v>13</v>
      </c>
      <c r="P36" s="1834">
        <v>14</v>
      </c>
      <c r="Q36" s="1834">
        <v>15</v>
      </c>
      <c r="R36" s="1834">
        <v>16</v>
      </c>
      <c r="S36" s="1835">
        <v>17</v>
      </c>
      <c r="T36" s="1835">
        <v>18</v>
      </c>
      <c r="U36" s="1834">
        <v>19</v>
      </c>
      <c r="V36" s="1834">
        <v>20</v>
      </c>
      <c r="W36" s="1834">
        <v>21</v>
      </c>
      <c r="X36" s="1834">
        <v>22</v>
      </c>
      <c r="Y36" s="1834">
        <v>23</v>
      </c>
      <c r="Z36" s="1835">
        <v>24</v>
      </c>
      <c r="AA36" s="1835">
        <v>25</v>
      </c>
      <c r="AB36" s="1834">
        <v>26</v>
      </c>
      <c r="AC36" s="1834">
        <v>27</v>
      </c>
      <c r="AD36" s="1834">
        <v>28</v>
      </c>
      <c r="AE36" s="1834">
        <v>29</v>
      </c>
      <c r="AF36" s="1834">
        <v>30</v>
      </c>
      <c r="AG36" s="1836"/>
      <c r="AH36" s="173"/>
      <c r="AI36" s="174"/>
      <c r="AL36" t="s">
        <v>0</v>
      </c>
    </row>
    <row r="37" spans="1:38" ht="22.35" customHeight="1" x14ac:dyDescent="0.2">
      <c r="A37" s="1892">
        <v>1</v>
      </c>
      <c r="B37" s="1893" t="s">
        <v>79</v>
      </c>
      <c r="C37" s="1894">
        <v>6</v>
      </c>
      <c r="D37" s="1856">
        <v>6</v>
      </c>
      <c r="E37" s="1894"/>
      <c r="F37" s="1894"/>
      <c r="G37" s="1894" t="s">
        <v>36</v>
      </c>
      <c r="H37" s="1894" t="s">
        <v>36</v>
      </c>
      <c r="I37" s="1894" t="s">
        <v>36</v>
      </c>
      <c r="J37" s="1856" t="s">
        <v>36</v>
      </c>
      <c r="K37" s="1894" t="s">
        <v>36</v>
      </c>
      <c r="L37" s="1894"/>
      <c r="M37" s="1894"/>
      <c r="N37" s="1895">
        <v>5</v>
      </c>
      <c r="O37" s="1896">
        <v>5</v>
      </c>
      <c r="P37" s="1897">
        <v>5</v>
      </c>
      <c r="Q37" s="1898">
        <v>5</v>
      </c>
      <c r="R37" s="1856">
        <v>5</v>
      </c>
      <c r="S37" s="1894"/>
      <c r="T37" s="1894"/>
      <c r="U37" s="1894">
        <v>10</v>
      </c>
      <c r="V37" s="1894">
        <v>10</v>
      </c>
      <c r="W37" s="1894">
        <v>10</v>
      </c>
      <c r="X37" s="1899">
        <v>10</v>
      </c>
      <c r="Y37" s="1899">
        <v>10</v>
      </c>
      <c r="Z37" s="1894" t="s">
        <v>81</v>
      </c>
      <c r="AA37" s="1894" t="s">
        <v>81</v>
      </c>
      <c r="AB37" s="1899" t="s">
        <v>36</v>
      </c>
      <c r="AC37" s="1899" t="s">
        <v>36</v>
      </c>
      <c r="AD37" s="1899" t="s">
        <v>36</v>
      </c>
      <c r="AE37" s="1894" t="s">
        <v>36</v>
      </c>
      <c r="AF37" s="1894" t="s">
        <v>36</v>
      </c>
      <c r="AG37" s="1900"/>
      <c r="AH37" s="178"/>
      <c r="AI37" s="179"/>
    </row>
    <row r="38" spans="1:38" ht="22.35" customHeight="1" x14ac:dyDescent="0.2">
      <c r="A38" s="904">
        <v>6</v>
      </c>
      <c r="B38" s="1839" t="s">
        <v>84</v>
      </c>
      <c r="C38" s="813">
        <v>7</v>
      </c>
      <c r="D38" s="813">
        <v>7</v>
      </c>
      <c r="E38" s="447"/>
      <c r="F38" s="813" t="s">
        <v>57</v>
      </c>
      <c r="G38" s="447">
        <v>4</v>
      </c>
      <c r="H38" s="447">
        <v>4</v>
      </c>
      <c r="I38" s="447">
        <v>4</v>
      </c>
      <c r="J38" s="447">
        <v>4</v>
      </c>
      <c r="K38" s="447">
        <v>4</v>
      </c>
      <c r="L38" s="447"/>
      <c r="M38" s="447"/>
      <c r="N38" s="447">
        <v>3</v>
      </c>
      <c r="O38" s="447">
        <v>3</v>
      </c>
      <c r="P38" s="447">
        <v>3</v>
      </c>
      <c r="Q38" s="447">
        <v>3</v>
      </c>
      <c r="R38" s="447">
        <v>3</v>
      </c>
      <c r="S38" s="447"/>
      <c r="T38" s="810"/>
      <c r="U38" s="447">
        <v>11</v>
      </c>
      <c r="V38" s="447">
        <v>11</v>
      </c>
      <c r="W38" s="447">
        <v>11</v>
      </c>
      <c r="X38" s="447">
        <v>11</v>
      </c>
      <c r="Y38" s="447">
        <v>11</v>
      </c>
      <c r="Z38" s="447" t="s">
        <v>94</v>
      </c>
      <c r="AA38" s="447" t="s">
        <v>94</v>
      </c>
      <c r="AB38" s="1901" t="s">
        <v>36</v>
      </c>
      <c r="AC38" s="1901" t="s">
        <v>36</v>
      </c>
      <c r="AD38" s="447" t="s">
        <v>36</v>
      </c>
      <c r="AE38" s="447" t="s">
        <v>36</v>
      </c>
      <c r="AF38" s="447" t="s">
        <v>36</v>
      </c>
      <c r="AG38" s="1199"/>
      <c r="AH38" s="178"/>
      <c r="AI38" s="179"/>
    </row>
    <row r="39" spans="1:38" ht="22.35" customHeight="1" thickBot="1" x14ac:dyDescent="0.25">
      <c r="A39" s="673">
        <v>11</v>
      </c>
      <c r="B39" s="905" t="s">
        <v>85</v>
      </c>
      <c r="C39" s="908" t="s">
        <v>32</v>
      </c>
      <c r="D39" s="1646" t="s">
        <v>32</v>
      </c>
      <c r="E39" s="908"/>
      <c r="F39" s="908"/>
      <c r="G39" s="908" t="s">
        <v>32</v>
      </c>
      <c r="H39" s="908" t="s">
        <v>32</v>
      </c>
      <c r="I39" s="1649" t="s">
        <v>406</v>
      </c>
      <c r="J39" s="908" t="s">
        <v>32</v>
      </c>
      <c r="K39" s="1646" t="s">
        <v>32</v>
      </c>
      <c r="L39" s="908"/>
      <c r="M39" s="1865"/>
      <c r="N39" s="908" t="s">
        <v>32</v>
      </c>
      <c r="O39" s="908" t="s">
        <v>32</v>
      </c>
      <c r="P39" s="1649" t="s">
        <v>32</v>
      </c>
      <c r="Q39" s="908" t="s">
        <v>32</v>
      </c>
      <c r="R39" s="1646" t="s">
        <v>32</v>
      </c>
      <c r="S39" s="908"/>
      <c r="T39" s="910"/>
      <c r="U39" s="908" t="s">
        <v>32</v>
      </c>
      <c r="V39" s="908" t="s">
        <v>32</v>
      </c>
      <c r="W39" s="1649" t="s">
        <v>32</v>
      </c>
      <c r="X39" s="908" t="s">
        <v>32</v>
      </c>
      <c r="Y39" s="1646" t="s">
        <v>32</v>
      </c>
      <c r="Z39" s="908" t="s">
        <v>0</v>
      </c>
      <c r="AA39" s="908" t="s">
        <v>0</v>
      </c>
      <c r="AB39" s="908" t="s">
        <v>32</v>
      </c>
      <c r="AC39" s="908" t="s">
        <v>32</v>
      </c>
      <c r="AD39" s="1649" t="s">
        <v>32</v>
      </c>
      <c r="AE39" s="908" t="s">
        <v>32</v>
      </c>
      <c r="AF39" s="1646" t="s">
        <v>32</v>
      </c>
      <c r="AG39" s="645"/>
      <c r="AH39" s="178"/>
      <c r="AI39" s="179"/>
    </row>
    <row r="40" spans="1:38" ht="22.35" customHeight="1" x14ac:dyDescent="0.2">
      <c r="A40" s="1892">
        <v>2</v>
      </c>
      <c r="B40" s="172" t="s">
        <v>88</v>
      </c>
      <c r="C40" s="1902" t="s">
        <v>36</v>
      </c>
      <c r="D40" s="1902" t="s">
        <v>36</v>
      </c>
      <c r="E40" s="1902"/>
      <c r="F40" s="1902"/>
      <c r="G40" s="1902">
        <v>5</v>
      </c>
      <c r="H40" s="1894">
        <v>5</v>
      </c>
      <c r="I40" s="1894">
        <v>5</v>
      </c>
      <c r="J40" s="1856">
        <v>5</v>
      </c>
      <c r="K40" s="1856">
        <v>5</v>
      </c>
      <c r="L40" s="1894"/>
      <c r="M40" s="1894"/>
      <c r="N40" s="1894">
        <v>10</v>
      </c>
      <c r="O40" s="1899">
        <v>10</v>
      </c>
      <c r="P40" s="1894">
        <v>10</v>
      </c>
      <c r="Q40" s="1899">
        <v>10</v>
      </c>
      <c r="R40" s="1899">
        <v>10</v>
      </c>
      <c r="S40" s="1856" t="s">
        <v>81</v>
      </c>
      <c r="T40" s="1899" t="s">
        <v>81</v>
      </c>
      <c r="U40" s="1899" t="s">
        <v>36</v>
      </c>
      <c r="V40" s="1899" t="s">
        <v>36</v>
      </c>
      <c r="W40" s="1899" t="s">
        <v>36</v>
      </c>
      <c r="X40" s="1899" t="s">
        <v>36</v>
      </c>
      <c r="Y40" s="1894" t="s">
        <v>36</v>
      </c>
      <c r="Z40" s="1894" t="s">
        <v>57</v>
      </c>
      <c r="AA40" s="1894" t="s">
        <v>57</v>
      </c>
      <c r="AB40" s="1894">
        <v>7</v>
      </c>
      <c r="AC40" s="1899">
        <v>7</v>
      </c>
      <c r="AD40" s="1899">
        <v>7</v>
      </c>
      <c r="AE40" s="1894">
        <v>7</v>
      </c>
      <c r="AF40" s="1894">
        <v>7</v>
      </c>
      <c r="AG40" s="1900"/>
      <c r="AH40" s="178"/>
      <c r="AI40" s="179"/>
    </row>
    <row r="41" spans="1:38" ht="22.35" customHeight="1" x14ac:dyDescent="0.2">
      <c r="A41" s="904">
        <v>7</v>
      </c>
      <c r="B41" s="454" t="s">
        <v>91</v>
      </c>
      <c r="C41" s="456">
        <v>4</v>
      </c>
      <c r="D41" s="456">
        <v>4</v>
      </c>
      <c r="E41" s="456"/>
      <c r="F41" s="456"/>
      <c r="G41" s="868">
        <v>3</v>
      </c>
      <c r="H41" s="868">
        <v>3</v>
      </c>
      <c r="I41" s="445">
        <v>3</v>
      </c>
      <c r="J41" s="455">
        <v>3</v>
      </c>
      <c r="K41" s="455">
        <v>3</v>
      </c>
      <c r="L41" s="455"/>
      <c r="M41" s="455"/>
      <c r="N41" s="447">
        <v>11</v>
      </c>
      <c r="O41" s="447">
        <v>11</v>
      </c>
      <c r="P41" s="447">
        <v>11</v>
      </c>
      <c r="Q41" s="447">
        <v>11</v>
      </c>
      <c r="R41" s="447">
        <v>11</v>
      </c>
      <c r="S41" s="447" t="s">
        <v>94</v>
      </c>
      <c r="T41" s="447" t="s">
        <v>94</v>
      </c>
      <c r="U41" s="447" t="s">
        <v>36</v>
      </c>
      <c r="V41" s="447" t="s">
        <v>36</v>
      </c>
      <c r="W41" s="447" t="s">
        <v>36</v>
      </c>
      <c r="X41" s="447" t="s">
        <v>36</v>
      </c>
      <c r="Y41" s="447" t="s">
        <v>36</v>
      </c>
      <c r="Z41" s="868" t="s">
        <v>83</v>
      </c>
      <c r="AA41" s="868" t="s">
        <v>83</v>
      </c>
      <c r="AB41" s="868">
        <v>8</v>
      </c>
      <c r="AC41" s="868">
        <v>8</v>
      </c>
      <c r="AD41" s="868">
        <v>8</v>
      </c>
      <c r="AE41" s="868">
        <v>8</v>
      </c>
      <c r="AF41" s="868">
        <v>8</v>
      </c>
      <c r="AG41" s="439"/>
      <c r="AH41" s="178"/>
      <c r="AI41" s="179"/>
    </row>
    <row r="42" spans="1:38" ht="22.35" customHeight="1" thickBot="1" x14ac:dyDescent="0.25">
      <c r="A42" s="673">
        <v>12</v>
      </c>
      <c r="B42" s="634" t="s">
        <v>93</v>
      </c>
      <c r="C42" s="920" t="s">
        <v>36</v>
      </c>
      <c r="D42" s="918" t="s">
        <v>36</v>
      </c>
      <c r="E42" s="1865"/>
      <c r="F42" s="1865"/>
      <c r="G42" s="1865">
        <v>1</v>
      </c>
      <c r="H42" s="1865">
        <v>1</v>
      </c>
      <c r="I42" s="908">
        <v>1</v>
      </c>
      <c r="J42" s="908">
        <v>1</v>
      </c>
      <c r="K42" s="1834">
        <v>1</v>
      </c>
      <c r="L42" s="908"/>
      <c r="M42" s="908"/>
      <c r="N42" s="908">
        <v>9</v>
      </c>
      <c r="O42" s="908">
        <v>9</v>
      </c>
      <c r="P42" s="920">
        <v>9</v>
      </c>
      <c r="Q42" s="908">
        <v>9</v>
      </c>
      <c r="R42" s="908">
        <v>9</v>
      </c>
      <c r="S42" s="908" t="s">
        <v>80</v>
      </c>
      <c r="T42" s="908" t="s">
        <v>81</v>
      </c>
      <c r="U42" s="930" t="s">
        <v>36</v>
      </c>
      <c r="V42" s="930" t="s">
        <v>36</v>
      </c>
      <c r="W42" s="930" t="s">
        <v>36</v>
      </c>
      <c r="X42" s="908" t="s">
        <v>36</v>
      </c>
      <c r="Y42" s="908" t="s">
        <v>36</v>
      </c>
      <c r="Z42" s="908" t="s">
        <v>82</v>
      </c>
      <c r="AA42" s="908" t="s">
        <v>83</v>
      </c>
      <c r="AB42" s="908">
        <v>6</v>
      </c>
      <c r="AC42" s="1834">
        <v>6</v>
      </c>
      <c r="AD42" s="1834">
        <v>6</v>
      </c>
      <c r="AE42" s="911">
        <v>6</v>
      </c>
      <c r="AF42" s="911">
        <v>6</v>
      </c>
      <c r="AG42" s="1836"/>
      <c r="AH42" s="178"/>
      <c r="AI42" s="179"/>
    </row>
    <row r="43" spans="1:38" ht="22.35" customHeight="1" x14ac:dyDescent="0.2">
      <c r="A43" s="1892">
        <v>3</v>
      </c>
      <c r="B43" s="1903" t="s">
        <v>96</v>
      </c>
      <c r="C43" s="1904">
        <v>5</v>
      </c>
      <c r="D43" s="1905">
        <v>5</v>
      </c>
      <c r="E43" s="1906"/>
      <c r="F43" s="1906"/>
      <c r="G43" s="1906">
        <v>10</v>
      </c>
      <c r="H43" s="1906">
        <v>10</v>
      </c>
      <c r="I43" s="1906">
        <v>10</v>
      </c>
      <c r="J43" s="1905">
        <v>10</v>
      </c>
      <c r="K43" s="1863">
        <v>10</v>
      </c>
      <c r="L43" s="1163">
        <v>10</v>
      </c>
      <c r="M43" s="1163">
        <v>10</v>
      </c>
      <c r="N43" s="1905" t="s">
        <v>36</v>
      </c>
      <c r="O43" s="1905" t="s">
        <v>36</v>
      </c>
      <c r="P43" s="1905" t="s">
        <v>36</v>
      </c>
      <c r="Q43" s="1905" t="s">
        <v>36</v>
      </c>
      <c r="R43" s="1906" t="s">
        <v>36</v>
      </c>
      <c r="S43" s="1906" t="s">
        <v>57</v>
      </c>
      <c r="T43" s="1906" t="s">
        <v>57</v>
      </c>
      <c r="U43" s="1906">
        <v>7</v>
      </c>
      <c r="V43" s="1905">
        <v>7</v>
      </c>
      <c r="W43" s="1905">
        <v>7</v>
      </c>
      <c r="X43" s="1904">
        <v>7</v>
      </c>
      <c r="Y43" s="1906">
        <v>7</v>
      </c>
      <c r="Z43" s="1906"/>
      <c r="AA43" s="1906"/>
      <c r="AB43" s="1906">
        <v>4</v>
      </c>
      <c r="AC43" s="1907">
        <v>4</v>
      </c>
      <c r="AD43" s="1906">
        <v>4</v>
      </c>
      <c r="AE43" s="1906">
        <v>4</v>
      </c>
      <c r="AF43" s="1906">
        <v>4</v>
      </c>
      <c r="AG43" s="1908"/>
      <c r="AH43" s="178"/>
      <c r="AI43" s="179"/>
    </row>
    <row r="44" spans="1:38" ht="22.35" customHeight="1" x14ac:dyDescent="0.2">
      <c r="A44" s="904">
        <v>8</v>
      </c>
      <c r="B44" s="454" t="s">
        <v>97</v>
      </c>
      <c r="C44" s="465">
        <v>3</v>
      </c>
      <c r="D44" s="925">
        <v>3</v>
      </c>
      <c r="E44" s="465"/>
      <c r="F44" s="465"/>
      <c r="G44" s="1696">
        <v>11</v>
      </c>
      <c r="H44" s="1696">
        <v>11</v>
      </c>
      <c r="I44" s="868">
        <v>11</v>
      </c>
      <c r="J44" s="445">
        <v>11</v>
      </c>
      <c r="K44" s="447">
        <v>11</v>
      </c>
      <c r="L44" s="447" t="s">
        <v>94</v>
      </c>
      <c r="M44" s="447" t="s">
        <v>94</v>
      </c>
      <c r="N44" s="458" t="s">
        <v>36</v>
      </c>
      <c r="O44" s="455" t="s">
        <v>36</v>
      </c>
      <c r="P44" s="455" t="s">
        <v>36</v>
      </c>
      <c r="Q44" s="455" t="s">
        <v>36</v>
      </c>
      <c r="R44" s="455" t="s">
        <v>36</v>
      </c>
      <c r="S44" s="455" t="s">
        <v>83</v>
      </c>
      <c r="T44" s="455" t="s">
        <v>83</v>
      </c>
      <c r="U44" s="455">
        <v>8</v>
      </c>
      <c r="V44" s="868">
        <v>8</v>
      </c>
      <c r="W44" s="868">
        <v>8</v>
      </c>
      <c r="X44" s="445">
        <v>8</v>
      </c>
      <c r="Y44" s="1909">
        <v>8</v>
      </c>
      <c r="Z44" s="868"/>
      <c r="AA44" s="868"/>
      <c r="AB44" s="868" t="s">
        <v>36</v>
      </c>
      <c r="AC44" s="868" t="s">
        <v>36</v>
      </c>
      <c r="AD44" s="458" t="s">
        <v>36</v>
      </c>
      <c r="AE44" s="458" t="s">
        <v>36</v>
      </c>
      <c r="AF44" s="465" t="s">
        <v>36</v>
      </c>
      <c r="AG44" s="917"/>
      <c r="AH44" s="178"/>
      <c r="AI44" s="179"/>
    </row>
    <row r="45" spans="1:38" ht="22.35" customHeight="1" thickBot="1" x14ac:dyDescent="0.25">
      <c r="A45" s="673">
        <v>13</v>
      </c>
      <c r="B45" s="905" t="s">
        <v>98</v>
      </c>
      <c r="C45" s="911">
        <v>1</v>
      </c>
      <c r="D45" s="911">
        <v>1</v>
      </c>
      <c r="E45" s="911"/>
      <c r="F45" s="911"/>
      <c r="G45" s="908">
        <v>9</v>
      </c>
      <c r="H45" s="908">
        <v>9</v>
      </c>
      <c r="I45" s="908">
        <v>9</v>
      </c>
      <c r="J45" s="1834">
        <v>9</v>
      </c>
      <c r="K45" s="908">
        <v>9</v>
      </c>
      <c r="L45" s="930" t="s">
        <v>80</v>
      </c>
      <c r="M45" s="908" t="s">
        <v>81</v>
      </c>
      <c r="N45" s="930" t="s">
        <v>36</v>
      </c>
      <c r="O45" s="930" t="s">
        <v>36</v>
      </c>
      <c r="P45" s="930" t="s">
        <v>36</v>
      </c>
      <c r="Q45" s="908" t="s">
        <v>36</v>
      </c>
      <c r="R45" s="908" t="s">
        <v>36</v>
      </c>
      <c r="S45" s="908" t="s">
        <v>82</v>
      </c>
      <c r="T45" s="908" t="s">
        <v>83</v>
      </c>
      <c r="U45" s="908">
        <v>6</v>
      </c>
      <c r="V45" s="908">
        <v>6</v>
      </c>
      <c r="W45" s="908">
        <v>6</v>
      </c>
      <c r="X45" s="906">
        <v>6</v>
      </c>
      <c r="Y45" s="906" t="s">
        <v>407</v>
      </c>
      <c r="Z45" s="1345"/>
      <c r="AA45" s="1345"/>
      <c r="AB45" s="1345" t="s">
        <v>36</v>
      </c>
      <c r="AC45" s="908" t="s">
        <v>36</v>
      </c>
      <c r="AD45" s="908" t="s">
        <v>36</v>
      </c>
      <c r="AE45" s="1834" t="s">
        <v>36</v>
      </c>
      <c r="AF45" s="908" t="s">
        <v>36</v>
      </c>
      <c r="AG45" s="645"/>
      <c r="AH45" s="178"/>
      <c r="AI45" s="179"/>
    </row>
    <row r="46" spans="1:38" ht="22.35" customHeight="1" x14ac:dyDescent="0.2">
      <c r="A46" s="1892">
        <v>4</v>
      </c>
      <c r="B46" s="1910" t="s">
        <v>99</v>
      </c>
      <c r="C46" s="1911">
        <v>10</v>
      </c>
      <c r="D46" s="1912">
        <v>10</v>
      </c>
      <c r="E46" s="1911" t="s">
        <v>81</v>
      </c>
      <c r="F46" s="1855" t="s">
        <v>81</v>
      </c>
      <c r="G46" s="1856" t="s">
        <v>36</v>
      </c>
      <c r="H46" s="1856" t="s">
        <v>36</v>
      </c>
      <c r="I46" s="1856" t="s">
        <v>36</v>
      </c>
      <c r="J46" s="1856" t="s">
        <v>36</v>
      </c>
      <c r="K46" s="1856" t="s">
        <v>36</v>
      </c>
      <c r="L46" s="1856" t="s">
        <v>57</v>
      </c>
      <c r="M46" s="1856" t="s">
        <v>57</v>
      </c>
      <c r="N46" s="1856">
        <v>7</v>
      </c>
      <c r="O46" s="1856">
        <v>7</v>
      </c>
      <c r="P46" s="1856">
        <v>7</v>
      </c>
      <c r="Q46" s="1856">
        <v>7</v>
      </c>
      <c r="R46" s="1856">
        <v>7</v>
      </c>
      <c r="S46" s="1856"/>
      <c r="T46" s="1894"/>
      <c r="U46" s="1894">
        <v>4</v>
      </c>
      <c r="V46" s="1913">
        <v>4</v>
      </c>
      <c r="W46" s="1894">
        <v>4</v>
      </c>
      <c r="X46" s="1914">
        <v>4</v>
      </c>
      <c r="Y46" s="1914">
        <v>4</v>
      </c>
      <c r="Z46" s="1914"/>
      <c r="AA46" s="1914"/>
      <c r="AB46" s="1914">
        <v>3</v>
      </c>
      <c r="AC46" s="1915">
        <v>3</v>
      </c>
      <c r="AD46" s="1915">
        <v>3</v>
      </c>
      <c r="AE46" s="1915">
        <v>3</v>
      </c>
      <c r="AF46" s="1915">
        <v>3</v>
      </c>
      <c r="AG46" s="1900"/>
      <c r="AH46" s="178"/>
      <c r="AI46" s="179"/>
    </row>
    <row r="47" spans="1:38" ht="22.35" customHeight="1" x14ac:dyDescent="0.2">
      <c r="A47" s="904">
        <v>9</v>
      </c>
      <c r="B47" s="454" t="s">
        <v>100</v>
      </c>
      <c r="C47" s="868">
        <v>11</v>
      </c>
      <c r="D47" s="868">
        <v>11</v>
      </c>
      <c r="E47" s="868" t="s">
        <v>94</v>
      </c>
      <c r="F47" s="868" t="s">
        <v>94</v>
      </c>
      <c r="G47" s="868" t="s">
        <v>36</v>
      </c>
      <c r="H47" s="868" t="s">
        <v>36</v>
      </c>
      <c r="I47" s="868" t="s">
        <v>36</v>
      </c>
      <c r="J47" s="868" t="s">
        <v>36</v>
      </c>
      <c r="K47" s="868" t="s">
        <v>36</v>
      </c>
      <c r="L47" s="820" t="s">
        <v>83</v>
      </c>
      <c r="M47" s="820" t="s">
        <v>83</v>
      </c>
      <c r="N47" s="820" t="s">
        <v>356</v>
      </c>
      <c r="O47" s="460">
        <v>8</v>
      </c>
      <c r="P47" s="460">
        <v>8</v>
      </c>
      <c r="Q47" s="460">
        <v>8</v>
      </c>
      <c r="R47" s="460">
        <v>8</v>
      </c>
      <c r="S47" s="868"/>
      <c r="T47" s="868"/>
      <c r="U47" s="868" t="s">
        <v>36</v>
      </c>
      <c r="V47" s="868" t="s">
        <v>36</v>
      </c>
      <c r="W47" s="868" t="s">
        <v>36</v>
      </c>
      <c r="X47" s="868" t="s">
        <v>36</v>
      </c>
      <c r="Y47" s="868" t="s">
        <v>36</v>
      </c>
      <c r="Z47" s="868"/>
      <c r="AA47" s="868"/>
      <c r="AB47" s="1397">
        <v>1</v>
      </c>
      <c r="AC47" s="1397">
        <v>1</v>
      </c>
      <c r="AD47" s="1397">
        <v>1</v>
      </c>
      <c r="AE47" s="1397">
        <v>1</v>
      </c>
      <c r="AF47" s="1397">
        <v>1</v>
      </c>
      <c r="AG47" s="917"/>
      <c r="AH47" s="178"/>
      <c r="AI47" s="179"/>
    </row>
    <row r="48" spans="1:38" ht="22.35" customHeight="1" thickBot="1" x14ac:dyDescent="0.25">
      <c r="A48" s="673">
        <v>14</v>
      </c>
      <c r="B48" s="905" t="s">
        <v>102</v>
      </c>
      <c r="C48" s="1834">
        <v>9</v>
      </c>
      <c r="D48" s="908">
        <v>9</v>
      </c>
      <c r="E48" s="908" t="s">
        <v>80</v>
      </c>
      <c r="F48" s="908" t="s">
        <v>81</v>
      </c>
      <c r="G48" s="930" t="s">
        <v>36</v>
      </c>
      <c r="H48" s="930" t="s">
        <v>36</v>
      </c>
      <c r="I48" s="930" t="s">
        <v>36</v>
      </c>
      <c r="J48" s="908" t="s">
        <v>36</v>
      </c>
      <c r="K48" s="908" t="s">
        <v>36</v>
      </c>
      <c r="L48" s="908" t="s">
        <v>82</v>
      </c>
      <c r="M48" s="908" t="s">
        <v>83</v>
      </c>
      <c r="N48" s="908">
        <v>6</v>
      </c>
      <c r="O48" s="1834">
        <v>6</v>
      </c>
      <c r="P48" s="908">
        <v>6</v>
      </c>
      <c r="Q48" s="908">
        <v>6</v>
      </c>
      <c r="R48" s="1834">
        <v>6</v>
      </c>
      <c r="S48" s="908"/>
      <c r="T48" s="908"/>
      <c r="U48" s="908" t="s">
        <v>36</v>
      </c>
      <c r="V48" s="908" t="s">
        <v>36</v>
      </c>
      <c r="W48" s="908" t="s">
        <v>36</v>
      </c>
      <c r="X48" s="1834" t="s">
        <v>36</v>
      </c>
      <c r="Y48" s="908" t="s">
        <v>36</v>
      </c>
      <c r="Z48" s="908"/>
      <c r="AA48" s="908"/>
      <c r="AB48" s="908">
        <v>5</v>
      </c>
      <c r="AC48" s="1834">
        <v>5</v>
      </c>
      <c r="AD48" s="908">
        <v>5</v>
      </c>
      <c r="AE48" s="908">
        <v>5</v>
      </c>
      <c r="AF48" s="1834">
        <v>5</v>
      </c>
      <c r="AG48" s="1836"/>
      <c r="AH48" s="178"/>
      <c r="AI48" s="179"/>
    </row>
    <row r="49" spans="1:40" ht="22.35" customHeight="1" x14ac:dyDescent="0.2">
      <c r="A49" s="1892">
        <v>5</v>
      </c>
      <c r="B49" s="454" t="s">
        <v>103</v>
      </c>
      <c r="C49" s="1899" t="s">
        <v>36</v>
      </c>
      <c r="D49" s="1894" t="s">
        <v>36</v>
      </c>
      <c r="E49" s="1916" t="s">
        <v>57</v>
      </c>
      <c r="F49" s="1917" t="s">
        <v>57</v>
      </c>
      <c r="G49" s="1918">
        <v>7</v>
      </c>
      <c r="H49" s="1918">
        <v>7</v>
      </c>
      <c r="I49" s="1918">
        <v>7</v>
      </c>
      <c r="J49" s="1918">
        <v>7</v>
      </c>
      <c r="K49" s="1918">
        <v>7</v>
      </c>
      <c r="L49" s="1918"/>
      <c r="M49" s="1918"/>
      <c r="N49" s="1918">
        <v>4</v>
      </c>
      <c r="O49" s="1918">
        <v>4</v>
      </c>
      <c r="P49" s="1918">
        <v>4</v>
      </c>
      <c r="Q49" s="1918">
        <v>4</v>
      </c>
      <c r="R49" s="1918">
        <v>4</v>
      </c>
      <c r="S49" s="1918"/>
      <c r="T49" s="1918"/>
      <c r="U49" s="1918">
        <v>3</v>
      </c>
      <c r="V49" s="1918">
        <v>3</v>
      </c>
      <c r="W49" s="1918">
        <v>3</v>
      </c>
      <c r="X49" s="1919">
        <v>3</v>
      </c>
      <c r="Y49" s="1919">
        <v>3</v>
      </c>
      <c r="Z49" s="1919"/>
      <c r="AA49" s="1919"/>
      <c r="AB49" s="1899">
        <v>11</v>
      </c>
      <c r="AC49" s="1899">
        <v>11</v>
      </c>
      <c r="AD49" s="1894">
        <v>11</v>
      </c>
      <c r="AE49" s="1894">
        <v>11</v>
      </c>
      <c r="AF49" s="1856">
        <v>11</v>
      </c>
      <c r="AG49" s="1920"/>
      <c r="AH49" s="178"/>
      <c r="AI49" s="179"/>
    </row>
    <row r="50" spans="1:40" ht="22.35" customHeight="1" x14ac:dyDescent="0.2">
      <c r="A50" s="904">
        <v>10</v>
      </c>
      <c r="B50" s="454" t="s">
        <v>104</v>
      </c>
      <c r="C50" s="868" t="s">
        <v>36</v>
      </c>
      <c r="D50" s="868" t="s">
        <v>36</v>
      </c>
      <c r="E50" s="868" t="s">
        <v>83</v>
      </c>
      <c r="F50" s="458" t="s">
        <v>83</v>
      </c>
      <c r="G50" s="447">
        <v>8</v>
      </c>
      <c r="H50" s="447">
        <v>8</v>
      </c>
      <c r="I50" s="447">
        <v>8</v>
      </c>
      <c r="J50" s="447">
        <v>8</v>
      </c>
      <c r="K50" s="447">
        <v>8</v>
      </c>
      <c r="L50" s="447"/>
      <c r="M50" s="447"/>
      <c r="N50" s="447" t="s">
        <v>36</v>
      </c>
      <c r="O50" s="447" t="s">
        <v>36</v>
      </c>
      <c r="P50" s="447" t="s">
        <v>36</v>
      </c>
      <c r="Q50" s="447" t="s">
        <v>36</v>
      </c>
      <c r="R50" s="447" t="s">
        <v>36</v>
      </c>
      <c r="S50" s="447"/>
      <c r="T50" s="447"/>
      <c r="U50" s="447">
        <v>1</v>
      </c>
      <c r="V50" s="447">
        <v>1</v>
      </c>
      <c r="W50" s="820" t="s">
        <v>377</v>
      </c>
      <c r="X50" s="464">
        <v>1</v>
      </c>
      <c r="Y50" s="464">
        <v>1</v>
      </c>
      <c r="Z50" s="464"/>
      <c r="AA50" s="464"/>
      <c r="AB50" s="868">
        <v>9</v>
      </c>
      <c r="AC50" s="868">
        <v>9</v>
      </c>
      <c r="AD50" s="868">
        <v>9</v>
      </c>
      <c r="AE50" s="868">
        <v>9</v>
      </c>
      <c r="AF50" s="868">
        <v>9</v>
      </c>
      <c r="AG50" s="917"/>
      <c r="AH50" s="178"/>
      <c r="AI50" s="179"/>
    </row>
    <row r="51" spans="1:40" ht="22.35" customHeight="1" thickBot="1" x14ac:dyDescent="0.25">
      <c r="A51" s="673">
        <v>15</v>
      </c>
      <c r="B51" s="905" t="s">
        <v>105</v>
      </c>
      <c r="C51" s="908" t="s">
        <v>36</v>
      </c>
      <c r="D51" s="908" t="s">
        <v>36</v>
      </c>
      <c r="E51" s="908" t="s">
        <v>82</v>
      </c>
      <c r="F51" s="930" t="s">
        <v>83</v>
      </c>
      <c r="G51" s="930">
        <v>6</v>
      </c>
      <c r="H51" s="930">
        <v>6</v>
      </c>
      <c r="I51" s="930">
        <v>6</v>
      </c>
      <c r="J51" s="930">
        <v>6</v>
      </c>
      <c r="K51" s="1834">
        <v>6</v>
      </c>
      <c r="L51" s="908"/>
      <c r="M51" s="908"/>
      <c r="N51" s="908" t="s">
        <v>36</v>
      </c>
      <c r="O51" s="1865" t="s">
        <v>36</v>
      </c>
      <c r="P51" s="1865" t="s">
        <v>36</v>
      </c>
      <c r="Q51" s="1865" t="s">
        <v>36</v>
      </c>
      <c r="R51" s="1865" t="s">
        <v>36</v>
      </c>
      <c r="S51" s="1865"/>
      <c r="T51" s="1865"/>
      <c r="U51" s="1865">
        <v>5</v>
      </c>
      <c r="V51" s="908">
        <v>5</v>
      </c>
      <c r="W51" s="908">
        <v>5</v>
      </c>
      <c r="X51" s="908">
        <v>5</v>
      </c>
      <c r="Y51" s="1834">
        <v>5</v>
      </c>
      <c r="Z51" s="908"/>
      <c r="AA51" s="908"/>
      <c r="AB51" s="908">
        <v>10</v>
      </c>
      <c r="AC51" s="908">
        <v>10</v>
      </c>
      <c r="AD51" s="908">
        <v>10</v>
      </c>
      <c r="AE51" s="1834">
        <v>10</v>
      </c>
      <c r="AF51" s="930">
        <v>10</v>
      </c>
      <c r="AG51" s="635"/>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c r="AK52" t="s">
        <v>229</v>
      </c>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753" t="s">
        <v>28</v>
      </c>
      <c r="B54" s="753"/>
      <c r="C54" s="460"/>
      <c r="D54" s="753" t="s">
        <v>107</v>
      </c>
      <c r="E54" s="751"/>
      <c r="F54" s="460"/>
      <c r="G54" s="753" t="s">
        <v>108</v>
      </c>
      <c r="H54" s="751"/>
      <c r="I54" s="460"/>
      <c r="J54" s="753" t="s">
        <v>109</v>
      </c>
      <c r="K54" s="751"/>
      <c r="L54" s="460"/>
      <c r="M54" s="753" t="s">
        <v>110</v>
      </c>
      <c r="N54" s="751"/>
      <c r="O54" s="460"/>
      <c r="P54" s="753" t="s">
        <v>111</v>
      </c>
      <c r="Q54" s="751"/>
      <c r="R54" s="739"/>
      <c r="S54" s="752" t="s">
        <v>112</v>
      </c>
      <c r="T54" s="751"/>
      <c r="U54" s="460"/>
      <c r="V54" s="753" t="s">
        <v>113</v>
      </c>
      <c r="W54" s="751"/>
      <c r="X54" s="942" t="s">
        <v>114</v>
      </c>
      <c r="Y54" s="751"/>
      <c r="Z54" s="751"/>
      <c r="AA54" s="943"/>
      <c r="AB54" s="427"/>
      <c r="AC54" s="427"/>
      <c r="AD54" s="427"/>
      <c r="AE54" s="427"/>
      <c r="AF54" s="427"/>
      <c r="AG54" s="428"/>
      <c r="AH54" s="1"/>
    </row>
    <row r="55" spans="1:40" ht="22.35" customHeight="1" x14ac:dyDescent="0.2">
      <c r="A55" s="738">
        <v>8517</v>
      </c>
      <c r="B55" s="944" t="s">
        <v>115</v>
      </c>
      <c r="C55" s="735" t="s">
        <v>116</v>
      </c>
      <c r="D55" s="945"/>
      <c r="E55" s="426"/>
      <c r="F55" s="735" t="s">
        <v>116</v>
      </c>
      <c r="G55" s="945"/>
      <c r="H55" s="426"/>
      <c r="I55" s="735" t="s">
        <v>116</v>
      </c>
      <c r="J55" s="945"/>
      <c r="K55" s="426"/>
      <c r="L55" s="735" t="s">
        <v>116</v>
      </c>
      <c r="M55" s="945"/>
      <c r="N55" s="426"/>
      <c r="O55" s="735" t="s">
        <v>117</v>
      </c>
      <c r="P55" s="945"/>
      <c r="Q55" s="426"/>
      <c r="R55" s="735"/>
      <c r="S55" s="945"/>
      <c r="T55" s="426"/>
      <c r="U55" s="735" t="s">
        <v>118</v>
      </c>
      <c r="V55" s="945"/>
      <c r="W55" s="426"/>
      <c r="X55" s="609"/>
      <c r="Y55" s="427"/>
      <c r="Z55" s="427"/>
      <c r="AA55" s="427"/>
      <c r="AB55" s="427"/>
      <c r="AC55" s="427"/>
      <c r="AD55" s="427"/>
      <c r="AE55" s="427"/>
      <c r="AF55" s="427"/>
      <c r="AG55" s="428"/>
      <c r="AH55" s="1"/>
    </row>
    <row r="56" spans="1:40" ht="22.35" customHeight="1" x14ac:dyDescent="0.2">
      <c r="B56" s="616" t="s">
        <v>119</v>
      </c>
      <c r="C56" s="946" t="s">
        <v>120</v>
      </c>
      <c r="D56" s="1668"/>
      <c r="E56" s="1669"/>
      <c r="F56" s="946" t="s">
        <v>120</v>
      </c>
      <c r="G56" s="1670"/>
      <c r="H56" s="1669"/>
      <c r="I56" s="735" t="s">
        <v>120</v>
      </c>
      <c r="J56" s="945"/>
      <c r="K56" s="949"/>
      <c r="L56" s="735" t="s">
        <v>120</v>
      </c>
      <c r="M56" s="945"/>
      <c r="N56" s="949"/>
      <c r="O56" s="735" t="s">
        <v>121</v>
      </c>
      <c r="P56" s="945"/>
      <c r="Q56" s="426"/>
      <c r="R56" s="950" t="s">
        <v>0</v>
      </c>
      <c r="S56" s="945"/>
      <c r="T56" s="949"/>
      <c r="U56" s="945" t="s">
        <v>0</v>
      </c>
      <c r="V56" s="945"/>
      <c r="W56" s="426"/>
      <c r="X56" s="675" t="s">
        <v>0</v>
      </c>
      <c r="Y56" s="72"/>
      <c r="Z56" s="72"/>
      <c r="AA56" s="72"/>
      <c r="AB56" s="72"/>
      <c r="AC56" s="72"/>
      <c r="AD56" s="72"/>
      <c r="AE56" s="72"/>
      <c r="AF56" s="72"/>
      <c r="AG56" s="111"/>
      <c r="AH56" s="1"/>
    </row>
    <row r="57" spans="1:40" ht="22.35" customHeight="1" x14ac:dyDescent="0.2">
      <c r="A57" s="951"/>
      <c r="B57" s="944" t="s">
        <v>122</v>
      </c>
      <c r="C57" s="946" t="s">
        <v>123</v>
      </c>
      <c r="D57" s="1668"/>
      <c r="E57" s="1670"/>
      <c r="F57" s="946" t="s">
        <v>123</v>
      </c>
      <c r="G57" s="1668"/>
      <c r="H57" s="1670"/>
      <c r="I57" s="946" t="s">
        <v>123</v>
      </c>
      <c r="J57" s="1668"/>
      <c r="K57" s="1670"/>
      <c r="L57" s="946" t="s">
        <v>123</v>
      </c>
      <c r="M57" s="1668"/>
      <c r="N57" s="1670"/>
      <c r="O57" s="946" t="s">
        <v>124</v>
      </c>
      <c r="P57" s="1668"/>
      <c r="Q57" s="1670"/>
      <c r="R57" s="676"/>
      <c r="S57" s="294"/>
      <c r="T57" s="1669"/>
      <c r="U57" s="1668"/>
      <c r="V57" s="1668"/>
      <c r="W57" s="1670"/>
      <c r="X57" s="609"/>
      <c r="Y57" s="427"/>
      <c r="Z57" s="427"/>
      <c r="AA57" s="427"/>
      <c r="AB57" s="427"/>
      <c r="AC57" s="427"/>
      <c r="AD57" s="427"/>
      <c r="AE57" s="427"/>
      <c r="AF57" s="427"/>
      <c r="AG57" s="428"/>
      <c r="AH57" s="1"/>
    </row>
    <row r="58" spans="1:40" ht="22.35" customHeight="1" x14ac:dyDescent="0.2">
      <c r="A58" s="753"/>
      <c r="B58" s="944"/>
      <c r="C58" s="442"/>
      <c r="D58" s="392"/>
      <c r="E58" s="393"/>
      <c r="F58" s="442"/>
      <c r="G58" s="392"/>
      <c r="H58" s="393"/>
      <c r="I58" s="442"/>
      <c r="J58" s="392"/>
      <c r="K58" s="393"/>
      <c r="L58" s="442"/>
      <c r="M58" s="392"/>
      <c r="N58" s="393"/>
      <c r="O58" s="442"/>
      <c r="P58" s="392"/>
      <c r="Q58" s="393"/>
      <c r="R58" s="442"/>
      <c r="S58" s="392"/>
      <c r="T58" s="393"/>
      <c r="U58" s="442"/>
      <c r="V58" s="392"/>
      <c r="W58" s="393"/>
      <c r="X58" s="426"/>
      <c r="Y58" s="427"/>
      <c r="Z58" s="427"/>
      <c r="AA58" s="427"/>
      <c r="AB58" s="427"/>
      <c r="AC58" s="427"/>
      <c r="AD58" s="427"/>
      <c r="AE58" s="427"/>
      <c r="AF58" s="427"/>
      <c r="AG58" s="428"/>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953"/>
      <c r="B60" s="954" t="s">
        <v>29</v>
      </c>
      <c r="C60" s="1834">
        <v>1</v>
      </c>
      <c r="D60" s="1834">
        <v>2</v>
      </c>
      <c r="E60" s="1835">
        <v>3</v>
      </c>
      <c r="F60" s="1835">
        <v>4</v>
      </c>
      <c r="G60" s="1834">
        <v>5</v>
      </c>
      <c r="H60" s="1834">
        <v>6</v>
      </c>
      <c r="I60" s="1834">
        <v>7</v>
      </c>
      <c r="J60" s="1834">
        <v>8</v>
      </c>
      <c r="K60" s="1834">
        <v>9</v>
      </c>
      <c r="L60" s="1835">
        <v>10</v>
      </c>
      <c r="M60" s="1835">
        <v>11</v>
      </c>
      <c r="N60" s="1834">
        <v>12</v>
      </c>
      <c r="O60" s="1834">
        <v>13</v>
      </c>
      <c r="P60" s="1834">
        <v>14</v>
      </c>
      <c r="Q60" s="1834">
        <v>15</v>
      </c>
      <c r="R60" s="1834">
        <v>16</v>
      </c>
      <c r="S60" s="1835">
        <v>17</v>
      </c>
      <c r="T60" s="1835">
        <v>18</v>
      </c>
      <c r="U60" s="1834">
        <v>19</v>
      </c>
      <c r="V60" s="1834">
        <v>20</v>
      </c>
      <c r="W60" s="1834">
        <v>21</v>
      </c>
      <c r="X60" s="1834">
        <v>22</v>
      </c>
      <c r="Y60" s="1834">
        <v>23</v>
      </c>
      <c r="Z60" s="1835">
        <v>24</v>
      </c>
      <c r="AA60" s="1835">
        <v>25</v>
      </c>
      <c r="AB60" s="1834">
        <v>26</v>
      </c>
      <c r="AC60" s="1834">
        <v>27</v>
      </c>
      <c r="AD60" s="1834">
        <v>28</v>
      </c>
      <c r="AE60" s="1834">
        <v>29</v>
      </c>
      <c r="AF60" s="1834">
        <v>30</v>
      </c>
      <c r="AG60" s="1836"/>
      <c r="AH60" s="1"/>
      <c r="AJ60" s="1837" t="s">
        <v>30</v>
      </c>
      <c r="AK60" s="1837" t="s">
        <v>44</v>
      </c>
      <c r="AL60" s="1837" t="s">
        <v>45</v>
      </c>
      <c r="AM60" s="1837" t="s">
        <v>46</v>
      </c>
      <c r="AN60" s="1837" t="s">
        <v>47</v>
      </c>
    </row>
    <row r="61" spans="1:40" ht="22.35" customHeight="1" x14ac:dyDescent="0.2">
      <c r="A61" s="1921"/>
      <c r="B61" s="1922" t="s">
        <v>126</v>
      </c>
      <c r="C61" s="859" t="s">
        <v>32</v>
      </c>
      <c r="D61" s="859" t="s">
        <v>32</v>
      </c>
      <c r="E61" s="1911" t="s">
        <v>0</v>
      </c>
      <c r="F61" s="1912" t="s">
        <v>0</v>
      </c>
      <c r="G61" s="1923">
        <v>7</v>
      </c>
      <c r="H61" s="1923">
        <v>7</v>
      </c>
      <c r="I61" s="1923">
        <v>7</v>
      </c>
      <c r="J61" s="1923">
        <v>7</v>
      </c>
      <c r="K61" s="1923">
        <v>7</v>
      </c>
      <c r="L61" s="1647" t="s">
        <v>0</v>
      </c>
      <c r="M61" s="1923"/>
      <c r="N61" s="1923">
        <v>25</v>
      </c>
      <c r="O61" s="1923">
        <v>25</v>
      </c>
      <c r="P61" s="1918" t="s">
        <v>32</v>
      </c>
      <c r="Q61" s="1923" t="s">
        <v>128</v>
      </c>
      <c r="R61" s="1923">
        <v>25</v>
      </c>
      <c r="S61" s="1923"/>
      <c r="T61" s="1923"/>
      <c r="U61" s="1864" t="s">
        <v>50</v>
      </c>
      <c r="V61" s="1232" t="s">
        <v>32</v>
      </c>
      <c r="W61" s="1232" t="s">
        <v>32</v>
      </c>
      <c r="X61" s="1864" t="s">
        <v>36</v>
      </c>
      <c r="Y61" s="1864" t="s">
        <v>36</v>
      </c>
      <c r="Z61" s="1870"/>
      <c r="AA61" s="1870" t="s">
        <v>127</v>
      </c>
      <c r="AB61" s="1870" t="s">
        <v>36</v>
      </c>
      <c r="AC61" s="1870" t="s">
        <v>36</v>
      </c>
      <c r="AD61" s="1843" t="s">
        <v>36</v>
      </c>
      <c r="AE61" s="1870" t="s">
        <v>36</v>
      </c>
      <c r="AF61" s="965" t="s">
        <v>36</v>
      </c>
      <c r="AG61" s="1873"/>
      <c r="AH61" s="1"/>
      <c r="AJ61" s="1840">
        <v>134.5</v>
      </c>
      <c r="AK61" s="1840">
        <v>6</v>
      </c>
      <c r="AL61" s="1840">
        <f t="shared" ref="AL61:AL72" si="3">IF(AJ61="","",SUM(AJ61:AK61))</f>
        <v>140.5</v>
      </c>
      <c r="AM61" s="1859">
        <f t="shared" ref="AM61:AM75" si="4">IF(AJ61="","",AL61-NormTid)</f>
        <v>-19.830000000000013</v>
      </c>
      <c r="AN61" s="1859">
        <f>IF(AM61="","",AM61+'August 2022'!AN61)</f>
        <v>225.27999999999994</v>
      </c>
    </row>
    <row r="62" spans="1:40" ht="22.35" customHeight="1" thickBot="1" x14ac:dyDescent="0.25">
      <c r="A62" s="1839"/>
      <c r="B62" s="1839" t="s">
        <v>129</v>
      </c>
      <c r="C62" s="1844" t="s">
        <v>176</v>
      </c>
      <c r="D62" s="1844" t="s">
        <v>176</v>
      </c>
      <c r="E62" s="1844"/>
      <c r="F62" s="1823" t="s">
        <v>0</v>
      </c>
      <c r="G62" s="1112">
        <v>26</v>
      </c>
      <c r="H62" s="1112">
        <v>26</v>
      </c>
      <c r="I62" s="1112">
        <v>26</v>
      </c>
      <c r="J62" s="1112">
        <v>26</v>
      </c>
      <c r="K62" s="1112">
        <v>26</v>
      </c>
      <c r="L62" s="1112"/>
      <c r="M62" s="1844"/>
      <c r="N62" s="678" t="s">
        <v>32</v>
      </c>
      <c r="O62" s="678" t="s">
        <v>32</v>
      </c>
      <c r="P62" s="678" t="s">
        <v>32</v>
      </c>
      <c r="Q62" s="1865" t="s">
        <v>32</v>
      </c>
      <c r="R62" s="678" t="s">
        <v>32</v>
      </c>
      <c r="S62" s="678" t="s">
        <v>32</v>
      </c>
      <c r="T62" s="678" t="s">
        <v>32</v>
      </c>
      <c r="U62" s="678" t="s">
        <v>36</v>
      </c>
      <c r="V62" s="1870" t="s">
        <v>36</v>
      </c>
      <c r="W62" s="1924" t="s">
        <v>36</v>
      </c>
      <c r="X62" s="1865" t="s">
        <v>32</v>
      </c>
      <c r="Y62" s="1870" t="s">
        <v>32</v>
      </c>
      <c r="Z62" s="1865" t="s">
        <v>32</v>
      </c>
      <c r="AA62" s="1865" t="s">
        <v>32</v>
      </c>
      <c r="AB62" s="1844" t="s">
        <v>36</v>
      </c>
      <c r="AC62" s="1844" t="s">
        <v>36</v>
      </c>
      <c r="AD62" s="1844" t="s">
        <v>36</v>
      </c>
      <c r="AE62" s="1844">
        <v>6</v>
      </c>
      <c r="AF62" s="1844">
        <v>6</v>
      </c>
      <c r="AG62" s="1868"/>
      <c r="AH62" s="1"/>
      <c r="AJ62" s="1840">
        <v>138</v>
      </c>
      <c r="AK62" s="1840">
        <v>5.25</v>
      </c>
      <c r="AL62" s="1840">
        <f t="shared" si="3"/>
        <v>143.25</v>
      </c>
      <c r="AM62" s="1859">
        <f t="shared" si="4"/>
        <v>-17.080000000000013</v>
      </c>
      <c r="AN62" s="1859">
        <f>IF(AM62="","",AM62+'August 2022'!AN62)</f>
        <v>30.779999999999937</v>
      </c>
    </row>
    <row r="63" spans="1:40" ht="22.35" customHeight="1" thickBot="1" x14ac:dyDescent="0.25">
      <c r="A63" s="1839"/>
      <c r="B63" s="1839" t="s">
        <v>130</v>
      </c>
      <c r="C63" s="1844" t="s">
        <v>32</v>
      </c>
      <c r="D63" s="1844" t="s">
        <v>32</v>
      </c>
      <c r="E63" s="1823"/>
      <c r="F63" s="1823"/>
      <c r="G63" s="859" t="s">
        <v>32</v>
      </c>
      <c r="H63" s="859" t="s">
        <v>32</v>
      </c>
      <c r="I63" s="859" t="s">
        <v>32</v>
      </c>
      <c r="J63" s="859" t="s">
        <v>32</v>
      </c>
      <c r="K63" s="859" t="s">
        <v>32</v>
      </c>
      <c r="L63" s="859"/>
      <c r="M63" s="859"/>
      <c r="N63" s="859" t="s">
        <v>32</v>
      </c>
      <c r="O63" s="859" t="s">
        <v>32</v>
      </c>
      <c r="P63" s="859" t="s">
        <v>32</v>
      </c>
      <c r="Q63" s="859" t="s">
        <v>32</v>
      </c>
      <c r="R63" s="859" t="s">
        <v>32</v>
      </c>
      <c r="S63" s="859"/>
      <c r="T63" s="859"/>
      <c r="U63" s="859" t="s">
        <v>32</v>
      </c>
      <c r="V63" s="859" t="s">
        <v>32</v>
      </c>
      <c r="W63" s="859" t="s">
        <v>32</v>
      </c>
      <c r="X63" s="859" t="s">
        <v>32</v>
      </c>
      <c r="Y63" s="859" t="s">
        <v>32</v>
      </c>
      <c r="Z63" s="859"/>
      <c r="AA63" s="859"/>
      <c r="AB63" s="1865" t="s">
        <v>32</v>
      </c>
      <c r="AC63" s="1865" t="s">
        <v>32</v>
      </c>
      <c r="AD63" s="1865" t="s">
        <v>32</v>
      </c>
      <c r="AE63" s="1865" t="s">
        <v>32</v>
      </c>
      <c r="AF63" s="1865" t="s">
        <v>32</v>
      </c>
      <c r="AG63" s="1111"/>
      <c r="AH63" s="1"/>
      <c r="AJ63" s="1840">
        <v>160</v>
      </c>
      <c r="AK63" s="1840">
        <v>0</v>
      </c>
      <c r="AL63" s="1840">
        <f t="shared" si="3"/>
        <v>160</v>
      </c>
      <c r="AM63" s="1859">
        <f t="shared" si="4"/>
        <v>-0.33000000000001251</v>
      </c>
      <c r="AN63" s="1859">
        <f>IF(AM63="","",AM63+'August 2022'!AN63)</f>
        <v>39.529999999999937</v>
      </c>
    </row>
    <row r="64" spans="1:40" ht="22.35" customHeight="1" thickBot="1" x14ac:dyDescent="0.3">
      <c r="A64" s="1839"/>
      <c r="B64" s="634" t="s">
        <v>132</v>
      </c>
      <c r="C64" s="1925" t="s">
        <v>398</v>
      </c>
      <c r="D64" s="1925" t="s">
        <v>398</v>
      </c>
      <c r="E64" s="1926" t="s">
        <v>405</v>
      </c>
      <c r="F64" s="1927"/>
      <c r="G64" s="1925" t="s">
        <v>398</v>
      </c>
      <c r="H64" s="1925" t="s">
        <v>398</v>
      </c>
      <c r="I64" s="1926" t="s">
        <v>398</v>
      </c>
      <c r="J64" s="1926" t="s">
        <v>36</v>
      </c>
      <c r="K64" s="1925" t="s">
        <v>398</v>
      </c>
      <c r="L64" s="1928"/>
      <c r="M64" s="1925">
        <v>26</v>
      </c>
      <c r="N64" s="1928" t="s">
        <v>398</v>
      </c>
      <c r="O64" s="1928" t="s">
        <v>398</v>
      </c>
      <c r="P64" s="1928" t="s">
        <v>398</v>
      </c>
      <c r="Q64" s="1925" t="s">
        <v>398</v>
      </c>
      <c r="R64" s="1928" t="s">
        <v>398</v>
      </c>
      <c r="S64" s="368"/>
      <c r="T64" s="1925"/>
      <c r="U64" s="1928" t="s">
        <v>36</v>
      </c>
      <c r="V64" s="1865" t="s">
        <v>32</v>
      </c>
      <c r="W64" s="1928" t="s">
        <v>398</v>
      </c>
      <c r="X64" s="1928" t="s">
        <v>398</v>
      </c>
      <c r="Y64" s="1925" t="s">
        <v>36</v>
      </c>
      <c r="Z64" s="1928" t="s">
        <v>405</v>
      </c>
      <c r="AA64" s="1823" t="s">
        <v>0</v>
      </c>
      <c r="AB64" s="1929" t="s">
        <v>398</v>
      </c>
      <c r="AC64" s="1929" t="s">
        <v>32</v>
      </c>
      <c r="AD64" s="1928" t="s">
        <v>32</v>
      </c>
      <c r="AE64" s="1894" t="s">
        <v>32</v>
      </c>
      <c r="AF64" s="1928">
        <v>4</v>
      </c>
      <c r="AG64" s="1868"/>
      <c r="AH64" s="1"/>
      <c r="AJ64" s="1840">
        <v>158.5</v>
      </c>
      <c r="AK64" s="1840">
        <v>2.5</v>
      </c>
      <c r="AL64" s="1840">
        <f t="shared" si="3"/>
        <v>161</v>
      </c>
      <c r="AM64" s="1859">
        <f t="shared" si="4"/>
        <v>0.66999999999998749</v>
      </c>
      <c r="AN64" s="1859">
        <f>IF(AM64="","",AM64+'August 2022'!AN64)</f>
        <v>-29.720000000000056</v>
      </c>
    </row>
    <row r="65" spans="1:40" ht="22.35" customHeight="1" x14ac:dyDescent="0.2">
      <c r="A65" s="1910"/>
      <c r="B65" s="1839" t="s">
        <v>133</v>
      </c>
      <c r="C65" s="1823" t="s">
        <v>134</v>
      </c>
      <c r="D65" s="1112" t="s">
        <v>134</v>
      </c>
      <c r="E65" s="1823" t="s">
        <v>0</v>
      </c>
      <c r="F65" s="1823" t="s">
        <v>0</v>
      </c>
      <c r="G65" s="1823" t="s">
        <v>134</v>
      </c>
      <c r="H65" s="1823" t="s">
        <v>134</v>
      </c>
      <c r="I65" s="1823" t="s">
        <v>134</v>
      </c>
      <c r="J65" s="1823" t="s">
        <v>134</v>
      </c>
      <c r="K65" s="1823" t="s">
        <v>134</v>
      </c>
      <c r="L65" s="1823" t="s">
        <v>0</v>
      </c>
      <c r="M65" s="1112" t="s">
        <v>0</v>
      </c>
      <c r="N65" s="1823" t="s">
        <v>134</v>
      </c>
      <c r="O65" s="1823" t="s">
        <v>134</v>
      </c>
      <c r="P65" s="1930" t="s">
        <v>134</v>
      </c>
      <c r="Q65" s="1930" t="s">
        <v>134</v>
      </c>
      <c r="R65" s="1823" t="s">
        <v>134</v>
      </c>
      <c r="S65" s="1823" t="s">
        <v>0</v>
      </c>
      <c r="T65" s="1823" t="s">
        <v>0</v>
      </c>
      <c r="U65" s="1823" t="s">
        <v>134</v>
      </c>
      <c r="V65" s="1823" t="s">
        <v>134</v>
      </c>
      <c r="W65" s="1823" t="s">
        <v>134</v>
      </c>
      <c r="X65" s="1823" t="s">
        <v>134</v>
      </c>
      <c r="Y65" s="1823" t="s">
        <v>134</v>
      </c>
      <c r="Z65" s="1823" t="s">
        <v>0</v>
      </c>
      <c r="AA65" s="1823" t="s">
        <v>0</v>
      </c>
      <c r="AB65" s="1823" t="s">
        <v>134</v>
      </c>
      <c r="AC65" s="1364" t="s">
        <v>134</v>
      </c>
      <c r="AD65" s="1823" t="s">
        <v>134</v>
      </c>
      <c r="AE65" s="1823" t="s">
        <v>134</v>
      </c>
      <c r="AF65" s="1823" t="s">
        <v>134</v>
      </c>
      <c r="AG65" s="1111"/>
      <c r="AH65" s="1"/>
      <c r="AJ65" s="1840">
        <v>162.5</v>
      </c>
      <c r="AK65" s="1840">
        <v>0.75</v>
      </c>
      <c r="AL65" s="1840">
        <f t="shared" si="3"/>
        <v>163.25</v>
      </c>
      <c r="AM65" s="1859">
        <f t="shared" si="4"/>
        <v>2.9199999999999875</v>
      </c>
      <c r="AN65" s="1859">
        <f>IF(AM65="","",AM65+'August 2022'!AN65)</f>
        <v>6.2799999999999372</v>
      </c>
    </row>
    <row r="66" spans="1:40" ht="22.35" customHeight="1" x14ac:dyDescent="0.2">
      <c r="A66" s="1839"/>
      <c r="B66" s="1839" t="s">
        <v>136</v>
      </c>
      <c r="C66" s="1823" t="s">
        <v>137</v>
      </c>
      <c r="D66" s="1823" t="s">
        <v>137</v>
      </c>
      <c r="E66" s="1823" t="s">
        <v>0</v>
      </c>
      <c r="F66" s="1823" t="s">
        <v>0</v>
      </c>
      <c r="G66" s="1823" t="s">
        <v>137</v>
      </c>
      <c r="H66" s="1823" t="s">
        <v>137</v>
      </c>
      <c r="I66" s="1823" t="s">
        <v>137</v>
      </c>
      <c r="J66" s="1823" t="s">
        <v>137</v>
      </c>
      <c r="K66" s="1823" t="s">
        <v>137</v>
      </c>
      <c r="L66" s="1823" t="s">
        <v>0</v>
      </c>
      <c r="M66" s="1823" t="s">
        <v>0</v>
      </c>
      <c r="N66" s="1823" t="s">
        <v>137</v>
      </c>
      <c r="O66" s="1823" t="s">
        <v>137</v>
      </c>
      <c r="P66" s="1823" t="s">
        <v>137</v>
      </c>
      <c r="Q66" s="1823" t="s">
        <v>137</v>
      </c>
      <c r="R66" s="1823" t="s">
        <v>137</v>
      </c>
      <c r="S66" s="1823" t="s">
        <v>0</v>
      </c>
      <c r="T66" s="1823" t="s">
        <v>0</v>
      </c>
      <c r="U66" s="1823" t="s">
        <v>137</v>
      </c>
      <c r="V66" s="1823" t="s">
        <v>137</v>
      </c>
      <c r="W66" s="1823" t="s">
        <v>137</v>
      </c>
      <c r="X66" s="1823" t="s">
        <v>137</v>
      </c>
      <c r="Y66" s="1823" t="s">
        <v>137</v>
      </c>
      <c r="Z66" s="1823" t="s">
        <v>0</v>
      </c>
      <c r="AA66" s="1823" t="s">
        <v>0</v>
      </c>
      <c r="AB66" s="1823" t="s">
        <v>137</v>
      </c>
      <c r="AC66" s="1823" t="s">
        <v>137</v>
      </c>
      <c r="AD66" s="1823" t="s">
        <v>137</v>
      </c>
      <c r="AE66" s="1823" t="s">
        <v>137</v>
      </c>
      <c r="AF66" s="1823" t="s">
        <v>137</v>
      </c>
      <c r="AG66" s="1845"/>
      <c r="AH66" s="1"/>
      <c r="AJ66" s="1840">
        <v>161.75</v>
      </c>
      <c r="AK66" s="1840">
        <v>0</v>
      </c>
      <c r="AL66" s="1840">
        <f t="shared" si="3"/>
        <v>161.75</v>
      </c>
      <c r="AM66" s="1859">
        <f t="shared" si="4"/>
        <v>1.4199999999999875</v>
      </c>
      <c r="AN66" s="1859">
        <f>IF(AM66="","",AM66+'August 2022'!AN66)</f>
        <v>-0.22000000000011255</v>
      </c>
    </row>
    <row r="67" spans="1:40" ht="22.35" customHeight="1" thickBot="1" x14ac:dyDescent="0.25">
      <c r="A67" s="1839"/>
      <c r="B67" s="394" t="s">
        <v>138</v>
      </c>
      <c r="C67" s="1844">
        <v>8</v>
      </c>
      <c r="D67" s="1844">
        <v>8</v>
      </c>
      <c r="E67" s="1844"/>
      <c r="F67" s="1844"/>
      <c r="G67" s="859" t="s">
        <v>32</v>
      </c>
      <c r="H67" s="859" t="s">
        <v>32</v>
      </c>
      <c r="I67" s="859" t="s">
        <v>32</v>
      </c>
      <c r="J67" s="859" t="s">
        <v>32</v>
      </c>
      <c r="K67" s="859" t="s">
        <v>32</v>
      </c>
      <c r="L67" s="859"/>
      <c r="M67" s="859"/>
      <c r="N67" s="859" t="s">
        <v>32</v>
      </c>
      <c r="O67" s="859" t="s">
        <v>32</v>
      </c>
      <c r="P67" s="859" t="s">
        <v>32</v>
      </c>
      <c r="Q67" s="859" t="s">
        <v>32</v>
      </c>
      <c r="R67" s="859" t="s">
        <v>32</v>
      </c>
      <c r="S67" s="859"/>
      <c r="T67" s="859"/>
      <c r="U67" s="859" t="s">
        <v>32</v>
      </c>
      <c r="V67" s="859" t="s">
        <v>32</v>
      </c>
      <c r="W67" s="859" t="s">
        <v>32</v>
      </c>
      <c r="X67" s="859" t="s">
        <v>32</v>
      </c>
      <c r="Y67" s="859" t="s">
        <v>32</v>
      </c>
      <c r="Z67" s="859"/>
      <c r="AA67" s="859"/>
      <c r="AB67" s="1844">
        <v>25</v>
      </c>
      <c r="AC67" s="1844">
        <v>25</v>
      </c>
      <c r="AD67" s="1844">
        <v>25</v>
      </c>
      <c r="AE67" s="1844">
        <v>25</v>
      </c>
      <c r="AF67" s="1844">
        <v>25</v>
      </c>
      <c r="AG67" s="1845"/>
      <c r="AH67" s="1"/>
      <c r="AJ67" s="1840">
        <v>173</v>
      </c>
      <c r="AK67" s="1840">
        <v>4.25</v>
      </c>
      <c r="AL67" s="1840">
        <f t="shared" si="3"/>
        <v>177.25</v>
      </c>
      <c r="AM67" s="1859">
        <f t="shared" si="4"/>
        <v>16.919999999999987</v>
      </c>
      <c r="AN67" s="1859">
        <f>IF(AM67="","",AM67+'August 2022'!AN67)</f>
        <v>140.02999999999994</v>
      </c>
    </row>
    <row r="68" spans="1:40" ht="22.35" customHeight="1" thickBot="1" x14ac:dyDescent="0.25">
      <c r="A68" s="1839"/>
      <c r="B68" s="394" t="s">
        <v>140</v>
      </c>
      <c r="C68" s="1844">
        <v>10</v>
      </c>
      <c r="D68" s="1844">
        <v>10</v>
      </c>
      <c r="E68" s="1844" t="s">
        <v>81</v>
      </c>
      <c r="F68" s="1844" t="s">
        <v>81</v>
      </c>
      <c r="G68" s="1844" t="s">
        <v>36</v>
      </c>
      <c r="H68" s="1840" t="s">
        <v>36</v>
      </c>
      <c r="I68" s="1840" t="s">
        <v>36</v>
      </c>
      <c r="J68" s="1840" t="s">
        <v>36</v>
      </c>
      <c r="K68" s="1840" t="s">
        <v>36</v>
      </c>
      <c r="L68" s="1163" t="s">
        <v>127</v>
      </c>
      <c r="M68" s="1163" t="s">
        <v>127</v>
      </c>
      <c r="N68" s="1904" t="s">
        <v>128</v>
      </c>
      <c r="O68" s="1904" t="s">
        <v>128</v>
      </c>
      <c r="P68" s="1931" t="s">
        <v>128</v>
      </c>
      <c r="Q68" s="1904" t="s">
        <v>128</v>
      </c>
      <c r="R68" s="1904" t="s">
        <v>408</v>
      </c>
      <c r="S68" s="1896" t="s">
        <v>53</v>
      </c>
      <c r="T68" s="1896" t="s">
        <v>53</v>
      </c>
      <c r="U68" s="1840" t="s">
        <v>36</v>
      </c>
      <c r="V68" s="1840" t="s">
        <v>36</v>
      </c>
      <c r="W68" s="1840" t="s">
        <v>36</v>
      </c>
      <c r="X68" s="1844" t="s">
        <v>36</v>
      </c>
      <c r="Y68" s="1844" t="s">
        <v>176</v>
      </c>
      <c r="Z68" s="1844"/>
      <c r="AA68" s="1844"/>
      <c r="AB68" s="1844" t="s">
        <v>95</v>
      </c>
      <c r="AC68" s="1844" t="s">
        <v>134</v>
      </c>
      <c r="AD68" s="1844" t="s">
        <v>264</v>
      </c>
      <c r="AE68" s="1844" t="s">
        <v>32</v>
      </c>
      <c r="AF68" s="1844" t="s">
        <v>176</v>
      </c>
      <c r="AG68" s="1845"/>
      <c r="AH68" s="1"/>
      <c r="AJ68" s="1840">
        <v>148</v>
      </c>
      <c r="AK68" s="1840">
        <v>8</v>
      </c>
      <c r="AL68" s="1840">
        <f t="shared" si="3"/>
        <v>156</v>
      </c>
      <c r="AM68" s="1859">
        <f t="shared" si="4"/>
        <v>-4.3300000000000125</v>
      </c>
      <c r="AN68" s="1859">
        <f>IF(AM68="","",AM68+'August 2022'!AN68)</f>
        <v>38.529999999999937</v>
      </c>
    </row>
    <row r="69" spans="1:40" ht="22.35" customHeight="1" thickBot="1" x14ac:dyDescent="0.25">
      <c r="A69" s="1839"/>
      <c r="B69" s="634" t="s">
        <v>141</v>
      </c>
      <c r="C69" s="1844">
        <v>99</v>
      </c>
      <c r="D69" s="1844">
        <v>3</v>
      </c>
      <c r="E69" s="1894"/>
      <c r="F69" s="1899"/>
      <c r="G69" s="1844" t="s">
        <v>235</v>
      </c>
      <c r="H69" s="1844" t="s">
        <v>235</v>
      </c>
      <c r="I69" s="1844" t="s">
        <v>235</v>
      </c>
      <c r="J69" s="1844" t="s">
        <v>235</v>
      </c>
      <c r="K69" s="1844" t="s">
        <v>36</v>
      </c>
      <c r="L69" s="1823" t="s">
        <v>0</v>
      </c>
      <c r="M69" s="455"/>
      <c r="N69" s="455">
        <v>1</v>
      </c>
      <c r="O69" s="455">
        <v>1</v>
      </c>
      <c r="P69" s="455">
        <v>1</v>
      </c>
      <c r="Q69" s="455">
        <v>1</v>
      </c>
      <c r="R69" s="455">
        <v>1</v>
      </c>
      <c r="S69" s="458"/>
      <c r="T69" s="458"/>
      <c r="U69" s="1844">
        <v>3</v>
      </c>
      <c r="V69" s="1844">
        <v>3</v>
      </c>
      <c r="W69" s="1844">
        <v>3</v>
      </c>
      <c r="X69" s="1844">
        <v>3</v>
      </c>
      <c r="Y69" s="1844">
        <v>4</v>
      </c>
      <c r="Z69" s="868" t="s">
        <v>0</v>
      </c>
      <c r="AA69" s="868" t="s">
        <v>0</v>
      </c>
      <c r="AB69" s="1844">
        <v>3</v>
      </c>
      <c r="AC69" s="1844">
        <v>3</v>
      </c>
      <c r="AD69" s="1844">
        <v>3</v>
      </c>
      <c r="AE69" s="1844">
        <v>3</v>
      </c>
      <c r="AF69" s="1844">
        <v>3</v>
      </c>
      <c r="AG69" s="917"/>
      <c r="AH69" s="1"/>
      <c r="AJ69" s="1840">
        <v>161</v>
      </c>
      <c r="AK69" s="1840">
        <v>0.25</v>
      </c>
      <c r="AL69" s="1840">
        <f t="shared" si="3"/>
        <v>161.25</v>
      </c>
      <c r="AM69" s="1859">
        <f t="shared" si="4"/>
        <v>0.91999999999998749</v>
      </c>
      <c r="AN69" s="1859">
        <f>IF(AM69="","",AM69+'August 2022'!AN69)</f>
        <v>179.27999999999994</v>
      </c>
    </row>
    <row r="70" spans="1:40" ht="22.35" customHeight="1" thickBot="1" x14ac:dyDescent="0.25">
      <c r="A70" s="394"/>
      <c r="B70" s="634" t="s">
        <v>143</v>
      </c>
      <c r="C70" s="1864" t="s">
        <v>177</v>
      </c>
      <c r="D70" s="1864" t="s">
        <v>177</v>
      </c>
      <c r="E70" s="1844"/>
      <c r="F70" s="1844"/>
      <c r="G70" s="858" t="s">
        <v>32</v>
      </c>
      <c r="H70" s="960">
        <v>3</v>
      </c>
      <c r="I70" s="1844" t="s">
        <v>36</v>
      </c>
      <c r="J70" s="1844">
        <v>3</v>
      </c>
      <c r="K70" s="1844">
        <v>3</v>
      </c>
      <c r="L70" s="965"/>
      <c r="M70" s="1844"/>
      <c r="N70" s="1923">
        <v>4</v>
      </c>
      <c r="O70" s="1923">
        <v>4</v>
      </c>
      <c r="P70" s="1923">
        <v>4</v>
      </c>
      <c r="Q70" s="1923">
        <v>4</v>
      </c>
      <c r="R70" s="1246" t="s">
        <v>32</v>
      </c>
      <c r="S70" s="851" t="s">
        <v>53</v>
      </c>
      <c r="T70" s="1844" t="s">
        <v>53</v>
      </c>
      <c r="U70" s="910">
        <v>9</v>
      </c>
      <c r="V70" s="910">
        <v>9</v>
      </c>
      <c r="W70" s="910">
        <v>9</v>
      </c>
      <c r="X70" s="910">
        <v>9</v>
      </c>
      <c r="Y70" s="908">
        <v>9</v>
      </c>
      <c r="Z70" s="908" t="s">
        <v>80</v>
      </c>
      <c r="AA70" s="908" t="s">
        <v>81</v>
      </c>
      <c r="AB70" s="1844" t="s">
        <v>36</v>
      </c>
      <c r="AC70" s="1844" t="s">
        <v>36</v>
      </c>
      <c r="AD70" s="1844" t="s">
        <v>36</v>
      </c>
      <c r="AE70" s="1844" t="s">
        <v>36</v>
      </c>
      <c r="AF70" s="1112" t="s">
        <v>36</v>
      </c>
      <c r="AG70" s="1868"/>
      <c r="AJ70" s="1840">
        <v>142.25</v>
      </c>
      <c r="AK70" s="1840">
        <v>5</v>
      </c>
      <c r="AL70" s="1840">
        <f t="shared" si="3"/>
        <v>147.25</v>
      </c>
      <c r="AM70" s="1859">
        <f t="shared" si="4"/>
        <v>-13.080000000000013</v>
      </c>
      <c r="AN70" s="1859">
        <f>IF(AM70="","",AM70+'August 2022'!AN70)</f>
        <v>86.779999999999944</v>
      </c>
    </row>
    <row r="71" spans="1:40" ht="22.35" customHeight="1" thickBot="1" x14ac:dyDescent="0.3">
      <c r="A71" s="634"/>
      <c r="B71" s="541" t="s">
        <v>144</v>
      </c>
      <c r="C71" s="1864" t="s">
        <v>264</v>
      </c>
      <c r="D71" s="1864" t="s">
        <v>264</v>
      </c>
      <c r="E71" s="851"/>
      <c r="F71" s="360" t="s">
        <v>409</v>
      </c>
      <c r="G71" s="344" t="s">
        <v>400</v>
      </c>
      <c r="H71" s="1927" t="s">
        <v>400</v>
      </c>
      <c r="I71" s="1927" t="s">
        <v>400</v>
      </c>
      <c r="J71" s="1927" t="s">
        <v>400</v>
      </c>
      <c r="K71" s="851" t="s">
        <v>36</v>
      </c>
      <c r="L71" s="1647" t="s">
        <v>0</v>
      </c>
      <c r="M71" s="1844"/>
      <c r="N71" s="851" t="s">
        <v>177</v>
      </c>
      <c r="O71" s="851" t="s">
        <v>177</v>
      </c>
      <c r="P71" s="851" t="s">
        <v>177</v>
      </c>
      <c r="Q71" s="851" t="s">
        <v>177</v>
      </c>
      <c r="R71" s="851" t="s">
        <v>177</v>
      </c>
      <c r="S71" s="851"/>
      <c r="T71" s="1823"/>
      <c r="U71" s="851" t="s">
        <v>177</v>
      </c>
      <c r="V71" s="851" t="s">
        <v>177</v>
      </c>
      <c r="W71" s="851" t="s">
        <v>177</v>
      </c>
      <c r="X71" s="851" t="s">
        <v>177</v>
      </c>
      <c r="Y71" s="851" t="s">
        <v>177</v>
      </c>
      <c r="Z71" s="1864"/>
      <c r="AA71" s="1844"/>
      <c r="AB71" s="851" t="s">
        <v>177</v>
      </c>
      <c r="AC71" s="851" t="s">
        <v>177</v>
      </c>
      <c r="AD71" s="851" t="s">
        <v>177</v>
      </c>
      <c r="AE71" s="851" t="s">
        <v>177</v>
      </c>
      <c r="AF71" s="851" t="s">
        <v>177</v>
      </c>
      <c r="AG71" s="1845"/>
      <c r="AJ71" s="1840">
        <v>164.75</v>
      </c>
      <c r="AK71" s="1840">
        <v>3.25</v>
      </c>
      <c r="AL71" s="1840">
        <f t="shared" si="3"/>
        <v>168</v>
      </c>
      <c r="AM71" s="1859">
        <f t="shared" si="4"/>
        <v>7.6699999999999875</v>
      </c>
      <c r="AN71" s="1859">
        <f>IF(AM71="","",AM71+'August 2022'!AN71)</f>
        <v>15.939999999999941</v>
      </c>
    </row>
    <row r="72" spans="1:40" ht="22.35" customHeight="1" x14ac:dyDescent="0.2">
      <c r="A72" s="289"/>
      <c r="B72" s="634" t="s">
        <v>354</v>
      </c>
      <c r="C72" s="1864">
        <v>4</v>
      </c>
      <c r="D72" s="1864">
        <v>4</v>
      </c>
      <c r="E72" s="1895"/>
      <c r="F72" s="1899" t="s">
        <v>0</v>
      </c>
      <c r="G72" s="1163">
        <v>25</v>
      </c>
      <c r="H72" s="1862">
        <v>25</v>
      </c>
      <c r="I72" s="1163">
        <v>25</v>
      </c>
      <c r="J72" s="1163">
        <v>25</v>
      </c>
      <c r="K72" s="1163" t="s">
        <v>146</v>
      </c>
      <c r="L72" s="1840"/>
      <c r="M72" s="1840"/>
      <c r="N72" s="1840" t="s">
        <v>36</v>
      </c>
      <c r="O72" s="1844" t="s">
        <v>36</v>
      </c>
      <c r="P72" s="1844">
        <v>25</v>
      </c>
      <c r="Q72" s="1844" t="s">
        <v>36</v>
      </c>
      <c r="R72" s="1844">
        <v>4</v>
      </c>
      <c r="S72" s="851" t="s">
        <v>127</v>
      </c>
      <c r="T72" s="1823" t="s">
        <v>127</v>
      </c>
      <c r="U72" s="1864">
        <v>25</v>
      </c>
      <c r="V72" s="1864">
        <v>25</v>
      </c>
      <c r="W72" s="1864">
        <v>25</v>
      </c>
      <c r="X72" s="1864">
        <v>25</v>
      </c>
      <c r="Y72" s="854">
        <v>25</v>
      </c>
      <c r="Z72" s="1864"/>
      <c r="AA72" s="1844"/>
      <c r="AB72" s="1844" t="s">
        <v>32</v>
      </c>
      <c r="AC72" s="1840">
        <v>1</v>
      </c>
      <c r="AD72" s="1844">
        <v>1</v>
      </c>
      <c r="AE72" s="1844">
        <v>1</v>
      </c>
      <c r="AF72" s="855" t="s">
        <v>32</v>
      </c>
      <c r="AG72" s="1845"/>
      <c r="AH72" s="1"/>
      <c r="AJ72" s="1840">
        <v>187.25</v>
      </c>
      <c r="AK72" s="1840">
        <v>8.75</v>
      </c>
      <c r="AL72" s="1840">
        <f t="shared" si="3"/>
        <v>196</v>
      </c>
      <c r="AM72" s="1859">
        <f t="shared" si="4"/>
        <v>35.669999999999987</v>
      </c>
      <c r="AN72" s="1859">
        <f>IF(AM72="","",AM72+'August 2022'!AN73)</f>
        <v>80.67999999999995</v>
      </c>
    </row>
    <row r="73" spans="1:40" ht="22.35" customHeight="1" x14ac:dyDescent="0.2">
      <c r="A73" s="634"/>
      <c r="B73" s="344"/>
      <c r="C73" s="344"/>
      <c r="D73" s="344"/>
      <c r="E73" s="344"/>
      <c r="F73" s="344"/>
      <c r="G73" s="344"/>
      <c r="H73" s="344"/>
      <c r="I73" s="344"/>
      <c r="J73" s="344"/>
      <c r="K73" s="344"/>
      <c r="L73" s="344"/>
      <c r="M73" s="344"/>
      <c r="N73" s="344"/>
      <c r="O73" s="344"/>
      <c r="P73" s="344"/>
      <c r="Q73" s="344"/>
      <c r="R73" s="344"/>
      <c r="S73" s="344"/>
      <c r="T73" s="344"/>
      <c r="U73" s="344"/>
      <c r="V73" s="344"/>
      <c r="W73" s="344"/>
      <c r="X73" s="344"/>
      <c r="Y73" s="344"/>
      <c r="Z73" s="344"/>
      <c r="AA73" s="344"/>
      <c r="AB73" s="344"/>
      <c r="AC73" s="344"/>
      <c r="AD73" s="344"/>
      <c r="AE73" s="344"/>
      <c r="AF73" s="344"/>
      <c r="AG73" s="1845"/>
      <c r="AH73" s="1"/>
      <c r="AJ73" s="1840">
        <f t="shared" ref="AJ73:AJ91" si="5">$AJ$12</f>
        <v>160.33000000000001</v>
      </c>
      <c r="AK73" s="1840"/>
      <c r="AL73" s="1840">
        <f t="shared" ref="AL73:AL75" si="6">IF(AJ73="","",SUM(AJ73:AK73))</f>
        <v>160.33000000000001</v>
      </c>
      <c r="AM73" s="1859">
        <f t="shared" si="4"/>
        <v>0</v>
      </c>
      <c r="AN73" s="1859">
        <f>IF(AM73="","",AM73+'August 2022'!AN74)</f>
        <v>0</v>
      </c>
    </row>
    <row r="74" spans="1:40" ht="22.35" customHeight="1" x14ac:dyDescent="0.2">
      <c r="A74" s="634"/>
      <c r="B74" s="634" t="s">
        <v>0</v>
      </c>
      <c r="C74" s="1864" t="s">
        <v>32</v>
      </c>
      <c r="D74" s="1864" t="s">
        <v>32</v>
      </c>
      <c r="E74" s="1823"/>
      <c r="F74" s="1871"/>
      <c r="G74" s="851" t="s">
        <v>32</v>
      </c>
      <c r="H74" s="1844" t="s">
        <v>32</v>
      </c>
      <c r="I74" s="1844" t="s">
        <v>32</v>
      </c>
      <c r="J74" s="1844" t="s">
        <v>32</v>
      </c>
      <c r="K74" s="1844" t="s">
        <v>32</v>
      </c>
      <c r="L74" s="1844"/>
      <c r="M74" s="1844"/>
      <c r="N74" s="1844" t="s">
        <v>32</v>
      </c>
      <c r="O74" s="851" t="s">
        <v>32</v>
      </c>
      <c r="P74" s="851" t="s">
        <v>32</v>
      </c>
      <c r="Q74" s="851" t="s">
        <v>32</v>
      </c>
      <c r="R74" s="851" t="s">
        <v>32</v>
      </c>
      <c r="S74" s="851"/>
      <c r="T74" s="1823"/>
      <c r="U74" s="1844" t="s">
        <v>32</v>
      </c>
      <c r="V74" s="1844" t="s">
        <v>32</v>
      </c>
      <c r="W74" s="1844" t="s">
        <v>32</v>
      </c>
      <c r="X74" s="1844" t="s">
        <v>32</v>
      </c>
      <c r="Y74" s="1864" t="s">
        <v>32</v>
      </c>
      <c r="Z74" s="1864"/>
      <c r="AA74" s="1844"/>
      <c r="AB74" s="1844" t="s">
        <v>32</v>
      </c>
      <c r="AC74" s="1844" t="s">
        <v>32</v>
      </c>
      <c r="AD74" s="1844" t="s">
        <v>32</v>
      </c>
      <c r="AE74" s="1844" t="s">
        <v>32</v>
      </c>
      <c r="AF74" s="1844" t="s">
        <v>32</v>
      </c>
      <c r="AG74" s="1845"/>
      <c r="AH74" s="1"/>
      <c r="AJ74" s="1840">
        <f t="shared" si="5"/>
        <v>160.33000000000001</v>
      </c>
      <c r="AK74" s="1840"/>
      <c r="AL74" s="1840">
        <f t="shared" si="6"/>
        <v>160.33000000000001</v>
      </c>
      <c r="AM74" s="1859">
        <f t="shared" si="4"/>
        <v>0</v>
      </c>
      <c r="AN74" s="1859">
        <f>IF(AM74="","",AM74+'August 2022'!AN75)</f>
        <v>0</v>
      </c>
    </row>
    <row r="75" spans="1:40" ht="22.35" customHeight="1" x14ac:dyDescent="0.2">
      <c r="A75" s="634"/>
      <c r="B75" s="1840" t="s">
        <v>0</v>
      </c>
      <c r="C75" s="1840"/>
      <c r="D75" s="1840"/>
      <c r="E75" s="1840"/>
      <c r="F75" s="1840"/>
      <c r="G75" s="1840"/>
      <c r="H75" s="1840"/>
      <c r="I75" s="1840"/>
      <c r="J75" s="1840"/>
      <c r="K75" s="1840"/>
      <c r="L75" s="1840"/>
      <c r="M75" s="1840"/>
      <c r="N75" s="1840"/>
      <c r="O75" s="1840"/>
      <c r="P75" s="1840"/>
      <c r="Q75" s="1840"/>
      <c r="R75" s="1840"/>
      <c r="S75" s="1840"/>
      <c r="T75" s="1840"/>
      <c r="U75" s="1840"/>
      <c r="V75" s="1840"/>
      <c r="W75" s="1840"/>
      <c r="X75" s="1840"/>
      <c r="Y75" s="1840"/>
      <c r="Z75" s="1840"/>
      <c r="AA75" s="1840"/>
      <c r="AB75" s="1840"/>
      <c r="AC75" s="1840"/>
      <c r="AD75" s="1840"/>
      <c r="AE75" s="1840"/>
      <c r="AF75" s="1840"/>
      <c r="AG75" s="1312"/>
      <c r="AH75" s="1"/>
      <c r="AJ75" s="1840">
        <f t="shared" si="5"/>
        <v>160.33000000000001</v>
      </c>
      <c r="AK75" s="1840"/>
      <c r="AL75" s="1840">
        <f t="shared" si="6"/>
        <v>160.33000000000001</v>
      </c>
      <c r="AM75" s="1859">
        <f t="shared" si="4"/>
        <v>0</v>
      </c>
      <c r="AN75" s="1859">
        <f>IF(AM75="","",AM75+'August 2022'!AN76)</f>
        <v>0</v>
      </c>
    </row>
    <row r="76" spans="1:40" ht="22.35" customHeight="1" x14ac:dyDescent="0.2">
      <c r="A76" s="634"/>
      <c r="B76" s="634"/>
      <c r="C76" s="1844"/>
      <c r="D76" s="1871"/>
      <c r="E76" s="1871"/>
      <c r="F76" s="1871"/>
      <c r="G76" s="1871"/>
      <c r="H76" s="1871"/>
      <c r="I76" s="1844"/>
      <c r="J76" s="1844"/>
      <c r="K76" s="1871"/>
      <c r="L76" s="1871"/>
      <c r="M76" s="1871"/>
      <c r="N76" s="1871"/>
      <c r="O76" s="1871"/>
      <c r="P76" s="1844"/>
      <c r="Q76" s="1844"/>
      <c r="R76" s="1844"/>
      <c r="S76" s="1823"/>
      <c r="T76" s="1823"/>
      <c r="U76" s="1823"/>
      <c r="V76" s="1844"/>
      <c r="W76" s="1844"/>
      <c r="X76" s="1844"/>
      <c r="Y76" s="1844"/>
      <c r="Z76" s="1844"/>
      <c r="AA76" s="1844"/>
      <c r="AB76" s="1844"/>
      <c r="AC76" s="1844"/>
      <c r="AD76" s="1844"/>
      <c r="AE76" s="1844"/>
      <c r="AF76" s="1844"/>
      <c r="AG76" s="1845"/>
      <c r="AH76" s="1"/>
      <c r="AJ76" s="1840">
        <f t="shared" si="5"/>
        <v>160.33000000000001</v>
      </c>
      <c r="AK76" s="1840"/>
      <c r="AL76" s="1840">
        <f t="shared" ref="AL76:AL91" si="7">IF(AJ76="","",SUM(AJ76:AK76))</f>
        <v>160.33000000000001</v>
      </c>
      <c r="AM76" s="1859">
        <f t="shared" ref="AM76:AM91" si="8">IF(AJ76="","",AL76-NormTid)</f>
        <v>0</v>
      </c>
      <c r="AN76" s="1859">
        <v>0</v>
      </c>
    </row>
    <row r="77" spans="1:40" ht="22.35" customHeight="1" x14ac:dyDescent="0.2">
      <c r="A77" s="977"/>
      <c r="B77" s="1910" t="s">
        <v>0</v>
      </c>
      <c r="C77" s="851"/>
      <c r="D77" s="851"/>
      <c r="E77" s="851"/>
      <c r="F77" s="851"/>
      <c r="G77" s="851"/>
      <c r="H77" s="851"/>
      <c r="I77" s="851"/>
      <c r="J77" s="851"/>
      <c r="K77" s="851"/>
      <c r="L77" s="851"/>
      <c r="M77" s="851"/>
      <c r="N77" s="851"/>
      <c r="O77" s="851"/>
      <c r="P77" s="851"/>
      <c r="Q77" s="851"/>
      <c r="R77" s="851"/>
      <c r="S77" s="851"/>
      <c r="T77" s="851"/>
      <c r="U77" s="851"/>
      <c r="V77" s="851"/>
      <c r="W77" s="851"/>
      <c r="X77" s="851"/>
      <c r="Y77" s="851"/>
      <c r="Z77" s="851"/>
      <c r="AA77" s="851"/>
      <c r="AB77" s="851"/>
      <c r="AC77" s="851"/>
      <c r="AD77" s="851"/>
      <c r="AE77" s="851"/>
      <c r="AF77" s="851"/>
      <c r="AG77" s="1868"/>
      <c r="AH77" s="1"/>
      <c r="AJ77" s="1840">
        <f t="shared" si="5"/>
        <v>160.33000000000001</v>
      </c>
      <c r="AK77" s="1840"/>
      <c r="AL77" s="1840">
        <f t="shared" si="7"/>
        <v>160.33000000000001</v>
      </c>
      <c r="AM77" s="1859">
        <f t="shared" si="8"/>
        <v>0</v>
      </c>
      <c r="AN77" s="1859">
        <v>0</v>
      </c>
    </row>
    <row r="78" spans="1:40" ht="22.35" customHeight="1" x14ac:dyDescent="0.2">
      <c r="A78" s="977"/>
      <c r="B78" s="1839" t="s">
        <v>0</v>
      </c>
      <c r="C78" s="851"/>
      <c r="D78" s="851"/>
      <c r="E78" s="851"/>
      <c r="F78" s="851"/>
      <c r="G78" s="851"/>
      <c r="H78" s="851"/>
      <c r="I78" s="851"/>
      <c r="J78" s="851"/>
      <c r="K78" s="851"/>
      <c r="L78" s="851"/>
      <c r="M78" s="851"/>
      <c r="N78" s="851"/>
      <c r="O78" s="851"/>
      <c r="P78" s="851"/>
      <c r="Q78" s="851"/>
      <c r="R78" s="851"/>
      <c r="S78" s="851"/>
      <c r="T78" s="851"/>
      <c r="U78" s="851"/>
      <c r="V78" s="851"/>
      <c r="W78" s="851"/>
      <c r="X78" s="851"/>
      <c r="Y78" s="851"/>
      <c r="Z78" s="851"/>
      <c r="AA78" s="851"/>
      <c r="AB78" s="851"/>
      <c r="AC78" s="851"/>
      <c r="AD78" s="851"/>
      <c r="AE78" s="851"/>
      <c r="AF78" s="851"/>
      <c r="AG78" s="978"/>
      <c r="AH78" s="1"/>
      <c r="AJ78" s="1840">
        <f t="shared" si="5"/>
        <v>160.33000000000001</v>
      </c>
      <c r="AK78" s="1840"/>
      <c r="AL78" s="1840">
        <f t="shared" si="7"/>
        <v>160.33000000000001</v>
      </c>
      <c r="AM78" s="1859">
        <f t="shared" si="8"/>
        <v>0</v>
      </c>
      <c r="AN78" s="1859">
        <v>0</v>
      </c>
    </row>
    <row r="79" spans="1:40" ht="22.35" customHeight="1" thickBot="1" x14ac:dyDescent="0.25">
      <c r="A79" s="977"/>
      <c r="B79" s="1932"/>
      <c r="C79" s="851"/>
      <c r="D79" s="1843"/>
      <c r="E79" s="851"/>
      <c r="F79" s="1844"/>
      <c r="G79" s="1844"/>
      <c r="H79" s="1844"/>
      <c r="I79" s="1844"/>
      <c r="J79" s="1844"/>
      <c r="K79" s="1844"/>
      <c r="L79" s="1844"/>
      <c r="M79" s="1844"/>
      <c r="N79" s="1844"/>
      <c r="O79" s="1844"/>
      <c r="P79" s="1844"/>
      <c r="Q79" s="1844"/>
      <c r="R79" s="1844"/>
      <c r="S79" s="1844"/>
      <c r="T79" s="851"/>
      <c r="U79" s="851"/>
      <c r="V79" s="1871"/>
      <c r="W79" s="851"/>
      <c r="X79" s="851"/>
      <c r="Y79" s="1844"/>
      <c r="Z79" s="851"/>
      <c r="AA79" s="851"/>
      <c r="AB79" s="851"/>
      <c r="AC79" s="851"/>
      <c r="AD79" s="851"/>
      <c r="AE79" s="1843"/>
      <c r="AF79" s="851"/>
      <c r="AG79" s="978"/>
      <c r="AH79" s="1"/>
      <c r="AJ79" s="1840">
        <f t="shared" si="5"/>
        <v>160.33000000000001</v>
      </c>
      <c r="AK79" s="1840"/>
      <c r="AL79" s="1840">
        <f t="shared" si="7"/>
        <v>160.33000000000001</v>
      </c>
      <c r="AM79" s="1859">
        <f t="shared" si="8"/>
        <v>0</v>
      </c>
      <c r="AN79" s="1859">
        <f>IF(AM79="","",AM79+'August 2022'!AN80)</f>
        <v>0</v>
      </c>
    </row>
    <row r="80" spans="1:40" ht="22.35" customHeight="1" thickBot="1" x14ac:dyDescent="0.25">
      <c r="A80" s="977"/>
      <c r="B80" s="1371" t="s">
        <v>147</v>
      </c>
      <c r="C80" s="1274">
        <v>1</v>
      </c>
      <c r="D80" s="1274">
        <v>2</v>
      </c>
      <c r="E80" s="1275">
        <v>3</v>
      </c>
      <c r="F80" s="1275">
        <v>4</v>
      </c>
      <c r="G80" s="1274">
        <v>5</v>
      </c>
      <c r="H80" s="1274">
        <v>6</v>
      </c>
      <c r="I80" s="1274">
        <v>7</v>
      </c>
      <c r="J80" s="1274">
        <v>8</v>
      </c>
      <c r="K80" s="1274">
        <v>9</v>
      </c>
      <c r="L80" s="1275">
        <v>10</v>
      </c>
      <c r="M80" s="1275">
        <v>11</v>
      </c>
      <c r="N80" s="1274">
        <v>12</v>
      </c>
      <c r="O80" s="1274">
        <v>13</v>
      </c>
      <c r="P80" s="1274">
        <v>14</v>
      </c>
      <c r="Q80" s="1274">
        <v>15</v>
      </c>
      <c r="R80" s="1274">
        <v>16</v>
      </c>
      <c r="S80" s="1275">
        <v>17</v>
      </c>
      <c r="T80" s="1275">
        <v>18</v>
      </c>
      <c r="U80" s="1274">
        <v>19</v>
      </c>
      <c r="V80" s="1274">
        <v>20</v>
      </c>
      <c r="W80" s="1274">
        <v>21</v>
      </c>
      <c r="X80" s="1274">
        <v>22</v>
      </c>
      <c r="Y80" s="1274">
        <v>23</v>
      </c>
      <c r="Z80" s="1275">
        <v>24</v>
      </c>
      <c r="AA80" s="1275">
        <v>25</v>
      </c>
      <c r="AB80" s="1274">
        <v>26</v>
      </c>
      <c r="AC80" s="1274">
        <v>27</v>
      </c>
      <c r="AD80" s="1274">
        <v>28</v>
      </c>
      <c r="AE80" s="1274">
        <v>29</v>
      </c>
      <c r="AF80" s="1274">
        <v>30</v>
      </c>
      <c r="AG80" s="1276"/>
      <c r="AH80" s="1"/>
      <c r="AJ80" s="1840">
        <f t="shared" si="5"/>
        <v>160.33000000000001</v>
      </c>
      <c r="AK80" s="1840"/>
      <c r="AL80" s="1840">
        <f t="shared" si="7"/>
        <v>160.33000000000001</v>
      </c>
      <c r="AM80" s="1859">
        <f t="shared" si="8"/>
        <v>0</v>
      </c>
      <c r="AN80" s="1859">
        <f>IF(AM80="","",AM80+'August 2022'!AN81)</f>
        <v>0</v>
      </c>
    </row>
    <row r="81" spans="1:40" ht="22.35" customHeight="1" x14ac:dyDescent="0.2">
      <c r="A81" s="1685"/>
      <c r="B81" s="1686" t="s">
        <v>357</v>
      </c>
      <c r="C81" s="709">
        <v>79</v>
      </c>
      <c r="D81" s="1933">
        <v>79</v>
      </c>
      <c r="E81" s="709" t="s">
        <v>57</v>
      </c>
      <c r="F81" s="1687"/>
      <c r="G81" s="1934">
        <v>69</v>
      </c>
      <c r="H81" s="1935">
        <v>69</v>
      </c>
      <c r="I81" s="1935">
        <v>69</v>
      </c>
      <c r="J81" s="1935">
        <v>69</v>
      </c>
      <c r="K81" s="1933">
        <v>69</v>
      </c>
      <c r="L81" s="1936" t="s">
        <v>83</v>
      </c>
      <c r="M81" s="1935"/>
      <c r="N81" s="1935" t="s">
        <v>36</v>
      </c>
      <c r="O81" s="1823" t="s">
        <v>176</v>
      </c>
      <c r="P81" s="1823" t="s">
        <v>176</v>
      </c>
      <c r="Q81" s="850">
        <v>25</v>
      </c>
      <c r="R81" s="850">
        <v>25</v>
      </c>
      <c r="S81" s="1934"/>
      <c r="T81" s="1934"/>
      <c r="U81" s="1934">
        <v>89</v>
      </c>
      <c r="V81" s="1934">
        <v>89</v>
      </c>
      <c r="W81" s="1934">
        <v>89</v>
      </c>
      <c r="X81" s="1933">
        <v>89</v>
      </c>
      <c r="Y81" s="1937">
        <v>89</v>
      </c>
      <c r="Z81" s="1938">
        <v>89</v>
      </c>
      <c r="AA81" s="1938"/>
      <c r="AB81" s="1939">
        <v>1</v>
      </c>
      <c r="AC81" s="1939">
        <v>1</v>
      </c>
      <c r="AD81" s="1939">
        <v>1</v>
      </c>
      <c r="AE81" s="1939">
        <v>1</v>
      </c>
      <c r="AF81" s="1939" t="s">
        <v>377</v>
      </c>
      <c r="AG81" s="1940"/>
      <c r="AH81" s="1"/>
      <c r="AJ81" s="1840">
        <f t="shared" si="5"/>
        <v>160.33000000000001</v>
      </c>
      <c r="AK81" s="1840"/>
      <c r="AL81" s="1840">
        <f t="shared" si="7"/>
        <v>160.33000000000001</v>
      </c>
      <c r="AM81" s="1859">
        <f t="shared" si="8"/>
        <v>0</v>
      </c>
      <c r="AN81" s="1859">
        <f>IF(AM81="","",AM81+'August 2022'!AN82)</f>
        <v>0</v>
      </c>
    </row>
    <row r="82" spans="1:40" ht="22.35" customHeight="1" x14ac:dyDescent="0.2">
      <c r="A82" s="1685"/>
      <c r="B82" s="1839" t="s">
        <v>410</v>
      </c>
      <c r="C82" s="1844">
        <v>26</v>
      </c>
      <c r="D82" s="1844">
        <v>26</v>
      </c>
      <c r="E82" s="1844"/>
      <c r="F82" s="1871" t="s">
        <v>0</v>
      </c>
      <c r="G82" s="1871" t="s">
        <v>128</v>
      </c>
      <c r="H82" s="1871" t="s">
        <v>128</v>
      </c>
      <c r="I82" s="1871" t="s">
        <v>128</v>
      </c>
      <c r="J82" s="1871" t="s">
        <v>128</v>
      </c>
      <c r="K82" s="1871" t="s">
        <v>128</v>
      </c>
      <c r="L82" s="965" t="s">
        <v>53</v>
      </c>
      <c r="M82" s="850">
        <v>26</v>
      </c>
      <c r="N82" s="1844">
        <v>26</v>
      </c>
      <c r="O82" s="1844">
        <v>26</v>
      </c>
      <c r="P82" s="1844">
        <v>26</v>
      </c>
      <c r="Q82" s="1844">
        <v>26</v>
      </c>
      <c r="R82" s="1844">
        <v>26</v>
      </c>
      <c r="S82" s="1823"/>
      <c r="T82" s="1844" t="s">
        <v>0</v>
      </c>
      <c r="U82" s="1823">
        <v>26</v>
      </c>
      <c r="V82" s="1823">
        <v>26</v>
      </c>
      <c r="W82" s="1823">
        <v>26</v>
      </c>
      <c r="X82" s="1823">
        <v>26</v>
      </c>
      <c r="Y82" s="1823">
        <v>26</v>
      </c>
      <c r="Z82" s="1823"/>
      <c r="AA82" s="1823">
        <v>26</v>
      </c>
      <c r="AB82" s="851" t="s">
        <v>36</v>
      </c>
      <c r="AC82" s="851" t="s">
        <v>36</v>
      </c>
      <c r="AD82" s="851" t="s">
        <v>36</v>
      </c>
      <c r="AE82" s="851" t="s">
        <v>36</v>
      </c>
      <c r="AF82" s="851" t="s">
        <v>36</v>
      </c>
      <c r="AG82" s="1845"/>
      <c r="AH82" s="1"/>
      <c r="AJ82" s="1840">
        <f t="shared" si="5"/>
        <v>160.33000000000001</v>
      </c>
      <c r="AK82" s="1840"/>
      <c r="AL82" s="1840">
        <f t="shared" si="7"/>
        <v>160.33000000000001</v>
      </c>
      <c r="AM82" s="1859">
        <f t="shared" si="8"/>
        <v>0</v>
      </c>
      <c r="AN82" s="1859">
        <f>IF(AM82="","",AM82+'August 2022'!AN83)</f>
        <v>0</v>
      </c>
    </row>
    <row r="83" spans="1:40" ht="22.35" customHeight="1" x14ac:dyDescent="0.2">
      <c r="A83" s="1685"/>
      <c r="B83" s="1839" t="s">
        <v>359</v>
      </c>
      <c r="C83" s="1844">
        <v>5</v>
      </c>
      <c r="D83" s="1112">
        <v>5</v>
      </c>
      <c r="E83" s="851"/>
      <c r="F83" s="851"/>
      <c r="G83" s="851">
        <v>10</v>
      </c>
      <c r="H83" s="851">
        <v>10</v>
      </c>
      <c r="I83" s="851">
        <v>10</v>
      </c>
      <c r="J83" s="1843">
        <v>10</v>
      </c>
      <c r="K83" s="1843">
        <v>10</v>
      </c>
      <c r="L83" s="1843" t="s">
        <v>81</v>
      </c>
      <c r="M83" s="1843" t="s">
        <v>81</v>
      </c>
      <c r="N83" s="1843" t="s">
        <v>36</v>
      </c>
      <c r="O83" s="1843" t="s">
        <v>36</v>
      </c>
      <c r="P83" s="1843" t="s">
        <v>36</v>
      </c>
      <c r="Q83" s="1843" t="s">
        <v>36</v>
      </c>
      <c r="R83" s="851" t="s">
        <v>36</v>
      </c>
      <c r="S83" s="851" t="s">
        <v>57</v>
      </c>
      <c r="T83" s="851" t="s">
        <v>57</v>
      </c>
      <c r="U83" s="851">
        <v>7</v>
      </c>
      <c r="V83" s="1843">
        <v>7</v>
      </c>
      <c r="W83" s="1843">
        <v>7</v>
      </c>
      <c r="X83" s="1844">
        <v>7</v>
      </c>
      <c r="Y83" s="851">
        <v>7</v>
      </c>
      <c r="Z83" s="851"/>
      <c r="AA83" s="851"/>
      <c r="AB83" s="851">
        <v>4</v>
      </c>
      <c r="AC83" s="1871">
        <v>4</v>
      </c>
      <c r="AD83" s="851">
        <v>4</v>
      </c>
      <c r="AE83" s="851">
        <v>4</v>
      </c>
      <c r="AF83" s="851" t="s">
        <v>86</v>
      </c>
      <c r="AG83" s="978"/>
      <c r="AH83" s="1"/>
      <c r="AJ83" s="1840">
        <f t="shared" si="5"/>
        <v>160.33000000000001</v>
      </c>
      <c r="AK83" s="1840"/>
      <c r="AL83" s="1840">
        <f t="shared" si="7"/>
        <v>160.33000000000001</v>
      </c>
      <c r="AM83" s="1859">
        <f t="shared" si="8"/>
        <v>0</v>
      </c>
      <c r="AN83" s="1859">
        <f>IF(AM83="","",AM83+'August 2022'!AN84)</f>
        <v>0</v>
      </c>
    </row>
    <row r="84" spans="1:40" ht="22.35" customHeight="1" x14ac:dyDescent="0.2">
      <c r="A84" s="1685"/>
      <c r="B84" s="1839"/>
      <c r="C84" s="1930"/>
      <c r="D84" s="1930"/>
      <c r="E84" s="1930"/>
      <c r="F84" s="1930"/>
      <c r="G84" s="1930"/>
      <c r="H84" s="1823"/>
      <c r="I84" s="1823"/>
      <c r="J84" s="1823"/>
      <c r="K84" s="1823"/>
      <c r="L84" s="1823"/>
      <c r="M84" s="1823"/>
      <c r="N84" s="1823"/>
      <c r="O84" s="1823"/>
      <c r="P84" s="1823"/>
      <c r="Q84" s="1823"/>
      <c r="R84" s="1823"/>
      <c r="S84" s="1823"/>
      <c r="T84" s="1823"/>
      <c r="U84" s="1823"/>
      <c r="V84" s="1823"/>
      <c r="W84" s="1823"/>
      <c r="X84" s="1823"/>
      <c r="Y84" s="1823"/>
      <c r="Z84" s="1844"/>
      <c r="AA84" s="1823"/>
      <c r="AB84" s="1823"/>
      <c r="AC84" s="1823"/>
      <c r="AD84" s="1823"/>
      <c r="AE84" s="1823"/>
      <c r="AF84" s="1823"/>
      <c r="AG84" s="1111"/>
      <c r="AH84" s="1"/>
      <c r="AJ84" s="1840">
        <f t="shared" si="5"/>
        <v>160.33000000000001</v>
      </c>
      <c r="AK84" s="1840"/>
      <c r="AL84" s="1840">
        <f t="shared" si="7"/>
        <v>160.33000000000001</v>
      </c>
      <c r="AM84" s="1859">
        <f t="shared" si="8"/>
        <v>0</v>
      </c>
      <c r="AN84" s="1859">
        <f>IF(AM84="","",AM84+'August 2022'!AN85)</f>
        <v>0</v>
      </c>
    </row>
    <row r="85" spans="1:40" ht="22.35" customHeight="1" x14ac:dyDescent="0.2">
      <c r="A85" s="1685"/>
      <c r="B85" s="1839" t="s">
        <v>381</v>
      </c>
      <c r="C85" s="1844" t="s">
        <v>36</v>
      </c>
      <c r="D85" s="1844" t="s">
        <v>36</v>
      </c>
      <c r="E85" s="851"/>
      <c r="F85" s="1844"/>
      <c r="G85" s="1233">
        <v>22</v>
      </c>
      <c r="H85" s="1233">
        <v>22</v>
      </c>
      <c r="I85" s="1233">
        <v>22</v>
      </c>
      <c r="J85" s="1233">
        <v>22</v>
      </c>
      <c r="K85" s="1233">
        <v>22</v>
      </c>
      <c r="L85" s="1233">
        <v>22</v>
      </c>
      <c r="M85" s="1233">
        <v>22</v>
      </c>
      <c r="N85" s="1233" t="s">
        <v>36</v>
      </c>
      <c r="O85" s="1233" t="s">
        <v>36</v>
      </c>
      <c r="P85" s="1233" t="s">
        <v>36</v>
      </c>
      <c r="Q85" s="1233" t="s">
        <v>36</v>
      </c>
      <c r="R85" s="1233" t="s">
        <v>36</v>
      </c>
      <c r="S85" s="1233"/>
      <c r="T85" s="1233"/>
      <c r="U85" s="1233">
        <v>23</v>
      </c>
      <c r="V85" s="1233">
        <v>23</v>
      </c>
      <c r="W85" s="1233">
        <v>23</v>
      </c>
      <c r="X85" s="1233">
        <v>23</v>
      </c>
      <c r="Y85" s="1233">
        <v>23</v>
      </c>
      <c r="Z85" s="1233">
        <v>23</v>
      </c>
      <c r="AA85" s="1233">
        <v>23</v>
      </c>
      <c r="AB85" s="1844" t="s">
        <v>36</v>
      </c>
      <c r="AC85" s="1844" t="s">
        <v>36</v>
      </c>
      <c r="AD85" s="851" t="s">
        <v>36</v>
      </c>
      <c r="AE85" s="1844" t="s">
        <v>36</v>
      </c>
      <c r="AF85" s="1844" t="s">
        <v>36</v>
      </c>
      <c r="AG85" s="1111"/>
      <c r="AH85" s="1"/>
      <c r="AJ85" s="1840">
        <f t="shared" si="5"/>
        <v>160.33000000000001</v>
      </c>
      <c r="AK85" s="1840"/>
      <c r="AL85" s="1840">
        <f t="shared" si="7"/>
        <v>160.33000000000001</v>
      </c>
      <c r="AM85" s="1859">
        <f t="shared" si="8"/>
        <v>0</v>
      </c>
      <c r="AN85" s="1859">
        <f>IF(AM85="","",AM85+'August 2022'!AN86)</f>
        <v>0</v>
      </c>
    </row>
    <row r="86" spans="1:40" ht="22.35" customHeight="1" x14ac:dyDescent="0.2">
      <c r="A86" s="1685"/>
      <c r="B86" s="1839"/>
      <c r="C86" s="1823" t="s">
        <v>32</v>
      </c>
      <c r="D86" s="1823" t="s">
        <v>32</v>
      </c>
      <c r="E86" s="1823"/>
      <c r="F86" s="1823"/>
      <c r="G86" s="1823" t="s">
        <v>32</v>
      </c>
      <c r="H86" s="1823" t="s">
        <v>32</v>
      </c>
      <c r="I86" s="1823" t="s">
        <v>32</v>
      </c>
      <c r="J86" s="1823" t="s">
        <v>32</v>
      </c>
      <c r="K86" s="1823" t="s">
        <v>32</v>
      </c>
      <c r="L86" s="1823"/>
      <c r="M86" s="1823"/>
      <c r="N86" s="1823" t="s">
        <v>32</v>
      </c>
      <c r="O86" s="1823" t="s">
        <v>32</v>
      </c>
      <c r="P86" s="1823" t="s">
        <v>32</v>
      </c>
      <c r="Q86" s="1823" t="s">
        <v>32</v>
      </c>
      <c r="R86" s="1823" t="s">
        <v>32</v>
      </c>
      <c r="S86" s="1823"/>
      <c r="T86" s="1823"/>
      <c r="U86" s="1823" t="s">
        <v>32</v>
      </c>
      <c r="V86" s="1823" t="s">
        <v>32</v>
      </c>
      <c r="W86" s="1823" t="s">
        <v>32</v>
      </c>
      <c r="X86" s="1823" t="s">
        <v>32</v>
      </c>
      <c r="Y86" s="1823" t="s">
        <v>32</v>
      </c>
      <c r="Z86" s="1823"/>
      <c r="AA86" s="1823"/>
      <c r="AB86" s="1823" t="s">
        <v>32</v>
      </c>
      <c r="AC86" s="1823" t="s">
        <v>32</v>
      </c>
      <c r="AD86" s="1823" t="s">
        <v>32</v>
      </c>
      <c r="AE86" s="1823" t="s">
        <v>32</v>
      </c>
      <c r="AF86" s="1823" t="s">
        <v>32</v>
      </c>
      <c r="AG86" s="1111"/>
      <c r="AH86" s="1"/>
      <c r="AJ86" s="1840">
        <f t="shared" si="5"/>
        <v>160.33000000000001</v>
      </c>
      <c r="AK86" s="1840"/>
      <c r="AL86" s="1840">
        <f t="shared" si="7"/>
        <v>160.33000000000001</v>
      </c>
      <c r="AM86" s="1859">
        <f t="shared" si="8"/>
        <v>0</v>
      </c>
      <c r="AN86" s="1859">
        <f>IF(AM86="","",AM86+'August 2022'!AN87)</f>
        <v>0</v>
      </c>
    </row>
    <row r="87" spans="1:40" ht="22.35" customHeight="1" x14ac:dyDescent="0.2">
      <c r="A87" s="1685"/>
      <c r="B87" s="1839" t="s">
        <v>379</v>
      </c>
      <c r="C87" s="1823">
        <v>25</v>
      </c>
      <c r="D87" s="1823">
        <v>25</v>
      </c>
      <c r="E87" s="1823"/>
      <c r="F87" s="1823">
        <v>26</v>
      </c>
      <c r="G87" s="961" t="s">
        <v>36</v>
      </c>
      <c r="H87" s="961" t="s">
        <v>36</v>
      </c>
      <c r="I87" s="1823">
        <v>25</v>
      </c>
      <c r="J87" s="1823">
        <v>25</v>
      </c>
      <c r="K87" s="1823">
        <v>25</v>
      </c>
      <c r="L87" s="850" t="s">
        <v>57</v>
      </c>
      <c r="M87" s="850" t="s">
        <v>57</v>
      </c>
      <c r="N87" s="1233" t="s">
        <v>36</v>
      </c>
      <c r="O87" s="1233" t="s">
        <v>36</v>
      </c>
      <c r="P87" s="1233" t="s">
        <v>36</v>
      </c>
      <c r="Q87" s="1823">
        <v>25</v>
      </c>
      <c r="R87" s="1823" t="s">
        <v>32</v>
      </c>
      <c r="S87" s="1823"/>
      <c r="T87" s="1844">
        <v>26</v>
      </c>
      <c r="U87" s="1112" t="s">
        <v>32</v>
      </c>
      <c r="V87" s="1823" t="s">
        <v>32</v>
      </c>
      <c r="W87" s="1823" t="s">
        <v>235</v>
      </c>
      <c r="X87" s="1823" t="s">
        <v>235</v>
      </c>
      <c r="Y87" s="1823" t="s">
        <v>235</v>
      </c>
      <c r="Z87" s="1823"/>
      <c r="AA87" s="1823"/>
      <c r="AB87" s="1844">
        <v>26</v>
      </c>
      <c r="AC87" s="1844">
        <v>26</v>
      </c>
      <c r="AD87" s="1844">
        <v>26</v>
      </c>
      <c r="AE87" s="1844">
        <v>26</v>
      </c>
      <c r="AF87" s="1844">
        <v>26</v>
      </c>
      <c r="AG87" s="1111"/>
      <c r="AH87" s="1"/>
      <c r="AJ87" s="1840">
        <f t="shared" si="5"/>
        <v>160.33000000000001</v>
      </c>
      <c r="AK87" s="1840"/>
      <c r="AL87" s="1840">
        <f t="shared" si="7"/>
        <v>160.33000000000001</v>
      </c>
      <c r="AM87" s="1859">
        <f t="shared" si="8"/>
        <v>0</v>
      </c>
      <c r="AN87" s="1859">
        <f>IF(AM87="","",AM87+'August 2022'!AN88)</f>
        <v>0</v>
      </c>
    </row>
    <row r="88" spans="1:40" ht="22.35" customHeight="1" thickBot="1" x14ac:dyDescent="0.25">
      <c r="A88" s="979"/>
      <c r="B88" s="1839" t="s">
        <v>383</v>
      </c>
      <c r="C88" s="1844" t="s">
        <v>257</v>
      </c>
      <c r="D88" s="1844" t="s">
        <v>257</v>
      </c>
      <c r="E88" s="1844"/>
      <c r="F88" s="1871"/>
      <c r="G88" s="1844" t="s">
        <v>257</v>
      </c>
      <c r="H88" s="1844" t="s">
        <v>257</v>
      </c>
      <c r="I88" s="1844" t="s">
        <v>257</v>
      </c>
      <c r="J88" s="1844" t="s">
        <v>257</v>
      </c>
      <c r="K88" s="1844" t="s">
        <v>257</v>
      </c>
      <c r="L88" s="1823"/>
      <c r="M88" s="1823"/>
      <c r="N88" s="1844" t="s">
        <v>257</v>
      </c>
      <c r="O88" s="1844" t="s">
        <v>257</v>
      </c>
      <c r="P88" s="1844" t="s">
        <v>257</v>
      </c>
      <c r="Q88" s="1844" t="s">
        <v>257</v>
      </c>
      <c r="R88" s="1844" t="s">
        <v>257</v>
      </c>
      <c r="S88" s="1823"/>
      <c r="T88" s="1823"/>
      <c r="U88" s="1844" t="s">
        <v>257</v>
      </c>
      <c r="V88" s="1844" t="s">
        <v>257</v>
      </c>
      <c r="W88" s="1163" t="s">
        <v>257</v>
      </c>
      <c r="X88" s="1163" t="s">
        <v>257</v>
      </c>
      <c r="Y88" s="1163" t="s">
        <v>372</v>
      </c>
      <c r="Z88" s="1840"/>
      <c r="AA88" s="1840"/>
      <c r="AB88" s="1844" t="s">
        <v>257</v>
      </c>
      <c r="AC88" s="1844" t="s">
        <v>257</v>
      </c>
      <c r="AD88" s="1844" t="s">
        <v>257</v>
      </c>
      <c r="AE88" s="1844" t="s">
        <v>257</v>
      </c>
      <c r="AF88" s="1844" t="s">
        <v>257</v>
      </c>
      <c r="AG88" s="1845"/>
      <c r="AH88" s="1"/>
      <c r="AJ88" s="1840">
        <f t="shared" si="5"/>
        <v>160.33000000000001</v>
      </c>
      <c r="AK88" s="1840"/>
      <c r="AL88" s="1840">
        <f t="shared" si="7"/>
        <v>160.33000000000001</v>
      </c>
      <c r="AM88" s="1859">
        <f t="shared" si="8"/>
        <v>0</v>
      </c>
      <c r="AN88" s="1859">
        <f>IF(AM88="","",AM88+'August 2022'!AN89)</f>
        <v>0</v>
      </c>
    </row>
    <row r="89" spans="1:40" ht="22.35" customHeight="1" thickBot="1" x14ac:dyDescent="0.25">
      <c r="A89" s="333"/>
      <c r="B89" s="1091"/>
      <c r="C89" s="1743" t="s">
        <v>32</v>
      </c>
      <c r="D89" s="1743" t="s">
        <v>32</v>
      </c>
      <c r="E89" s="1743"/>
      <c r="F89" s="1436"/>
      <c r="G89" s="1093" t="s">
        <v>32</v>
      </c>
      <c r="H89" s="1093" t="s">
        <v>32</v>
      </c>
      <c r="I89" s="1093" t="s">
        <v>32</v>
      </c>
      <c r="J89" s="1093" t="s">
        <v>32</v>
      </c>
      <c r="K89" s="1093" t="s">
        <v>32</v>
      </c>
      <c r="L89" s="1093"/>
      <c r="M89" s="1093"/>
      <c r="N89" s="1093" t="s">
        <v>32</v>
      </c>
      <c r="O89" s="1093" t="s">
        <v>32</v>
      </c>
      <c r="P89" s="1093" t="s">
        <v>32</v>
      </c>
      <c r="Q89" s="1093" t="s">
        <v>32</v>
      </c>
      <c r="R89" s="1093" t="s">
        <v>32</v>
      </c>
      <c r="S89" s="1093"/>
      <c r="T89" s="1093"/>
      <c r="U89" s="1093" t="s">
        <v>32</v>
      </c>
      <c r="V89" s="1093" t="s">
        <v>32</v>
      </c>
      <c r="W89" s="1093" t="s">
        <v>32</v>
      </c>
      <c r="X89" s="1093" t="s">
        <v>32</v>
      </c>
      <c r="Y89" s="1093" t="s">
        <v>32</v>
      </c>
      <c r="Z89" s="1093"/>
      <c r="AA89" s="1093"/>
      <c r="AB89" s="1093" t="s">
        <v>32</v>
      </c>
      <c r="AC89" s="1093" t="s">
        <v>32</v>
      </c>
      <c r="AD89" s="1093" t="s">
        <v>32</v>
      </c>
      <c r="AE89" s="1093" t="s">
        <v>32</v>
      </c>
      <c r="AF89" s="1093" t="s">
        <v>32</v>
      </c>
      <c r="AG89" s="867"/>
      <c r="AH89" s="1"/>
      <c r="AJ89" s="1840">
        <f t="shared" si="5"/>
        <v>160.33000000000001</v>
      </c>
      <c r="AK89" s="1840"/>
      <c r="AL89" s="1840">
        <f t="shared" si="7"/>
        <v>160.33000000000001</v>
      </c>
      <c r="AM89" s="1859">
        <f t="shared" si="8"/>
        <v>0</v>
      </c>
      <c r="AN89" s="1859">
        <f>IF(AM89="","",AM89+'August 2022'!AN90)</f>
        <v>0</v>
      </c>
    </row>
    <row r="90" spans="1:40" ht="22.35" customHeight="1" thickBot="1" x14ac:dyDescent="0.25">
      <c r="A90" s="64"/>
      <c r="B90" s="1371" t="s">
        <v>150</v>
      </c>
      <c r="C90" s="1372"/>
      <c r="D90" s="1373"/>
      <c r="E90" s="1373"/>
      <c r="F90" s="1373"/>
      <c r="G90" s="1373"/>
      <c r="H90" s="1373"/>
      <c r="I90" s="1372"/>
      <c r="J90" s="1372"/>
      <c r="K90" s="1373"/>
      <c r="L90" s="1373"/>
      <c r="M90" s="1373"/>
      <c r="N90" s="1373"/>
      <c r="O90" s="1373"/>
      <c r="P90" s="1372"/>
      <c r="Q90" s="1372"/>
      <c r="R90" s="1372"/>
      <c r="S90" s="1374"/>
      <c r="T90" s="1374"/>
      <c r="U90" s="1374"/>
      <c r="V90" s="1372"/>
      <c r="W90" s="1372"/>
      <c r="X90" s="1372"/>
      <c r="Y90" s="1372"/>
      <c r="Z90" s="1372"/>
      <c r="AA90" s="1372"/>
      <c r="AB90" s="1372"/>
      <c r="AC90" s="1372"/>
      <c r="AD90" s="1372"/>
      <c r="AE90" s="1372"/>
      <c r="AF90" s="1372"/>
      <c r="AG90" s="1375"/>
      <c r="AH90" s="1"/>
      <c r="AJ90" s="1840">
        <f t="shared" si="5"/>
        <v>160.33000000000001</v>
      </c>
      <c r="AK90" s="1840"/>
      <c r="AL90" s="1840">
        <f t="shared" si="7"/>
        <v>160.33000000000001</v>
      </c>
      <c r="AM90" s="1859">
        <f t="shared" si="8"/>
        <v>0</v>
      </c>
      <c r="AN90" s="1859">
        <f>IF(AM90="","",AM90+'August 2022'!AN91)</f>
        <v>0</v>
      </c>
    </row>
    <row r="91" spans="1:40" ht="22.35" customHeight="1" thickBot="1" x14ac:dyDescent="0.25">
      <c r="A91" s="1941"/>
      <c r="B91" s="1942" t="s">
        <v>151</v>
      </c>
      <c r="C91" s="1943" t="s">
        <v>32</v>
      </c>
      <c r="D91" s="1944" t="s">
        <v>32</v>
      </c>
      <c r="E91" s="1943"/>
      <c r="F91" s="1945"/>
      <c r="G91" s="1945" t="s">
        <v>32</v>
      </c>
      <c r="H91" s="1945" t="s">
        <v>32</v>
      </c>
      <c r="I91" s="1945" t="s">
        <v>32</v>
      </c>
      <c r="J91" s="1945" t="s">
        <v>32</v>
      </c>
      <c r="K91" s="1945" t="s">
        <v>32</v>
      </c>
      <c r="L91" s="1945"/>
      <c r="M91" s="1945"/>
      <c r="N91" s="1945" t="s">
        <v>32</v>
      </c>
      <c r="O91" s="1945" t="s">
        <v>32</v>
      </c>
      <c r="P91" s="1945" t="s">
        <v>32</v>
      </c>
      <c r="Q91" s="1945" t="s">
        <v>32</v>
      </c>
      <c r="R91" s="1945" t="s">
        <v>32</v>
      </c>
      <c r="S91" s="1945"/>
      <c r="T91" s="1943"/>
      <c r="U91" s="1943" t="s">
        <v>32</v>
      </c>
      <c r="V91" s="1946" t="s">
        <v>32</v>
      </c>
      <c r="W91" s="1943" t="s">
        <v>32</v>
      </c>
      <c r="X91" s="1943" t="s">
        <v>32</v>
      </c>
      <c r="Y91" s="1945" t="s">
        <v>32</v>
      </c>
      <c r="Z91" s="1943"/>
      <c r="AA91" s="1943"/>
      <c r="AB91" s="1943" t="s">
        <v>32</v>
      </c>
      <c r="AC91" s="1943" t="s">
        <v>32</v>
      </c>
      <c r="AD91" s="1943" t="s">
        <v>32</v>
      </c>
      <c r="AE91" s="1944" t="s">
        <v>32</v>
      </c>
      <c r="AF91" s="1943" t="s">
        <v>32</v>
      </c>
      <c r="AG91" s="1947"/>
      <c r="AH91" s="1"/>
      <c r="AJ91" s="1840">
        <f t="shared" si="5"/>
        <v>160.33000000000001</v>
      </c>
      <c r="AK91" s="1840"/>
      <c r="AL91" s="1840">
        <f t="shared" si="7"/>
        <v>160.33000000000001</v>
      </c>
      <c r="AM91" s="1859">
        <f t="shared" si="8"/>
        <v>0</v>
      </c>
      <c r="AN91" s="1859">
        <f>IF(AM91="","",AM91+'August 2022'!AN92)</f>
        <v>0</v>
      </c>
    </row>
    <row r="92" spans="1:40" ht="22.35" customHeight="1" x14ac:dyDescent="0.2">
      <c r="A92" s="324"/>
      <c r="AH92" s="1"/>
    </row>
    <row r="93" spans="1:40" ht="22.35" customHeight="1" thickBot="1" x14ac:dyDescent="0.25">
      <c r="A93" s="983"/>
      <c r="B93" s="748" t="s">
        <v>29</v>
      </c>
      <c r="C93" s="1834">
        <v>1</v>
      </c>
      <c r="D93" s="1834">
        <v>2</v>
      </c>
      <c r="E93" s="1835">
        <v>3</v>
      </c>
      <c r="F93" s="1835">
        <v>4</v>
      </c>
      <c r="G93" s="1834">
        <v>5</v>
      </c>
      <c r="H93" s="1834">
        <v>6</v>
      </c>
      <c r="I93" s="1834">
        <v>7</v>
      </c>
      <c r="J93" s="1834">
        <v>8</v>
      </c>
      <c r="K93" s="1834">
        <v>9</v>
      </c>
      <c r="L93" s="1835">
        <v>10</v>
      </c>
      <c r="M93" s="1835">
        <v>11</v>
      </c>
      <c r="N93" s="1834">
        <v>12</v>
      </c>
      <c r="O93" s="1834">
        <v>13</v>
      </c>
      <c r="P93" s="1834">
        <v>14</v>
      </c>
      <c r="Q93" s="1834">
        <v>15</v>
      </c>
      <c r="R93" s="1834">
        <v>16</v>
      </c>
      <c r="S93" s="1835">
        <v>17</v>
      </c>
      <c r="T93" s="1835">
        <v>18</v>
      </c>
      <c r="U93" s="1834">
        <v>19</v>
      </c>
      <c r="V93" s="1834">
        <v>20</v>
      </c>
      <c r="W93" s="1834">
        <v>21</v>
      </c>
      <c r="X93" s="1834">
        <v>22</v>
      </c>
      <c r="Y93" s="1834">
        <v>23</v>
      </c>
      <c r="Z93" s="1835">
        <v>24</v>
      </c>
      <c r="AA93" s="1835">
        <v>25</v>
      </c>
      <c r="AB93" s="1834">
        <v>26</v>
      </c>
      <c r="AC93" s="1834">
        <v>27</v>
      </c>
      <c r="AD93" s="1834">
        <v>28</v>
      </c>
      <c r="AE93" s="1834">
        <v>29</v>
      </c>
      <c r="AF93" s="1834">
        <v>30</v>
      </c>
      <c r="AG93" s="1836"/>
      <c r="AH93" s="1"/>
    </row>
    <row r="94" spans="1:40" ht="22.35" customHeight="1" x14ac:dyDescent="0.2">
      <c r="A94" s="983"/>
      <c r="B94" s="1948" t="s">
        <v>152</v>
      </c>
      <c r="C94" s="1856"/>
      <c r="D94" s="1913"/>
      <c r="E94" s="1856"/>
      <c r="F94" s="1856"/>
      <c r="G94" s="1856"/>
      <c r="H94" s="1856"/>
      <c r="I94" s="1856"/>
      <c r="J94" s="1856"/>
      <c r="K94" s="1856"/>
      <c r="L94" s="1856"/>
      <c r="M94" s="1856"/>
      <c r="N94" s="1856"/>
      <c r="O94" s="1856"/>
      <c r="P94" s="1856"/>
      <c r="Q94" s="1856"/>
      <c r="R94" s="1856"/>
      <c r="S94" s="1856"/>
      <c r="T94" s="1856"/>
      <c r="U94" s="1856"/>
      <c r="V94" s="1856"/>
      <c r="W94" s="1856"/>
      <c r="X94" s="1856"/>
      <c r="Y94" s="1856"/>
      <c r="Z94" s="1856"/>
      <c r="AA94" s="1856"/>
      <c r="AB94" s="1856"/>
      <c r="AC94" s="1856"/>
      <c r="AD94" s="1856"/>
      <c r="AE94" s="1856"/>
      <c r="AF94" s="1856"/>
      <c r="AG94" s="1920"/>
      <c r="AH94" s="1"/>
    </row>
    <row r="95" spans="1:40" ht="22.35" customHeight="1" x14ac:dyDescent="0.2">
      <c r="A95" s="983"/>
      <c r="B95" s="454"/>
      <c r="C95" s="985"/>
      <c r="D95" s="985"/>
      <c r="E95" s="985"/>
      <c r="F95" s="447"/>
      <c r="G95" s="447"/>
      <c r="H95" s="985"/>
      <c r="I95" s="985"/>
      <c r="J95" s="985"/>
      <c r="K95" s="985"/>
      <c r="L95" s="985"/>
      <c r="M95" s="985"/>
      <c r="N95" s="985"/>
      <c r="O95" s="985"/>
      <c r="P95" s="985"/>
      <c r="Q95" s="985"/>
      <c r="R95" s="985"/>
      <c r="S95" s="985"/>
      <c r="T95" s="445"/>
      <c r="U95" s="985"/>
      <c r="V95" s="985"/>
      <c r="W95" s="985"/>
      <c r="X95" s="985"/>
      <c r="Y95" s="985"/>
      <c r="Z95" s="985"/>
      <c r="AA95" s="985"/>
      <c r="AB95" s="985"/>
      <c r="AC95" s="985"/>
      <c r="AD95" s="985"/>
      <c r="AE95" s="985"/>
      <c r="AF95" s="985"/>
      <c r="AG95" s="986"/>
      <c r="AH95" s="1"/>
    </row>
    <row r="96" spans="1:40" ht="22.35" customHeight="1" x14ac:dyDescent="0.2">
      <c r="A96" s="983"/>
      <c r="B96" s="454"/>
      <c r="C96" s="445"/>
      <c r="D96" s="445"/>
      <c r="E96" s="445"/>
      <c r="F96" s="445"/>
      <c r="G96" s="445"/>
      <c r="H96" s="445"/>
      <c r="I96" s="445"/>
      <c r="J96" s="445"/>
      <c r="K96" s="445"/>
      <c r="L96" s="445"/>
      <c r="M96" s="445"/>
      <c r="N96" s="445"/>
      <c r="O96" s="445"/>
      <c r="P96" s="445"/>
      <c r="Q96" s="445"/>
      <c r="R96" s="445"/>
      <c r="S96" s="445"/>
      <c r="T96" s="445"/>
      <c r="U96" s="445"/>
      <c r="V96" s="445"/>
      <c r="W96" s="445"/>
      <c r="X96" s="445"/>
      <c r="Y96" s="445"/>
      <c r="Z96" s="445"/>
      <c r="AA96" s="445"/>
      <c r="AB96" s="445"/>
      <c r="AC96" s="445"/>
      <c r="AD96" s="445"/>
      <c r="AE96" s="445"/>
      <c r="AF96" s="445"/>
      <c r="AG96" s="1199"/>
      <c r="AH96" s="1"/>
    </row>
    <row r="97" spans="1:40" ht="22.35" customHeight="1" thickBot="1" x14ac:dyDescent="0.25">
      <c r="A97" s="197"/>
      <c r="B97" s="905"/>
      <c r="C97" s="987"/>
      <c r="D97" s="987"/>
      <c r="E97" s="987"/>
      <c r="F97" s="987"/>
      <c r="G97" s="987"/>
      <c r="H97" s="987"/>
      <c r="I97" s="987"/>
      <c r="J97" s="987"/>
      <c r="K97" s="987"/>
      <c r="L97" s="987"/>
      <c r="M97" s="987"/>
      <c r="N97" s="987"/>
      <c r="O97" s="987"/>
      <c r="P97" s="987"/>
      <c r="Q97" s="987"/>
      <c r="R97" s="987"/>
      <c r="S97" s="987"/>
      <c r="T97" s="987"/>
      <c r="U97" s="987"/>
      <c r="V97" s="987"/>
      <c r="W97" s="987"/>
      <c r="X97" s="987"/>
      <c r="Y97" s="987"/>
      <c r="Z97" s="987"/>
      <c r="AA97" s="987"/>
      <c r="AB97" s="987"/>
      <c r="AC97" s="987"/>
      <c r="AD97" s="987"/>
      <c r="AE97" s="987"/>
      <c r="AF97" s="987"/>
      <c r="AG97" s="1836"/>
      <c r="AH97" s="1"/>
    </row>
    <row r="98" spans="1:40" ht="22.35" customHeight="1" x14ac:dyDescent="0.2">
      <c r="A98" s="197"/>
      <c r="B98" s="198"/>
      <c r="C98" s="218"/>
      <c r="D98" s="218"/>
      <c r="E98" s="218"/>
      <c r="F98" s="218"/>
      <c r="G98" s="218"/>
      <c r="H98" s="218"/>
      <c r="I98" s="218"/>
      <c r="J98" s="218"/>
      <c r="K98" s="218"/>
      <c r="L98" s="218"/>
      <c r="M98" s="218"/>
      <c r="N98" s="218"/>
      <c r="O98" s="218"/>
      <c r="P98" s="218"/>
      <c r="Q98" s="218"/>
      <c r="R98" s="218"/>
      <c r="S98" s="218"/>
      <c r="T98" s="218"/>
      <c r="U98" s="218"/>
      <c r="V98" s="218"/>
      <c r="W98" s="218"/>
      <c r="X98" s="218"/>
      <c r="Y98" s="218"/>
      <c r="Z98" s="218"/>
      <c r="AA98" s="218"/>
      <c r="AB98" s="218"/>
      <c r="AC98" s="218"/>
      <c r="AD98" s="218"/>
      <c r="AE98" s="218"/>
      <c r="AF98" s="218"/>
      <c r="AG98" s="199"/>
      <c r="AH98" s="1"/>
    </row>
    <row r="99" spans="1:40" ht="22.35" customHeight="1" thickBot="1" x14ac:dyDescent="0.25">
      <c r="A99" s="345" t="s">
        <v>395</v>
      </c>
      <c r="B99" s="198"/>
      <c r="C99" s="218"/>
      <c r="D99" s="218"/>
      <c r="E99" s="218"/>
      <c r="F99" s="218"/>
      <c r="G99" s="218"/>
      <c r="H99" s="218"/>
      <c r="I99" s="218"/>
      <c r="J99" s="218"/>
      <c r="K99" s="218"/>
      <c r="L99" s="218"/>
      <c r="M99" s="218"/>
      <c r="N99" s="218"/>
      <c r="O99" s="218"/>
      <c r="P99" s="218"/>
      <c r="Q99" s="218"/>
      <c r="R99" s="218"/>
      <c r="S99" s="218"/>
      <c r="T99" s="218"/>
      <c r="U99" s="218"/>
      <c r="V99" s="218"/>
      <c r="W99" s="218"/>
      <c r="X99" s="218"/>
      <c r="Y99" s="218"/>
      <c r="Z99" s="218"/>
      <c r="AA99" s="218"/>
      <c r="AB99" s="218"/>
      <c r="AC99" s="218"/>
      <c r="AD99" s="218"/>
      <c r="AE99" s="218"/>
      <c r="AF99" s="218"/>
      <c r="AG99" s="199"/>
      <c r="AH99" s="1"/>
    </row>
    <row r="100" spans="1:40" ht="22.35" customHeight="1" thickBot="1" x14ac:dyDescent="0.3">
      <c r="A100" s="345"/>
      <c r="B100" s="346" t="s">
        <v>411</v>
      </c>
      <c r="C100" s="347"/>
      <c r="D100" s="347"/>
      <c r="E100" s="348" t="s">
        <v>412</v>
      </c>
      <c r="F100" s="347"/>
      <c r="G100" s="347"/>
      <c r="H100" s="347"/>
      <c r="I100" s="347"/>
      <c r="J100" s="347"/>
      <c r="K100" s="348" t="s">
        <v>413</v>
      </c>
      <c r="L100" s="347"/>
      <c r="M100" s="347"/>
      <c r="N100" s="347"/>
      <c r="O100" s="347"/>
      <c r="P100" s="347"/>
      <c r="Q100" s="348" t="s">
        <v>414</v>
      </c>
      <c r="R100" s="347"/>
      <c r="S100" s="347"/>
      <c r="T100" s="349"/>
      <c r="U100" s="170"/>
      <c r="V100" s="170"/>
      <c r="W100" s="170"/>
      <c r="X100" s="170"/>
      <c r="Y100" s="170"/>
      <c r="Z100" s="170"/>
      <c r="AA100" s="170"/>
      <c r="AB100" s="170"/>
      <c r="AC100" s="170"/>
      <c r="AD100" s="170"/>
      <c r="AE100" s="170"/>
      <c r="AF100" s="170"/>
      <c r="AG100" s="170"/>
      <c r="AH100" s="170"/>
    </row>
    <row r="101" spans="1:40" ht="22.35" customHeight="1" thickBot="1" x14ac:dyDescent="0.3">
      <c r="A101" s="345"/>
      <c r="B101" s="346" t="s">
        <v>415</v>
      </c>
      <c r="C101" s="347"/>
      <c r="D101" s="347"/>
      <c r="E101" s="350" t="s">
        <v>416</v>
      </c>
      <c r="F101" s="347"/>
      <c r="G101" s="347"/>
      <c r="H101" s="347"/>
      <c r="I101" s="347"/>
      <c r="J101" s="347"/>
      <c r="K101" s="347" t="s">
        <v>417</v>
      </c>
      <c r="L101" s="347"/>
      <c r="M101" s="347"/>
      <c r="N101" s="347"/>
      <c r="O101" s="347"/>
      <c r="P101" s="347"/>
      <c r="Q101" s="347"/>
      <c r="R101" s="347"/>
      <c r="S101" s="347"/>
      <c r="T101" s="349"/>
      <c r="U101" s="170"/>
      <c r="V101" s="170"/>
      <c r="W101" s="170"/>
      <c r="X101" s="170"/>
      <c r="Y101" s="170"/>
      <c r="Z101" s="170"/>
      <c r="AA101" s="170"/>
      <c r="AB101" s="170"/>
      <c r="AC101" s="170"/>
      <c r="AD101" s="170"/>
      <c r="AE101" s="170"/>
      <c r="AF101" s="170"/>
      <c r="AG101" s="170"/>
      <c r="AH101" s="170"/>
    </row>
    <row r="102" spans="1:40" ht="22.35" customHeight="1" thickBot="1" x14ac:dyDescent="0.3">
      <c r="A102" s="345"/>
      <c r="B102" s="346"/>
      <c r="C102" s="347"/>
      <c r="D102" s="347"/>
      <c r="E102" s="350" t="s">
        <v>418</v>
      </c>
      <c r="F102" s="347"/>
      <c r="G102" s="347"/>
      <c r="H102" s="347"/>
      <c r="I102" s="347"/>
      <c r="J102" s="347"/>
      <c r="K102" s="369" t="s">
        <v>17</v>
      </c>
      <c r="L102" s="351"/>
      <c r="M102" s="351"/>
      <c r="N102" s="351"/>
      <c r="O102" s="351"/>
      <c r="P102" s="351"/>
      <c r="Q102" s="351"/>
      <c r="R102" s="351"/>
      <c r="S102" s="351"/>
      <c r="T102" s="352"/>
      <c r="U102" s="170"/>
      <c r="V102" s="170"/>
      <c r="W102" s="170"/>
      <c r="X102" s="170"/>
      <c r="Y102" s="170"/>
      <c r="Z102" s="170"/>
      <c r="AA102" s="170"/>
      <c r="AB102" s="170"/>
      <c r="AC102" s="170"/>
      <c r="AD102" s="170"/>
      <c r="AE102" s="170"/>
      <c r="AF102" s="170"/>
      <c r="AG102" s="170"/>
      <c r="AH102" s="170"/>
    </row>
    <row r="103" spans="1:40" ht="22.35" customHeight="1" x14ac:dyDescent="0.25">
      <c r="A103" s="345"/>
      <c r="B103" s="170"/>
      <c r="C103" s="170"/>
      <c r="D103" s="170"/>
      <c r="E103" s="370"/>
      <c r="F103" s="170"/>
      <c r="G103" s="170"/>
      <c r="H103" s="170"/>
      <c r="I103" s="170"/>
      <c r="J103" s="170"/>
      <c r="K103" s="370"/>
      <c r="L103" s="170"/>
      <c r="M103" s="170"/>
      <c r="N103" s="170"/>
      <c r="O103" s="170"/>
      <c r="P103" s="170"/>
      <c r="Q103" s="170"/>
      <c r="R103" s="170"/>
      <c r="S103" s="170"/>
      <c r="T103" s="170"/>
      <c r="U103" s="170"/>
      <c r="V103" s="170"/>
      <c r="W103" s="170"/>
      <c r="X103" s="170"/>
      <c r="Y103" s="170"/>
      <c r="Z103" s="170"/>
      <c r="AA103" s="170"/>
      <c r="AB103" s="170"/>
      <c r="AC103" s="170"/>
      <c r="AD103" s="170"/>
      <c r="AE103" s="170"/>
      <c r="AF103" s="170"/>
      <c r="AG103" s="170"/>
      <c r="AH103" s="170"/>
    </row>
    <row r="104" spans="1:40" ht="22.35" customHeight="1" thickBot="1" x14ac:dyDescent="0.3">
      <c r="A104" s="345"/>
      <c r="B104" s="1949" t="s">
        <v>29</v>
      </c>
      <c r="C104" s="1950">
        <v>1</v>
      </c>
      <c r="D104" s="1950">
        <v>2</v>
      </c>
      <c r="E104" s="1951">
        <v>3</v>
      </c>
      <c r="F104" s="1951">
        <v>4</v>
      </c>
      <c r="G104" s="1950">
        <v>5</v>
      </c>
      <c r="H104" s="1950">
        <v>6</v>
      </c>
      <c r="I104" s="1950">
        <v>7</v>
      </c>
      <c r="J104" s="1950">
        <v>8</v>
      </c>
      <c r="K104" s="1950">
        <v>9</v>
      </c>
      <c r="L104" s="1951">
        <v>10</v>
      </c>
      <c r="M104" s="1951">
        <v>11</v>
      </c>
      <c r="N104" s="1950">
        <v>12</v>
      </c>
      <c r="O104" s="1950">
        <v>13</v>
      </c>
      <c r="P104" s="1950">
        <v>14</v>
      </c>
      <c r="Q104" s="1950">
        <v>15</v>
      </c>
      <c r="R104" s="1950">
        <v>16</v>
      </c>
      <c r="S104" s="1951">
        <v>17</v>
      </c>
      <c r="T104" s="1951">
        <v>18</v>
      </c>
      <c r="U104" s="1950">
        <v>19</v>
      </c>
      <c r="V104" s="1950">
        <v>20</v>
      </c>
      <c r="W104" s="1950">
        <v>21</v>
      </c>
      <c r="X104" s="1950">
        <v>22</v>
      </c>
      <c r="Y104" s="1950">
        <v>23</v>
      </c>
      <c r="Z104" s="1951">
        <v>24</v>
      </c>
      <c r="AA104" s="1951">
        <v>25</v>
      </c>
      <c r="AB104" s="1950">
        <v>26</v>
      </c>
      <c r="AC104" s="1950">
        <v>27</v>
      </c>
      <c r="AD104" s="1950">
        <v>28</v>
      </c>
      <c r="AE104" s="1950">
        <v>29</v>
      </c>
      <c r="AF104" s="1950">
        <v>30</v>
      </c>
      <c r="AG104" s="1950" t="s">
        <v>0</v>
      </c>
      <c r="AH104" s="1950" t="s">
        <v>0</v>
      </c>
      <c r="AJ104" s="1837" t="s">
        <v>30</v>
      </c>
      <c r="AK104" s="1837" t="s">
        <v>44</v>
      </c>
      <c r="AL104" s="1837" t="s">
        <v>45</v>
      </c>
      <c r="AM104" s="1837" t="s">
        <v>46</v>
      </c>
      <c r="AN104" s="1837" t="s">
        <v>47</v>
      </c>
    </row>
    <row r="105" spans="1:40" ht="22.35" customHeight="1" x14ac:dyDescent="0.25">
      <c r="A105" s="197"/>
      <c r="B105" s="649" t="s">
        <v>419</v>
      </c>
      <c r="C105" s="1929"/>
      <c r="D105" s="1952"/>
      <c r="E105" s="1952"/>
      <c r="F105" s="1952"/>
      <c r="G105" s="1952"/>
      <c r="H105" s="1928" t="s">
        <v>36</v>
      </c>
      <c r="I105" s="1928" t="s">
        <v>36</v>
      </c>
      <c r="J105" s="1953" t="s">
        <v>36</v>
      </c>
      <c r="K105" s="1953" t="s">
        <v>400</v>
      </c>
      <c r="L105" s="1953" t="s">
        <v>409</v>
      </c>
      <c r="M105" s="1953" t="s">
        <v>409</v>
      </c>
      <c r="N105" s="1953" t="s">
        <v>400</v>
      </c>
      <c r="O105" s="1953" t="s">
        <v>400</v>
      </c>
      <c r="P105" s="1953" t="s">
        <v>36</v>
      </c>
      <c r="Q105" s="1953" t="s">
        <v>36</v>
      </c>
      <c r="R105" s="1954" t="s">
        <v>398</v>
      </c>
      <c r="S105" s="1953" t="s">
        <v>405</v>
      </c>
      <c r="T105" s="1928" t="s">
        <v>0</v>
      </c>
      <c r="U105" s="1928" t="s">
        <v>398</v>
      </c>
      <c r="V105" s="1928" t="s">
        <v>398</v>
      </c>
      <c r="W105" s="1955" t="s">
        <v>420</v>
      </c>
      <c r="X105" s="1953" t="s">
        <v>36</v>
      </c>
      <c r="Y105" s="1956">
        <v>3</v>
      </c>
      <c r="Z105" s="1953"/>
      <c r="AA105" s="1953"/>
      <c r="AB105" s="1953" t="s">
        <v>420</v>
      </c>
      <c r="AC105" s="1953" t="s">
        <v>420</v>
      </c>
      <c r="AD105" s="1953" t="s">
        <v>420</v>
      </c>
      <c r="AE105" s="1953" t="s">
        <v>420</v>
      </c>
      <c r="AF105" s="1953" t="s">
        <v>420</v>
      </c>
      <c r="AG105" s="1953" t="s">
        <v>0</v>
      </c>
      <c r="AH105" s="1953" t="s">
        <v>0</v>
      </c>
      <c r="AJ105" s="1840">
        <f>$AJ$12</f>
        <v>160.33000000000001</v>
      </c>
      <c r="AK105" s="1840"/>
      <c r="AL105" s="1840">
        <f>IF(AJ105="","",SUM(AJ105:AK105))</f>
        <v>160.33000000000001</v>
      </c>
      <c r="AM105" s="1859">
        <f t="shared" ref="AM105:AM110" si="9">IF(AJ105="","",AL105-NormTid)</f>
        <v>0</v>
      </c>
      <c r="AN105" s="1859">
        <f>IF(AM105="","",AM105+'August 2022'!AN106)</f>
        <v>0</v>
      </c>
    </row>
    <row r="106" spans="1:40" ht="22.35" customHeight="1" x14ac:dyDescent="0.25">
      <c r="A106" s="197"/>
      <c r="B106" s="650" t="s">
        <v>397</v>
      </c>
      <c r="C106" s="1957" t="s">
        <v>421</v>
      </c>
      <c r="D106" s="1957" t="s">
        <v>421</v>
      </c>
      <c r="E106" s="1957" t="s">
        <v>421</v>
      </c>
      <c r="F106" s="1925" t="s">
        <v>405</v>
      </c>
      <c r="G106" s="1957" t="s">
        <v>36</v>
      </c>
      <c r="H106" s="1957" t="s">
        <v>36</v>
      </c>
      <c r="I106" s="1925" t="s">
        <v>398</v>
      </c>
      <c r="J106" s="1953" t="s">
        <v>398</v>
      </c>
      <c r="K106" s="1928" t="s">
        <v>36</v>
      </c>
      <c r="L106" s="1953" t="s">
        <v>405</v>
      </c>
      <c r="M106" s="1953" t="s">
        <v>405</v>
      </c>
      <c r="N106" s="1953" t="s">
        <v>420</v>
      </c>
      <c r="O106" s="1953" t="s">
        <v>36</v>
      </c>
      <c r="P106" s="1953" t="s">
        <v>400</v>
      </c>
      <c r="Q106" s="1112" t="s">
        <v>400</v>
      </c>
      <c r="R106" s="1112" t="s">
        <v>400</v>
      </c>
      <c r="S106" s="1953" t="s">
        <v>409</v>
      </c>
      <c r="T106" s="1953" t="s">
        <v>409</v>
      </c>
      <c r="U106" s="1953" t="s">
        <v>36</v>
      </c>
      <c r="V106" s="1953" t="s">
        <v>36</v>
      </c>
      <c r="W106" s="1953" t="s">
        <v>36</v>
      </c>
      <c r="X106" s="1928" t="s">
        <v>36</v>
      </c>
      <c r="Y106" s="1953" t="s">
        <v>420</v>
      </c>
      <c r="Z106" s="1928" t="s">
        <v>409</v>
      </c>
      <c r="AA106" s="1953" t="s">
        <v>409</v>
      </c>
      <c r="AB106" s="1928" t="s">
        <v>36</v>
      </c>
      <c r="AC106" s="1928" t="s">
        <v>36</v>
      </c>
      <c r="AD106" s="1953" t="s">
        <v>400</v>
      </c>
      <c r="AE106" s="1953" t="s">
        <v>400</v>
      </c>
      <c r="AF106" s="1953" t="s">
        <v>400</v>
      </c>
      <c r="AG106" s="1953" t="s">
        <v>0</v>
      </c>
      <c r="AH106" s="1953" t="s">
        <v>0</v>
      </c>
      <c r="AJ106" s="1840">
        <f t="shared" ref="AJ106:AJ110" si="10">$AJ$12</f>
        <v>160.33000000000001</v>
      </c>
      <c r="AK106" s="1840"/>
      <c r="AL106" s="1840">
        <f t="shared" ref="AL106:AL110" si="11">IF(AJ106="","",SUM(AJ106:AK106))</f>
        <v>160.33000000000001</v>
      </c>
      <c r="AM106" s="1859">
        <f t="shared" si="9"/>
        <v>0</v>
      </c>
      <c r="AN106" s="1859">
        <f>IF(AM106="","",AM106+'August 2022'!AN107)</f>
        <v>0</v>
      </c>
    </row>
    <row r="107" spans="1:40" ht="22.35" customHeight="1" x14ac:dyDescent="0.25">
      <c r="A107" s="197"/>
      <c r="B107" s="649" t="s">
        <v>399</v>
      </c>
      <c r="C107" s="1928" t="s">
        <v>400</v>
      </c>
      <c r="D107" s="1928" t="s">
        <v>400</v>
      </c>
      <c r="E107" s="1953" t="s">
        <v>409</v>
      </c>
      <c r="F107" s="1953"/>
      <c r="G107" s="1953" t="s">
        <v>36</v>
      </c>
      <c r="H107" s="1925" t="s">
        <v>398</v>
      </c>
      <c r="I107" s="1953" t="s">
        <v>420</v>
      </c>
      <c r="J107" s="1928" t="s">
        <v>420</v>
      </c>
      <c r="K107" s="1953" t="s">
        <v>36</v>
      </c>
      <c r="L107" s="1953"/>
      <c r="M107" s="1953"/>
      <c r="N107" s="1953" t="s">
        <v>36</v>
      </c>
      <c r="O107" s="1953" t="s">
        <v>420</v>
      </c>
      <c r="P107" s="1953" t="s">
        <v>420</v>
      </c>
      <c r="Q107" s="654" t="s">
        <v>420</v>
      </c>
      <c r="R107" s="654" t="s">
        <v>422</v>
      </c>
      <c r="S107" s="451"/>
      <c r="T107" s="451"/>
      <c r="U107" s="1958" t="s">
        <v>400</v>
      </c>
      <c r="V107" s="1958" t="s">
        <v>400</v>
      </c>
      <c r="W107" s="1958" t="s">
        <v>400</v>
      </c>
      <c r="X107" s="1958" t="s">
        <v>400</v>
      </c>
      <c r="Y107" s="1958" t="s">
        <v>400</v>
      </c>
      <c r="Z107" s="1953"/>
      <c r="AA107" s="1953"/>
      <c r="AB107" s="1953" t="s">
        <v>398</v>
      </c>
      <c r="AC107" s="1953" t="s">
        <v>398</v>
      </c>
      <c r="AD107" s="1928" t="s">
        <v>398</v>
      </c>
      <c r="AE107" s="1928" t="s">
        <v>398</v>
      </c>
      <c r="AF107" s="1928" t="s">
        <v>398</v>
      </c>
      <c r="AG107" s="1953"/>
      <c r="AH107" s="1953"/>
      <c r="AJ107" s="1840">
        <f t="shared" si="10"/>
        <v>160.33000000000001</v>
      </c>
      <c r="AK107" s="1840"/>
      <c r="AL107" s="1840">
        <f t="shared" si="11"/>
        <v>160.33000000000001</v>
      </c>
      <c r="AM107" s="1859">
        <f t="shared" si="9"/>
        <v>0</v>
      </c>
      <c r="AN107" s="1859">
        <f>IF(AM107="","",AM107+'August 2022'!AN108)</f>
        <v>0</v>
      </c>
    </row>
    <row r="108" spans="1:40" ht="22.35" customHeight="1" x14ac:dyDescent="0.25">
      <c r="A108" s="197"/>
      <c r="B108" s="652" t="s">
        <v>423</v>
      </c>
      <c r="C108" s="1927"/>
      <c r="D108" s="1927"/>
      <c r="E108" s="1927"/>
      <c r="F108" s="1927"/>
      <c r="G108" s="1927"/>
      <c r="H108" s="1927"/>
      <c r="I108" s="1927"/>
      <c r="J108" s="1927"/>
      <c r="K108" s="1927"/>
      <c r="L108" s="1927"/>
      <c r="M108" s="1927"/>
      <c r="N108" s="1927"/>
      <c r="O108" s="1927" t="s">
        <v>201</v>
      </c>
      <c r="P108" s="1927">
        <v>3</v>
      </c>
      <c r="Q108" s="1959" t="s">
        <v>398</v>
      </c>
      <c r="R108" s="1959" t="s">
        <v>420</v>
      </c>
      <c r="S108" s="1927"/>
      <c r="T108" s="1927"/>
      <c r="U108" s="1928" t="s">
        <v>420</v>
      </c>
      <c r="V108" s="1928" t="s">
        <v>420</v>
      </c>
      <c r="W108" s="1959" t="s">
        <v>420</v>
      </c>
      <c r="X108" s="1928" t="s">
        <v>420</v>
      </c>
      <c r="Y108" s="1927" t="s">
        <v>36</v>
      </c>
      <c r="Z108" s="1959">
        <v>54</v>
      </c>
      <c r="AA108" s="1927">
        <v>54</v>
      </c>
      <c r="AB108" s="1928" t="s">
        <v>36</v>
      </c>
      <c r="AC108" s="1928" t="s">
        <v>36</v>
      </c>
      <c r="AD108" s="1928" t="s">
        <v>36</v>
      </c>
      <c r="AE108" s="1928" t="s">
        <v>36</v>
      </c>
      <c r="AF108" s="1928" t="s">
        <v>36</v>
      </c>
      <c r="AG108" s="1953" t="s">
        <v>0</v>
      </c>
      <c r="AH108" s="1953" t="s">
        <v>0</v>
      </c>
      <c r="AJ108" s="1840">
        <f t="shared" si="10"/>
        <v>160.33000000000001</v>
      </c>
      <c r="AK108" s="1840"/>
      <c r="AL108" s="1840">
        <f t="shared" si="11"/>
        <v>160.33000000000001</v>
      </c>
      <c r="AM108" s="1859">
        <f t="shared" si="9"/>
        <v>0</v>
      </c>
      <c r="AN108" s="1859">
        <f>IF(AM108="","",AM108+'August 2022'!AN109)</f>
        <v>0</v>
      </c>
    </row>
    <row r="109" spans="1:40" ht="22.35" customHeight="1" thickBot="1" x14ac:dyDescent="0.3">
      <c r="A109" s="197"/>
      <c r="B109" s="353" t="s">
        <v>424</v>
      </c>
      <c r="C109" s="1927"/>
      <c r="D109" s="1927"/>
      <c r="E109" s="1927"/>
      <c r="F109" s="1927"/>
      <c r="G109" s="1927"/>
      <c r="H109" s="1927"/>
      <c r="I109" s="1927"/>
      <c r="J109" s="1927"/>
      <c r="K109" s="1927"/>
      <c r="L109" s="1927"/>
      <c r="M109" s="1927"/>
      <c r="N109" s="1927"/>
      <c r="O109" s="1927">
        <v>3</v>
      </c>
      <c r="P109" s="1927" t="s">
        <v>257</v>
      </c>
      <c r="Q109" s="1927" t="s">
        <v>257</v>
      </c>
      <c r="R109" s="1927" t="s">
        <v>257</v>
      </c>
      <c r="S109" s="1927"/>
      <c r="T109" s="1927"/>
      <c r="U109" s="1927" t="s">
        <v>36</v>
      </c>
      <c r="V109" s="1927" t="s">
        <v>36</v>
      </c>
      <c r="W109" s="1959" t="s">
        <v>398</v>
      </c>
      <c r="X109" s="1959" t="s">
        <v>398</v>
      </c>
      <c r="Y109" s="1927" t="s">
        <v>398</v>
      </c>
      <c r="Z109" s="1959" t="s">
        <v>409</v>
      </c>
      <c r="AA109" s="1959" t="s">
        <v>409</v>
      </c>
      <c r="AB109" s="1927" t="s">
        <v>400</v>
      </c>
      <c r="AC109" s="1927" t="s">
        <v>400</v>
      </c>
      <c r="AD109" s="1927" t="s">
        <v>36</v>
      </c>
      <c r="AE109" s="1927" t="s">
        <v>36</v>
      </c>
      <c r="AF109" s="1927" t="s">
        <v>36</v>
      </c>
      <c r="AG109" s="1927"/>
      <c r="AH109" s="1927"/>
      <c r="AJ109" s="1840">
        <f t="shared" si="10"/>
        <v>160.33000000000001</v>
      </c>
      <c r="AK109" s="1840"/>
      <c r="AL109" s="1840">
        <f t="shared" si="11"/>
        <v>160.33000000000001</v>
      </c>
      <c r="AM109" s="1859">
        <f t="shared" si="9"/>
        <v>0</v>
      </c>
      <c r="AN109" s="1859">
        <f>IF(AM109="","",AM109+'August 2022'!AN110)</f>
        <v>0</v>
      </c>
    </row>
    <row r="110" spans="1:40" ht="22.35" customHeight="1" thickBot="1" x14ac:dyDescent="0.3">
      <c r="A110" s="197"/>
      <c r="B110" s="652" t="s">
        <v>425</v>
      </c>
      <c r="C110" s="1925" t="s">
        <v>398</v>
      </c>
      <c r="D110" s="1925" t="s">
        <v>398</v>
      </c>
      <c r="E110" s="1926" t="s">
        <v>405</v>
      </c>
      <c r="F110" s="1927"/>
      <c r="G110" s="1925" t="s">
        <v>398</v>
      </c>
      <c r="H110" s="1925" t="s">
        <v>398</v>
      </c>
      <c r="I110" s="1925" t="s">
        <v>398</v>
      </c>
      <c r="J110" s="1926" t="s">
        <v>36</v>
      </c>
      <c r="K110" s="1925" t="s">
        <v>398</v>
      </c>
      <c r="L110" s="1928"/>
      <c r="M110" s="1928"/>
      <c r="N110" s="1928" t="s">
        <v>398</v>
      </c>
      <c r="O110" s="1928" t="s">
        <v>398</v>
      </c>
      <c r="P110" s="1928" t="s">
        <v>398</v>
      </c>
      <c r="Q110" s="1925" t="s">
        <v>398</v>
      </c>
      <c r="R110" s="1925" t="s">
        <v>398</v>
      </c>
      <c r="S110" s="368"/>
      <c r="T110" s="1925"/>
      <c r="U110" s="1928" t="s">
        <v>36</v>
      </c>
      <c r="V110" s="1865" t="s">
        <v>32</v>
      </c>
      <c r="W110" s="1928" t="s">
        <v>398</v>
      </c>
      <c r="X110" s="1928" t="s">
        <v>398</v>
      </c>
      <c r="Y110" s="1925" t="s">
        <v>36</v>
      </c>
      <c r="Z110" s="1928" t="s">
        <v>405</v>
      </c>
      <c r="AA110" s="1928" t="s">
        <v>0</v>
      </c>
      <c r="AB110" s="1929" t="s">
        <v>398</v>
      </c>
      <c r="AC110" s="1929" t="s">
        <v>32</v>
      </c>
      <c r="AD110" s="1928" t="s">
        <v>32</v>
      </c>
      <c r="AE110" s="1894" t="s">
        <v>32</v>
      </c>
      <c r="AF110" s="1928">
        <v>4</v>
      </c>
      <c r="AG110" s="1927"/>
      <c r="AH110" s="1927"/>
      <c r="AJ110" s="1840">
        <f t="shared" si="10"/>
        <v>160.33000000000001</v>
      </c>
      <c r="AK110" s="1840"/>
      <c r="AL110" s="1840">
        <f t="shared" si="11"/>
        <v>160.33000000000001</v>
      </c>
      <c r="AM110" s="1859">
        <f t="shared" si="9"/>
        <v>0</v>
      </c>
      <c r="AN110" s="1859">
        <f>IF(AM110="","",AM110+'August 2022'!AN111)</f>
        <v>0</v>
      </c>
    </row>
    <row r="111" spans="1:40" ht="22.35" customHeight="1" x14ac:dyDescent="0.2">
      <c r="B111" s="198"/>
      <c r="C111" s="218"/>
      <c r="D111" s="218"/>
      <c r="E111" s="218"/>
      <c r="F111" s="218"/>
      <c r="G111" s="218"/>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199"/>
      <c r="AH111" s="1"/>
    </row>
    <row r="112" spans="1:40" ht="22.35" customHeight="1" thickBot="1" x14ac:dyDescent="0.25">
      <c r="A112" s="169" t="s">
        <v>156</v>
      </c>
    </row>
    <row r="113" spans="1:35" ht="22.35" customHeight="1" thickBot="1" x14ac:dyDescent="0.25">
      <c r="B113" s="1960" t="s">
        <v>157</v>
      </c>
      <c r="C113" s="1961"/>
      <c r="D113" s="1883" t="s">
        <v>107</v>
      </c>
      <c r="E113" s="1883"/>
      <c r="F113" s="1962"/>
      <c r="G113" s="1961"/>
      <c r="H113" s="1883" t="s">
        <v>108</v>
      </c>
      <c r="I113" s="1883"/>
      <c r="J113" s="1962"/>
      <c r="K113" s="1961"/>
      <c r="L113" s="1883" t="s">
        <v>109</v>
      </c>
      <c r="M113" s="1883"/>
      <c r="N113" s="1962"/>
      <c r="O113" s="1961"/>
      <c r="P113" s="1883" t="s">
        <v>110</v>
      </c>
      <c r="Q113" s="1883"/>
      <c r="R113" s="1962"/>
      <c r="S113" s="1961"/>
      <c r="T113" s="1883" t="s">
        <v>111</v>
      </c>
      <c r="U113" s="1883"/>
      <c r="V113" s="1962"/>
      <c r="W113" s="1961"/>
      <c r="X113" s="1883" t="s">
        <v>112</v>
      </c>
      <c r="Y113" s="1883"/>
      <c r="Z113" s="1962"/>
      <c r="AA113" s="1961"/>
      <c r="AB113" s="1883" t="s">
        <v>113</v>
      </c>
      <c r="AC113" s="1883"/>
      <c r="AD113" s="1883"/>
      <c r="AE113" s="1883" t="s">
        <v>158</v>
      </c>
      <c r="AF113" s="1883"/>
      <c r="AG113" s="1883"/>
      <c r="AH113" s="1883"/>
      <c r="AI113" s="1963"/>
    </row>
    <row r="114" spans="1:35" ht="22.35" customHeight="1" x14ac:dyDescent="0.2">
      <c r="B114" s="1964" t="s">
        <v>159</v>
      </c>
      <c r="C114" s="1965" t="s">
        <v>160</v>
      </c>
      <c r="D114" s="1883"/>
      <c r="E114" s="1887"/>
      <c r="F114" s="1966"/>
      <c r="G114" s="1965" t="s">
        <v>160</v>
      </c>
      <c r="H114" s="1967"/>
      <c r="I114" s="1887"/>
      <c r="J114" s="1966"/>
      <c r="K114" s="1968" t="s">
        <v>160</v>
      </c>
      <c r="L114" s="1883"/>
      <c r="M114" s="1883"/>
      <c r="N114" s="1962"/>
      <c r="O114" s="1968" t="s">
        <v>161</v>
      </c>
      <c r="P114" s="1969"/>
      <c r="Q114" s="1887"/>
      <c r="R114" s="1966"/>
      <c r="S114" s="1965" t="s">
        <v>162</v>
      </c>
      <c r="T114" s="1887"/>
      <c r="U114" s="1887"/>
      <c r="V114" s="1887"/>
      <c r="W114" s="1970"/>
      <c r="X114" s="1971"/>
      <c r="Y114" s="1971"/>
      <c r="Z114" s="1972"/>
      <c r="AA114" s="1887"/>
      <c r="AB114" s="1887"/>
      <c r="AC114" s="1887"/>
      <c r="AD114" s="1887"/>
      <c r="AE114" s="1973">
        <v>37</v>
      </c>
      <c r="AF114" s="1883"/>
      <c r="AG114" s="1887"/>
      <c r="AH114" s="1887"/>
      <c r="AI114" s="1888"/>
    </row>
    <row r="115" spans="1:35" ht="22.35" customHeight="1" x14ac:dyDescent="0.2">
      <c r="B115" s="749" t="s">
        <v>163</v>
      </c>
      <c r="C115" s="1002" t="s">
        <v>164</v>
      </c>
      <c r="D115" s="425"/>
      <c r="E115" s="425"/>
      <c r="F115" s="431"/>
      <c r="G115" s="1002" t="s">
        <v>165</v>
      </c>
      <c r="H115" s="886"/>
      <c r="I115" s="425"/>
      <c r="J115" s="431"/>
      <c r="K115" s="1002" t="s">
        <v>166</v>
      </c>
      <c r="L115" s="425" t="s">
        <v>167</v>
      </c>
      <c r="M115" s="425"/>
      <c r="N115" s="431"/>
      <c r="O115" s="1002" t="s">
        <v>166</v>
      </c>
      <c r="P115" s="886" t="s">
        <v>167</v>
      </c>
      <c r="Q115" s="425"/>
      <c r="R115" s="431"/>
      <c r="S115" s="1002" t="s">
        <v>165</v>
      </c>
      <c r="T115" s="425" t="s">
        <v>168</v>
      </c>
      <c r="U115" s="425"/>
      <c r="V115" s="431"/>
      <c r="W115" s="8" t="s">
        <v>127</v>
      </c>
      <c r="X115" s="14" t="s">
        <v>169</v>
      </c>
      <c r="Y115" s="14"/>
      <c r="Z115" s="14"/>
      <c r="AA115" s="742" t="s">
        <v>127</v>
      </c>
      <c r="AB115" s="425" t="s">
        <v>169</v>
      </c>
      <c r="AC115" s="742"/>
      <c r="AD115" s="742"/>
      <c r="AE115" s="742">
        <v>68</v>
      </c>
      <c r="AF115" s="425"/>
      <c r="AG115" s="425"/>
      <c r="AH115" s="425"/>
      <c r="AI115" s="432"/>
    </row>
    <row r="116" spans="1:35" ht="22.35" customHeight="1" x14ac:dyDescent="0.2">
      <c r="B116" s="749" t="s">
        <v>170</v>
      </c>
      <c r="C116" s="698" t="s">
        <v>171</v>
      </c>
      <c r="D116" s="425"/>
      <c r="E116" s="425"/>
      <c r="F116" s="431"/>
      <c r="G116" s="886" t="s">
        <v>171</v>
      </c>
      <c r="H116" s="886"/>
      <c r="I116" s="425"/>
      <c r="J116" s="431"/>
      <c r="K116" s="886" t="s">
        <v>171</v>
      </c>
      <c r="L116" s="425"/>
      <c r="M116" s="425"/>
      <c r="N116" s="431"/>
      <c r="O116" s="886" t="s">
        <v>171</v>
      </c>
      <c r="P116" s="886"/>
      <c r="Q116" s="425"/>
      <c r="R116" s="431"/>
      <c r="S116" s="886" t="s">
        <v>171</v>
      </c>
      <c r="T116" s="425"/>
      <c r="U116" s="425"/>
      <c r="V116" s="431"/>
      <c r="W116" s="742"/>
      <c r="X116" s="425"/>
      <c r="Y116" s="425"/>
      <c r="Z116" s="431"/>
      <c r="AA116" s="742"/>
      <c r="AB116" s="425"/>
      <c r="AC116" s="425"/>
      <c r="AD116" s="425"/>
      <c r="AE116" s="742">
        <v>0</v>
      </c>
      <c r="AF116" s="425"/>
      <c r="AG116" s="425"/>
      <c r="AH116" s="425"/>
      <c r="AI116" s="432"/>
    </row>
    <row r="117" spans="1:35" ht="22.35" customHeight="1" thickBot="1" x14ac:dyDescent="0.25">
      <c r="B117" s="1003" t="s">
        <v>172</v>
      </c>
      <c r="C117" s="1004" t="s">
        <v>160</v>
      </c>
      <c r="D117" s="276"/>
      <c r="E117" s="734"/>
      <c r="F117" s="889"/>
      <c r="G117" s="1004" t="s">
        <v>160</v>
      </c>
      <c r="H117" s="278"/>
      <c r="I117" s="734"/>
      <c r="J117" s="889"/>
      <c r="K117" s="1004" t="s">
        <v>160</v>
      </c>
      <c r="L117" s="276"/>
      <c r="M117" s="734"/>
      <c r="N117" s="889"/>
      <c r="O117" s="1004" t="s">
        <v>161</v>
      </c>
      <c r="P117" s="891"/>
      <c r="Q117" s="734"/>
      <c r="R117" s="889"/>
      <c r="S117" s="1004" t="s">
        <v>162</v>
      </c>
      <c r="T117" s="734"/>
      <c r="U117" s="734"/>
      <c r="V117" s="734"/>
      <c r="W117" s="1005"/>
      <c r="X117" s="734"/>
      <c r="Y117" s="734"/>
      <c r="Z117" s="699"/>
      <c r="AA117" s="734"/>
      <c r="AB117" s="734"/>
      <c r="AC117" s="734"/>
      <c r="AD117" s="734"/>
      <c r="AE117" s="1006">
        <v>37</v>
      </c>
      <c r="AF117" s="734"/>
      <c r="AG117" s="734"/>
      <c r="AH117" s="734"/>
      <c r="AI117" s="894"/>
    </row>
    <row r="118" spans="1:35" ht="22.35" customHeight="1" x14ac:dyDescent="0.2">
      <c r="D118" s="14"/>
    </row>
    <row r="119" spans="1:35" ht="22.35" customHeight="1" thickBot="1" x14ac:dyDescent="0.25">
      <c r="A119" s="739"/>
      <c r="B119" s="739" t="s">
        <v>29</v>
      </c>
      <c r="C119" s="1834">
        <v>1</v>
      </c>
      <c r="D119" s="1834">
        <v>2</v>
      </c>
      <c r="E119" s="1835">
        <v>3</v>
      </c>
      <c r="F119" s="1835">
        <v>4</v>
      </c>
      <c r="G119" s="1834">
        <v>5</v>
      </c>
      <c r="H119" s="1834">
        <v>6</v>
      </c>
      <c r="I119" s="1834">
        <v>7</v>
      </c>
      <c r="J119" s="1834">
        <v>8</v>
      </c>
      <c r="K119" s="1834">
        <v>9</v>
      </c>
      <c r="L119" s="1835">
        <v>10</v>
      </c>
      <c r="M119" s="1835">
        <v>11</v>
      </c>
      <c r="N119" s="1834">
        <v>12</v>
      </c>
      <c r="O119" s="1834">
        <v>13</v>
      </c>
      <c r="P119" s="1834">
        <v>14</v>
      </c>
      <c r="Q119" s="1834">
        <v>15</v>
      </c>
      <c r="R119" s="1834">
        <v>16</v>
      </c>
      <c r="S119" s="1835">
        <v>17</v>
      </c>
      <c r="T119" s="1835">
        <v>18</v>
      </c>
      <c r="U119" s="1834">
        <v>19</v>
      </c>
      <c r="V119" s="1834">
        <v>20</v>
      </c>
      <c r="W119" s="1834">
        <v>21</v>
      </c>
      <c r="X119" s="1834">
        <v>22</v>
      </c>
      <c r="Y119" s="1834">
        <v>23</v>
      </c>
      <c r="Z119" s="1835">
        <v>24</v>
      </c>
      <c r="AA119" s="1835">
        <v>25</v>
      </c>
      <c r="AB119" s="1834">
        <v>26</v>
      </c>
      <c r="AC119" s="1834">
        <v>27</v>
      </c>
      <c r="AD119" s="1834">
        <v>28</v>
      </c>
      <c r="AE119" s="1834">
        <v>29</v>
      </c>
      <c r="AF119" s="1834">
        <v>30</v>
      </c>
      <c r="AG119" s="1836"/>
      <c r="AH119" s="173"/>
      <c r="AI119" s="174"/>
    </row>
    <row r="120" spans="1:35" ht="22.35" customHeight="1" x14ac:dyDescent="0.2">
      <c r="A120" s="1974">
        <v>1</v>
      </c>
      <c r="B120" s="1975" t="s">
        <v>173</v>
      </c>
      <c r="C120" s="1856" t="s">
        <v>174</v>
      </c>
      <c r="D120" s="1856" t="s">
        <v>174</v>
      </c>
      <c r="E120" s="1856"/>
      <c r="F120" s="1856"/>
      <c r="G120" s="1856" t="s">
        <v>174</v>
      </c>
      <c r="H120" s="1856" t="s">
        <v>174</v>
      </c>
      <c r="I120" s="1856" t="s">
        <v>174</v>
      </c>
      <c r="J120" s="1856" t="s">
        <v>174</v>
      </c>
      <c r="K120" s="1856" t="s">
        <v>174</v>
      </c>
      <c r="L120" s="1856"/>
      <c r="M120" s="1856"/>
      <c r="N120" s="1856" t="s">
        <v>128</v>
      </c>
      <c r="O120" s="1856" t="s">
        <v>128</v>
      </c>
      <c r="P120" s="1902" t="s">
        <v>128</v>
      </c>
      <c r="Q120" s="1856" t="s">
        <v>128</v>
      </c>
      <c r="R120" s="1856" t="s">
        <v>128</v>
      </c>
      <c r="S120" s="1856" t="s">
        <v>127</v>
      </c>
      <c r="T120" s="1856" t="s">
        <v>127</v>
      </c>
      <c r="U120" s="1856" t="s">
        <v>36</v>
      </c>
      <c r="V120" s="1856" t="s">
        <v>36</v>
      </c>
      <c r="W120" s="1856" t="s">
        <v>36</v>
      </c>
      <c r="X120" s="1976" t="s">
        <v>36</v>
      </c>
      <c r="Y120" s="1976" t="s">
        <v>36</v>
      </c>
      <c r="Z120" s="1976"/>
      <c r="AA120" s="1976"/>
      <c r="AB120" s="1856" t="s">
        <v>174</v>
      </c>
      <c r="AC120" s="1856" t="s">
        <v>174</v>
      </c>
      <c r="AD120" s="1856" t="s">
        <v>174</v>
      </c>
      <c r="AE120" s="1856" t="s">
        <v>174</v>
      </c>
      <c r="AF120" s="1856" t="s">
        <v>174</v>
      </c>
      <c r="AG120" s="1856"/>
      <c r="AH120" s="178"/>
      <c r="AI120" s="179"/>
    </row>
    <row r="121" spans="1:35" ht="22.35" customHeight="1" x14ac:dyDescent="0.2">
      <c r="A121" s="1010">
        <v>2</v>
      </c>
      <c r="B121" s="1011" t="s">
        <v>175</v>
      </c>
      <c r="C121" s="1012" t="s">
        <v>36</v>
      </c>
      <c r="D121" s="1012" t="s">
        <v>36</v>
      </c>
      <c r="E121" s="1012"/>
      <c r="F121" s="1012"/>
      <c r="G121" s="1012" t="s">
        <v>174</v>
      </c>
      <c r="H121" s="1012" t="s">
        <v>174</v>
      </c>
      <c r="I121" s="1012" t="s">
        <v>174</v>
      </c>
      <c r="J121" s="1012" t="s">
        <v>174</v>
      </c>
      <c r="K121" s="1012" t="s">
        <v>174</v>
      </c>
      <c r="L121" s="1245" t="s">
        <v>127</v>
      </c>
      <c r="M121" s="1977" t="s">
        <v>127</v>
      </c>
      <c r="N121" s="445">
        <v>79</v>
      </c>
      <c r="O121" s="445" t="s">
        <v>174</v>
      </c>
      <c r="P121" s="445">
        <v>79</v>
      </c>
      <c r="Q121" s="445">
        <v>79</v>
      </c>
      <c r="R121" s="445">
        <v>79</v>
      </c>
      <c r="S121" s="445"/>
      <c r="T121" s="445"/>
      <c r="U121" s="445" t="s">
        <v>128</v>
      </c>
      <c r="V121" s="445" t="s">
        <v>128</v>
      </c>
      <c r="W121" s="455" t="s">
        <v>128</v>
      </c>
      <c r="X121" s="445" t="s">
        <v>128</v>
      </c>
      <c r="Y121" s="445" t="s">
        <v>128</v>
      </c>
      <c r="Z121" s="445" t="s">
        <v>127</v>
      </c>
      <c r="AA121" s="1978" t="s">
        <v>127</v>
      </c>
      <c r="AB121" s="445" t="s">
        <v>36</v>
      </c>
      <c r="AC121" s="445" t="s">
        <v>36</v>
      </c>
      <c r="AD121" s="445" t="s">
        <v>36</v>
      </c>
      <c r="AE121" s="1012" t="s">
        <v>36</v>
      </c>
      <c r="AF121" s="1012" t="s">
        <v>36</v>
      </c>
      <c r="AG121" s="1012"/>
      <c r="AH121" s="178"/>
      <c r="AI121" s="179"/>
    </row>
    <row r="122" spans="1:35" ht="22.35" customHeight="1" thickBot="1" x14ac:dyDescent="0.25">
      <c r="A122" s="1010">
        <v>3</v>
      </c>
      <c r="B122" s="1011" t="s">
        <v>178</v>
      </c>
      <c r="C122" s="445" t="s">
        <v>128</v>
      </c>
      <c r="D122" s="445" t="s">
        <v>128</v>
      </c>
      <c r="E122" s="445" t="s">
        <v>127</v>
      </c>
      <c r="F122" s="916" t="s">
        <v>127</v>
      </c>
      <c r="G122" s="329" t="s">
        <v>36</v>
      </c>
      <c r="H122" s="445" t="s">
        <v>36</v>
      </c>
      <c r="I122" s="445" t="s">
        <v>36</v>
      </c>
      <c r="J122" s="445" t="s">
        <v>36</v>
      </c>
      <c r="K122" s="445" t="s">
        <v>36</v>
      </c>
      <c r="L122" s="445"/>
      <c r="M122" s="1012"/>
      <c r="N122" s="183" t="s">
        <v>174</v>
      </c>
      <c r="O122" s="445">
        <v>79</v>
      </c>
      <c r="P122" s="445" t="s">
        <v>134</v>
      </c>
      <c r="Q122" s="445" t="s">
        <v>134</v>
      </c>
      <c r="R122" s="445">
        <v>69</v>
      </c>
      <c r="S122" s="965" t="s">
        <v>0</v>
      </c>
      <c r="T122" s="1979" t="s">
        <v>0</v>
      </c>
      <c r="U122" s="445" t="s">
        <v>243</v>
      </c>
      <c r="V122" s="958" t="s">
        <v>257</v>
      </c>
      <c r="W122" s="958" t="s">
        <v>257</v>
      </c>
      <c r="X122" s="1222" t="s">
        <v>257</v>
      </c>
      <c r="Y122" s="1222" t="s">
        <v>174</v>
      </c>
      <c r="Z122" s="965" t="s">
        <v>0</v>
      </c>
      <c r="AA122" s="1979" t="s">
        <v>0</v>
      </c>
      <c r="AB122" s="813" t="s">
        <v>128</v>
      </c>
      <c r="AC122" s="445" t="s">
        <v>128</v>
      </c>
      <c r="AD122" s="445" t="s">
        <v>128</v>
      </c>
      <c r="AE122" s="445" t="s">
        <v>128</v>
      </c>
      <c r="AF122" s="445" t="s">
        <v>128</v>
      </c>
      <c r="AG122" s="445"/>
      <c r="AH122" s="178"/>
      <c r="AI122" s="179"/>
    </row>
    <row r="123" spans="1:35" ht="22.35" customHeight="1" thickBot="1" x14ac:dyDescent="0.25">
      <c r="A123" s="1016">
        <v>4</v>
      </c>
      <c r="B123" s="1017" t="s">
        <v>173</v>
      </c>
      <c r="C123" s="958" t="s">
        <v>174</v>
      </c>
      <c r="D123" s="958" t="s">
        <v>174</v>
      </c>
      <c r="E123" s="958" t="s">
        <v>0</v>
      </c>
      <c r="F123" s="958" t="s">
        <v>0</v>
      </c>
      <c r="G123" s="958" t="s">
        <v>128</v>
      </c>
      <c r="H123" s="958" t="s">
        <v>128</v>
      </c>
      <c r="I123" s="958" t="s">
        <v>128</v>
      </c>
      <c r="J123" s="958" t="s">
        <v>128</v>
      </c>
      <c r="K123" s="958" t="s">
        <v>128</v>
      </c>
      <c r="L123" s="958" t="s">
        <v>127</v>
      </c>
      <c r="M123" s="958" t="s">
        <v>127</v>
      </c>
      <c r="N123" s="958" t="s">
        <v>36</v>
      </c>
      <c r="O123" s="958" t="s">
        <v>36</v>
      </c>
      <c r="P123" s="958" t="s">
        <v>36</v>
      </c>
      <c r="Q123" s="958" t="s">
        <v>36</v>
      </c>
      <c r="R123" s="958" t="s">
        <v>36</v>
      </c>
      <c r="S123" s="958"/>
      <c r="T123" s="958"/>
      <c r="U123" s="958" t="s">
        <v>174</v>
      </c>
      <c r="V123" s="958" t="s">
        <v>174</v>
      </c>
      <c r="W123" s="958" t="s">
        <v>174</v>
      </c>
      <c r="X123" s="958" t="s">
        <v>174</v>
      </c>
      <c r="Y123" s="958" t="s">
        <v>174</v>
      </c>
      <c r="Z123" s="958"/>
      <c r="AA123" s="1834"/>
      <c r="AB123" s="1834" t="s">
        <v>174</v>
      </c>
      <c r="AC123" s="1834" t="s">
        <v>174</v>
      </c>
      <c r="AD123" s="1834" t="s">
        <v>174</v>
      </c>
      <c r="AE123" s="958" t="s">
        <v>174</v>
      </c>
      <c r="AF123" s="958" t="s">
        <v>174</v>
      </c>
      <c r="AG123" s="958" t="s">
        <v>0</v>
      </c>
      <c r="AH123" s="178"/>
      <c r="AI123" s="179"/>
    </row>
    <row r="124" spans="1:35" ht="22.35" customHeight="1" thickBot="1" x14ac:dyDescent="0.25">
      <c r="A124" s="200"/>
      <c r="B124" s="190"/>
      <c r="C124" s="201"/>
      <c r="D124" s="201"/>
      <c r="E124" s="201"/>
      <c r="F124" s="201"/>
      <c r="G124" s="201"/>
      <c r="H124" s="201"/>
      <c r="I124" s="201"/>
      <c r="J124" s="201"/>
      <c r="K124" s="201"/>
      <c r="L124" s="201"/>
      <c r="M124" s="201"/>
      <c r="N124" s="201"/>
      <c r="O124" s="201"/>
      <c r="P124" s="201"/>
      <c r="Q124" s="201"/>
      <c r="R124" s="201"/>
      <c r="S124" s="201"/>
      <c r="T124" s="201"/>
      <c r="U124" s="201"/>
      <c r="V124" s="201"/>
      <c r="W124" s="201"/>
      <c r="X124" s="201"/>
      <c r="Y124" s="201"/>
      <c r="Z124" s="201"/>
      <c r="AA124" s="201"/>
      <c r="AB124" s="201"/>
      <c r="AC124" s="201"/>
      <c r="AD124" s="201"/>
      <c r="AE124" s="201"/>
      <c r="AF124" s="201"/>
      <c r="AG124" s="202"/>
      <c r="AH124" s="203"/>
      <c r="AI124" s="179"/>
    </row>
    <row r="125" spans="1:35" ht="22.35" customHeight="1" x14ac:dyDescent="0.2">
      <c r="A125" s="72"/>
      <c r="B125" s="1980" t="s">
        <v>180</v>
      </c>
      <c r="C125" s="1973"/>
      <c r="D125" s="1981" t="s">
        <v>107</v>
      </c>
      <c r="E125" s="1982"/>
      <c r="F125" s="1973"/>
      <c r="G125" s="1983" t="s">
        <v>108</v>
      </c>
      <c r="H125" s="1966"/>
      <c r="I125" s="1984"/>
      <c r="J125" s="1983" t="s">
        <v>109</v>
      </c>
      <c r="K125" s="1985"/>
      <c r="L125" s="1984"/>
      <c r="M125" s="1986" t="s">
        <v>110</v>
      </c>
      <c r="N125" s="1985"/>
      <c r="O125" s="1984"/>
      <c r="P125" s="1983" t="s">
        <v>111</v>
      </c>
      <c r="Q125" s="1987"/>
      <c r="R125" s="1984"/>
      <c r="S125" s="1983" t="s">
        <v>112</v>
      </c>
      <c r="T125" s="1988"/>
      <c r="U125" s="1984"/>
      <c r="V125" s="1983" t="s">
        <v>113</v>
      </c>
      <c r="W125" s="1987"/>
      <c r="X125" s="1989" t="s">
        <v>158</v>
      </c>
      <c r="Y125" s="1990"/>
      <c r="Z125" s="1990"/>
      <c r="AA125" s="1991"/>
      <c r="AB125" s="1968" t="s">
        <v>114</v>
      </c>
      <c r="AC125" s="1992"/>
      <c r="AD125" s="1992"/>
      <c r="AE125" s="1993"/>
      <c r="AF125" s="1993"/>
      <c r="AG125" s="1994"/>
      <c r="AH125" s="203"/>
      <c r="AI125" s="179"/>
    </row>
    <row r="126" spans="1:35" ht="22.35" customHeight="1" x14ac:dyDescent="0.2">
      <c r="A126" s="72"/>
      <c r="B126" s="744" t="s">
        <v>181</v>
      </c>
      <c r="C126" s="1033" t="s">
        <v>182</v>
      </c>
      <c r="D126" s="427"/>
      <c r="E126" s="428"/>
      <c r="F126" s="1033" t="s">
        <v>182</v>
      </c>
      <c r="G126" s="427"/>
      <c r="H126" s="428"/>
      <c r="I126" s="1033" t="s">
        <v>182</v>
      </c>
      <c r="J126" s="427"/>
      <c r="K126" s="428"/>
      <c r="L126" s="1033" t="s">
        <v>182</v>
      </c>
      <c r="M126" s="427"/>
      <c r="N126" s="428"/>
      <c r="O126" s="1033" t="s">
        <v>183</v>
      </c>
      <c r="P126" s="427"/>
      <c r="Q126" s="428"/>
      <c r="R126" s="1033"/>
      <c r="S126" s="427"/>
      <c r="T126" s="428"/>
      <c r="U126" s="1033"/>
      <c r="V126" s="427"/>
      <c r="W126" s="428"/>
      <c r="X126" s="1033"/>
      <c r="Y126" s="1034"/>
      <c r="Z126" s="1034"/>
      <c r="AA126" s="1034"/>
      <c r="AB126" s="609"/>
      <c r="AC126" s="1034"/>
      <c r="AD126" s="1034"/>
      <c r="AE126" s="1034"/>
      <c r="AF126" s="1034"/>
      <c r="AG126" s="1035"/>
      <c r="AH126" s="203"/>
      <c r="AI126" s="179"/>
    </row>
    <row r="127" spans="1:35" ht="22.35" customHeight="1" x14ac:dyDescent="0.2">
      <c r="A127" s="72"/>
      <c r="B127" s="17"/>
      <c r="C127" s="72"/>
      <c r="D127" s="72"/>
      <c r="E127" s="72"/>
      <c r="F127" s="72"/>
      <c r="G127" s="72"/>
      <c r="H127" s="72"/>
      <c r="I127" s="72"/>
      <c r="J127" s="72"/>
      <c r="K127" s="72"/>
      <c r="L127" s="72"/>
      <c r="M127" s="72"/>
      <c r="N127" s="72"/>
      <c r="O127" s="72"/>
      <c r="P127" s="72"/>
      <c r="Q127" s="72"/>
      <c r="R127" s="72"/>
      <c r="S127" s="72"/>
      <c r="T127" s="72"/>
      <c r="U127" s="72"/>
      <c r="V127" s="72"/>
      <c r="W127" s="72"/>
      <c r="X127" s="72"/>
      <c r="Y127" s="72"/>
      <c r="Z127" s="72"/>
      <c r="AA127" s="72"/>
      <c r="AB127" s="72"/>
      <c r="AC127" s="72"/>
      <c r="AD127" s="72"/>
      <c r="AE127" s="72"/>
      <c r="AF127" s="72"/>
      <c r="AG127" s="72"/>
      <c r="AH127" s="203"/>
      <c r="AI127" s="179"/>
    </row>
    <row r="128" spans="1:35" ht="22.35" customHeight="1" thickBot="1" x14ac:dyDescent="0.25">
      <c r="A128" s="981" t="s">
        <v>28</v>
      </c>
      <c r="B128" s="748" t="s">
        <v>29</v>
      </c>
      <c r="C128" s="1834">
        <v>1</v>
      </c>
      <c r="D128" s="1834">
        <v>2</v>
      </c>
      <c r="E128" s="1835">
        <v>3</v>
      </c>
      <c r="F128" s="1835">
        <v>4</v>
      </c>
      <c r="G128" s="1834">
        <v>5</v>
      </c>
      <c r="H128" s="1834">
        <v>6</v>
      </c>
      <c r="I128" s="1834">
        <v>7</v>
      </c>
      <c r="J128" s="1834">
        <v>8</v>
      </c>
      <c r="K128" s="1834">
        <v>9</v>
      </c>
      <c r="L128" s="1835">
        <v>10</v>
      </c>
      <c r="M128" s="1835">
        <v>11</v>
      </c>
      <c r="N128" s="1834">
        <v>12</v>
      </c>
      <c r="O128" s="1834">
        <v>13</v>
      </c>
      <c r="P128" s="1834">
        <v>14</v>
      </c>
      <c r="Q128" s="1834">
        <v>15</v>
      </c>
      <c r="R128" s="1834">
        <v>16</v>
      </c>
      <c r="S128" s="1835">
        <v>17</v>
      </c>
      <c r="T128" s="1835">
        <v>18</v>
      </c>
      <c r="U128" s="1834">
        <v>19</v>
      </c>
      <c r="V128" s="1834">
        <v>20</v>
      </c>
      <c r="W128" s="1834">
        <v>21</v>
      </c>
      <c r="X128" s="1834">
        <v>22</v>
      </c>
      <c r="Y128" s="1834">
        <v>23</v>
      </c>
      <c r="Z128" s="1835">
        <v>24</v>
      </c>
      <c r="AA128" s="1835">
        <v>25</v>
      </c>
      <c r="AB128" s="1834">
        <v>26</v>
      </c>
      <c r="AC128" s="1834">
        <v>27</v>
      </c>
      <c r="AD128" s="1834">
        <v>28</v>
      </c>
      <c r="AE128" s="1834">
        <v>29</v>
      </c>
      <c r="AF128" s="1834">
        <v>30</v>
      </c>
      <c r="AG128" s="1836"/>
      <c r="AH128" s="203"/>
      <c r="AI128" s="179"/>
    </row>
    <row r="129" spans="1:35" ht="22.35" customHeight="1" x14ac:dyDescent="0.2">
      <c r="A129" s="1995">
        <v>8520</v>
      </c>
      <c r="B129" s="1996" t="s">
        <v>184</v>
      </c>
      <c r="C129" s="1856" t="s">
        <v>358</v>
      </c>
      <c r="D129" s="1856" t="s">
        <v>358</v>
      </c>
      <c r="E129" s="1856"/>
      <c r="F129" s="1856"/>
      <c r="G129" s="1856" t="s">
        <v>358</v>
      </c>
      <c r="H129" s="1856" t="s">
        <v>358</v>
      </c>
      <c r="I129" s="1856" t="s">
        <v>358</v>
      </c>
      <c r="J129" s="1856" t="s">
        <v>358</v>
      </c>
      <c r="K129" s="1856" t="s">
        <v>358</v>
      </c>
      <c r="L129" s="1647" t="s">
        <v>0</v>
      </c>
      <c r="M129" s="1856"/>
      <c r="N129" s="1856" t="s">
        <v>358</v>
      </c>
      <c r="O129" s="1856" t="s">
        <v>358</v>
      </c>
      <c r="P129" s="1856" t="s">
        <v>358</v>
      </c>
      <c r="Q129" s="1856" t="s">
        <v>358</v>
      </c>
      <c r="R129" s="1856" t="s">
        <v>358</v>
      </c>
      <c r="S129" s="1856"/>
      <c r="T129" s="1856"/>
      <c r="U129" s="1856" t="s">
        <v>358</v>
      </c>
      <c r="V129" s="1856" t="s">
        <v>358</v>
      </c>
      <c r="W129" s="1856" t="s">
        <v>358</v>
      </c>
      <c r="X129" s="1856" t="s">
        <v>358</v>
      </c>
      <c r="Y129" s="1856" t="s">
        <v>358</v>
      </c>
      <c r="Z129" s="1856"/>
      <c r="AA129" s="1856"/>
      <c r="AB129" s="1856" t="s">
        <v>358</v>
      </c>
      <c r="AC129" s="1856" t="s">
        <v>358</v>
      </c>
      <c r="AD129" s="1856" t="s">
        <v>358</v>
      </c>
      <c r="AE129" s="1856" t="s">
        <v>358</v>
      </c>
      <c r="AF129" s="1856" t="s">
        <v>358</v>
      </c>
      <c r="AG129" s="1920"/>
      <c r="AH129" s="203"/>
      <c r="AI129" s="179"/>
    </row>
    <row r="130" spans="1:35" ht="22.35" customHeight="1" x14ac:dyDescent="0.2">
      <c r="A130" s="209"/>
      <c r="B130" s="208"/>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c r="AA130" s="199"/>
      <c r="AB130" s="199"/>
      <c r="AC130" s="199"/>
      <c r="AD130" s="199"/>
      <c r="AE130" s="199"/>
      <c r="AF130" s="199"/>
      <c r="AG130" s="199"/>
      <c r="AH130" s="203"/>
      <c r="AI130" s="179"/>
    </row>
    <row r="131" spans="1:35" ht="22.35" customHeight="1" x14ac:dyDescent="0.2">
      <c r="AH131" s="107"/>
      <c r="AI131" s="107"/>
    </row>
    <row r="132" spans="1:35" ht="22.35" customHeight="1" thickBot="1" x14ac:dyDescent="0.25">
      <c r="A132" s="169" t="s">
        <v>185</v>
      </c>
      <c r="B132" s="170"/>
      <c r="C132" s="170"/>
      <c r="D132" s="171"/>
      <c r="E132" s="171"/>
      <c r="F132" s="171"/>
      <c r="G132" s="105"/>
      <c r="H132" s="171"/>
      <c r="I132" s="171"/>
      <c r="J132" s="171"/>
      <c r="K132" s="171"/>
      <c r="L132" s="171"/>
      <c r="M132" s="171"/>
      <c r="N132" s="171"/>
      <c r="O132" s="171"/>
      <c r="P132" s="171"/>
      <c r="Q132" s="171"/>
      <c r="R132" s="171"/>
      <c r="S132" s="171"/>
      <c r="T132" s="171"/>
      <c r="U132" s="171"/>
      <c r="V132" s="171"/>
      <c r="W132" s="171"/>
      <c r="X132" s="171"/>
      <c r="Y132" s="171"/>
      <c r="Z132" s="171"/>
      <c r="AA132" s="171"/>
      <c r="AB132" s="171"/>
      <c r="AC132" s="171"/>
      <c r="AD132" s="171"/>
      <c r="AE132" s="171"/>
      <c r="AF132" s="171"/>
      <c r="AG132" s="171"/>
      <c r="AH132" s="170"/>
      <c r="AI132" s="170"/>
    </row>
    <row r="133" spans="1:35" ht="22.35" customHeight="1" x14ac:dyDescent="0.2">
      <c r="A133" s="169"/>
      <c r="B133" s="1980" t="s">
        <v>186</v>
      </c>
      <c r="C133" s="1997"/>
      <c r="D133" s="1998" t="s">
        <v>107</v>
      </c>
      <c r="E133" s="1999"/>
      <c r="F133" s="2000"/>
      <c r="G133" s="1997"/>
      <c r="H133" s="1998" t="s">
        <v>108</v>
      </c>
      <c r="I133" s="1999"/>
      <c r="J133" s="2000"/>
      <c r="K133" s="1997"/>
      <c r="L133" s="1998" t="s">
        <v>109</v>
      </c>
      <c r="M133" s="1999"/>
      <c r="N133" s="2000"/>
      <c r="O133" s="1997"/>
      <c r="P133" s="1998" t="s">
        <v>110</v>
      </c>
      <c r="Q133" s="1999"/>
      <c r="R133" s="2000"/>
      <c r="S133" s="1997"/>
      <c r="T133" s="1998" t="s">
        <v>111</v>
      </c>
      <c r="U133" s="1999"/>
      <c r="V133" s="2000"/>
      <c r="W133" s="1997"/>
      <c r="X133" s="1998" t="s">
        <v>112</v>
      </c>
      <c r="Y133" s="1999"/>
      <c r="Z133" s="2000"/>
      <c r="AA133" s="1997"/>
      <c r="AB133" s="1998" t="s">
        <v>113</v>
      </c>
      <c r="AC133" s="1999"/>
      <c r="AD133" s="1999"/>
      <c r="AE133" s="2001" t="s">
        <v>114</v>
      </c>
      <c r="AF133" s="1999"/>
      <c r="AG133" s="1999"/>
      <c r="AH133" s="1999"/>
      <c r="AI133" s="2002"/>
    </row>
    <row r="134" spans="1:35" ht="22.35" customHeight="1" x14ac:dyDescent="0.2">
      <c r="A134" s="169"/>
      <c r="B134" s="737" t="s">
        <v>159</v>
      </c>
      <c r="C134" s="1046">
        <v>69</v>
      </c>
      <c r="D134" s="1047" t="s">
        <v>187</v>
      </c>
      <c r="E134" s="1047"/>
      <c r="F134" s="1048"/>
      <c r="G134" s="1046">
        <v>69</v>
      </c>
      <c r="H134" s="1047" t="s">
        <v>187</v>
      </c>
      <c r="I134" s="1047"/>
      <c r="J134" s="1048"/>
      <c r="K134" s="1046">
        <v>69</v>
      </c>
      <c r="L134" s="1047" t="s">
        <v>187</v>
      </c>
      <c r="M134" s="1047"/>
      <c r="N134" s="1048"/>
      <c r="O134" s="1046">
        <v>69</v>
      </c>
      <c r="P134" s="1047" t="s">
        <v>187</v>
      </c>
      <c r="Q134" s="1047"/>
      <c r="R134" s="1048"/>
      <c r="S134" s="1046">
        <v>69</v>
      </c>
      <c r="T134" s="1047" t="s">
        <v>187</v>
      </c>
      <c r="U134" s="1047"/>
      <c r="V134" s="1048"/>
      <c r="W134" s="1046"/>
      <c r="X134" s="1049"/>
      <c r="Y134" s="1049"/>
      <c r="Z134" s="1050"/>
      <c r="AA134" s="1046"/>
      <c r="AB134" s="1047"/>
      <c r="AC134" s="1047"/>
      <c r="AD134" s="945"/>
      <c r="AE134" s="736">
        <v>35</v>
      </c>
      <c r="AF134" s="1047"/>
      <c r="AG134" s="1047"/>
      <c r="AH134" s="945"/>
      <c r="AI134" s="1051"/>
    </row>
    <row r="135" spans="1:35" ht="22.35" customHeight="1" x14ac:dyDescent="0.2">
      <c r="A135" s="169"/>
      <c r="B135" s="737" t="s">
        <v>163</v>
      </c>
      <c r="C135" s="1046">
        <v>79</v>
      </c>
      <c r="D135" s="1047" t="s">
        <v>188</v>
      </c>
      <c r="E135" s="1047"/>
      <c r="F135" s="1048"/>
      <c r="G135" s="1046">
        <v>79</v>
      </c>
      <c r="H135" s="1047" t="s">
        <v>188</v>
      </c>
      <c r="I135" s="1047"/>
      <c r="J135" s="1048"/>
      <c r="K135" s="1046">
        <v>79</v>
      </c>
      <c r="L135" s="1047" t="s">
        <v>188</v>
      </c>
      <c r="M135" s="1047"/>
      <c r="N135" s="1048"/>
      <c r="O135" s="1046">
        <v>79</v>
      </c>
      <c r="P135" s="1047" t="s">
        <v>188</v>
      </c>
      <c r="Q135" s="1047"/>
      <c r="R135" s="1048"/>
      <c r="S135" s="1046">
        <v>79</v>
      </c>
      <c r="T135" s="1047" t="s">
        <v>188</v>
      </c>
      <c r="U135" s="1047"/>
      <c r="V135" s="1048"/>
      <c r="W135" s="1046"/>
      <c r="X135" s="1047"/>
      <c r="Y135" s="1047"/>
      <c r="Z135" s="1048"/>
      <c r="AA135" s="1047"/>
      <c r="AB135" s="1047"/>
      <c r="AC135" s="1047"/>
      <c r="AD135" s="945"/>
      <c r="AE135" s="736">
        <v>40</v>
      </c>
      <c r="AF135" s="1047"/>
      <c r="AG135" s="1047"/>
      <c r="AH135" s="945"/>
      <c r="AI135" s="1051"/>
    </row>
    <row r="136" spans="1:35" ht="22.35" customHeight="1" x14ac:dyDescent="0.2">
      <c r="A136" s="169"/>
      <c r="B136" s="737" t="s">
        <v>170</v>
      </c>
      <c r="C136" s="1046">
        <v>89</v>
      </c>
      <c r="D136" s="1047" t="s">
        <v>189</v>
      </c>
      <c r="E136" s="1047"/>
      <c r="F136" s="1048"/>
      <c r="G136" s="1046">
        <v>89</v>
      </c>
      <c r="H136" s="1047" t="s">
        <v>189</v>
      </c>
      <c r="I136" s="1047"/>
      <c r="J136" s="1048"/>
      <c r="K136" s="1046">
        <v>89</v>
      </c>
      <c r="L136" s="1047" t="s">
        <v>189</v>
      </c>
      <c r="M136" s="1047"/>
      <c r="N136" s="1048"/>
      <c r="O136" s="1046">
        <v>89</v>
      </c>
      <c r="P136" s="1047" t="s">
        <v>189</v>
      </c>
      <c r="Q136" s="1047"/>
      <c r="R136" s="1048"/>
      <c r="S136" s="1046">
        <v>89</v>
      </c>
      <c r="T136" s="1047" t="s">
        <v>190</v>
      </c>
      <c r="U136" s="1047"/>
      <c r="V136" s="1048"/>
      <c r="W136" s="1052"/>
      <c r="X136" s="1725" t="s">
        <v>191</v>
      </c>
      <c r="Y136" s="1725"/>
      <c r="Z136" s="1726"/>
      <c r="AA136" s="1052"/>
      <c r="AB136" s="1725"/>
      <c r="AC136" s="1725"/>
      <c r="AD136" s="1668"/>
      <c r="AE136" s="736">
        <v>44</v>
      </c>
      <c r="AF136" s="1047"/>
      <c r="AG136" s="1047"/>
      <c r="AH136" s="945"/>
      <c r="AI136" s="1051"/>
    </row>
    <row r="137" spans="1:35" ht="22.35" customHeight="1" x14ac:dyDescent="0.2">
      <c r="A137" s="169"/>
      <c r="B137" s="38" t="s">
        <v>172</v>
      </c>
      <c r="C137" s="1052">
        <v>99</v>
      </c>
      <c r="D137" s="1725" t="s">
        <v>192</v>
      </c>
      <c r="E137" s="1725"/>
      <c r="F137" s="1726"/>
      <c r="G137" s="1052">
        <v>99</v>
      </c>
      <c r="H137" s="1725" t="s">
        <v>192</v>
      </c>
      <c r="I137" s="1725"/>
      <c r="J137" s="1726"/>
      <c r="K137" s="1052">
        <v>99</v>
      </c>
      <c r="L137" s="1725" t="s">
        <v>192</v>
      </c>
      <c r="M137" s="1725"/>
      <c r="N137" s="1726"/>
      <c r="O137" s="1052">
        <v>99</v>
      </c>
      <c r="P137" s="1725" t="s">
        <v>192</v>
      </c>
      <c r="Q137" s="1725"/>
      <c r="R137" s="1726"/>
      <c r="S137" s="1052">
        <v>99</v>
      </c>
      <c r="T137" s="1725" t="s">
        <v>171</v>
      </c>
      <c r="U137" s="1725"/>
      <c r="V137" s="1668"/>
      <c r="W137" s="946"/>
      <c r="X137" s="1668"/>
      <c r="Y137" s="1725"/>
      <c r="Z137" s="1726"/>
      <c r="AA137" s="946"/>
      <c r="AB137" s="1668"/>
      <c r="AC137" s="1725"/>
      <c r="AD137" s="1726"/>
      <c r="AE137" s="1054">
        <v>28</v>
      </c>
      <c r="AF137" s="1725"/>
      <c r="AG137" s="1725"/>
      <c r="AH137" s="1668"/>
      <c r="AI137" s="1727"/>
    </row>
    <row r="138" spans="1:35" ht="22.35" customHeight="1" thickBot="1" x14ac:dyDescent="0.25">
      <c r="A138" s="169"/>
      <c r="B138" s="1056" t="s">
        <v>193</v>
      </c>
      <c r="C138" s="1057" t="s">
        <v>58</v>
      </c>
      <c r="D138" s="1058" t="s">
        <v>194</v>
      </c>
      <c r="E138" s="745"/>
      <c r="F138" s="889"/>
      <c r="G138" s="1057" t="s">
        <v>58</v>
      </c>
      <c r="H138" s="1058" t="s">
        <v>194</v>
      </c>
      <c r="I138" s="734"/>
      <c r="J138" s="745"/>
      <c r="K138" s="1057" t="s">
        <v>58</v>
      </c>
      <c r="L138" s="1058" t="s">
        <v>194</v>
      </c>
      <c r="M138" s="745"/>
      <c r="N138" s="1059"/>
      <c r="O138" s="1057" t="s">
        <v>58</v>
      </c>
      <c r="P138" s="1058" t="s">
        <v>194</v>
      </c>
      <c r="Q138" s="745"/>
      <c r="R138" s="1058"/>
      <c r="S138" s="1057" t="s">
        <v>58</v>
      </c>
      <c r="T138" s="891" t="s">
        <v>195</v>
      </c>
      <c r="U138" s="1058"/>
      <c r="V138" s="1059"/>
      <c r="W138" s="745"/>
      <c r="X138" s="1058"/>
      <c r="Y138" s="1058"/>
      <c r="Z138" s="1058"/>
      <c r="AA138" s="1060"/>
      <c r="AB138" s="1061"/>
      <c r="AC138" s="1058"/>
      <c r="AD138" s="1062"/>
      <c r="AE138" s="1058"/>
      <c r="AF138" s="1058"/>
      <c r="AG138" s="1058"/>
      <c r="AH138" s="1063"/>
      <c r="AI138" s="1064"/>
    </row>
    <row r="139" spans="1:35" ht="22.35" customHeight="1" x14ac:dyDescent="0.2">
      <c r="A139" s="108"/>
      <c r="B139" s="169"/>
      <c r="C139" s="171"/>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1"/>
      <c r="AB139" s="171"/>
      <c r="AC139" s="171"/>
      <c r="AD139" s="171"/>
      <c r="AE139" s="171"/>
      <c r="AF139" s="171"/>
      <c r="AG139" s="171"/>
      <c r="AH139" s="170"/>
      <c r="AI139" s="170"/>
    </row>
    <row r="140" spans="1:35" ht="22.35" customHeight="1" thickBot="1" x14ac:dyDescent="0.25">
      <c r="A140" s="981"/>
      <c r="B140" s="748" t="s">
        <v>29</v>
      </c>
      <c r="C140" s="1834">
        <v>1</v>
      </c>
      <c r="D140" s="1834">
        <v>2</v>
      </c>
      <c r="E140" s="1835">
        <v>3</v>
      </c>
      <c r="F140" s="1835">
        <v>4</v>
      </c>
      <c r="G140" s="1834">
        <v>5</v>
      </c>
      <c r="H140" s="1834">
        <v>6</v>
      </c>
      <c r="I140" s="1834">
        <v>7</v>
      </c>
      <c r="J140" s="1834">
        <v>8</v>
      </c>
      <c r="K140" s="1834">
        <v>9</v>
      </c>
      <c r="L140" s="1835">
        <v>10</v>
      </c>
      <c r="M140" s="1835">
        <v>11</v>
      </c>
      <c r="N140" s="1834">
        <v>12</v>
      </c>
      <c r="O140" s="1834">
        <v>13</v>
      </c>
      <c r="P140" s="1834">
        <v>14</v>
      </c>
      <c r="Q140" s="1834">
        <v>15</v>
      </c>
      <c r="R140" s="1834">
        <v>16</v>
      </c>
      <c r="S140" s="1835">
        <v>17</v>
      </c>
      <c r="T140" s="1835">
        <v>18</v>
      </c>
      <c r="U140" s="1834">
        <v>19</v>
      </c>
      <c r="V140" s="1834">
        <v>20</v>
      </c>
      <c r="W140" s="1834">
        <v>21</v>
      </c>
      <c r="X140" s="1834">
        <v>22</v>
      </c>
      <c r="Y140" s="1834">
        <v>23</v>
      </c>
      <c r="Z140" s="1835">
        <v>24</v>
      </c>
      <c r="AA140" s="1835">
        <v>25</v>
      </c>
      <c r="AB140" s="1834">
        <v>26</v>
      </c>
      <c r="AC140" s="1834">
        <v>27</v>
      </c>
      <c r="AD140" s="1834">
        <v>28</v>
      </c>
      <c r="AE140" s="1834">
        <v>29</v>
      </c>
      <c r="AF140" s="1834">
        <v>30</v>
      </c>
      <c r="AG140" s="1836"/>
      <c r="AH140" s="173"/>
      <c r="AI140" s="174"/>
    </row>
    <row r="141" spans="1:35" ht="22.35" customHeight="1" x14ac:dyDescent="0.2">
      <c r="A141" s="1974">
        <v>1</v>
      </c>
      <c r="B141" s="2003" t="s">
        <v>196</v>
      </c>
      <c r="C141" s="2004">
        <v>79</v>
      </c>
      <c r="D141" s="2004">
        <v>79</v>
      </c>
      <c r="E141" s="2005"/>
      <c r="F141" s="2005"/>
      <c r="G141" s="2006">
        <v>89</v>
      </c>
      <c r="H141" s="1894">
        <v>89</v>
      </c>
      <c r="I141" s="1899">
        <v>89</v>
      </c>
      <c r="J141" s="1899">
        <v>89</v>
      </c>
      <c r="K141" s="1863">
        <v>89</v>
      </c>
      <c r="L141" s="1863" t="s">
        <v>426</v>
      </c>
      <c r="M141" s="1856"/>
      <c r="N141" s="1894">
        <v>99</v>
      </c>
      <c r="O141" s="1894">
        <v>99</v>
      </c>
      <c r="P141" s="1894">
        <v>99</v>
      </c>
      <c r="Q141" s="1894">
        <v>99</v>
      </c>
      <c r="R141" s="1894" t="s">
        <v>36</v>
      </c>
      <c r="S141" s="1856"/>
      <c r="T141" s="1856"/>
      <c r="U141" s="1894" t="s">
        <v>58</v>
      </c>
      <c r="V141" s="1894" t="s">
        <v>58</v>
      </c>
      <c r="W141" s="1894" t="s">
        <v>58</v>
      </c>
      <c r="X141" s="1894" t="s">
        <v>58</v>
      </c>
      <c r="Y141" s="1894" t="s">
        <v>58</v>
      </c>
      <c r="Z141" s="1894"/>
      <c r="AA141" s="1899"/>
      <c r="AB141" s="1894">
        <v>69</v>
      </c>
      <c r="AC141" s="1894">
        <v>69</v>
      </c>
      <c r="AD141" s="1894">
        <v>69</v>
      </c>
      <c r="AE141" s="1894">
        <v>69</v>
      </c>
      <c r="AF141" s="1899">
        <v>69</v>
      </c>
      <c r="AG141" s="1900"/>
      <c r="AH141" s="191"/>
      <c r="AI141" s="107"/>
    </row>
    <row r="142" spans="1:35" ht="22.35" customHeight="1" x14ac:dyDescent="0.2">
      <c r="A142" s="1010">
        <v>2</v>
      </c>
      <c r="B142" s="1068" t="s">
        <v>197</v>
      </c>
      <c r="C142" s="447">
        <v>89</v>
      </c>
      <c r="D142" s="447">
        <v>89</v>
      </c>
      <c r="E142" s="447">
        <v>89</v>
      </c>
      <c r="F142" s="447"/>
      <c r="G142" s="447">
        <v>99</v>
      </c>
      <c r="H142" s="868">
        <v>99</v>
      </c>
      <c r="I142" s="868">
        <v>99</v>
      </c>
      <c r="J142" s="868">
        <v>99</v>
      </c>
      <c r="K142" s="868" t="s">
        <v>36</v>
      </c>
      <c r="L142" s="445"/>
      <c r="M142" s="445"/>
      <c r="N142" s="868" t="s">
        <v>58</v>
      </c>
      <c r="O142" s="868" t="s">
        <v>58</v>
      </c>
      <c r="P142" s="868" t="s">
        <v>58</v>
      </c>
      <c r="Q142" s="868" t="s">
        <v>58</v>
      </c>
      <c r="R142" s="458" t="s">
        <v>58</v>
      </c>
      <c r="S142" s="868"/>
      <c r="T142" s="445"/>
      <c r="U142" s="868">
        <v>69</v>
      </c>
      <c r="V142" s="868">
        <v>69</v>
      </c>
      <c r="W142" s="868">
        <v>69</v>
      </c>
      <c r="X142" s="868">
        <v>69</v>
      </c>
      <c r="Y142" s="868">
        <v>69</v>
      </c>
      <c r="Z142" s="868"/>
      <c r="AA142" s="445"/>
      <c r="AB142" s="458">
        <v>79</v>
      </c>
      <c r="AC142" s="455">
        <v>79</v>
      </c>
      <c r="AD142" s="455">
        <v>79</v>
      </c>
      <c r="AE142" s="455">
        <v>79</v>
      </c>
      <c r="AF142" s="455">
        <v>79</v>
      </c>
      <c r="AG142" s="1070"/>
      <c r="AH142" s="192"/>
      <c r="AI142" s="168"/>
    </row>
    <row r="143" spans="1:35" ht="22.35" customHeight="1" x14ac:dyDescent="0.2">
      <c r="A143" s="1010">
        <v>3</v>
      </c>
      <c r="B143" s="1068" t="s">
        <v>360</v>
      </c>
      <c r="C143" s="456">
        <v>99</v>
      </c>
      <c r="D143" s="456" t="s">
        <v>36</v>
      </c>
      <c r="E143" s="456"/>
      <c r="F143" s="456"/>
      <c r="G143" s="1072" t="s">
        <v>58</v>
      </c>
      <c r="H143" s="1072" t="s">
        <v>58</v>
      </c>
      <c r="I143" s="1072" t="s">
        <v>58</v>
      </c>
      <c r="J143" s="1072" t="s">
        <v>58</v>
      </c>
      <c r="K143" s="1072" t="s">
        <v>58</v>
      </c>
      <c r="L143" s="1072"/>
      <c r="M143" s="1072"/>
      <c r="N143" s="1072">
        <v>69</v>
      </c>
      <c r="O143" s="820">
        <v>69</v>
      </c>
      <c r="P143" s="820" t="s">
        <v>427</v>
      </c>
      <c r="Q143" s="1015">
        <v>69</v>
      </c>
      <c r="R143" s="1015">
        <v>69</v>
      </c>
      <c r="S143" s="1015"/>
      <c r="T143" s="1015"/>
      <c r="U143" s="455">
        <v>79</v>
      </c>
      <c r="V143" s="1072">
        <v>79</v>
      </c>
      <c r="W143" s="1072">
        <v>79</v>
      </c>
      <c r="X143" s="1072">
        <v>79</v>
      </c>
      <c r="Y143" s="1072">
        <v>79</v>
      </c>
      <c r="Z143" s="1072"/>
      <c r="AA143" s="1072"/>
      <c r="AB143" s="1072">
        <v>89</v>
      </c>
      <c r="AC143" s="1072">
        <v>89</v>
      </c>
      <c r="AD143" s="1072">
        <v>89</v>
      </c>
      <c r="AE143" s="820">
        <v>89</v>
      </c>
      <c r="AF143" s="820">
        <v>89</v>
      </c>
      <c r="AG143" s="1299"/>
      <c r="AH143" s="191"/>
      <c r="AI143" s="107"/>
    </row>
    <row r="144" spans="1:35" ht="22.35" customHeight="1" x14ac:dyDescent="0.2">
      <c r="A144" s="1010">
        <v>4</v>
      </c>
      <c r="B144" s="394" t="s">
        <v>199</v>
      </c>
      <c r="C144" s="445" t="s">
        <v>201</v>
      </c>
      <c r="D144" s="445" t="s">
        <v>201</v>
      </c>
      <c r="E144" s="445"/>
      <c r="F144" s="1274"/>
      <c r="G144" s="456">
        <v>69</v>
      </c>
      <c r="H144" s="456">
        <v>69</v>
      </c>
      <c r="I144" s="456">
        <v>69</v>
      </c>
      <c r="J144" s="456">
        <v>69</v>
      </c>
      <c r="K144" s="456">
        <v>69</v>
      </c>
      <c r="L144" s="456"/>
      <c r="M144" s="456"/>
      <c r="N144" s="456">
        <v>79</v>
      </c>
      <c r="O144" s="456">
        <v>79</v>
      </c>
      <c r="P144" s="456">
        <v>79</v>
      </c>
      <c r="Q144" s="456">
        <v>79</v>
      </c>
      <c r="R144" s="456">
        <v>79</v>
      </c>
      <c r="S144" s="456"/>
      <c r="T144" s="456"/>
      <c r="U144" s="456">
        <v>89</v>
      </c>
      <c r="V144" s="456">
        <v>89</v>
      </c>
      <c r="W144" s="456">
        <v>89</v>
      </c>
      <c r="X144" s="456">
        <v>89</v>
      </c>
      <c r="Y144" s="456">
        <v>89</v>
      </c>
      <c r="Z144" s="456">
        <v>89</v>
      </c>
      <c r="AA144" s="456"/>
      <c r="AB144" s="445">
        <v>99</v>
      </c>
      <c r="AC144" s="445">
        <v>99</v>
      </c>
      <c r="AD144" s="445">
        <v>99</v>
      </c>
      <c r="AE144" s="445">
        <v>99</v>
      </c>
      <c r="AF144" s="985" t="s">
        <v>36</v>
      </c>
      <c r="AG144" s="1070"/>
      <c r="AH144" s="191"/>
      <c r="AI144" s="107"/>
    </row>
    <row r="145" spans="1:35" ht="22.35" customHeight="1" thickBot="1" x14ac:dyDescent="0.25">
      <c r="A145" s="1016">
        <v>5</v>
      </c>
      <c r="B145" s="1076" t="s">
        <v>202</v>
      </c>
      <c r="C145" s="987">
        <v>69</v>
      </c>
      <c r="D145" s="920">
        <v>69</v>
      </c>
      <c r="E145" s="2007" t="s">
        <v>0</v>
      </c>
      <c r="F145" s="2008" t="s">
        <v>0</v>
      </c>
      <c r="G145" s="2009">
        <v>79</v>
      </c>
      <c r="H145" s="908">
        <v>79</v>
      </c>
      <c r="I145" s="908">
        <v>79</v>
      </c>
      <c r="J145" s="908">
        <v>79</v>
      </c>
      <c r="K145" s="908">
        <v>79</v>
      </c>
      <c r="L145" s="1834"/>
      <c r="M145" s="1834"/>
      <c r="N145" s="987">
        <v>89</v>
      </c>
      <c r="O145" s="987">
        <v>89</v>
      </c>
      <c r="P145" s="987">
        <v>89</v>
      </c>
      <c r="Q145" s="987">
        <v>89</v>
      </c>
      <c r="R145" s="987">
        <v>89</v>
      </c>
      <c r="S145" s="1834">
        <v>89</v>
      </c>
      <c r="T145" s="1272"/>
      <c r="U145" s="987">
        <v>99</v>
      </c>
      <c r="V145" s="987">
        <v>99</v>
      </c>
      <c r="W145" s="987">
        <v>99</v>
      </c>
      <c r="X145" s="987">
        <v>99</v>
      </c>
      <c r="Y145" s="987" t="s">
        <v>36</v>
      </c>
      <c r="Z145" s="920" t="s">
        <v>154</v>
      </c>
      <c r="AA145" s="1865"/>
      <c r="AB145" s="1077" t="s">
        <v>58</v>
      </c>
      <c r="AC145" s="1077" t="s">
        <v>58</v>
      </c>
      <c r="AD145" s="1077" t="s">
        <v>58</v>
      </c>
      <c r="AE145" s="987" t="s">
        <v>58</v>
      </c>
      <c r="AF145" s="987" t="s">
        <v>58</v>
      </c>
      <c r="AG145" s="1079"/>
      <c r="AH145" s="191"/>
      <c r="AI145" s="107"/>
    </row>
    <row r="146" spans="1:35" ht="22.35" customHeight="1" x14ac:dyDescent="0.2">
      <c r="A146" s="200"/>
      <c r="B146" s="217"/>
      <c r="C146" s="218"/>
      <c r="D146" s="218"/>
      <c r="E146" s="218"/>
      <c r="F146" s="199"/>
      <c r="G146" s="216"/>
      <c r="H146" s="216"/>
      <c r="I146" s="216"/>
      <c r="J146" s="216"/>
      <c r="K146" s="216"/>
      <c r="L146" s="199"/>
      <c r="M146" s="199"/>
      <c r="N146" s="218"/>
      <c r="O146" s="218"/>
      <c r="P146" s="218"/>
      <c r="Q146" s="218"/>
      <c r="R146" s="218"/>
      <c r="S146" s="199"/>
      <c r="T146" s="219"/>
      <c r="U146" s="218"/>
      <c r="V146" s="218"/>
      <c r="W146" s="218"/>
      <c r="X146" s="218"/>
      <c r="Y146" s="218"/>
      <c r="Z146" s="220"/>
      <c r="AA146" s="220"/>
      <c r="AB146" s="218"/>
      <c r="AC146" s="218"/>
      <c r="AD146" s="218"/>
      <c r="AE146" s="218"/>
      <c r="AF146" s="218"/>
      <c r="AG146" s="220"/>
      <c r="AH146" s="191"/>
      <c r="AI146" s="107"/>
    </row>
    <row r="147" spans="1:35" ht="22.35" customHeight="1" x14ac:dyDescent="0.2">
      <c r="A147" s="109"/>
      <c r="B147" s="110"/>
      <c r="C147" s="106"/>
      <c r="D147" s="106"/>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c r="AD147" s="106"/>
      <c r="AE147" s="106"/>
      <c r="AF147" s="106"/>
      <c r="AG147" s="106"/>
      <c r="AH147" s="107"/>
      <c r="AI147" s="107"/>
    </row>
    <row r="148" spans="1:35" ht="22.35" customHeight="1" thickBot="1" x14ac:dyDescent="0.25">
      <c r="A148" s="169" t="s">
        <v>204</v>
      </c>
      <c r="B148" s="170"/>
      <c r="C148" s="170"/>
      <c r="D148" s="171"/>
      <c r="E148" s="171"/>
      <c r="F148" s="171"/>
      <c r="G148" s="105"/>
      <c r="H148" s="171"/>
      <c r="I148" s="171"/>
      <c r="J148" s="171"/>
      <c r="K148" s="171"/>
      <c r="L148" s="171"/>
      <c r="M148" s="171"/>
      <c r="N148" s="171"/>
      <c r="O148" s="171"/>
      <c r="P148" s="171"/>
      <c r="Q148" s="171"/>
      <c r="R148" s="171"/>
      <c r="S148" s="171"/>
      <c r="T148" s="171"/>
      <c r="U148" s="171"/>
      <c r="V148" s="171"/>
      <c r="W148" s="171"/>
      <c r="X148" s="171"/>
      <c r="Y148" s="171"/>
      <c r="Z148" s="171"/>
      <c r="AA148" s="171"/>
      <c r="AB148" s="171"/>
      <c r="AC148" s="171"/>
      <c r="AD148" s="171"/>
      <c r="AE148" s="171"/>
      <c r="AF148" s="171"/>
      <c r="AG148" s="171"/>
      <c r="AH148" s="170"/>
      <c r="AI148" s="170"/>
    </row>
    <row r="149" spans="1:35" ht="22.35" customHeight="1" x14ac:dyDescent="0.2">
      <c r="A149" s="169"/>
      <c r="B149" s="1980" t="s">
        <v>186</v>
      </c>
      <c r="C149" s="1997"/>
      <c r="D149" s="1998" t="s">
        <v>107</v>
      </c>
      <c r="E149" s="1999"/>
      <c r="F149" s="2000"/>
      <c r="G149" s="1997"/>
      <c r="H149" s="1998" t="s">
        <v>108</v>
      </c>
      <c r="I149" s="1999"/>
      <c r="J149" s="2000"/>
      <c r="K149" s="1997"/>
      <c r="L149" s="1998" t="s">
        <v>109</v>
      </c>
      <c r="M149" s="1999"/>
      <c r="N149" s="2000"/>
      <c r="O149" s="1997"/>
      <c r="P149" s="1998" t="s">
        <v>110</v>
      </c>
      <c r="Q149" s="1999"/>
      <c r="R149" s="2000"/>
      <c r="S149" s="1997"/>
      <c r="T149" s="1998" t="s">
        <v>111</v>
      </c>
      <c r="U149" s="1999"/>
      <c r="V149" s="2000"/>
      <c r="W149" s="1997"/>
      <c r="X149" s="1998" t="s">
        <v>112</v>
      </c>
      <c r="Y149" s="1999"/>
      <c r="Z149" s="2000"/>
      <c r="AA149" s="1997"/>
      <c r="AB149" s="1998" t="s">
        <v>113</v>
      </c>
      <c r="AC149" s="1999"/>
      <c r="AD149" s="1999"/>
      <c r="AE149" s="2001" t="s">
        <v>114</v>
      </c>
      <c r="AF149" s="1999"/>
      <c r="AG149" s="1999"/>
      <c r="AH149" s="1999"/>
      <c r="AI149" s="2002"/>
    </row>
    <row r="150" spans="1:35" ht="22.35" customHeight="1" x14ac:dyDescent="0.2">
      <c r="A150" s="169"/>
      <c r="B150" s="737" t="s">
        <v>205</v>
      </c>
      <c r="C150" s="735" t="s">
        <v>206</v>
      </c>
      <c r="D150" s="1047"/>
      <c r="E150" s="1047"/>
      <c r="F150" s="1048"/>
      <c r="G150" s="735" t="s">
        <v>206</v>
      </c>
      <c r="H150" s="1047"/>
      <c r="I150" s="1047"/>
      <c r="J150" s="1048"/>
      <c r="K150" s="735" t="s">
        <v>206</v>
      </c>
      <c r="L150" s="1047"/>
      <c r="M150" s="1047"/>
      <c r="N150" s="1048"/>
      <c r="O150" s="735" t="s">
        <v>206</v>
      </c>
      <c r="P150" s="1047"/>
      <c r="Q150" s="1047"/>
      <c r="R150" s="1048"/>
      <c r="S150" s="735" t="s">
        <v>206</v>
      </c>
      <c r="T150" s="1047"/>
      <c r="U150" s="1047"/>
      <c r="V150" s="1048"/>
      <c r="W150" s="735" t="s">
        <v>207</v>
      </c>
      <c r="X150" s="1049"/>
      <c r="Y150" s="1049"/>
      <c r="Z150" s="1050"/>
      <c r="AA150" s="735" t="s">
        <v>207</v>
      </c>
      <c r="AB150" s="1047"/>
      <c r="AC150" s="1047"/>
      <c r="AD150" s="945"/>
      <c r="AE150" s="736">
        <v>69</v>
      </c>
      <c r="AF150" s="185"/>
      <c r="AG150" s="185"/>
      <c r="AH150" s="185"/>
      <c r="AI150" s="186"/>
    </row>
    <row r="151" spans="1:35" ht="22.35" customHeight="1" x14ac:dyDescent="0.2">
      <c r="A151" s="169"/>
      <c r="B151" s="737" t="s">
        <v>163</v>
      </c>
      <c r="C151" s="735" t="s">
        <v>171</v>
      </c>
      <c r="D151" s="1047"/>
      <c r="E151" s="1047"/>
      <c r="F151" s="1048"/>
      <c r="G151" s="735" t="s">
        <v>171</v>
      </c>
      <c r="H151" s="1047"/>
      <c r="I151" s="1047"/>
      <c r="J151" s="1048"/>
      <c r="K151" s="735" t="s">
        <v>171</v>
      </c>
      <c r="L151" s="1047"/>
      <c r="M151" s="1047"/>
      <c r="N151" s="1048"/>
      <c r="O151" s="735" t="s">
        <v>171</v>
      </c>
      <c r="P151" s="1047"/>
      <c r="Q151" s="1047"/>
      <c r="R151" s="1048"/>
      <c r="S151" s="735" t="s">
        <v>171</v>
      </c>
      <c r="T151" s="1047"/>
      <c r="U151" s="1047"/>
      <c r="V151" s="1048"/>
      <c r="W151" s="735" t="s">
        <v>171</v>
      </c>
      <c r="X151" s="1047"/>
      <c r="Y151" s="1047"/>
      <c r="Z151" s="1048"/>
      <c r="AA151" s="1047" t="s">
        <v>171</v>
      </c>
      <c r="AB151" s="1047"/>
      <c r="AC151" s="1047"/>
      <c r="AD151" s="945"/>
      <c r="AE151" s="736">
        <v>0</v>
      </c>
      <c r="AF151" s="185"/>
      <c r="AG151" s="185"/>
      <c r="AH151" s="185"/>
      <c r="AI151" s="186"/>
    </row>
    <row r="152" spans="1:35" ht="22.35" customHeight="1" x14ac:dyDescent="0.2">
      <c r="A152" s="169"/>
      <c r="B152" s="737" t="s">
        <v>208</v>
      </c>
      <c r="C152" s="735" t="s">
        <v>206</v>
      </c>
      <c r="D152" s="1047"/>
      <c r="E152" s="1047"/>
      <c r="F152" s="1048"/>
      <c r="G152" s="735" t="s">
        <v>206</v>
      </c>
      <c r="H152" s="1047"/>
      <c r="I152" s="1047"/>
      <c r="J152" s="1048"/>
      <c r="K152" s="735" t="s">
        <v>206</v>
      </c>
      <c r="L152" s="1047"/>
      <c r="M152" s="1047"/>
      <c r="N152" s="1048"/>
      <c r="O152" s="735" t="s">
        <v>206</v>
      </c>
      <c r="P152" s="1047"/>
      <c r="Q152" s="1047"/>
      <c r="R152" s="1048"/>
      <c r="S152" s="735" t="s">
        <v>206</v>
      </c>
      <c r="T152" s="1047"/>
      <c r="U152" s="1047"/>
      <c r="V152" s="1048"/>
      <c r="W152" s="735" t="s">
        <v>207</v>
      </c>
      <c r="X152" s="1049"/>
      <c r="Y152" s="1049"/>
      <c r="Z152" s="1050"/>
      <c r="AA152" s="735" t="s">
        <v>207</v>
      </c>
      <c r="AB152" s="1047"/>
      <c r="AC152" s="1047"/>
      <c r="AD152" s="945"/>
      <c r="AE152" s="736">
        <v>69</v>
      </c>
      <c r="AF152" s="1047"/>
      <c r="AG152" s="1047" t="s">
        <v>0</v>
      </c>
      <c r="AH152" s="945"/>
      <c r="AI152" s="1051"/>
    </row>
    <row r="153" spans="1:35" ht="22.35" customHeight="1" x14ac:dyDescent="0.2">
      <c r="A153" s="169"/>
      <c r="B153" s="737" t="s">
        <v>172</v>
      </c>
      <c r="C153" s="735" t="s">
        <v>171</v>
      </c>
      <c r="D153" s="1047"/>
      <c r="E153" s="1047"/>
      <c r="F153" s="1048"/>
      <c r="G153" s="735" t="s">
        <v>171</v>
      </c>
      <c r="H153" s="1047"/>
      <c r="I153" s="1047"/>
      <c r="J153" s="1048"/>
      <c r="K153" s="735" t="s">
        <v>171</v>
      </c>
      <c r="L153" s="1047"/>
      <c r="M153" s="1047"/>
      <c r="N153" s="1048"/>
      <c r="O153" s="735" t="s">
        <v>171</v>
      </c>
      <c r="P153" s="1047"/>
      <c r="Q153" s="1047"/>
      <c r="R153" s="1048"/>
      <c r="S153" s="735" t="s">
        <v>171</v>
      </c>
      <c r="T153" s="1047"/>
      <c r="U153" s="1047"/>
      <c r="V153" s="1048"/>
      <c r="W153" s="735" t="s">
        <v>171</v>
      </c>
      <c r="X153" s="1047"/>
      <c r="Y153" s="1047"/>
      <c r="Z153" s="1048"/>
      <c r="AA153" s="1047" t="s">
        <v>171</v>
      </c>
      <c r="AB153" s="1047"/>
      <c r="AC153" s="1047"/>
      <c r="AD153" s="945"/>
      <c r="AE153" s="736">
        <v>0</v>
      </c>
      <c r="AF153" s="1047"/>
      <c r="AG153" s="1047"/>
      <c r="AH153" s="945"/>
      <c r="AI153" s="1051"/>
    </row>
    <row r="154" spans="1:35" ht="22.35" customHeight="1" x14ac:dyDescent="0.2">
      <c r="A154" s="169"/>
      <c r="B154" s="737" t="s">
        <v>209</v>
      </c>
      <c r="C154" s="735" t="s">
        <v>206</v>
      </c>
      <c r="D154" s="1047"/>
      <c r="E154" s="1047"/>
      <c r="F154" s="1048"/>
      <c r="G154" s="735" t="s">
        <v>206</v>
      </c>
      <c r="H154" s="1047"/>
      <c r="I154" s="1047"/>
      <c r="J154" s="1048"/>
      <c r="K154" s="735" t="s">
        <v>206</v>
      </c>
      <c r="L154" s="1047"/>
      <c r="M154" s="1047"/>
      <c r="N154" s="1048"/>
      <c r="O154" s="735" t="s">
        <v>206</v>
      </c>
      <c r="P154" s="1047"/>
      <c r="Q154" s="1047"/>
      <c r="R154" s="1048"/>
      <c r="S154" s="735" t="s">
        <v>206</v>
      </c>
      <c r="T154" s="1047"/>
      <c r="U154" s="1047"/>
      <c r="V154" s="1048"/>
      <c r="W154" s="735" t="s">
        <v>210</v>
      </c>
      <c r="X154" s="1725"/>
      <c r="Y154" s="1725"/>
      <c r="Z154" s="1726"/>
      <c r="AA154" s="735" t="s">
        <v>210</v>
      </c>
      <c r="AB154" s="1725"/>
      <c r="AC154" s="1725"/>
      <c r="AD154" s="1668"/>
      <c r="AE154" s="736">
        <v>66</v>
      </c>
      <c r="AF154" s="1047"/>
      <c r="AG154" s="1047"/>
      <c r="AH154" s="945"/>
      <c r="AI154" s="1051"/>
    </row>
    <row r="155" spans="1:35" ht="22.35" customHeight="1" thickBot="1" x14ac:dyDescent="0.25">
      <c r="A155" s="169"/>
      <c r="B155" s="737" t="s">
        <v>211</v>
      </c>
      <c r="C155" s="704" t="s">
        <v>171</v>
      </c>
      <c r="D155" s="705"/>
      <c r="E155" s="705"/>
      <c r="F155" s="706"/>
      <c r="G155" s="704" t="s">
        <v>171</v>
      </c>
      <c r="H155" s="705"/>
      <c r="I155" s="705"/>
      <c r="J155" s="706"/>
      <c r="K155" s="704" t="s">
        <v>171</v>
      </c>
      <c r="L155" s="705"/>
      <c r="M155" s="705"/>
      <c r="N155" s="706"/>
      <c r="O155" s="704" t="s">
        <v>171</v>
      </c>
      <c r="P155" s="705"/>
      <c r="Q155" s="705"/>
      <c r="R155" s="706"/>
      <c r="S155" s="704" t="s">
        <v>171</v>
      </c>
      <c r="T155" s="705"/>
      <c r="U155" s="705"/>
      <c r="V155" s="1063"/>
      <c r="W155" s="704" t="s">
        <v>171</v>
      </c>
      <c r="X155" s="1063"/>
      <c r="Y155" s="705"/>
      <c r="Z155" s="706"/>
      <c r="AA155" s="704" t="s">
        <v>171</v>
      </c>
      <c r="AB155" s="1063"/>
      <c r="AC155" s="705"/>
      <c r="AD155" s="706"/>
      <c r="AE155" s="707" t="s">
        <v>212</v>
      </c>
      <c r="AF155" s="705"/>
      <c r="AG155" s="705"/>
      <c r="AH155" s="1063"/>
      <c r="AI155" s="1064"/>
    </row>
    <row r="156" spans="1:35" ht="22.35" customHeight="1" x14ac:dyDescent="0.2">
      <c r="A156" s="108"/>
      <c r="B156" s="169"/>
      <c r="C156" s="171"/>
      <c r="D156" s="171"/>
      <c r="E156" s="171"/>
      <c r="F156" s="171"/>
      <c r="G156" s="171"/>
      <c r="H156" s="171"/>
      <c r="I156" s="171"/>
      <c r="J156" s="171"/>
      <c r="K156" s="171"/>
      <c r="L156" s="171"/>
      <c r="M156" s="171"/>
      <c r="N156" s="171"/>
      <c r="O156" s="171"/>
      <c r="P156" s="171"/>
      <c r="Q156" s="171"/>
      <c r="R156" s="171"/>
      <c r="S156" s="171"/>
      <c r="T156" s="171"/>
      <c r="U156" s="171"/>
      <c r="V156" s="171"/>
      <c r="W156" s="171"/>
      <c r="X156" s="171"/>
      <c r="Y156" s="171"/>
      <c r="Z156" s="171"/>
      <c r="AA156" s="171"/>
      <c r="AB156" s="171"/>
      <c r="AC156" s="171"/>
      <c r="AD156" s="171"/>
      <c r="AE156" s="171"/>
      <c r="AF156" s="171"/>
      <c r="AG156" s="171"/>
      <c r="AH156" s="170"/>
      <c r="AI156" s="170"/>
    </row>
    <row r="157" spans="1:35" ht="22.35" customHeight="1" thickBot="1" x14ac:dyDescent="0.25">
      <c r="A157" s="981"/>
      <c r="B157" s="954" t="s">
        <v>29</v>
      </c>
      <c r="C157" s="1834">
        <v>1</v>
      </c>
      <c r="D157" s="1834">
        <v>2</v>
      </c>
      <c r="E157" s="1835">
        <v>3</v>
      </c>
      <c r="F157" s="1835">
        <v>4</v>
      </c>
      <c r="G157" s="1834">
        <v>5</v>
      </c>
      <c r="H157" s="1834">
        <v>6</v>
      </c>
      <c r="I157" s="1834">
        <v>7</v>
      </c>
      <c r="J157" s="1834">
        <v>8</v>
      </c>
      <c r="K157" s="1834">
        <v>9</v>
      </c>
      <c r="L157" s="1835">
        <v>10</v>
      </c>
      <c r="M157" s="1835">
        <v>11</v>
      </c>
      <c r="N157" s="1834">
        <v>12</v>
      </c>
      <c r="O157" s="1834">
        <v>13</v>
      </c>
      <c r="P157" s="1834">
        <v>14</v>
      </c>
      <c r="Q157" s="1834">
        <v>15</v>
      </c>
      <c r="R157" s="1834">
        <v>16</v>
      </c>
      <c r="S157" s="1835">
        <v>17</v>
      </c>
      <c r="T157" s="1835">
        <v>18</v>
      </c>
      <c r="U157" s="1834">
        <v>19</v>
      </c>
      <c r="V157" s="1834">
        <v>20</v>
      </c>
      <c r="W157" s="1834">
        <v>21</v>
      </c>
      <c r="X157" s="1834">
        <v>22</v>
      </c>
      <c r="Y157" s="1834">
        <v>23</v>
      </c>
      <c r="Z157" s="1835">
        <v>24</v>
      </c>
      <c r="AA157" s="1835">
        <v>25</v>
      </c>
      <c r="AB157" s="1834">
        <v>26</v>
      </c>
      <c r="AC157" s="1834">
        <v>27</v>
      </c>
      <c r="AD157" s="1834">
        <v>28</v>
      </c>
      <c r="AE157" s="1834">
        <v>29</v>
      </c>
      <c r="AF157" s="1834">
        <v>30</v>
      </c>
      <c r="AG157" s="1836"/>
      <c r="AH157" s="173"/>
      <c r="AI157" s="174"/>
    </row>
    <row r="158" spans="1:35" ht="22.35" customHeight="1" x14ac:dyDescent="0.2">
      <c r="A158" s="2010">
        <v>1</v>
      </c>
      <c r="B158" s="215" t="s">
        <v>213</v>
      </c>
      <c r="C158" s="2011">
        <v>22</v>
      </c>
      <c r="D158" s="2011">
        <v>22</v>
      </c>
      <c r="E158" s="2011">
        <v>22</v>
      </c>
      <c r="F158" s="2011">
        <v>22</v>
      </c>
      <c r="G158" s="2012" t="s">
        <v>36</v>
      </c>
      <c r="H158" s="2011" t="s">
        <v>36</v>
      </c>
      <c r="I158" s="2013" t="s">
        <v>36</v>
      </c>
      <c r="J158" s="2012" t="s">
        <v>36</v>
      </c>
      <c r="K158" s="2011" t="s">
        <v>36</v>
      </c>
      <c r="L158" s="2013"/>
      <c r="M158" s="2012"/>
      <c r="N158" s="2012">
        <v>23</v>
      </c>
      <c r="O158" s="2011">
        <v>23</v>
      </c>
      <c r="P158" s="2011">
        <v>23</v>
      </c>
      <c r="Q158" s="2011">
        <v>23</v>
      </c>
      <c r="R158" s="2011">
        <v>23</v>
      </c>
      <c r="S158" s="2011">
        <v>23</v>
      </c>
      <c r="T158" s="2011">
        <v>23</v>
      </c>
      <c r="U158" s="2011" t="s">
        <v>36</v>
      </c>
      <c r="V158" s="2011" t="s">
        <v>36</v>
      </c>
      <c r="W158" s="2013" t="s">
        <v>36</v>
      </c>
      <c r="X158" s="2011" t="s">
        <v>36</v>
      </c>
      <c r="Y158" s="2011" t="s">
        <v>36</v>
      </c>
      <c r="Z158" s="2013"/>
      <c r="AA158" s="2011"/>
      <c r="AB158" s="2011">
        <v>21</v>
      </c>
      <c r="AC158" s="2011">
        <v>21</v>
      </c>
      <c r="AD158" s="2011">
        <v>21</v>
      </c>
      <c r="AE158" s="2011">
        <v>21</v>
      </c>
      <c r="AF158" s="2011">
        <v>21</v>
      </c>
      <c r="AG158" s="2014"/>
      <c r="AH158" s="107"/>
      <c r="AI158" s="107"/>
    </row>
    <row r="159" spans="1:35" ht="22.35" customHeight="1" x14ac:dyDescent="0.2">
      <c r="A159" s="1086">
        <v>2</v>
      </c>
      <c r="B159" s="1839" t="s">
        <v>214</v>
      </c>
      <c r="C159" s="859">
        <v>23</v>
      </c>
      <c r="D159" s="859">
        <v>23</v>
      </c>
      <c r="E159" s="859">
        <v>23</v>
      </c>
      <c r="F159" s="859">
        <v>23</v>
      </c>
      <c r="G159" s="1844" t="s">
        <v>36</v>
      </c>
      <c r="H159" s="1844" t="s">
        <v>36</v>
      </c>
      <c r="I159" s="851" t="s">
        <v>36</v>
      </c>
      <c r="J159" s="1844" t="s">
        <v>36</v>
      </c>
      <c r="K159" s="1844" t="s">
        <v>36</v>
      </c>
      <c r="L159" s="851"/>
      <c r="M159" s="1843"/>
      <c r="N159" s="1843">
        <v>21</v>
      </c>
      <c r="O159" s="1843">
        <v>21</v>
      </c>
      <c r="P159" s="1843">
        <v>21</v>
      </c>
      <c r="Q159" s="1843">
        <v>21</v>
      </c>
      <c r="R159" s="1843">
        <v>21</v>
      </c>
      <c r="S159" s="1843">
        <v>21</v>
      </c>
      <c r="T159" s="1843">
        <v>21</v>
      </c>
      <c r="U159" s="1843" t="s">
        <v>36</v>
      </c>
      <c r="V159" s="1843" t="s">
        <v>36</v>
      </c>
      <c r="W159" s="851" t="s">
        <v>36</v>
      </c>
      <c r="X159" s="1844" t="s">
        <v>36</v>
      </c>
      <c r="Y159" s="1844" t="s">
        <v>36</v>
      </c>
      <c r="Z159" s="851"/>
      <c r="AA159" s="1843"/>
      <c r="AB159" s="1843">
        <v>22</v>
      </c>
      <c r="AC159" s="1843">
        <v>22</v>
      </c>
      <c r="AD159" s="1843">
        <v>22</v>
      </c>
      <c r="AE159" s="1843">
        <v>22</v>
      </c>
      <c r="AF159" s="1843">
        <v>22</v>
      </c>
      <c r="AG159" s="1845"/>
      <c r="AH159" s="107"/>
      <c r="AI159" s="107"/>
    </row>
    <row r="160" spans="1:35" ht="22.35" customHeight="1" x14ac:dyDescent="0.2">
      <c r="A160" s="1086">
        <v>3</v>
      </c>
      <c r="B160" s="1839" t="s">
        <v>362</v>
      </c>
      <c r="C160" s="1862">
        <v>21</v>
      </c>
      <c r="D160" s="1862">
        <v>21</v>
      </c>
      <c r="E160" s="1862">
        <v>21</v>
      </c>
      <c r="F160" s="1862" t="s">
        <v>149</v>
      </c>
      <c r="G160" s="1843" t="s">
        <v>36</v>
      </c>
      <c r="H160" s="1843" t="s">
        <v>36</v>
      </c>
      <c r="I160" s="1864" t="s">
        <v>36</v>
      </c>
      <c r="J160" s="1864" t="s">
        <v>36</v>
      </c>
      <c r="K160" s="1864" t="s">
        <v>36</v>
      </c>
      <c r="L160" s="1864"/>
      <c r="M160" s="1864"/>
      <c r="N160" s="1864">
        <v>22</v>
      </c>
      <c r="O160" s="1864">
        <v>22</v>
      </c>
      <c r="P160" s="1844">
        <v>22</v>
      </c>
      <c r="Q160" s="1844">
        <v>22</v>
      </c>
      <c r="R160" s="1872">
        <v>22</v>
      </c>
      <c r="S160" s="1872">
        <v>22</v>
      </c>
      <c r="T160" s="1844">
        <v>22</v>
      </c>
      <c r="U160" s="1843" t="s">
        <v>36</v>
      </c>
      <c r="V160" s="1843" t="s">
        <v>36</v>
      </c>
      <c r="W160" s="851" t="s">
        <v>36</v>
      </c>
      <c r="X160" s="1844" t="s">
        <v>36</v>
      </c>
      <c r="Y160" s="1844" t="s">
        <v>36</v>
      </c>
      <c r="Z160" s="851"/>
      <c r="AA160" s="1844"/>
      <c r="AB160" s="1844">
        <v>23</v>
      </c>
      <c r="AC160" s="1844">
        <v>23</v>
      </c>
      <c r="AD160" s="1844">
        <v>23</v>
      </c>
      <c r="AE160" s="1844">
        <v>23</v>
      </c>
      <c r="AF160" s="1844">
        <v>23</v>
      </c>
      <c r="AG160" s="1845"/>
      <c r="AH160" s="107"/>
      <c r="AI160" s="107"/>
    </row>
    <row r="161" spans="1:35" ht="22.35" customHeight="1" x14ac:dyDescent="0.2">
      <c r="A161" s="1086">
        <v>4</v>
      </c>
      <c r="B161" s="1839"/>
      <c r="C161" s="1844" t="s">
        <v>36</v>
      </c>
      <c r="D161" s="1844" t="s">
        <v>36</v>
      </c>
      <c r="E161" s="851"/>
      <c r="F161" s="1844"/>
      <c r="G161" s="859">
        <v>22</v>
      </c>
      <c r="H161" s="859">
        <v>22</v>
      </c>
      <c r="I161" s="859">
        <v>22</v>
      </c>
      <c r="J161" s="859">
        <v>22</v>
      </c>
      <c r="K161" s="859">
        <v>22</v>
      </c>
      <c r="L161" s="859">
        <v>22</v>
      </c>
      <c r="M161" s="859">
        <v>22</v>
      </c>
      <c r="N161" s="859" t="s">
        <v>36</v>
      </c>
      <c r="O161" s="859" t="s">
        <v>36</v>
      </c>
      <c r="P161" s="859" t="s">
        <v>36</v>
      </c>
      <c r="Q161" s="859" t="s">
        <v>36</v>
      </c>
      <c r="R161" s="859" t="s">
        <v>36</v>
      </c>
      <c r="S161" s="859"/>
      <c r="T161" s="859"/>
      <c r="U161" s="859">
        <v>23</v>
      </c>
      <c r="V161" s="859">
        <v>23</v>
      </c>
      <c r="W161" s="859">
        <v>23</v>
      </c>
      <c r="X161" s="859">
        <v>23</v>
      </c>
      <c r="Y161" s="859">
        <v>23</v>
      </c>
      <c r="Z161" s="859">
        <v>23</v>
      </c>
      <c r="AA161" s="859">
        <v>23</v>
      </c>
      <c r="AB161" s="1844" t="s">
        <v>36</v>
      </c>
      <c r="AC161" s="1844" t="s">
        <v>36</v>
      </c>
      <c r="AD161" s="851" t="s">
        <v>36</v>
      </c>
      <c r="AE161" s="1844" t="s">
        <v>36</v>
      </c>
      <c r="AF161" s="1844" t="s">
        <v>36</v>
      </c>
      <c r="AG161" s="978"/>
      <c r="AH161" s="107"/>
      <c r="AI161" s="107"/>
    </row>
    <row r="162" spans="1:35" ht="22.35" customHeight="1" x14ac:dyDescent="0.2">
      <c r="A162" s="1086">
        <v>5</v>
      </c>
      <c r="B162" s="1839" t="s">
        <v>217</v>
      </c>
      <c r="C162" s="1844" t="s">
        <v>36</v>
      </c>
      <c r="D162" s="1844" t="s">
        <v>36</v>
      </c>
      <c r="E162" s="965"/>
      <c r="F162" s="1112">
        <v>21</v>
      </c>
      <c r="G162" s="1844">
        <v>23</v>
      </c>
      <c r="H162" s="1844">
        <v>23</v>
      </c>
      <c r="I162" s="1844">
        <v>23</v>
      </c>
      <c r="J162" s="1844">
        <v>23</v>
      </c>
      <c r="K162" s="1844">
        <v>23</v>
      </c>
      <c r="L162" s="1844">
        <v>23</v>
      </c>
      <c r="M162" s="1844">
        <v>23</v>
      </c>
      <c r="N162" s="1844" t="s">
        <v>36</v>
      </c>
      <c r="O162" s="1844" t="s">
        <v>36</v>
      </c>
      <c r="P162" s="851" t="s">
        <v>36</v>
      </c>
      <c r="Q162" s="1844" t="s">
        <v>36</v>
      </c>
      <c r="R162" s="1844" t="s">
        <v>36</v>
      </c>
      <c r="S162" s="851"/>
      <c r="T162" s="1844"/>
      <c r="U162" s="1844">
        <v>21</v>
      </c>
      <c r="V162" s="1844">
        <v>21</v>
      </c>
      <c r="W162" s="1844">
        <v>21</v>
      </c>
      <c r="X162" s="1844">
        <v>21</v>
      </c>
      <c r="Y162" s="1844">
        <v>21</v>
      </c>
      <c r="Z162" s="1844">
        <v>21</v>
      </c>
      <c r="AA162" s="1844">
        <v>21</v>
      </c>
      <c r="AB162" s="1844" t="s">
        <v>36</v>
      </c>
      <c r="AC162" s="1843" t="s">
        <v>36</v>
      </c>
      <c r="AD162" s="1843" t="s">
        <v>36</v>
      </c>
      <c r="AE162" s="1843" t="s">
        <v>36</v>
      </c>
      <c r="AF162" s="1844" t="s">
        <v>36</v>
      </c>
      <c r="AG162" s="978"/>
      <c r="AH162" s="107"/>
      <c r="AI162" s="107"/>
    </row>
    <row r="163" spans="1:35" ht="22.35" customHeight="1" thickBot="1" x14ac:dyDescent="0.25">
      <c r="A163" s="1090">
        <v>6</v>
      </c>
      <c r="B163" s="1091" t="s">
        <v>218</v>
      </c>
      <c r="C163" s="1743" t="s">
        <v>36</v>
      </c>
      <c r="D163" s="1743" t="s">
        <v>36</v>
      </c>
      <c r="E163" s="1092"/>
      <c r="F163" s="1743"/>
      <c r="G163" s="1743">
        <v>21</v>
      </c>
      <c r="H163" s="1093">
        <v>21</v>
      </c>
      <c r="I163" s="1093">
        <v>21</v>
      </c>
      <c r="J163" s="1093">
        <v>21</v>
      </c>
      <c r="K163" s="1093">
        <v>21</v>
      </c>
      <c r="L163" s="1093">
        <v>21</v>
      </c>
      <c r="M163" s="1093">
        <v>21</v>
      </c>
      <c r="N163" s="865" t="s">
        <v>36</v>
      </c>
      <c r="O163" s="865" t="s">
        <v>36</v>
      </c>
      <c r="P163" s="1092" t="s">
        <v>36</v>
      </c>
      <c r="Q163" s="1743" t="s">
        <v>36</v>
      </c>
      <c r="R163" s="1743" t="s">
        <v>36</v>
      </c>
      <c r="S163" s="1092"/>
      <c r="T163" s="1743"/>
      <c r="U163" s="1520">
        <v>22</v>
      </c>
      <c r="V163" s="1520">
        <v>22</v>
      </c>
      <c r="W163" s="1743">
        <v>22</v>
      </c>
      <c r="X163" s="1743">
        <v>22</v>
      </c>
      <c r="Y163" s="1743">
        <v>22</v>
      </c>
      <c r="Z163" s="1743">
        <v>22</v>
      </c>
      <c r="AA163" s="1743">
        <v>22</v>
      </c>
      <c r="AB163" s="865" t="s">
        <v>36</v>
      </c>
      <c r="AC163" s="865" t="s">
        <v>36</v>
      </c>
      <c r="AD163" s="1092" t="s">
        <v>36</v>
      </c>
      <c r="AE163" s="1743" t="s">
        <v>36</v>
      </c>
      <c r="AF163" s="1743" t="s">
        <v>36</v>
      </c>
      <c r="AG163" s="1094"/>
      <c r="AH163" s="107"/>
      <c r="AI163" s="107"/>
    </row>
    <row r="164" spans="1:35" ht="22.35" customHeight="1" x14ac:dyDescent="0.2">
      <c r="A164" s="200"/>
      <c r="B164" s="198"/>
      <c r="C164" s="199"/>
      <c r="D164" s="199"/>
      <c r="E164" s="216"/>
      <c r="F164" s="199"/>
      <c r="G164" s="199"/>
      <c r="H164" s="221"/>
      <c r="I164" s="221"/>
      <c r="J164" s="221"/>
      <c r="K164" s="221"/>
      <c r="L164" s="221"/>
      <c r="M164" s="221"/>
      <c r="N164" s="192"/>
      <c r="O164" s="192"/>
      <c r="P164" s="216"/>
      <c r="Q164" s="199"/>
      <c r="R164" s="199"/>
      <c r="S164" s="216"/>
      <c r="T164" s="199"/>
      <c r="U164" s="199"/>
      <c r="V164" s="199"/>
      <c r="W164" s="199"/>
      <c r="X164" s="199"/>
      <c r="Y164" s="199"/>
      <c r="Z164" s="199"/>
      <c r="AA164" s="199"/>
      <c r="AB164" s="192"/>
      <c r="AC164" s="192"/>
      <c r="AD164" s="216"/>
      <c r="AE164" s="199"/>
      <c r="AF164" s="199"/>
      <c r="AG164" s="216"/>
      <c r="AH164" s="107"/>
      <c r="AI164" s="107"/>
    </row>
    <row r="165" spans="1:35" ht="22.35" customHeight="1" x14ac:dyDescent="0.2">
      <c r="A165" s="109"/>
      <c r="B165" s="110"/>
      <c r="C165" s="183"/>
      <c r="D165" s="183"/>
      <c r="E165" s="168"/>
      <c r="F165" s="183"/>
      <c r="G165" s="183"/>
      <c r="H165" s="183"/>
      <c r="I165" s="183"/>
      <c r="J165" s="183"/>
      <c r="K165" s="183"/>
      <c r="L165" s="183"/>
      <c r="M165" s="183"/>
      <c r="N165" s="183"/>
      <c r="O165" s="183"/>
      <c r="P165" s="168"/>
      <c r="Q165" s="183"/>
      <c r="R165" s="183"/>
      <c r="S165" s="168"/>
      <c r="T165" s="183"/>
      <c r="U165" s="183"/>
      <c r="V165" s="183"/>
      <c r="W165" s="183"/>
      <c r="X165" s="183"/>
      <c r="Y165" s="183"/>
      <c r="Z165" s="183"/>
      <c r="AA165" s="183"/>
      <c r="AB165" s="183"/>
      <c r="AC165" s="184"/>
      <c r="AD165" s="184"/>
      <c r="AE165" s="184"/>
      <c r="AF165" s="183"/>
      <c r="AG165" s="168"/>
      <c r="AH165" s="107"/>
      <c r="AI165" s="107"/>
    </row>
    <row r="166" spans="1:35" ht="22.35" customHeight="1" thickBot="1" x14ac:dyDescent="0.25">
      <c r="A166" s="158" t="s">
        <v>219</v>
      </c>
      <c r="D166" s="72"/>
      <c r="E166" s="72"/>
      <c r="F166" s="72"/>
      <c r="G166" s="105"/>
      <c r="H166" s="72"/>
      <c r="I166" s="72"/>
      <c r="J166" s="72"/>
      <c r="K166" s="72"/>
      <c r="L166" s="72"/>
      <c r="M166" s="72"/>
      <c r="N166" s="72"/>
      <c r="O166" s="72"/>
      <c r="P166" s="72"/>
      <c r="Q166" s="72"/>
      <c r="R166" s="72"/>
      <c r="S166" s="72"/>
      <c r="T166" s="72"/>
      <c r="U166" s="72"/>
      <c r="V166" s="72"/>
      <c r="W166" s="72"/>
      <c r="X166" s="72"/>
      <c r="Y166" s="72"/>
      <c r="Z166" s="72"/>
      <c r="AA166" s="72"/>
      <c r="AB166" s="72"/>
      <c r="AC166" s="72"/>
      <c r="AD166" s="72"/>
      <c r="AE166" s="72"/>
      <c r="AF166" s="72"/>
      <c r="AG166" s="72"/>
    </row>
    <row r="167" spans="1:35" ht="22.35" customHeight="1" x14ac:dyDescent="0.2">
      <c r="A167" s="1"/>
      <c r="B167" s="1980" t="s">
        <v>186</v>
      </c>
      <c r="C167" s="1973"/>
      <c r="D167" s="1998" t="s">
        <v>107</v>
      </c>
      <c r="E167" s="1887"/>
      <c r="F167" s="1966"/>
      <c r="G167" s="1973"/>
      <c r="H167" s="1998" t="s">
        <v>108</v>
      </c>
      <c r="I167" s="1887"/>
      <c r="J167" s="1966"/>
      <c r="K167" s="1973"/>
      <c r="L167" s="1998" t="s">
        <v>109</v>
      </c>
      <c r="M167" s="1887"/>
      <c r="N167" s="1966"/>
      <c r="O167" s="1973"/>
      <c r="P167" s="1998" t="s">
        <v>110</v>
      </c>
      <c r="Q167" s="1887"/>
      <c r="R167" s="1966"/>
      <c r="S167" s="1973"/>
      <c r="T167" s="1998" t="s">
        <v>111</v>
      </c>
      <c r="U167" s="1887"/>
      <c r="V167" s="1966"/>
      <c r="W167" s="1973"/>
      <c r="X167" s="1998" t="s">
        <v>112</v>
      </c>
      <c r="Y167" s="1887"/>
      <c r="Z167" s="1966"/>
      <c r="AA167" s="1973"/>
      <c r="AB167" s="1998" t="s">
        <v>113</v>
      </c>
      <c r="AC167" s="1887"/>
      <c r="AD167" s="1887"/>
      <c r="AE167" s="2001" t="s">
        <v>114</v>
      </c>
      <c r="AF167" s="1887"/>
      <c r="AG167" s="1887"/>
      <c r="AH167" s="1887"/>
      <c r="AI167" s="1888"/>
    </row>
    <row r="168" spans="1:35" ht="22.35" customHeight="1" x14ac:dyDescent="0.2">
      <c r="A168" s="1"/>
      <c r="B168" s="737" t="s">
        <v>159</v>
      </c>
      <c r="C168" s="735" t="s">
        <v>187</v>
      </c>
      <c r="D168" s="425"/>
      <c r="E168" s="425"/>
      <c r="F168" s="1048"/>
      <c r="G168" s="735" t="s">
        <v>187</v>
      </c>
      <c r="H168" s="425"/>
      <c r="I168" s="425"/>
      <c r="J168" s="1048"/>
      <c r="K168" s="735" t="s">
        <v>187</v>
      </c>
      <c r="L168" s="425"/>
      <c r="M168" s="425"/>
      <c r="N168" s="1048"/>
      <c r="O168" s="735" t="s">
        <v>220</v>
      </c>
      <c r="P168" s="425"/>
      <c r="Q168" s="425"/>
      <c r="R168" s="1048"/>
      <c r="S168" s="735" t="s">
        <v>171</v>
      </c>
      <c r="T168" s="425"/>
      <c r="U168" s="425"/>
      <c r="V168" s="1048"/>
      <c r="W168" s="1095"/>
      <c r="X168" s="1096"/>
      <c r="Y168" s="1096"/>
      <c r="Z168" s="1050"/>
      <c r="AA168" s="1046"/>
      <c r="AB168" s="425"/>
      <c r="AC168" s="425"/>
      <c r="AD168" s="945"/>
      <c r="AE168" s="736">
        <v>27</v>
      </c>
      <c r="AF168" s="425"/>
      <c r="AG168" s="425"/>
      <c r="AH168" s="945"/>
      <c r="AI168" s="432"/>
    </row>
    <row r="169" spans="1:35" ht="22.35" customHeight="1" x14ac:dyDescent="0.2">
      <c r="A169" s="1"/>
      <c r="B169" s="737" t="s">
        <v>163</v>
      </c>
      <c r="C169" s="735" t="s">
        <v>221</v>
      </c>
      <c r="D169" s="425"/>
      <c r="E169" s="425"/>
      <c r="F169" s="1048"/>
      <c r="G169" s="735" t="s">
        <v>221</v>
      </c>
      <c r="H169" s="425"/>
      <c r="I169" s="425"/>
      <c r="J169" s="1048"/>
      <c r="K169" s="735" t="s">
        <v>221</v>
      </c>
      <c r="L169" s="425"/>
      <c r="M169" s="425"/>
      <c r="N169" s="1048"/>
      <c r="O169" s="735" t="s">
        <v>221</v>
      </c>
      <c r="P169" s="425"/>
      <c r="Q169" s="425"/>
      <c r="R169" s="1048"/>
      <c r="S169" s="735" t="s">
        <v>187</v>
      </c>
      <c r="T169" s="425"/>
      <c r="U169" s="425"/>
      <c r="V169" s="1048"/>
      <c r="W169" s="735"/>
      <c r="X169" s="425"/>
      <c r="Y169" s="425"/>
      <c r="Z169" s="1048"/>
      <c r="AA169" s="425"/>
      <c r="AB169" s="425"/>
      <c r="AC169" s="425"/>
      <c r="AD169" s="945"/>
      <c r="AE169" s="736">
        <v>39</v>
      </c>
      <c r="AF169" s="425"/>
      <c r="AG169" s="425"/>
      <c r="AH169" s="945"/>
      <c r="AI169" s="432"/>
    </row>
    <row r="170" spans="1:35" ht="22.35" customHeight="1" x14ac:dyDescent="0.2">
      <c r="A170" s="1"/>
      <c r="B170" s="737" t="s">
        <v>170</v>
      </c>
      <c r="C170" s="735" t="s">
        <v>221</v>
      </c>
      <c r="D170" s="425"/>
      <c r="E170" s="425"/>
      <c r="F170" s="1048"/>
      <c r="G170" s="735" t="s">
        <v>221</v>
      </c>
      <c r="H170" s="425"/>
      <c r="I170" s="425"/>
      <c r="J170" s="1048"/>
      <c r="K170" s="735" t="s">
        <v>221</v>
      </c>
      <c r="L170" s="425"/>
      <c r="M170" s="425"/>
      <c r="N170" s="1048"/>
      <c r="O170" s="735" t="s">
        <v>221</v>
      </c>
      <c r="P170" s="425"/>
      <c r="Q170" s="425"/>
      <c r="R170" s="1048"/>
      <c r="S170" s="735" t="s">
        <v>221</v>
      </c>
      <c r="T170" s="425"/>
      <c r="U170" s="425"/>
      <c r="V170" s="1048"/>
      <c r="W170" s="946" t="s">
        <v>222</v>
      </c>
      <c r="X170" s="436"/>
      <c r="Y170" s="436"/>
      <c r="Z170" s="1726"/>
      <c r="AA170" s="1052"/>
      <c r="AB170" s="436"/>
      <c r="AC170" s="436"/>
      <c r="AD170" s="1668"/>
      <c r="AE170" s="736">
        <v>45</v>
      </c>
      <c r="AF170" s="425"/>
      <c r="AG170" s="425"/>
      <c r="AH170" s="945"/>
      <c r="AI170" s="432"/>
    </row>
    <row r="171" spans="1:35" ht="22.35" customHeight="1" thickBot="1" x14ac:dyDescent="0.25">
      <c r="A171" s="1"/>
      <c r="B171" s="223" t="s">
        <v>172</v>
      </c>
      <c r="C171" s="704"/>
      <c r="D171" s="734"/>
      <c r="E171" s="734"/>
      <c r="F171" s="706"/>
      <c r="G171" s="704"/>
      <c r="H171" s="734"/>
      <c r="I171" s="734"/>
      <c r="J171" s="706"/>
      <c r="K171" s="704"/>
      <c r="L171" s="734"/>
      <c r="M171" s="734"/>
      <c r="N171" s="706"/>
      <c r="O171" s="704"/>
      <c r="P171" s="734"/>
      <c r="Q171" s="734"/>
      <c r="R171" s="706"/>
      <c r="S171" s="704"/>
      <c r="T171" s="734"/>
      <c r="U171" s="734"/>
      <c r="V171" s="1063"/>
      <c r="W171" s="704"/>
      <c r="X171" s="1063"/>
      <c r="Y171" s="734"/>
      <c r="Z171" s="706"/>
      <c r="AA171" s="704"/>
      <c r="AB171" s="1063"/>
      <c r="AC171" s="734"/>
      <c r="AD171" s="706"/>
      <c r="AE171" s="713"/>
      <c r="AF171" s="734"/>
      <c r="AG171" s="734"/>
      <c r="AH171" s="1063"/>
      <c r="AI171" s="894"/>
    </row>
    <row r="172" spans="1:35" ht="22.35" customHeight="1" x14ac:dyDescent="0.2">
      <c r="A172" s="108"/>
      <c r="B172" s="1"/>
      <c r="C172" s="72"/>
      <c r="D172" s="72"/>
      <c r="E172" s="72"/>
      <c r="F172" s="72"/>
      <c r="G172" s="72"/>
      <c r="H172" s="72"/>
      <c r="I172" s="72"/>
      <c r="J172" s="72"/>
      <c r="K172" s="72"/>
      <c r="L172" s="72"/>
      <c r="M172" s="72"/>
      <c r="N172" s="72"/>
      <c r="O172" s="72"/>
      <c r="P172" s="72"/>
      <c r="Q172" s="72"/>
      <c r="R172" s="72"/>
      <c r="S172" s="72"/>
      <c r="T172" s="72"/>
      <c r="U172" s="72"/>
      <c r="V172" s="72"/>
      <c r="W172" s="72"/>
      <c r="X172" s="72"/>
      <c r="Y172" s="72"/>
      <c r="Z172" s="72"/>
      <c r="AA172" s="72"/>
      <c r="AB172" s="72"/>
      <c r="AC172" s="72"/>
      <c r="AD172" s="72"/>
      <c r="AE172" s="72"/>
      <c r="AF172" s="72"/>
      <c r="AG172" s="72"/>
    </row>
    <row r="173" spans="1:35" ht="22.35" customHeight="1" thickBot="1" x14ac:dyDescent="0.25">
      <c r="A173" s="981"/>
      <c r="B173" s="748" t="s">
        <v>29</v>
      </c>
      <c r="C173" s="1274">
        <v>1</v>
      </c>
      <c r="D173" s="1274">
        <v>2</v>
      </c>
      <c r="E173" s="1275">
        <v>3</v>
      </c>
      <c r="F173" s="1275">
        <v>4</v>
      </c>
      <c r="G173" s="1274">
        <v>5</v>
      </c>
      <c r="H173" s="1274">
        <v>6</v>
      </c>
      <c r="I173" s="1274">
        <v>7</v>
      </c>
      <c r="J173" s="1274">
        <v>8</v>
      </c>
      <c r="K173" s="1274">
        <v>9</v>
      </c>
      <c r="L173" s="1275">
        <v>10</v>
      </c>
      <c r="M173" s="1275">
        <v>11</v>
      </c>
      <c r="N173" s="1274">
        <v>12</v>
      </c>
      <c r="O173" s="1274">
        <v>13</v>
      </c>
      <c r="P173" s="1274">
        <v>14</v>
      </c>
      <c r="Q173" s="1274">
        <v>15</v>
      </c>
      <c r="R173" s="1274">
        <v>16</v>
      </c>
      <c r="S173" s="1275">
        <v>17</v>
      </c>
      <c r="T173" s="1275">
        <v>18</v>
      </c>
      <c r="U173" s="1274">
        <v>19</v>
      </c>
      <c r="V173" s="1274">
        <v>20</v>
      </c>
      <c r="W173" s="1274">
        <v>21</v>
      </c>
      <c r="X173" s="1274">
        <v>22</v>
      </c>
      <c r="Y173" s="1274">
        <v>23</v>
      </c>
      <c r="Z173" s="1275">
        <v>24</v>
      </c>
      <c r="AA173" s="1275">
        <v>25</v>
      </c>
      <c r="AB173" s="1274">
        <v>26</v>
      </c>
      <c r="AC173" s="1274">
        <v>27</v>
      </c>
      <c r="AD173" s="1274">
        <v>28</v>
      </c>
      <c r="AE173" s="1274">
        <v>29</v>
      </c>
      <c r="AF173" s="1274">
        <v>30</v>
      </c>
      <c r="AG173" s="1276"/>
      <c r="AH173" s="173"/>
      <c r="AI173" s="174"/>
    </row>
    <row r="174" spans="1:35" ht="22.35" customHeight="1" x14ac:dyDescent="0.2">
      <c r="A174" s="1974">
        <v>1</v>
      </c>
      <c r="B174" s="2015" t="s">
        <v>223</v>
      </c>
      <c r="C174" s="2012" t="s">
        <v>32</v>
      </c>
      <c r="D174" s="2016" t="s">
        <v>32</v>
      </c>
      <c r="E174" s="2011"/>
      <c r="F174" s="2011"/>
      <c r="G174" s="2011" t="s">
        <v>32</v>
      </c>
      <c r="H174" s="2011" t="s">
        <v>32</v>
      </c>
      <c r="I174" s="2017" t="s">
        <v>32</v>
      </c>
      <c r="J174" s="2011" t="s">
        <v>32</v>
      </c>
      <c r="K174" s="2011" t="s">
        <v>32</v>
      </c>
      <c r="L174" s="2011"/>
      <c r="M174" s="2011"/>
      <c r="N174" s="2011" t="s">
        <v>32</v>
      </c>
      <c r="O174" s="2011" t="s">
        <v>32</v>
      </c>
      <c r="P174" s="2011" t="s">
        <v>32</v>
      </c>
      <c r="Q174" s="2011" t="s">
        <v>32</v>
      </c>
      <c r="R174" s="2011" t="s">
        <v>32</v>
      </c>
      <c r="S174" s="2011"/>
      <c r="T174" s="2012"/>
      <c r="U174" s="2016" t="s">
        <v>32</v>
      </c>
      <c r="V174" s="2012" t="s">
        <v>32</v>
      </c>
      <c r="W174" s="2012" t="s">
        <v>32</v>
      </c>
      <c r="X174" s="2012" t="s">
        <v>32</v>
      </c>
      <c r="Y174" s="2018" t="s">
        <v>32</v>
      </c>
      <c r="Z174" s="2011"/>
      <c r="AA174" s="2011"/>
      <c r="AB174" s="2011" t="s">
        <v>32</v>
      </c>
      <c r="AC174" s="2011" t="s">
        <v>32</v>
      </c>
      <c r="AD174" s="2017" t="s">
        <v>32</v>
      </c>
      <c r="AE174" s="2011" t="s">
        <v>32</v>
      </c>
      <c r="AF174" s="2011" t="s">
        <v>32</v>
      </c>
      <c r="AG174" s="2014"/>
      <c r="AH174" s="203"/>
      <c r="AI174" s="179"/>
    </row>
    <row r="175" spans="1:35" ht="22.35" customHeight="1" x14ac:dyDescent="0.2">
      <c r="A175" s="1010">
        <v>2</v>
      </c>
      <c r="B175" s="1105" t="s">
        <v>224</v>
      </c>
      <c r="C175" s="1844" t="s">
        <v>226</v>
      </c>
      <c r="D175" s="1844" t="s">
        <v>36</v>
      </c>
      <c r="E175" s="1844"/>
      <c r="F175" s="1844"/>
      <c r="G175" s="1844" t="s">
        <v>225</v>
      </c>
      <c r="H175" s="1844" t="s">
        <v>225</v>
      </c>
      <c r="I175" s="1844" t="s">
        <v>225</v>
      </c>
      <c r="J175" s="1844" t="s">
        <v>225</v>
      </c>
      <c r="K175" s="1844" t="s">
        <v>225</v>
      </c>
      <c r="L175" s="1844"/>
      <c r="M175" s="1844"/>
      <c r="N175" s="1844" t="s">
        <v>154</v>
      </c>
      <c r="O175" s="1844" t="s">
        <v>154</v>
      </c>
      <c r="P175" s="1844" t="s">
        <v>154</v>
      </c>
      <c r="Q175" s="1844" t="s">
        <v>154</v>
      </c>
      <c r="R175" s="1844" t="s">
        <v>154</v>
      </c>
      <c r="S175" s="1844" t="s">
        <v>154</v>
      </c>
      <c r="T175" s="653"/>
      <c r="U175" s="1844" t="s">
        <v>226</v>
      </c>
      <c r="V175" s="1844" t="s">
        <v>226</v>
      </c>
      <c r="W175" s="1844" t="s">
        <v>226</v>
      </c>
      <c r="X175" s="1844" t="s">
        <v>226</v>
      </c>
      <c r="Y175" s="1844" t="s">
        <v>36</v>
      </c>
      <c r="Z175" s="1844"/>
      <c r="AA175" s="1844"/>
      <c r="AB175" s="1844" t="s">
        <v>225</v>
      </c>
      <c r="AC175" s="1844" t="s">
        <v>225</v>
      </c>
      <c r="AD175" s="1844" t="s">
        <v>225</v>
      </c>
      <c r="AE175" s="1844" t="s">
        <v>225</v>
      </c>
      <c r="AF175" s="1844" t="s">
        <v>225</v>
      </c>
      <c r="AG175" s="395"/>
      <c r="AH175" s="203"/>
      <c r="AI175" s="179"/>
    </row>
    <row r="176" spans="1:35" ht="22.35" customHeight="1" x14ac:dyDescent="0.2">
      <c r="A176" s="1010">
        <v>3</v>
      </c>
      <c r="B176" s="2019" t="s">
        <v>428</v>
      </c>
      <c r="C176" s="1844" t="s">
        <v>225</v>
      </c>
      <c r="D176" s="1844" t="s">
        <v>225</v>
      </c>
      <c r="E176" s="1844"/>
      <c r="F176" s="1844"/>
      <c r="G176" s="672" t="s">
        <v>154</v>
      </c>
      <c r="H176" s="1844" t="s">
        <v>154</v>
      </c>
      <c r="I176" s="1163" t="s">
        <v>154</v>
      </c>
      <c r="J176" s="1163" t="s">
        <v>154</v>
      </c>
      <c r="K176" s="1163" t="s">
        <v>154</v>
      </c>
      <c r="L176" s="1862" t="s">
        <v>154</v>
      </c>
      <c r="M176" s="654"/>
      <c r="N176" s="654" t="s">
        <v>226</v>
      </c>
      <c r="O176" s="1862" t="s">
        <v>429</v>
      </c>
      <c r="P176" s="1840" t="s">
        <v>226</v>
      </c>
      <c r="Q176" s="1840" t="s">
        <v>226</v>
      </c>
      <c r="R176" s="1840" t="s">
        <v>36</v>
      </c>
      <c r="S176" s="1844"/>
      <c r="T176" s="1844"/>
      <c r="U176" s="1844" t="s">
        <v>225</v>
      </c>
      <c r="V176" s="1844" t="s">
        <v>225</v>
      </c>
      <c r="W176" s="1844" t="s">
        <v>225</v>
      </c>
      <c r="X176" s="1844" t="s">
        <v>225</v>
      </c>
      <c r="Y176" s="1844" t="s">
        <v>225</v>
      </c>
      <c r="Z176" s="1844"/>
      <c r="AA176" s="1844"/>
      <c r="AB176" s="1844" t="s">
        <v>154</v>
      </c>
      <c r="AC176" s="1844" t="s">
        <v>154</v>
      </c>
      <c r="AD176" s="1844" t="s">
        <v>154</v>
      </c>
      <c r="AE176" s="1844" t="s">
        <v>154</v>
      </c>
      <c r="AF176" s="1844" t="s">
        <v>154</v>
      </c>
      <c r="AG176" s="395"/>
      <c r="AH176" s="203"/>
      <c r="AI176" s="179"/>
    </row>
    <row r="177" spans="1:35" ht="22.35" customHeight="1" x14ac:dyDescent="0.2">
      <c r="A177" s="1010">
        <v>4</v>
      </c>
      <c r="B177" s="1109" t="s">
        <v>228</v>
      </c>
      <c r="C177" s="1844"/>
      <c r="D177" s="1823" t="s">
        <v>32</v>
      </c>
      <c r="E177" s="1844" t="s">
        <v>154</v>
      </c>
      <c r="F177" s="1844"/>
      <c r="G177" s="1844"/>
      <c r="H177" s="1844" t="s">
        <v>229</v>
      </c>
      <c r="I177" s="1844" t="s">
        <v>32</v>
      </c>
      <c r="J177" s="1844"/>
      <c r="K177" s="1823" t="s">
        <v>32</v>
      </c>
      <c r="L177" s="1844"/>
      <c r="M177" s="1844"/>
      <c r="N177" s="1844"/>
      <c r="O177" s="1844" t="s">
        <v>229</v>
      </c>
      <c r="P177" s="1844" t="s">
        <v>32</v>
      </c>
      <c r="Q177" s="1844"/>
      <c r="R177" s="1823" t="s">
        <v>32</v>
      </c>
      <c r="S177" s="1823"/>
      <c r="T177" s="1823"/>
      <c r="U177" s="1844"/>
      <c r="V177" s="1844" t="s">
        <v>229</v>
      </c>
      <c r="W177" s="1844"/>
      <c r="X177" s="1844"/>
      <c r="Y177" s="1862" t="s">
        <v>32</v>
      </c>
      <c r="Z177" s="1862" t="s">
        <v>384</v>
      </c>
      <c r="AA177" s="1840"/>
      <c r="AB177" s="1840"/>
      <c r="AC177" s="1840" t="s">
        <v>229</v>
      </c>
      <c r="AD177" s="1844" t="s">
        <v>32</v>
      </c>
      <c r="AE177" s="1844"/>
      <c r="AF177" s="1823" t="s">
        <v>32</v>
      </c>
      <c r="AG177" s="395"/>
      <c r="AH177" s="203"/>
      <c r="AI177" s="179"/>
    </row>
    <row r="178" spans="1:35" ht="22.35" customHeight="1" x14ac:dyDescent="0.2">
      <c r="A178" s="1010">
        <v>5</v>
      </c>
      <c r="B178" s="1109" t="s">
        <v>230</v>
      </c>
      <c r="C178" s="1823" t="s">
        <v>32</v>
      </c>
      <c r="D178" s="1844"/>
      <c r="E178" s="1844"/>
      <c r="F178" s="1844"/>
      <c r="G178" s="1844" t="s">
        <v>229</v>
      </c>
      <c r="H178" s="1844"/>
      <c r="I178" s="1844"/>
      <c r="J178" s="1823" t="s">
        <v>32</v>
      </c>
      <c r="K178" s="1844"/>
      <c r="L178" s="1844"/>
      <c r="M178" s="1844"/>
      <c r="N178" s="1844" t="s">
        <v>229</v>
      </c>
      <c r="O178" s="1844"/>
      <c r="P178" s="1844"/>
      <c r="Q178" s="1823" t="s">
        <v>32</v>
      </c>
      <c r="R178" s="1844"/>
      <c r="S178" s="1844"/>
      <c r="T178" s="1844"/>
      <c r="U178" s="1844" t="s">
        <v>229</v>
      </c>
      <c r="V178" s="1844"/>
      <c r="W178" s="1844"/>
      <c r="X178" s="1823" t="s">
        <v>32</v>
      </c>
      <c r="Y178" s="1844"/>
      <c r="Z178" s="1844"/>
      <c r="AA178" s="1844"/>
      <c r="AB178" s="1844" t="s">
        <v>229</v>
      </c>
      <c r="AC178" s="1844"/>
      <c r="AD178" s="1844"/>
      <c r="AE178" s="1823" t="s">
        <v>32</v>
      </c>
      <c r="AF178" s="1844"/>
      <c r="AG178" s="395"/>
      <c r="AH178" s="203"/>
      <c r="AI178" s="179"/>
    </row>
    <row r="179" spans="1:35" ht="22.35" customHeight="1" x14ac:dyDescent="0.2">
      <c r="A179" s="1010">
        <v>6</v>
      </c>
      <c r="B179" s="1002" t="s">
        <v>231</v>
      </c>
      <c r="C179" s="1844" t="s">
        <v>32</v>
      </c>
      <c r="D179" s="1844" t="s">
        <v>32</v>
      </c>
      <c r="E179" s="651"/>
      <c r="F179" s="1844"/>
      <c r="G179" s="1844" t="s">
        <v>32</v>
      </c>
      <c r="H179" s="1844" t="s">
        <v>32</v>
      </c>
      <c r="I179" s="1844" t="s">
        <v>32</v>
      </c>
      <c r="J179" s="651" t="s">
        <v>32</v>
      </c>
      <c r="K179" s="1844" t="s">
        <v>32</v>
      </c>
      <c r="L179" s="1844"/>
      <c r="M179" s="1844"/>
      <c r="N179" s="1844" t="s">
        <v>32</v>
      </c>
      <c r="O179" s="1844" t="s">
        <v>32</v>
      </c>
      <c r="P179" s="1844" t="s">
        <v>32</v>
      </c>
      <c r="Q179" s="1844" t="s">
        <v>32</v>
      </c>
      <c r="R179" s="1844" t="s">
        <v>32</v>
      </c>
      <c r="S179" s="1844"/>
      <c r="T179" s="1823"/>
      <c r="U179" s="1823" t="s">
        <v>32</v>
      </c>
      <c r="V179" s="1823" t="s">
        <v>32</v>
      </c>
      <c r="W179" s="1823" t="s">
        <v>32</v>
      </c>
      <c r="X179" s="1844" t="s">
        <v>32</v>
      </c>
      <c r="Y179" s="672" t="s">
        <v>32</v>
      </c>
      <c r="Z179" s="651"/>
      <c r="AA179" s="1844"/>
      <c r="AB179" s="1844" t="s">
        <v>32</v>
      </c>
      <c r="AC179" s="1844" t="s">
        <v>32</v>
      </c>
      <c r="AD179" s="1844" t="s">
        <v>32</v>
      </c>
      <c r="AE179" s="651" t="s">
        <v>32</v>
      </c>
      <c r="AF179" s="1844" t="s">
        <v>32</v>
      </c>
      <c r="AG179" s="2020"/>
      <c r="AH179" s="191"/>
      <c r="AI179" s="107"/>
    </row>
    <row r="180" spans="1:35" ht="22.35" customHeight="1" thickBot="1" x14ac:dyDescent="0.25">
      <c r="A180" s="1016"/>
      <c r="B180" s="1004"/>
      <c r="C180" s="2021"/>
      <c r="D180" s="2021"/>
      <c r="E180" s="2021"/>
      <c r="F180" s="2021"/>
      <c r="G180" s="2021"/>
      <c r="H180" s="2021"/>
      <c r="I180" s="2021"/>
      <c r="J180" s="2021"/>
      <c r="K180" s="2021"/>
      <c r="L180" s="2021"/>
      <c r="M180" s="2021"/>
      <c r="N180" s="2021"/>
      <c r="O180" s="2021"/>
      <c r="P180" s="2021"/>
      <c r="Q180" s="2021"/>
      <c r="R180" s="2021"/>
      <c r="S180" s="2021"/>
      <c r="T180" s="2021"/>
      <c r="U180" s="2021"/>
      <c r="V180" s="2021"/>
      <c r="W180" s="2021"/>
      <c r="X180" s="2021"/>
      <c r="Y180" s="2021"/>
      <c r="Z180" s="2021"/>
      <c r="AA180" s="2021"/>
      <c r="AB180" s="2021"/>
      <c r="AC180" s="2021"/>
      <c r="AD180" s="2021"/>
      <c r="AE180" s="2021"/>
      <c r="AF180" s="2021"/>
      <c r="AG180" s="2022"/>
      <c r="AH180" s="107"/>
      <c r="AI180" s="107"/>
    </row>
    <row r="181" spans="1:35" ht="22.35" customHeight="1" x14ac:dyDescent="0.2">
      <c r="A181" s="200"/>
      <c r="B181" s="198"/>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c r="AA181" s="199"/>
      <c r="AB181" s="199"/>
      <c r="AC181" s="199"/>
      <c r="AD181" s="199"/>
      <c r="AE181" s="199"/>
      <c r="AF181" s="199"/>
      <c r="AG181" s="199"/>
      <c r="AH181" s="107"/>
      <c r="AI181" s="107"/>
    </row>
    <row r="182" spans="1:35" ht="22.35" customHeight="1" x14ac:dyDescent="0.2">
      <c r="A182" s="200"/>
      <c r="B182" s="198"/>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c r="AA182" s="199"/>
      <c r="AB182" s="199"/>
      <c r="AC182" s="199"/>
      <c r="AD182" s="199"/>
      <c r="AE182" s="199"/>
      <c r="AF182" s="199"/>
      <c r="AG182" s="199"/>
      <c r="AH182" s="107"/>
      <c r="AI182" s="107"/>
    </row>
    <row r="183" spans="1:35" ht="22.35" customHeight="1" thickBot="1" x14ac:dyDescent="0.25">
      <c r="A183" s="148" t="s">
        <v>232</v>
      </c>
      <c r="B183" s="72"/>
      <c r="C183" s="106"/>
      <c r="D183" s="72"/>
      <c r="E183" s="72"/>
      <c r="F183" s="106"/>
      <c r="G183" s="72"/>
      <c r="H183" s="72"/>
      <c r="I183" s="106"/>
      <c r="J183" s="106"/>
      <c r="K183" s="72"/>
      <c r="L183" s="106"/>
      <c r="M183" s="72"/>
      <c r="N183" s="72"/>
      <c r="O183" s="106"/>
      <c r="P183" s="72"/>
      <c r="Q183" s="106"/>
      <c r="R183" s="106"/>
      <c r="S183" s="72"/>
      <c r="T183" s="72"/>
      <c r="U183" s="106"/>
      <c r="V183" s="72"/>
      <c r="W183" s="106"/>
      <c r="X183" s="106"/>
      <c r="Y183" s="72"/>
      <c r="Z183" s="72"/>
      <c r="AA183" s="72"/>
      <c r="AB183" s="72"/>
      <c r="AC183" s="72"/>
      <c r="AD183" s="72"/>
      <c r="AE183" s="106"/>
      <c r="AF183" s="72"/>
      <c r="AG183" s="72"/>
      <c r="AH183" s="107"/>
      <c r="AI183" s="107"/>
    </row>
    <row r="184" spans="1:35" ht="22.35" customHeight="1" x14ac:dyDescent="0.2">
      <c r="A184" s="109"/>
      <c r="B184" s="2023" t="s">
        <v>233</v>
      </c>
      <c r="C184" s="2024"/>
      <c r="D184" s="361" t="s">
        <v>107</v>
      </c>
      <c r="E184" s="362"/>
      <c r="F184" s="2025"/>
      <c r="G184" s="2026"/>
      <c r="H184" s="361" t="s">
        <v>108</v>
      </c>
      <c r="I184" s="362"/>
      <c r="J184" s="2025"/>
      <c r="K184" s="2026"/>
      <c r="L184" s="361" t="s">
        <v>109</v>
      </c>
      <c r="M184" s="362"/>
      <c r="N184" s="2025"/>
      <c r="O184" s="2026"/>
      <c r="P184" s="361" t="s">
        <v>110</v>
      </c>
      <c r="Q184" s="362"/>
      <c r="R184" s="2025"/>
      <c r="S184" s="2026"/>
      <c r="T184" s="361" t="s">
        <v>111</v>
      </c>
      <c r="U184" s="362"/>
      <c r="V184" s="2025"/>
      <c r="W184" s="2026"/>
      <c r="X184" s="361" t="s">
        <v>112</v>
      </c>
      <c r="Y184" s="362"/>
      <c r="Z184" s="2025"/>
      <c r="AA184" s="2026"/>
      <c r="AB184" s="361" t="s">
        <v>113</v>
      </c>
      <c r="AC184" s="362"/>
      <c r="AD184" s="362"/>
      <c r="AE184" s="2027" t="s">
        <v>114</v>
      </c>
      <c r="AF184" s="362"/>
      <c r="AG184" s="362"/>
      <c r="AH184" s="362"/>
      <c r="AI184" s="2028"/>
    </row>
    <row r="185" spans="1:35" ht="22.35" customHeight="1" x14ac:dyDescent="0.2">
      <c r="A185" s="109"/>
      <c r="B185" s="396" t="s">
        <v>234</v>
      </c>
      <c r="C185" s="397" t="s">
        <v>235</v>
      </c>
      <c r="D185" s="379" t="s">
        <v>236</v>
      </c>
      <c r="E185" s="380"/>
      <c r="F185" s="381"/>
      <c r="G185" s="398"/>
      <c r="H185" s="379" t="s">
        <v>236</v>
      </c>
      <c r="I185" s="380"/>
      <c r="J185" s="381"/>
      <c r="K185" s="398"/>
      <c r="L185" s="379" t="s">
        <v>236</v>
      </c>
      <c r="M185" s="380"/>
      <c r="N185" s="381"/>
      <c r="O185" s="398"/>
      <c r="P185" s="379" t="s">
        <v>237</v>
      </c>
      <c r="Q185" s="380"/>
      <c r="R185" s="381"/>
      <c r="S185" s="398"/>
      <c r="T185" s="379" t="s">
        <v>238</v>
      </c>
      <c r="U185" s="381"/>
      <c r="V185" s="381"/>
      <c r="W185" s="399"/>
      <c r="X185" s="382"/>
      <c r="Y185" s="382"/>
      <c r="Z185" s="383"/>
      <c r="AA185" s="399"/>
      <c r="AB185" s="382"/>
      <c r="AC185" s="382"/>
      <c r="AD185" s="382"/>
      <c r="AE185" s="399"/>
      <c r="AF185" s="382"/>
      <c r="AG185" s="382"/>
      <c r="AH185" s="384"/>
      <c r="AI185" s="2029"/>
    </row>
    <row r="186" spans="1:35" ht="22.35" customHeight="1" x14ac:dyDescent="0.2">
      <c r="A186" s="109"/>
      <c r="B186" s="396" t="s">
        <v>234</v>
      </c>
      <c r="C186" s="397" t="s">
        <v>239</v>
      </c>
      <c r="D186" s="379" t="s">
        <v>236</v>
      </c>
      <c r="E186" s="380"/>
      <c r="F186" s="381"/>
      <c r="G186" s="398"/>
      <c r="H186" s="379" t="s">
        <v>236</v>
      </c>
      <c r="I186" s="380"/>
      <c r="J186" s="381"/>
      <c r="K186" s="398"/>
      <c r="L186" s="379" t="s">
        <v>236</v>
      </c>
      <c r="M186" s="380"/>
      <c r="N186" s="381"/>
      <c r="O186" s="398"/>
      <c r="P186" s="379" t="s">
        <v>237</v>
      </c>
      <c r="Q186" s="380"/>
      <c r="R186" s="381"/>
      <c r="S186" s="398"/>
      <c r="T186" s="379" t="s">
        <v>238</v>
      </c>
      <c r="U186" s="381"/>
      <c r="V186" s="381"/>
      <c r="W186" s="399"/>
      <c r="X186" s="382"/>
      <c r="Y186" s="382"/>
      <c r="Z186" s="383"/>
      <c r="AA186" s="399"/>
      <c r="AB186" s="382"/>
      <c r="AC186" s="382"/>
      <c r="AD186" s="382"/>
      <c r="AE186" s="399"/>
      <c r="AF186" s="382"/>
      <c r="AG186" s="382"/>
      <c r="AH186" s="384"/>
      <c r="AI186" s="2029"/>
    </row>
    <row r="187" spans="1:35" ht="22.35" customHeight="1" x14ac:dyDescent="0.2">
      <c r="A187" s="109"/>
      <c r="B187" s="396" t="s">
        <v>240</v>
      </c>
      <c r="C187" s="397" t="s">
        <v>50</v>
      </c>
      <c r="D187" s="379" t="s">
        <v>236</v>
      </c>
      <c r="E187" s="380"/>
      <c r="F187" s="381"/>
      <c r="G187" s="398"/>
      <c r="H187" s="379" t="s">
        <v>236</v>
      </c>
      <c r="I187" s="380"/>
      <c r="J187" s="381"/>
      <c r="K187" s="398"/>
      <c r="L187" s="379" t="s">
        <v>236</v>
      </c>
      <c r="M187" s="380"/>
      <c r="N187" s="381"/>
      <c r="O187" s="398"/>
      <c r="P187" s="379" t="s">
        <v>237</v>
      </c>
      <c r="Q187" s="380"/>
      <c r="R187" s="381"/>
      <c r="S187" s="398"/>
      <c r="T187" s="379" t="s">
        <v>238</v>
      </c>
      <c r="U187" s="381"/>
      <c r="V187" s="381"/>
      <c r="W187" s="399"/>
      <c r="X187" s="382"/>
      <c r="Y187" s="382"/>
      <c r="Z187" s="383"/>
      <c r="AA187" s="399"/>
      <c r="AB187" s="382"/>
      <c r="AC187" s="382"/>
      <c r="AD187" s="382"/>
      <c r="AE187" s="399"/>
      <c r="AF187" s="382"/>
      <c r="AG187" s="382"/>
      <c r="AH187" s="384"/>
      <c r="AI187" s="2029"/>
    </row>
    <row r="188" spans="1:35" ht="22.35" customHeight="1" x14ac:dyDescent="0.2">
      <c r="A188" s="109"/>
      <c r="B188" s="396" t="s">
        <v>242</v>
      </c>
      <c r="C188" s="397" t="s">
        <v>243</v>
      </c>
      <c r="D188" s="379" t="s">
        <v>244</v>
      </c>
      <c r="E188" s="380"/>
      <c r="F188" s="381"/>
      <c r="G188" s="398"/>
      <c r="H188" s="379" t="s">
        <v>244</v>
      </c>
      <c r="I188" s="380"/>
      <c r="J188" s="381"/>
      <c r="K188" s="398"/>
      <c r="L188" s="379" t="s">
        <v>245</v>
      </c>
      <c r="M188" s="380"/>
      <c r="N188" s="381"/>
      <c r="O188" s="398"/>
      <c r="P188" s="379" t="s">
        <v>246</v>
      </c>
      <c r="Q188" s="380"/>
      <c r="R188" s="381"/>
      <c r="S188" s="398"/>
      <c r="T188" s="379" t="s">
        <v>247</v>
      </c>
      <c r="U188" s="381"/>
      <c r="V188" s="381"/>
      <c r="W188" s="399"/>
      <c r="X188" s="382"/>
      <c r="Y188" s="382"/>
      <c r="Z188" s="383"/>
      <c r="AA188" s="399"/>
      <c r="AB188" s="382"/>
      <c r="AC188" s="382"/>
      <c r="AD188" s="382"/>
      <c r="AE188" s="399"/>
      <c r="AF188" s="382"/>
      <c r="AG188" s="382"/>
      <c r="AH188" s="384"/>
      <c r="AI188" s="2029"/>
    </row>
    <row r="189" spans="1:35" ht="22.35" customHeight="1" x14ac:dyDescent="0.2">
      <c r="A189" s="109"/>
      <c r="B189" s="396" t="s">
        <v>248</v>
      </c>
      <c r="C189" s="397" t="s">
        <v>249</v>
      </c>
      <c r="D189" s="379" t="s">
        <v>250</v>
      </c>
      <c r="E189" s="380"/>
      <c r="F189" s="381"/>
      <c r="G189" s="398"/>
      <c r="H189" s="379" t="s">
        <v>250</v>
      </c>
      <c r="I189" s="380"/>
      <c r="J189" s="381"/>
      <c r="K189" s="398"/>
      <c r="L189" s="379" t="s">
        <v>251</v>
      </c>
      <c r="M189" s="380"/>
      <c r="N189" s="381"/>
      <c r="O189" s="398"/>
      <c r="P189" s="379" t="s">
        <v>252</v>
      </c>
      <c r="Q189" s="380"/>
      <c r="R189" s="381"/>
      <c r="S189" s="398"/>
      <c r="T189" s="379" t="s">
        <v>253</v>
      </c>
      <c r="U189" s="381"/>
      <c r="V189" s="381"/>
      <c r="W189" s="399"/>
      <c r="X189" s="382"/>
      <c r="Y189" s="382"/>
      <c r="Z189" s="383"/>
      <c r="AA189" s="399"/>
      <c r="AB189" s="382"/>
      <c r="AC189" s="382"/>
      <c r="AD189" s="382"/>
      <c r="AE189" s="399"/>
      <c r="AF189" s="382"/>
      <c r="AG189" s="382"/>
      <c r="AH189" s="384"/>
      <c r="AI189" s="2029"/>
    </row>
    <row r="190" spans="1:35" ht="22.35" customHeight="1" x14ac:dyDescent="0.2">
      <c r="A190" s="109"/>
      <c r="B190" s="396" t="s">
        <v>254</v>
      </c>
      <c r="C190" s="397" t="s">
        <v>142</v>
      </c>
      <c r="D190" s="379" t="s">
        <v>236</v>
      </c>
      <c r="E190" s="380"/>
      <c r="F190" s="381"/>
      <c r="G190" s="398"/>
      <c r="H190" s="379" t="s">
        <v>236</v>
      </c>
      <c r="I190" s="380"/>
      <c r="J190" s="381"/>
      <c r="K190" s="398"/>
      <c r="L190" s="379" t="s">
        <v>236</v>
      </c>
      <c r="M190" s="380"/>
      <c r="N190" s="381"/>
      <c r="O190" s="398"/>
      <c r="P190" s="379" t="s">
        <v>236</v>
      </c>
      <c r="Q190" s="380"/>
      <c r="R190" s="381"/>
      <c r="S190" s="398"/>
      <c r="T190" s="379" t="s">
        <v>250</v>
      </c>
      <c r="U190" s="381"/>
      <c r="V190" s="381"/>
      <c r="W190" s="399"/>
      <c r="X190" s="382"/>
      <c r="Y190" s="382"/>
      <c r="Z190" s="383"/>
      <c r="AA190" s="399"/>
      <c r="AB190" s="382"/>
      <c r="AC190" s="382"/>
      <c r="AD190" s="382"/>
      <c r="AE190" s="399"/>
      <c r="AF190" s="382"/>
      <c r="AG190" s="382"/>
      <c r="AH190" s="384"/>
      <c r="AI190" s="2029"/>
    </row>
    <row r="191" spans="1:35" ht="22.35" customHeight="1" x14ac:dyDescent="0.2">
      <c r="A191" s="109"/>
      <c r="B191" s="396" t="s">
        <v>255</v>
      </c>
      <c r="C191" s="397" t="s">
        <v>134</v>
      </c>
      <c r="D191" s="379" t="s">
        <v>236</v>
      </c>
      <c r="E191" s="380"/>
      <c r="F191" s="381"/>
      <c r="G191" s="398"/>
      <c r="H191" s="379" t="s">
        <v>236</v>
      </c>
      <c r="I191" s="380"/>
      <c r="J191" s="381"/>
      <c r="K191" s="398"/>
      <c r="L191" s="379" t="s">
        <v>236</v>
      </c>
      <c r="M191" s="380"/>
      <c r="N191" s="381"/>
      <c r="O191" s="398"/>
      <c r="P191" s="379" t="s">
        <v>237</v>
      </c>
      <c r="Q191" s="380"/>
      <c r="R191" s="381"/>
      <c r="S191" s="398"/>
      <c r="T191" s="379" t="s">
        <v>238</v>
      </c>
      <c r="U191" s="381"/>
      <c r="V191" s="381"/>
      <c r="W191" s="399"/>
      <c r="X191" s="382"/>
      <c r="Y191" s="382"/>
      <c r="Z191" s="383"/>
      <c r="AA191" s="399"/>
      <c r="AB191" s="382"/>
      <c r="AC191" s="382"/>
      <c r="AD191" s="382"/>
      <c r="AE191" s="399"/>
      <c r="AF191" s="382"/>
      <c r="AG191" s="382"/>
      <c r="AH191" s="384"/>
      <c r="AI191" s="2029"/>
    </row>
    <row r="192" spans="1:35" ht="22.35" customHeight="1" x14ac:dyDescent="0.2">
      <c r="A192" s="109"/>
      <c r="B192" s="396" t="s">
        <v>255</v>
      </c>
      <c r="C192" s="397" t="s">
        <v>176</v>
      </c>
      <c r="D192" s="379" t="s">
        <v>236</v>
      </c>
      <c r="E192" s="380"/>
      <c r="F192" s="381"/>
      <c r="G192" s="398"/>
      <c r="H192" s="379" t="s">
        <v>236</v>
      </c>
      <c r="I192" s="380"/>
      <c r="J192" s="381"/>
      <c r="K192" s="398"/>
      <c r="L192" s="379" t="s">
        <v>236</v>
      </c>
      <c r="M192" s="380"/>
      <c r="N192" s="381"/>
      <c r="O192" s="398"/>
      <c r="P192" s="379" t="s">
        <v>237</v>
      </c>
      <c r="Q192" s="380"/>
      <c r="R192" s="381"/>
      <c r="S192" s="398"/>
      <c r="T192" s="379" t="s">
        <v>238</v>
      </c>
      <c r="U192" s="381"/>
      <c r="V192" s="381"/>
      <c r="W192" s="399"/>
      <c r="X192" s="382"/>
      <c r="Y192" s="382"/>
      <c r="Z192" s="383"/>
      <c r="AA192" s="399"/>
      <c r="AB192" s="382"/>
      <c r="AC192" s="382"/>
      <c r="AD192" s="382"/>
      <c r="AE192" s="399"/>
      <c r="AF192" s="382"/>
      <c r="AG192" s="382"/>
      <c r="AH192" s="384"/>
      <c r="AI192" s="2029"/>
    </row>
    <row r="193" spans="1:36" ht="22.35" customHeight="1" x14ac:dyDescent="0.2">
      <c r="A193" s="109"/>
      <c r="B193" s="396" t="s">
        <v>256</v>
      </c>
      <c r="C193" s="397" t="s">
        <v>257</v>
      </c>
      <c r="D193" s="379" t="s">
        <v>236</v>
      </c>
      <c r="E193" s="380"/>
      <c r="F193" s="381"/>
      <c r="G193" s="398"/>
      <c r="H193" s="379" t="s">
        <v>236</v>
      </c>
      <c r="I193" s="380"/>
      <c r="J193" s="381"/>
      <c r="K193" s="398"/>
      <c r="L193" s="379" t="s">
        <v>236</v>
      </c>
      <c r="M193" s="380"/>
      <c r="N193" s="381"/>
      <c r="O193" s="398"/>
      <c r="P193" s="379" t="s">
        <v>258</v>
      </c>
      <c r="Q193" s="380"/>
      <c r="R193" s="381"/>
      <c r="S193" s="398"/>
      <c r="T193" s="379" t="s">
        <v>253</v>
      </c>
      <c r="U193" s="381"/>
      <c r="V193" s="381"/>
      <c r="W193" s="399"/>
      <c r="X193" s="382"/>
      <c r="Y193" s="382"/>
      <c r="Z193" s="383"/>
      <c r="AA193" s="399"/>
      <c r="AB193" s="382"/>
      <c r="AC193" s="382"/>
      <c r="AD193" s="382"/>
      <c r="AE193" s="399"/>
      <c r="AF193" s="382"/>
      <c r="AG193" s="382"/>
      <c r="AH193" s="384"/>
      <c r="AI193" s="2029"/>
    </row>
    <row r="194" spans="1:36" ht="22.35" customHeight="1" x14ac:dyDescent="0.2">
      <c r="A194" s="109"/>
      <c r="B194" s="2030" t="s">
        <v>259</v>
      </c>
      <c r="C194" s="400" t="s">
        <v>95</v>
      </c>
      <c r="D194" s="385" t="s">
        <v>236</v>
      </c>
      <c r="E194" s="386"/>
      <c r="F194" s="387"/>
      <c r="G194" s="400"/>
      <c r="H194" s="385" t="s">
        <v>236</v>
      </c>
      <c r="I194" s="386"/>
      <c r="J194" s="387"/>
      <c r="K194" s="400"/>
      <c r="L194" s="385" t="s">
        <v>236</v>
      </c>
      <c r="M194" s="386"/>
      <c r="N194" s="387"/>
      <c r="O194" s="400"/>
      <c r="P194" s="385" t="s">
        <v>237</v>
      </c>
      <c r="Q194" s="386"/>
      <c r="R194" s="387"/>
      <c r="S194" s="400"/>
      <c r="T194" s="385" t="s">
        <v>238</v>
      </c>
      <c r="U194" s="387"/>
      <c r="V194" s="388"/>
      <c r="W194" s="2031"/>
      <c r="X194" s="188"/>
      <c r="Y194" s="188"/>
      <c r="Z194" s="388"/>
      <c r="AA194" s="2031"/>
      <c r="AB194" s="188"/>
      <c r="AC194" s="188"/>
      <c r="AD194" s="188"/>
      <c r="AE194" s="2031"/>
      <c r="AF194" s="188"/>
      <c r="AG194" s="188"/>
      <c r="AH194" s="189"/>
      <c r="AI194" s="2032"/>
      <c r="AJ194" s="190"/>
    </row>
    <row r="195" spans="1:36" ht="22.35" customHeight="1" x14ac:dyDescent="0.2">
      <c r="A195" s="109"/>
      <c r="B195" s="396" t="s">
        <v>260</v>
      </c>
      <c r="C195" s="397" t="s">
        <v>177</v>
      </c>
      <c r="D195" s="379" t="s">
        <v>236</v>
      </c>
      <c r="E195" s="380"/>
      <c r="F195" s="381"/>
      <c r="G195" s="398"/>
      <c r="H195" s="379" t="s">
        <v>236</v>
      </c>
      <c r="I195" s="380"/>
      <c r="J195" s="381"/>
      <c r="K195" s="398"/>
      <c r="L195" s="379" t="s">
        <v>236</v>
      </c>
      <c r="M195" s="380"/>
      <c r="N195" s="381"/>
      <c r="O195" s="398"/>
      <c r="P195" s="379" t="s">
        <v>237</v>
      </c>
      <c r="Q195" s="380"/>
      <c r="R195" s="381"/>
      <c r="S195" s="398"/>
      <c r="T195" s="379" t="s">
        <v>238</v>
      </c>
      <c r="U195" s="381"/>
      <c r="V195" s="380"/>
      <c r="W195" s="399"/>
      <c r="X195" s="382"/>
      <c r="Y195" s="382"/>
      <c r="Z195" s="382"/>
      <c r="AA195" s="399"/>
      <c r="AB195" s="382"/>
      <c r="AC195" s="382"/>
      <c r="AD195" s="382"/>
      <c r="AE195" s="399"/>
      <c r="AF195" s="382"/>
      <c r="AG195" s="382"/>
      <c r="AH195" s="384"/>
      <c r="AI195" s="2029"/>
      <c r="AJ195" s="190"/>
    </row>
    <row r="196" spans="1:36" ht="22.35" customHeight="1" x14ac:dyDescent="0.2">
      <c r="A196" s="109"/>
      <c r="B196" s="396" t="s">
        <v>261</v>
      </c>
      <c r="C196" s="397" t="s">
        <v>137</v>
      </c>
      <c r="D196" s="379" t="s">
        <v>262</v>
      </c>
      <c r="E196" s="380"/>
      <c r="F196" s="381"/>
      <c r="G196" s="398"/>
      <c r="H196" s="379" t="s">
        <v>262</v>
      </c>
      <c r="I196" s="380"/>
      <c r="J196" s="381"/>
      <c r="K196" s="398"/>
      <c r="L196" s="379" t="s">
        <v>262</v>
      </c>
      <c r="M196" s="380"/>
      <c r="N196" s="380"/>
      <c r="O196" s="398"/>
      <c r="P196" s="379" t="s">
        <v>262</v>
      </c>
      <c r="Q196" s="380"/>
      <c r="R196" s="380"/>
      <c r="S196" s="398"/>
      <c r="T196" s="379" t="s">
        <v>253</v>
      </c>
      <c r="U196" s="381"/>
      <c r="V196" s="380"/>
      <c r="W196" s="401"/>
      <c r="X196" s="382"/>
      <c r="Y196" s="382"/>
      <c r="Z196" s="382"/>
      <c r="AA196" s="399"/>
      <c r="AB196" s="382"/>
      <c r="AC196" s="382"/>
      <c r="AD196" s="382"/>
      <c r="AE196" s="399"/>
      <c r="AF196" s="382"/>
      <c r="AG196" s="382"/>
      <c r="AH196" s="384"/>
      <c r="AI196" s="2029"/>
      <c r="AJ196" s="190"/>
    </row>
    <row r="197" spans="1:36" ht="22.35" customHeight="1" x14ac:dyDescent="0.2">
      <c r="A197" s="109"/>
      <c r="B197" s="396" t="s">
        <v>263</v>
      </c>
      <c r="C197" s="397" t="s">
        <v>264</v>
      </c>
      <c r="D197" s="379" t="s">
        <v>262</v>
      </c>
      <c r="E197" s="380"/>
      <c r="F197" s="381"/>
      <c r="G197" s="398"/>
      <c r="H197" s="379" t="s">
        <v>262</v>
      </c>
      <c r="I197" s="380"/>
      <c r="J197" s="381"/>
      <c r="K197" s="398"/>
      <c r="L197" s="379" t="s">
        <v>262</v>
      </c>
      <c r="M197" s="380"/>
      <c r="N197" s="380"/>
      <c r="O197" s="398"/>
      <c r="P197" s="379" t="s">
        <v>262</v>
      </c>
      <c r="Q197" s="380"/>
      <c r="R197" s="380"/>
      <c r="S197" s="398"/>
      <c r="T197" s="379" t="s">
        <v>253</v>
      </c>
      <c r="U197" s="381"/>
      <c r="V197" s="380"/>
      <c r="W197" s="401"/>
      <c r="X197" s="382"/>
      <c r="Y197" s="382"/>
      <c r="Z197" s="383"/>
      <c r="AA197" s="389"/>
      <c r="AB197" s="382"/>
      <c r="AC197" s="382"/>
      <c r="AD197" s="382"/>
      <c r="AE197" s="399"/>
      <c r="AF197" s="382"/>
      <c r="AG197" s="382"/>
      <c r="AH197" s="384"/>
      <c r="AI197" s="2029"/>
      <c r="AJ197" s="190"/>
    </row>
    <row r="198" spans="1:36" ht="22.35" customHeight="1" thickBot="1" x14ac:dyDescent="0.25">
      <c r="A198" s="109"/>
      <c r="B198" s="2033" t="s">
        <v>265</v>
      </c>
      <c r="C198" s="2034" t="s">
        <v>266</v>
      </c>
      <c r="D198" s="658" t="s">
        <v>262</v>
      </c>
      <c r="E198" s="659"/>
      <c r="F198" s="2035"/>
      <c r="G198" s="2036"/>
      <c r="H198" s="658" t="s">
        <v>262</v>
      </c>
      <c r="I198" s="659"/>
      <c r="J198" s="2035"/>
      <c r="K198" s="2036"/>
      <c r="L198" s="658" t="s">
        <v>262</v>
      </c>
      <c r="M198" s="659"/>
      <c r="N198" s="659"/>
      <c r="O198" s="2036"/>
      <c r="P198" s="658" t="s">
        <v>262</v>
      </c>
      <c r="Q198" s="659"/>
      <c r="R198" s="659"/>
      <c r="S198" s="2036"/>
      <c r="T198" s="658" t="s">
        <v>253</v>
      </c>
      <c r="U198" s="2035"/>
      <c r="V198" s="659"/>
      <c r="W198" s="2037"/>
      <c r="X198" s="660"/>
      <c r="Y198" s="660"/>
      <c r="Z198" s="2038"/>
      <c r="AA198" s="661"/>
      <c r="AB198" s="660"/>
      <c r="AC198" s="660"/>
      <c r="AD198" s="660"/>
      <c r="AE198" s="2039"/>
      <c r="AF198" s="660"/>
      <c r="AG198" s="660"/>
      <c r="AH198" s="662"/>
      <c r="AI198" s="2040"/>
      <c r="AJ198" s="190"/>
    </row>
    <row r="199" spans="1:36" ht="22.35" customHeight="1" x14ac:dyDescent="0.2">
      <c r="A199" s="109"/>
      <c r="B199" s="206"/>
      <c r="C199" s="207"/>
      <c r="D199" s="208"/>
      <c r="E199" s="209"/>
      <c r="F199" s="209"/>
      <c r="G199" s="210"/>
      <c r="H199" s="208"/>
      <c r="I199" s="209"/>
      <c r="J199" s="209"/>
      <c r="K199" s="210"/>
      <c r="L199" s="208"/>
      <c r="M199" s="209"/>
      <c r="N199" s="209"/>
      <c r="O199" s="210"/>
      <c r="P199" s="198"/>
      <c r="Q199" s="209"/>
      <c r="R199" s="209"/>
      <c r="S199" s="210"/>
      <c r="T199" s="198"/>
      <c r="U199" s="209"/>
      <c r="V199" s="209"/>
      <c r="W199" s="209"/>
      <c r="X199" s="209"/>
      <c r="Y199" s="209"/>
      <c r="Z199" s="209"/>
      <c r="AA199" s="210"/>
      <c r="AB199" s="209"/>
      <c r="AC199" s="209"/>
      <c r="AD199" s="209"/>
      <c r="AE199" s="210"/>
      <c r="AF199" s="209"/>
      <c r="AG199" s="209"/>
      <c r="AH199" s="191"/>
      <c r="AI199" s="191"/>
      <c r="AJ199" s="190"/>
    </row>
    <row r="200" spans="1:36" ht="22.35" customHeight="1" thickBot="1" x14ac:dyDescent="0.25">
      <c r="A200" s="147"/>
      <c r="B200" s="390" t="s">
        <v>29</v>
      </c>
      <c r="C200" s="1834">
        <v>1</v>
      </c>
      <c r="D200" s="1834">
        <v>2</v>
      </c>
      <c r="E200" s="1835">
        <v>3</v>
      </c>
      <c r="F200" s="1835">
        <v>4</v>
      </c>
      <c r="G200" s="1834">
        <v>5</v>
      </c>
      <c r="H200" s="1834">
        <v>6</v>
      </c>
      <c r="I200" s="1834">
        <v>7</v>
      </c>
      <c r="J200" s="1834">
        <v>8</v>
      </c>
      <c r="K200" s="1834">
        <v>9</v>
      </c>
      <c r="L200" s="1835">
        <v>10</v>
      </c>
      <c r="M200" s="1835">
        <v>11</v>
      </c>
      <c r="N200" s="1834">
        <v>12</v>
      </c>
      <c r="O200" s="1834">
        <v>13</v>
      </c>
      <c r="P200" s="1834">
        <v>14</v>
      </c>
      <c r="Q200" s="1834">
        <v>15</v>
      </c>
      <c r="R200" s="1834">
        <v>16</v>
      </c>
      <c r="S200" s="1835">
        <v>17</v>
      </c>
      <c r="T200" s="1835">
        <v>18</v>
      </c>
      <c r="U200" s="1834">
        <v>19</v>
      </c>
      <c r="V200" s="1834">
        <v>20</v>
      </c>
      <c r="W200" s="1834">
        <v>21</v>
      </c>
      <c r="X200" s="1834">
        <v>22</v>
      </c>
      <c r="Y200" s="1834">
        <v>23</v>
      </c>
      <c r="Z200" s="1835">
        <v>24</v>
      </c>
      <c r="AA200" s="1835">
        <v>25</v>
      </c>
      <c r="AB200" s="1834">
        <v>26</v>
      </c>
      <c r="AC200" s="1834">
        <v>27</v>
      </c>
      <c r="AD200" s="1834">
        <v>28</v>
      </c>
      <c r="AE200" s="1834">
        <v>29</v>
      </c>
      <c r="AF200" s="1834">
        <v>30</v>
      </c>
      <c r="AG200" s="1836"/>
      <c r="AH200" s="180"/>
      <c r="AI200" s="174"/>
    </row>
    <row r="201" spans="1:36" ht="22.35" customHeight="1" x14ac:dyDescent="0.2">
      <c r="A201" s="109"/>
      <c r="B201" s="2041" t="s">
        <v>267</v>
      </c>
      <c r="C201" s="2042" t="s">
        <v>235</v>
      </c>
      <c r="D201" s="2042" t="s">
        <v>235</v>
      </c>
      <c r="E201" s="2042"/>
      <c r="F201" s="2042"/>
      <c r="G201" s="2043" t="s">
        <v>235</v>
      </c>
      <c r="H201" s="2043" t="s">
        <v>235</v>
      </c>
      <c r="I201" s="2043" t="s">
        <v>235</v>
      </c>
      <c r="J201" s="2043" t="s">
        <v>235</v>
      </c>
      <c r="K201" s="2043" t="s">
        <v>235</v>
      </c>
      <c r="L201" s="2043"/>
      <c r="M201" s="2043"/>
      <c r="N201" s="2043" t="s">
        <v>235</v>
      </c>
      <c r="O201" s="2043" t="s">
        <v>235</v>
      </c>
      <c r="P201" s="2043" t="s">
        <v>235</v>
      </c>
      <c r="Q201" s="2043" t="s">
        <v>235</v>
      </c>
      <c r="R201" s="2043" t="s">
        <v>235</v>
      </c>
      <c r="S201" s="2043"/>
      <c r="T201" s="2043"/>
      <c r="U201" s="2043" t="s">
        <v>235</v>
      </c>
      <c r="V201" s="2043" t="s">
        <v>235</v>
      </c>
      <c r="W201" s="2043" t="s">
        <v>235</v>
      </c>
      <c r="X201" s="2043" t="s">
        <v>235</v>
      </c>
      <c r="Y201" s="2043" t="s">
        <v>235</v>
      </c>
      <c r="Z201" s="2042"/>
      <c r="AA201" s="2042"/>
      <c r="AB201" s="2042" t="s">
        <v>235</v>
      </c>
      <c r="AC201" s="2042" t="s">
        <v>235</v>
      </c>
      <c r="AD201" s="2042" t="s">
        <v>235</v>
      </c>
      <c r="AE201" s="2042" t="s">
        <v>235</v>
      </c>
      <c r="AF201" s="2042" t="s">
        <v>235</v>
      </c>
      <c r="AG201" s="2042"/>
      <c r="AH201" s="179"/>
      <c r="AI201" s="179"/>
    </row>
    <row r="202" spans="1:36" ht="22.35" customHeight="1" x14ac:dyDescent="0.2">
      <c r="A202" s="109"/>
      <c r="B202" s="663" t="s">
        <v>268</v>
      </c>
      <c r="C202" s="2044" t="s">
        <v>235</v>
      </c>
      <c r="D202" s="2044" t="s">
        <v>235</v>
      </c>
      <c r="E202" s="2044"/>
      <c r="F202" s="2044"/>
      <c r="G202" s="2044" t="s">
        <v>235</v>
      </c>
      <c r="H202" s="2044" t="s">
        <v>235</v>
      </c>
      <c r="I202" s="2044" t="s">
        <v>235</v>
      </c>
      <c r="J202" s="2044" t="s">
        <v>235</v>
      </c>
      <c r="K202" s="2044" t="s">
        <v>235</v>
      </c>
      <c r="L202" s="2044"/>
      <c r="M202" s="2044"/>
      <c r="N202" s="2044" t="s">
        <v>235</v>
      </c>
      <c r="O202" s="2044" t="s">
        <v>235</v>
      </c>
      <c r="P202" s="2044" t="s">
        <v>235</v>
      </c>
      <c r="Q202" s="2044" t="s">
        <v>235</v>
      </c>
      <c r="R202" s="2044" t="s">
        <v>235</v>
      </c>
      <c r="S202" s="2044"/>
      <c r="T202" s="2044"/>
      <c r="U202" s="2044" t="s">
        <v>235</v>
      </c>
      <c r="V202" s="2044" t="s">
        <v>235</v>
      </c>
      <c r="W202" s="2044" t="s">
        <v>235</v>
      </c>
      <c r="X202" s="2044" t="s">
        <v>235</v>
      </c>
      <c r="Y202" s="2044" t="s">
        <v>235</v>
      </c>
      <c r="Z202" s="2044"/>
      <c r="AA202" s="2044"/>
      <c r="AB202" s="2044" t="s">
        <v>235</v>
      </c>
      <c r="AC202" s="2044" t="s">
        <v>235</v>
      </c>
      <c r="AD202" s="2044" t="s">
        <v>235</v>
      </c>
      <c r="AE202" s="2044" t="s">
        <v>235</v>
      </c>
      <c r="AF202" s="2044" t="s">
        <v>235</v>
      </c>
      <c r="AG202" s="2044"/>
      <c r="AH202" s="179"/>
      <c r="AI202" s="179"/>
    </row>
    <row r="203" spans="1:36" ht="22.35" customHeight="1" x14ac:dyDescent="0.2">
      <c r="A203" s="109"/>
      <c r="B203" s="663" t="s">
        <v>270</v>
      </c>
      <c r="C203" s="2044" t="s">
        <v>239</v>
      </c>
      <c r="D203" s="2044" t="s">
        <v>239</v>
      </c>
      <c r="E203" s="2044"/>
      <c r="F203" s="2044"/>
      <c r="G203" s="2044" t="s">
        <v>239</v>
      </c>
      <c r="H203" s="2044" t="s">
        <v>239</v>
      </c>
      <c r="I203" s="2044" t="s">
        <v>235</v>
      </c>
      <c r="J203" s="2044" t="s">
        <v>239</v>
      </c>
      <c r="K203" s="2044" t="s">
        <v>239</v>
      </c>
      <c r="L203" s="2044"/>
      <c r="M203" s="2044"/>
      <c r="N203" s="2044" t="s">
        <v>239</v>
      </c>
      <c r="O203" s="2044" t="s">
        <v>239</v>
      </c>
      <c r="P203" s="2044" t="s">
        <v>235</v>
      </c>
      <c r="Q203" s="2044" t="s">
        <v>239</v>
      </c>
      <c r="R203" s="2044" t="s">
        <v>239</v>
      </c>
      <c r="S203" s="2044"/>
      <c r="T203" s="2044"/>
      <c r="U203" s="2044" t="s">
        <v>239</v>
      </c>
      <c r="V203" s="2044" t="s">
        <v>239</v>
      </c>
      <c r="W203" s="2044" t="s">
        <v>235</v>
      </c>
      <c r="X203" s="2044" t="s">
        <v>239</v>
      </c>
      <c r="Y203" s="2044" t="s">
        <v>239</v>
      </c>
      <c r="Z203" s="2044"/>
      <c r="AA203" s="2044"/>
      <c r="AB203" s="2044" t="s">
        <v>239</v>
      </c>
      <c r="AC203" s="2044" t="s">
        <v>239</v>
      </c>
      <c r="AD203" s="2044" t="s">
        <v>235</v>
      </c>
      <c r="AE203" s="2044" t="s">
        <v>239</v>
      </c>
      <c r="AF203" s="2044" t="s">
        <v>239</v>
      </c>
      <c r="AG203" s="2044"/>
      <c r="AH203" s="179"/>
      <c r="AI203" s="179"/>
    </row>
    <row r="204" spans="1:36" ht="22.35" customHeight="1" x14ac:dyDescent="0.2">
      <c r="A204" s="109"/>
      <c r="B204" s="663" t="s">
        <v>271</v>
      </c>
      <c r="C204" s="2044" t="s">
        <v>50</v>
      </c>
      <c r="D204" s="2044" t="s">
        <v>50</v>
      </c>
      <c r="E204" s="2044"/>
      <c r="F204" s="2044"/>
      <c r="G204" s="2044" t="s">
        <v>50</v>
      </c>
      <c r="H204" s="2044" t="s">
        <v>50</v>
      </c>
      <c r="I204" s="2044" t="s">
        <v>50</v>
      </c>
      <c r="J204" s="2044" t="s">
        <v>50</v>
      </c>
      <c r="K204" s="2044" t="s">
        <v>50</v>
      </c>
      <c r="L204" s="2044"/>
      <c r="M204" s="2044"/>
      <c r="N204" s="2044" t="s">
        <v>50</v>
      </c>
      <c r="O204" s="2044" t="s">
        <v>50</v>
      </c>
      <c r="P204" s="2044" t="s">
        <v>50</v>
      </c>
      <c r="Q204" s="2044" t="s">
        <v>50</v>
      </c>
      <c r="R204" s="2044" t="s">
        <v>50</v>
      </c>
      <c r="S204" s="2044"/>
      <c r="T204" s="2044"/>
      <c r="U204" s="2045" t="s">
        <v>50</v>
      </c>
      <c r="V204" s="2044" t="s">
        <v>50</v>
      </c>
      <c r="W204" s="2044" t="s">
        <v>50</v>
      </c>
      <c r="X204" s="2044" t="s">
        <v>50</v>
      </c>
      <c r="Y204" s="2044" t="s">
        <v>50</v>
      </c>
      <c r="Z204" s="2044"/>
      <c r="AA204" s="2044"/>
      <c r="AB204" s="2044" t="s">
        <v>50</v>
      </c>
      <c r="AC204" s="2044" t="s">
        <v>50</v>
      </c>
      <c r="AD204" s="2044" t="s">
        <v>50</v>
      </c>
      <c r="AE204" s="2044" t="s">
        <v>50</v>
      </c>
      <c r="AF204" s="2044" t="s">
        <v>50</v>
      </c>
      <c r="AG204" s="2044"/>
      <c r="AH204" s="179"/>
      <c r="AI204" s="179"/>
    </row>
    <row r="205" spans="1:36" ht="22.35" customHeight="1" x14ac:dyDescent="0.2">
      <c r="A205" s="109"/>
      <c r="B205" s="1910" t="s">
        <v>272</v>
      </c>
      <c r="C205" s="2044" t="s">
        <v>243</v>
      </c>
      <c r="D205" s="2044" t="s">
        <v>243</v>
      </c>
      <c r="E205" s="2044"/>
      <c r="F205" s="2044"/>
      <c r="G205" s="2044" t="s">
        <v>243</v>
      </c>
      <c r="H205" s="2044" t="s">
        <v>243</v>
      </c>
      <c r="I205" s="2044" t="s">
        <v>243</v>
      </c>
      <c r="J205" s="2044" t="s">
        <v>243</v>
      </c>
      <c r="K205" s="2044" t="s">
        <v>243</v>
      </c>
      <c r="L205" s="2044"/>
      <c r="M205" s="2044"/>
      <c r="N205" s="2044" t="s">
        <v>243</v>
      </c>
      <c r="O205" s="2044" t="s">
        <v>243</v>
      </c>
      <c r="P205" s="2044" t="s">
        <v>243</v>
      </c>
      <c r="Q205" s="2044" t="s">
        <v>243</v>
      </c>
      <c r="R205" s="2044" t="s">
        <v>243</v>
      </c>
      <c r="S205" s="2044"/>
      <c r="T205" s="2044"/>
      <c r="U205" s="2045" t="s">
        <v>243</v>
      </c>
      <c r="V205" s="2044" t="s">
        <v>243</v>
      </c>
      <c r="W205" s="2044" t="s">
        <v>243</v>
      </c>
      <c r="X205" s="2044" t="s">
        <v>243</v>
      </c>
      <c r="Y205" s="2044" t="s">
        <v>243</v>
      </c>
      <c r="Z205" s="2044"/>
      <c r="AA205" s="2044"/>
      <c r="AB205" s="2044" t="s">
        <v>243</v>
      </c>
      <c r="AC205" s="2044" t="s">
        <v>243</v>
      </c>
      <c r="AD205" s="2044" t="s">
        <v>243</v>
      </c>
      <c r="AE205" s="2044" t="s">
        <v>243</v>
      </c>
      <c r="AF205" s="2044" t="s">
        <v>243</v>
      </c>
      <c r="AG205" s="2044"/>
      <c r="AH205" s="179"/>
      <c r="AI205" s="179"/>
    </row>
    <row r="206" spans="1:36" ht="22.35" customHeight="1" x14ac:dyDescent="0.2">
      <c r="A206" s="109"/>
      <c r="B206" s="1839"/>
      <c r="C206" s="2044" t="s">
        <v>249</v>
      </c>
      <c r="D206" s="2044" t="s">
        <v>249</v>
      </c>
      <c r="E206" s="2044"/>
      <c r="F206" s="2044"/>
      <c r="G206" s="2044" t="s">
        <v>249</v>
      </c>
      <c r="H206" s="2044" t="s">
        <v>249</v>
      </c>
      <c r="I206" s="2044" t="s">
        <v>249</v>
      </c>
      <c r="J206" s="2044" t="s">
        <v>249</v>
      </c>
      <c r="K206" s="2044" t="s">
        <v>249</v>
      </c>
      <c r="L206" s="2044"/>
      <c r="M206" s="2044"/>
      <c r="N206" s="2044" t="s">
        <v>249</v>
      </c>
      <c r="O206" s="2044" t="s">
        <v>249</v>
      </c>
      <c r="P206" s="2044" t="s">
        <v>249</v>
      </c>
      <c r="Q206" s="2044" t="s">
        <v>249</v>
      </c>
      <c r="R206" s="2044" t="s">
        <v>249</v>
      </c>
      <c r="S206" s="2044"/>
      <c r="T206" s="2044"/>
      <c r="U206" s="2044" t="s">
        <v>249</v>
      </c>
      <c r="V206" s="2044" t="s">
        <v>249</v>
      </c>
      <c r="W206" s="2044" t="s">
        <v>249</v>
      </c>
      <c r="X206" s="2044" t="s">
        <v>249</v>
      </c>
      <c r="Y206" s="2044" t="s">
        <v>249</v>
      </c>
      <c r="Z206" s="2044"/>
      <c r="AA206" s="2044"/>
      <c r="AB206" s="2044" t="s">
        <v>249</v>
      </c>
      <c r="AC206" s="2044" t="s">
        <v>249</v>
      </c>
      <c r="AD206" s="2044" t="s">
        <v>249</v>
      </c>
      <c r="AE206" s="2044" t="s">
        <v>249</v>
      </c>
      <c r="AF206" s="2044" t="s">
        <v>249</v>
      </c>
      <c r="AG206" s="2044"/>
      <c r="AH206" s="179"/>
      <c r="AI206" s="179"/>
    </row>
    <row r="207" spans="1:36" ht="22.35" customHeight="1" x14ac:dyDescent="0.2">
      <c r="A207" s="109"/>
      <c r="B207" s="663" t="s">
        <v>273</v>
      </c>
      <c r="C207" s="2046" t="s">
        <v>142</v>
      </c>
      <c r="D207" s="2046" t="s">
        <v>142</v>
      </c>
      <c r="E207" s="2046"/>
      <c r="F207" s="2046"/>
      <c r="G207" s="2046" t="s">
        <v>142</v>
      </c>
      <c r="H207" s="2046" t="s">
        <v>142</v>
      </c>
      <c r="I207" s="2046" t="s">
        <v>142</v>
      </c>
      <c r="J207" s="2046" t="s">
        <v>142</v>
      </c>
      <c r="K207" s="2046" t="s">
        <v>142</v>
      </c>
      <c r="L207" s="2046"/>
      <c r="M207" s="2046"/>
      <c r="N207" s="2046" t="s">
        <v>142</v>
      </c>
      <c r="O207" s="2046" t="s">
        <v>142</v>
      </c>
      <c r="P207" s="2046" t="s">
        <v>142</v>
      </c>
      <c r="Q207" s="2046" t="s">
        <v>142</v>
      </c>
      <c r="R207" s="2046" t="s">
        <v>142</v>
      </c>
      <c r="S207" s="2046"/>
      <c r="T207" s="2046"/>
      <c r="U207" s="2046" t="s">
        <v>142</v>
      </c>
      <c r="V207" s="2046" t="s">
        <v>142</v>
      </c>
      <c r="W207" s="2046" t="s">
        <v>142</v>
      </c>
      <c r="X207" s="2046" t="s">
        <v>142</v>
      </c>
      <c r="Y207" s="2046" t="s">
        <v>142</v>
      </c>
      <c r="Z207" s="2046"/>
      <c r="AA207" s="2046"/>
      <c r="AB207" s="2046" t="s">
        <v>142</v>
      </c>
      <c r="AC207" s="2046" t="s">
        <v>142</v>
      </c>
      <c r="AD207" s="2046" t="s">
        <v>142</v>
      </c>
      <c r="AE207" s="2046" t="s">
        <v>142</v>
      </c>
      <c r="AF207" s="2046" t="s">
        <v>142</v>
      </c>
      <c r="AG207" s="2046"/>
      <c r="AH207" s="179"/>
      <c r="AI207" s="179"/>
    </row>
    <row r="208" spans="1:36" ht="22.35" customHeight="1" x14ac:dyDescent="0.2">
      <c r="A208" s="109"/>
      <c r="B208" s="634" t="s">
        <v>0</v>
      </c>
      <c r="C208" s="2044" t="s">
        <v>134</v>
      </c>
      <c r="D208" s="2044" t="s">
        <v>134</v>
      </c>
      <c r="E208" s="2044"/>
      <c r="F208" s="2044"/>
      <c r="G208" s="2044" t="s">
        <v>134</v>
      </c>
      <c r="H208" s="2044" t="s">
        <v>134</v>
      </c>
      <c r="I208" s="2044" t="s">
        <v>134</v>
      </c>
      <c r="J208" s="2044" t="s">
        <v>134</v>
      </c>
      <c r="K208" s="2044" t="s">
        <v>134</v>
      </c>
      <c r="L208" s="2044"/>
      <c r="M208" s="2044"/>
      <c r="N208" s="2044" t="s">
        <v>134</v>
      </c>
      <c r="O208" s="2044" t="s">
        <v>134</v>
      </c>
      <c r="P208" s="2044" t="s">
        <v>134</v>
      </c>
      <c r="Q208" s="2044" t="s">
        <v>134</v>
      </c>
      <c r="R208" s="2044" t="s">
        <v>134</v>
      </c>
      <c r="S208" s="2044"/>
      <c r="T208" s="2044"/>
      <c r="U208" s="2044" t="s">
        <v>134</v>
      </c>
      <c r="V208" s="2044" t="s">
        <v>134</v>
      </c>
      <c r="W208" s="2044" t="s">
        <v>134</v>
      </c>
      <c r="X208" s="2044" t="s">
        <v>134</v>
      </c>
      <c r="Y208" s="2044" t="s">
        <v>134</v>
      </c>
      <c r="Z208" s="2044"/>
      <c r="AA208" s="2044"/>
      <c r="AB208" s="2044" t="s">
        <v>134</v>
      </c>
      <c r="AC208" s="2044" t="s">
        <v>134</v>
      </c>
      <c r="AD208" s="2044" t="s">
        <v>134</v>
      </c>
      <c r="AE208" s="2044" t="s">
        <v>134</v>
      </c>
      <c r="AF208" s="2044" t="s">
        <v>134</v>
      </c>
      <c r="AG208" s="2044"/>
      <c r="AH208" s="179"/>
      <c r="AI208" s="179"/>
    </row>
    <row r="209" spans="1:35" ht="22.35" customHeight="1" x14ac:dyDescent="0.2">
      <c r="A209" s="109"/>
      <c r="B209" s="663" t="s">
        <v>274</v>
      </c>
      <c r="C209" s="310" t="s">
        <v>176</v>
      </c>
      <c r="D209" s="310" t="s">
        <v>176</v>
      </c>
      <c r="E209" s="310"/>
      <c r="F209" s="310"/>
      <c r="G209" s="292" t="s">
        <v>176</v>
      </c>
      <c r="H209" s="292" t="s">
        <v>176</v>
      </c>
      <c r="I209" s="292" t="s">
        <v>176</v>
      </c>
      <c r="J209" s="292" t="s">
        <v>176</v>
      </c>
      <c r="K209" s="292" t="s">
        <v>176</v>
      </c>
      <c r="L209" s="292"/>
      <c r="M209" s="292"/>
      <c r="N209" s="357" t="s">
        <v>176</v>
      </c>
      <c r="O209" s="357" t="s">
        <v>176</v>
      </c>
      <c r="P209" s="357" t="s">
        <v>430</v>
      </c>
      <c r="Q209" s="358" t="s">
        <v>176</v>
      </c>
      <c r="R209" s="358" t="s">
        <v>176</v>
      </c>
      <c r="S209" s="292"/>
      <c r="T209" s="292"/>
      <c r="U209" s="292" t="s">
        <v>176</v>
      </c>
      <c r="V209" s="292" t="s">
        <v>176</v>
      </c>
      <c r="W209" s="292" t="s">
        <v>176</v>
      </c>
      <c r="X209" s="292" t="s">
        <v>176</v>
      </c>
      <c r="Y209" s="307" t="s">
        <v>176</v>
      </c>
      <c r="Z209" s="292"/>
      <c r="AA209" s="292"/>
      <c r="AB209" s="292" t="s">
        <v>176</v>
      </c>
      <c r="AC209" s="292" t="s">
        <v>176</v>
      </c>
      <c r="AD209" s="292" t="s">
        <v>176</v>
      </c>
      <c r="AE209" s="292" t="s">
        <v>176</v>
      </c>
      <c r="AF209" s="307" t="s">
        <v>176</v>
      </c>
      <c r="AG209" s="292"/>
      <c r="AH209" s="179"/>
      <c r="AI209" s="179"/>
    </row>
    <row r="210" spans="1:35" ht="22.35" customHeight="1" x14ac:dyDescent="0.2">
      <c r="A210" s="109"/>
      <c r="B210" s="663" t="s">
        <v>275</v>
      </c>
      <c r="C210" s="851" t="s">
        <v>257</v>
      </c>
      <c r="D210" s="851" t="s">
        <v>257</v>
      </c>
      <c r="E210" s="851"/>
      <c r="F210" s="851"/>
      <c r="G210" s="851" t="s">
        <v>257</v>
      </c>
      <c r="H210" s="851" t="s">
        <v>257</v>
      </c>
      <c r="I210" s="851" t="s">
        <v>257</v>
      </c>
      <c r="J210" s="851" t="s">
        <v>257</v>
      </c>
      <c r="K210" s="851" t="s">
        <v>257</v>
      </c>
      <c r="L210" s="851"/>
      <c r="M210" s="851"/>
      <c r="N210" s="851" t="s">
        <v>257</v>
      </c>
      <c r="O210" s="851" t="s">
        <v>257</v>
      </c>
      <c r="P210" s="851" t="s">
        <v>257</v>
      </c>
      <c r="Q210" s="851" t="s">
        <v>257</v>
      </c>
      <c r="R210" s="851" t="s">
        <v>257</v>
      </c>
      <c r="S210" s="851"/>
      <c r="T210" s="851"/>
      <c r="U210" s="851" t="s">
        <v>257</v>
      </c>
      <c r="V210" s="851" t="s">
        <v>257</v>
      </c>
      <c r="W210" s="851" t="s">
        <v>257</v>
      </c>
      <c r="X210" s="851" t="s">
        <v>257</v>
      </c>
      <c r="Y210" s="851" t="s">
        <v>257</v>
      </c>
      <c r="Z210" s="851"/>
      <c r="AA210" s="851"/>
      <c r="AB210" s="851" t="s">
        <v>257</v>
      </c>
      <c r="AC210" s="851" t="s">
        <v>257</v>
      </c>
      <c r="AD210" s="851" t="s">
        <v>257</v>
      </c>
      <c r="AE210" s="851" t="s">
        <v>257</v>
      </c>
      <c r="AF210" s="851" t="s">
        <v>257</v>
      </c>
      <c r="AG210" s="851"/>
      <c r="AH210" s="179"/>
      <c r="AI210" s="179"/>
    </row>
    <row r="211" spans="1:35" ht="22.35" customHeight="1" x14ac:dyDescent="0.2">
      <c r="A211" s="109"/>
      <c r="B211" s="634" t="s">
        <v>276</v>
      </c>
      <c r="C211" s="851" t="s">
        <v>95</v>
      </c>
      <c r="D211" s="851" t="s">
        <v>95</v>
      </c>
      <c r="E211" s="851"/>
      <c r="F211" s="851"/>
      <c r="G211" s="851" t="s">
        <v>95</v>
      </c>
      <c r="H211" s="851" t="s">
        <v>95</v>
      </c>
      <c r="I211" s="851" t="s">
        <v>95</v>
      </c>
      <c r="J211" s="851" t="s">
        <v>95</v>
      </c>
      <c r="K211" s="851" t="s">
        <v>95</v>
      </c>
      <c r="L211" s="851"/>
      <c r="M211" s="851"/>
      <c r="N211" s="851" t="s">
        <v>95</v>
      </c>
      <c r="O211" s="851" t="s">
        <v>95</v>
      </c>
      <c r="P211" s="851" t="s">
        <v>95</v>
      </c>
      <c r="Q211" s="851" t="s">
        <v>95</v>
      </c>
      <c r="R211" s="851" t="s">
        <v>95</v>
      </c>
      <c r="S211" s="851"/>
      <c r="T211" s="851"/>
      <c r="U211" s="851" t="s">
        <v>95</v>
      </c>
      <c r="V211" s="851" t="s">
        <v>95</v>
      </c>
      <c r="W211" s="851" t="s">
        <v>95</v>
      </c>
      <c r="X211" s="851" t="s">
        <v>95</v>
      </c>
      <c r="Y211" s="851" t="s">
        <v>95</v>
      </c>
      <c r="Z211" s="851"/>
      <c r="AA211" s="851"/>
      <c r="AB211" s="2047" t="s">
        <v>95</v>
      </c>
      <c r="AC211" s="851" t="s">
        <v>95</v>
      </c>
      <c r="AD211" s="851" t="s">
        <v>95</v>
      </c>
      <c r="AE211" s="851" t="s">
        <v>95</v>
      </c>
      <c r="AF211" s="851" t="s">
        <v>95</v>
      </c>
      <c r="AG211" s="664"/>
      <c r="AH211" s="179"/>
      <c r="AI211" s="179"/>
    </row>
    <row r="212" spans="1:35" ht="22.35" customHeight="1" x14ac:dyDescent="0.2">
      <c r="A212" s="109"/>
      <c r="B212" s="663" t="s">
        <v>277</v>
      </c>
      <c r="C212" s="1862" t="s">
        <v>177</v>
      </c>
      <c r="D212" s="1862" t="s">
        <v>177</v>
      </c>
      <c r="E212" s="851"/>
      <c r="F212" s="851"/>
      <c r="G212" s="656" t="s">
        <v>177</v>
      </c>
      <c r="H212" s="656" t="s">
        <v>177</v>
      </c>
      <c r="I212" s="656" t="s">
        <v>177</v>
      </c>
      <c r="J212" s="656" t="s">
        <v>177</v>
      </c>
      <c r="K212" s="656" t="s">
        <v>177</v>
      </c>
      <c r="L212" s="656"/>
      <c r="M212" s="656"/>
      <c r="N212" s="656" t="s">
        <v>177</v>
      </c>
      <c r="O212" s="656" t="s">
        <v>177</v>
      </c>
      <c r="P212" s="656" t="s">
        <v>177</v>
      </c>
      <c r="Q212" s="656" t="s">
        <v>177</v>
      </c>
      <c r="R212" s="656" t="s">
        <v>177</v>
      </c>
      <c r="S212" s="656"/>
      <c r="T212" s="656"/>
      <c r="U212" s="656" t="s">
        <v>177</v>
      </c>
      <c r="V212" s="656" t="s">
        <v>177</v>
      </c>
      <c r="W212" s="656" t="s">
        <v>177</v>
      </c>
      <c r="X212" s="656" t="s">
        <v>177</v>
      </c>
      <c r="Y212" s="656" t="s">
        <v>177</v>
      </c>
      <c r="Z212" s="656"/>
      <c r="AA212" s="656"/>
      <c r="AB212" s="851" t="s">
        <v>177</v>
      </c>
      <c r="AC212" s="665" t="s">
        <v>177</v>
      </c>
      <c r="AD212" s="851" t="s">
        <v>177</v>
      </c>
      <c r="AE212" s="665" t="s">
        <v>177</v>
      </c>
      <c r="AF212" s="665" t="s">
        <v>177</v>
      </c>
      <c r="AG212" s="851"/>
      <c r="AH212" s="179"/>
      <c r="AI212" s="179"/>
    </row>
    <row r="213" spans="1:35" ht="22.35" customHeight="1" x14ac:dyDescent="0.2">
      <c r="A213" s="109"/>
      <c r="B213" s="634"/>
      <c r="C213" s="851" t="s">
        <v>137</v>
      </c>
      <c r="D213" s="851" t="s">
        <v>137</v>
      </c>
      <c r="E213" s="851"/>
      <c r="F213" s="851"/>
      <c r="G213" s="851" t="s">
        <v>137</v>
      </c>
      <c r="H213" s="851" t="s">
        <v>137</v>
      </c>
      <c r="I213" s="851" t="s">
        <v>137</v>
      </c>
      <c r="J213" s="851" t="s">
        <v>137</v>
      </c>
      <c r="K213" s="851" t="s">
        <v>137</v>
      </c>
      <c r="L213" s="851"/>
      <c r="M213" s="851"/>
      <c r="N213" s="851" t="s">
        <v>137</v>
      </c>
      <c r="O213" s="851" t="s">
        <v>137</v>
      </c>
      <c r="P213" s="851" t="s">
        <v>137</v>
      </c>
      <c r="Q213" s="851" t="s">
        <v>137</v>
      </c>
      <c r="R213" s="851" t="s">
        <v>137</v>
      </c>
      <c r="S213" s="851"/>
      <c r="T213" s="851"/>
      <c r="U213" s="851" t="s">
        <v>137</v>
      </c>
      <c r="V213" s="851" t="s">
        <v>137</v>
      </c>
      <c r="W213" s="851" t="s">
        <v>137</v>
      </c>
      <c r="X213" s="851" t="s">
        <v>137</v>
      </c>
      <c r="Y213" s="851" t="s">
        <v>137</v>
      </c>
      <c r="Z213" s="851"/>
      <c r="AA213" s="851"/>
      <c r="AB213" s="851" t="s">
        <v>137</v>
      </c>
      <c r="AC213" s="851" t="s">
        <v>137</v>
      </c>
      <c r="AD213" s="851" t="s">
        <v>137</v>
      </c>
      <c r="AE213" s="851" t="s">
        <v>137</v>
      </c>
      <c r="AF213" s="851" t="s">
        <v>137</v>
      </c>
      <c r="AG213" s="851"/>
      <c r="AH213" s="179"/>
      <c r="AI213" s="179"/>
    </row>
    <row r="214" spans="1:35" ht="22.35" customHeight="1" x14ac:dyDescent="0.2">
      <c r="A214" s="109"/>
      <c r="B214" s="634" t="s">
        <v>278</v>
      </c>
      <c r="C214" s="656" t="s">
        <v>264</v>
      </c>
      <c r="D214" s="656" t="s">
        <v>264</v>
      </c>
      <c r="E214" s="656"/>
      <c r="F214" s="656"/>
      <c r="G214" s="851" t="s">
        <v>264</v>
      </c>
      <c r="H214" s="851" t="s">
        <v>264</v>
      </c>
      <c r="I214" s="851" t="s">
        <v>264</v>
      </c>
      <c r="J214" s="851" t="s">
        <v>264</v>
      </c>
      <c r="K214" s="851" t="s">
        <v>264</v>
      </c>
      <c r="L214" s="851"/>
      <c r="M214" s="851"/>
      <c r="N214" s="851" t="s">
        <v>264</v>
      </c>
      <c r="O214" s="851" t="s">
        <v>264</v>
      </c>
      <c r="P214" s="851" t="s">
        <v>264</v>
      </c>
      <c r="Q214" s="851" t="s">
        <v>264</v>
      </c>
      <c r="R214" s="851" t="s">
        <v>264</v>
      </c>
      <c r="S214" s="851"/>
      <c r="T214" s="851"/>
      <c r="U214" s="851" t="s">
        <v>264</v>
      </c>
      <c r="V214" s="851" t="s">
        <v>264</v>
      </c>
      <c r="W214" s="851" t="s">
        <v>264</v>
      </c>
      <c r="X214" s="851" t="s">
        <v>264</v>
      </c>
      <c r="Y214" s="851" t="s">
        <v>264</v>
      </c>
      <c r="Z214" s="851"/>
      <c r="AA214" s="851"/>
      <c r="AB214" s="851" t="s">
        <v>264</v>
      </c>
      <c r="AC214" s="851" t="s">
        <v>264</v>
      </c>
      <c r="AD214" s="2048" t="s">
        <v>264</v>
      </c>
      <c r="AE214" s="851" t="s">
        <v>264</v>
      </c>
      <c r="AF214" s="851" t="s">
        <v>264</v>
      </c>
      <c r="AG214" s="851"/>
      <c r="AH214" s="107"/>
      <c r="AI214" s="107"/>
    </row>
    <row r="215" spans="1:35" ht="21" customHeight="1" thickBot="1" x14ac:dyDescent="0.25">
      <c r="A215" s="147"/>
      <c r="B215" s="2049" t="s">
        <v>279</v>
      </c>
      <c r="C215" s="2050" t="s">
        <v>266</v>
      </c>
      <c r="D215" s="2050" t="s">
        <v>368</v>
      </c>
      <c r="E215" s="1092"/>
      <c r="F215" s="1092"/>
      <c r="G215" s="1092" t="s">
        <v>266</v>
      </c>
      <c r="H215" s="1092" t="s">
        <v>266</v>
      </c>
      <c r="I215" s="1092" t="s">
        <v>266</v>
      </c>
      <c r="J215" s="1092" t="s">
        <v>266</v>
      </c>
      <c r="K215" s="1092" t="s">
        <v>266</v>
      </c>
      <c r="L215" s="1092"/>
      <c r="M215" s="1092"/>
      <c r="N215" s="1092" t="s">
        <v>266</v>
      </c>
      <c r="O215" s="1092" t="s">
        <v>266</v>
      </c>
      <c r="P215" s="1092" t="s">
        <v>266</v>
      </c>
      <c r="Q215" s="1092" t="s">
        <v>266</v>
      </c>
      <c r="R215" s="1092" t="s">
        <v>266</v>
      </c>
      <c r="S215" s="1092"/>
      <c r="T215" s="1092"/>
      <c r="U215" s="1092" t="s">
        <v>266</v>
      </c>
      <c r="V215" s="1092" t="s">
        <v>266</v>
      </c>
      <c r="W215" s="1092" t="s">
        <v>266</v>
      </c>
      <c r="X215" s="1092" t="s">
        <v>266</v>
      </c>
      <c r="Y215" s="1092" t="s">
        <v>266</v>
      </c>
      <c r="Z215" s="1092"/>
      <c r="AA215" s="1092"/>
      <c r="AB215" s="1092" t="s">
        <v>266</v>
      </c>
      <c r="AC215" s="1092" t="s">
        <v>266</v>
      </c>
      <c r="AD215" s="2050" t="s">
        <v>266</v>
      </c>
      <c r="AE215" s="2050" t="s">
        <v>266</v>
      </c>
      <c r="AF215" s="2050" t="s">
        <v>266</v>
      </c>
      <c r="AG215" s="2050"/>
      <c r="AH215" s="114"/>
    </row>
    <row r="216" spans="1:35" ht="21" customHeight="1" x14ac:dyDescent="0.2">
      <c r="A216" s="147"/>
      <c r="B216" s="217"/>
      <c r="C216" s="216"/>
      <c r="D216" s="216"/>
      <c r="E216" s="216"/>
      <c r="F216" s="216"/>
      <c r="G216" s="216"/>
      <c r="H216" s="216"/>
      <c r="I216" s="216"/>
      <c r="J216" s="216"/>
      <c r="K216" s="216"/>
      <c r="L216" s="216"/>
      <c r="M216" s="216"/>
      <c r="N216" s="216"/>
      <c r="O216" s="216"/>
      <c r="P216" s="216"/>
      <c r="Q216" s="216"/>
      <c r="R216" s="216"/>
      <c r="S216" s="216"/>
      <c r="T216" s="216"/>
      <c r="U216" s="216"/>
      <c r="V216" s="216"/>
      <c r="W216" s="216"/>
      <c r="X216" s="216"/>
      <c r="Y216" s="216"/>
      <c r="Z216" s="216"/>
      <c r="AA216" s="216"/>
      <c r="AB216" s="216"/>
      <c r="AC216" s="216"/>
      <c r="AD216" s="216"/>
      <c r="AE216" s="216"/>
      <c r="AF216" s="216"/>
      <c r="AG216" s="216"/>
      <c r="AH216" s="114"/>
    </row>
    <row r="217" spans="1:35" ht="22.35" customHeight="1" x14ac:dyDescent="0.2">
      <c r="C217" s="37"/>
      <c r="D217" s="37"/>
      <c r="E217" s="37"/>
      <c r="F217" s="37"/>
      <c r="G217" s="37"/>
      <c r="H217" s="37"/>
      <c r="I217" s="37"/>
      <c r="J217" s="37"/>
      <c r="K217" s="37"/>
      <c r="L217" s="37"/>
      <c r="M217" s="37"/>
      <c r="N217" s="37"/>
      <c r="O217" s="37"/>
      <c r="P217" s="37"/>
      <c r="Q217" s="37"/>
      <c r="R217" s="37"/>
      <c r="S217" s="37"/>
      <c r="T217" s="37"/>
      <c r="U217" s="37"/>
      <c r="V217" s="37"/>
      <c r="W217" s="37"/>
      <c r="X217" s="37"/>
      <c r="Y217" s="37"/>
      <c r="Z217" s="37"/>
      <c r="AA217" s="37"/>
      <c r="AB217" s="37"/>
      <c r="AC217" s="37"/>
      <c r="AD217" s="37"/>
      <c r="AE217" s="37"/>
      <c r="AF217" s="37"/>
      <c r="AG217" s="37"/>
    </row>
    <row r="218" spans="1:35" ht="22.35" customHeight="1" thickBot="1" x14ac:dyDescent="0.25">
      <c r="A218" s="1" t="s">
        <v>280</v>
      </c>
      <c r="B218" s="59"/>
    </row>
    <row r="219" spans="1:35" ht="22.35" customHeight="1" x14ac:dyDescent="0.2">
      <c r="A219" s="1"/>
      <c r="B219" s="666" t="s">
        <v>281</v>
      </c>
      <c r="C219" s="2051" t="s">
        <v>107</v>
      </c>
      <c r="D219" s="1967"/>
      <c r="E219" s="1967"/>
      <c r="F219" s="1967"/>
      <c r="G219" s="2051" t="s">
        <v>108</v>
      </c>
      <c r="H219" s="1967"/>
      <c r="I219" s="1967"/>
      <c r="J219" s="1967"/>
      <c r="K219" s="2051" t="s">
        <v>109</v>
      </c>
      <c r="L219" s="1967"/>
      <c r="M219" s="1967"/>
      <c r="N219" s="1967"/>
      <c r="O219" s="2051" t="s">
        <v>110</v>
      </c>
      <c r="P219" s="1967"/>
      <c r="Q219" s="1967"/>
      <c r="R219" s="1967"/>
      <c r="S219" s="2051" t="s">
        <v>111</v>
      </c>
      <c r="T219" s="1967"/>
      <c r="U219" s="1967"/>
      <c r="V219" s="1967"/>
      <c r="W219" s="2051" t="s">
        <v>112</v>
      </c>
      <c r="X219" s="1887"/>
      <c r="Y219" s="1967"/>
      <c r="Z219" s="2052"/>
      <c r="AA219" s="2051" t="s">
        <v>113</v>
      </c>
      <c r="AB219" s="1887"/>
      <c r="AC219" s="1967"/>
      <c r="AD219" s="2052"/>
      <c r="AE219" s="2053" t="s">
        <v>114</v>
      </c>
      <c r="AF219" s="1967"/>
      <c r="AG219" s="1967"/>
      <c r="AH219" s="1967"/>
      <c r="AI219" s="1888"/>
    </row>
    <row r="220" spans="1:35" ht="22.35" customHeight="1" x14ac:dyDescent="0.2">
      <c r="A220" s="1"/>
      <c r="B220" s="391">
        <v>3701</v>
      </c>
      <c r="C220" s="110" t="s">
        <v>282</v>
      </c>
      <c r="D220" s="110"/>
      <c r="E220" s="110"/>
      <c r="F220" s="110"/>
      <c r="G220" s="534" t="s">
        <v>283</v>
      </c>
      <c r="H220" s="110"/>
      <c r="I220" s="110"/>
      <c r="J220" s="110"/>
      <c r="K220" s="534" t="s">
        <v>283</v>
      </c>
      <c r="L220" s="110"/>
      <c r="M220" s="110"/>
      <c r="N220" s="110"/>
      <c r="O220" s="534" t="s">
        <v>283</v>
      </c>
      <c r="P220" s="110"/>
      <c r="Q220" s="110"/>
      <c r="R220" s="110"/>
      <c r="S220" s="534" t="s">
        <v>284</v>
      </c>
      <c r="T220" s="110"/>
      <c r="U220" s="110"/>
      <c r="V220" s="110"/>
      <c r="W220" s="1002"/>
      <c r="X220" s="2054"/>
      <c r="Y220" s="886"/>
      <c r="Z220" s="2055"/>
      <c r="AA220" s="1002"/>
      <c r="AB220" s="2054"/>
      <c r="AC220" s="886"/>
      <c r="AD220" s="2055"/>
      <c r="AE220" s="1046"/>
      <c r="AF220" s="886"/>
      <c r="AG220" s="886"/>
      <c r="AH220" s="886"/>
      <c r="AI220" s="432"/>
    </row>
    <row r="221" spans="1:35" ht="22.35" customHeight="1" x14ac:dyDescent="0.2">
      <c r="B221" s="666">
        <v>3700</v>
      </c>
      <c r="C221" s="886" t="s">
        <v>182</v>
      </c>
      <c r="D221" s="886"/>
      <c r="E221" s="886"/>
      <c r="F221" s="886"/>
      <c r="G221" s="698" t="s">
        <v>182</v>
      </c>
      <c r="H221" s="886"/>
      <c r="I221" s="886"/>
      <c r="J221" s="886"/>
      <c r="K221" s="698" t="s">
        <v>182</v>
      </c>
      <c r="L221" s="886"/>
      <c r="M221" s="886"/>
      <c r="N221" s="886"/>
      <c r="O221" s="698" t="s">
        <v>182</v>
      </c>
      <c r="P221" s="886"/>
      <c r="Q221" s="886"/>
      <c r="R221" s="886"/>
      <c r="S221" s="698" t="s">
        <v>183</v>
      </c>
      <c r="T221" s="886"/>
      <c r="U221" s="886"/>
      <c r="V221" s="886"/>
      <c r="W221" s="1002"/>
      <c r="X221" s="2056"/>
      <c r="Y221" s="886"/>
      <c r="Z221" s="1048"/>
      <c r="AA221" s="1046"/>
      <c r="AB221" s="886"/>
      <c r="AC221" s="886"/>
      <c r="AD221" s="945"/>
      <c r="AE221" s="2057"/>
      <c r="AF221" s="886"/>
      <c r="AG221" s="886"/>
      <c r="AH221" s="945"/>
      <c r="AI221" s="432"/>
    </row>
    <row r="222" spans="1:35" ht="22.35" customHeight="1" x14ac:dyDescent="0.2">
      <c r="A222" s="1"/>
      <c r="B222" s="666">
        <v>8514</v>
      </c>
      <c r="C222" s="886" t="s">
        <v>283</v>
      </c>
      <c r="D222" s="886"/>
      <c r="E222" s="886"/>
      <c r="F222" s="886"/>
      <c r="G222" s="698" t="s">
        <v>283</v>
      </c>
      <c r="H222" s="886"/>
      <c r="I222" s="886"/>
      <c r="J222" s="886"/>
      <c r="K222" s="698" t="s">
        <v>283</v>
      </c>
      <c r="L222" s="886"/>
      <c r="M222" s="886"/>
      <c r="N222" s="886"/>
      <c r="O222" s="698" t="s">
        <v>283</v>
      </c>
      <c r="P222" s="886"/>
      <c r="Q222" s="886"/>
      <c r="R222" s="886"/>
      <c r="S222" s="698" t="s">
        <v>285</v>
      </c>
      <c r="T222" s="886"/>
      <c r="U222" s="886"/>
      <c r="V222" s="886"/>
      <c r="W222" s="1002"/>
      <c r="X222" s="2056"/>
      <c r="Y222" s="886"/>
      <c r="Z222" s="1048"/>
      <c r="AA222" s="735"/>
      <c r="AB222" s="886"/>
      <c r="AC222" s="886"/>
      <c r="AD222" s="945"/>
      <c r="AE222" s="735"/>
      <c r="AF222" s="886"/>
      <c r="AG222" s="886"/>
      <c r="AH222" s="945"/>
      <c r="AI222" s="432"/>
    </row>
    <row r="223" spans="1:35" ht="22.35" customHeight="1" x14ac:dyDescent="0.2">
      <c r="A223" s="1"/>
      <c r="B223" s="666">
        <v>8500</v>
      </c>
      <c r="C223" s="162" t="s">
        <v>286</v>
      </c>
      <c r="D223" s="162"/>
      <c r="E223" s="162"/>
      <c r="F223" s="162"/>
      <c r="G223" s="163" t="s">
        <v>286</v>
      </c>
      <c r="H223" s="162"/>
      <c r="I223" s="162"/>
      <c r="J223" s="162"/>
      <c r="K223" s="163" t="s">
        <v>286</v>
      </c>
      <c r="L223" s="162"/>
      <c r="M223" s="162"/>
      <c r="N223" s="162"/>
      <c r="O223" s="163" t="s">
        <v>286</v>
      </c>
      <c r="P223" s="162"/>
      <c r="Q223" s="162"/>
      <c r="R223" s="162"/>
      <c r="S223" s="163" t="s">
        <v>287</v>
      </c>
      <c r="T223" s="162"/>
      <c r="U223" s="162"/>
      <c r="V223" s="162"/>
      <c r="W223" s="1002"/>
      <c r="X223" s="162"/>
      <c r="Y223" s="162"/>
      <c r="Z223" s="120"/>
      <c r="AA223" s="119"/>
      <c r="AB223" s="162"/>
      <c r="AC223" s="162"/>
      <c r="AD223" s="120"/>
      <c r="AE223" s="119"/>
      <c r="AF223" s="162"/>
      <c r="AG223" s="162"/>
      <c r="AH223" s="112"/>
      <c r="AI223" s="118"/>
    </row>
    <row r="224" spans="1:35" ht="22.35" customHeight="1" x14ac:dyDescent="0.2">
      <c r="A224" s="1"/>
      <c r="B224" s="666">
        <v>8514</v>
      </c>
      <c r="C224" s="165" t="s">
        <v>283</v>
      </c>
      <c r="D224" s="165"/>
      <c r="E224" s="165"/>
      <c r="F224" s="165"/>
      <c r="G224" s="166" t="s">
        <v>283</v>
      </c>
      <c r="H224" s="165"/>
      <c r="I224" s="165"/>
      <c r="J224" s="165"/>
      <c r="K224" s="166" t="s">
        <v>283</v>
      </c>
      <c r="L224" s="165"/>
      <c r="M224" s="165"/>
      <c r="N224" s="165"/>
      <c r="O224" s="166" t="s">
        <v>283</v>
      </c>
      <c r="P224" s="165"/>
      <c r="Q224" s="165"/>
      <c r="R224" s="165"/>
      <c r="S224" s="166" t="s">
        <v>285</v>
      </c>
      <c r="T224" s="165"/>
      <c r="U224" s="165"/>
      <c r="V224" s="165"/>
      <c r="W224" s="2058"/>
      <c r="X224" s="116"/>
      <c r="Y224" s="162"/>
      <c r="Z224" s="164"/>
      <c r="AA224" s="154"/>
      <c r="AB224" s="116"/>
      <c r="AC224" s="162"/>
      <c r="AD224" s="162"/>
      <c r="AE224" s="117"/>
      <c r="AF224" s="162"/>
      <c r="AG224" s="162"/>
      <c r="AH224" s="162"/>
      <c r="AI224" s="118"/>
    </row>
    <row r="225" spans="1:35" ht="22.35" customHeight="1" thickBot="1" x14ac:dyDescent="0.25">
      <c r="A225" s="1"/>
      <c r="B225" s="2059" t="s">
        <v>288</v>
      </c>
      <c r="C225" s="891" t="s">
        <v>289</v>
      </c>
      <c r="D225" s="891"/>
      <c r="E225" s="891"/>
      <c r="F225" s="891"/>
      <c r="G225" s="2060" t="s">
        <v>289</v>
      </c>
      <c r="H225" s="891"/>
      <c r="I225" s="891"/>
      <c r="J225" s="891"/>
      <c r="K225" s="1004" t="s">
        <v>289</v>
      </c>
      <c r="L225" s="891"/>
      <c r="M225" s="891"/>
      <c r="N225" s="891"/>
      <c r="O225" s="2060" t="s">
        <v>289</v>
      </c>
      <c r="P225" s="891"/>
      <c r="Q225" s="891"/>
      <c r="R225" s="891"/>
      <c r="S225" s="2060" t="s">
        <v>290</v>
      </c>
      <c r="T225" s="891"/>
      <c r="U225" s="891"/>
      <c r="V225" s="891"/>
      <c r="W225" s="1004"/>
      <c r="X225" s="2061"/>
      <c r="Y225" s="891"/>
      <c r="Z225" s="706"/>
      <c r="AA225" s="1057"/>
      <c r="AB225" s="891"/>
      <c r="AC225" s="891"/>
      <c r="AD225" s="1063"/>
      <c r="AE225" s="2062"/>
      <c r="AF225" s="891"/>
      <c r="AG225" s="891"/>
      <c r="AH225" s="1063"/>
      <c r="AI225" s="894"/>
    </row>
    <row r="226" spans="1:35" ht="22.35" customHeight="1" x14ac:dyDescent="0.2">
      <c r="A226" s="1"/>
      <c r="B226" s="18"/>
      <c r="C226" s="64"/>
      <c r="D226" s="110"/>
      <c r="E226" s="110"/>
      <c r="F226" s="69"/>
      <c r="G226" s="64"/>
      <c r="H226" s="110"/>
      <c r="I226" s="110"/>
      <c r="J226" s="69"/>
      <c r="K226" s="64"/>
      <c r="L226" s="110"/>
      <c r="M226" s="110"/>
      <c r="N226" s="69"/>
      <c r="O226" s="64"/>
      <c r="P226" s="110"/>
      <c r="Q226" s="110"/>
      <c r="R226" s="69"/>
      <c r="S226" s="64"/>
      <c r="T226" s="110"/>
      <c r="U226" s="110"/>
      <c r="V226" s="69"/>
      <c r="W226" s="69"/>
      <c r="Z226" s="69"/>
      <c r="AA226" s="69"/>
      <c r="AD226" s="69"/>
      <c r="AE226" s="69"/>
      <c r="AH226" s="69"/>
    </row>
    <row r="227" spans="1:35" ht="22.35" customHeight="1" x14ac:dyDescent="0.2">
      <c r="A227" s="1" t="s">
        <v>291</v>
      </c>
      <c r="B227" s="18"/>
      <c r="C227" s="64"/>
      <c r="D227" s="110"/>
      <c r="E227" s="110"/>
      <c r="F227" s="69"/>
      <c r="G227" s="64"/>
      <c r="H227" s="110"/>
      <c r="I227" s="110"/>
      <c r="J227" s="69"/>
      <c r="K227" s="64"/>
      <c r="L227" s="110"/>
      <c r="M227" s="110"/>
      <c r="N227" s="69"/>
      <c r="O227" s="64"/>
      <c r="P227" s="110"/>
      <c r="Q227" s="110"/>
      <c r="R227" s="69"/>
      <c r="S227" s="64"/>
      <c r="T227" s="110"/>
      <c r="U227" s="110"/>
      <c r="V227" s="69"/>
      <c r="W227" s="69"/>
      <c r="Z227" s="69"/>
      <c r="AA227" s="69"/>
      <c r="AD227" s="69"/>
      <c r="AE227" s="69"/>
      <c r="AH227" s="69"/>
    </row>
    <row r="228" spans="1:35" ht="22.35" customHeight="1" thickBot="1" x14ac:dyDescent="0.25">
      <c r="A228" s="981"/>
      <c r="B228" s="748" t="s">
        <v>29</v>
      </c>
      <c r="C228" s="1834">
        <v>1</v>
      </c>
      <c r="D228" s="1834">
        <v>2</v>
      </c>
      <c r="E228" s="1835">
        <v>3</v>
      </c>
      <c r="F228" s="1835">
        <v>4</v>
      </c>
      <c r="G228" s="1834">
        <v>5</v>
      </c>
      <c r="H228" s="1834">
        <v>6</v>
      </c>
      <c r="I228" s="1834">
        <v>7</v>
      </c>
      <c r="J228" s="1834">
        <v>8</v>
      </c>
      <c r="K228" s="1834">
        <v>9</v>
      </c>
      <c r="L228" s="1835">
        <v>10</v>
      </c>
      <c r="M228" s="1835">
        <v>11</v>
      </c>
      <c r="N228" s="1834">
        <v>12</v>
      </c>
      <c r="O228" s="1834">
        <v>13</v>
      </c>
      <c r="P228" s="1834">
        <v>14</v>
      </c>
      <c r="Q228" s="1834">
        <v>15</v>
      </c>
      <c r="R228" s="1834">
        <v>16</v>
      </c>
      <c r="S228" s="1835">
        <v>17</v>
      </c>
      <c r="T228" s="1835">
        <v>18</v>
      </c>
      <c r="U228" s="1834">
        <v>19</v>
      </c>
      <c r="V228" s="1834">
        <v>20</v>
      </c>
      <c r="W228" s="1834">
        <v>21</v>
      </c>
      <c r="X228" s="1834">
        <v>22</v>
      </c>
      <c r="Y228" s="1834">
        <v>23</v>
      </c>
      <c r="Z228" s="1835">
        <v>24</v>
      </c>
      <c r="AA228" s="1835">
        <v>25</v>
      </c>
      <c r="AB228" s="1834">
        <v>26</v>
      </c>
      <c r="AC228" s="1834">
        <v>27</v>
      </c>
      <c r="AD228" s="1834">
        <v>28</v>
      </c>
      <c r="AE228" s="1834">
        <v>29</v>
      </c>
      <c r="AF228" s="1834">
        <v>30</v>
      </c>
      <c r="AG228" s="1836"/>
      <c r="AH228" s="173"/>
      <c r="AI228" s="174"/>
    </row>
    <row r="229" spans="1:35" ht="22.35" customHeight="1" x14ac:dyDescent="0.2">
      <c r="A229" s="2063"/>
      <c r="B229" s="2064" t="s">
        <v>292</v>
      </c>
      <c r="C229" s="859" t="s">
        <v>32</v>
      </c>
      <c r="D229" s="859" t="s">
        <v>32</v>
      </c>
      <c r="E229" s="859"/>
      <c r="F229" s="859"/>
      <c r="G229" s="1844" t="s">
        <v>32</v>
      </c>
      <c r="H229" s="1844" t="s">
        <v>32</v>
      </c>
      <c r="I229" s="1844" t="s">
        <v>32</v>
      </c>
      <c r="J229" s="1844" t="s">
        <v>32</v>
      </c>
      <c r="K229" s="1844" t="s">
        <v>32</v>
      </c>
      <c r="L229" s="1844"/>
      <c r="M229" s="1844"/>
      <c r="N229" s="1864" t="s">
        <v>32</v>
      </c>
      <c r="O229" s="1864" t="s">
        <v>32</v>
      </c>
      <c r="P229" s="1864" t="s">
        <v>32</v>
      </c>
      <c r="Q229" s="1843" t="s">
        <v>32</v>
      </c>
      <c r="R229" s="1864" t="s">
        <v>32</v>
      </c>
      <c r="S229" s="1864"/>
      <c r="T229" s="1844"/>
      <c r="U229" s="1864" t="s">
        <v>32</v>
      </c>
      <c r="V229" s="2065" t="s">
        <v>32</v>
      </c>
      <c r="W229" s="2065" t="s">
        <v>32</v>
      </c>
      <c r="X229" s="2065" t="s">
        <v>32</v>
      </c>
      <c r="Y229" s="1864" t="s">
        <v>32</v>
      </c>
      <c r="Z229" s="1844"/>
      <c r="AA229" s="1844"/>
      <c r="AB229" s="1844" t="s">
        <v>32</v>
      </c>
      <c r="AC229" s="1864" t="s">
        <v>32</v>
      </c>
      <c r="AD229" s="1864" t="s">
        <v>32</v>
      </c>
      <c r="AE229" s="1864" t="s">
        <v>32</v>
      </c>
      <c r="AF229" s="1864" t="s">
        <v>32</v>
      </c>
      <c r="AG229" s="293"/>
      <c r="AH229" s="173"/>
      <c r="AI229" s="174"/>
    </row>
    <row r="230" spans="1:35" ht="22.35" customHeight="1" x14ac:dyDescent="0.2">
      <c r="A230" s="2066"/>
      <c r="B230" s="2067" t="s">
        <v>293</v>
      </c>
      <c r="C230" s="1844"/>
      <c r="D230" s="1844"/>
      <c r="E230" s="1844"/>
      <c r="F230" s="1844"/>
      <c r="G230" s="1844"/>
      <c r="H230" s="1844"/>
      <c r="I230" s="1844"/>
      <c r="J230" s="1844"/>
      <c r="K230" s="1844"/>
      <c r="L230" s="1844"/>
      <c r="M230" s="1844"/>
      <c r="N230" s="1864"/>
      <c r="O230" s="1864"/>
      <c r="P230" s="1864"/>
      <c r="Q230" s="1843"/>
      <c r="R230" s="1864"/>
      <c r="S230" s="1864"/>
      <c r="T230" s="1844"/>
      <c r="U230" s="1864"/>
      <c r="V230" s="2065"/>
      <c r="W230" s="2065"/>
      <c r="X230" s="2065"/>
      <c r="Y230" s="1864"/>
      <c r="Z230" s="1844"/>
      <c r="AA230" s="1844"/>
      <c r="AB230" s="1844"/>
      <c r="AC230" s="1864"/>
      <c r="AD230" s="1864"/>
      <c r="AE230" s="1864"/>
      <c r="AF230" s="1864"/>
      <c r="AG230" s="2068"/>
      <c r="AH230" s="173"/>
      <c r="AI230" s="174"/>
    </row>
    <row r="231" spans="1:35" ht="22.35" customHeight="1" x14ac:dyDescent="0.2">
      <c r="A231" s="2069">
        <v>8514</v>
      </c>
      <c r="B231" s="2070" t="s">
        <v>294</v>
      </c>
      <c r="C231" s="1844" t="s">
        <v>32</v>
      </c>
      <c r="D231" s="1844" t="s">
        <v>32</v>
      </c>
      <c r="E231" s="1844"/>
      <c r="F231" s="1844"/>
      <c r="G231" s="1844" t="s">
        <v>32</v>
      </c>
      <c r="H231" s="1844" t="s">
        <v>32</v>
      </c>
      <c r="I231" s="1844" t="s">
        <v>32</v>
      </c>
      <c r="J231" s="1844" t="s">
        <v>32</v>
      </c>
      <c r="K231" s="1844" t="s">
        <v>32</v>
      </c>
      <c r="L231" s="1844"/>
      <c r="M231" s="1844"/>
      <c r="N231" s="1864" t="s">
        <v>32</v>
      </c>
      <c r="O231" s="1864" t="s">
        <v>32</v>
      </c>
      <c r="P231" s="1864" t="s">
        <v>32</v>
      </c>
      <c r="Q231" s="1843" t="s">
        <v>32</v>
      </c>
      <c r="R231" s="1864" t="s">
        <v>32</v>
      </c>
      <c r="S231" s="1864"/>
      <c r="T231" s="1844"/>
      <c r="U231" s="1864" t="s">
        <v>32</v>
      </c>
      <c r="V231" s="2065" t="s">
        <v>32</v>
      </c>
      <c r="W231" s="2065" t="s">
        <v>32</v>
      </c>
      <c r="X231" s="2065" t="s">
        <v>32</v>
      </c>
      <c r="Y231" s="1864" t="s">
        <v>32</v>
      </c>
      <c r="Z231" s="1844"/>
      <c r="AA231" s="1844"/>
      <c r="AB231" s="1844" t="s">
        <v>32</v>
      </c>
      <c r="AC231" s="1864" t="s">
        <v>32</v>
      </c>
      <c r="AD231" s="1864" t="s">
        <v>32</v>
      </c>
      <c r="AE231" s="1864" t="s">
        <v>32</v>
      </c>
      <c r="AF231" s="1864" t="s">
        <v>32</v>
      </c>
      <c r="AG231" s="2068"/>
      <c r="AH231" s="178"/>
      <c r="AI231" s="179"/>
    </row>
    <row r="232" spans="1:35" ht="21" customHeight="1" x14ac:dyDescent="0.2">
      <c r="A232" s="2069">
        <v>3701</v>
      </c>
      <c r="B232" s="2071" t="s">
        <v>295</v>
      </c>
      <c r="C232" s="1844"/>
      <c r="D232" s="1844"/>
      <c r="E232" s="1844"/>
      <c r="F232" s="1844"/>
      <c r="G232" s="1844"/>
      <c r="H232" s="1844"/>
      <c r="I232" s="1844"/>
      <c r="J232" s="1844"/>
      <c r="K232" s="1844"/>
      <c r="L232" s="1844"/>
      <c r="M232" s="1844"/>
      <c r="N232" s="1864"/>
      <c r="O232" s="1864"/>
      <c r="P232" s="1864"/>
      <c r="Q232" s="1843"/>
      <c r="R232" s="1864"/>
      <c r="S232" s="1864"/>
      <c r="T232" s="1844"/>
      <c r="U232" s="1864"/>
      <c r="V232" s="2065"/>
      <c r="W232" s="2065"/>
      <c r="X232" s="2065"/>
      <c r="Y232" s="1864"/>
      <c r="Z232" s="1844"/>
      <c r="AA232" s="1844"/>
      <c r="AB232" s="1844"/>
      <c r="AC232" s="1864"/>
      <c r="AD232" s="1864"/>
      <c r="AE232" s="1864"/>
      <c r="AF232" s="1864"/>
      <c r="AG232" s="2068"/>
      <c r="AH232" s="178"/>
      <c r="AI232" s="179"/>
    </row>
    <row r="233" spans="1:35" ht="21" customHeight="1" x14ac:dyDescent="0.2">
      <c r="A233" s="2069">
        <v>3701</v>
      </c>
      <c r="B233" s="1910" t="s">
        <v>296</v>
      </c>
      <c r="C233" s="1844" t="s">
        <v>32</v>
      </c>
      <c r="D233" s="1844" t="s">
        <v>32</v>
      </c>
      <c r="E233" s="1844"/>
      <c r="F233" s="1844"/>
      <c r="G233" s="1844" t="s">
        <v>32</v>
      </c>
      <c r="H233" s="1844" t="s">
        <v>32</v>
      </c>
      <c r="I233" s="1844" t="s">
        <v>32</v>
      </c>
      <c r="J233" s="1844" t="s">
        <v>32</v>
      </c>
      <c r="K233" s="1844" t="s">
        <v>32</v>
      </c>
      <c r="L233" s="1844"/>
      <c r="M233" s="1844"/>
      <c r="N233" s="1864" t="s">
        <v>32</v>
      </c>
      <c r="O233" s="1864" t="s">
        <v>32</v>
      </c>
      <c r="P233" s="1864" t="s">
        <v>32</v>
      </c>
      <c r="Q233" s="1843" t="s">
        <v>32</v>
      </c>
      <c r="R233" s="1864" t="s">
        <v>32</v>
      </c>
      <c r="S233" s="1864"/>
      <c r="T233" s="1844"/>
      <c r="U233" s="2072" t="s">
        <v>32</v>
      </c>
      <c r="V233" s="2072" t="s">
        <v>32</v>
      </c>
      <c r="W233" s="2072" t="s">
        <v>32</v>
      </c>
      <c r="X233" s="2065" t="s">
        <v>32</v>
      </c>
      <c r="Y233" s="1864" t="s">
        <v>32</v>
      </c>
      <c r="Z233" s="1844"/>
      <c r="AA233" s="1844"/>
      <c r="AB233" s="1862" t="s">
        <v>32</v>
      </c>
      <c r="AC233" s="1862" t="s">
        <v>32</v>
      </c>
      <c r="AD233" s="1862" t="s">
        <v>32</v>
      </c>
      <c r="AE233" s="1862" t="s">
        <v>32</v>
      </c>
      <c r="AF233" s="1862" t="s">
        <v>32</v>
      </c>
      <c r="AG233" s="2068"/>
      <c r="AH233" s="178"/>
      <c r="AI233" s="179"/>
    </row>
    <row r="234" spans="1:35" ht="21" customHeight="1" x14ac:dyDescent="0.2">
      <c r="A234" s="2069">
        <v>3701</v>
      </c>
      <c r="B234" s="1910" t="s">
        <v>297</v>
      </c>
      <c r="C234" s="1844" t="s">
        <v>32</v>
      </c>
      <c r="D234" s="1844" t="s">
        <v>32</v>
      </c>
      <c r="E234" s="2073"/>
      <c r="F234" s="2073"/>
      <c r="G234" s="1844" t="s">
        <v>32</v>
      </c>
      <c r="H234" s="2074" t="s">
        <v>32</v>
      </c>
      <c r="I234" s="1844" t="s">
        <v>32</v>
      </c>
      <c r="J234" s="1844" t="s">
        <v>32</v>
      </c>
      <c r="K234" s="1844" t="s">
        <v>32</v>
      </c>
      <c r="L234" s="1844"/>
      <c r="M234" s="1844"/>
      <c r="N234" s="1862" t="s">
        <v>32</v>
      </c>
      <c r="O234" s="1862" t="s">
        <v>32</v>
      </c>
      <c r="P234" s="1862" t="s">
        <v>32</v>
      </c>
      <c r="Q234" s="1862" t="s">
        <v>32</v>
      </c>
      <c r="R234" s="1862" t="s">
        <v>32</v>
      </c>
      <c r="S234" s="1862"/>
      <c r="T234" s="1862"/>
      <c r="U234" s="1862" t="s">
        <v>32</v>
      </c>
      <c r="V234" s="1862" t="s">
        <v>32</v>
      </c>
      <c r="W234" s="1862" t="s">
        <v>32</v>
      </c>
      <c r="X234" s="1862" t="s">
        <v>32</v>
      </c>
      <c r="Y234" s="1862" t="s">
        <v>32</v>
      </c>
      <c r="Z234" s="1862"/>
      <c r="AA234" s="1862"/>
      <c r="AB234" s="1862" t="s">
        <v>32</v>
      </c>
      <c r="AC234" s="1862" t="s">
        <v>32</v>
      </c>
      <c r="AD234" s="1862" t="s">
        <v>32</v>
      </c>
      <c r="AE234" s="1862" t="s">
        <v>32</v>
      </c>
      <c r="AF234" s="1862" t="s">
        <v>32</v>
      </c>
      <c r="AG234" s="2068"/>
      <c r="AH234" s="178"/>
      <c r="AI234" s="179"/>
    </row>
    <row r="235" spans="1:35" ht="21" customHeight="1" x14ac:dyDescent="0.2">
      <c r="A235" s="2069">
        <v>3701</v>
      </c>
      <c r="B235" s="1910" t="s">
        <v>298</v>
      </c>
      <c r="C235" s="1844" t="s">
        <v>32</v>
      </c>
      <c r="D235" s="1844" t="s">
        <v>32</v>
      </c>
      <c r="E235" s="1844"/>
      <c r="F235" s="1844"/>
      <c r="G235" s="1844" t="s">
        <v>32</v>
      </c>
      <c r="H235" s="1844" t="s">
        <v>32</v>
      </c>
      <c r="I235" s="1844" t="s">
        <v>32</v>
      </c>
      <c r="J235" s="1844" t="s">
        <v>32</v>
      </c>
      <c r="K235" s="1844" t="s">
        <v>32</v>
      </c>
      <c r="L235" s="1844"/>
      <c r="M235" s="1844"/>
      <c r="N235" s="1864" t="s">
        <v>32</v>
      </c>
      <c r="O235" s="1864" t="s">
        <v>32</v>
      </c>
      <c r="P235" s="1864" t="s">
        <v>32</v>
      </c>
      <c r="Q235" s="1843" t="s">
        <v>32</v>
      </c>
      <c r="R235" s="1864" t="s">
        <v>32</v>
      </c>
      <c r="S235" s="1864"/>
      <c r="T235" s="1844"/>
      <c r="U235" s="1864" t="s">
        <v>32</v>
      </c>
      <c r="V235" s="2065" t="s">
        <v>32</v>
      </c>
      <c r="W235" s="2065" t="s">
        <v>32</v>
      </c>
      <c r="X235" s="2065" t="s">
        <v>32</v>
      </c>
      <c r="Y235" s="1864" t="s">
        <v>32</v>
      </c>
      <c r="Z235" s="1844"/>
      <c r="AA235" s="1844"/>
      <c r="AB235" s="1844" t="s">
        <v>32</v>
      </c>
      <c r="AC235" s="1864" t="s">
        <v>32</v>
      </c>
      <c r="AD235" s="1864" t="s">
        <v>32</v>
      </c>
      <c r="AE235" s="1864" t="s">
        <v>32</v>
      </c>
      <c r="AF235" s="1864" t="s">
        <v>32</v>
      </c>
      <c r="AG235" s="2068"/>
      <c r="AH235" s="178"/>
      <c r="AI235" s="179"/>
    </row>
    <row r="236" spans="1:35" ht="22.35" customHeight="1" x14ac:dyDescent="0.2">
      <c r="A236" s="2069">
        <v>3701</v>
      </c>
      <c r="B236" s="2071" t="s">
        <v>299</v>
      </c>
      <c r="C236" s="1844"/>
      <c r="D236" s="1844"/>
      <c r="E236" s="1844"/>
      <c r="F236" s="1844"/>
      <c r="G236" s="1844"/>
      <c r="H236" s="1844"/>
      <c r="I236" s="1844"/>
      <c r="J236" s="1844"/>
      <c r="K236" s="1844"/>
      <c r="L236" s="1844"/>
      <c r="M236" s="1844"/>
      <c r="N236" s="1864"/>
      <c r="O236" s="1864"/>
      <c r="P236" s="1864"/>
      <c r="Q236" s="1843"/>
      <c r="R236" s="1864"/>
      <c r="S236" s="1864"/>
      <c r="T236" s="1844"/>
      <c r="U236" s="1864"/>
      <c r="V236" s="2065"/>
      <c r="W236" s="2065"/>
      <c r="X236" s="2065"/>
      <c r="Y236" s="1864"/>
      <c r="Z236" s="1844"/>
      <c r="AA236" s="1844"/>
      <c r="AB236" s="1844"/>
      <c r="AC236" s="1864"/>
      <c r="AD236" s="1864"/>
      <c r="AE236" s="1864"/>
      <c r="AF236" s="1864"/>
      <c r="AG236" s="2068"/>
      <c r="AH236" s="178"/>
      <c r="AI236" s="179"/>
    </row>
    <row r="237" spans="1:35" ht="22.35" customHeight="1" x14ac:dyDescent="0.2">
      <c r="A237" s="2069">
        <v>3701</v>
      </c>
      <c r="B237" s="1910" t="s">
        <v>300</v>
      </c>
      <c r="C237" s="1844" t="s">
        <v>32</v>
      </c>
      <c r="D237" s="1844" t="s">
        <v>32</v>
      </c>
      <c r="E237" s="1844"/>
      <c r="F237" s="1844"/>
      <c r="G237" s="1844" t="s">
        <v>32</v>
      </c>
      <c r="H237" s="1844" t="s">
        <v>32</v>
      </c>
      <c r="I237" s="1844" t="s">
        <v>32</v>
      </c>
      <c r="J237" s="1844" t="s">
        <v>32</v>
      </c>
      <c r="K237" s="1844" t="s">
        <v>32</v>
      </c>
      <c r="L237" s="1844"/>
      <c r="M237" s="1844"/>
      <c r="N237" s="1864" t="s">
        <v>32</v>
      </c>
      <c r="O237" s="1864" t="s">
        <v>32</v>
      </c>
      <c r="P237" s="1864" t="s">
        <v>32</v>
      </c>
      <c r="Q237" s="1843" t="s">
        <v>32</v>
      </c>
      <c r="R237" s="1864" t="s">
        <v>32</v>
      </c>
      <c r="S237" s="1864"/>
      <c r="T237" s="1844"/>
      <c r="U237" s="1864" t="s">
        <v>32</v>
      </c>
      <c r="V237" s="2065" t="s">
        <v>32</v>
      </c>
      <c r="W237" s="2065" t="s">
        <v>32</v>
      </c>
      <c r="X237" s="2065" t="s">
        <v>32</v>
      </c>
      <c r="Y237" s="1864" t="s">
        <v>32</v>
      </c>
      <c r="Z237" s="1844"/>
      <c r="AA237" s="1844"/>
      <c r="AB237" s="1844" t="s">
        <v>32</v>
      </c>
      <c r="AC237" s="1864" t="s">
        <v>32</v>
      </c>
      <c r="AD237" s="1864" t="s">
        <v>32</v>
      </c>
      <c r="AE237" s="1864" t="s">
        <v>32</v>
      </c>
      <c r="AF237" s="1864" t="s">
        <v>32</v>
      </c>
      <c r="AG237" s="2068"/>
      <c r="AH237" s="178"/>
      <c r="AI237" s="179"/>
    </row>
    <row r="238" spans="1:35" ht="22.35" customHeight="1" x14ac:dyDescent="0.2">
      <c r="A238" s="2069">
        <v>3701</v>
      </c>
      <c r="B238" s="1910" t="s">
        <v>301</v>
      </c>
      <c r="C238" s="1844" t="s">
        <v>32</v>
      </c>
      <c r="D238" s="1844" t="s">
        <v>32</v>
      </c>
      <c r="E238" s="1844"/>
      <c r="F238" s="1844"/>
      <c r="G238" s="1844" t="s">
        <v>32</v>
      </c>
      <c r="H238" s="1844" t="s">
        <v>32</v>
      </c>
      <c r="I238" s="1844" t="s">
        <v>32</v>
      </c>
      <c r="J238" s="1844" t="s">
        <v>32</v>
      </c>
      <c r="K238" s="1844" t="s">
        <v>32</v>
      </c>
      <c r="L238" s="1844"/>
      <c r="M238" s="1844"/>
      <c r="N238" s="2075" t="s">
        <v>32</v>
      </c>
      <c r="O238" s="2076" t="s">
        <v>32</v>
      </c>
      <c r="P238" s="2077" t="s">
        <v>32</v>
      </c>
      <c r="Q238" s="2077" t="s">
        <v>32</v>
      </c>
      <c r="R238" s="2077" t="s">
        <v>32</v>
      </c>
      <c r="S238" s="1864"/>
      <c r="T238" s="1844"/>
      <c r="U238" s="1840" t="s">
        <v>32</v>
      </c>
      <c r="V238" s="2077" t="s">
        <v>32</v>
      </c>
      <c r="W238" s="2077" t="s">
        <v>32</v>
      </c>
      <c r="X238" s="2077" t="s">
        <v>32</v>
      </c>
      <c r="Y238" s="1840" t="s">
        <v>32</v>
      </c>
      <c r="Z238" s="1844"/>
      <c r="AA238" s="1840"/>
      <c r="AB238" s="1862" t="s">
        <v>32</v>
      </c>
      <c r="AC238" s="1862" t="s">
        <v>32</v>
      </c>
      <c r="AD238" s="1862" t="s">
        <v>51</v>
      </c>
      <c r="AE238" s="1840" t="s">
        <v>32</v>
      </c>
      <c r="AF238" s="1840" t="s">
        <v>32</v>
      </c>
      <c r="AG238" s="2068"/>
      <c r="AH238" s="178"/>
      <c r="AI238" s="179"/>
    </row>
    <row r="239" spans="1:35" ht="22.35" customHeight="1" x14ac:dyDescent="0.2">
      <c r="A239" s="2078">
        <v>3701</v>
      </c>
      <c r="B239" s="1910" t="s">
        <v>302</v>
      </c>
      <c r="C239" s="1844" t="s">
        <v>32</v>
      </c>
      <c r="D239" s="1844" t="s">
        <v>32</v>
      </c>
      <c r="E239" s="1844"/>
      <c r="F239" s="1844"/>
      <c r="G239" s="2074" t="s">
        <v>32</v>
      </c>
      <c r="H239" s="2074" t="s">
        <v>32</v>
      </c>
      <c r="I239" s="2074" t="s">
        <v>32</v>
      </c>
      <c r="J239" s="1844" t="s">
        <v>32</v>
      </c>
      <c r="K239" s="1844" t="s">
        <v>32</v>
      </c>
      <c r="L239" s="1844"/>
      <c r="M239" s="1844"/>
      <c r="N239" s="2074" t="s">
        <v>32</v>
      </c>
      <c r="O239" s="2074" t="s">
        <v>32</v>
      </c>
      <c r="P239" s="2074" t="s">
        <v>32</v>
      </c>
      <c r="Q239" s="2074" t="s">
        <v>32</v>
      </c>
      <c r="R239" s="2074" t="s">
        <v>32</v>
      </c>
      <c r="S239" s="1864"/>
      <c r="T239" s="1844"/>
      <c r="U239" s="1864" t="s">
        <v>32</v>
      </c>
      <c r="V239" s="2065" t="s">
        <v>32</v>
      </c>
      <c r="W239" s="2065" t="s">
        <v>32</v>
      </c>
      <c r="X239" s="2065" t="s">
        <v>32</v>
      </c>
      <c r="Y239" s="1864" t="s">
        <v>32</v>
      </c>
      <c r="Z239" s="1844"/>
      <c r="AA239" s="1844"/>
      <c r="AB239" s="1844" t="s">
        <v>32</v>
      </c>
      <c r="AC239" s="1864" t="s">
        <v>32</v>
      </c>
      <c r="AD239" s="1864" t="s">
        <v>32</v>
      </c>
      <c r="AE239" s="1864" t="s">
        <v>32</v>
      </c>
      <c r="AF239" s="1864" t="s">
        <v>32</v>
      </c>
      <c r="AG239" s="2068"/>
      <c r="AH239" s="178"/>
      <c r="AI239" s="179"/>
    </row>
    <row r="240" spans="1:35" ht="22.35" customHeight="1" x14ac:dyDescent="0.2">
      <c r="A240" s="2069">
        <v>3701</v>
      </c>
      <c r="B240" s="1910" t="s">
        <v>303</v>
      </c>
      <c r="C240" s="1844" t="s">
        <v>32</v>
      </c>
      <c r="D240" s="1844" t="s">
        <v>32</v>
      </c>
      <c r="E240" s="1844"/>
      <c r="F240" s="1844"/>
      <c r="G240" s="1844" t="s">
        <v>32</v>
      </c>
      <c r="H240" s="1844" t="s">
        <v>32</v>
      </c>
      <c r="I240" s="1844" t="s">
        <v>32</v>
      </c>
      <c r="J240" s="1844" t="s">
        <v>32</v>
      </c>
      <c r="K240" s="1844" t="s">
        <v>32</v>
      </c>
      <c r="L240" s="1844"/>
      <c r="M240" s="1844"/>
      <c r="N240" s="1864" t="s">
        <v>32</v>
      </c>
      <c r="O240" s="1864" t="s">
        <v>32</v>
      </c>
      <c r="P240" s="1864" t="s">
        <v>32</v>
      </c>
      <c r="Q240" s="1843" t="s">
        <v>32</v>
      </c>
      <c r="R240" s="1864" t="s">
        <v>32</v>
      </c>
      <c r="S240" s="1864"/>
      <c r="T240" s="1844"/>
      <c r="U240" s="1864" t="s">
        <v>32</v>
      </c>
      <c r="V240" s="2065" t="s">
        <v>32</v>
      </c>
      <c r="W240" s="2065" t="s">
        <v>32</v>
      </c>
      <c r="X240" s="2065" t="s">
        <v>32</v>
      </c>
      <c r="Y240" s="1864" t="s">
        <v>32</v>
      </c>
      <c r="Z240" s="1844"/>
      <c r="AA240" s="1844"/>
      <c r="AB240" s="1844" t="s">
        <v>32</v>
      </c>
      <c r="AC240" s="1864" t="s">
        <v>32</v>
      </c>
      <c r="AD240" s="1864" t="s">
        <v>32</v>
      </c>
      <c r="AE240" s="1864" t="s">
        <v>32</v>
      </c>
      <c r="AF240" s="1864" t="s">
        <v>32</v>
      </c>
      <c r="AG240" s="2079"/>
      <c r="AH240" s="178"/>
      <c r="AI240" s="179"/>
    </row>
    <row r="241" spans="1:35" ht="22.35" customHeight="1" x14ac:dyDescent="0.2">
      <c r="A241" s="2069">
        <v>3701</v>
      </c>
      <c r="B241" s="1910" t="s">
        <v>304</v>
      </c>
      <c r="C241" s="1844" t="s">
        <v>32</v>
      </c>
      <c r="D241" s="1844" t="s">
        <v>32</v>
      </c>
      <c r="E241" s="1844"/>
      <c r="F241" s="1844"/>
      <c r="G241" s="1844" t="s">
        <v>32</v>
      </c>
      <c r="H241" s="1844" t="s">
        <v>32</v>
      </c>
      <c r="I241" s="1844" t="s">
        <v>32</v>
      </c>
      <c r="J241" s="1844" t="s">
        <v>32</v>
      </c>
      <c r="K241" s="1844" t="s">
        <v>32</v>
      </c>
      <c r="L241" s="1844"/>
      <c r="M241" s="1844"/>
      <c r="N241" s="1864" t="s">
        <v>32</v>
      </c>
      <c r="O241" s="1864" t="s">
        <v>32</v>
      </c>
      <c r="P241" s="1864" t="s">
        <v>32</v>
      </c>
      <c r="Q241" s="1843" t="s">
        <v>32</v>
      </c>
      <c r="R241" s="1864" t="s">
        <v>32</v>
      </c>
      <c r="S241" s="1864"/>
      <c r="T241" s="1844"/>
      <c r="U241" s="1864" t="s">
        <v>32</v>
      </c>
      <c r="V241" s="2065" t="s">
        <v>32</v>
      </c>
      <c r="W241" s="2065" t="s">
        <v>32</v>
      </c>
      <c r="X241" s="2065" t="s">
        <v>32</v>
      </c>
      <c r="Y241" s="1864" t="s">
        <v>32</v>
      </c>
      <c r="Z241" s="1844"/>
      <c r="AA241" s="1844"/>
      <c r="AB241" s="1844" t="s">
        <v>32</v>
      </c>
      <c r="AC241" s="1864" t="s">
        <v>32</v>
      </c>
      <c r="AD241" s="1864" t="s">
        <v>32</v>
      </c>
      <c r="AE241" s="1864" t="s">
        <v>32</v>
      </c>
      <c r="AF241" s="1864" t="s">
        <v>32</v>
      </c>
      <c r="AG241" s="2080"/>
      <c r="AH241" s="178"/>
      <c r="AI241" s="179"/>
    </row>
    <row r="242" spans="1:35" ht="22.35" customHeight="1" x14ac:dyDescent="0.2">
      <c r="A242" s="2069"/>
      <c r="B242" s="1910"/>
      <c r="C242" s="1844" t="s">
        <v>32</v>
      </c>
      <c r="D242" s="1844" t="s">
        <v>32</v>
      </c>
      <c r="E242" s="1844"/>
      <c r="F242" s="1844"/>
      <c r="G242" s="1844" t="s">
        <v>32</v>
      </c>
      <c r="H242" s="1844" t="s">
        <v>32</v>
      </c>
      <c r="I242" s="1844" t="s">
        <v>32</v>
      </c>
      <c r="J242" s="1844" t="s">
        <v>32</v>
      </c>
      <c r="K242" s="1844" t="s">
        <v>32</v>
      </c>
      <c r="L242" s="1844"/>
      <c r="M242" s="1844"/>
      <c r="N242" s="1864" t="s">
        <v>32</v>
      </c>
      <c r="O242" s="1864" t="s">
        <v>32</v>
      </c>
      <c r="P242" s="1864" t="s">
        <v>32</v>
      </c>
      <c r="Q242" s="1843" t="s">
        <v>32</v>
      </c>
      <c r="R242" s="1864" t="s">
        <v>32</v>
      </c>
      <c r="S242" s="1864"/>
      <c r="T242" s="1844"/>
      <c r="U242" s="1864" t="s">
        <v>32</v>
      </c>
      <c r="V242" s="2065" t="s">
        <v>32</v>
      </c>
      <c r="W242" s="2065" t="s">
        <v>32</v>
      </c>
      <c r="X242" s="2065" t="s">
        <v>32</v>
      </c>
      <c r="Y242" s="1864" t="s">
        <v>32</v>
      </c>
      <c r="Z242" s="1844"/>
      <c r="AA242" s="1844"/>
      <c r="AB242" s="1844" t="s">
        <v>32</v>
      </c>
      <c r="AC242" s="1864" t="s">
        <v>32</v>
      </c>
      <c r="AD242" s="1864" t="s">
        <v>32</v>
      </c>
      <c r="AE242" s="1864" t="s">
        <v>32</v>
      </c>
      <c r="AF242" s="1864" t="s">
        <v>32</v>
      </c>
      <c r="AG242" s="2068"/>
      <c r="AH242" s="178"/>
      <c r="AI242" s="179"/>
    </row>
    <row r="243" spans="1:35" ht="22.35" customHeight="1" x14ac:dyDescent="0.2">
      <c r="A243" s="2069"/>
      <c r="B243" s="1910" t="s">
        <v>306</v>
      </c>
      <c r="C243" s="1844" t="s">
        <v>32</v>
      </c>
      <c r="D243" s="1844" t="s">
        <v>32</v>
      </c>
      <c r="E243" s="1844"/>
      <c r="F243" s="1844"/>
      <c r="G243" s="1844" t="s">
        <v>32</v>
      </c>
      <c r="H243" s="1844" t="s">
        <v>32</v>
      </c>
      <c r="I243" s="1844" t="s">
        <v>32</v>
      </c>
      <c r="J243" s="1844" t="s">
        <v>32</v>
      </c>
      <c r="K243" s="1844" t="s">
        <v>32</v>
      </c>
      <c r="L243" s="1844"/>
      <c r="M243" s="1844"/>
      <c r="N243" s="1864" t="s">
        <v>32</v>
      </c>
      <c r="O243" s="1864" t="s">
        <v>32</v>
      </c>
      <c r="P243" s="1864" t="s">
        <v>32</v>
      </c>
      <c r="Q243" s="1843" t="s">
        <v>32</v>
      </c>
      <c r="R243" s="1864" t="s">
        <v>32</v>
      </c>
      <c r="S243" s="1864"/>
      <c r="T243" s="1844"/>
      <c r="U243" s="1864" t="s">
        <v>32</v>
      </c>
      <c r="V243" s="2065" t="s">
        <v>32</v>
      </c>
      <c r="W243" s="2065" t="s">
        <v>32</v>
      </c>
      <c r="X243" s="2065" t="s">
        <v>32</v>
      </c>
      <c r="Y243" s="1864" t="s">
        <v>32</v>
      </c>
      <c r="Z243" s="1844"/>
      <c r="AA243" s="1844"/>
      <c r="AB243" s="1862" t="s">
        <v>32</v>
      </c>
      <c r="AC243" s="1862" t="s">
        <v>51</v>
      </c>
      <c r="AD243" s="1840" t="s">
        <v>32</v>
      </c>
      <c r="AE243" s="1840" t="s">
        <v>32</v>
      </c>
      <c r="AF243" s="1840" t="s">
        <v>32</v>
      </c>
      <c r="AG243" s="2081"/>
      <c r="AH243" s="178"/>
      <c r="AI243" s="179"/>
    </row>
    <row r="244" spans="1:35" ht="22.35" customHeight="1" x14ac:dyDescent="0.2">
      <c r="A244" s="2069"/>
      <c r="B244" s="2071" t="s">
        <v>307</v>
      </c>
      <c r="C244" s="1844"/>
      <c r="D244" s="1844"/>
      <c r="E244" s="1844"/>
      <c r="F244" s="1844"/>
      <c r="G244" s="1844"/>
      <c r="H244" s="1844"/>
      <c r="I244" s="1844"/>
      <c r="J244" s="1844"/>
      <c r="K244" s="1844"/>
      <c r="L244" s="1844"/>
      <c r="M244" s="1844"/>
      <c r="N244" s="1864"/>
      <c r="O244" s="1864"/>
      <c r="P244" s="1864"/>
      <c r="Q244" s="1843"/>
      <c r="R244" s="1864"/>
      <c r="S244" s="1864"/>
      <c r="T244" s="1844"/>
      <c r="U244" s="1864"/>
      <c r="V244" s="2065"/>
      <c r="W244" s="2065"/>
      <c r="X244" s="2065"/>
      <c r="Y244" s="1864"/>
      <c r="Z244" s="1844"/>
      <c r="AA244" s="1844"/>
      <c r="AB244" s="1844"/>
      <c r="AC244" s="1864"/>
      <c r="AD244" s="1864"/>
      <c r="AE244" s="1864"/>
      <c r="AF244" s="1864"/>
      <c r="AG244" s="2068"/>
      <c r="AH244" s="178"/>
      <c r="AI244" s="179"/>
    </row>
    <row r="245" spans="1:35" ht="22.35" customHeight="1" x14ac:dyDescent="0.2">
      <c r="A245" s="2069"/>
      <c r="B245" s="1910" t="s">
        <v>308</v>
      </c>
      <c r="C245" s="1844" t="s">
        <v>32</v>
      </c>
      <c r="D245" s="2082" t="s">
        <v>32</v>
      </c>
      <c r="E245" s="1844"/>
      <c r="F245" s="1844"/>
      <c r="G245" s="1844" t="s">
        <v>32</v>
      </c>
      <c r="H245" s="1844" t="s">
        <v>32</v>
      </c>
      <c r="I245" s="1844" t="s">
        <v>32</v>
      </c>
      <c r="J245" s="1844" t="s">
        <v>32</v>
      </c>
      <c r="K245" s="1844" t="s">
        <v>32</v>
      </c>
      <c r="L245" s="1844"/>
      <c r="M245" s="1844"/>
      <c r="N245" s="1864" t="s">
        <v>32</v>
      </c>
      <c r="O245" s="2083" t="s">
        <v>32</v>
      </c>
      <c r="P245" s="2083" t="s">
        <v>32</v>
      </c>
      <c r="Q245" s="2083" t="s">
        <v>32</v>
      </c>
      <c r="R245" s="2083" t="s">
        <v>51</v>
      </c>
      <c r="S245" s="1864"/>
      <c r="T245" s="1844"/>
      <c r="U245" s="1864" t="s">
        <v>32</v>
      </c>
      <c r="V245" s="2065" t="s">
        <v>32</v>
      </c>
      <c r="W245" s="2065" t="s">
        <v>32</v>
      </c>
      <c r="X245" s="2065" t="s">
        <v>32</v>
      </c>
      <c r="Y245" s="1864" t="s">
        <v>32</v>
      </c>
      <c r="Z245" s="1844"/>
      <c r="AA245" s="1844"/>
      <c r="AB245" s="1844" t="s">
        <v>32</v>
      </c>
      <c r="AC245" s="1864" t="s">
        <v>32</v>
      </c>
      <c r="AD245" s="1864" t="s">
        <v>32</v>
      </c>
      <c r="AE245" s="1864" t="s">
        <v>32</v>
      </c>
      <c r="AF245" s="1864" t="s">
        <v>32</v>
      </c>
      <c r="AG245" s="2068"/>
      <c r="AH245" s="178"/>
      <c r="AI245" s="179"/>
    </row>
    <row r="246" spans="1:35" ht="22.35" customHeight="1" x14ac:dyDescent="0.2">
      <c r="A246" s="2069"/>
      <c r="B246" s="1910" t="s">
        <v>309</v>
      </c>
      <c r="C246" s="1862" t="s">
        <v>32</v>
      </c>
      <c r="D246" s="1862" t="s">
        <v>431</v>
      </c>
      <c r="E246" s="1844"/>
      <c r="F246" s="1844"/>
      <c r="G246" s="1844" t="s">
        <v>32</v>
      </c>
      <c r="H246" s="1844" t="s">
        <v>32</v>
      </c>
      <c r="I246" s="1844" t="s">
        <v>32</v>
      </c>
      <c r="J246" s="1844" t="s">
        <v>32</v>
      </c>
      <c r="K246" s="1844" t="s">
        <v>32</v>
      </c>
      <c r="L246" s="1844"/>
      <c r="M246" s="1844"/>
      <c r="N246" s="1864" t="s">
        <v>32</v>
      </c>
      <c r="O246" s="1864" t="s">
        <v>32</v>
      </c>
      <c r="P246" s="1864" t="s">
        <v>32</v>
      </c>
      <c r="Q246" s="1843" t="s">
        <v>32</v>
      </c>
      <c r="R246" s="1864" t="s">
        <v>32</v>
      </c>
      <c r="S246" s="1864"/>
      <c r="T246" s="1844"/>
      <c r="U246" s="1864" t="s">
        <v>32</v>
      </c>
      <c r="V246" s="2065" t="s">
        <v>32</v>
      </c>
      <c r="W246" s="2065" t="s">
        <v>32</v>
      </c>
      <c r="X246" s="2065" t="s">
        <v>32</v>
      </c>
      <c r="Y246" s="1864" t="s">
        <v>32</v>
      </c>
      <c r="Z246" s="1844"/>
      <c r="AA246" s="1844"/>
      <c r="AB246" s="1844" t="s">
        <v>32</v>
      </c>
      <c r="AC246" s="1864" t="s">
        <v>32</v>
      </c>
      <c r="AD246" s="1864" t="s">
        <v>32</v>
      </c>
      <c r="AE246" s="1864" t="s">
        <v>32</v>
      </c>
      <c r="AF246" s="1864" t="s">
        <v>32</v>
      </c>
      <c r="AG246" s="2079"/>
      <c r="AH246" s="178"/>
      <c r="AI246" s="179"/>
    </row>
    <row r="247" spans="1:35" ht="22.35" customHeight="1" x14ac:dyDescent="0.2">
      <c r="A247" s="2069"/>
      <c r="B247" s="1910"/>
      <c r="C247" s="1844" t="s">
        <v>32</v>
      </c>
      <c r="D247" s="1844" t="s">
        <v>32</v>
      </c>
      <c r="E247" s="1844"/>
      <c r="F247" s="1844"/>
      <c r="G247" s="1844" t="s">
        <v>32</v>
      </c>
      <c r="H247" s="1844" t="s">
        <v>32</v>
      </c>
      <c r="I247" s="1844" t="s">
        <v>32</v>
      </c>
      <c r="J247" s="1844" t="s">
        <v>32</v>
      </c>
      <c r="K247" s="1844" t="s">
        <v>32</v>
      </c>
      <c r="L247" s="1844"/>
      <c r="M247" s="1844"/>
      <c r="N247" s="1864" t="s">
        <v>32</v>
      </c>
      <c r="O247" s="1864" t="s">
        <v>32</v>
      </c>
      <c r="P247" s="1864" t="s">
        <v>32</v>
      </c>
      <c r="Q247" s="1843" t="s">
        <v>32</v>
      </c>
      <c r="R247" s="1864" t="s">
        <v>32</v>
      </c>
      <c r="S247" s="1864"/>
      <c r="T247" s="1844"/>
      <c r="U247" s="1864" t="s">
        <v>32</v>
      </c>
      <c r="V247" s="2065" t="s">
        <v>32</v>
      </c>
      <c r="W247" s="2065" t="s">
        <v>32</v>
      </c>
      <c r="X247" s="2065" t="s">
        <v>32</v>
      </c>
      <c r="Y247" s="1864" t="s">
        <v>32</v>
      </c>
      <c r="Z247" s="1844"/>
      <c r="AA247" s="1844"/>
      <c r="AB247" s="1844" t="s">
        <v>32</v>
      </c>
      <c r="AC247" s="1864" t="s">
        <v>32</v>
      </c>
      <c r="AD247" s="1864" t="s">
        <v>32</v>
      </c>
      <c r="AE247" s="1864" t="s">
        <v>32</v>
      </c>
      <c r="AF247" s="1864" t="s">
        <v>32</v>
      </c>
      <c r="AG247" s="2079"/>
      <c r="AH247" s="175"/>
      <c r="AI247" s="107"/>
    </row>
    <row r="248" spans="1:35" ht="22.35" customHeight="1" x14ac:dyDescent="0.2">
      <c r="A248" s="2069"/>
      <c r="B248" s="1910" t="s">
        <v>311</v>
      </c>
      <c r="C248" s="1844" t="s">
        <v>32</v>
      </c>
      <c r="D248" s="1844" t="s">
        <v>32</v>
      </c>
      <c r="E248" s="1844"/>
      <c r="F248" s="1844"/>
      <c r="G248" s="1844" t="s">
        <v>32</v>
      </c>
      <c r="H248" s="1844" t="s">
        <v>32</v>
      </c>
      <c r="I248" s="1844" t="s">
        <v>32</v>
      </c>
      <c r="J248" s="1844" t="s">
        <v>32</v>
      </c>
      <c r="K248" s="1844" t="s">
        <v>32</v>
      </c>
      <c r="L248" s="1844"/>
      <c r="M248" s="1844"/>
      <c r="N248" s="1864" t="s">
        <v>32</v>
      </c>
      <c r="O248" s="1864" t="s">
        <v>32</v>
      </c>
      <c r="P248" s="1864" t="s">
        <v>32</v>
      </c>
      <c r="Q248" s="1843" t="s">
        <v>32</v>
      </c>
      <c r="R248" s="1864" t="s">
        <v>32</v>
      </c>
      <c r="S248" s="1864"/>
      <c r="T248" s="1844"/>
      <c r="U248" s="1864" t="s">
        <v>32</v>
      </c>
      <c r="V248" s="2065" t="s">
        <v>32</v>
      </c>
      <c r="W248" s="2065" t="s">
        <v>32</v>
      </c>
      <c r="X248" s="2065" t="s">
        <v>32</v>
      </c>
      <c r="Y248" s="1864" t="s">
        <v>32</v>
      </c>
      <c r="Z248" s="1844"/>
      <c r="AA248" s="1844"/>
      <c r="AB248" s="1844" t="s">
        <v>32</v>
      </c>
      <c r="AC248" s="1864" t="s">
        <v>32</v>
      </c>
      <c r="AD248" s="1864" t="s">
        <v>32</v>
      </c>
      <c r="AE248" s="1864" t="s">
        <v>32</v>
      </c>
      <c r="AF248" s="1864" t="s">
        <v>32</v>
      </c>
      <c r="AG248" s="2079"/>
      <c r="AH248" s="175"/>
      <c r="AI248" s="107"/>
    </row>
    <row r="249" spans="1:35" ht="22.35" customHeight="1" x14ac:dyDescent="0.2">
      <c r="A249" s="1840"/>
      <c r="B249" s="2084"/>
      <c r="C249" s="1844"/>
      <c r="D249" s="1844"/>
      <c r="E249" s="1844"/>
      <c r="F249" s="1844"/>
      <c r="G249" s="1844"/>
      <c r="H249" s="1844"/>
      <c r="I249" s="1844"/>
      <c r="J249" s="1844"/>
      <c r="K249" s="1844"/>
      <c r="L249" s="1844"/>
      <c r="M249" s="1844"/>
      <c r="N249" s="1844"/>
      <c r="O249" s="1844"/>
      <c r="P249" s="1844"/>
      <c r="Q249" s="1844"/>
      <c r="R249" s="1844"/>
      <c r="S249" s="1844"/>
      <c r="T249" s="1844"/>
      <c r="U249" s="1844"/>
      <c r="V249" s="1844"/>
      <c r="W249" s="1844"/>
      <c r="X249" s="1844"/>
      <c r="Y249" s="1844"/>
      <c r="Z249" s="1844"/>
      <c r="AA249" s="1844"/>
      <c r="AB249" s="1844"/>
      <c r="AC249" s="1844"/>
      <c r="AD249" s="1844"/>
      <c r="AE249" s="1844"/>
      <c r="AF249" s="1844"/>
      <c r="AG249" s="2068"/>
      <c r="AH249" s="175"/>
      <c r="AI249" s="107"/>
    </row>
    <row r="250" spans="1:35" ht="22.35" customHeight="1" x14ac:dyDescent="0.2">
      <c r="A250" s="1840"/>
      <c r="B250" s="1910"/>
      <c r="C250" s="1844"/>
      <c r="D250" s="1844"/>
      <c r="E250" s="1844"/>
      <c r="F250" s="1844"/>
      <c r="G250" s="1844"/>
      <c r="H250" s="1844"/>
      <c r="I250" s="1844"/>
      <c r="J250" s="1844"/>
      <c r="K250" s="1844"/>
      <c r="L250" s="1844"/>
      <c r="M250" s="1844"/>
      <c r="N250" s="1864"/>
      <c r="O250" s="1864"/>
      <c r="P250" s="1864"/>
      <c r="Q250" s="1843"/>
      <c r="R250" s="1864"/>
      <c r="S250" s="1844"/>
      <c r="T250" s="1844"/>
      <c r="U250" s="1864"/>
      <c r="V250" s="1864"/>
      <c r="W250" s="1864"/>
      <c r="X250" s="1844"/>
      <c r="Y250" s="1864"/>
      <c r="Z250" s="1844"/>
      <c r="AA250" s="1844"/>
      <c r="AB250" s="1844"/>
      <c r="AC250" s="1844"/>
      <c r="AD250" s="1844"/>
      <c r="AE250" s="1844"/>
      <c r="AF250" s="1864"/>
      <c r="AG250" s="2079"/>
      <c r="AH250" s="175"/>
      <c r="AI250" s="107"/>
    </row>
    <row r="251" spans="1:35" ht="22.35" customHeight="1" x14ac:dyDescent="0.2">
      <c r="A251" s="1840"/>
      <c r="B251" s="1840"/>
      <c r="C251" s="1844"/>
      <c r="D251" s="1844"/>
      <c r="E251" s="1844"/>
      <c r="F251" s="1844"/>
      <c r="G251" s="1844"/>
      <c r="H251" s="1844"/>
      <c r="I251" s="1844"/>
      <c r="J251" s="1844"/>
      <c r="K251" s="1844"/>
      <c r="L251" s="1844"/>
      <c r="M251" s="1844"/>
      <c r="N251" s="1844"/>
      <c r="O251" s="1844"/>
      <c r="P251" s="1844"/>
      <c r="Q251" s="1844"/>
      <c r="R251" s="1844"/>
      <c r="S251" s="1844"/>
      <c r="T251" s="1844"/>
      <c r="U251" s="1844"/>
      <c r="V251" s="1844"/>
      <c r="W251" s="1844"/>
      <c r="X251" s="1844"/>
      <c r="Y251" s="1844"/>
      <c r="Z251" s="1844"/>
      <c r="AA251" s="1844"/>
      <c r="AB251" s="1844"/>
      <c r="AC251" s="1844"/>
      <c r="AD251" s="1844"/>
      <c r="AE251" s="1844"/>
      <c r="AF251" s="1844"/>
      <c r="AG251" s="2068"/>
      <c r="AH251" s="175"/>
      <c r="AI251" s="107"/>
    </row>
    <row r="252" spans="1:35" ht="22.35" customHeight="1" x14ac:dyDescent="0.2">
      <c r="A252" s="1840"/>
      <c r="B252" s="1840"/>
      <c r="C252" s="1844"/>
      <c r="D252" s="1844"/>
      <c r="E252" s="1844"/>
      <c r="F252" s="1844"/>
      <c r="G252" s="1844"/>
      <c r="H252" s="2085"/>
      <c r="I252" s="1844"/>
      <c r="J252" s="1844"/>
      <c r="K252" s="1844"/>
      <c r="L252" s="1844"/>
      <c r="M252" s="1844"/>
      <c r="N252" s="1844"/>
      <c r="O252" s="1844"/>
      <c r="P252" s="1844"/>
      <c r="Q252" s="1844"/>
      <c r="R252" s="1844"/>
      <c r="S252" s="1844"/>
      <c r="T252" s="1844"/>
      <c r="U252" s="1844"/>
      <c r="V252" s="1844"/>
      <c r="W252" s="1844"/>
      <c r="X252" s="1844"/>
      <c r="Y252" s="1844"/>
      <c r="Z252" s="1844"/>
      <c r="AA252" s="1844"/>
      <c r="AB252" s="1844"/>
      <c r="AC252" s="1844"/>
      <c r="AD252" s="1844"/>
      <c r="AE252" s="1844"/>
      <c r="AF252" s="1844"/>
      <c r="AG252" s="2086"/>
      <c r="AH252" s="175"/>
      <c r="AI252" s="107"/>
    </row>
    <row r="253" spans="1:35" ht="22.35" customHeight="1" x14ac:dyDescent="0.2">
      <c r="A253" s="2069"/>
      <c r="B253" s="2087"/>
      <c r="C253" s="1844"/>
      <c r="D253" s="1844"/>
      <c r="E253" s="1844"/>
      <c r="F253" s="1844"/>
      <c r="G253" s="1844"/>
      <c r="H253" s="1844"/>
      <c r="I253" s="1844"/>
      <c r="J253" s="1844"/>
      <c r="K253" s="1844"/>
      <c r="L253" s="1844"/>
      <c r="M253" s="1844"/>
      <c r="N253" s="1844"/>
      <c r="O253" s="1844"/>
      <c r="P253" s="1844"/>
      <c r="Q253" s="1844"/>
      <c r="R253" s="1844"/>
      <c r="S253" s="1844"/>
      <c r="T253" s="1844"/>
      <c r="U253" s="1844"/>
      <c r="V253" s="1844"/>
      <c r="W253" s="1844"/>
      <c r="X253" s="1844"/>
      <c r="Y253" s="1844"/>
      <c r="Z253" s="1844"/>
      <c r="AA253" s="1844"/>
      <c r="AB253" s="1844"/>
      <c r="AC253" s="1844"/>
      <c r="AD253" s="1844"/>
      <c r="AE253" s="1844"/>
      <c r="AF253" s="1844"/>
      <c r="AG253" s="2086"/>
      <c r="AH253" s="175"/>
      <c r="AI253" s="107"/>
    </row>
    <row r="254" spans="1:35" ht="22.35" customHeight="1" x14ac:dyDescent="0.2">
      <c r="A254" s="2069"/>
      <c r="B254" s="2088"/>
      <c r="C254" s="1844"/>
      <c r="D254" s="1844"/>
      <c r="E254" s="1844"/>
      <c r="F254" s="1844"/>
      <c r="G254" s="1844"/>
      <c r="H254" s="1844"/>
      <c r="I254" s="1844"/>
      <c r="J254" s="1844"/>
      <c r="K254" s="1844"/>
      <c r="L254" s="1844"/>
      <c r="M254" s="1844"/>
      <c r="N254" s="1844"/>
      <c r="O254" s="1844"/>
      <c r="P254" s="1844"/>
      <c r="Q254" s="1844"/>
      <c r="R254" s="1844"/>
      <c r="S254" s="1844"/>
      <c r="T254" s="1844"/>
      <c r="U254" s="1844"/>
      <c r="V254" s="1844"/>
      <c r="W254" s="1844"/>
      <c r="X254" s="1844"/>
      <c r="Y254" s="1844"/>
      <c r="Z254" s="1844"/>
      <c r="AA254" s="1844"/>
      <c r="AB254" s="1844"/>
      <c r="AC254" s="1844"/>
      <c r="AD254" s="1844"/>
      <c r="AE254" s="1844"/>
      <c r="AF254" s="1844"/>
      <c r="AG254" s="2086"/>
      <c r="AH254" s="175"/>
      <c r="AI254" s="107"/>
    </row>
    <row r="255" spans="1:35" ht="22.35" customHeight="1" x14ac:dyDescent="0.2">
      <c r="A255" s="108"/>
      <c r="B255" s="121"/>
      <c r="C255" s="106"/>
      <c r="D255" s="106"/>
      <c r="E255" s="106"/>
      <c r="F255" s="106"/>
      <c r="G255" s="106"/>
      <c r="H255" s="106"/>
      <c r="I255" s="106"/>
      <c r="J255" s="106"/>
      <c r="L255" s="106"/>
      <c r="M255" s="106"/>
      <c r="N255" s="106"/>
      <c r="O255" s="106"/>
      <c r="P255" s="72"/>
      <c r="Q255" s="72"/>
      <c r="R255" s="72"/>
      <c r="S255" s="106"/>
      <c r="T255" s="106"/>
      <c r="U255" s="106"/>
      <c r="V255" s="106"/>
      <c r="W255" s="106"/>
      <c r="X255" s="106"/>
      <c r="Y255" s="106"/>
      <c r="Z255" s="106"/>
      <c r="AA255" s="106"/>
      <c r="AB255" s="106"/>
      <c r="AC255" s="106"/>
      <c r="AD255" s="106"/>
      <c r="AE255" s="106"/>
      <c r="AF255" s="106"/>
      <c r="AG255" s="106"/>
      <c r="AH255" s="107"/>
      <c r="AI255" s="107"/>
    </row>
    <row r="259" spans="1:35" ht="21" customHeight="1" thickBot="1" x14ac:dyDescent="0.25">
      <c r="A259" s="158" t="s">
        <v>312</v>
      </c>
    </row>
    <row r="260" spans="1:35" ht="21" customHeight="1" x14ac:dyDescent="0.2">
      <c r="B260" s="2089" t="s">
        <v>281</v>
      </c>
      <c r="C260" s="1973"/>
      <c r="D260" s="1998" t="s">
        <v>107</v>
      </c>
      <c r="E260" s="1887"/>
      <c r="F260" s="1966"/>
      <c r="G260" s="1973"/>
      <c r="H260" s="1998" t="s">
        <v>108</v>
      </c>
      <c r="I260" s="1887"/>
      <c r="J260" s="1966"/>
      <c r="K260" s="1973"/>
      <c r="L260" s="1998" t="s">
        <v>109</v>
      </c>
      <c r="M260" s="1887"/>
      <c r="N260" s="1966"/>
      <c r="O260" s="1973"/>
      <c r="P260" s="1998" t="s">
        <v>110</v>
      </c>
      <c r="Q260" s="1887"/>
      <c r="R260" s="1966"/>
      <c r="S260" s="1973"/>
      <c r="T260" s="1998" t="s">
        <v>111</v>
      </c>
      <c r="U260" s="1887"/>
      <c r="V260" s="1966"/>
      <c r="W260" s="1973"/>
      <c r="X260" s="1998" t="s">
        <v>112</v>
      </c>
      <c r="Y260" s="1887"/>
      <c r="Z260" s="1966"/>
      <c r="AA260" s="1973"/>
      <c r="AB260" s="1998" t="s">
        <v>113</v>
      </c>
      <c r="AC260" s="1887"/>
      <c r="AD260" s="1887"/>
      <c r="AE260" s="2001" t="s">
        <v>114</v>
      </c>
      <c r="AF260" s="1887"/>
      <c r="AG260" s="1887"/>
      <c r="AH260" s="1887"/>
      <c r="AI260" s="1888"/>
    </row>
    <row r="261" spans="1:35" ht="21" customHeight="1" x14ac:dyDescent="0.2">
      <c r="B261" s="3"/>
      <c r="C261" s="287" t="s">
        <v>313</v>
      </c>
      <c r="D261" s="116"/>
      <c r="E261" s="283"/>
      <c r="F261" s="284"/>
      <c r="G261" s="287" t="s">
        <v>313</v>
      </c>
      <c r="H261" s="116"/>
      <c r="I261" s="283"/>
      <c r="J261" s="284"/>
      <c r="K261" s="287" t="s">
        <v>313</v>
      </c>
      <c r="L261" s="116"/>
      <c r="M261" s="283"/>
      <c r="N261" s="284"/>
      <c r="O261" s="287" t="s">
        <v>313</v>
      </c>
      <c r="P261" s="282"/>
      <c r="Q261" s="283"/>
      <c r="R261" s="284"/>
      <c r="S261" s="288" t="s">
        <v>314</v>
      </c>
      <c r="T261" s="116"/>
      <c r="U261" s="283"/>
      <c r="V261" s="284"/>
      <c r="W261" s="154"/>
      <c r="X261" s="116"/>
      <c r="Y261" s="162"/>
      <c r="Z261" s="164"/>
      <c r="AA261" s="154"/>
      <c r="AB261" s="116"/>
      <c r="AC261" s="162"/>
      <c r="AD261" s="162"/>
      <c r="AE261" s="117"/>
      <c r="AF261" s="162"/>
      <c r="AG261" s="14"/>
      <c r="AH261" s="14"/>
      <c r="AI261" s="118"/>
    </row>
    <row r="262" spans="1:35" ht="21" customHeight="1" x14ac:dyDescent="0.2">
      <c r="A262" s="110"/>
      <c r="B262" s="2090"/>
      <c r="C262" s="1095" t="s">
        <v>189</v>
      </c>
      <c r="D262" s="2091"/>
      <c r="E262" s="283"/>
      <c r="F262" s="284"/>
      <c r="G262" s="1095" t="s">
        <v>189</v>
      </c>
      <c r="H262" s="116"/>
      <c r="I262" s="283"/>
      <c r="J262" s="284"/>
      <c r="K262" s="1095" t="s">
        <v>189</v>
      </c>
      <c r="L262" s="116"/>
      <c r="M262" s="283"/>
      <c r="N262" s="284"/>
      <c r="O262" s="1095" t="s">
        <v>189</v>
      </c>
      <c r="P262" s="116"/>
      <c r="Q262" s="283"/>
      <c r="R262" s="284"/>
      <c r="S262" s="287" t="s">
        <v>315</v>
      </c>
      <c r="T262" s="116"/>
      <c r="U262" s="283"/>
      <c r="V262" s="284"/>
      <c r="W262" s="154"/>
      <c r="X262" s="116"/>
      <c r="Y262" s="162"/>
      <c r="Z262" s="164"/>
      <c r="AA262" s="154"/>
      <c r="AB262" s="116"/>
      <c r="AC262" s="162"/>
      <c r="AD262" s="162"/>
      <c r="AE262" s="117"/>
      <c r="AF262" s="162"/>
      <c r="AG262" s="14"/>
      <c r="AH262" s="14"/>
      <c r="AI262" s="118"/>
    </row>
    <row r="263" spans="1:35" ht="21" customHeight="1" x14ac:dyDescent="0.2">
      <c r="B263" s="2090"/>
      <c r="C263" s="1095" t="s">
        <v>192</v>
      </c>
      <c r="D263" s="2091"/>
      <c r="E263" s="283"/>
      <c r="F263" s="284"/>
      <c r="G263" s="1095" t="s">
        <v>192</v>
      </c>
      <c r="H263" s="116"/>
      <c r="I263" s="283"/>
      <c r="J263" s="284"/>
      <c r="K263" s="1095" t="s">
        <v>192</v>
      </c>
      <c r="L263" s="116"/>
      <c r="M263" s="283"/>
      <c r="N263" s="284"/>
      <c r="O263" s="1095" t="s">
        <v>192</v>
      </c>
      <c r="P263" s="116"/>
      <c r="Q263" s="283"/>
      <c r="R263" s="284"/>
      <c r="S263" s="1095" t="s">
        <v>187</v>
      </c>
      <c r="T263" s="116"/>
      <c r="U263" s="283"/>
      <c r="V263" s="284"/>
      <c r="W263" s="154"/>
      <c r="X263" s="116"/>
      <c r="Y263" s="162"/>
      <c r="Z263" s="164"/>
      <c r="AA263" s="154"/>
      <c r="AB263" s="116"/>
      <c r="AC263" s="162"/>
      <c r="AD263" s="162"/>
      <c r="AE263" s="117"/>
      <c r="AF263" s="162"/>
      <c r="AG263" s="14"/>
      <c r="AH263" s="14"/>
      <c r="AI263" s="118"/>
    </row>
    <row r="264" spans="1:35" ht="21" customHeight="1" x14ac:dyDescent="0.2">
      <c r="B264" s="2090"/>
      <c r="C264" s="735"/>
      <c r="D264" s="945"/>
      <c r="E264" s="162"/>
      <c r="F264" s="164"/>
      <c r="G264" s="735"/>
      <c r="H264" s="945"/>
      <c r="I264" s="162"/>
      <c r="J264" s="164"/>
      <c r="K264" s="735"/>
      <c r="L264" s="945"/>
      <c r="M264" s="162"/>
      <c r="N264" s="164"/>
      <c r="O264" s="735"/>
      <c r="P264" s="945"/>
      <c r="Q264" s="162"/>
      <c r="R264" s="164"/>
      <c r="S264" s="735"/>
      <c r="T264" s="945"/>
      <c r="U264" s="162"/>
      <c r="V264" s="164"/>
      <c r="W264" s="154"/>
      <c r="X264" s="116"/>
      <c r="Y264" s="162"/>
      <c r="Z264" s="164"/>
      <c r="AA264" s="154"/>
      <c r="AB264" s="116"/>
      <c r="AC264" s="162"/>
      <c r="AD264" s="162"/>
      <c r="AE264" s="117"/>
      <c r="AF264" s="162"/>
      <c r="AG264" s="14"/>
      <c r="AH264" s="14"/>
      <c r="AI264" s="118"/>
    </row>
    <row r="265" spans="1:35" ht="21" customHeight="1" x14ac:dyDescent="0.2">
      <c r="B265" s="2090"/>
      <c r="C265" s="1046"/>
      <c r="D265" s="945"/>
      <c r="E265" s="162"/>
      <c r="F265" s="164"/>
      <c r="G265" s="116"/>
      <c r="H265" s="116"/>
      <c r="I265" s="162"/>
      <c r="J265" s="164"/>
      <c r="K265" s="116"/>
      <c r="L265" s="116"/>
      <c r="M265" s="162"/>
      <c r="N265" s="164"/>
      <c r="O265" s="116"/>
      <c r="P265" s="116"/>
      <c r="Q265" s="162"/>
      <c r="R265" s="164"/>
      <c r="S265" s="116"/>
      <c r="T265" s="116"/>
      <c r="U265" s="162"/>
      <c r="V265" s="164"/>
      <c r="W265" s="154"/>
      <c r="X265" s="116"/>
      <c r="Y265" s="162"/>
      <c r="Z265" s="164"/>
      <c r="AA265" s="154"/>
      <c r="AB265" s="116"/>
      <c r="AC265" s="162"/>
      <c r="AD265" s="162"/>
      <c r="AE265" s="117"/>
      <c r="AF265" s="162"/>
      <c r="AG265" s="14"/>
      <c r="AH265" s="14"/>
      <c r="AI265" s="118"/>
    </row>
    <row r="266" spans="1:35" ht="21" customHeight="1" x14ac:dyDescent="0.2">
      <c r="B266" s="2090" t="s">
        <v>159</v>
      </c>
      <c r="C266" s="1046" t="s">
        <v>316</v>
      </c>
      <c r="D266" s="2091"/>
      <c r="E266" s="283"/>
      <c r="F266" s="284"/>
      <c r="G266" s="1046" t="s">
        <v>316</v>
      </c>
      <c r="H266" s="2091"/>
      <c r="I266" s="283"/>
      <c r="J266" s="284"/>
      <c r="K266" s="1046" t="s">
        <v>316</v>
      </c>
      <c r="L266" s="2091"/>
      <c r="M266" s="283"/>
      <c r="N266" s="284"/>
      <c r="O266" s="1046" t="s">
        <v>316</v>
      </c>
      <c r="P266" s="2091"/>
      <c r="Q266" s="283"/>
      <c r="R266" s="284"/>
      <c r="S266" s="116" t="s">
        <v>317</v>
      </c>
      <c r="T266" s="116"/>
      <c r="U266" s="283"/>
      <c r="V266" s="284"/>
      <c r="W266" s="154"/>
      <c r="X266" s="116"/>
      <c r="Y266" s="162"/>
      <c r="Z266" s="164"/>
      <c r="AA266" s="154"/>
      <c r="AB266" s="116"/>
      <c r="AC266" s="162"/>
      <c r="AD266" s="162"/>
      <c r="AE266" s="117"/>
      <c r="AF266" s="162"/>
      <c r="AG266" s="14"/>
      <c r="AH266" s="14"/>
      <c r="AI266" s="118"/>
    </row>
    <row r="267" spans="1:35" ht="21" customHeight="1" x14ac:dyDescent="0.2">
      <c r="B267" s="2090" t="s">
        <v>163</v>
      </c>
      <c r="C267" s="1046" t="s">
        <v>318</v>
      </c>
      <c r="D267" s="2091"/>
      <c r="E267" s="283"/>
      <c r="F267" s="284"/>
      <c r="G267" s="1046" t="s">
        <v>318</v>
      </c>
      <c r="H267" s="2091"/>
      <c r="I267" s="283"/>
      <c r="J267" s="284"/>
      <c r="K267" s="1046" t="s">
        <v>318</v>
      </c>
      <c r="L267" s="2091"/>
      <c r="M267" s="283"/>
      <c r="N267" s="284"/>
      <c r="O267" s="1046" t="s">
        <v>318</v>
      </c>
      <c r="P267" s="2091"/>
      <c r="Q267" s="283"/>
      <c r="R267" s="284"/>
      <c r="S267" s="116" t="s">
        <v>319</v>
      </c>
      <c r="T267" s="116"/>
      <c r="U267" s="283"/>
      <c r="V267" s="284"/>
      <c r="W267" s="154"/>
      <c r="X267" s="116"/>
      <c r="Y267" s="162"/>
      <c r="Z267" s="164"/>
      <c r="AA267" s="154"/>
      <c r="AB267" s="116"/>
      <c r="AC267" s="162"/>
      <c r="AD267" s="162"/>
      <c r="AE267" s="117"/>
      <c r="AF267" s="162"/>
      <c r="AG267" s="14"/>
      <c r="AH267" s="14"/>
      <c r="AI267" s="118"/>
    </row>
    <row r="268" spans="1:35" ht="21" customHeight="1" thickBot="1" x14ac:dyDescent="0.25">
      <c r="B268" s="2092" t="s">
        <v>170</v>
      </c>
      <c r="C268" s="1057" t="s">
        <v>320</v>
      </c>
      <c r="D268" s="2093"/>
      <c r="E268" s="285"/>
      <c r="F268" s="286"/>
      <c r="G268" s="1057" t="s">
        <v>320</v>
      </c>
      <c r="H268" s="2093"/>
      <c r="I268" s="285"/>
      <c r="J268" s="286"/>
      <c r="K268" s="1057" t="s">
        <v>320</v>
      </c>
      <c r="L268" s="2093"/>
      <c r="M268" s="285"/>
      <c r="N268" s="286"/>
      <c r="O268" s="1057" t="s">
        <v>320</v>
      </c>
      <c r="P268" s="2093"/>
      <c r="Q268" s="285"/>
      <c r="R268" s="286"/>
      <c r="S268" s="225" t="s">
        <v>321</v>
      </c>
      <c r="T268" s="225"/>
      <c r="U268" s="285"/>
      <c r="V268" s="286"/>
      <c r="W268" s="277"/>
      <c r="X268" s="225"/>
      <c r="Y268" s="278"/>
      <c r="Z268" s="279"/>
      <c r="AA268" s="280"/>
      <c r="AB268" s="225"/>
      <c r="AC268" s="278"/>
      <c r="AD268" s="278"/>
      <c r="AE268" s="281"/>
      <c r="AF268" s="278"/>
      <c r="AG268" s="276"/>
      <c r="AH268" s="276"/>
      <c r="AI268" s="222"/>
    </row>
    <row r="269" spans="1:35" ht="21" customHeight="1" x14ac:dyDescent="0.2">
      <c r="B269" s="59"/>
      <c r="C269" s="64"/>
      <c r="D269" s="18"/>
      <c r="G269" s="64"/>
      <c r="H269" s="18"/>
      <c r="K269" s="64"/>
      <c r="L269" s="18"/>
      <c r="O269" s="64"/>
      <c r="P269" s="18"/>
      <c r="S269" s="64"/>
      <c r="T269" s="64"/>
      <c r="X269" s="64"/>
      <c r="AB269" s="64"/>
      <c r="AE269" s="64"/>
    </row>
    <row r="270" spans="1:35" ht="21" customHeight="1" x14ac:dyDescent="0.2">
      <c r="A270" s="122" t="s">
        <v>322</v>
      </c>
    </row>
    <row r="271" spans="1:35" ht="21" customHeight="1" thickBot="1" x14ac:dyDescent="0.25">
      <c r="A271" s="981"/>
      <c r="B271" s="954" t="s">
        <v>29</v>
      </c>
      <c r="C271" s="1834">
        <v>1</v>
      </c>
      <c r="D271" s="1834">
        <v>2</v>
      </c>
      <c r="E271" s="1835">
        <v>3</v>
      </c>
      <c r="F271" s="1835">
        <v>4</v>
      </c>
      <c r="G271" s="1834">
        <v>5</v>
      </c>
      <c r="H271" s="1834">
        <v>6</v>
      </c>
      <c r="I271" s="1834">
        <v>7</v>
      </c>
      <c r="J271" s="1834">
        <v>8</v>
      </c>
      <c r="K271" s="1834">
        <v>9</v>
      </c>
      <c r="L271" s="1835">
        <v>10</v>
      </c>
      <c r="M271" s="1835">
        <v>11</v>
      </c>
      <c r="N271" s="1834">
        <v>12</v>
      </c>
      <c r="O271" s="1834">
        <v>13</v>
      </c>
      <c r="P271" s="1834">
        <v>14</v>
      </c>
      <c r="Q271" s="1834">
        <v>15</v>
      </c>
      <c r="R271" s="1834">
        <v>16</v>
      </c>
      <c r="S271" s="1835">
        <v>17</v>
      </c>
      <c r="T271" s="1835">
        <v>18</v>
      </c>
      <c r="U271" s="1834">
        <v>19</v>
      </c>
      <c r="V271" s="1834">
        <v>20</v>
      </c>
      <c r="W271" s="1834">
        <v>21</v>
      </c>
      <c r="X271" s="1834">
        <v>22</v>
      </c>
      <c r="Y271" s="1834">
        <v>23</v>
      </c>
      <c r="Z271" s="1835">
        <v>24</v>
      </c>
      <c r="AA271" s="1835">
        <v>25</v>
      </c>
      <c r="AB271" s="1834">
        <v>26</v>
      </c>
      <c r="AC271" s="1834">
        <v>27</v>
      </c>
      <c r="AD271" s="1834">
        <v>28</v>
      </c>
      <c r="AE271" s="1834">
        <v>29</v>
      </c>
      <c r="AF271" s="1834">
        <v>30</v>
      </c>
      <c r="AG271" s="1836"/>
      <c r="AH271" s="173"/>
      <c r="AI271" s="174"/>
    </row>
    <row r="272" spans="1:35" ht="21" customHeight="1" x14ac:dyDescent="0.2">
      <c r="A272" s="2094">
        <v>3702</v>
      </c>
      <c r="B272" s="172"/>
      <c r="C272" s="1844" t="s">
        <v>32</v>
      </c>
      <c r="D272" s="1844" t="s">
        <v>32</v>
      </c>
      <c r="E272" s="1844"/>
      <c r="F272" s="1844"/>
      <c r="G272" s="1844" t="s">
        <v>32</v>
      </c>
      <c r="H272" s="1844" t="s">
        <v>32</v>
      </c>
      <c r="I272" s="1844" t="s">
        <v>32</v>
      </c>
      <c r="J272" s="1844" t="s">
        <v>32</v>
      </c>
      <c r="K272" s="1844" t="s">
        <v>32</v>
      </c>
      <c r="L272" s="1844"/>
      <c r="M272" s="1844"/>
      <c r="N272" s="1864" t="s">
        <v>32</v>
      </c>
      <c r="O272" s="1864" t="s">
        <v>32</v>
      </c>
      <c r="P272" s="1864" t="s">
        <v>32</v>
      </c>
      <c r="Q272" s="1843" t="s">
        <v>32</v>
      </c>
      <c r="R272" s="1864" t="s">
        <v>32</v>
      </c>
      <c r="S272" s="1864"/>
      <c r="T272" s="1844"/>
      <c r="U272" s="1864" t="s">
        <v>32</v>
      </c>
      <c r="V272" s="2065" t="s">
        <v>32</v>
      </c>
      <c r="W272" s="2065" t="s">
        <v>32</v>
      </c>
      <c r="X272" s="2065" t="s">
        <v>32</v>
      </c>
      <c r="Y272" s="1864" t="s">
        <v>32</v>
      </c>
      <c r="Z272" s="1844"/>
      <c r="AA272" s="1844"/>
      <c r="AB272" s="1844" t="s">
        <v>32</v>
      </c>
      <c r="AC272" s="1864" t="s">
        <v>32</v>
      </c>
      <c r="AD272" s="1864" t="s">
        <v>32</v>
      </c>
      <c r="AE272" s="1864" t="s">
        <v>32</v>
      </c>
      <c r="AF272" s="1864" t="s">
        <v>32</v>
      </c>
      <c r="AG272" s="1844"/>
      <c r="AH272" s="178"/>
      <c r="AI272" s="179"/>
    </row>
    <row r="273" spans="1:36" ht="21" customHeight="1" x14ac:dyDescent="0.2">
      <c r="A273" s="616"/>
      <c r="B273" s="1011" t="s">
        <v>323</v>
      </c>
      <c r="C273" s="1844" t="s">
        <v>32</v>
      </c>
      <c r="D273" s="1844" t="s">
        <v>32</v>
      </c>
      <c r="E273" s="1844"/>
      <c r="F273" s="1844"/>
      <c r="G273" s="1844" t="s">
        <v>32</v>
      </c>
      <c r="H273" s="1844" t="s">
        <v>32</v>
      </c>
      <c r="I273" s="1844" t="s">
        <v>32</v>
      </c>
      <c r="J273" s="1844" t="s">
        <v>32</v>
      </c>
      <c r="K273" s="1844" t="s">
        <v>32</v>
      </c>
      <c r="L273" s="1844"/>
      <c r="M273" s="1844"/>
      <c r="N273" s="1864" t="s">
        <v>32</v>
      </c>
      <c r="O273" s="1864" t="s">
        <v>32</v>
      </c>
      <c r="P273" s="1864" t="s">
        <v>32</v>
      </c>
      <c r="Q273" s="1843" t="s">
        <v>32</v>
      </c>
      <c r="R273" s="1864" t="s">
        <v>32</v>
      </c>
      <c r="S273" s="1864"/>
      <c r="T273" s="1844"/>
      <c r="U273" s="1864" t="s">
        <v>32</v>
      </c>
      <c r="V273" s="2065" t="s">
        <v>32</v>
      </c>
      <c r="W273" s="2065" t="s">
        <v>32</v>
      </c>
      <c r="X273" s="2065" t="s">
        <v>32</v>
      </c>
      <c r="Y273" s="1864" t="s">
        <v>32</v>
      </c>
      <c r="Z273" s="1844"/>
      <c r="AA273" s="1844"/>
      <c r="AB273" s="1844" t="s">
        <v>32</v>
      </c>
      <c r="AC273" s="1864" t="s">
        <v>32</v>
      </c>
      <c r="AD273" s="1864" t="s">
        <v>32</v>
      </c>
      <c r="AE273" s="1864" t="s">
        <v>32</v>
      </c>
      <c r="AF273" s="1864" t="s">
        <v>32</v>
      </c>
      <c r="AG273" s="1844"/>
      <c r="AH273" s="178"/>
      <c r="AI273" s="179"/>
    </row>
    <row r="274" spans="1:36" ht="21" customHeight="1" x14ac:dyDescent="0.2">
      <c r="A274" s="2095"/>
      <c r="B274" s="1011"/>
      <c r="C274" s="1844" t="s">
        <v>32</v>
      </c>
      <c r="D274" s="1844" t="s">
        <v>32</v>
      </c>
      <c r="E274" s="1844"/>
      <c r="F274" s="1844"/>
      <c r="G274" s="1844" t="s">
        <v>32</v>
      </c>
      <c r="H274" s="1844" t="s">
        <v>32</v>
      </c>
      <c r="I274" s="1844" t="s">
        <v>32</v>
      </c>
      <c r="J274" s="1844" t="s">
        <v>32</v>
      </c>
      <c r="K274" s="1844" t="s">
        <v>32</v>
      </c>
      <c r="L274" s="1844"/>
      <c r="M274" s="1844"/>
      <c r="N274" s="1864" t="s">
        <v>32</v>
      </c>
      <c r="O274" s="1864" t="s">
        <v>32</v>
      </c>
      <c r="P274" s="1864" t="s">
        <v>32</v>
      </c>
      <c r="Q274" s="1843" t="s">
        <v>32</v>
      </c>
      <c r="R274" s="1864" t="s">
        <v>32</v>
      </c>
      <c r="S274" s="1864"/>
      <c r="T274" s="1844"/>
      <c r="U274" s="1864" t="s">
        <v>32</v>
      </c>
      <c r="V274" s="2065" t="s">
        <v>32</v>
      </c>
      <c r="W274" s="2065" t="s">
        <v>32</v>
      </c>
      <c r="X274" s="2065" t="s">
        <v>32</v>
      </c>
      <c r="Y274" s="1864" t="s">
        <v>32</v>
      </c>
      <c r="Z274" s="1844"/>
      <c r="AA274" s="1844"/>
      <c r="AB274" s="1844" t="s">
        <v>32</v>
      </c>
      <c r="AC274" s="1864" t="s">
        <v>32</v>
      </c>
      <c r="AD274" s="1864" t="s">
        <v>32</v>
      </c>
      <c r="AE274" s="1864" t="s">
        <v>32</v>
      </c>
      <c r="AF274" s="1864" t="s">
        <v>32</v>
      </c>
      <c r="AG274" s="1844"/>
      <c r="AH274" s="178"/>
      <c r="AI274" s="179"/>
    </row>
    <row r="275" spans="1:36" ht="21" customHeight="1" thickBot="1" x14ac:dyDescent="0.25">
      <c r="A275" s="2096"/>
      <c r="B275" s="2097"/>
      <c r="C275" s="1834"/>
      <c r="D275" s="1834"/>
      <c r="E275" s="1834"/>
      <c r="F275" s="1834"/>
      <c r="G275" s="1834"/>
      <c r="H275" s="1834"/>
      <c r="I275" s="1834"/>
      <c r="J275" s="1834"/>
      <c r="K275" s="1834"/>
      <c r="L275" s="1834"/>
      <c r="M275" s="1834"/>
      <c r="N275" s="1834"/>
      <c r="O275" s="1834"/>
      <c r="P275" s="1834"/>
      <c r="Q275" s="1834"/>
      <c r="R275" s="1834"/>
      <c r="S275" s="1834"/>
      <c r="T275" s="1834"/>
      <c r="U275" s="1834"/>
      <c r="V275" s="1834"/>
      <c r="W275" s="1834"/>
      <c r="X275" s="1834"/>
      <c r="Y275" s="1834"/>
      <c r="Z275" s="1834"/>
      <c r="AA275" s="1834"/>
      <c r="AB275" s="1834"/>
      <c r="AC275" s="1834"/>
      <c r="AD275" s="1834"/>
      <c r="AE275" s="1834"/>
      <c r="AF275" s="1834"/>
      <c r="AG275" s="1836"/>
      <c r="AH275" s="178"/>
      <c r="AI275" s="179"/>
    </row>
    <row r="276" spans="1:36" ht="21" customHeight="1" x14ac:dyDescent="0.2">
      <c r="A276" s="214"/>
      <c r="B276" s="667" t="s">
        <v>324</v>
      </c>
      <c r="C276" s="668"/>
      <c r="D276" s="668"/>
      <c r="E276" s="668"/>
      <c r="F276" s="668"/>
      <c r="G276" s="668"/>
      <c r="H276" s="668"/>
      <c r="I276" s="668"/>
      <c r="J276" s="668"/>
      <c r="K276" s="668"/>
      <c r="L276" s="668"/>
      <c r="M276" s="668"/>
      <c r="N276" s="668"/>
      <c r="O276" s="668"/>
      <c r="P276" s="668"/>
      <c r="Q276" s="668"/>
      <c r="R276" s="668"/>
      <c r="S276" s="668"/>
      <c r="T276" s="668"/>
      <c r="U276" s="668"/>
      <c r="V276" s="668"/>
      <c r="W276" s="668"/>
      <c r="X276" s="668"/>
      <c r="Y276" s="668"/>
      <c r="Z276" s="668"/>
      <c r="AA276" s="668"/>
      <c r="AB276" s="668"/>
      <c r="AC276" s="668"/>
      <c r="AD276" s="668"/>
      <c r="AE276" s="668"/>
      <c r="AF276" s="668"/>
      <c r="AG276" s="669"/>
      <c r="AH276" s="176"/>
      <c r="AI276" s="177"/>
    </row>
    <row r="277" spans="1:36" ht="21" customHeight="1" x14ac:dyDescent="0.2">
      <c r="A277" s="2094">
        <v>3702</v>
      </c>
      <c r="B277" s="2098" t="s">
        <v>325</v>
      </c>
      <c r="C277" s="2099" t="s">
        <v>326</v>
      </c>
      <c r="D277" s="456" t="s">
        <v>326</v>
      </c>
      <c r="E277" s="456"/>
      <c r="F277" s="456"/>
      <c r="G277" s="868" t="s">
        <v>326</v>
      </c>
      <c r="H277" s="868" t="s">
        <v>326</v>
      </c>
      <c r="I277" s="868" t="s">
        <v>326</v>
      </c>
      <c r="J277" s="2100" t="s">
        <v>326</v>
      </c>
      <c r="K277" s="868" t="s">
        <v>326</v>
      </c>
      <c r="L277" s="868"/>
      <c r="M277" s="868"/>
      <c r="N277" s="868" t="s">
        <v>326</v>
      </c>
      <c r="O277" s="868" t="s">
        <v>326</v>
      </c>
      <c r="P277" s="868" t="s">
        <v>326</v>
      </c>
      <c r="Q277" s="2100" t="s">
        <v>326</v>
      </c>
      <c r="R277" s="868" t="s">
        <v>326</v>
      </c>
      <c r="S277" s="868"/>
      <c r="T277" s="868"/>
      <c r="U277" s="868" t="s">
        <v>326</v>
      </c>
      <c r="V277" s="820" t="s">
        <v>326</v>
      </c>
      <c r="W277" s="868" t="s">
        <v>326</v>
      </c>
      <c r="X277" s="820" t="s">
        <v>326</v>
      </c>
      <c r="Y277" s="820" t="s">
        <v>326</v>
      </c>
      <c r="Z277" s="820"/>
      <c r="AA277" s="820"/>
      <c r="AB277" s="820" t="s">
        <v>369</v>
      </c>
      <c r="AC277" s="2101" t="s">
        <v>326</v>
      </c>
      <c r="AD277" s="2101" t="s">
        <v>326</v>
      </c>
      <c r="AE277" s="2101" t="s">
        <v>326</v>
      </c>
      <c r="AF277" s="2101" t="s">
        <v>326</v>
      </c>
      <c r="AG277" s="455"/>
      <c r="AH277" s="178"/>
      <c r="AI277" s="179"/>
    </row>
    <row r="278" spans="1:36" ht="21" customHeight="1" x14ac:dyDescent="0.2">
      <c r="A278" s="2094"/>
      <c r="B278" s="1002" t="s">
        <v>327</v>
      </c>
      <c r="C278" s="2100" t="s">
        <v>328</v>
      </c>
      <c r="D278" s="868" t="s">
        <v>328</v>
      </c>
      <c r="E278" s="868"/>
      <c r="F278" s="868"/>
      <c r="G278" s="868" t="s">
        <v>328</v>
      </c>
      <c r="H278" s="868" t="s">
        <v>328</v>
      </c>
      <c r="I278" s="868" t="s">
        <v>328</v>
      </c>
      <c r="J278" s="2100" t="s">
        <v>328</v>
      </c>
      <c r="K278" s="868" t="s">
        <v>328</v>
      </c>
      <c r="L278" s="868"/>
      <c r="M278" s="868"/>
      <c r="N278" s="868" t="s">
        <v>328</v>
      </c>
      <c r="O278" s="868" t="s">
        <v>328</v>
      </c>
      <c r="P278" s="868" t="s">
        <v>328</v>
      </c>
      <c r="Q278" s="2100" t="s">
        <v>328</v>
      </c>
      <c r="R278" s="868" t="s">
        <v>328</v>
      </c>
      <c r="S278" s="868"/>
      <c r="T278" s="868"/>
      <c r="U278" s="460" t="s">
        <v>328</v>
      </c>
      <c r="V278" s="460" t="s">
        <v>328</v>
      </c>
      <c r="W278" s="460" t="s">
        <v>328</v>
      </c>
      <c r="X278" s="2101" t="s">
        <v>328</v>
      </c>
      <c r="Y278" s="460" t="s">
        <v>328</v>
      </c>
      <c r="Z278" s="868"/>
      <c r="AA278" s="868"/>
      <c r="AB278" s="456" t="s">
        <v>328</v>
      </c>
      <c r="AC278" s="456" t="s">
        <v>328</v>
      </c>
      <c r="AD278" s="456" t="s">
        <v>328</v>
      </c>
      <c r="AE278" s="2099" t="s">
        <v>328</v>
      </c>
      <c r="AF278" s="456" t="s">
        <v>328</v>
      </c>
      <c r="AG278" s="456"/>
      <c r="AH278" s="178"/>
      <c r="AI278" s="179"/>
    </row>
    <row r="279" spans="1:36" ht="21" customHeight="1" thickBot="1" x14ac:dyDescent="0.25">
      <c r="A279" s="2102"/>
      <c r="B279" s="2103" t="s">
        <v>329</v>
      </c>
      <c r="C279" s="2104" t="s">
        <v>330</v>
      </c>
      <c r="D279" s="1865" t="s">
        <v>330</v>
      </c>
      <c r="E279" s="1865"/>
      <c r="F279" s="1865"/>
      <c r="G279" s="1865" t="s">
        <v>330</v>
      </c>
      <c r="H279" s="1865" t="s">
        <v>330</v>
      </c>
      <c r="I279" s="1865" t="s">
        <v>330</v>
      </c>
      <c r="J279" s="2104" t="s">
        <v>330</v>
      </c>
      <c r="K279" s="1865" t="s">
        <v>330</v>
      </c>
      <c r="L279" s="1865"/>
      <c r="M279" s="1865"/>
      <c r="N279" s="911" t="s">
        <v>330</v>
      </c>
      <c r="O279" s="1865" t="s">
        <v>330</v>
      </c>
      <c r="P279" s="911" t="s">
        <v>330</v>
      </c>
      <c r="Q279" s="2104" t="s">
        <v>330</v>
      </c>
      <c r="R279" s="1865" t="s">
        <v>330</v>
      </c>
      <c r="S279" s="1865"/>
      <c r="T279" s="1865"/>
      <c r="U279" s="1865" t="s">
        <v>330</v>
      </c>
      <c r="V279" s="1865" t="s">
        <v>330</v>
      </c>
      <c r="W279" s="1865" t="s">
        <v>330</v>
      </c>
      <c r="X279" s="2104" t="s">
        <v>330</v>
      </c>
      <c r="Y279" s="1865" t="s">
        <v>330</v>
      </c>
      <c r="Z279" s="1865"/>
      <c r="AA279" s="1865"/>
      <c r="AB279" s="1865" t="s">
        <v>330</v>
      </c>
      <c r="AC279" s="1865" t="s">
        <v>330</v>
      </c>
      <c r="AD279" s="1865" t="s">
        <v>330</v>
      </c>
      <c r="AE279" s="2104" t="s">
        <v>330</v>
      </c>
      <c r="AF279" s="1865" t="s">
        <v>330</v>
      </c>
      <c r="AG279" s="930"/>
      <c r="AH279" s="178"/>
      <c r="AI279" s="179"/>
    </row>
    <row r="280" spans="1:36" ht="21" customHeight="1" x14ac:dyDescent="0.2"/>
    <row r="281" spans="1:36" ht="24" customHeight="1" x14ac:dyDescent="0.2"/>
    <row r="282" spans="1:36" ht="25.5" customHeight="1" thickBot="1" x14ac:dyDescent="0.25">
      <c r="A282" s="158" t="s">
        <v>331</v>
      </c>
    </row>
    <row r="283" spans="1:36" ht="21" customHeight="1" x14ac:dyDescent="0.2">
      <c r="A283" s="1"/>
      <c r="B283" s="2089" t="s">
        <v>281</v>
      </c>
      <c r="C283" s="1973"/>
      <c r="D283" s="1998" t="s">
        <v>107</v>
      </c>
      <c r="E283" s="1887"/>
      <c r="F283" s="1966"/>
      <c r="G283" s="1973"/>
      <c r="H283" s="1998" t="s">
        <v>108</v>
      </c>
      <c r="I283" s="1887"/>
      <c r="J283" s="1966"/>
      <c r="K283" s="1973"/>
      <c r="L283" s="1998" t="s">
        <v>109</v>
      </c>
      <c r="M283" s="1887"/>
      <c r="N283" s="1966"/>
      <c r="O283" s="1973"/>
      <c r="P283" s="1998" t="s">
        <v>110</v>
      </c>
      <c r="Q283" s="1887"/>
      <c r="R283" s="1966"/>
      <c r="S283" s="1973"/>
      <c r="T283" s="1998" t="s">
        <v>111</v>
      </c>
      <c r="U283" s="1887"/>
      <c r="V283" s="1966"/>
      <c r="W283" s="1973"/>
      <c r="X283" s="1998" t="s">
        <v>112</v>
      </c>
      <c r="Y283" s="1887"/>
      <c r="Z283" s="1966"/>
      <c r="AA283" s="1973"/>
      <c r="AB283" s="1998" t="s">
        <v>113</v>
      </c>
      <c r="AC283" s="1887"/>
      <c r="AD283" s="1887"/>
      <c r="AE283" s="2001" t="s">
        <v>114</v>
      </c>
      <c r="AF283" s="1887"/>
      <c r="AG283" s="1887"/>
      <c r="AH283" s="1887"/>
      <c r="AI283" s="1888"/>
    </row>
    <row r="284" spans="1:36" ht="21" customHeight="1" x14ac:dyDescent="0.2">
      <c r="A284" s="1"/>
      <c r="B284" s="3"/>
      <c r="C284" s="8"/>
      <c r="D284" s="116"/>
      <c r="E284" s="14"/>
      <c r="F284" s="115"/>
      <c r="G284" s="8"/>
      <c r="H284" s="116"/>
      <c r="I284" s="14"/>
      <c r="J284" s="115"/>
      <c r="K284" s="8"/>
      <c r="L284" s="116"/>
      <c r="M284" s="14"/>
      <c r="N284" s="115"/>
      <c r="O284" s="8"/>
      <c r="P284" s="116"/>
      <c r="Q284" s="14"/>
      <c r="R284" s="115"/>
      <c r="S284" s="8"/>
      <c r="T284" s="116"/>
      <c r="U284" s="14"/>
      <c r="V284" s="115"/>
      <c r="W284" s="8"/>
      <c r="X284" s="116"/>
      <c r="Y284" s="14"/>
      <c r="Z284" s="115"/>
      <c r="AA284" s="8"/>
      <c r="AB284" s="116"/>
      <c r="AC284" s="14"/>
      <c r="AD284" s="14"/>
      <c r="AE284" s="117"/>
      <c r="AF284" s="14"/>
      <c r="AG284" s="14"/>
      <c r="AH284" s="14"/>
      <c r="AI284" s="118"/>
    </row>
    <row r="285" spans="1:36" ht="21" customHeight="1" x14ac:dyDescent="0.2">
      <c r="A285" s="110"/>
      <c r="B285" s="2090"/>
      <c r="C285" s="735"/>
      <c r="D285" s="425"/>
      <c r="E285" s="425"/>
      <c r="F285" s="1048"/>
      <c r="G285" s="735"/>
      <c r="H285" s="425"/>
      <c r="I285" s="425"/>
      <c r="J285" s="1048"/>
      <c r="K285" s="735"/>
      <c r="L285" s="425"/>
      <c r="M285" s="425"/>
      <c r="N285" s="1048"/>
      <c r="O285" s="735"/>
      <c r="P285" s="425"/>
      <c r="Q285" s="425"/>
      <c r="R285" s="1048"/>
      <c r="S285" s="735"/>
      <c r="T285" s="425"/>
      <c r="U285" s="425"/>
      <c r="V285" s="1048"/>
      <c r="W285" s="735"/>
      <c r="X285" s="425"/>
      <c r="Y285" s="425"/>
      <c r="Z285" s="1048"/>
      <c r="AA285" s="1046"/>
      <c r="AB285" s="425"/>
      <c r="AC285" s="425"/>
      <c r="AD285" s="945"/>
      <c r="AE285" s="2105"/>
      <c r="AF285" s="425"/>
      <c r="AG285" s="425"/>
      <c r="AH285" s="945"/>
      <c r="AI285" s="432"/>
    </row>
    <row r="286" spans="1:36" ht="21" customHeight="1" thickBot="1" x14ac:dyDescent="0.25">
      <c r="A286" s="1"/>
      <c r="B286" s="1056"/>
      <c r="C286" s="1057"/>
      <c r="D286" s="734"/>
      <c r="E286" s="734"/>
      <c r="F286" s="706"/>
      <c r="G286" s="1057"/>
      <c r="H286" s="734"/>
      <c r="I286" s="734"/>
      <c r="J286" s="706"/>
      <c r="K286" s="1057"/>
      <c r="L286" s="734"/>
      <c r="M286" s="734"/>
      <c r="N286" s="706"/>
      <c r="O286" s="1057"/>
      <c r="P286" s="734"/>
      <c r="Q286" s="734"/>
      <c r="R286" s="706"/>
      <c r="S286" s="1057"/>
      <c r="T286" s="734"/>
      <c r="U286" s="734"/>
      <c r="V286" s="706"/>
      <c r="W286" s="704"/>
      <c r="X286" s="734"/>
      <c r="Y286" s="734"/>
      <c r="Z286" s="706"/>
      <c r="AA286" s="704"/>
      <c r="AB286" s="734"/>
      <c r="AC286" s="734"/>
      <c r="AD286" s="1063"/>
      <c r="AE286" s="704"/>
      <c r="AF286" s="734"/>
      <c r="AG286" s="734"/>
      <c r="AH286" s="1063"/>
      <c r="AI286" s="894"/>
    </row>
    <row r="287" spans="1:36" ht="21" customHeight="1" x14ac:dyDescent="0.2">
      <c r="A287" s="1"/>
      <c r="B287" s="18"/>
      <c r="C287" s="64"/>
      <c r="F287" s="69"/>
      <c r="G287" s="64"/>
      <c r="J287" s="69"/>
      <c r="K287" s="64"/>
      <c r="N287" s="69"/>
      <c r="O287" s="64"/>
      <c r="R287" s="69"/>
      <c r="S287" s="64"/>
      <c r="V287" s="69"/>
      <c r="W287" s="69"/>
      <c r="Z287" s="69"/>
      <c r="AA287" s="69"/>
      <c r="AD287" s="69"/>
      <c r="AE287" s="69"/>
      <c r="AH287" s="69"/>
    </row>
    <row r="288" spans="1:36" ht="33" customHeight="1" x14ac:dyDescent="0.2">
      <c r="A288" s="158" t="s">
        <v>332</v>
      </c>
      <c r="B288" s="18"/>
      <c r="C288" s="64"/>
      <c r="F288" s="69"/>
      <c r="G288" s="64"/>
      <c r="J288" s="69"/>
      <c r="K288" s="64"/>
      <c r="N288" s="69"/>
      <c r="O288" s="64"/>
      <c r="R288" s="69"/>
      <c r="S288" s="64"/>
      <c r="V288" s="69"/>
      <c r="W288" s="69"/>
      <c r="Z288" s="69"/>
      <c r="AA288" s="69"/>
      <c r="AD288" s="69"/>
      <c r="AE288" s="69"/>
      <c r="AH288" s="294"/>
      <c r="AI288" s="190"/>
      <c r="AJ288" s="190"/>
    </row>
    <row r="289" spans="1:36" ht="21" customHeight="1" thickBot="1" x14ac:dyDescent="0.25">
      <c r="A289" s="2106" t="s">
        <v>28</v>
      </c>
      <c r="B289" s="2107" t="s">
        <v>29</v>
      </c>
      <c r="C289" s="1834">
        <v>1</v>
      </c>
      <c r="D289" s="1834">
        <v>2</v>
      </c>
      <c r="E289" s="1835">
        <v>3</v>
      </c>
      <c r="F289" s="1835">
        <v>4</v>
      </c>
      <c r="G289" s="1834">
        <v>5</v>
      </c>
      <c r="H289" s="1834">
        <v>6</v>
      </c>
      <c r="I289" s="1834">
        <v>7</v>
      </c>
      <c r="J289" s="1834">
        <v>8</v>
      </c>
      <c r="K289" s="1834">
        <v>9</v>
      </c>
      <c r="L289" s="1835">
        <v>10</v>
      </c>
      <c r="M289" s="1835">
        <v>11</v>
      </c>
      <c r="N289" s="1834">
        <v>12</v>
      </c>
      <c r="O289" s="1834">
        <v>13</v>
      </c>
      <c r="P289" s="1834">
        <v>14</v>
      </c>
      <c r="Q289" s="1834">
        <v>15</v>
      </c>
      <c r="R289" s="1834">
        <v>16</v>
      </c>
      <c r="S289" s="1835">
        <v>17</v>
      </c>
      <c r="T289" s="1835">
        <v>18</v>
      </c>
      <c r="U289" s="1834">
        <v>19</v>
      </c>
      <c r="V289" s="1834">
        <v>20</v>
      </c>
      <c r="W289" s="1834">
        <v>21</v>
      </c>
      <c r="X289" s="1834">
        <v>22</v>
      </c>
      <c r="Y289" s="1834">
        <v>23</v>
      </c>
      <c r="Z289" s="1835">
        <v>24</v>
      </c>
      <c r="AA289" s="1835">
        <v>25</v>
      </c>
      <c r="AB289" s="1834">
        <v>26</v>
      </c>
      <c r="AC289" s="1834">
        <v>27</v>
      </c>
      <c r="AD289" s="1834">
        <v>28</v>
      </c>
      <c r="AE289" s="1834">
        <v>29</v>
      </c>
      <c r="AF289" s="1834">
        <v>30</v>
      </c>
      <c r="AG289" s="1836"/>
      <c r="AH289" s="295"/>
      <c r="AI289" s="296"/>
      <c r="AJ289" s="190"/>
    </row>
    <row r="290" spans="1:36" ht="21" customHeight="1" x14ac:dyDescent="0.2">
      <c r="A290" s="88"/>
      <c r="B290" s="2108" t="s">
        <v>333</v>
      </c>
      <c r="C290" s="1844" t="s">
        <v>32</v>
      </c>
      <c r="D290" s="1844" t="s">
        <v>32</v>
      </c>
      <c r="E290" s="1844"/>
      <c r="F290" s="1844"/>
      <c r="G290" s="859" t="s">
        <v>32</v>
      </c>
      <c r="H290" s="859" t="s">
        <v>32</v>
      </c>
      <c r="I290" s="859" t="s">
        <v>32</v>
      </c>
      <c r="J290" s="859" t="s">
        <v>32</v>
      </c>
      <c r="K290" s="859" t="s">
        <v>32</v>
      </c>
      <c r="L290" s="859"/>
      <c r="M290" s="859"/>
      <c r="N290" s="859" t="s">
        <v>32</v>
      </c>
      <c r="O290" s="1864" t="s">
        <v>32</v>
      </c>
      <c r="P290" s="1864" t="s">
        <v>32</v>
      </c>
      <c r="Q290" s="1843" t="s">
        <v>32</v>
      </c>
      <c r="R290" s="1864" t="s">
        <v>32</v>
      </c>
      <c r="S290" s="1864"/>
      <c r="T290" s="1844"/>
      <c r="U290" s="859" t="s">
        <v>32</v>
      </c>
      <c r="V290" s="2076" t="s">
        <v>32</v>
      </c>
      <c r="W290" s="2076" t="s">
        <v>32</v>
      </c>
      <c r="X290" s="2076" t="s">
        <v>32</v>
      </c>
      <c r="Y290" s="859" t="s">
        <v>32</v>
      </c>
      <c r="Z290" s="1844"/>
      <c r="AA290" s="1844"/>
      <c r="AB290" s="1844" t="s">
        <v>32</v>
      </c>
      <c r="AC290" s="1864" t="s">
        <v>32</v>
      </c>
      <c r="AD290" s="1864" t="s">
        <v>32</v>
      </c>
      <c r="AE290" s="1864" t="s">
        <v>32</v>
      </c>
      <c r="AF290" s="1864" t="s">
        <v>32</v>
      </c>
      <c r="AG290" s="300"/>
      <c r="AH290" s="297"/>
      <c r="AI290" s="298"/>
      <c r="AJ290" s="190"/>
    </row>
    <row r="291" spans="1:36" ht="21" customHeight="1" x14ac:dyDescent="0.2">
      <c r="A291" s="2109"/>
      <c r="B291" s="2098" t="s">
        <v>334</v>
      </c>
      <c r="C291" s="1844" t="s">
        <v>32</v>
      </c>
      <c r="D291" s="1844" t="s">
        <v>32</v>
      </c>
      <c r="E291" s="1844"/>
      <c r="F291" s="1844"/>
      <c r="G291" s="1844" t="s">
        <v>32</v>
      </c>
      <c r="H291" s="859" t="s">
        <v>32</v>
      </c>
      <c r="I291" s="859" t="s">
        <v>32</v>
      </c>
      <c r="J291" s="1844" t="s">
        <v>32</v>
      </c>
      <c r="K291" s="1862" t="s">
        <v>32</v>
      </c>
      <c r="L291" s="1862"/>
      <c r="M291" s="1862"/>
      <c r="N291" s="1862" t="s">
        <v>32</v>
      </c>
      <c r="O291" s="1862" t="s">
        <v>51</v>
      </c>
      <c r="P291" s="1840" t="s">
        <v>32</v>
      </c>
      <c r="Q291" s="1840" t="s">
        <v>32</v>
      </c>
      <c r="R291" s="1840" t="s">
        <v>32</v>
      </c>
      <c r="S291" s="1864"/>
      <c r="T291" s="1844"/>
      <c r="U291" s="1864" t="s">
        <v>32</v>
      </c>
      <c r="V291" s="2065" t="s">
        <v>32</v>
      </c>
      <c r="W291" s="2065" t="s">
        <v>32</v>
      </c>
      <c r="X291" s="2065" t="s">
        <v>32</v>
      </c>
      <c r="Y291" s="1864" t="s">
        <v>32</v>
      </c>
      <c r="Z291" s="1844"/>
      <c r="AA291" s="1844"/>
      <c r="AB291" s="1844" t="s">
        <v>32</v>
      </c>
      <c r="AC291" s="1864" t="s">
        <v>32</v>
      </c>
      <c r="AD291" s="1864" t="s">
        <v>32</v>
      </c>
      <c r="AE291" s="1864" t="s">
        <v>32</v>
      </c>
      <c r="AF291" s="1864" t="s">
        <v>32</v>
      </c>
      <c r="AG291" s="2110"/>
      <c r="AH291" s="297"/>
      <c r="AI291" s="298"/>
      <c r="AJ291" s="190"/>
    </row>
    <row r="292" spans="1:36" ht="21" customHeight="1" x14ac:dyDescent="0.2">
      <c r="A292" s="2111"/>
      <c r="B292" s="2098" t="s">
        <v>335</v>
      </c>
      <c r="C292" s="1844" t="s">
        <v>32</v>
      </c>
      <c r="D292" s="1844" t="s">
        <v>32</v>
      </c>
      <c r="E292" s="1844"/>
      <c r="F292" s="1844"/>
      <c r="G292" s="1844" t="s">
        <v>32</v>
      </c>
      <c r="H292" s="1844" t="s">
        <v>32</v>
      </c>
      <c r="I292" s="1844" t="s">
        <v>32</v>
      </c>
      <c r="J292" s="1844" t="s">
        <v>32</v>
      </c>
      <c r="K292" s="1844" t="s">
        <v>32</v>
      </c>
      <c r="L292" s="1844"/>
      <c r="M292" s="1844"/>
      <c r="N292" s="1864" t="s">
        <v>32</v>
      </c>
      <c r="O292" s="1864" t="s">
        <v>32</v>
      </c>
      <c r="P292" s="1864" t="s">
        <v>32</v>
      </c>
      <c r="Q292" s="1843" t="s">
        <v>32</v>
      </c>
      <c r="R292" s="1864" t="s">
        <v>32</v>
      </c>
      <c r="S292" s="1864"/>
      <c r="T292" s="1844"/>
      <c r="U292" s="1864" t="s">
        <v>32</v>
      </c>
      <c r="V292" s="2065" t="s">
        <v>32</v>
      </c>
      <c r="W292" s="2065" t="s">
        <v>32</v>
      </c>
      <c r="X292" s="2065" t="s">
        <v>32</v>
      </c>
      <c r="Y292" s="1864" t="s">
        <v>32</v>
      </c>
      <c r="Z292" s="1844"/>
      <c r="AA292" s="1844"/>
      <c r="AB292" s="1844" t="s">
        <v>32</v>
      </c>
      <c r="AC292" s="1864" t="s">
        <v>32</v>
      </c>
      <c r="AD292" s="1864" t="s">
        <v>32</v>
      </c>
      <c r="AE292" s="1864" t="s">
        <v>32</v>
      </c>
      <c r="AF292" s="1864" t="s">
        <v>32</v>
      </c>
      <c r="AG292" s="2110"/>
      <c r="AH292" s="297"/>
      <c r="AI292" s="298"/>
      <c r="AJ292" s="190"/>
    </row>
    <row r="293" spans="1:36" ht="21" customHeight="1" x14ac:dyDescent="0.2">
      <c r="A293" s="597"/>
      <c r="B293" s="2098" t="s">
        <v>336</v>
      </c>
      <c r="C293" s="859" t="s">
        <v>32</v>
      </c>
      <c r="D293" s="859" t="s">
        <v>32</v>
      </c>
      <c r="E293" s="859"/>
      <c r="F293" s="859"/>
      <c r="G293" s="1844" t="s">
        <v>32</v>
      </c>
      <c r="H293" s="1844" t="s">
        <v>32</v>
      </c>
      <c r="I293" s="1844" t="s">
        <v>32</v>
      </c>
      <c r="J293" s="1844" t="s">
        <v>32</v>
      </c>
      <c r="K293" s="1844" t="s">
        <v>32</v>
      </c>
      <c r="L293" s="1844"/>
      <c r="M293" s="1844"/>
      <c r="N293" s="1864" t="s">
        <v>32</v>
      </c>
      <c r="O293" s="1864" t="s">
        <v>32</v>
      </c>
      <c r="P293" s="1864" t="s">
        <v>32</v>
      </c>
      <c r="Q293" s="1843" t="s">
        <v>32</v>
      </c>
      <c r="R293" s="1864" t="s">
        <v>32</v>
      </c>
      <c r="S293" s="1864"/>
      <c r="T293" s="1844"/>
      <c r="U293" s="1864" t="s">
        <v>32</v>
      </c>
      <c r="V293" s="2065" t="s">
        <v>32</v>
      </c>
      <c r="W293" s="2065" t="s">
        <v>32</v>
      </c>
      <c r="X293" s="2065" t="s">
        <v>32</v>
      </c>
      <c r="Y293" s="1864" t="s">
        <v>32</v>
      </c>
      <c r="Z293" s="1844"/>
      <c r="AA293" s="1844"/>
      <c r="AB293" s="1844" t="s">
        <v>32</v>
      </c>
      <c r="AC293" s="1864" t="s">
        <v>32</v>
      </c>
      <c r="AD293" s="1864" t="s">
        <v>32</v>
      </c>
      <c r="AE293" s="1864" t="s">
        <v>32</v>
      </c>
      <c r="AF293" s="1864" t="s">
        <v>32</v>
      </c>
      <c r="AG293" s="2110"/>
      <c r="AH293" s="297"/>
      <c r="AI293" s="298"/>
      <c r="AJ293" s="190"/>
    </row>
    <row r="294" spans="1:36" ht="21" customHeight="1" x14ac:dyDescent="0.2">
      <c r="A294" s="597"/>
      <c r="B294" s="2098" t="s">
        <v>337</v>
      </c>
      <c r="C294" s="1844" t="s">
        <v>32</v>
      </c>
      <c r="D294" s="2074" t="s">
        <v>32</v>
      </c>
      <c r="E294" s="1844"/>
      <c r="F294" s="1844"/>
      <c r="G294" s="2074" t="s">
        <v>32</v>
      </c>
      <c r="H294" s="1844" t="s">
        <v>32</v>
      </c>
      <c r="I294" s="1844" t="s">
        <v>32</v>
      </c>
      <c r="J294" s="1844" t="s">
        <v>32</v>
      </c>
      <c r="K294" s="1844" t="s">
        <v>32</v>
      </c>
      <c r="L294" s="1844"/>
      <c r="M294" s="1844"/>
      <c r="N294" s="1864" t="s">
        <v>32</v>
      </c>
      <c r="O294" s="1864" t="s">
        <v>32</v>
      </c>
      <c r="P294" s="1864" t="s">
        <v>32</v>
      </c>
      <c r="Q294" s="1843" t="s">
        <v>32</v>
      </c>
      <c r="R294" s="1864" t="s">
        <v>32</v>
      </c>
      <c r="S294" s="1864"/>
      <c r="T294" s="1844"/>
      <c r="U294" s="1864" t="s">
        <v>32</v>
      </c>
      <c r="V294" s="2065" t="s">
        <v>32</v>
      </c>
      <c r="W294" s="2065" t="s">
        <v>32</v>
      </c>
      <c r="X294" s="2065" t="s">
        <v>32</v>
      </c>
      <c r="Y294" s="1864" t="s">
        <v>32</v>
      </c>
      <c r="Z294" s="1844"/>
      <c r="AA294" s="1844"/>
      <c r="AB294" s="672" t="s">
        <v>32</v>
      </c>
      <c r="AC294" s="1864" t="s">
        <v>32</v>
      </c>
      <c r="AD294" s="1864" t="s">
        <v>32</v>
      </c>
      <c r="AE294" s="1864" t="s">
        <v>32</v>
      </c>
      <c r="AF294" s="1864" t="s">
        <v>32</v>
      </c>
      <c r="AG294" s="1070"/>
      <c r="AH294" s="297"/>
      <c r="AI294" s="298"/>
      <c r="AJ294" s="190"/>
    </row>
    <row r="295" spans="1:36" ht="21" customHeight="1" x14ac:dyDescent="0.2">
      <c r="A295" s="597"/>
      <c r="B295" s="2098" t="s">
        <v>338</v>
      </c>
      <c r="C295" s="1844" t="s">
        <v>32</v>
      </c>
      <c r="D295" s="1844" t="s">
        <v>32</v>
      </c>
      <c r="E295" s="1844"/>
      <c r="F295" s="1844"/>
      <c r="G295" s="1844" t="s">
        <v>32</v>
      </c>
      <c r="H295" s="1844" t="s">
        <v>32</v>
      </c>
      <c r="I295" s="1844" t="s">
        <v>32</v>
      </c>
      <c r="J295" s="1844" t="s">
        <v>32</v>
      </c>
      <c r="K295" s="1844" t="s">
        <v>32</v>
      </c>
      <c r="L295" s="1844"/>
      <c r="M295" s="1844"/>
      <c r="N295" s="1864" t="s">
        <v>32</v>
      </c>
      <c r="O295" s="1864" t="s">
        <v>32</v>
      </c>
      <c r="P295" s="1864" t="s">
        <v>32</v>
      </c>
      <c r="Q295" s="1843" t="s">
        <v>32</v>
      </c>
      <c r="R295" s="1864" t="s">
        <v>32</v>
      </c>
      <c r="S295" s="1864"/>
      <c r="T295" s="1844"/>
      <c r="U295" s="1864" t="s">
        <v>32</v>
      </c>
      <c r="V295" s="2065" t="s">
        <v>32</v>
      </c>
      <c r="W295" s="2065" t="s">
        <v>32</v>
      </c>
      <c r="X295" s="2065" t="s">
        <v>32</v>
      </c>
      <c r="Y295" s="1864" t="s">
        <v>32</v>
      </c>
      <c r="Z295" s="1844"/>
      <c r="AA295" s="1844"/>
      <c r="AB295" s="1844" t="s">
        <v>32</v>
      </c>
      <c r="AC295" s="1864" t="s">
        <v>32</v>
      </c>
      <c r="AD295" s="1864" t="s">
        <v>32</v>
      </c>
      <c r="AE295" s="1864" t="s">
        <v>32</v>
      </c>
      <c r="AF295" s="1864" t="s">
        <v>32</v>
      </c>
      <c r="AG295" s="2112"/>
      <c r="AH295" s="297"/>
      <c r="AI295" s="298"/>
      <c r="AJ295" s="190"/>
    </row>
    <row r="296" spans="1:36" ht="21" customHeight="1" x14ac:dyDescent="0.2">
      <c r="A296" s="597"/>
      <c r="B296" s="2098" t="s">
        <v>339</v>
      </c>
      <c r="C296" s="1844" t="s">
        <v>32</v>
      </c>
      <c r="D296" s="1844" t="s">
        <v>32</v>
      </c>
      <c r="E296" s="1844"/>
      <c r="F296" s="1844"/>
      <c r="G296" s="1844" t="s">
        <v>32</v>
      </c>
      <c r="H296" s="859" t="s">
        <v>32</v>
      </c>
      <c r="I296" s="859" t="s">
        <v>32</v>
      </c>
      <c r="J296" s="1844" t="s">
        <v>32</v>
      </c>
      <c r="K296" s="1844" t="s">
        <v>32</v>
      </c>
      <c r="L296" s="1844"/>
      <c r="M296" s="1844"/>
      <c r="N296" s="1862" t="s">
        <v>32</v>
      </c>
      <c r="O296" s="1862" t="s">
        <v>32</v>
      </c>
      <c r="P296" s="1862" t="s">
        <v>32</v>
      </c>
      <c r="Q296" s="1862" t="s">
        <v>51</v>
      </c>
      <c r="R296" s="1840" t="s">
        <v>32</v>
      </c>
      <c r="S296" s="1864"/>
      <c r="T296" s="1844"/>
      <c r="U296" s="1864" t="s">
        <v>32</v>
      </c>
      <c r="V296" s="2065" t="s">
        <v>32</v>
      </c>
      <c r="W296" s="2065" t="s">
        <v>32</v>
      </c>
      <c r="X296" s="2065" t="s">
        <v>32</v>
      </c>
      <c r="Y296" s="1864" t="s">
        <v>32</v>
      </c>
      <c r="Z296" s="1844"/>
      <c r="AA296" s="1844"/>
      <c r="AB296" s="1844" t="s">
        <v>32</v>
      </c>
      <c r="AC296" s="1864" t="s">
        <v>32</v>
      </c>
      <c r="AD296" s="1864" t="s">
        <v>32</v>
      </c>
      <c r="AE296" s="859" t="s">
        <v>32</v>
      </c>
      <c r="AF296" s="859" t="s">
        <v>32</v>
      </c>
      <c r="AG296" s="2112"/>
      <c r="AH296" s="297"/>
      <c r="AI296" s="298"/>
      <c r="AJ296" s="190"/>
    </row>
    <row r="297" spans="1:36" ht="21" customHeight="1" x14ac:dyDescent="0.2">
      <c r="A297" s="597"/>
      <c r="B297" s="2098" t="s">
        <v>370</v>
      </c>
      <c r="C297" s="1844" t="s">
        <v>32</v>
      </c>
      <c r="D297" s="1844" t="s">
        <v>32</v>
      </c>
      <c r="E297" s="1844"/>
      <c r="F297" s="1844"/>
      <c r="G297" s="1844" t="s">
        <v>32</v>
      </c>
      <c r="H297" s="1844" t="s">
        <v>32</v>
      </c>
      <c r="I297" s="1844" t="s">
        <v>32</v>
      </c>
      <c r="J297" s="1844" t="s">
        <v>32</v>
      </c>
      <c r="K297" s="1844" t="s">
        <v>32</v>
      </c>
      <c r="L297" s="1844"/>
      <c r="M297" s="1844"/>
      <c r="N297" s="1864" t="s">
        <v>32</v>
      </c>
      <c r="O297" s="1864" t="s">
        <v>32</v>
      </c>
      <c r="P297" s="1864" t="s">
        <v>32</v>
      </c>
      <c r="Q297" s="1843" t="s">
        <v>32</v>
      </c>
      <c r="R297" s="1864" t="s">
        <v>32</v>
      </c>
      <c r="S297" s="1864"/>
      <c r="T297" s="1844"/>
      <c r="U297" s="1864" t="s">
        <v>32</v>
      </c>
      <c r="V297" s="2065" t="s">
        <v>32</v>
      </c>
      <c r="W297" s="2065" t="s">
        <v>32</v>
      </c>
      <c r="X297" s="2065" t="s">
        <v>32</v>
      </c>
      <c r="Y297" s="1864" t="s">
        <v>32</v>
      </c>
      <c r="Z297" s="1844"/>
      <c r="AA297" s="1844"/>
      <c r="AB297" s="1844" t="s">
        <v>32</v>
      </c>
      <c r="AC297" s="1864" t="s">
        <v>32</v>
      </c>
      <c r="AD297" s="1864" t="s">
        <v>32</v>
      </c>
      <c r="AE297" s="1864" t="s">
        <v>32</v>
      </c>
      <c r="AF297" s="1864" t="s">
        <v>32</v>
      </c>
      <c r="AG297" s="2112"/>
      <c r="AH297" s="297"/>
      <c r="AI297" s="298"/>
      <c r="AJ297" s="190"/>
    </row>
    <row r="298" spans="1:36" ht="21" customHeight="1" x14ac:dyDescent="0.2">
      <c r="A298" s="597"/>
      <c r="B298" s="2098" t="s">
        <v>340</v>
      </c>
      <c r="C298" s="1844" t="s">
        <v>32</v>
      </c>
      <c r="D298" s="1844" t="s">
        <v>32</v>
      </c>
      <c r="E298" s="1844"/>
      <c r="F298" s="1844"/>
      <c r="G298" s="1844" t="s">
        <v>32</v>
      </c>
      <c r="H298" s="1844" t="s">
        <v>32</v>
      </c>
      <c r="I298" s="1844" t="s">
        <v>32</v>
      </c>
      <c r="J298" s="1844" t="s">
        <v>32</v>
      </c>
      <c r="K298" s="1844" t="s">
        <v>32</v>
      </c>
      <c r="L298" s="1844"/>
      <c r="M298" s="1844"/>
      <c r="N298" s="1864" t="s">
        <v>32</v>
      </c>
      <c r="O298" s="1864" t="s">
        <v>32</v>
      </c>
      <c r="P298" s="1864" t="s">
        <v>32</v>
      </c>
      <c r="Q298" s="1843" t="s">
        <v>32</v>
      </c>
      <c r="R298" s="1864" t="s">
        <v>32</v>
      </c>
      <c r="S298" s="1864"/>
      <c r="T298" s="1844"/>
      <c r="U298" s="1864" t="s">
        <v>32</v>
      </c>
      <c r="V298" s="2065" t="s">
        <v>32</v>
      </c>
      <c r="W298" s="2065" t="s">
        <v>32</v>
      </c>
      <c r="X298" s="2065" t="s">
        <v>32</v>
      </c>
      <c r="Y298" s="1864" t="s">
        <v>32</v>
      </c>
      <c r="Z298" s="1844"/>
      <c r="AA298" s="1844"/>
      <c r="AB298" s="1844" t="s">
        <v>32</v>
      </c>
      <c r="AC298" s="1864" t="s">
        <v>32</v>
      </c>
      <c r="AD298" s="1864" t="s">
        <v>32</v>
      </c>
      <c r="AE298" s="1864" t="s">
        <v>32</v>
      </c>
      <c r="AF298" s="1864" t="s">
        <v>32</v>
      </c>
      <c r="AG298" s="2112"/>
      <c r="AH298" s="297"/>
      <c r="AI298" s="298"/>
      <c r="AJ298" s="190"/>
    </row>
    <row r="299" spans="1:36" ht="21" customHeight="1" x14ac:dyDescent="0.2">
      <c r="A299" s="597"/>
      <c r="B299" s="2098" t="s">
        <v>341</v>
      </c>
      <c r="C299" s="1844" t="s">
        <v>32</v>
      </c>
      <c r="D299" s="1844" t="s">
        <v>32</v>
      </c>
      <c r="E299" s="1844"/>
      <c r="F299" s="1844"/>
      <c r="G299" s="1844" t="s">
        <v>32</v>
      </c>
      <c r="H299" s="1844" t="s">
        <v>32</v>
      </c>
      <c r="I299" s="1844" t="s">
        <v>32</v>
      </c>
      <c r="J299" s="1844" t="s">
        <v>32</v>
      </c>
      <c r="K299" s="859" t="s">
        <v>32</v>
      </c>
      <c r="L299" s="859"/>
      <c r="M299" s="859"/>
      <c r="N299" s="859" t="s">
        <v>32</v>
      </c>
      <c r="O299" s="859" t="s">
        <v>32</v>
      </c>
      <c r="P299" s="859" t="s">
        <v>32</v>
      </c>
      <c r="Q299" s="859" t="s">
        <v>32</v>
      </c>
      <c r="R299" s="1864" t="s">
        <v>32</v>
      </c>
      <c r="S299" s="1864"/>
      <c r="T299" s="1844"/>
      <c r="U299" s="1864" t="s">
        <v>32</v>
      </c>
      <c r="V299" s="2065" t="s">
        <v>32</v>
      </c>
      <c r="W299" s="2065" t="s">
        <v>32</v>
      </c>
      <c r="X299" s="2065" t="s">
        <v>32</v>
      </c>
      <c r="Y299" s="1864" t="s">
        <v>32</v>
      </c>
      <c r="Z299" s="1844"/>
      <c r="AA299" s="1844"/>
      <c r="AB299" s="1844" t="s">
        <v>32</v>
      </c>
      <c r="AC299" s="1864" t="s">
        <v>32</v>
      </c>
      <c r="AD299" s="1864" t="s">
        <v>32</v>
      </c>
      <c r="AE299" s="1864" t="s">
        <v>32</v>
      </c>
      <c r="AF299" s="1864" t="s">
        <v>32</v>
      </c>
      <c r="AG299" s="2112"/>
      <c r="AH299" s="297"/>
      <c r="AI299" s="298"/>
      <c r="AJ299" s="190"/>
    </row>
    <row r="300" spans="1:36" ht="21" customHeight="1" x14ac:dyDescent="0.2">
      <c r="A300" s="597"/>
      <c r="B300" s="2098" t="s">
        <v>342</v>
      </c>
      <c r="C300" s="1844" t="s">
        <v>32</v>
      </c>
      <c r="D300" s="1844" t="s">
        <v>32</v>
      </c>
      <c r="E300" s="1844"/>
      <c r="F300" s="1844"/>
      <c r="G300" s="1844" t="s">
        <v>32</v>
      </c>
      <c r="H300" s="1844" t="s">
        <v>32</v>
      </c>
      <c r="I300" s="1844" t="s">
        <v>32</v>
      </c>
      <c r="J300" s="1844" t="s">
        <v>32</v>
      </c>
      <c r="K300" s="1844" t="s">
        <v>32</v>
      </c>
      <c r="L300" s="1844"/>
      <c r="M300" s="1844"/>
      <c r="N300" s="1864" t="s">
        <v>32</v>
      </c>
      <c r="O300" s="1862" t="s">
        <v>32</v>
      </c>
      <c r="P300" s="1862" t="s">
        <v>32</v>
      </c>
      <c r="Q300" s="1862" t="s">
        <v>51</v>
      </c>
      <c r="R300" s="1840" t="s">
        <v>32</v>
      </c>
      <c r="S300" s="1864"/>
      <c r="T300" s="1844"/>
      <c r="U300" s="1864" t="s">
        <v>32</v>
      </c>
      <c r="V300" s="2065" t="s">
        <v>32</v>
      </c>
      <c r="W300" s="2065" t="s">
        <v>32</v>
      </c>
      <c r="X300" s="2065" t="s">
        <v>32</v>
      </c>
      <c r="Y300" s="1864" t="s">
        <v>32</v>
      </c>
      <c r="Z300" s="1844"/>
      <c r="AA300" s="1844"/>
      <c r="AB300" s="1844" t="s">
        <v>32</v>
      </c>
      <c r="AC300" s="1864" t="s">
        <v>32</v>
      </c>
      <c r="AD300" s="1864" t="s">
        <v>32</v>
      </c>
      <c r="AE300" s="1864" t="s">
        <v>32</v>
      </c>
      <c r="AF300" s="1864" t="s">
        <v>32</v>
      </c>
      <c r="AG300" s="2112"/>
      <c r="AH300" s="297"/>
      <c r="AI300" s="298"/>
      <c r="AJ300" s="190"/>
    </row>
    <row r="301" spans="1:36" ht="21" customHeight="1" x14ac:dyDescent="0.2">
      <c r="A301" s="597"/>
      <c r="B301" s="2098"/>
      <c r="C301" s="1844"/>
      <c r="D301" s="1871"/>
      <c r="E301" s="1844"/>
      <c r="F301" s="1844"/>
      <c r="G301" s="1844"/>
      <c r="H301" s="1844"/>
      <c r="I301" s="1844"/>
      <c r="J301" s="1844"/>
      <c r="K301" s="1844"/>
      <c r="L301" s="1844"/>
      <c r="M301" s="1844"/>
      <c r="N301" s="1844"/>
      <c r="O301" s="1844"/>
      <c r="P301" s="1844"/>
      <c r="Q301" s="1844"/>
      <c r="R301" s="1844"/>
      <c r="S301" s="1844"/>
      <c r="T301" s="1844"/>
      <c r="U301" s="1844"/>
      <c r="V301" s="1844"/>
      <c r="W301" s="1844"/>
      <c r="X301" s="1844"/>
      <c r="Y301" s="1844"/>
      <c r="Z301" s="1844"/>
      <c r="AA301" s="1844"/>
      <c r="AB301" s="1844"/>
      <c r="AC301" s="1844"/>
      <c r="AD301" s="1844"/>
      <c r="AE301" s="1844"/>
      <c r="AF301" s="1844"/>
      <c r="AG301" s="2112"/>
      <c r="AH301" s="297"/>
      <c r="AI301" s="298"/>
      <c r="AJ301" s="190"/>
    </row>
    <row r="302" spans="1:36" ht="21" customHeight="1" x14ac:dyDescent="0.2">
      <c r="A302" s="1840"/>
      <c r="B302" s="404"/>
      <c r="C302" s="868"/>
      <c r="D302" s="868"/>
      <c r="E302" s="868"/>
      <c r="F302" s="868"/>
      <c r="G302" s="868"/>
      <c r="H302" s="868"/>
      <c r="I302" s="868"/>
      <c r="J302" s="868"/>
      <c r="K302" s="868"/>
      <c r="L302" s="868"/>
      <c r="M302" s="868"/>
      <c r="N302" s="445"/>
      <c r="O302" s="445"/>
      <c r="P302" s="868"/>
      <c r="Q302" s="868"/>
      <c r="R302" s="868"/>
      <c r="S302" s="868"/>
      <c r="T302" s="868"/>
      <c r="U302" s="868"/>
      <c r="V302" s="868"/>
      <c r="W302" s="868"/>
      <c r="X302" s="868"/>
      <c r="Y302" s="868"/>
      <c r="Z302" s="868"/>
      <c r="AA302" s="868"/>
      <c r="AB302" s="445"/>
      <c r="AC302" s="445"/>
      <c r="AD302" s="868"/>
      <c r="AE302" s="868"/>
      <c r="AF302" s="868"/>
      <c r="AG302" s="2112"/>
      <c r="AH302" s="297"/>
      <c r="AI302" s="299"/>
      <c r="AJ302" s="190"/>
    </row>
    <row r="303" spans="1:36" ht="21" customHeight="1" thickBot="1" x14ac:dyDescent="0.25">
      <c r="A303" s="2113"/>
      <c r="B303" s="2114"/>
      <c r="C303" s="2115"/>
      <c r="D303" s="2116"/>
      <c r="E303" s="2116"/>
      <c r="F303" s="2116"/>
      <c r="G303" s="2116"/>
      <c r="H303" s="2116"/>
      <c r="I303" s="2116"/>
      <c r="J303" s="2116"/>
      <c r="K303" s="2116"/>
      <c r="L303" s="2116"/>
      <c r="M303" s="2116"/>
      <c r="N303" s="2117"/>
      <c r="O303" s="2117"/>
      <c r="P303" s="2116"/>
      <c r="Q303" s="2116"/>
      <c r="R303" s="2116"/>
      <c r="S303" s="2116"/>
      <c r="T303" s="2116"/>
      <c r="U303" s="2116"/>
      <c r="V303" s="2116"/>
      <c r="W303" s="2116"/>
      <c r="X303" s="2116"/>
      <c r="Y303" s="2116"/>
      <c r="Z303" s="2116"/>
      <c r="AA303" s="2116"/>
      <c r="AB303" s="2117"/>
      <c r="AC303" s="2117"/>
      <c r="AD303" s="2116"/>
      <c r="AE303" s="2116"/>
      <c r="AF303" s="2116"/>
      <c r="AG303" s="2118"/>
      <c r="AH303" s="297"/>
      <c r="AI303" s="299"/>
      <c r="AJ303" s="190"/>
    </row>
    <row r="304" spans="1:36" x14ac:dyDescent="0.2">
      <c r="AH304" s="190"/>
      <c r="AI304" s="190"/>
      <c r="AJ304" s="190"/>
    </row>
    <row r="305" spans="34:36" x14ac:dyDescent="0.2">
      <c r="AH305" s="190"/>
      <c r="AI305" s="190"/>
      <c r="AJ305" s="190"/>
    </row>
    <row r="306" spans="34:36" x14ac:dyDescent="0.2">
      <c r="AH306" s="190"/>
      <c r="AI306" s="190"/>
      <c r="AJ306" s="190"/>
    </row>
    <row r="307" spans="34:36" x14ac:dyDescent="0.2">
      <c r="AH307" s="190"/>
      <c r="AI307" s="190"/>
      <c r="AJ307" s="190"/>
    </row>
  </sheetData>
  <sheetProtection algorithmName="SHA-512" hashValue="TRhr3wP42XpFdbbzT6bLRZ/dhaXslM9HREDGH+TcV0nNHhG3qSGTJx3n984PDSw4MW+EV1uRWxAYsKAzU7b9QQ==" saltValue="NZGN+FviWIcV0pNWx/7ZbA==" spinCount="100000" sheet="1" objects="1" scenarios="1"/>
  <protectedRanges>
    <protectedRange sqref="B141:B142"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3 B145:B146"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13102-AC85-4D06-8DF7-9897362D2749}">
  <sheetPr codeName="Ark76"/>
  <dimension ref="A1:AN305"/>
  <sheetViews>
    <sheetView zoomScaleNormal="100" workbookViewId="0">
      <pane xSplit="2" ySplit="3" topLeftCell="C83" activePane="bottomRight" state="frozen"/>
      <selection pane="topRight" activeCell="AN77" sqref="AN77"/>
      <selection pane="bottomLeft" activeCell="AN77" sqref="AN77"/>
      <selection pane="bottomRight" activeCell="AK200" sqref="AK200"/>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2119" t="s">
        <v>2</v>
      </c>
      <c r="C2" s="2120" t="s">
        <v>3</v>
      </c>
      <c r="D2" s="2121"/>
      <c r="E2" s="2122" t="s">
        <v>4</v>
      </c>
      <c r="F2" s="2123"/>
      <c r="G2" s="2124"/>
      <c r="H2" s="2124"/>
      <c r="I2" s="2124"/>
      <c r="J2" s="2124"/>
      <c r="K2" s="2125"/>
      <c r="L2" s="2126" t="s">
        <v>5</v>
      </c>
      <c r="M2" s="2127"/>
      <c r="N2" s="2128"/>
      <c r="O2" s="2129" t="s">
        <v>6</v>
      </c>
      <c r="P2" s="2130"/>
      <c r="Q2" s="2131"/>
      <c r="R2" s="2132"/>
      <c r="S2" s="2133" t="s">
        <v>7</v>
      </c>
      <c r="T2" s="2134"/>
      <c r="U2" s="2135"/>
      <c r="V2" s="2134"/>
      <c r="W2" s="2136" t="s">
        <v>8</v>
      </c>
      <c r="X2" s="2137"/>
      <c r="Y2" s="2138"/>
      <c r="Z2" s="160" t="s">
        <v>9</v>
      </c>
      <c r="AA2" s="2139"/>
      <c r="AB2" s="2140"/>
      <c r="AC2" s="2141"/>
      <c r="AD2" s="2142" t="s">
        <v>10</v>
      </c>
      <c r="AE2" s="2143"/>
      <c r="AF2" s="2143"/>
      <c r="AG2" s="2144"/>
    </row>
    <row r="3" spans="1:38" ht="13.35" customHeight="1" x14ac:dyDescent="0.2">
      <c r="A3" s="1"/>
      <c r="B3" s="2145" t="s">
        <v>11</v>
      </c>
      <c r="C3" s="2146" t="s">
        <v>12</v>
      </c>
      <c r="D3" s="2147"/>
      <c r="E3" s="91"/>
      <c r="F3" s="92"/>
      <c r="G3" s="92"/>
      <c r="H3" s="161" t="s">
        <v>13</v>
      </c>
      <c r="I3" s="93"/>
      <c r="J3" s="93"/>
      <c r="K3" s="94"/>
      <c r="L3" s="2148" t="s">
        <v>14</v>
      </c>
      <c r="M3" s="2149"/>
      <c r="N3" s="2150"/>
      <c r="O3" s="93"/>
      <c r="P3" s="93"/>
      <c r="Q3" s="93"/>
      <c r="R3" s="93"/>
      <c r="S3" s="14"/>
      <c r="T3" s="95" t="s">
        <v>15</v>
      </c>
      <c r="U3" s="96"/>
      <c r="V3" s="97"/>
      <c r="W3" s="98"/>
      <c r="X3" s="99"/>
      <c r="Y3" s="161" t="s">
        <v>16</v>
      </c>
      <c r="Z3" s="2149"/>
      <c r="AA3" s="2149"/>
      <c r="AB3" s="2151"/>
      <c r="AC3" s="2152"/>
      <c r="AD3" s="2153" t="s">
        <v>17</v>
      </c>
      <c r="AE3" s="2154"/>
      <c r="AF3" s="2154"/>
      <c r="AG3" s="2155"/>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2156" t="s">
        <v>20</v>
      </c>
      <c r="B6" s="2149"/>
      <c r="C6" s="2157"/>
      <c r="D6" s="2156" t="s">
        <v>21</v>
      </c>
      <c r="E6" s="2149"/>
      <c r="F6" s="2149"/>
      <c r="G6" s="2149"/>
      <c r="H6" s="2158"/>
      <c r="I6" s="2149"/>
      <c r="J6" s="2149"/>
      <c r="K6" s="2149"/>
      <c r="L6" s="2159" t="s">
        <v>22</v>
      </c>
      <c r="M6" s="2149"/>
      <c r="N6" s="2149"/>
      <c r="O6" s="2149"/>
      <c r="P6" s="2149"/>
      <c r="Q6" s="2149"/>
      <c r="R6" s="2149"/>
      <c r="S6" s="2157"/>
      <c r="T6" s="2160"/>
      <c r="U6" s="2149"/>
      <c r="V6" s="2149"/>
      <c r="W6" s="2149"/>
      <c r="X6" s="2149"/>
      <c r="Y6" s="2149"/>
      <c r="Z6" s="2149"/>
      <c r="AA6" s="2157"/>
      <c r="AB6" s="2161"/>
      <c r="AC6" s="2162"/>
      <c r="AD6" s="2162"/>
      <c r="AE6" s="2162"/>
      <c r="AF6" s="2162"/>
      <c r="AG6" s="2163"/>
    </row>
    <row r="7" spans="1:38" ht="22.35" customHeight="1" x14ac:dyDescent="0.2">
      <c r="A7" s="2156" t="s">
        <v>23</v>
      </c>
      <c r="B7" s="2149"/>
      <c r="C7" s="2149"/>
      <c r="D7" s="2149"/>
      <c r="E7" s="2149"/>
      <c r="F7" s="2149"/>
      <c r="G7" s="2149"/>
      <c r="H7" s="2149"/>
      <c r="I7" s="2149"/>
      <c r="J7" s="2149"/>
      <c r="K7" s="2157"/>
      <c r="L7" s="153" t="s">
        <v>24</v>
      </c>
      <c r="M7" s="14"/>
      <c r="N7" s="14"/>
      <c r="O7" s="14"/>
      <c r="P7" s="14"/>
      <c r="Q7" s="14"/>
      <c r="R7" s="14"/>
      <c r="S7" s="14"/>
      <c r="T7" s="14"/>
      <c r="U7" s="2149"/>
      <c r="V7" s="2149"/>
      <c r="W7" s="2149"/>
      <c r="X7" s="2149"/>
      <c r="Y7" s="2149"/>
      <c r="Z7" s="2149"/>
      <c r="AA7" s="2149"/>
      <c r="AB7" s="2164"/>
      <c r="AC7" s="2149"/>
      <c r="AD7" s="2149"/>
      <c r="AE7" s="2149"/>
      <c r="AF7" s="2149"/>
      <c r="AG7" s="2157"/>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2165" t="s">
        <v>28</v>
      </c>
      <c r="B11" s="2166" t="s">
        <v>29</v>
      </c>
      <c r="C11" s="2167">
        <v>1</v>
      </c>
      <c r="D11" s="2167">
        <v>2</v>
      </c>
      <c r="E11" s="2168">
        <v>3</v>
      </c>
      <c r="F11" s="2168">
        <v>4</v>
      </c>
      <c r="G11" s="2168">
        <v>5</v>
      </c>
      <c r="H11" s="2168">
        <v>6</v>
      </c>
      <c r="I11" s="2168">
        <v>7</v>
      </c>
      <c r="J11" s="2167">
        <v>8</v>
      </c>
      <c r="K11" s="2167">
        <v>9</v>
      </c>
      <c r="L11" s="2168">
        <v>10</v>
      </c>
      <c r="M11" s="2168">
        <v>11</v>
      </c>
      <c r="N11" s="2168">
        <v>12</v>
      </c>
      <c r="O11" s="2168">
        <v>13</v>
      </c>
      <c r="P11" s="2168">
        <v>14</v>
      </c>
      <c r="Q11" s="2167">
        <v>15</v>
      </c>
      <c r="R11" s="2167">
        <v>16</v>
      </c>
      <c r="S11" s="2168">
        <v>17</v>
      </c>
      <c r="T11" s="2168">
        <v>18</v>
      </c>
      <c r="U11" s="2168">
        <v>19</v>
      </c>
      <c r="V11" s="2168">
        <v>20</v>
      </c>
      <c r="W11" s="2168">
        <v>21</v>
      </c>
      <c r="X11" s="2167">
        <v>22</v>
      </c>
      <c r="Y11" s="2167">
        <v>23</v>
      </c>
      <c r="Z11" s="2168">
        <v>24</v>
      </c>
      <c r="AA11" s="2168">
        <v>25</v>
      </c>
      <c r="AB11" s="2168">
        <v>26</v>
      </c>
      <c r="AC11" s="2168">
        <v>27</v>
      </c>
      <c r="AD11" s="2168">
        <v>28</v>
      </c>
      <c r="AE11" s="2167">
        <v>29</v>
      </c>
      <c r="AF11" s="2167">
        <v>30</v>
      </c>
      <c r="AG11" s="2169">
        <v>31</v>
      </c>
      <c r="AH11" s="173"/>
      <c r="AI11" s="174"/>
      <c r="AJ11" s="2170" t="s">
        <v>30</v>
      </c>
    </row>
    <row r="12" spans="1:38" ht="22.35" customHeight="1" x14ac:dyDescent="0.2">
      <c r="A12" s="2171">
        <v>8500</v>
      </c>
      <c r="B12" s="2172" t="s">
        <v>31</v>
      </c>
      <c r="C12" s="2173"/>
      <c r="D12" s="2173"/>
      <c r="E12" s="2173" t="s">
        <v>32</v>
      </c>
      <c r="F12" s="2174" t="s">
        <v>32</v>
      </c>
      <c r="G12" s="2174" t="s">
        <v>32</v>
      </c>
      <c r="H12" s="2173" t="s">
        <v>32</v>
      </c>
      <c r="I12" s="2175" t="s">
        <v>32</v>
      </c>
      <c r="J12" s="2173"/>
      <c r="K12" s="2173"/>
      <c r="L12" s="2173" t="s">
        <v>32</v>
      </c>
      <c r="M12" s="2174" t="s">
        <v>32</v>
      </c>
      <c r="N12" s="2174" t="s">
        <v>32</v>
      </c>
      <c r="O12" s="2173" t="s">
        <v>32</v>
      </c>
      <c r="P12" s="2173" t="s">
        <v>32</v>
      </c>
      <c r="Q12" s="2173"/>
      <c r="R12" s="2173"/>
      <c r="S12" s="2173" t="s">
        <v>32</v>
      </c>
      <c r="T12" s="2176" t="s">
        <v>32</v>
      </c>
      <c r="U12" s="2174" t="s">
        <v>32</v>
      </c>
      <c r="V12" s="2174" t="s">
        <v>32</v>
      </c>
      <c r="W12" s="2174" t="s">
        <v>32</v>
      </c>
      <c r="X12" s="2174"/>
      <c r="Y12" s="2177"/>
      <c r="Z12" s="2177" t="s">
        <v>32</v>
      </c>
      <c r="AA12" s="2174" t="s">
        <v>32</v>
      </c>
      <c r="AB12" s="2174" t="s">
        <v>32</v>
      </c>
      <c r="AC12" s="2173" t="s">
        <v>32</v>
      </c>
      <c r="AD12" s="2076" t="s">
        <v>32</v>
      </c>
      <c r="AE12" s="2173"/>
      <c r="AF12" s="2173"/>
      <c r="AG12" s="2178" t="s">
        <v>32</v>
      </c>
      <c r="AH12" s="179"/>
      <c r="AI12" s="179"/>
      <c r="AJ12" s="2170">
        <v>160.33000000000001</v>
      </c>
    </row>
    <row r="13" spans="1:38" ht="22.35" customHeight="1" x14ac:dyDescent="0.2">
      <c r="A13" s="2179" t="s">
        <v>33</v>
      </c>
      <c r="B13" s="2180"/>
      <c r="C13" s="2180"/>
      <c r="D13" s="2180"/>
      <c r="E13" s="2180"/>
      <c r="F13" s="2180"/>
      <c r="G13" s="2180"/>
      <c r="H13" s="2180"/>
      <c r="I13" s="2180"/>
      <c r="J13" s="2180"/>
      <c r="K13" s="2180"/>
      <c r="L13" s="2180"/>
      <c r="M13" s="2180"/>
      <c r="N13" s="2180"/>
      <c r="O13" s="2180"/>
      <c r="P13" s="2180"/>
      <c r="Q13" s="2180"/>
      <c r="R13" s="2180"/>
      <c r="S13" s="2180"/>
      <c r="T13" s="2180"/>
      <c r="U13" s="2180"/>
      <c r="V13" s="2180"/>
      <c r="W13" s="2180"/>
      <c r="X13" s="2180"/>
      <c r="Y13" s="2180"/>
      <c r="Z13" s="2180"/>
      <c r="AA13" s="2180"/>
      <c r="AB13" s="2180"/>
      <c r="AC13" s="2180"/>
      <c r="AD13" s="2180"/>
      <c r="AE13" s="2180"/>
      <c r="AF13" s="2180"/>
      <c r="AG13" s="2181"/>
      <c r="AH13" s="177"/>
      <c r="AI13" s="177"/>
    </row>
    <row r="14" spans="1:38" ht="22.35" customHeight="1" x14ac:dyDescent="0.2">
      <c r="A14" s="2182">
        <v>8546</v>
      </c>
      <c r="B14" s="2172" t="s">
        <v>34</v>
      </c>
      <c r="C14" s="2183"/>
      <c r="D14" s="2183"/>
      <c r="E14" s="2183">
        <v>2</v>
      </c>
      <c r="F14" s="2183">
        <v>2</v>
      </c>
      <c r="G14" s="2183">
        <v>2</v>
      </c>
      <c r="H14" s="2184">
        <v>2</v>
      </c>
      <c r="I14" s="2184">
        <v>2</v>
      </c>
      <c r="J14" s="2184" t="s">
        <v>37</v>
      </c>
      <c r="K14" s="2185" t="s">
        <v>37</v>
      </c>
      <c r="L14" s="2184" t="s">
        <v>36</v>
      </c>
      <c r="M14" s="2186" t="s">
        <v>36</v>
      </c>
      <c r="N14" s="2183" t="s">
        <v>36</v>
      </c>
      <c r="O14" s="2183" t="s">
        <v>36</v>
      </c>
      <c r="P14" s="2187" t="s">
        <v>36</v>
      </c>
      <c r="Q14" s="2187"/>
      <c r="R14" s="2184"/>
      <c r="S14" s="2188">
        <v>4</v>
      </c>
      <c r="T14" s="2187">
        <v>4</v>
      </c>
      <c r="U14" s="2187">
        <v>4</v>
      </c>
      <c r="V14" s="2099">
        <v>4</v>
      </c>
      <c r="W14" s="2099">
        <v>4</v>
      </c>
      <c r="X14" s="2099" t="s">
        <v>35</v>
      </c>
      <c r="Y14" s="2099" t="s">
        <v>35</v>
      </c>
      <c r="Z14" s="2184" t="s">
        <v>36</v>
      </c>
      <c r="AA14" s="2184" t="s">
        <v>36</v>
      </c>
      <c r="AB14" s="2184" t="s">
        <v>36</v>
      </c>
      <c r="AC14" s="2184" t="s">
        <v>36</v>
      </c>
      <c r="AD14" s="2187" t="s">
        <v>36</v>
      </c>
      <c r="AE14" s="2184"/>
      <c r="AF14" s="2184"/>
      <c r="AG14" s="2189">
        <v>1</v>
      </c>
      <c r="AH14" s="179"/>
      <c r="AI14" s="179"/>
    </row>
    <row r="15" spans="1:38" ht="22.35" customHeight="1" x14ac:dyDescent="0.2">
      <c r="A15" s="2182">
        <v>8546</v>
      </c>
      <c r="B15" s="2190" t="s">
        <v>38</v>
      </c>
      <c r="C15" s="2185"/>
      <c r="D15" s="2184"/>
      <c r="E15" s="2184">
        <v>1</v>
      </c>
      <c r="F15" s="2187">
        <v>1</v>
      </c>
      <c r="G15" s="2187">
        <v>1</v>
      </c>
      <c r="H15" s="2187">
        <v>1</v>
      </c>
      <c r="I15" s="2184">
        <v>1</v>
      </c>
      <c r="J15" s="2185"/>
      <c r="K15" s="2187"/>
      <c r="L15" s="2184">
        <v>2</v>
      </c>
      <c r="M15" s="2184">
        <v>2</v>
      </c>
      <c r="N15" s="2184">
        <v>2</v>
      </c>
      <c r="O15" s="2184">
        <v>2</v>
      </c>
      <c r="P15" s="2184">
        <v>2</v>
      </c>
      <c r="Q15" s="2184" t="s">
        <v>37</v>
      </c>
      <c r="R15" s="2184" t="s">
        <v>37</v>
      </c>
      <c r="S15" s="2184" t="s">
        <v>36</v>
      </c>
      <c r="T15" s="2184" t="s">
        <v>36</v>
      </c>
      <c r="U15" s="2184" t="s">
        <v>36</v>
      </c>
      <c r="V15" s="2184" t="s">
        <v>36</v>
      </c>
      <c r="W15" s="2184" t="s">
        <v>36</v>
      </c>
      <c r="X15" s="2184"/>
      <c r="Y15" s="2184"/>
      <c r="Z15" s="2184">
        <v>4</v>
      </c>
      <c r="AA15" s="2184">
        <v>4</v>
      </c>
      <c r="AB15" s="2184">
        <v>4</v>
      </c>
      <c r="AC15" s="2184">
        <v>4</v>
      </c>
      <c r="AD15" s="2184">
        <v>4</v>
      </c>
      <c r="AE15" s="2184" t="s">
        <v>35</v>
      </c>
      <c r="AF15" s="2184" t="s">
        <v>35</v>
      </c>
      <c r="AG15" s="2189" t="s">
        <v>36</v>
      </c>
      <c r="AH15" s="179"/>
      <c r="AI15" s="179"/>
      <c r="AL15" t="s">
        <v>0</v>
      </c>
    </row>
    <row r="16" spans="1:38" ht="22.35" customHeight="1" x14ac:dyDescent="0.2">
      <c r="A16" s="2182">
        <v>8546</v>
      </c>
      <c r="B16" s="2191" t="s">
        <v>40</v>
      </c>
      <c r="C16" s="2192"/>
      <c r="D16" s="2193"/>
      <c r="E16" s="2193">
        <v>4</v>
      </c>
      <c r="F16" s="2193">
        <v>4</v>
      </c>
      <c r="G16" s="2193">
        <v>4</v>
      </c>
      <c r="H16" s="2193">
        <v>4</v>
      </c>
      <c r="I16" s="2194">
        <v>4</v>
      </c>
      <c r="J16" s="2193" t="s">
        <v>35</v>
      </c>
      <c r="K16" s="2193" t="s">
        <v>35</v>
      </c>
      <c r="L16" s="2193" t="s">
        <v>36</v>
      </c>
      <c r="M16" s="2193" t="s">
        <v>36</v>
      </c>
      <c r="N16" s="2192" t="s">
        <v>36</v>
      </c>
      <c r="O16" s="2192" t="s">
        <v>36</v>
      </c>
      <c r="P16" s="2192" t="s">
        <v>36</v>
      </c>
      <c r="Q16" s="2192"/>
      <c r="R16" s="2192"/>
      <c r="S16" s="2193">
        <v>1</v>
      </c>
      <c r="T16" s="2193">
        <v>1</v>
      </c>
      <c r="U16" s="2193">
        <v>1</v>
      </c>
      <c r="V16" s="2193">
        <v>1</v>
      </c>
      <c r="W16" s="2195">
        <v>1</v>
      </c>
      <c r="X16" s="2193"/>
      <c r="Y16" s="2192"/>
      <c r="Z16" s="2192">
        <v>2</v>
      </c>
      <c r="AA16" s="2192">
        <v>2</v>
      </c>
      <c r="AB16" s="2192">
        <v>2</v>
      </c>
      <c r="AC16" s="2192">
        <v>2</v>
      </c>
      <c r="AD16" s="2193">
        <v>2</v>
      </c>
      <c r="AE16" s="2193" t="s">
        <v>37</v>
      </c>
      <c r="AF16" s="2193" t="s">
        <v>37</v>
      </c>
      <c r="AG16" s="2196" t="s">
        <v>36</v>
      </c>
      <c r="AH16" s="179"/>
      <c r="AI16" s="179"/>
    </row>
    <row r="17" spans="1:40" ht="22.35" customHeight="1" x14ac:dyDescent="0.2">
      <c r="A17" s="2182">
        <v>8546</v>
      </c>
      <c r="B17" s="2190" t="s">
        <v>41</v>
      </c>
      <c r="C17" s="2184" t="s">
        <v>37</v>
      </c>
      <c r="D17" s="2185" t="s">
        <v>37</v>
      </c>
      <c r="E17" s="2184" t="s">
        <v>36</v>
      </c>
      <c r="F17" s="2187" t="s">
        <v>36</v>
      </c>
      <c r="G17" s="2184" t="s">
        <v>36</v>
      </c>
      <c r="H17" s="2184" t="s">
        <v>36</v>
      </c>
      <c r="I17" s="2185" t="s">
        <v>36</v>
      </c>
      <c r="J17" s="2184"/>
      <c r="K17" s="2184"/>
      <c r="L17" s="2193">
        <v>4</v>
      </c>
      <c r="M17" s="2194">
        <v>4</v>
      </c>
      <c r="N17" s="2194">
        <v>4</v>
      </c>
      <c r="O17" s="2194" t="s">
        <v>343</v>
      </c>
      <c r="P17" s="2183">
        <v>4</v>
      </c>
      <c r="Q17" s="2183" t="s">
        <v>35</v>
      </c>
      <c r="R17" s="2183" t="s">
        <v>35</v>
      </c>
      <c r="S17" s="2197" t="s">
        <v>36</v>
      </c>
      <c r="T17" s="2184" t="s">
        <v>36</v>
      </c>
      <c r="U17" s="2184" t="s">
        <v>36</v>
      </c>
      <c r="V17" s="2184" t="s">
        <v>36</v>
      </c>
      <c r="W17" s="2184" t="s">
        <v>36</v>
      </c>
      <c r="X17" s="2185"/>
      <c r="Y17" s="2184"/>
      <c r="Z17" s="2198">
        <v>1</v>
      </c>
      <c r="AA17" s="2199">
        <v>1</v>
      </c>
      <c r="AB17" s="2200">
        <v>1</v>
      </c>
      <c r="AC17" s="2200">
        <v>1</v>
      </c>
      <c r="AD17" s="2200">
        <v>1</v>
      </c>
      <c r="AE17" s="2200"/>
      <c r="AF17" s="2200"/>
      <c r="AG17" s="2189">
        <v>2</v>
      </c>
      <c r="AH17" s="179"/>
      <c r="AI17" s="179"/>
    </row>
    <row r="18" spans="1:40" ht="22.35" customHeight="1" x14ac:dyDescent="0.2">
      <c r="A18" s="2182">
        <v>8546</v>
      </c>
      <c r="B18" s="2191" t="s">
        <v>42</v>
      </c>
      <c r="C18" s="2185" t="s">
        <v>35</v>
      </c>
      <c r="D18" s="2201" t="s">
        <v>35</v>
      </c>
      <c r="E18" s="2201" t="s">
        <v>36</v>
      </c>
      <c r="F18" s="2184" t="s">
        <v>36</v>
      </c>
      <c r="G18" s="2184" t="s">
        <v>36</v>
      </c>
      <c r="H18" s="2184" t="s">
        <v>36</v>
      </c>
      <c r="I18" s="2184" t="s">
        <v>36</v>
      </c>
      <c r="J18" s="2187"/>
      <c r="K18" s="2187"/>
      <c r="L18" s="2184">
        <v>1</v>
      </c>
      <c r="M18" s="2187">
        <v>1</v>
      </c>
      <c r="N18" s="2187">
        <v>1</v>
      </c>
      <c r="O18" s="2202">
        <v>1</v>
      </c>
      <c r="P18" s="2203">
        <v>1</v>
      </c>
      <c r="Q18" s="2187"/>
      <c r="R18" s="2187"/>
      <c r="S18" s="2187">
        <v>2</v>
      </c>
      <c r="T18" s="2187">
        <v>2</v>
      </c>
      <c r="U18" s="2186">
        <v>2</v>
      </c>
      <c r="V18" s="2186">
        <v>2</v>
      </c>
      <c r="W18" s="2184">
        <v>2</v>
      </c>
      <c r="X18" s="2184" t="s">
        <v>37</v>
      </c>
      <c r="Y18" s="2184" t="s">
        <v>37</v>
      </c>
      <c r="Z18" s="2184" t="s">
        <v>36</v>
      </c>
      <c r="AA18" s="2184" t="s">
        <v>36</v>
      </c>
      <c r="AB18" s="2184" t="s">
        <v>36</v>
      </c>
      <c r="AC18" s="2204" t="s">
        <v>36</v>
      </c>
      <c r="AD18" s="2184" t="s">
        <v>36</v>
      </c>
      <c r="AE18" s="2184"/>
      <c r="AF18" s="2184"/>
      <c r="AG18" s="2189">
        <v>4</v>
      </c>
      <c r="AH18" s="179"/>
      <c r="AI18" s="179"/>
    </row>
    <row r="19" spans="1:40" ht="22.35" customHeight="1" thickBot="1" x14ac:dyDescent="0.25">
      <c r="A19" s="2205" t="s">
        <v>43</v>
      </c>
      <c r="B19" s="2206"/>
      <c r="C19" s="2207"/>
      <c r="D19" s="2207"/>
      <c r="E19" s="2207"/>
      <c r="F19" s="2207"/>
      <c r="G19" s="2207"/>
      <c r="H19" s="2207"/>
      <c r="I19" s="2207"/>
      <c r="J19" s="2207"/>
      <c r="K19" s="2207"/>
      <c r="L19" s="2207"/>
      <c r="M19" s="2207"/>
      <c r="N19" s="2207"/>
      <c r="O19" s="2207"/>
      <c r="P19" s="2207"/>
      <c r="Q19" s="2207"/>
      <c r="R19" s="2207"/>
      <c r="S19" s="2207"/>
      <c r="T19" s="2207"/>
      <c r="U19" s="2207"/>
      <c r="V19" s="2207"/>
      <c r="W19" s="2207"/>
      <c r="X19" s="2207"/>
      <c r="Y19" s="2207"/>
      <c r="Z19" s="2207"/>
      <c r="AA19" s="2207"/>
      <c r="AB19" s="2207"/>
      <c r="AC19" s="2207"/>
      <c r="AD19" s="2207"/>
      <c r="AE19" s="2207"/>
      <c r="AF19" s="2207"/>
      <c r="AG19" s="2208"/>
      <c r="AH19" s="177"/>
      <c r="AI19" s="177"/>
      <c r="AJ19" s="2170" t="s">
        <v>30</v>
      </c>
      <c r="AK19" s="2170" t="s">
        <v>44</v>
      </c>
      <c r="AL19" s="2170" t="s">
        <v>45</v>
      </c>
      <c r="AM19" s="2170" t="s">
        <v>46</v>
      </c>
      <c r="AN19" s="2170" t="s">
        <v>47</v>
      </c>
    </row>
    <row r="20" spans="1:40" ht="22.35" customHeight="1" thickBot="1" x14ac:dyDescent="0.25">
      <c r="A20" s="2209">
        <v>8500</v>
      </c>
      <c r="B20" s="2210" t="s">
        <v>49</v>
      </c>
      <c r="C20" s="2211"/>
      <c r="D20" s="2211"/>
      <c r="E20" s="2212" t="s">
        <v>32</v>
      </c>
      <c r="F20" s="2212" t="s">
        <v>32</v>
      </c>
      <c r="G20" s="2212" t="s">
        <v>32</v>
      </c>
      <c r="H20" s="2212" t="s">
        <v>32</v>
      </c>
      <c r="I20" s="2213" t="s">
        <v>32</v>
      </c>
      <c r="J20" s="2211"/>
      <c r="K20" s="2211"/>
      <c r="L20" s="2211" t="s">
        <v>32</v>
      </c>
      <c r="M20" s="2211" t="s">
        <v>32</v>
      </c>
      <c r="N20" s="2211" t="s">
        <v>32</v>
      </c>
      <c r="O20" s="2211" t="s">
        <v>32</v>
      </c>
      <c r="P20" s="2211" t="s">
        <v>32</v>
      </c>
      <c r="Q20" s="2211"/>
      <c r="R20" s="2214" t="s">
        <v>35</v>
      </c>
      <c r="S20" s="2211" t="s">
        <v>32</v>
      </c>
      <c r="T20" s="2211" t="s">
        <v>32</v>
      </c>
      <c r="U20" s="2211" t="s">
        <v>32</v>
      </c>
      <c r="V20" s="2211" t="s">
        <v>32</v>
      </c>
      <c r="W20" s="2212" t="s">
        <v>32</v>
      </c>
      <c r="X20" s="2211"/>
      <c r="Y20" s="2215" t="s">
        <v>32</v>
      </c>
      <c r="Z20" s="2211" t="s">
        <v>32</v>
      </c>
      <c r="AA20" s="2211" t="s">
        <v>32</v>
      </c>
      <c r="AB20" s="2211" t="s">
        <v>32</v>
      </c>
      <c r="AC20" s="2211" t="s">
        <v>32</v>
      </c>
      <c r="AD20" s="2211" t="s">
        <v>32</v>
      </c>
      <c r="AE20" s="2211"/>
      <c r="AF20" s="2211"/>
      <c r="AG20" s="2216" t="s">
        <v>32</v>
      </c>
      <c r="AH20" s="179"/>
      <c r="AI20" s="179"/>
      <c r="AJ20" s="2077">
        <f>$AJ$12</f>
        <v>160.33000000000001</v>
      </c>
      <c r="AK20" s="2077"/>
      <c r="AL20" s="2077">
        <v>160.33000000000001</v>
      </c>
      <c r="AM20" s="2217">
        <f>IF(AJ20="","",AL20-AJ20)</f>
        <v>0</v>
      </c>
      <c r="AN20" s="2217">
        <f>IF(AM20="","",AM20+'September 2022'!AN20)</f>
        <v>0</v>
      </c>
    </row>
    <row r="21" spans="1:40" ht="22.35" customHeight="1" thickBot="1" x14ac:dyDescent="0.25">
      <c r="A21" s="2218">
        <v>8500</v>
      </c>
      <c r="B21" s="2219" t="s">
        <v>52</v>
      </c>
      <c r="C21" s="2173"/>
      <c r="D21" s="2173"/>
      <c r="E21" s="2168">
        <v>69</v>
      </c>
      <c r="F21" s="2174" t="s">
        <v>32</v>
      </c>
      <c r="G21" s="2174" t="s">
        <v>142</v>
      </c>
      <c r="H21" s="2173" t="s">
        <v>32</v>
      </c>
      <c r="I21" s="2220" t="s">
        <v>134</v>
      </c>
      <c r="J21" s="2221" t="s">
        <v>32</v>
      </c>
      <c r="K21" s="2221" t="s">
        <v>51</v>
      </c>
      <c r="L21" s="2173" t="s">
        <v>36</v>
      </c>
      <c r="M21" s="2174" t="s">
        <v>36</v>
      </c>
      <c r="N21" s="2222" t="s">
        <v>36</v>
      </c>
      <c r="O21" s="2173">
        <v>1</v>
      </c>
      <c r="P21" s="2173">
        <v>1</v>
      </c>
      <c r="Q21" s="2173"/>
      <c r="R21" s="2173"/>
      <c r="S21" s="2076" t="s">
        <v>32</v>
      </c>
      <c r="T21" s="2076" t="s">
        <v>32</v>
      </c>
      <c r="U21" s="2076" t="s">
        <v>32</v>
      </c>
      <c r="V21" s="2076" t="s">
        <v>32</v>
      </c>
      <c r="W21" s="2076" t="s">
        <v>32</v>
      </c>
      <c r="X21" s="2076"/>
      <c r="Y21" s="2076"/>
      <c r="Z21" s="2174">
        <v>1</v>
      </c>
      <c r="AA21" s="2174">
        <v>1</v>
      </c>
      <c r="AB21" s="2077" t="s">
        <v>32</v>
      </c>
      <c r="AC21" s="2223" t="s">
        <v>134</v>
      </c>
      <c r="AD21" s="2224" t="s">
        <v>134</v>
      </c>
      <c r="AE21" s="2224"/>
      <c r="AF21" s="2224"/>
      <c r="AG21" s="2178" t="s">
        <v>32</v>
      </c>
      <c r="AH21" s="179"/>
      <c r="AI21" s="179"/>
      <c r="AJ21" s="2077">
        <v>149.25</v>
      </c>
      <c r="AK21" s="2077">
        <v>1.5</v>
      </c>
      <c r="AL21" s="2077">
        <f t="shared" ref="AL21:AL23" si="0">IF(AJ21="","",SUM(AJ21:AK21))</f>
        <v>150.75</v>
      </c>
      <c r="AM21" s="2217">
        <f>IF(AJ21="","",AL21-NormTid)</f>
        <v>-9.5800000000000125</v>
      </c>
      <c r="AN21" s="2217">
        <f>IF(AM21="","",AM21+'September 2022'!AN21)</f>
        <v>23.789999999999964</v>
      </c>
    </row>
    <row r="22" spans="1:40" ht="22.35" customHeight="1" x14ac:dyDescent="0.2">
      <c r="A22" s="2218">
        <v>8500</v>
      </c>
      <c r="B22" s="2172" t="s">
        <v>54</v>
      </c>
      <c r="C22" s="2187"/>
      <c r="D22" s="2184"/>
      <c r="E22" s="2184">
        <v>4</v>
      </c>
      <c r="F22" s="2184">
        <v>4</v>
      </c>
      <c r="G22" s="2184">
        <v>4</v>
      </c>
      <c r="H22" s="2184">
        <v>4</v>
      </c>
      <c r="I22" s="2183">
        <v>4</v>
      </c>
      <c r="J22" s="2184" t="s">
        <v>35</v>
      </c>
      <c r="K22" s="2184" t="s">
        <v>35</v>
      </c>
      <c r="L22" s="2184" t="s">
        <v>36</v>
      </c>
      <c r="M22" s="2184" t="s">
        <v>36</v>
      </c>
      <c r="N22" s="2187" t="s">
        <v>36</v>
      </c>
      <c r="O22" s="2187" t="s">
        <v>36</v>
      </c>
      <c r="P22" s="2187" t="s">
        <v>36</v>
      </c>
      <c r="Q22" s="2187" t="s">
        <v>0</v>
      </c>
      <c r="R22" s="2187"/>
      <c r="S22" s="2184">
        <v>1</v>
      </c>
      <c r="T22" s="2184">
        <v>1</v>
      </c>
      <c r="U22" s="2184">
        <v>1</v>
      </c>
      <c r="V22" s="2184">
        <v>1</v>
      </c>
      <c r="W22" s="2185">
        <v>1</v>
      </c>
      <c r="X22" s="2184"/>
      <c r="Y22" s="2187"/>
      <c r="Z22" s="2187">
        <v>2</v>
      </c>
      <c r="AA22" s="2187">
        <v>2</v>
      </c>
      <c r="AB22" s="2187">
        <v>2</v>
      </c>
      <c r="AC22" s="2187">
        <v>2</v>
      </c>
      <c r="AD22" s="2184">
        <v>2</v>
      </c>
      <c r="AE22" s="2184" t="s">
        <v>37</v>
      </c>
      <c r="AF22" s="2184" t="s">
        <v>37</v>
      </c>
      <c r="AG22" s="2189" t="s">
        <v>36</v>
      </c>
      <c r="AH22" s="179"/>
      <c r="AI22" s="179"/>
      <c r="AJ22" s="2077">
        <v>171.5</v>
      </c>
      <c r="AK22" s="2077">
        <v>9.25</v>
      </c>
      <c r="AL22" s="2077">
        <f t="shared" si="0"/>
        <v>180.75</v>
      </c>
      <c r="AM22" s="2217">
        <f>IF(AJ22="","",AL22-NormTid)</f>
        <v>20.419999999999987</v>
      </c>
      <c r="AN22" s="2217">
        <f>IF(AM22="","",AM22+'September 2022'!AN22)</f>
        <v>39.689999999999962</v>
      </c>
    </row>
    <row r="23" spans="1:40" ht="22.35" customHeight="1" x14ac:dyDescent="0.2">
      <c r="A23" s="2218"/>
      <c r="B23" s="2219"/>
      <c r="C23" s="2175"/>
      <c r="D23" s="2177"/>
      <c r="E23" s="2174" t="s">
        <v>32</v>
      </c>
      <c r="F23" s="2174" t="s">
        <v>32</v>
      </c>
      <c r="G23" s="2174" t="s">
        <v>32</v>
      </c>
      <c r="H23" s="2224" t="s">
        <v>32</v>
      </c>
      <c r="I23" s="2224" t="s">
        <v>32</v>
      </c>
      <c r="J23" s="2224"/>
      <c r="K23" s="2225"/>
      <c r="L23" s="2224" t="s">
        <v>32</v>
      </c>
      <c r="M23" s="2174" t="s">
        <v>32</v>
      </c>
      <c r="N23" s="2173" t="s">
        <v>32</v>
      </c>
      <c r="O23" s="2173" t="s">
        <v>32</v>
      </c>
      <c r="P23" s="2174" t="s">
        <v>32</v>
      </c>
      <c r="Q23" s="2174"/>
      <c r="R23" s="2226"/>
      <c r="S23" s="2226" t="s">
        <v>32</v>
      </c>
      <c r="T23" s="2174" t="s">
        <v>32</v>
      </c>
      <c r="U23" s="2174" t="s">
        <v>32</v>
      </c>
      <c r="V23" s="2224" t="s">
        <v>32</v>
      </c>
      <c r="W23" s="2224" t="s">
        <v>32</v>
      </c>
      <c r="X23" s="2224"/>
      <c r="Y23" s="2224"/>
      <c r="Z23" s="2224" t="s">
        <v>32</v>
      </c>
      <c r="AA23" s="2224" t="s">
        <v>32</v>
      </c>
      <c r="AB23" s="2224" t="s">
        <v>32</v>
      </c>
      <c r="AC23" s="2224" t="s">
        <v>32</v>
      </c>
      <c r="AD23" s="2177" t="s">
        <v>32</v>
      </c>
      <c r="AE23" s="2224"/>
      <c r="AF23" s="2224"/>
      <c r="AG23" s="2227" t="s">
        <v>32</v>
      </c>
      <c r="AJ23" s="2077">
        <f t="shared" ref="AJ23" si="1">$AJ$12</f>
        <v>160.33000000000001</v>
      </c>
      <c r="AK23" s="2077"/>
      <c r="AL23" s="2077">
        <f t="shared" si="0"/>
        <v>160.33000000000001</v>
      </c>
      <c r="AM23" s="2217">
        <f t="shared" ref="AM23" si="2">IF(AJ23="","",AL23-AJ23)</f>
        <v>0</v>
      </c>
      <c r="AN23" s="2217">
        <f>IF(AM23="","",AM23+'September 2022'!AN23)</f>
        <v>0</v>
      </c>
    </row>
    <row r="24" spans="1:40" ht="22.35" customHeight="1" thickBot="1" x14ac:dyDescent="0.25">
      <c r="A24" s="2228"/>
      <c r="B24" s="1827" t="s">
        <v>56</v>
      </c>
      <c r="C24" s="2021"/>
      <c r="D24" s="2021"/>
      <c r="E24" s="2021" t="s">
        <v>32</v>
      </c>
      <c r="F24" s="2021" t="s">
        <v>32</v>
      </c>
      <c r="G24" s="2021" t="s">
        <v>32</v>
      </c>
      <c r="H24" s="2021" t="s">
        <v>32</v>
      </c>
      <c r="I24" s="2021" t="s">
        <v>32</v>
      </c>
      <c r="J24" s="2021"/>
      <c r="K24" s="2021"/>
      <c r="L24" s="2021" t="s">
        <v>32</v>
      </c>
      <c r="M24" s="2021" t="s">
        <v>32</v>
      </c>
      <c r="N24" s="2229" t="s">
        <v>32</v>
      </c>
      <c r="O24" s="2229" t="s">
        <v>32</v>
      </c>
      <c r="P24" s="2229" t="s">
        <v>32</v>
      </c>
      <c r="Q24" s="2230"/>
      <c r="R24" s="2229"/>
      <c r="S24" s="868" t="s">
        <v>58</v>
      </c>
      <c r="T24" s="868" t="s">
        <v>58</v>
      </c>
      <c r="U24" s="868" t="s">
        <v>58</v>
      </c>
      <c r="V24" s="868" t="s">
        <v>58</v>
      </c>
      <c r="W24" s="868" t="s">
        <v>58</v>
      </c>
      <c r="X24" s="2021"/>
      <c r="Y24" s="2229"/>
      <c r="Z24" s="2021" t="s">
        <v>32</v>
      </c>
      <c r="AA24" s="2231" t="s">
        <v>32</v>
      </c>
      <c r="AB24" s="2021" t="s">
        <v>32</v>
      </c>
      <c r="AC24" s="2021" t="s">
        <v>32</v>
      </c>
      <c r="AD24" s="2021" t="s">
        <v>32</v>
      </c>
      <c r="AE24" s="2021"/>
      <c r="AF24" s="2021"/>
      <c r="AG24" s="2022" t="s">
        <v>32</v>
      </c>
    </row>
    <row r="25" spans="1:40" ht="22.35" customHeight="1" thickBot="1" x14ac:dyDescent="0.25">
      <c r="A25" s="363"/>
      <c r="B25" s="364"/>
      <c r="J25" s="918"/>
      <c r="K25" s="918"/>
      <c r="M25" t="s">
        <v>0</v>
      </c>
      <c r="P25" s="220" t="s">
        <v>266</v>
      </c>
      <c r="S25" s="359" t="s">
        <v>266</v>
      </c>
      <c r="T25" s="359" t="s">
        <v>266</v>
      </c>
      <c r="U25" s="359" t="s">
        <v>266</v>
      </c>
      <c r="V25" s="359" t="s">
        <v>266</v>
      </c>
      <c r="W25" s="359" t="s">
        <v>266</v>
      </c>
      <c r="X25" s="1899" t="s">
        <v>0</v>
      </c>
      <c r="Y25" s="1899" t="s">
        <v>0</v>
      </c>
      <c r="Z25" s="1899" t="s">
        <v>0</v>
      </c>
      <c r="AA25" s="1894" t="s">
        <v>0</v>
      </c>
      <c r="AB25" s="1894" t="s">
        <v>0</v>
      </c>
      <c r="AC25" s="1894" t="s">
        <v>0</v>
      </c>
      <c r="AD25" s="2232" t="s">
        <v>0</v>
      </c>
      <c r="AF25" s="2173" t="s">
        <v>0</v>
      </c>
      <c r="AG25" t="s">
        <v>0</v>
      </c>
    </row>
    <row r="26" spans="1:40" ht="22.35" customHeight="1" thickBot="1" x14ac:dyDescent="0.25">
      <c r="A26" s="291"/>
      <c r="B26" s="199"/>
      <c r="P26" t="s">
        <v>0</v>
      </c>
      <c r="Q26" t="s">
        <v>0</v>
      </c>
      <c r="R26" t="s">
        <v>0</v>
      </c>
      <c r="S26" s="868" t="s">
        <v>0</v>
      </c>
      <c r="T26" s="868" t="s">
        <v>0</v>
      </c>
      <c r="U26" s="868" t="s">
        <v>0</v>
      </c>
      <c r="V26" s="908"/>
      <c r="W26" s="930" t="s">
        <v>0</v>
      </c>
      <c r="X26" s="930" t="s">
        <v>0</v>
      </c>
      <c r="Y26" s="930" t="s">
        <v>0</v>
      </c>
      <c r="Z26" s="868" t="s">
        <v>58</v>
      </c>
      <c r="AA26" s="868" t="s">
        <v>58</v>
      </c>
      <c r="AB26" s="868" t="s">
        <v>0</v>
      </c>
      <c r="AC26" s="192" t="s">
        <v>0</v>
      </c>
      <c r="AD26" s="192" t="s">
        <v>0</v>
      </c>
      <c r="AE26" s="2223" t="s">
        <v>0</v>
      </c>
      <c r="AF26" s="2223" t="s">
        <v>0</v>
      </c>
      <c r="AG26" t="s">
        <v>0</v>
      </c>
    </row>
    <row r="27" spans="1:40" ht="22.35" customHeight="1" x14ac:dyDescent="0.2">
      <c r="A27" s="291"/>
      <c r="B27" s="199"/>
      <c r="P27" t="s">
        <v>0</v>
      </c>
      <c r="R27" t="s">
        <v>0</v>
      </c>
      <c r="S27" s="851" t="s">
        <v>0</v>
      </c>
      <c r="T27" s="2177" t="s">
        <v>0</v>
      </c>
      <c r="U27" s="2177" t="s">
        <v>0</v>
      </c>
      <c r="V27" s="2177" t="s">
        <v>0</v>
      </c>
      <c r="W27" s="2177" t="s">
        <v>0</v>
      </c>
      <c r="X27" s="2177" t="s">
        <v>0</v>
      </c>
      <c r="Y27" s="2177" t="s">
        <v>0</v>
      </c>
      <c r="AB27" s="192" t="s">
        <v>0</v>
      </c>
      <c r="AD27" s="192" t="s">
        <v>0</v>
      </c>
      <c r="AG27" t="s">
        <v>0</v>
      </c>
    </row>
    <row r="28" spans="1:40" ht="22.35" customHeight="1" x14ac:dyDescent="0.2">
      <c r="A28" s="291"/>
      <c r="B28" s="199"/>
      <c r="U28" s="216" t="s">
        <v>0</v>
      </c>
      <c r="V28" t="s">
        <v>0</v>
      </c>
      <c r="W28" t="s">
        <v>0</v>
      </c>
    </row>
    <row r="29" spans="1:40" ht="22.35" customHeight="1" x14ac:dyDescent="0.2">
      <c r="A29" s="291"/>
      <c r="B29" s="199"/>
      <c r="C29" s="199"/>
      <c r="D29" s="199"/>
      <c r="E29" s="199"/>
      <c r="F29" s="199"/>
      <c r="G29" s="199"/>
      <c r="H29" s="199"/>
      <c r="I29" s="199"/>
      <c r="J29" s="199"/>
      <c r="K29" s="199"/>
      <c r="L29" s="199"/>
      <c r="M29" s="199"/>
      <c r="N29" s="199"/>
      <c r="O29" s="199"/>
      <c r="P29" s="199"/>
      <c r="Q29" s="199"/>
      <c r="R29" s="199"/>
      <c r="S29" s="199"/>
      <c r="T29" s="199"/>
      <c r="U29" s="199"/>
      <c r="V29" s="199"/>
      <c r="W29" s="199"/>
      <c r="X29" s="199"/>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2233" t="s">
        <v>62</v>
      </c>
      <c r="B31" s="2234"/>
      <c r="C31" s="2234"/>
      <c r="D31" s="2235" t="s">
        <v>63</v>
      </c>
      <c r="E31" s="2236"/>
      <c r="F31" s="2236"/>
      <c r="G31" s="2236"/>
      <c r="H31" s="2236"/>
      <c r="I31" s="2236"/>
      <c r="J31" s="2236"/>
      <c r="K31" s="2236"/>
      <c r="L31" s="2236"/>
      <c r="M31" s="2237" t="s">
        <v>65</v>
      </c>
      <c r="N31" s="2236"/>
      <c r="O31" s="2236"/>
      <c r="P31" s="2236"/>
      <c r="Q31" s="2236"/>
      <c r="R31" s="2236"/>
      <c r="S31" s="2238"/>
      <c r="T31" s="4939" t="s">
        <v>66</v>
      </c>
      <c r="U31" s="4940"/>
      <c r="V31" s="4940"/>
      <c r="W31" s="4940"/>
      <c r="X31" s="4940"/>
      <c r="Y31" s="4940"/>
      <c r="Z31" s="4941"/>
      <c r="AA31" s="2239" t="s">
        <v>67</v>
      </c>
      <c r="AB31" s="2240"/>
      <c r="AC31" s="2240"/>
      <c r="AD31" s="2240"/>
      <c r="AE31" s="2240"/>
      <c r="AF31" s="2240"/>
      <c r="AG31" s="2241"/>
      <c r="AK31" s="1"/>
    </row>
    <row r="32" spans="1:40" ht="22.35" customHeight="1" x14ac:dyDescent="0.2">
      <c r="A32" s="440" t="s">
        <v>68</v>
      </c>
      <c r="B32" s="2162"/>
      <c r="C32" s="2162"/>
      <c r="D32" s="624" t="s">
        <v>69</v>
      </c>
      <c r="E32" s="625"/>
      <c r="F32" s="2149"/>
      <c r="G32" s="2149"/>
      <c r="H32" s="2149"/>
      <c r="I32" s="2149"/>
      <c r="J32" s="2149"/>
      <c r="K32" s="2149"/>
      <c r="L32" s="2157"/>
      <c r="M32" s="626" t="s">
        <v>70</v>
      </c>
      <c r="N32" s="2162"/>
      <c r="O32" s="627"/>
      <c r="P32" s="2162"/>
      <c r="Q32" s="2162"/>
      <c r="R32" s="2162"/>
      <c r="S32" s="628"/>
      <c r="T32" s="624" t="s">
        <v>71</v>
      </c>
      <c r="U32" s="2149"/>
      <c r="V32" s="625"/>
      <c r="W32" s="2149"/>
      <c r="X32" s="2149"/>
      <c r="Y32" s="2149"/>
      <c r="Z32" s="2157"/>
      <c r="AA32" s="159" t="s">
        <v>72</v>
      </c>
      <c r="AD32" s="100"/>
      <c r="AG32" s="103"/>
      <c r="AK32" s="1"/>
    </row>
    <row r="33" spans="1:38" ht="22.35" customHeight="1" x14ac:dyDescent="0.2">
      <c r="A33" s="884" t="s">
        <v>73</v>
      </c>
      <c r="B33" s="2149"/>
      <c r="C33" s="2149"/>
      <c r="D33" s="629"/>
      <c r="E33" s="2149"/>
      <c r="F33" s="2149"/>
      <c r="G33" s="2157"/>
      <c r="H33" s="2164" t="s">
        <v>74</v>
      </c>
      <c r="I33" s="2149"/>
      <c r="J33" s="2149"/>
      <c r="K33" s="2149"/>
      <c r="L33" s="2149"/>
      <c r="M33" s="630"/>
      <c r="N33" s="2149"/>
      <c r="O33" s="2149"/>
      <c r="P33" s="2149"/>
      <c r="Q33" s="2149"/>
      <c r="R33" s="2149"/>
      <c r="S33" s="2149"/>
      <c r="T33" s="629"/>
      <c r="U33" s="158" t="s">
        <v>75</v>
      </c>
      <c r="AA33" s="627"/>
      <c r="AB33" s="2162"/>
      <c r="AC33" s="2162"/>
      <c r="AD33" s="2162"/>
      <c r="AE33" s="2162"/>
      <c r="AF33" s="2162"/>
      <c r="AG33" s="441"/>
      <c r="AK33" s="64"/>
    </row>
    <row r="34" spans="1:38" ht="22.35" customHeight="1" thickBot="1" x14ac:dyDescent="0.25">
      <c r="A34" s="631" t="s">
        <v>76</v>
      </c>
      <c r="B34" s="734"/>
      <c r="C34" s="734"/>
      <c r="D34" s="888"/>
      <c r="E34" s="734"/>
      <c r="F34" s="734"/>
      <c r="G34" s="889"/>
      <c r="H34" s="890" t="s">
        <v>77</v>
      </c>
      <c r="I34" s="889"/>
      <c r="J34" s="734"/>
      <c r="K34" s="734"/>
      <c r="L34" s="734"/>
      <c r="M34" s="891"/>
      <c r="N34" s="734"/>
      <c r="O34" s="734"/>
      <c r="P34" s="734"/>
      <c r="Q34" s="892"/>
      <c r="R34" s="892"/>
      <c r="S34" s="892"/>
      <c r="T34" s="888"/>
      <c r="U34" s="893" t="s">
        <v>78</v>
      </c>
      <c r="V34" s="734"/>
      <c r="W34" s="734"/>
      <c r="X34" s="734"/>
      <c r="Y34" s="734"/>
      <c r="Z34" s="734"/>
      <c r="AA34" s="734"/>
      <c r="AB34" s="734"/>
      <c r="AC34" s="734"/>
      <c r="AD34" s="734"/>
      <c r="AE34" s="734"/>
      <c r="AF34" s="734"/>
      <c r="AG34" s="89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632" t="s">
        <v>28</v>
      </c>
      <c r="B36" s="633" t="s">
        <v>29</v>
      </c>
      <c r="C36" s="2167">
        <v>1</v>
      </c>
      <c r="D36" s="2167">
        <v>2</v>
      </c>
      <c r="E36" s="2168">
        <v>3</v>
      </c>
      <c r="F36" s="2168">
        <v>4</v>
      </c>
      <c r="G36" s="2168">
        <v>5</v>
      </c>
      <c r="H36" s="2168">
        <v>6</v>
      </c>
      <c r="I36" s="2168">
        <v>7</v>
      </c>
      <c r="J36" s="2167">
        <v>8</v>
      </c>
      <c r="K36" s="2167">
        <v>9</v>
      </c>
      <c r="L36" s="2168">
        <v>10</v>
      </c>
      <c r="M36" s="2168">
        <v>11</v>
      </c>
      <c r="N36" s="2168">
        <v>12</v>
      </c>
      <c r="O36" s="2168">
        <v>13</v>
      </c>
      <c r="P36" s="2168">
        <v>14</v>
      </c>
      <c r="Q36" s="2167">
        <v>15</v>
      </c>
      <c r="R36" s="2167">
        <v>16</v>
      </c>
      <c r="S36" s="2168">
        <v>17</v>
      </c>
      <c r="T36" s="2168">
        <v>18</v>
      </c>
      <c r="U36" s="2168">
        <v>19</v>
      </c>
      <c r="V36" s="2168">
        <v>20</v>
      </c>
      <c r="W36" s="2168">
        <v>21</v>
      </c>
      <c r="X36" s="2167">
        <v>22</v>
      </c>
      <c r="Y36" s="2167">
        <v>23</v>
      </c>
      <c r="Z36" s="2168">
        <v>24</v>
      </c>
      <c r="AA36" s="2168">
        <v>25</v>
      </c>
      <c r="AB36" s="2168">
        <v>26</v>
      </c>
      <c r="AC36" s="2168">
        <v>27</v>
      </c>
      <c r="AD36" s="2168">
        <v>28</v>
      </c>
      <c r="AE36" s="2167">
        <v>29</v>
      </c>
      <c r="AF36" s="2167">
        <v>30</v>
      </c>
      <c r="AG36" s="2169">
        <v>31</v>
      </c>
      <c r="AH36" s="173"/>
      <c r="AI36" s="174"/>
      <c r="AL36" t="s">
        <v>0</v>
      </c>
    </row>
    <row r="37" spans="1:38" ht="22.35" customHeight="1" x14ac:dyDescent="0.2">
      <c r="A37" s="2242">
        <v>1</v>
      </c>
      <c r="B37" s="2243" t="s">
        <v>79</v>
      </c>
      <c r="C37" s="1894" t="s">
        <v>57</v>
      </c>
      <c r="D37" s="2244" t="s">
        <v>57</v>
      </c>
      <c r="E37" s="1894">
        <v>7</v>
      </c>
      <c r="F37" s="1894">
        <v>7</v>
      </c>
      <c r="G37" s="1894">
        <v>7</v>
      </c>
      <c r="H37" s="1894">
        <v>7</v>
      </c>
      <c r="I37" s="1894">
        <v>7</v>
      </c>
      <c r="J37" s="2244"/>
      <c r="K37" s="1894"/>
      <c r="L37" s="1894">
        <v>4</v>
      </c>
      <c r="M37" s="1894">
        <v>4</v>
      </c>
      <c r="N37" s="1894">
        <v>4</v>
      </c>
      <c r="O37" s="2244">
        <v>4</v>
      </c>
      <c r="P37" s="1894">
        <v>4</v>
      </c>
      <c r="Q37" s="1899"/>
      <c r="R37" s="2244"/>
      <c r="S37" s="1894">
        <v>3</v>
      </c>
      <c r="T37" s="1894" t="s">
        <v>134</v>
      </c>
      <c r="U37" s="1894" t="s">
        <v>134</v>
      </c>
      <c r="V37" s="1894" t="s">
        <v>134</v>
      </c>
      <c r="W37" s="1894" t="s">
        <v>134</v>
      </c>
      <c r="X37" s="1899"/>
      <c r="Y37" s="1899"/>
      <c r="Z37" s="1894">
        <v>11</v>
      </c>
      <c r="AA37" s="1894">
        <v>11</v>
      </c>
      <c r="AB37" s="1899">
        <v>11</v>
      </c>
      <c r="AC37" s="1899">
        <v>11</v>
      </c>
      <c r="AD37" s="1899">
        <v>11</v>
      </c>
      <c r="AE37" s="1894" t="s">
        <v>94</v>
      </c>
      <c r="AF37" s="1894" t="s">
        <v>94</v>
      </c>
      <c r="AG37" s="2245" t="s">
        <v>36</v>
      </c>
      <c r="AH37" s="178"/>
      <c r="AI37" s="179"/>
    </row>
    <row r="38" spans="1:38" ht="22.35" customHeight="1" x14ac:dyDescent="0.2">
      <c r="A38" s="904">
        <v>6</v>
      </c>
      <c r="B38" s="2172" t="s">
        <v>84</v>
      </c>
      <c r="C38" s="2183" t="s">
        <v>83</v>
      </c>
      <c r="D38" s="2183" t="s">
        <v>83</v>
      </c>
      <c r="E38" s="2183">
        <v>8</v>
      </c>
      <c r="F38" s="2183">
        <v>8</v>
      </c>
      <c r="G38" s="2183">
        <v>8</v>
      </c>
      <c r="H38" s="2183">
        <v>8</v>
      </c>
      <c r="I38" s="2183">
        <v>8</v>
      </c>
      <c r="J38" s="2183"/>
      <c r="K38" s="2183"/>
      <c r="L38" s="2183" t="s">
        <v>36</v>
      </c>
      <c r="M38" s="2183" t="s">
        <v>36</v>
      </c>
      <c r="N38" s="2183" t="s">
        <v>36</v>
      </c>
      <c r="O38" s="2183" t="s">
        <v>36</v>
      </c>
      <c r="P38" s="2183" t="s">
        <v>36</v>
      </c>
      <c r="Q38" s="2183"/>
      <c r="R38" s="2183"/>
      <c r="S38" s="2183">
        <v>1</v>
      </c>
      <c r="T38" s="2183">
        <v>1</v>
      </c>
      <c r="U38" s="2183">
        <v>1</v>
      </c>
      <c r="V38" s="2183">
        <v>1</v>
      </c>
      <c r="W38" s="2183">
        <v>1</v>
      </c>
      <c r="X38" s="2183"/>
      <c r="Y38" s="2183"/>
      <c r="Z38" s="2183">
        <v>9</v>
      </c>
      <c r="AA38" s="2183">
        <v>9</v>
      </c>
      <c r="AB38" s="2183">
        <v>9</v>
      </c>
      <c r="AC38" s="2183">
        <v>9</v>
      </c>
      <c r="AD38" s="2183">
        <v>9</v>
      </c>
      <c r="AE38" s="2183" t="s">
        <v>80</v>
      </c>
      <c r="AF38" s="2183" t="s">
        <v>81</v>
      </c>
      <c r="AG38" s="1199" t="s">
        <v>36</v>
      </c>
      <c r="AH38" s="178"/>
      <c r="AI38" s="179"/>
    </row>
    <row r="39" spans="1:38" ht="22.35" customHeight="1" thickBot="1" x14ac:dyDescent="0.25">
      <c r="A39" s="673">
        <v>11</v>
      </c>
      <c r="B39" s="905" t="s">
        <v>85</v>
      </c>
      <c r="C39" s="2168" t="s">
        <v>0</v>
      </c>
      <c r="D39" s="908" t="s">
        <v>0</v>
      </c>
      <c r="E39" s="908" t="s">
        <v>32</v>
      </c>
      <c r="F39" s="908" t="s">
        <v>32</v>
      </c>
      <c r="G39" s="931" t="s">
        <v>32</v>
      </c>
      <c r="H39" s="908" t="s">
        <v>32</v>
      </c>
      <c r="I39" s="908" t="s">
        <v>32</v>
      </c>
      <c r="J39" s="908"/>
      <c r="K39" s="2223"/>
      <c r="L39" s="908" t="s">
        <v>32</v>
      </c>
      <c r="M39" s="908" t="s">
        <v>32</v>
      </c>
      <c r="N39" s="931" t="s">
        <v>32</v>
      </c>
      <c r="O39" s="908" t="s">
        <v>32</v>
      </c>
      <c r="P39" s="908" t="s">
        <v>32</v>
      </c>
      <c r="Q39" s="2168"/>
      <c r="R39" s="2168"/>
      <c r="S39" s="908" t="s">
        <v>32</v>
      </c>
      <c r="T39" s="908" t="s">
        <v>32</v>
      </c>
      <c r="U39" s="931" t="s">
        <v>32</v>
      </c>
      <c r="V39" s="908" t="s">
        <v>32</v>
      </c>
      <c r="W39" s="908" t="s">
        <v>32</v>
      </c>
      <c r="X39" s="910"/>
      <c r="Y39" s="908"/>
      <c r="Z39" s="908" t="s">
        <v>32</v>
      </c>
      <c r="AA39" s="908" t="s">
        <v>32</v>
      </c>
      <c r="AB39" s="931" t="s">
        <v>32</v>
      </c>
      <c r="AC39" s="2221" t="s">
        <v>32</v>
      </c>
      <c r="AD39" s="2221" t="s">
        <v>32</v>
      </c>
      <c r="AE39" s="2221" t="s">
        <v>0</v>
      </c>
      <c r="AF39" s="2221" t="s">
        <v>0</v>
      </c>
      <c r="AG39" s="2221" t="s">
        <v>32</v>
      </c>
      <c r="AH39" s="178"/>
      <c r="AI39" s="179"/>
    </row>
    <row r="40" spans="1:38" ht="22.35" customHeight="1" x14ac:dyDescent="0.2">
      <c r="A40" s="2242">
        <v>2</v>
      </c>
      <c r="B40" s="154" t="s">
        <v>88</v>
      </c>
      <c r="C40" s="2246"/>
      <c r="D40" s="2246"/>
      <c r="E40" s="2247">
        <v>4</v>
      </c>
      <c r="F40" s="2247">
        <v>4</v>
      </c>
      <c r="G40" s="2247">
        <v>4</v>
      </c>
      <c r="H40" s="2247">
        <v>4</v>
      </c>
      <c r="I40" s="2247">
        <v>4</v>
      </c>
      <c r="J40" s="1894"/>
      <c r="K40" s="1894"/>
      <c r="L40" s="2244">
        <v>3</v>
      </c>
      <c r="M40" s="2244">
        <v>3</v>
      </c>
      <c r="N40" s="1894">
        <v>3</v>
      </c>
      <c r="O40" s="1894">
        <v>3</v>
      </c>
      <c r="P40" s="1894">
        <v>3</v>
      </c>
      <c r="Q40" s="1899"/>
      <c r="R40" s="1894"/>
      <c r="S40" s="1899">
        <v>11</v>
      </c>
      <c r="T40" s="1899">
        <v>11</v>
      </c>
      <c r="U40" s="2244">
        <v>11</v>
      </c>
      <c r="V40" s="1899">
        <v>11</v>
      </c>
      <c r="W40" s="1899">
        <v>11</v>
      </c>
      <c r="X40" s="1899" t="s">
        <v>94</v>
      </c>
      <c r="Y40" s="1899" t="s">
        <v>94</v>
      </c>
      <c r="Z40" s="1899" t="s">
        <v>36</v>
      </c>
      <c r="AA40" s="1894" t="s">
        <v>36</v>
      </c>
      <c r="AB40" s="1894" t="s">
        <v>36</v>
      </c>
      <c r="AC40" s="1894" t="s">
        <v>36</v>
      </c>
      <c r="AD40" s="1894" t="s">
        <v>36</v>
      </c>
      <c r="AE40" s="1899" t="s">
        <v>83</v>
      </c>
      <c r="AF40" s="1899" t="s">
        <v>83</v>
      </c>
      <c r="AG40" s="2245">
        <v>8</v>
      </c>
      <c r="AH40" s="178"/>
      <c r="AI40" s="179"/>
    </row>
    <row r="41" spans="1:38" ht="22.35" customHeight="1" x14ac:dyDescent="0.2">
      <c r="A41" s="904">
        <v>7</v>
      </c>
      <c r="B41" s="2248" t="s">
        <v>91</v>
      </c>
      <c r="C41" s="741"/>
      <c r="D41" s="741"/>
      <c r="E41" s="2187" t="s">
        <v>36</v>
      </c>
      <c r="F41" s="2187" t="s">
        <v>36</v>
      </c>
      <c r="G41" s="2187" t="s">
        <v>36</v>
      </c>
      <c r="H41" s="2187" t="s">
        <v>36</v>
      </c>
      <c r="I41" s="868" t="s">
        <v>36</v>
      </c>
      <c r="J41" s="868"/>
      <c r="K41" s="2186"/>
      <c r="L41" s="926">
        <v>1</v>
      </c>
      <c r="M41" s="2201">
        <v>4</v>
      </c>
      <c r="N41" s="2201">
        <v>4</v>
      </c>
      <c r="O41" s="2201">
        <v>4</v>
      </c>
      <c r="P41" s="2201">
        <v>1</v>
      </c>
      <c r="Q41" s="2201"/>
      <c r="R41" s="2187"/>
      <c r="S41" s="2187">
        <v>9</v>
      </c>
      <c r="T41" s="2187">
        <v>9</v>
      </c>
      <c r="U41" s="2187">
        <v>9</v>
      </c>
      <c r="V41" s="2184">
        <v>4</v>
      </c>
      <c r="W41" s="2183">
        <v>4</v>
      </c>
      <c r="X41" s="2184" t="s">
        <v>35</v>
      </c>
      <c r="Y41" s="2184" t="s">
        <v>35</v>
      </c>
      <c r="Z41" s="868" t="s">
        <v>36</v>
      </c>
      <c r="AA41" s="868" t="s">
        <v>36</v>
      </c>
      <c r="AB41" s="868" t="s">
        <v>36</v>
      </c>
      <c r="AC41" s="868" t="s">
        <v>36</v>
      </c>
      <c r="AD41" s="868" t="s">
        <v>36</v>
      </c>
      <c r="AE41" s="868" t="s">
        <v>82</v>
      </c>
      <c r="AF41" s="868" t="s">
        <v>83</v>
      </c>
      <c r="AG41" s="917">
        <v>6</v>
      </c>
      <c r="AH41" s="178"/>
      <c r="AI41" s="179"/>
    </row>
    <row r="42" spans="1:38" ht="22.35" customHeight="1" thickBot="1" x14ac:dyDescent="0.25">
      <c r="A42" s="673">
        <v>12</v>
      </c>
      <c r="B42" s="2249" t="s">
        <v>93</v>
      </c>
      <c r="C42" s="1345"/>
      <c r="D42" s="1345"/>
      <c r="E42" s="2223" t="s">
        <v>36</v>
      </c>
      <c r="F42" s="2223" t="s">
        <v>36</v>
      </c>
      <c r="G42" s="2223" t="s">
        <v>36</v>
      </c>
      <c r="H42" s="2223" t="s">
        <v>36</v>
      </c>
      <c r="I42" s="2223" t="s">
        <v>36</v>
      </c>
      <c r="J42" s="2223"/>
      <c r="K42" s="908"/>
      <c r="L42" s="908">
        <v>5</v>
      </c>
      <c r="M42" s="2168">
        <v>5</v>
      </c>
      <c r="N42" s="908">
        <v>5</v>
      </c>
      <c r="O42" s="908">
        <v>5</v>
      </c>
      <c r="P42" s="908">
        <v>5</v>
      </c>
      <c r="Q42" s="908"/>
      <c r="R42" s="908"/>
      <c r="S42" s="908">
        <v>10</v>
      </c>
      <c r="T42" s="908">
        <v>10</v>
      </c>
      <c r="U42" s="931">
        <v>10</v>
      </c>
      <c r="V42" s="931">
        <v>10</v>
      </c>
      <c r="W42" s="2250">
        <v>10</v>
      </c>
      <c r="X42" s="2250" t="s">
        <v>81</v>
      </c>
      <c r="Y42" s="2250" t="s">
        <v>348</v>
      </c>
      <c r="Z42" s="908" t="s">
        <v>36</v>
      </c>
      <c r="AA42" s="908" t="s">
        <v>36</v>
      </c>
      <c r="AB42" s="908" t="s">
        <v>36</v>
      </c>
      <c r="AC42" s="908" t="s">
        <v>36</v>
      </c>
      <c r="AD42" s="908" t="s">
        <v>36</v>
      </c>
      <c r="AE42" s="2168" t="s">
        <v>57</v>
      </c>
      <c r="AF42" s="2168" t="s">
        <v>57</v>
      </c>
      <c r="AG42" s="2169">
        <v>7</v>
      </c>
      <c r="AH42" s="178"/>
      <c r="AI42" s="179"/>
    </row>
    <row r="43" spans="1:38" ht="22.35" customHeight="1" x14ac:dyDescent="0.2">
      <c r="A43" s="2242">
        <v>3</v>
      </c>
      <c r="B43" s="2251" t="s">
        <v>96</v>
      </c>
      <c r="C43" s="2252"/>
      <c r="D43" s="2252"/>
      <c r="E43" s="2252">
        <v>3</v>
      </c>
      <c r="F43" s="2252">
        <v>3</v>
      </c>
      <c r="G43" s="2252">
        <v>3</v>
      </c>
      <c r="H43" s="2252">
        <v>3</v>
      </c>
      <c r="I43" s="2252">
        <v>3</v>
      </c>
      <c r="J43" s="2252"/>
      <c r="K43" s="2252"/>
      <c r="L43" s="2252">
        <v>11</v>
      </c>
      <c r="M43" s="2252">
        <v>11</v>
      </c>
      <c r="N43" s="2252">
        <v>11</v>
      </c>
      <c r="O43" s="2252">
        <v>11</v>
      </c>
      <c r="P43" s="2252">
        <v>11</v>
      </c>
      <c r="Q43" s="2252" t="s">
        <v>94</v>
      </c>
      <c r="R43" s="2252" t="s">
        <v>94</v>
      </c>
      <c r="S43" s="2252" t="s">
        <v>36</v>
      </c>
      <c r="T43" s="2252" t="s">
        <v>36</v>
      </c>
      <c r="U43" s="2252" t="s">
        <v>36</v>
      </c>
      <c r="V43" s="2252" t="s">
        <v>36</v>
      </c>
      <c r="W43" s="2252" t="s">
        <v>36</v>
      </c>
      <c r="X43" s="2252" t="s">
        <v>83</v>
      </c>
      <c r="Y43" s="2252" t="s">
        <v>83</v>
      </c>
      <c r="Z43" s="2252">
        <v>8</v>
      </c>
      <c r="AA43" s="2252">
        <v>8</v>
      </c>
      <c r="AB43" s="2252">
        <v>8</v>
      </c>
      <c r="AC43" s="2252">
        <v>8</v>
      </c>
      <c r="AD43" s="2252">
        <v>8</v>
      </c>
      <c r="AE43" s="2252"/>
      <c r="AF43" s="2252"/>
      <c r="AG43" s="2253" t="s">
        <v>36</v>
      </c>
      <c r="AH43" s="178"/>
      <c r="AI43" s="179"/>
    </row>
    <row r="44" spans="1:38" ht="22.35" customHeight="1" x14ac:dyDescent="0.2">
      <c r="A44" s="904">
        <v>8</v>
      </c>
      <c r="B44" s="2190" t="s">
        <v>97</v>
      </c>
      <c r="C44" s="741"/>
      <c r="D44" s="741"/>
      <c r="E44" s="2188">
        <v>1</v>
      </c>
      <c r="F44" s="2188">
        <v>1</v>
      </c>
      <c r="G44" s="2188">
        <v>1</v>
      </c>
      <c r="H44" s="2188">
        <v>1</v>
      </c>
      <c r="I44" s="2187">
        <v>1</v>
      </c>
      <c r="J44" s="2187"/>
      <c r="K44" s="868"/>
      <c r="L44" s="2186">
        <v>9</v>
      </c>
      <c r="M44" s="2183">
        <v>9</v>
      </c>
      <c r="N44" s="2183">
        <v>9</v>
      </c>
      <c r="O44" s="2183">
        <v>9</v>
      </c>
      <c r="P44" s="2187">
        <v>9</v>
      </c>
      <c r="Q44" s="2201" t="s">
        <v>80</v>
      </c>
      <c r="R44" s="2201" t="s">
        <v>81</v>
      </c>
      <c r="S44" s="2201" t="s">
        <v>36</v>
      </c>
      <c r="T44" s="2201" t="s">
        <v>36</v>
      </c>
      <c r="U44" s="2201" t="s">
        <v>36</v>
      </c>
      <c r="V44" s="2201" t="s">
        <v>36</v>
      </c>
      <c r="W44" s="2201" t="s">
        <v>36</v>
      </c>
      <c r="X44" s="868" t="s">
        <v>82</v>
      </c>
      <c r="Y44" s="868" t="s">
        <v>83</v>
      </c>
      <c r="Z44" s="2186">
        <v>6</v>
      </c>
      <c r="AA44" s="868">
        <v>6</v>
      </c>
      <c r="AB44" s="868">
        <v>6</v>
      </c>
      <c r="AC44" s="868">
        <v>6</v>
      </c>
      <c r="AD44" s="868">
        <v>6</v>
      </c>
      <c r="AE44" s="868"/>
      <c r="AF44" s="2187"/>
      <c r="AG44" s="917" t="s">
        <v>36</v>
      </c>
      <c r="AH44" s="178"/>
      <c r="AI44" s="179"/>
    </row>
    <row r="45" spans="1:38" ht="22.35" customHeight="1" thickBot="1" x14ac:dyDescent="0.25">
      <c r="A45" s="673">
        <v>13</v>
      </c>
      <c r="B45" s="905" t="s">
        <v>98</v>
      </c>
      <c r="C45" s="1345"/>
      <c r="D45" s="1345"/>
      <c r="E45" s="2168">
        <v>5</v>
      </c>
      <c r="F45" s="2168">
        <v>5</v>
      </c>
      <c r="G45" s="908">
        <v>5</v>
      </c>
      <c r="H45" s="908">
        <v>5</v>
      </c>
      <c r="I45" s="908">
        <v>5</v>
      </c>
      <c r="J45" s="908"/>
      <c r="K45" s="908"/>
      <c r="L45" s="2168">
        <v>10</v>
      </c>
      <c r="M45" s="908">
        <v>10</v>
      </c>
      <c r="N45" s="930">
        <v>10</v>
      </c>
      <c r="O45" s="908">
        <v>10</v>
      </c>
      <c r="P45" s="930">
        <v>10</v>
      </c>
      <c r="Q45" s="930" t="s">
        <v>81</v>
      </c>
      <c r="R45" s="930" t="s">
        <v>81</v>
      </c>
      <c r="S45" s="908" t="s">
        <v>36</v>
      </c>
      <c r="T45" s="908" t="s">
        <v>36</v>
      </c>
      <c r="U45" s="908" t="s">
        <v>36</v>
      </c>
      <c r="V45" s="908" t="s">
        <v>36</v>
      </c>
      <c r="W45" s="908" t="s">
        <v>36</v>
      </c>
      <c r="X45" s="908" t="s">
        <v>57</v>
      </c>
      <c r="Y45" s="908" t="s">
        <v>57</v>
      </c>
      <c r="Z45" s="908">
        <v>7</v>
      </c>
      <c r="AA45" s="2168">
        <v>7</v>
      </c>
      <c r="AB45" s="908">
        <v>7</v>
      </c>
      <c r="AC45" s="908">
        <v>7</v>
      </c>
      <c r="AD45" s="908">
        <v>7</v>
      </c>
      <c r="AE45" s="908"/>
      <c r="AF45" s="908"/>
      <c r="AG45" s="912">
        <v>4</v>
      </c>
      <c r="AH45" s="178"/>
      <c r="AI45" s="179"/>
    </row>
    <row r="46" spans="1:38" ht="22.35" customHeight="1" x14ac:dyDescent="0.2">
      <c r="A46" s="2242">
        <v>4</v>
      </c>
      <c r="B46" s="933" t="s">
        <v>99</v>
      </c>
      <c r="C46" s="2246"/>
      <c r="D46" s="2246"/>
      <c r="E46" s="306">
        <v>11</v>
      </c>
      <c r="F46" s="1899">
        <v>11</v>
      </c>
      <c r="G46" s="1894">
        <v>11</v>
      </c>
      <c r="H46" s="2244">
        <v>11</v>
      </c>
      <c r="I46" s="2244">
        <v>11</v>
      </c>
      <c r="J46" s="2244" t="s">
        <v>94</v>
      </c>
      <c r="K46" s="2244" t="s">
        <v>94</v>
      </c>
      <c r="L46" s="2244" t="s">
        <v>36</v>
      </c>
      <c r="M46" s="2244" t="s">
        <v>36</v>
      </c>
      <c r="N46" s="2244" t="s">
        <v>36</v>
      </c>
      <c r="O46" s="2244" t="s">
        <v>36</v>
      </c>
      <c r="P46" s="2244" t="s">
        <v>36</v>
      </c>
      <c r="Q46" s="2244" t="s">
        <v>83</v>
      </c>
      <c r="R46" s="2244" t="s">
        <v>83</v>
      </c>
      <c r="S46" s="2244">
        <v>8</v>
      </c>
      <c r="T46" s="2244">
        <v>8</v>
      </c>
      <c r="U46" s="2244">
        <v>8</v>
      </c>
      <c r="V46" s="1894">
        <v>8</v>
      </c>
      <c r="W46" s="2254">
        <v>8</v>
      </c>
      <c r="X46" s="2254"/>
      <c r="Y46" s="2254"/>
      <c r="Z46" s="1894" t="s">
        <v>36</v>
      </c>
      <c r="AA46" s="2244" t="s">
        <v>36</v>
      </c>
      <c r="AB46" s="2254" t="s">
        <v>36</v>
      </c>
      <c r="AC46" s="1894" t="s">
        <v>36</v>
      </c>
      <c r="AD46" s="1894" t="s">
        <v>36</v>
      </c>
      <c r="AE46" s="1894"/>
      <c r="AF46" s="1894"/>
      <c r="AG46" s="2255">
        <v>1</v>
      </c>
      <c r="AH46" s="178"/>
      <c r="AI46" s="179"/>
    </row>
    <row r="47" spans="1:38" ht="22.35" customHeight="1" x14ac:dyDescent="0.2">
      <c r="A47" s="904">
        <v>9</v>
      </c>
      <c r="B47" s="2190" t="s">
        <v>100</v>
      </c>
      <c r="C47" s="741"/>
      <c r="D47" s="741"/>
      <c r="E47" s="868">
        <v>9</v>
      </c>
      <c r="F47" s="868">
        <v>9</v>
      </c>
      <c r="G47" s="868">
        <v>9</v>
      </c>
      <c r="H47" s="868">
        <v>9</v>
      </c>
      <c r="I47" s="868">
        <v>9</v>
      </c>
      <c r="J47" s="868" t="s">
        <v>80</v>
      </c>
      <c r="K47" s="868" t="s">
        <v>81</v>
      </c>
      <c r="L47" s="868" t="s">
        <v>36</v>
      </c>
      <c r="M47" s="868" t="s">
        <v>36</v>
      </c>
      <c r="N47" s="868" t="s">
        <v>36</v>
      </c>
      <c r="O47" s="868" t="s">
        <v>36</v>
      </c>
      <c r="P47" s="868" t="s">
        <v>36</v>
      </c>
      <c r="Q47" s="868" t="s">
        <v>82</v>
      </c>
      <c r="R47" s="868" t="s">
        <v>83</v>
      </c>
      <c r="S47" s="2186">
        <v>6</v>
      </c>
      <c r="T47" s="868">
        <v>6</v>
      </c>
      <c r="U47" s="868">
        <v>6</v>
      </c>
      <c r="V47" s="868">
        <v>6</v>
      </c>
      <c r="W47" s="868">
        <v>6</v>
      </c>
      <c r="X47" s="868"/>
      <c r="Y47" s="868"/>
      <c r="Z47" s="868" t="s">
        <v>36</v>
      </c>
      <c r="AA47" s="868" t="s">
        <v>36</v>
      </c>
      <c r="AB47" s="868" t="s">
        <v>36</v>
      </c>
      <c r="AC47" s="868" t="s">
        <v>36</v>
      </c>
      <c r="AD47" s="868" t="s">
        <v>36</v>
      </c>
      <c r="AE47" s="868"/>
      <c r="AF47" s="868"/>
      <c r="AG47" s="929">
        <v>5</v>
      </c>
      <c r="AH47" s="178"/>
      <c r="AI47" s="179"/>
    </row>
    <row r="48" spans="1:38" ht="22.35" customHeight="1" thickBot="1" x14ac:dyDescent="0.25">
      <c r="A48" s="673">
        <v>14</v>
      </c>
      <c r="B48" s="905" t="s">
        <v>102</v>
      </c>
      <c r="C48" s="1345"/>
      <c r="D48" s="1345"/>
      <c r="E48" s="2168">
        <v>10</v>
      </c>
      <c r="F48" s="908">
        <v>10</v>
      </c>
      <c r="G48" s="908">
        <v>10</v>
      </c>
      <c r="H48" s="908">
        <v>10</v>
      </c>
      <c r="I48" s="930">
        <v>10</v>
      </c>
      <c r="J48" s="930" t="s">
        <v>81</v>
      </c>
      <c r="K48" s="930" t="s">
        <v>81</v>
      </c>
      <c r="L48" s="908" t="s">
        <v>36</v>
      </c>
      <c r="M48" s="908" t="s">
        <v>36</v>
      </c>
      <c r="N48" s="908" t="s">
        <v>36</v>
      </c>
      <c r="O48" s="908" t="s">
        <v>36</v>
      </c>
      <c r="P48" s="908" t="s">
        <v>36</v>
      </c>
      <c r="Q48" s="2168" t="s">
        <v>57</v>
      </c>
      <c r="R48" s="908" t="s">
        <v>57</v>
      </c>
      <c r="S48" s="908">
        <v>7</v>
      </c>
      <c r="T48" s="2168">
        <v>7</v>
      </c>
      <c r="U48" s="908">
        <v>7</v>
      </c>
      <c r="V48" s="908">
        <v>7</v>
      </c>
      <c r="W48" s="920">
        <v>7</v>
      </c>
      <c r="X48" s="908"/>
      <c r="Y48" s="908"/>
      <c r="Z48" s="2256">
        <v>4</v>
      </c>
      <c r="AA48" s="1207">
        <v>4</v>
      </c>
      <c r="AB48" s="1207">
        <v>4</v>
      </c>
      <c r="AC48" s="1207">
        <v>4</v>
      </c>
      <c r="AD48" s="2257">
        <v>4</v>
      </c>
      <c r="AE48" s="2168"/>
      <c r="AF48" s="908"/>
      <c r="AG48" s="2169">
        <v>3</v>
      </c>
      <c r="AH48" s="178"/>
      <c r="AI48" s="179"/>
    </row>
    <row r="49" spans="1:40" ht="22.35" customHeight="1" x14ac:dyDescent="0.2">
      <c r="A49" s="2242">
        <v>5</v>
      </c>
      <c r="B49" s="2190" t="s">
        <v>103</v>
      </c>
      <c r="C49" s="2246" t="s">
        <v>94</v>
      </c>
      <c r="D49" s="2246" t="s">
        <v>94</v>
      </c>
      <c r="E49" s="1899" t="s">
        <v>36</v>
      </c>
      <c r="F49" s="1894" t="s">
        <v>36</v>
      </c>
      <c r="G49" s="1894" t="s">
        <v>36</v>
      </c>
      <c r="H49" s="1899" t="s">
        <v>36</v>
      </c>
      <c r="I49" s="1899" t="s">
        <v>36</v>
      </c>
      <c r="J49" s="1899" t="s">
        <v>83</v>
      </c>
      <c r="K49" s="1899" t="s">
        <v>83</v>
      </c>
      <c r="L49" s="1899">
        <v>8</v>
      </c>
      <c r="M49" s="1894">
        <v>8</v>
      </c>
      <c r="N49" s="1894">
        <v>8</v>
      </c>
      <c r="O49" s="1894">
        <v>8</v>
      </c>
      <c r="P49" s="2232">
        <v>8</v>
      </c>
      <c r="Q49" s="2244"/>
      <c r="R49" s="1894"/>
      <c r="S49" s="1894" t="s">
        <v>36</v>
      </c>
      <c r="T49" s="2244" t="s">
        <v>36</v>
      </c>
      <c r="U49" s="1894" t="s">
        <v>36</v>
      </c>
      <c r="V49" s="1894" t="s">
        <v>36</v>
      </c>
      <c r="W49" s="1899" t="s">
        <v>36</v>
      </c>
      <c r="X49" s="1899"/>
      <c r="Y49" s="1899"/>
      <c r="Z49" s="1899">
        <v>1</v>
      </c>
      <c r="AA49" s="2232">
        <v>1</v>
      </c>
      <c r="AB49" s="1899">
        <v>1</v>
      </c>
      <c r="AC49" s="1899">
        <v>1</v>
      </c>
      <c r="AD49" s="1899">
        <v>1</v>
      </c>
      <c r="AE49" s="1899"/>
      <c r="AF49" s="1894"/>
      <c r="AG49" s="2258">
        <v>9</v>
      </c>
      <c r="AH49" s="178"/>
      <c r="AI49" s="179"/>
    </row>
    <row r="50" spans="1:40" ht="22.35" customHeight="1" x14ac:dyDescent="0.2">
      <c r="A50" s="904">
        <v>10</v>
      </c>
      <c r="B50" s="2190" t="s">
        <v>104</v>
      </c>
      <c r="C50" s="741" t="s">
        <v>80</v>
      </c>
      <c r="D50" s="741" t="s">
        <v>81</v>
      </c>
      <c r="E50" s="868" t="s">
        <v>36</v>
      </c>
      <c r="F50" s="868" t="s">
        <v>36</v>
      </c>
      <c r="G50" s="868" t="s">
        <v>36</v>
      </c>
      <c r="H50" s="2187" t="s">
        <v>36</v>
      </c>
      <c r="I50" s="2183" t="s">
        <v>36</v>
      </c>
      <c r="J50" s="2183" t="s">
        <v>82</v>
      </c>
      <c r="K50" s="2183" t="s">
        <v>83</v>
      </c>
      <c r="L50" s="2183">
        <v>6</v>
      </c>
      <c r="M50" s="2183">
        <v>6</v>
      </c>
      <c r="N50" s="2183">
        <v>6</v>
      </c>
      <c r="O50" s="2183">
        <v>6</v>
      </c>
      <c r="P50" s="2183">
        <v>6</v>
      </c>
      <c r="Q50" s="2183"/>
      <c r="R50" s="2183"/>
      <c r="S50" s="2183" t="s">
        <v>36</v>
      </c>
      <c r="T50" s="2183" t="s">
        <v>36</v>
      </c>
      <c r="U50" s="2183" t="s">
        <v>36</v>
      </c>
      <c r="V50" s="2183" t="s">
        <v>36</v>
      </c>
      <c r="W50" s="2183" t="s">
        <v>36</v>
      </c>
      <c r="X50" s="2183"/>
      <c r="Y50" s="2187"/>
      <c r="Z50" s="868">
        <v>5</v>
      </c>
      <c r="AA50" s="2186">
        <v>5</v>
      </c>
      <c r="AB50" s="868">
        <v>5</v>
      </c>
      <c r="AC50" s="868">
        <v>5</v>
      </c>
      <c r="AD50" s="868">
        <v>5</v>
      </c>
      <c r="AE50" s="868"/>
      <c r="AF50" s="868"/>
      <c r="AG50" s="917">
        <v>10</v>
      </c>
      <c r="AH50" s="178"/>
      <c r="AI50" s="179"/>
    </row>
    <row r="51" spans="1:40" ht="22.35" customHeight="1" thickBot="1" x14ac:dyDescent="0.25">
      <c r="A51" s="673">
        <v>15</v>
      </c>
      <c r="B51" s="905" t="s">
        <v>105</v>
      </c>
      <c r="C51" s="1345" t="s">
        <v>81</v>
      </c>
      <c r="D51" s="1345" t="s">
        <v>81</v>
      </c>
      <c r="E51" s="908" t="s">
        <v>36</v>
      </c>
      <c r="F51" s="908" t="s">
        <v>36</v>
      </c>
      <c r="G51" s="908" t="s">
        <v>36</v>
      </c>
      <c r="H51" s="930" t="s">
        <v>36</v>
      </c>
      <c r="I51" s="930" t="s">
        <v>36</v>
      </c>
      <c r="J51" s="930" t="s">
        <v>57</v>
      </c>
      <c r="K51" s="930" t="s">
        <v>57</v>
      </c>
      <c r="L51" s="930">
        <v>7</v>
      </c>
      <c r="M51" s="2168">
        <v>7</v>
      </c>
      <c r="N51" s="908">
        <v>7</v>
      </c>
      <c r="O51" s="908">
        <v>7</v>
      </c>
      <c r="P51" s="908">
        <v>7</v>
      </c>
      <c r="Q51" s="2223"/>
      <c r="R51" s="2223"/>
      <c r="S51" s="2223">
        <v>4</v>
      </c>
      <c r="T51" s="2223">
        <v>4</v>
      </c>
      <c r="U51" s="2223">
        <v>4</v>
      </c>
      <c r="V51" s="2223">
        <v>4</v>
      </c>
      <c r="W51" s="2223">
        <v>4</v>
      </c>
      <c r="X51" s="908"/>
      <c r="Y51" s="908"/>
      <c r="Z51" s="908">
        <v>3</v>
      </c>
      <c r="AA51" s="2168">
        <v>3</v>
      </c>
      <c r="AB51" s="908">
        <v>3</v>
      </c>
      <c r="AC51" s="908">
        <v>3</v>
      </c>
      <c r="AD51" s="1207">
        <v>3</v>
      </c>
      <c r="AE51" s="908"/>
      <c r="AF51" s="908"/>
      <c r="AG51" s="635">
        <v>11</v>
      </c>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753" t="s">
        <v>28</v>
      </c>
      <c r="B54" s="753"/>
      <c r="C54" s="741"/>
      <c r="D54" s="753" t="s">
        <v>107</v>
      </c>
      <c r="E54" s="751"/>
      <c r="F54" s="741"/>
      <c r="G54" s="753" t="s">
        <v>108</v>
      </c>
      <c r="H54" s="751"/>
      <c r="I54" s="741"/>
      <c r="J54" s="753" t="s">
        <v>109</v>
      </c>
      <c r="K54" s="751"/>
      <c r="L54" s="741"/>
      <c r="M54" s="753" t="s">
        <v>110</v>
      </c>
      <c r="N54" s="751"/>
      <c r="O54" s="741"/>
      <c r="P54" s="753" t="s">
        <v>111</v>
      </c>
      <c r="Q54" s="751"/>
      <c r="R54" s="636"/>
      <c r="S54" s="637" t="s">
        <v>112</v>
      </c>
      <c r="T54" s="751"/>
      <c r="U54" s="741"/>
      <c r="V54" s="753" t="s">
        <v>113</v>
      </c>
      <c r="W54" s="751"/>
      <c r="X54" s="942" t="s">
        <v>114</v>
      </c>
      <c r="Y54" s="751"/>
      <c r="Z54" s="751"/>
      <c r="AA54" s="638"/>
      <c r="AB54" s="2151"/>
      <c r="AC54" s="2151"/>
      <c r="AD54" s="2151"/>
      <c r="AE54" s="2151"/>
      <c r="AF54" s="2151"/>
      <c r="AG54" s="2152"/>
      <c r="AH54" s="1"/>
    </row>
    <row r="55" spans="1:40" ht="22.35" customHeight="1" x14ac:dyDescent="0.2">
      <c r="A55" s="738">
        <v>8517</v>
      </c>
      <c r="B55" s="639" t="s">
        <v>115</v>
      </c>
      <c r="C55" s="640" t="s">
        <v>116</v>
      </c>
      <c r="D55" s="641"/>
      <c r="E55" s="2150"/>
      <c r="F55" s="640" t="s">
        <v>116</v>
      </c>
      <c r="G55" s="641"/>
      <c r="H55" s="2150"/>
      <c r="I55" s="640" t="s">
        <v>116</v>
      </c>
      <c r="J55" s="641"/>
      <c r="K55" s="2150"/>
      <c r="L55" s="640" t="s">
        <v>116</v>
      </c>
      <c r="M55" s="641"/>
      <c r="N55" s="2150"/>
      <c r="O55" s="640" t="s">
        <v>117</v>
      </c>
      <c r="P55" s="641"/>
      <c r="Q55" s="2150"/>
      <c r="R55" s="640"/>
      <c r="S55" s="641"/>
      <c r="T55" s="2150"/>
      <c r="U55" s="640" t="s">
        <v>118</v>
      </c>
      <c r="V55" s="641"/>
      <c r="W55" s="2150"/>
      <c r="X55" s="2148"/>
      <c r="Y55" s="2151"/>
      <c r="Z55" s="2151"/>
      <c r="AA55" s="2151"/>
      <c r="AB55" s="2151"/>
      <c r="AC55" s="2151"/>
      <c r="AD55" s="2151"/>
      <c r="AE55" s="2151"/>
      <c r="AF55" s="2151"/>
      <c r="AG55" s="2152"/>
      <c r="AH55" s="1"/>
    </row>
    <row r="56" spans="1:40" ht="22.35" customHeight="1" x14ac:dyDescent="0.2">
      <c r="B56" s="2182" t="s">
        <v>119</v>
      </c>
      <c r="C56" s="2259" t="s">
        <v>120</v>
      </c>
      <c r="D56" s="2260"/>
      <c r="E56" s="2261"/>
      <c r="F56" s="2259" t="s">
        <v>120</v>
      </c>
      <c r="G56" s="2262"/>
      <c r="H56" s="2261"/>
      <c r="I56" s="640" t="s">
        <v>120</v>
      </c>
      <c r="J56" s="641"/>
      <c r="K56" s="642"/>
      <c r="L56" s="640" t="s">
        <v>120</v>
      </c>
      <c r="M56" s="641"/>
      <c r="N56" s="642"/>
      <c r="O56" s="640" t="s">
        <v>121</v>
      </c>
      <c r="P56" s="641"/>
      <c r="Q56" s="2150"/>
      <c r="R56" s="643" t="s">
        <v>0</v>
      </c>
      <c r="S56" s="641"/>
      <c r="T56" s="642"/>
      <c r="U56" s="641" t="s">
        <v>0</v>
      </c>
      <c r="V56" s="641"/>
      <c r="W56" s="2150"/>
      <c r="X56" s="675" t="s">
        <v>0</v>
      </c>
      <c r="Y56" s="72"/>
      <c r="Z56" s="72"/>
      <c r="AA56" s="72"/>
      <c r="AB56" s="72"/>
      <c r="AC56" s="72"/>
      <c r="AD56" s="72"/>
      <c r="AE56" s="72"/>
      <c r="AF56" s="72"/>
      <c r="AG56" s="111"/>
      <c r="AH56" s="1"/>
    </row>
    <row r="57" spans="1:40" ht="22.35" customHeight="1" x14ac:dyDescent="0.2">
      <c r="A57" s="951"/>
      <c r="B57" s="639" t="s">
        <v>122</v>
      </c>
      <c r="C57" s="2259" t="s">
        <v>123</v>
      </c>
      <c r="D57" s="2260"/>
      <c r="E57" s="2262"/>
      <c r="F57" s="2259" t="s">
        <v>123</v>
      </c>
      <c r="G57" s="2260"/>
      <c r="H57" s="2262"/>
      <c r="I57" s="2259" t="s">
        <v>123</v>
      </c>
      <c r="J57" s="2260"/>
      <c r="K57" s="2262"/>
      <c r="L57" s="2259" t="s">
        <v>123</v>
      </c>
      <c r="M57" s="2260"/>
      <c r="N57" s="2262"/>
      <c r="O57" s="2259" t="s">
        <v>124</v>
      </c>
      <c r="P57" s="2260"/>
      <c r="Q57" s="2262"/>
      <c r="R57" s="676"/>
      <c r="S57" s="294"/>
      <c r="T57" s="2261"/>
      <c r="U57" s="2260"/>
      <c r="V57" s="2260"/>
      <c r="W57" s="2262"/>
      <c r="X57" s="2148"/>
      <c r="Y57" s="2151"/>
      <c r="Z57" s="2151"/>
      <c r="AA57" s="2151"/>
      <c r="AB57" s="2151"/>
      <c r="AC57" s="2151"/>
      <c r="AD57" s="2151"/>
      <c r="AE57" s="2151"/>
      <c r="AF57" s="2151"/>
      <c r="AG57" s="2152"/>
      <c r="AH57" s="1"/>
    </row>
    <row r="58" spans="1:40" ht="22.35" customHeight="1" x14ac:dyDescent="0.2">
      <c r="A58" s="753"/>
      <c r="B58" s="639"/>
      <c r="C58" s="442"/>
      <c r="D58" s="392"/>
      <c r="E58" s="393"/>
      <c r="F58" s="442"/>
      <c r="G58" s="392"/>
      <c r="H58" s="393"/>
      <c r="I58" s="442"/>
      <c r="J58" s="392"/>
      <c r="K58" s="393"/>
      <c r="L58" s="442"/>
      <c r="M58" s="392"/>
      <c r="N58" s="393"/>
      <c r="O58" s="442"/>
      <c r="P58" s="392"/>
      <c r="Q58" s="393"/>
      <c r="R58" s="442"/>
      <c r="S58" s="392"/>
      <c r="T58" s="393"/>
      <c r="U58" s="442"/>
      <c r="V58" s="392"/>
      <c r="W58" s="393"/>
      <c r="X58" s="2150"/>
      <c r="Y58" s="2151"/>
      <c r="Z58" s="2151"/>
      <c r="AA58" s="2151"/>
      <c r="AB58" s="2151"/>
      <c r="AC58" s="2151"/>
      <c r="AD58" s="2151"/>
      <c r="AE58" s="2151"/>
      <c r="AF58" s="2151"/>
      <c r="AG58" s="2152"/>
      <c r="AH58" s="1"/>
      <c r="AJ58" t="s">
        <v>125</v>
      </c>
    </row>
    <row r="59" spans="1:40" ht="22.35" customHeight="1" x14ac:dyDescent="0.2">
      <c r="A59" s="59"/>
      <c r="B59" s="102"/>
      <c r="C59" s="69"/>
      <c r="D59" s="69"/>
      <c r="E59" s="19"/>
      <c r="F59" s="69"/>
      <c r="G59" s="69"/>
      <c r="H59" s="19"/>
      <c r="I59" s="69"/>
      <c r="J59" s="69"/>
      <c r="K59" s="19"/>
      <c r="L59" s="69"/>
      <c r="M59" s="323"/>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2263"/>
      <c r="B60" s="2264" t="s">
        <v>29</v>
      </c>
      <c r="C60" s="2167">
        <v>1</v>
      </c>
      <c r="D60" s="2167">
        <v>2</v>
      </c>
      <c r="E60" s="2168">
        <v>3</v>
      </c>
      <c r="F60" s="2168">
        <v>4</v>
      </c>
      <c r="G60" s="2168">
        <v>5</v>
      </c>
      <c r="H60" s="2168">
        <v>6</v>
      </c>
      <c r="I60" s="2168">
        <v>7</v>
      </c>
      <c r="J60" s="2167">
        <v>8</v>
      </c>
      <c r="K60" s="2167">
        <v>9</v>
      </c>
      <c r="L60" s="2168">
        <v>10</v>
      </c>
      <c r="M60" s="2168">
        <v>11</v>
      </c>
      <c r="N60" s="2168">
        <v>12</v>
      </c>
      <c r="O60" s="2168">
        <v>13</v>
      </c>
      <c r="P60" s="2168">
        <v>14</v>
      </c>
      <c r="Q60" s="2167">
        <v>15</v>
      </c>
      <c r="R60" s="2167">
        <v>16</v>
      </c>
      <c r="S60" s="2168">
        <v>17</v>
      </c>
      <c r="T60" s="2168">
        <v>18</v>
      </c>
      <c r="U60" s="2168">
        <v>19</v>
      </c>
      <c r="V60" s="2168">
        <v>20</v>
      </c>
      <c r="W60" s="2168">
        <v>21</v>
      </c>
      <c r="X60" s="2167">
        <v>22</v>
      </c>
      <c r="Y60" s="2167">
        <v>23</v>
      </c>
      <c r="Z60" s="2168">
        <v>24</v>
      </c>
      <c r="AA60" s="2168">
        <v>25</v>
      </c>
      <c r="AB60" s="2168">
        <v>26</v>
      </c>
      <c r="AC60" s="2168">
        <v>27</v>
      </c>
      <c r="AD60" s="2168">
        <v>28</v>
      </c>
      <c r="AE60" s="2167">
        <v>29</v>
      </c>
      <c r="AF60" s="2167">
        <v>30</v>
      </c>
      <c r="AG60" s="2169">
        <v>31</v>
      </c>
      <c r="AH60" s="1"/>
      <c r="AJ60" s="2170" t="s">
        <v>30</v>
      </c>
      <c r="AK60" s="2170" t="s">
        <v>44</v>
      </c>
      <c r="AL60" s="2170" t="s">
        <v>45</v>
      </c>
      <c r="AM60" s="2170" t="s">
        <v>46</v>
      </c>
      <c r="AN60" s="2170" t="s">
        <v>47</v>
      </c>
    </row>
    <row r="61" spans="1:40" ht="22.35" customHeight="1" thickBot="1" x14ac:dyDescent="0.25">
      <c r="A61" s="2265"/>
      <c r="B61" s="2266" t="s">
        <v>126</v>
      </c>
      <c r="C61" s="2168" t="s">
        <v>0</v>
      </c>
      <c r="D61" s="908" t="s">
        <v>0</v>
      </c>
      <c r="E61" s="958" t="s">
        <v>128</v>
      </c>
      <c r="F61" s="958" t="s">
        <v>128</v>
      </c>
      <c r="G61" s="958" t="s">
        <v>128</v>
      </c>
      <c r="H61" s="958" t="s">
        <v>128</v>
      </c>
      <c r="I61" s="958" t="s">
        <v>128</v>
      </c>
      <c r="J61" s="958" t="s">
        <v>127</v>
      </c>
      <c r="K61" s="958" t="s">
        <v>127</v>
      </c>
      <c r="L61" s="958" t="s">
        <v>36</v>
      </c>
      <c r="M61" s="958" t="s">
        <v>36</v>
      </c>
      <c r="N61" s="958" t="s">
        <v>36</v>
      </c>
      <c r="O61" s="2211" t="s">
        <v>36</v>
      </c>
      <c r="P61" s="2211" t="s">
        <v>36</v>
      </c>
      <c r="Q61" s="2244" t="s">
        <v>0</v>
      </c>
      <c r="R61" s="2244" t="s">
        <v>0</v>
      </c>
      <c r="S61" s="851" t="s">
        <v>90</v>
      </c>
      <c r="T61" s="851" t="s">
        <v>90</v>
      </c>
      <c r="U61" s="2177">
        <v>5</v>
      </c>
      <c r="V61" s="854">
        <v>5</v>
      </c>
      <c r="W61" s="854">
        <v>5</v>
      </c>
      <c r="X61" s="2211"/>
      <c r="Y61" s="2267">
        <v>26</v>
      </c>
      <c r="Z61" s="2267">
        <v>26</v>
      </c>
      <c r="AA61" s="1112" t="s">
        <v>36</v>
      </c>
      <c r="AB61" s="2174" t="s">
        <v>36</v>
      </c>
      <c r="AC61" s="2174" t="s">
        <v>36</v>
      </c>
      <c r="AD61" s="2174" t="s">
        <v>36</v>
      </c>
      <c r="AE61" s="2211" t="s">
        <v>127</v>
      </c>
      <c r="AF61" s="2211" t="s">
        <v>127</v>
      </c>
      <c r="AG61" s="2268" t="s">
        <v>128</v>
      </c>
      <c r="AH61" s="1"/>
      <c r="AJ61" s="2077">
        <v>164</v>
      </c>
      <c r="AK61" s="2077">
        <v>11.25</v>
      </c>
      <c r="AL61" s="2077">
        <f t="shared" ref="AL61:AL72" si="3">IF(AJ61="","",SUM(AJ61:AK61))</f>
        <v>175.25</v>
      </c>
      <c r="AM61" s="2217">
        <f t="shared" ref="AM61:AM75" si="4">IF(AJ61="","",AL61-NormTid)</f>
        <v>14.919999999999987</v>
      </c>
      <c r="AN61" s="2217">
        <f>IF(AM61="","",AM61+'September 2022'!AN61)</f>
        <v>240.19999999999993</v>
      </c>
    </row>
    <row r="62" spans="1:40" ht="22.35" customHeight="1" thickBot="1" x14ac:dyDescent="0.25">
      <c r="A62" s="2172"/>
      <c r="B62" s="2172" t="s">
        <v>129</v>
      </c>
      <c r="C62" s="2168" t="s">
        <v>82</v>
      </c>
      <c r="D62" s="908" t="s">
        <v>83</v>
      </c>
      <c r="E62" s="2223" t="s">
        <v>32</v>
      </c>
      <c r="F62" s="2223" t="s">
        <v>32</v>
      </c>
      <c r="G62" s="2223" t="s">
        <v>32</v>
      </c>
      <c r="H62" s="2223" t="s">
        <v>32</v>
      </c>
      <c r="I62" s="2223" t="s">
        <v>32</v>
      </c>
      <c r="J62" s="920"/>
      <c r="K62" s="920"/>
      <c r="L62" s="2173" t="s">
        <v>257</v>
      </c>
      <c r="M62" s="2269" t="s">
        <v>86</v>
      </c>
      <c r="N62" s="851" t="s">
        <v>36</v>
      </c>
      <c r="O62" s="960">
        <v>1</v>
      </c>
      <c r="P62" s="2174" t="s">
        <v>32</v>
      </c>
      <c r="Q62" s="2223" t="s">
        <v>32</v>
      </c>
      <c r="R62" s="2223" t="s">
        <v>32</v>
      </c>
      <c r="S62" s="2270">
        <v>69</v>
      </c>
      <c r="T62" s="2214">
        <v>3</v>
      </c>
      <c r="U62" s="2271" t="s">
        <v>36</v>
      </c>
      <c r="V62" s="2267">
        <v>89</v>
      </c>
      <c r="W62" s="2267">
        <v>89</v>
      </c>
      <c r="X62" s="2223" t="s">
        <v>0</v>
      </c>
      <c r="Y62" s="2174" t="s">
        <v>0</v>
      </c>
      <c r="Z62" s="2222" t="s">
        <v>50</v>
      </c>
      <c r="AA62" s="2222" t="s">
        <v>50</v>
      </c>
      <c r="AB62" s="2222" t="s">
        <v>50</v>
      </c>
      <c r="AC62" s="2222" t="s">
        <v>50</v>
      </c>
      <c r="AD62" s="2222" t="s">
        <v>50</v>
      </c>
      <c r="AE62" s="2174"/>
      <c r="AF62" s="2174">
        <v>26</v>
      </c>
      <c r="AG62" s="968" t="s">
        <v>32</v>
      </c>
      <c r="AH62" s="1"/>
      <c r="AJ62" s="2077">
        <v>163.25</v>
      </c>
      <c r="AK62" s="2077">
        <v>5</v>
      </c>
      <c r="AL62" s="2077">
        <f t="shared" si="3"/>
        <v>168.25</v>
      </c>
      <c r="AM62" s="2217">
        <f t="shared" si="4"/>
        <v>7.9199999999999875</v>
      </c>
      <c r="AN62" s="2217">
        <f>IF(AM62="","",AM62+'September 2022'!AN62)</f>
        <v>38.699999999999925</v>
      </c>
    </row>
    <row r="63" spans="1:40" ht="22.35" customHeight="1" thickBot="1" x14ac:dyDescent="0.25">
      <c r="A63" s="2172"/>
      <c r="B63" s="2172" t="s">
        <v>130</v>
      </c>
      <c r="C63" s="1362" t="s">
        <v>376</v>
      </c>
      <c r="D63" s="2173" t="s">
        <v>0</v>
      </c>
      <c r="E63" s="2272" t="s">
        <v>398</v>
      </c>
      <c r="F63" s="2272" t="s">
        <v>420</v>
      </c>
      <c r="G63" s="2272" t="s">
        <v>400</v>
      </c>
      <c r="H63" s="2223" t="s">
        <v>36</v>
      </c>
      <c r="I63" s="2223" t="s">
        <v>36</v>
      </c>
      <c r="J63" s="2173" t="s">
        <v>405</v>
      </c>
      <c r="K63" s="2173" t="s">
        <v>405</v>
      </c>
      <c r="L63" s="2223" t="s">
        <v>32</v>
      </c>
      <c r="M63" s="2223" t="s">
        <v>32</v>
      </c>
      <c r="N63" s="2223" t="s">
        <v>32</v>
      </c>
      <c r="O63" s="2223" t="s">
        <v>32</v>
      </c>
      <c r="P63" s="2223" t="s">
        <v>32</v>
      </c>
      <c r="Q63" s="2173"/>
      <c r="R63" s="2173" t="s">
        <v>405</v>
      </c>
      <c r="S63" s="2223" t="s">
        <v>32</v>
      </c>
      <c r="T63" s="375" t="s">
        <v>32</v>
      </c>
      <c r="U63" s="2223" t="s">
        <v>32</v>
      </c>
      <c r="V63" s="2223" t="s">
        <v>32</v>
      </c>
      <c r="W63" s="2223" t="s">
        <v>32</v>
      </c>
      <c r="X63" s="2173"/>
      <c r="Y63" s="2173" t="s">
        <v>0</v>
      </c>
      <c r="Z63" s="2174" t="s">
        <v>400</v>
      </c>
      <c r="AA63" s="2174" t="s">
        <v>400</v>
      </c>
      <c r="AB63" s="2211" t="s">
        <v>36</v>
      </c>
      <c r="AC63" s="2174" t="s">
        <v>400</v>
      </c>
      <c r="AD63" s="2174" t="s">
        <v>400</v>
      </c>
      <c r="AE63" s="2174" t="s">
        <v>409</v>
      </c>
      <c r="AF63" s="2174" t="s">
        <v>409</v>
      </c>
      <c r="AG63" s="2174" t="s">
        <v>36</v>
      </c>
      <c r="AH63" s="1"/>
      <c r="AJ63" s="2077">
        <v>210</v>
      </c>
      <c r="AK63" s="2077">
        <v>9.75</v>
      </c>
      <c r="AL63" s="2077">
        <f t="shared" si="3"/>
        <v>219.75</v>
      </c>
      <c r="AM63" s="2217">
        <f t="shared" si="4"/>
        <v>59.419999999999987</v>
      </c>
      <c r="AN63" s="2217">
        <f>IF(AM63="","",AM63+'September 2022'!AN63)</f>
        <v>98.949999999999932</v>
      </c>
    </row>
    <row r="64" spans="1:40" ht="22.35" customHeight="1" thickBot="1" x14ac:dyDescent="0.25">
      <c r="A64" s="2172"/>
      <c r="B64" s="634" t="s">
        <v>132</v>
      </c>
      <c r="C64" s="2223" t="s">
        <v>32</v>
      </c>
      <c r="D64" s="2223" t="s">
        <v>32</v>
      </c>
      <c r="E64" s="960" t="s">
        <v>36</v>
      </c>
      <c r="F64" s="2077" t="s">
        <v>36</v>
      </c>
      <c r="G64" s="2174" t="s">
        <v>32</v>
      </c>
      <c r="H64" s="2174" t="s">
        <v>32</v>
      </c>
      <c r="I64" s="2174" t="s">
        <v>32</v>
      </c>
      <c r="J64" s="2173"/>
      <c r="K64" s="2173" t="s">
        <v>409</v>
      </c>
      <c r="L64" s="2174" t="s">
        <v>36</v>
      </c>
      <c r="M64" s="2174" t="s">
        <v>420</v>
      </c>
      <c r="N64" s="2174" t="s">
        <v>420</v>
      </c>
      <c r="O64" s="2174" t="s">
        <v>420</v>
      </c>
      <c r="P64" s="2174" t="s">
        <v>420</v>
      </c>
      <c r="Q64" s="2244" t="s">
        <v>0</v>
      </c>
      <c r="R64" s="2173" t="s">
        <v>409</v>
      </c>
      <c r="S64" s="2174" t="s">
        <v>36</v>
      </c>
      <c r="T64" s="2174" t="s">
        <v>398</v>
      </c>
      <c r="U64" s="2176" t="s">
        <v>32</v>
      </c>
      <c r="V64" s="2176" t="s">
        <v>32</v>
      </c>
      <c r="W64" s="2176" t="s">
        <v>32</v>
      </c>
      <c r="X64" s="2174"/>
      <c r="Y64" s="354" t="s">
        <v>409</v>
      </c>
      <c r="Z64" s="2174" t="s">
        <v>36</v>
      </c>
      <c r="AA64" s="2267">
        <v>26</v>
      </c>
      <c r="AB64" s="2267">
        <v>26</v>
      </c>
      <c r="AC64" s="2267">
        <v>26</v>
      </c>
      <c r="AD64" s="2267">
        <v>26</v>
      </c>
      <c r="AE64" s="2174"/>
      <c r="AF64" s="354" t="s">
        <v>0</v>
      </c>
      <c r="AG64" s="2174">
        <v>25</v>
      </c>
      <c r="AH64" s="1"/>
      <c r="AJ64" s="2077">
        <v>158.75</v>
      </c>
      <c r="AK64" s="2077">
        <v>8</v>
      </c>
      <c r="AL64" s="2077">
        <f t="shared" si="3"/>
        <v>166.75</v>
      </c>
      <c r="AM64" s="2217">
        <f t="shared" si="4"/>
        <v>6.4199999999999875</v>
      </c>
      <c r="AN64" s="2217">
        <f>IF(AM64="","",AM64+'September 2022'!AN64)</f>
        <v>-23.300000000000068</v>
      </c>
    </row>
    <row r="65" spans="1:40" ht="22.35" customHeight="1" x14ac:dyDescent="0.2">
      <c r="A65" s="933"/>
      <c r="B65" s="2172" t="s">
        <v>133</v>
      </c>
      <c r="C65" s="2173"/>
      <c r="D65" s="2173"/>
      <c r="E65" s="2220" t="s">
        <v>134</v>
      </c>
      <c r="F65" s="2220" t="s">
        <v>134</v>
      </c>
      <c r="G65" s="2220" t="s">
        <v>134</v>
      </c>
      <c r="H65" s="2220" t="s">
        <v>134</v>
      </c>
      <c r="I65" s="2220" t="s">
        <v>135</v>
      </c>
      <c r="J65" s="963"/>
      <c r="K65" s="963"/>
      <c r="L65" s="2076" t="s">
        <v>32</v>
      </c>
      <c r="M65" s="2076" t="s">
        <v>32</v>
      </c>
      <c r="N65" s="2076" t="s">
        <v>32</v>
      </c>
      <c r="O65" s="2076" t="s">
        <v>32</v>
      </c>
      <c r="P65" s="2076" t="s">
        <v>32</v>
      </c>
      <c r="Q65" s="2076"/>
      <c r="R65" s="2076"/>
      <c r="S65" s="2220" t="s">
        <v>134</v>
      </c>
      <c r="T65" s="2220" t="s">
        <v>134</v>
      </c>
      <c r="U65" s="2220" t="s">
        <v>134</v>
      </c>
      <c r="V65" s="2220" t="s">
        <v>134</v>
      </c>
      <c r="W65" s="2220" t="s">
        <v>134</v>
      </c>
      <c r="X65" s="1162"/>
      <c r="Y65" s="1162"/>
      <c r="Z65" s="1362" t="s">
        <v>134</v>
      </c>
      <c r="AA65" s="1362" t="s">
        <v>134</v>
      </c>
      <c r="AB65" s="1362" t="s">
        <v>134</v>
      </c>
      <c r="AC65" s="1362" t="s">
        <v>134</v>
      </c>
      <c r="AD65" s="1362" t="s">
        <v>134</v>
      </c>
      <c r="AE65" s="2173"/>
      <c r="AF65" s="2173"/>
      <c r="AG65" s="2220" t="s">
        <v>134</v>
      </c>
      <c r="AH65" s="1"/>
      <c r="AJ65" s="2077">
        <v>155.5</v>
      </c>
      <c r="AK65" s="2077">
        <v>0.5</v>
      </c>
      <c r="AL65" s="2077">
        <f t="shared" si="3"/>
        <v>156</v>
      </c>
      <c r="AM65" s="2217">
        <f t="shared" si="4"/>
        <v>-4.3300000000000125</v>
      </c>
      <c r="AN65" s="2217">
        <f>IF(AM65="","",AM65+'September 2022'!AN65)</f>
        <v>1.9499999999999247</v>
      </c>
    </row>
    <row r="66" spans="1:40" ht="22.35" customHeight="1" x14ac:dyDescent="0.2">
      <c r="A66" s="2172"/>
      <c r="B66" s="2172" t="s">
        <v>136</v>
      </c>
      <c r="C66" s="2173"/>
      <c r="D66" s="2173"/>
      <c r="E66" s="2173" t="s">
        <v>137</v>
      </c>
      <c r="F66" s="2173" t="s">
        <v>137</v>
      </c>
      <c r="G66" s="2173" t="s">
        <v>137</v>
      </c>
      <c r="H66" s="2173" t="s">
        <v>137</v>
      </c>
      <c r="I66" s="2173" t="s">
        <v>137</v>
      </c>
      <c r="J66" s="2174"/>
      <c r="K66" s="2174"/>
      <c r="L66" s="2173" t="s">
        <v>137</v>
      </c>
      <c r="M66" s="2173" t="s">
        <v>137</v>
      </c>
      <c r="N66" s="2173" t="s">
        <v>137</v>
      </c>
      <c r="O66" s="2173" t="s">
        <v>137</v>
      </c>
      <c r="P66" s="2173" t="s">
        <v>137</v>
      </c>
      <c r="Q66" s="2174"/>
      <c r="R66" s="2174"/>
      <c r="S66" s="2173" t="s">
        <v>137</v>
      </c>
      <c r="T66" s="2173" t="s">
        <v>137</v>
      </c>
      <c r="U66" s="2173" t="s">
        <v>137</v>
      </c>
      <c r="V66" s="2173" t="s">
        <v>137</v>
      </c>
      <c r="W66" s="2173" t="s">
        <v>137</v>
      </c>
      <c r="X66" s="2174"/>
      <c r="Y66" s="2174"/>
      <c r="Z66" s="2173" t="s">
        <v>137</v>
      </c>
      <c r="AA66" s="2173" t="s">
        <v>137</v>
      </c>
      <c r="AB66" s="2173" t="s">
        <v>137</v>
      </c>
      <c r="AC66" s="2173" t="s">
        <v>137</v>
      </c>
      <c r="AD66" s="2173" t="s">
        <v>137</v>
      </c>
      <c r="AE66" s="2174"/>
      <c r="AF66" s="2174"/>
      <c r="AG66" s="2173" t="s">
        <v>137</v>
      </c>
      <c r="AH66" s="1"/>
      <c r="AJ66" s="2077">
        <v>155.75</v>
      </c>
      <c r="AK66" s="2077">
        <v>0</v>
      </c>
      <c r="AL66" s="2077">
        <f t="shared" si="3"/>
        <v>155.75</v>
      </c>
      <c r="AM66" s="2217">
        <f t="shared" si="4"/>
        <v>-4.5800000000000125</v>
      </c>
      <c r="AN66" s="2217">
        <f>IF(AM66="","",AM66+'September 2022'!AN66)</f>
        <v>-4.8000000000001251</v>
      </c>
    </row>
    <row r="67" spans="1:40" ht="22.35" customHeight="1" thickBot="1" x14ac:dyDescent="0.25">
      <c r="A67" s="2172"/>
      <c r="B67" s="394" t="s">
        <v>138</v>
      </c>
      <c r="C67" s="2168" t="s">
        <v>0</v>
      </c>
      <c r="D67" s="908" t="s">
        <v>0</v>
      </c>
      <c r="E67" s="908">
        <v>6</v>
      </c>
      <c r="F67" s="908">
        <v>6</v>
      </c>
      <c r="G67" s="908">
        <v>6</v>
      </c>
      <c r="H67" s="908">
        <v>6</v>
      </c>
      <c r="I67" s="2223">
        <v>6</v>
      </c>
      <c r="J67" s="908"/>
      <c r="K67" s="2223"/>
      <c r="L67" s="908" t="s">
        <v>36</v>
      </c>
      <c r="M67" s="2223" t="s">
        <v>36</v>
      </c>
      <c r="N67" s="2223" t="s">
        <v>36</v>
      </c>
      <c r="O67" s="2223" t="s">
        <v>36</v>
      </c>
      <c r="P67" s="908" t="s">
        <v>36</v>
      </c>
      <c r="Q67" s="2168"/>
      <c r="R67" s="2168"/>
      <c r="S67" s="2177">
        <v>25</v>
      </c>
      <c r="T67" s="2177">
        <v>25</v>
      </c>
      <c r="U67" s="2177">
        <v>25</v>
      </c>
      <c r="V67" s="2177">
        <v>25</v>
      </c>
      <c r="W67" s="1089">
        <v>25</v>
      </c>
      <c r="X67" s="2273"/>
      <c r="Y67" s="937"/>
      <c r="Z67" s="908">
        <v>10</v>
      </c>
      <c r="AA67" s="908">
        <v>10</v>
      </c>
      <c r="AB67" s="930">
        <v>10</v>
      </c>
      <c r="AC67" s="930">
        <v>10</v>
      </c>
      <c r="AD67" s="930">
        <v>10</v>
      </c>
      <c r="AE67" s="908" t="s">
        <v>81</v>
      </c>
      <c r="AF67" s="908" t="s">
        <v>81</v>
      </c>
      <c r="AG67" s="645" t="s">
        <v>36</v>
      </c>
      <c r="AH67" s="1"/>
      <c r="AJ67" s="2077">
        <v>147.5</v>
      </c>
      <c r="AK67" s="2077">
        <v>10.25</v>
      </c>
      <c r="AL67" s="2077">
        <f t="shared" si="3"/>
        <v>157.75</v>
      </c>
      <c r="AM67" s="2217">
        <f t="shared" si="4"/>
        <v>-2.5800000000000125</v>
      </c>
      <c r="AN67" s="2217">
        <f>IF(AM67="","",AM67+'September 2022'!AN67)</f>
        <v>137.44999999999993</v>
      </c>
    </row>
    <row r="68" spans="1:40" ht="22.35" customHeight="1" thickBot="1" x14ac:dyDescent="0.25">
      <c r="A68" s="2172"/>
      <c r="B68" s="394" t="s">
        <v>140</v>
      </c>
      <c r="C68" s="961" t="s">
        <v>127</v>
      </c>
      <c r="D68" s="2173" t="s">
        <v>0</v>
      </c>
      <c r="E68" s="2174">
        <v>25</v>
      </c>
      <c r="F68" s="2174">
        <v>25</v>
      </c>
      <c r="G68" s="2174">
        <v>25</v>
      </c>
      <c r="H68" s="2174">
        <v>25</v>
      </c>
      <c r="I68" s="855">
        <v>25</v>
      </c>
      <c r="J68" s="908"/>
      <c r="K68" s="908"/>
      <c r="L68" s="960" t="s">
        <v>32</v>
      </c>
      <c r="M68" s="2174">
        <v>25</v>
      </c>
      <c r="N68" s="2174">
        <v>25</v>
      </c>
      <c r="O68" s="2174">
        <v>25</v>
      </c>
      <c r="P68" s="2222" t="s">
        <v>32</v>
      </c>
      <c r="Q68" s="2223" t="s">
        <v>127</v>
      </c>
      <c r="R68" t="s">
        <v>127</v>
      </c>
      <c r="S68" s="2211" t="s">
        <v>36</v>
      </c>
      <c r="T68" s="2211" t="s">
        <v>36</v>
      </c>
      <c r="U68" s="2211" t="s">
        <v>36</v>
      </c>
      <c r="V68" s="2211" t="s">
        <v>36</v>
      </c>
      <c r="W68" s="2211" t="s">
        <v>36</v>
      </c>
      <c r="X68" s="2174"/>
      <c r="Y68" s="2174"/>
      <c r="Z68" s="2076" t="s">
        <v>32</v>
      </c>
      <c r="AA68" s="2076" t="s">
        <v>32</v>
      </c>
      <c r="AB68" s="2076" t="s">
        <v>32</v>
      </c>
      <c r="AC68" s="2076" t="s">
        <v>32</v>
      </c>
      <c r="AD68" s="2076" t="s">
        <v>32</v>
      </c>
      <c r="AE68" s="2076"/>
      <c r="AF68" s="2076"/>
      <c r="AG68" s="968" t="s">
        <v>32</v>
      </c>
      <c r="AH68" s="1"/>
      <c r="AJ68" s="2077">
        <v>154.75</v>
      </c>
      <c r="AK68" s="2077">
        <v>7</v>
      </c>
      <c r="AL68" s="2077">
        <f t="shared" si="3"/>
        <v>161.75</v>
      </c>
      <c r="AM68" s="2217">
        <f t="shared" si="4"/>
        <v>1.4199999999999875</v>
      </c>
      <c r="AN68" s="2217">
        <f>IF(AM68="","",AM68+'September 2022'!AN68)</f>
        <v>39.949999999999925</v>
      </c>
    </row>
    <row r="69" spans="1:40" ht="22.35" customHeight="1" thickBot="1" x14ac:dyDescent="0.25">
      <c r="A69" s="2172"/>
      <c r="B69" s="634" t="s">
        <v>141</v>
      </c>
      <c r="C69" s="2174"/>
      <c r="D69" s="2174"/>
      <c r="E69" s="2174" t="s">
        <v>36</v>
      </c>
      <c r="F69" s="2174" t="s">
        <v>36</v>
      </c>
      <c r="G69" s="2174" t="s">
        <v>36</v>
      </c>
      <c r="H69" s="2174" t="s">
        <v>36</v>
      </c>
      <c r="I69" s="2174" t="s">
        <v>36</v>
      </c>
      <c r="J69" s="2174"/>
      <c r="K69" s="2174"/>
      <c r="L69" s="2244" t="s">
        <v>128</v>
      </c>
      <c r="M69" s="2244" t="s">
        <v>128</v>
      </c>
      <c r="N69" s="2274" t="s">
        <v>128</v>
      </c>
      <c r="O69" s="2244" t="s">
        <v>128</v>
      </c>
      <c r="P69" s="2244" t="s">
        <v>128</v>
      </c>
      <c r="Q69" s="2174"/>
      <c r="R69" s="2174"/>
      <c r="S69" s="2076" t="s">
        <v>32</v>
      </c>
      <c r="T69" s="2076" t="s">
        <v>32</v>
      </c>
      <c r="U69" s="2076" t="s">
        <v>32</v>
      </c>
      <c r="V69" s="2076" t="s">
        <v>32</v>
      </c>
      <c r="W69" s="2076" t="s">
        <v>32</v>
      </c>
      <c r="X69" s="2076"/>
      <c r="Y69" s="2076"/>
      <c r="Z69" s="908" t="s">
        <v>36</v>
      </c>
      <c r="AA69" s="920" t="s">
        <v>36</v>
      </c>
      <c r="AB69" s="920" t="s">
        <v>36</v>
      </c>
      <c r="AC69" s="908" t="s">
        <v>392</v>
      </c>
      <c r="AD69" s="908" t="s">
        <v>353</v>
      </c>
      <c r="AE69" s="2174"/>
      <c r="AF69" s="2173" t="s">
        <v>0</v>
      </c>
      <c r="AG69" s="2178">
        <v>5</v>
      </c>
      <c r="AH69" s="1"/>
      <c r="AJ69" s="2077">
        <v>112</v>
      </c>
      <c r="AK69" s="2077">
        <v>4.5</v>
      </c>
      <c r="AL69" s="2077">
        <f t="shared" si="3"/>
        <v>116.5</v>
      </c>
      <c r="AM69" s="2217">
        <f t="shared" si="4"/>
        <v>-43.830000000000013</v>
      </c>
      <c r="AN69" s="2217">
        <f>IF(AM69="","",AM69+'September 2022'!AN69)</f>
        <v>135.44999999999993</v>
      </c>
    </row>
    <row r="70" spans="1:40" ht="22.35" customHeight="1" thickBot="1" x14ac:dyDescent="0.25">
      <c r="A70" s="394"/>
      <c r="B70" s="634" t="s">
        <v>143</v>
      </c>
      <c r="C70" s="1112">
        <v>89</v>
      </c>
      <c r="D70" s="2222"/>
      <c r="E70" s="1234">
        <v>26</v>
      </c>
      <c r="F70" s="1234">
        <v>26</v>
      </c>
      <c r="G70" s="1234">
        <v>26</v>
      </c>
      <c r="H70" s="1234">
        <v>26</v>
      </c>
      <c r="I70" s="2174" t="s">
        <v>36</v>
      </c>
      <c r="J70" s="851"/>
      <c r="K70" s="2174"/>
      <c r="L70" s="2076" t="s">
        <v>32</v>
      </c>
      <c r="M70" s="2076" t="s">
        <v>32</v>
      </c>
      <c r="N70" s="2076" t="s">
        <v>32</v>
      </c>
      <c r="O70" s="2076" t="s">
        <v>32</v>
      </c>
      <c r="P70" s="2076" t="s">
        <v>32</v>
      </c>
      <c r="Q70" s="2076"/>
      <c r="R70" s="2076"/>
      <c r="S70" s="2177">
        <v>26</v>
      </c>
      <c r="T70" s="2177">
        <v>26</v>
      </c>
      <c r="U70" s="2177">
        <v>26</v>
      </c>
      <c r="V70" s="1089">
        <v>26</v>
      </c>
      <c r="W70" s="2177">
        <v>26</v>
      </c>
      <c r="X70" s="1899" t="s">
        <v>83</v>
      </c>
      <c r="Y70" s="1899" t="s">
        <v>83</v>
      </c>
      <c r="Z70" s="908" t="s">
        <v>36</v>
      </c>
      <c r="AA70" s="908" t="s">
        <v>36</v>
      </c>
      <c r="AB70" s="908" t="s">
        <v>36</v>
      </c>
      <c r="AC70" s="868" t="s">
        <v>58</v>
      </c>
      <c r="AD70" s="868" t="s">
        <v>58</v>
      </c>
      <c r="AE70" s="2174"/>
      <c r="AF70" s="2174"/>
      <c r="AG70" s="2178">
        <v>26</v>
      </c>
      <c r="AJ70" s="2077">
        <v>147.25</v>
      </c>
      <c r="AK70" s="2077">
        <v>7.25</v>
      </c>
      <c r="AL70" s="2077">
        <f t="shared" si="3"/>
        <v>154.5</v>
      </c>
      <c r="AM70" s="2217">
        <f t="shared" si="4"/>
        <v>-5.8300000000000125</v>
      </c>
      <c r="AN70" s="2217">
        <f>IF(AM70="","",AM70+'September 2022'!AN70)</f>
        <v>80.949999999999932</v>
      </c>
    </row>
    <row r="71" spans="1:40" ht="22.35" customHeight="1" x14ac:dyDescent="0.2">
      <c r="A71" s="634"/>
      <c r="B71" s="541" t="s">
        <v>144</v>
      </c>
      <c r="C71" s="2222"/>
      <c r="D71" s="2222"/>
      <c r="E71" s="2222" t="s">
        <v>177</v>
      </c>
      <c r="F71" s="2222" t="s">
        <v>177</v>
      </c>
      <c r="G71" s="2222" t="s">
        <v>177</v>
      </c>
      <c r="H71" s="2222" t="s">
        <v>177</v>
      </c>
      <c r="I71" s="2222" t="s">
        <v>177</v>
      </c>
      <c r="J71" s="2174"/>
      <c r="K71" s="2174"/>
      <c r="L71" s="2174" t="s">
        <v>420</v>
      </c>
      <c r="M71" s="2222" t="s">
        <v>177</v>
      </c>
      <c r="N71" s="2222" t="s">
        <v>177</v>
      </c>
      <c r="O71" s="2222" t="s">
        <v>177</v>
      </c>
      <c r="P71" s="2222" t="s">
        <v>177</v>
      </c>
      <c r="Q71" s="851"/>
      <c r="R71" s="851"/>
      <c r="S71" s="2174" t="s">
        <v>398</v>
      </c>
      <c r="T71" s="2222" t="s">
        <v>177</v>
      </c>
      <c r="U71" s="2174">
        <v>3</v>
      </c>
      <c r="V71" s="2222" t="s">
        <v>177</v>
      </c>
      <c r="W71" s="2222" t="s">
        <v>177</v>
      </c>
      <c r="X71" s="2174">
        <v>89</v>
      </c>
      <c r="Y71" s="1112"/>
      <c r="Z71" s="2222" t="s">
        <v>134</v>
      </c>
      <c r="AA71" s="2222" t="s">
        <v>177</v>
      </c>
      <c r="AB71" s="2222" t="s">
        <v>58</v>
      </c>
      <c r="AC71" s="2176" t="s">
        <v>32</v>
      </c>
      <c r="AD71" s="2176" t="s">
        <v>32</v>
      </c>
      <c r="AE71" s="2176"/>
      <c r="AF71" s="2176"/>
      <c r="AG71" s="2275" t="s">
        <v>32</v>
      </c>
      <c r="AJ71" s="2077">
        <v>159.75</v>
      </c>
      <c r="AK71" s="2077">
        <v>1.5</v>
      </c>
      <c r="AL71" s="2077">
        <f t="shared" si="3"/>
        <v>161.25</v>
      </c>
      <c r="AM71" s="2217">
        <f t="shared" si="4"/>
        <v>0.91999999999998749</v>
      </c>
      <c r="AN71" s="2217">
        <f>IF(AM71="","",AM71+'September 2022'!AN71)</f>
        <v>16.859999999999928</v>
      </c>
    </row>
    <row r="72" spans="1:40" ht="22.35" customHeight="1" x14ac:dyDescent="0.2">
      <c r="A72" s="289"/>
      <c r="B72" s="634" t="s">
        <v>354</v>
      </c>
      <c r="C72" s="851"/>
      <c r="D72" s="851"/>
      <c r="E72" s="851" t="s">
        <v>393</v>
      </c>
      <c r="F72" s="851" t="s">
        <v>393</v>
      </c>
      <c r="G72" s="851" t="s">
        <v>393</v>
      </c>
      <c r="H72" s="648" t="s">
        <v>393</v>
      </c>
      <c r="I72" s="648" t="s">
        <v>393</v>
      </c>
      <c r="J72" s="2174"/>
      <c r="K72" s="2174">
        <v>26</v>
      </c>
      <c r="L72" s="2173" t="s">
        <v>134</v>
      </c>
      <c r="M72" s="2173" t="s">
        <v>134</v>
      </c>
      <c r="N72" s="2173" t="s">
        <v>134</v>
      </c>
      <c r="O72" s="2173" t="s">
        <v>134</v>
      </c>
      <c r="P72" s="2173" t="s">
        <v>134</v>
      </c>
      <c r="Q72" s="851"/>
      <c r="R72" s="851"/>
      <c r="S72" s="851">
        <v>23</v>
      </c>
      <c r="T72" s="851">
        <v>23</v>
      </c>
      <c r="U72" s="851">
        <v>23</v>
      </c>
      <c r="V72" s="851">
        <v>23</v>
      </c>
      <c r="W72" s="851">
        <v>23</v>
      </c>
      <c r="X72" s="851">
        <v>23</v>
      </c>
      <c r="Y72" s="2222"/>
      <c r="Z72" s="2220">
        <v>25</v>
      </c>
      <c r="AA72" s="2220">
        <v>25</v>
      </c>
      <c r="AB72" s="2220">
        <v>25</v>
      </c>
      <c r="AC72" s="2220" t="s">
        <v>146</v>
      </c>
      <c r="AD72" s="2222">
        <v>25</v>
      </c>
      <c r="AE72" s="2174"/>
      <c r="AF72" s="2174"/>
      <c r="AG72" s="2178" t="s">
        <v>264</v>
      </c>
      <c r="AH72" s="1"/>
      <c r="AJ72" s="2077">
        <v>188.75</v>
      </c>
      <c r="AK72" s="2077">
        <v>11</v>
      </c>
      <c r="AL72" s="2077">
        <f t="shared" si="3"/>
        <v>199.75</v>
      </c>
      <c r="AM72" s="2217">
        <f t="shared" si="4"/>
        <v>39.419999999999987</v>
      </c>
      <c r="AN72" s="2217">
        <f>IF(AM72="","",AM72+'September 2022'!AN72)</f>
        <v>120.09999999999994</v>
      </c>
    </row>
    <row r="73" spans="1:40" ht="22.35" customHeight="1" x14ac:dyDescent="0.2">
      <c r="A73" s="634"/>
      <c r="C73" s="2173"/>
      <c r="D73" s="2173"/>
      <c r="E73" s="851" t="s">
        <v>32</v>
      </c>
      <c r="F73" s="851" t="s">
        <v>32</v>
      </c>
      <c r="G73" s="851" t="s">
        <v>32</v>
      </c>
      <c r="H73" s="2174" t="s">
        <v>32</v>
      </c>
      <c r="I73" s="2174" t="s">
        <v>32</v>
      </c>
      <c r="J73" s="2174"/>
      <c r="K73" s="2174"/>
      <c r="L73" s="2174" t="s">
        <v>32</v>
      </c>
      <c r="M73" s="2174" t="s">
        <v>32</v>
      </c>
      <c r="N73" s="2174" t="s">
        <v>32</v>
      </c>
      <c r="O73" s="851" t="s">
        <v>32</v>
      </c>
      <c r="P73" s="851" t="s">
        <v>32</v>
      </c>
      <c r="Q73" s="851"/>
      <c r="R73" s="851"/>
      <c r="S73" s="851" t="s">
        <v>32</v>
      </c>
      <c r="T73" s="2173" t="s">
        <v>32</v>
      </c>
      <c r="U73" s="2174" t="s">
        <v>32</v>
      </c>
      <c r="V73" s="2174" t="s">
        <v>32</v>
      </c>
      <c r="W73" s="2174" t="s">
        <v>32</v>
      </c>
      <c r="X73" s="2174"/>
      <c r="Y73" s="2222"/>
      <c r="Z73" s="2222" t="s">
        <v>32</v>
      </c>
      <c r="AA73" s="2174" t="s">
        <v>32</v>
      </c>
      <c r="AB73" s="2174" t="s">
        <v>32</v>
      </c>
      <c r="AC73" s="2174" t="s">
        <v>32</v>
      </c>
      <c r="AD73" s="2174" t="s">
        <v>32</v>
      </c>
      <c r="AE73" s="2174"/>
      <c r="AF73" s="2174"/>
      <c r="AG73" s="2178"/>
      <c r="AH73" s="1"/>
      <c r="AJ73" s="2077">
        <f t="shared" ref="AJ73:AJ89" si="5">$AJ$12</f>
        <v>160.33000000000001</v>
      </c>
      <c r="AK73" s="2077"/>
      <c r="AL73" s="2077">
        <f t="shared" ref="AL73:AL75" si="6">IF(AJ73="","",SUM(AJ73:AK73))</f>
        <v>160.33000000000001</v>
      </c>
      <c r="AM73" s="2217">
        <f t="shared" si="4"/>
        <v>0</v>
      </c>
      <c r="AN73" s="2217">
        <f>IF(AM73="","",AM73+'September 2022'!AN73)</f>
        <v>0</v>
      </c>
    </row>
    <row r="74" spans="1:40" ht="22.35" customHeight="1" x14ac:dyDescent="0.2">
      <c r="A74" s="634"/>
      <c r="B74" s="634"/>
      <c r="C74" s="2173"/>
      <c r="D74" s="2173"/>
      <c r="E74" s="851" t="s">
        <v>32</v>
      </c>
      <c r="F74" s="851" t="s">
        <v>32</v>
      </c>
      <c r="G74" s="851" t="s">
        <v>32</v>
      </c>
      <c r="H74" s="2174" t="s">
        <v>32</v>
      </c>
      <c r="I74" s="2174" t="s">
        <v>32</v>
      </c>
      <c r="J74" s="2174"/>
      <c r="K74" s="2174"/>
      <c r="L74" s="2174" t="s">
        <v>32</v>
      </c>
      <c r="M74" s="2174" t="s">
        <v>32</v>
      </c>
      <c r="N74" s="2174" t="s">
        <v>32</v>
      </c>
      <c r="O74" s="851" t="s">
        <v>32</v>
      </c>
      <c r="P74" s="851" t="s">
        <v>32</v>
      </c>
      <c r="Q74" s="851"/>
      <c r="R74" s="851"/>
      <c r="S74" s="851" t="s">
        <v>32</v>
      </c>
      <c r="T74" s="2173" t="s">
        <v>32</v>
      </c>
      <c r="U74" s="2174" t="s">
        <v>32</v>
      </c>
      <c r="V74" s="2174" t="s">
        <v>32</v>
      </c>
      <c r="W74" s="2174" t="s">
        <v>32</v>
      </c>
      <c r="X74" s="2174"/>
      <c r="Y74" s="2222"/>
      <c r="Z74" s="2222" t="s">
        <v>32</v>
      </c>
      <c r="AA74" s="2174" t="s">
        <v>32</v>
      </c>
      <c r="AB74" s="2174" t="s">
        <v>32</v>
      </c>
      <c r="AC74" s="2174" t="s">
        <v>32</v>
      </c>
      <c r="AD74" s="2174" t="s">
        <v>32</v>
      </c>
      <c r="AE74" s="2174"/>
      <c r="AF74" s="2174"/>
      <c r="AG74" s="2178"/>
      <c r="AH74" s="1"/>
      <c r="AJ74" s="2077">
        <f t="shared" si="5"/>
        <v>160.33000000000001</v>
      </c>
      <c r="AK74" s="2077"/>
      <c r="AL74" s="2077">
        <f t="shared" si="6"/>
        <v>160.33000000000001</v>
      </c>
      <c r="AM74" s="2217">
        <f t="shared" si="4"/>
        <v>0</v>
      </c>
      <c r="AN74" s="2217">
        <f>IF(AM74="","",AM74+'September 2022'!AN74)</f>
        <v>0</v>
      </c>
    </row>
    <row r="75" spans="1:40" ht="22.35" customHeight="1" x14ac:dyDescent="0.2">
      <c r="A75" s="634"/>
      <c r="C75" s="2173"/>
      <c r="D75" s="2173"/>
      <c r="E75" s="851" t="s">
        <v>32</v>
      </c>
      <c r="F75" s="851" t="s">
        <v>32</v>
      </c>
      <c r="G75" s="851" t="s">
        <v>32</v>
      </c>
      <c r="H75" s="2174" t="s">
        <v>32</v>
      </c>
      <c r="I75" s="2174" t="s">
        <v>32</v>
      </c>
      <c r="J75" s="2174"/>
      <c r="K75" s="2174"/>
      <c r="L75" s="2174" t="s">
        <v>32</v>
      </c>
      <c r="M75" s="2174" t="s">
        <v>32</v>
      </c>
      <c r="N75" s="2174" t="s">
        <v>32</v>
      </c>
      <c r="O75" s="851" t="s">
        <v>32</v>
      </c>
      <c r="P75" s="851" t="s">
        <v>32</v>
      </c>
      <c r="Q75" s="851"/>
      <c r="R75" s="851"/>
      <c r="S75" s="851" t="s">
        <v>32</v>
      </c>
      <c r="T75" s="2173" t="s">
        <v>32</v>
      </c>
      <c r="U75" s="2174" t="s">
        <v>32</v>
      </c>
      <c r="V75" s="2174" t="s">
        <v>32</v>
      </c>
      <c r="W75" s="2174" t="s">
        <v>32</v>
      </c>
      <c r="X75" s="2174"/>
      <c r="Y75" s="2222"/>
      <c r="Z75" s="2222" t="s">
        <v>32</v>
      </c>
      <c r="AA75" s="2174" t="s">
        <v>32</v>
      </c>
      <c r="AB75" s="2174" t="s">
        <v>32</v>
      </c>
      <c r="AC75" s="2174" t="s">
        <v>32</v>
      </c>
      <c r="AD75" s="2174" t="s">
        <v>32</v>
      </c>
      <c r="AE75" s="2174"/>
      <c r="AF75" s="2174"/>
      <c r="AG75" s="2178"/>
      <c r="AH75" s="1"/>
      <c r="AJ75" s="2077">
        <f t="shared" si="5"/>
        <v>160.33000000000001</v>
      </c>
      <c r="AK75" s="2077"/>
      <c r="AL75" s="2077">
        <f t="shared" si="6"/>
        <v>160.33000000000001</v>
      </c>
      <c r="AM75" s="2217">
        <f t="shared" si="4"/>
        <v>0</v>
      </c>
      <c r="AN75" s="2217">
        <f>IF(AM75="","",AM75+'September 2022'!AN75)</f>
        <v>0</v>
      </c>
    </row>
    <row r="76" spans="1:40" ht="22.35" customHeight="1" x14ac:dyDescent="0.2">
      <c r="A76" s="634"/>
      <c r="B76" s="634"/>
      <c r="C76" s="2174"/>
      <c r="D76" s="2225"/>
      <c r="E76" s="2225"/>
      <c r="F76" s="2225"/>
      <c r="G76" s="2225"/>
      <c r="H76" s="2225"/>
      <c r="I76" s="2174"/>
      <c r="J76" s="2174"/>
      <c r="K76" s="2225"/>
      <c r="L76" s="2225"/>
      <c r="M76" s="2225"/>
      <c r="N76" s="2225"/>
      <c r="O76" s="2225"/>
      <c r="P76" s="2174"/>
      <c r="Q76" s="2174"/>
      <c r="R76" s="2174"/>
      <c r="S76" s="2173"/>
      <c r="T76" s="2173"/>
      <c r="U76" s="2173"/>
      <c r="V76" s="2174"/>
      <c r="W76" s="2174"/>
      <c r="X76" s="2174"/>
      <c r="Y76" s="2174"/>
      <c r="Z76" s="2174"/>
      <c r="AA76" s="2174"/>
      <c r="AB76" s="2174"/>
      <c r="AC76" s="2174"/>
      <c r="AD76" s="2174"/>
      <c r="AE76" s="2174"/>
      <c r="AF76" s="2174"/>
      <c r="AG76" s="2178"/>
      <c r="AH76" s="1"/>
      <c r="AJ76" s="2077">
        <f t="shared" si="5"/>
        <v>160.33000000000001</v>
      </c>
      <c r="AK76" s="2077"/>
      <c r="AL76" s="2077">
        <f t="shared" ref="AL76:AL89" si="7">IF(AJ76="","",SUM(AJ76:AK76))</f>
        <v>160.33000000000001</v>
      </c>
      <c r="AM76" s="2217">
        <f t="shared" ref="AM76:AM89" si="8">IF(AJ76="","",AL76-NormTid)</f>
        <v>0</v>
      </c>
      <c r="AN76" s="2217">
        <f>IF(AM76="","",AM76+'September 2022'!AN76)</f>
        <v>0</v>
      </c>
    </row>
    <row r="77" spans="1:40" ht="22.35" customHeight="1" x14ac:dyDescent="0.2">
      <c r="A77" s="2276"/>
      <c r="B77" s="933" t="s">
        <v>0</v>
      </c>
      <c r="C77" s="2222"/>
      <c r="D77" s="2222"/>
      <c r="E77" s="2174" t="s">
        <v>32</v>
      </c>
      <c r="F77" s="2174" t="s">
        <v>32</v>
      </c>
      <c r="G77" s="2174" t="s">
        <v>32</v>
      </c>
      <c r="H77" s="2174" t="s">
        <v>32</v>
      </c>
      <c r="I77" s="2174" t="s">
        <v>32</v>
      </c>
      <c r="J77" s="2174"/>
      <c r="K77" s="2174"/>
      <c r="L77" s="2174" t="s">
        <v>32</v>
      </c>
      <c r="M77" s="2174" t="s">
        <v>32</v>
      </c>
      <c r="N77" s="2174" t="s">
        <v>32</v>
      </c>
      <c r="O77" s="851" t="s">
        <v>32</v>
      </c>
      <c r="P77" s="851" t="s">
        <v>32</v>
      </c>
      <c r="Q77" s="851"/>
      <c r="R77" s="851"/>
      <c r="S77" s="851" t="s">
        <v>32</v>
      </c>
      <c r="T77" s="2174" t="s">
        <v>32</v>
      </c>
      <c r="U77" s="2174" t="s">
        <v>32</v>
      </c>
      <c r="V77" s="2174" t="s">
        <v>32</v>
      </c>
      <c r="W77" s="2174" t="s">
        <v>32</v>
      </c>
      <c r="X77" s="2174"/>
      <c r="Y77" s="2174"/>
      <c r="Z77" s="2174" t="s">
        <v>32</v>
      </c>
      <c r="AA77" s="2174" t="s">
        <v>32</v>
      </c>
      <c r="AB77" s="2174" t="s">
        <v>32</v>
      </c>
      <c r="AC77" s="2174" t="s">
        <v>32</v>
      </c>
      <c r="AD77" s="2174" t="s">
        <v>32</v>
      </c>
      <c r="AE77" s="2174"/>
      <c r="AF77" s="2174"/>
      <c r="AG77" s="856" t="s">
        <v>32</v>
      </c>
      <c r="AH77" s="1"/>
      <c r="AJ77" s="2077">
        <f t="shared" si="5"/>
        <v>160.33000000000001</v>
      </c>
      <c r="AK77" s="2077"/>
      <c r="AL77" s="2077">
        <f t="shared" si="7"/>
        <v>160.33000000000001</v>
      </c>
      <c r="AM77" s="2217">
        <f t="shared" si="8"/>
        <v>0</v>
      </c>
      <c r="AN77" s="2217">
        <f>IF(AM77="","",AM77+'September 2022'!AN77)</f>
        <v>0</v>
      </c>
    </row>
    <row r="78" spans="1:40" ht="22.35" customHeight="1" x14ac:dyDescent="0.2">
      <c r="A78" s="2276"/>
      <c r="B78" s="2172" t="s">
        <v>0</v>
      </c>
      <c r="C78" s="2174"/>
      <c r="D78" s="2174"/>
      <c r="E78" s="851" t="s">
        <v>32</v>
      </c>
      <c r="F78" s="851" t="s">
        <v>32</v>
      </c>
      <c r="G78" s="851" t="s">
        <v>32</v>
      </c>
      <c r="H78" s="2174" t="s">
        <v>32</v>
      </c>
      <c r="I78" s="2174" t="s">
        <v>32</v>
      </c>
      <c r="J78" s="2174"/>
      <c r="K78" s="2174"/>
      <c r="L78" s="2174" t="s">
        <v>32</v>
      </c>
      <c r="M78" s="2174" t="s">
        <v>32</v>
      </c>
      <c r="N78" s="2174" t="s">
        <v>32</v>
      </c>
      <c r="O78" s="851" t="s">
        <v>32</v>
      </c>
      <c r="P78" s="851" t="s">
        <v>32</v>
      </c>
      <c r="Q78" s="851"/>
      <c r="R78" s="851"/>
      <c r="S78" s="851" t="s">
        <v>32</v>
      </c>
      <c r="T78" s="2173" t="s">
        <v>32</v>
      </c>
      <c r="U78" s="2174" t="s">
        <v>32</v>
      </c>
      <c r="V78" s="2174" t="s">
        <v>32</v>
      </c>
      <c r="W78" s="2174" t="s">
        <v>32</v>
      </c>
      <c r="X78" s="2174"/>
      <c r="Y78" s="2222"/>
      <c r="Z78" s="2222" t="s">
        <v>32</v>
      </c>
      <c r="AA78" s="2174" t="s">
        <v>0</v>
      </c>
      <c r="AB78" s="2174" t="s">
        <v>32</v>
      </c>
      <c r="AC78" s="2174" t="s">
        <v>32</v>
      </c>
      <c r="AD78" s="2174" t="s">
        <v>32</v>
      </c>
      <c r="AE78" s="2174"/>
      <c r="AF78" s="2174"/>
      <c r="AG78" s="856" t="s">
        <v>32</v>
      </c>
      <c r="AH78" s="1"/>
      <c r="AJ78" s="2077">
        <f t="shared" si="5"/>
        <v>160.33000000000001</v>
      </c>
      <c r="AK78" s="2077"/>
      <c r="AL78" s="2077">
        <f t="shared" si="7"/>
        <v>160.33000000000001</v>
      </c>
      <c r="AM78" s="2217">
        <f t="shared" si="8"/>
        <v>0</v>
      </c>
      <c r="AN78" s="2217">
        <f>IF(AM78="","",AM78+'September 2022'!AN78)</f>
        <v>0</v>
      </c>
    </row>
    <row r="79" spans="1:40" ht="22.35" customHeight="1" thickBot="1" x14ac:dyDescent="0.25">
      <c r="A79" s="2276"/>
      <c r="B79" s="1932"/>
      <c r="C79" s="851"/>
      <c r="D79" s="2177"/>
      <c r="E79" s="851"/>
      <c r="F79" s="2174"/>
      <c r="G79" s="2174"/>
      <c r="H79" s="2174"/>
      <c r="I79" s="2174"/>
      <c r="J79" s="2174"/>
      <c r="K79" s="2174"/>
      <c r="L79" s="2174"/>
      <c r="M79" s="2174"/>
      <c r="N79" s="2174"/>
      <c r="O79" s="2174"/>
      <c r="P79" s="2174"/>
      <c r="Q79" s="2174"/>
      <c r="R79" s="2174"/>
      <c r="S79" s="2174"/>
      <c r="T79" s="851"/>
      <c r="U79" s="851"/>
      <c r="V79" s="2225"/>
      <c r="W79" s="851"/>
      <c r="X79" s="851"/>
      <c r="Y79" s="2174"/>
      <c r="Z79" s="851"/>
      <c r="AA79" s="851"/>
      <c r="AB79" s="851"/>
      <c r="AC79" s="851"/>
      <c r="AD79" s="851"/>
      <c r="AE79" s="2177"/>
      <c r="AF79" s="851"/>
      <c r="AG79" s="978"/>
      <c r="AH79" s="1"/>
      <c r="AJ79" s="2077">
        <f t="shared" si="5"/>
        <v>160.33000000000001</v>
      </c>
      <c r="AK79" s="2077"/>
      <c r="AL79" s="2077">
        <f t="shared" si="7"/>
        <v>160.33000000000001</v>
      </c>
      <c r="AM79" s="2217">
        <f t="shared" si="8"/>
        <v>0</v>
      </c>
      <c r="AN79" s="2217">
        <f>IF(AM79="","",AM79+'September 2022'!AN79)</f>
        <v>0</v>
      </c>
    </row>
    <row r="80" spans="1:40" ht="22.35" customHeight="1" thickBot="1" x14ac:dyDescent="0.25">
      <c r="A80" s="2277"/>
      <c r="B80" s="1371" t="s">
        <v>147</v>
      </c>
      <c r="C80" s="2278">
        <v>1</v>
      </c>
      <c r="D80" s="2278">
        <v>2</v>
      </c>
      <c r="E80" s="462">
        <v>3</v>
      </c>
      <c r="F80" s="462">
        <v>4</v>
      </c>
      <c r="G80" s="462">
        <v>5</v>
      </c>
      <c r="H80" s="462">
        <v>6</v>
      </c>
      <c r="I80" s="462">
        <v>7</v>
      </c>
      <c r="J80" s="2278">
        <v>8</v>
      </c>
      <c r="K80" s="2278">
        <v>9</v>
      </c>
      <c r="L80" s="462">
        <v>10</v>
      </c>
      <c r="M80" s="462">
        <v>11</v>
      </c>
      <c r="N80" s="462">
        <v>12</v>
      </c>
      <c r="O80" s="462">
        <v>13</v>
      </c>
      <c r="P80" s="462">
        <v>14</v>
      </c>
      <c r="Q80" s="2278">
        <v>15</v>
      </c>
      <c r="R80" s="2278">
        <v>16</v>
      </c>
      <c r="S80" s="462">
        <v>17</v>
      </c>
      <c r="T80" s="462">
        <v>18</v>
      </c>
      <c r="U80" s="462">
        <v>19</v>
      </c>
      <c r="V80" s="462">
        <v>20</v>
      </c>
      <c r="W80" s="462">
        <v>21</v>
      </c>
      <c r="X80" s="2278">
        <v>22</v>
      </c>
      <c r="Y80" s="2278">
        <v>23</v>
      </c>
      <c r="Z80" s="462">
        <v>24</v>
      </c>
      <c r="AA80" s="462">
        <v>25</v>
      </c>
      <c r="AB80" s="462">
        <v>26</v>
      </c>
      <c r="AC80" s="462">
        <v>27</v>
      </c>
      <c r="AD80" s="462">
        <v>28</v>
      </c>
      <c r="AE80" s="2278">
        <v>29</v>
      </c>
      <c r="AF80" s="2278">
        <v>30</v>
      </c>
      <c r="AG80" s="2279">
        <v>31</v>
      </c>
      <c r="AH80" s="1"/>
      <c r="AJ80" s="2077">
        <f t="shared" si="5"/>
        <v>160.33000000000001</v>
      </c>
      <c r="AK80" s="2077"/>
      <c r="AL80" s="2077">
        <f t="shared" si="7"/>
        <v>160.33000000000001</v>
      </c>
      <c r="AM80" s="2217">
        <f t="shared" si="8"/>
        <v>0</v>
      </c>
      <c r="AN80" s="2217">
        <f>IF(AM80="","",AM80+'September 2022'!AN80)</f>
        <v>0</v>
      </c>
    </row>
    <row r="81" spans="1:40" ht="22.35" customHeight="1" x14ac:dyDescent="0.2">
      <c r="A81" s="2280"/>
      <c r="B81" s="1686" t="s">
        <v>357</v>
      </c>
      <c r="C81" s="2281"/>
      <c r="D81" s="2281"/>
      <c r="E81" s="2281">
        <v>4</v>
      </c>
      <c r="F81" s="2281">
        <v>4</v>
      </c>
      <c r="G81" s="2281">
        <v>4</v>
      </c>
      <c r="H81" s="2281">
        <v>4</v>
      </c>
      <c r="I81" s="2281">
        <v>4</v>
      </c>
      <c r="J81" s="2281"/>
      <c r="K81" s="2281"/>
      <c r="L81" s="709" t="s">
        <v>32</v>
      </c>
      <c r="M81" s="709" t="s">
        <v>32</v>
      </c>
      <c r="N81" s="709">
        <v>1</v>
      </c>
      <c r="O81" s="648" t="s">
        <v>36</v>
      </c>
      <c r="P81" s="648" t="s">
        <v>32</v>
      </c>
      <c r="Q81" s="2281"/>
      <c r="R81" s="2281"/>
      <c r="S81" s="2267">
        <v>89</v>
      </c>
      <c r="T81" s="2267">
        <v>89</v>
      </c>
      <c r="U81" s="2282">
        <v>89</v>
      </c>
      <c r="V81" s="2187">
        <v>9</v>
      </c>
      <c r="W81" s="2283">
        <v>9</v>
      </c>
      <c r="X81" s="2283" t="s">
        <v>80</v>
      </c>
      <c r="Y81" s="2283" t="s">
        <v>348</v>
      </c>
      <c r="Z81" s="2284" t="s">
        <v>36</v>
      </c>
      <c r="AA81" s="2284" t="s">
        <v>36</v>
      </c>
      <c r="AB81" s="2284" t="s">
        <v>36</v>
      </c>
      <c r="AC81" s="2284" t="s">
        <v>36</v>
      </c>
      <c r="AD81" s="2284" t="s">
        <v>36</v>
      </c>
      <c r="AE81" s="2281"/>
      <c r="AF81" s="2281"/>
      <c r="AG81" s="712">
        <v>4</v>
      </c>
      <c r="AH81" s="1"/>
      <c r="AJ81" s="2077">
        <f t="shared" si="5"/>
        <v>160.33000000000001</v>
      </c>
      <c r="AK81" s="2077"/>
      <c r="AL81" s="2077">
        <f t="shared" si="7"/>
        <v>160.33000000000001</v>
      </c>
      <c r="AM81" s="2217">
        <f t="shared" si="8"/>
        <v>0</v>
      </c>
      <c r="AN81" s="2217">
        <f>IF(AM81="","",AM81+'September 2022'!AN81)</f>
        <v>0</v>
      </c>
    </row>
    <row r="82" spans="1:40" ht="22.35" customHeight="1" thickBot="1" x14ac:dyDescent="0.25">
      <c r="A82" s="977"/>
      <c r="B82" s="2172" t="s">
        <v>380</v>
      </c>
      <c r="C82" s="2077"/>
      <c r="D82" s="2077"/>
      <c r="E82" s="1234">
        <v>8</v>
      </c>
      <c r="F82" s="1234">
        <v>8</v>
      </c>
      <c r="G82" s="1234">
        <v>8</v>
      </c>
      <c r="H82" s="1234">
        <v>8</v>
      </c>
      <c r="I82" s="1234">
        <v>8</v>
      </c>
      <c r="J82" s="2077"/>
      <c r="K82" s="2077"/>
      <c r="L82" s="1234" t="s">
        <v>243</v>
      </c>
      <c r="M82" s="1234" t="s">
        <v>243</v>
      </c>
      <c r="N82" s="1234" t="s">
        <v>176</v>
      </c>
      <c r="O82" s="2174" t="s">
        <v>32</v>
      </c>
      <c r="P82" s="2174">
        <v>26</v>
      </c>
      <c r="Q82" s="2077"/>
      <c r="R82" s="2077"/>
      <c r="S82" s="2077" t="s">
        <v>243</v>
      </c>
      <c r="T82" s="2220" t="s">
        <v>243</v>
      </c>
      <c r="U82" s="2220" t="s">
        <v>243</v>
      </c>
      <c r="V82" s="2220" t="s">
        <v>243</v>
      </c>
      <c r="W82" s="2220" t="s">
        <v>391</v>
      </c>
      <c r="X82" s="2077" t="s">
        <v>0</v>
      </c>
      <c r="Y82" s="2077"/>
      <c r="Z82" s="2174">
        <v>8</v>
      </c>
      <c r="AA82" s="2174">
        <v>8</v>
      </c>
      <c r="AB82" s="2174">
        <v>8</v>
      </c>
      <c r="AC82" s="960" t="s">
        <v>177</v>
      </c>
      <c r="AD82" s="2174">
        <v>8</v>
      </c>
      <c r="AE82" s="2077"/>
      <c r="AF82" s="2077" t="s">
        <v>81</v>
      </c>
      <c r="AG82" s="1312" t="s">
        <v>36</v>
      </c>
      <c r="AH82" s="1"/>
      <c r="AJ82" s="2077">
        <f t="shared" si="5"/>
        <v>160.33000000000001</v>
      </c>
      <c r="AK82" s="2077"/>
      <c r="AL82" s="2077">
        <f t="shared" si="7"/>
        <v>160.33000000000001</v>
      </c>
      <c r="AM82" s="2217">
        <f t="shared" si="8"/>
        <v>0</v>
      </c>
      <c r="AN82" s="2217">
        <f>IF(AM82="","",AM82+'September 2022'!AN82)</f>
        <v>0</v>
      </c>
    </row>
    <row r="83" spans="1:40" ht="22.35" customHeight="1" x14ac:dyDescent="0.2">
      <c r="A83" s="977"/>
      <c r="B83" s="2172" t="s">
        <v>359</v>
      </c>
      <c r="C83" s="2285"/>
      <c r="D83" s="2285"/>
      <c r="E83" s="2285">
        <v>3</v>
      </c>
      <c r="F83" s="2285">
        <v>3</v>
      </c>
      <c r="G83" s="2285">
        <v>3</v>
      </c>
      <c r="H83" s="2285">
        <v>3</v>
      </c>
      <c r="I83" s="2285">
        <v>3</v>
      </c>
      <c r="J83" s="2285"/>
      <c r="K83" s="2285"/>
      <c r="L83" s="2285">
        <v>11</v>
      </c>
      <c r="M83" s="2285">
        <v>11</v>
      </c>
      <c r="N83" s="2285">
        <v>11</v>
      </c>
      <c r="O83" s="2285">
        <v>11</v>
      </c>
      <c r="P83" s="2285">
        <v>11</v>
      </c>
      <c r="Q83" s="2285" t="s">
        <v>94</v>
      </c>
      <c r="R83" s="2285" t="s">
        <v>94</v>
      </c>
      <c r="S83" s="2285" t="s">
        <v>36</v>
      </c>
      <c r="T83" s="2285" t="s">
        <v>36</v>
      </c>
      <c r="U83" s="2285" t="s">
        <v>36</v>
      </c>
      <c r="V83" s="2285" t="s">
        <v>36</v>
      </c>
      <c r="W83" s="2285" t="s">
        <v>36</v>
      </c>
      <c r="X83" s="2286" t="s">
        <v>83</v>
      </c>
      <c r="Y83" s="2286" t="s">
        <v>83</v>
      </c>
      <c r="Z83" s="2286">
        <v>8</v>
      </c>
      <c r="AA83" s="2286">
        <v>8</v>
      </c>
      <c r="AB83" s="2286">
        <v>8</v>
      </c>
      <c r="AC83" s="2286">
        <v>8</v>
      </c>
      <c r="AD83" s="2286">
        <v>8</v>
      </c>
      <c r="AE83" s="2285"/>
      <c r="AF83" s="2285"/>
      <c r="AG83" s="2287" t="s">
        <v>36</v>
      </c>
      <c r="AH83" s="1"/>
      <c r="AJ83" s="2077">
        <f t="shared" si="5"/>
        <v>160.33000000000001</v>
      </c>
      <c r="AK83" s="2077"/>
      <c r="AL83" s="2077">
        <f t="shared" si="7"/>
        <v>160.33000000000001</v>
      </c>
      <c r="AM83" s="2217">
        <f t="shared" si="8"/>
        <v>0</v>
      </c>
      <c r="AN83" s="2217">
        <f>IF(AM83="","",AM83+'September 2022'!AN83)</f>
        <v>0</v>
      </c>
    </row>
    <row r="84" spans="1:40" ht="22.35" customHeight="1" thickBot="1" x14ac:dyDescent="0.25">
      <c r="A84" s="977"/>
      <c r="B84" s="2172" t="s">
        <v>381</v>
      </c>
      <c r="C84" s="2174"/>
      <c r="D84" s="2174"/>
      <c r="E84" s="851">
        <v>21</v>
      </c>
      <c r="F84" s="2174">
        <v>21</v>
      </c>
      <c r="G84" s="2174">
        <v>21</v>
      </c>
      <c r="H84" s="2174">
        <v>21</v>
      </c>
      <c r="I84" s="2174">
        <v>21</v>
      </c>
      <c r="J84" s="2174">
        <v>21</v>
      </c>
      <c r="K84" s="2174">
        <v>21</v>
      </c>
      <c r="L84" s="2174" t="s">
        <v>36</v>
      </c>
      <c r="M84" s="2174" t="s">
        <v>36</v>
      </c>
      <c r="N84" s="2174" t="s">
        <v>36</v>
      </c>
      <c r="O84" s="2222" t="s">
        <v>36</v>
      </c>
      <c r="P84" s="2222" t="s">
        <v>36</v>
      </c>
      <c r="Q84" s="2222"/>
      <c r="R84" s="2222"/>
      <c r="S84" s="2222">
        <v>22</v>
      </c>
      <c r="T84" s="2222">
        <v>22</v>
      </c>
      <c r="U84" s="2222">
        <v>22</v>
      </c>
      <c r="V84" s="2222">
        <v>22</v>
      </c>
      <c r="W84" s="2174">
        <v>22</v>
      </c>
      <c r="X84" s="2174">
        <v>22</v>
      </c>
      <c r="Y84" s="2174">
        <v>22</v>
      </c>
      <c r="Z84" s="2174" t="s">
        <v>36</v>
      </c>
      <c r="AA84" s="2174" t="s">
        <v>36</v>
      </c>
      <c r="AB84" s="2174" t="s">
        <v>36</v>
      </c>
      <c r="AC84" s="2174" t="s">
        <v>36</v>
      </c>
      <c r="AD84" s="851" t="s">
        <v>36</v>
      </c>
      <c r="AE84" s="2174"/>
      <c r="AF84" s="2174"/>
      <c r="AG84" s="978">
        <v>23</v>
      </c>
      <c r="AH84" s="1"/>
      <c r="AJ84" s="2077">
        <f t="shared" si="5"/>
        <v>160.33000000000001</v>
      </c>
      <c r="AK84" s="2077"/>
      <c r="AL84" s="2077">
        <f t="shared" si="7"/>
        <v>160.33000000000001</v>
      </c>
      <c r="AM84" s="2217">
        <f t="shared" si="8"/>
        <v>0</v>
      </c>
      <c r="AN84" s="2217">
        <f>IF(AM84="","",AM84+'September 2022'!AN84)</f>
        <v>0</v>
      </c>
    </row>
    <row r="85" spans="1:40" ht="22.35" customHeight="1" x14ac:dyDescent="0.2">
      <c r="A85" s="2277"/>
      <c r="B85" s="2172" t="s">
        <v>379</v>
      </c>
      <c r="C85" s="2174"/>
      <c r="D85" s="2174">
        <v>26</v>
      </c>
      <c r="E85" s="1234" t="s">
        <v>176</v>
      </c>
      <c r="F85" s="1236" t="s">
        <v>176</v>
      </c>
      <c r="G85" s="1234" t="s">
        <v>176</v>
      </c>
      <c r="H85" s="1234">
        <v>26</v>
      </c>
      <c r="I85" s="2174">
        <v>25</v>
      </c>
      <c r="J85" s="2173"/>
      <c r="K85" s="2173"/>
      <c r="L85" s="2288">
        <v>26</v>
      </c>
      <c r="M85" s="2288">
        <v>26</v>
      </c>
      <c r="N85" s="2288">
        <v>26</v>
      </c>
      <c r="O85" s="2288">
        <v>26</v>
      </c>
      <c r="P85" s="2288">
        <v>25</v>
      </c>
      <c r="Q85" s="850" t="s">
        <v>127</v>
      </c>
      <c r="R85" s="2267">
        <v>26</v>
      </c>
      <c r="S85" s="2222" t="s">
        <v>36</v>
      </c>
      <c r="T85" s="2222" t="s">
        <v>36</v>
      </c>
      <c r="U85" s="854" t="s">
        <v>36</v>
      </c>
      <c r="V85" s="854" t="s">
        <v>36</v>
      </c>
      <c r="W85" s="2222" t="s">
        <v>36</v>
      </c>
      <c r="X85" s="2173"/>
      <c r="Y85" s="2173"/>
      <c r="Z85" s="1112">
        <v>4</v>
      </c>
      <c r="AA85" s="2173">
        <v>4</v>
      </c>
      <c r="AB85" s="2173">
        <v>4</v>
      </c>
      <c r="AC85" s="2173">
        <v>4</v>
      </c>
      <c r="AD85" s="2173">
        <v>4</v>
      </c>
      <c r="AE85" s="1681" t="s">
        <v>127</v>
      </c>
      <c r="AF85" s="2173"/>
      <c r="AG85" s="2178">
        <v>69</v>
      </c>
      <c r="AH85" s="1"/>
      <c r="AJ85" s="2077">
        <f t="shared" si="5"/>
        <v>160.33000000000001</v>
      </c>
      <c r="AK85" s="2077"/>
      <c r="AL85" s="2077">
        <v>173.3</v>
      </c>
      <c r="AM85" s="2217">
        <f t="shared" si="8"/>
        <v>12.969999999999999</v>
      </c>
      <c r="AN85" s="2217">
        <f>IF(AM85="","",AM85+'September 2022'!AN85)</f>
        <v>12.969999999999999</v>
      </c>
    </row>
    <row r="86" spans="1:40" ht="22.35" customHeight="1" x14ac:dyDescent="0.2">
      <c r="A86" s="2277"/>
      <c r="B86" s="2172" t="s">
        <v>383</v>
      </c>
      <c r="C86" s="2174"/>
      <c r="D86" s="2174"/>
      <c r="E86" s="2174" t="s">
        <v>257</v>
      </c>
      <c r="F86" s="2174" t="s">
        <v>257</v>
      </c>
      <c r="G86" s="2174" t="s">
        <v>257</v>
      </c>
      <c r="H86" s="2174" t="s">
        <v>257</v>
      </c>
      <c r="I86" s="2174" t="s">
        <v>257</v>
      </c>
      <c r="J86" s="2173"/>
      <c r="K86" s="2173"/>
      <c r="L86" s="374" t="s">
        <v>257</v>
      </c>
      <c r="M86" s="371" t="s">
        <v>257</v>
      </c>
      <c r="N86" s="2174" t="s">
        <v>257</v>
      </c>
      <c r="O86" s="2174" t="s">
        <v>257</v>
      </c>
      <c r="P86" s="2174" t="s">
        <v>257</v>
      </c>
      <c r="Q86" s="2173"/>
      <c r="R86" s="2173"/>
      <c r="S86" s="2174" t="s">
        <v>257</v>
      </c>
      <c r="T86" s="2174" t="s">
        <v>257</v>
      </c>
      <c r="U86" s="2174" t="s">
        <v>257</v>
      </c>
      <c r="V86" s="2176" t="s">
        <v>257</v>
      </c>
      <c r="W86" s="2176" t="s">
        <v>257</v>
      </c>
      <c r="X86" s="1930"/>
      <c r="Y86" s="1930"/>
      <c r="Z86" s="2176" t="s">
        <v>257</v>
      </c>
      <c r="AA86" s="2176" t="s">
        <v>257</v>
      </c>
      <c r="AB86" s="2176" t="s">
        <v>257</v>
      </c>
      <c r="AC86" s="2176" t="s">
        <v>257</v>
      </c>
      <c r="AD86" s="2174" t="s">
        <v>257</v>
      </c>
      <c r="AE86" s="2173"/>
      <c r="AF86" s="2173"/>
      <c r="AG86" s="2174" t="s">
        <v>257</v>
      </c>
      <c r="AH86" s="1"/>
      <c r="AJ86" s="2077">
        <f t="shared" si="5"/>
        <v>160.33000000000001</v>
      </c>
      <c r="AK86" s="2077"/>
      <c r="AL86" s="2077">
        <f t="shared" si="7"/>
        <v>160.33000000000001</v>
      </c>
      <c r="AM86" s="2217">
        <f t="shared" si="8"/>
        <v>0</v>
      </c>
      <c r="AN86" s="2217">
        <f>IF(AM86="","",AM86+'September 2022'!AN86)</f>
        <v>0</v>
      </c>
    </row>
    <row r="87" spans="1:40" ht="22.35" customHeight="1" thickBot="1" x14ac:dyDescent="0.25">
      <c r="A87" s="979"/>
      <c r="B87" s="2289" t="s">
        <v>423</v>
      </c>
      <c r="C87" s="2021"/>
      <c r="D87" s="2021"/>
      <c r="E87" s="2021"/>
      <c r="F87" s="1693"/>
      <c r="G87" s="1693"/>
      <c r="H87" s="1093"/>
      <c r="I87" s="1093"/>
      <c r="J87" s="1093"/>
      <c r="K87" s="1093"/>
      <c r="L87" s="1093"/>
      <c r="M87" s="1093"/>
      <c r="N87" s="1093"/>
      <c r="O87" s="1093"/>
      <c r="P87" s="1093"/>
      <c r="Q87" s="1093"/>
      <c r="R87" s="1093"/>
      <c r="S87" s="1093"/>
      <c r="T87" s="1093"/>
      <c r="U87" s="1093"/>
      <c r="V87" s="1093"/>
      <c r="W87" s="1093"/>
      <c r="X87" s="1093"/>
      <c r="Y87" s="1093"/>
      <c r="Z87" s="1093"/>
      <c r="AA87" s="1093"/>
      <c r="AB87" s="1093"/>
      <c r="AC87" s="1093"/>
      <c r="AD87" s="1093"/>
      <c r="AE87" s="1093"/>
      <c r="AF87" s="1093"/>
      <c r="AG87" s="1093"/>
      <c r="AH87" s="1"/>
      <c r="AJ87" s="2077">
        <f t="shared" si="5"/>
        <v>160.33000000000001</v>
      </c>
      <c r="AK87" s="2077"/>
      <c r="AL87" s="2077">
        <f t="shared" si="7"/>
        <v>160.33000000000001</v>
      </c>
      <c r="AM87" s="2217">
        <f t="shared" si="8"/>
        <v>0</v>
      </c>
      <c r="AN87" s="2217">
        <f>IF(AM87="","",AM87+'September 2022'!AN87)</f>
        <v>0</v>
      </c>
    </row>
    <row r="88" spans="1:40" ht="22.35" customHeight="1" thickBot="1" x14ac:dyDescent="0.25">
      <c r="A88" s="64"/>
      <c r="B88" s="1371" t="s">
        <v>150</v>
      </c>
      <c r="C88" s="1372"/>
      <c r="D88" s="1373"/>
      <c r="E88" s="1373"/>
      <c r="F88" s="1373"/>
      <c r="G88" s="1373"/>
      <c r="H88" s="1373"/>
      <c r="I88" s="1372"/>
      <c r="J88" s="1372"/>
      <c r="K88" s="1373"/>
      <c r="L88" s="1373"/>
      <c r="M88" s="1373"/>
      <c r="N88" s="1373"/>
      <c r="O88" s="1373"/>
      <c r="P88" s="1372"/>
      <c r="Q88" s="1372"/>
      <c r="R88" s="1372"/>
      <c r="S88" s="1374"/>
      <c r="T88" s="1374"/>
      <c r="U88" s="1374"/>
      <c r="V88" s="1372"/>
      <c r="W88" s="1372"/>
      <c r="X88" s="1372"/>
      <c r="Y88" s="1372"/>
      <c r="Z88" s="1372"/>
      <c r="AA88" s="1372"/>
      <c r="AB88" s="1372"/>
      <c r="AC88" s="1372"/>
      <c r="AD88" s="1372"/>
      <c r="AE88" s="1372"/>
      <c r="AF88" s="1372"/>
      <c r="AG88" s="1375"/>
      <c r="AH88" s="1"/>
      <c r="AJ88" s="2077">
        <f t="shared" si="5"/>
        <v>160.33000000000001</v>
      </c>
      <c r="AK88" s="2077"/>
      <c r="AL88" s="2077">
        <f t="shared" si="7"/>
        <v>160.33000000000001</v>
      </c>
      <c r="AM88" s="2217">
        <f t="shared" si="8"/>
        <v>0</v>
      </c>
      <c r="AN88" s="2217">
        <f>IF(AM88="","",AM88+'September 2022'!AN88)</f>
        <v>0</v>
      </c>
    </row>
    <row r="89" spans="1:40" ht="22.35" customHeight="1" thickBot="1" x14ac:dyDescent="0.25">
      <c r="A89" s="1941"/>
      <c r="B89" s="1942" t="s">
        <v>151</v>
      </c>
      <c r="C89" s="1945"/>
      <c r="D89" s="1945"/>
      <c r="E89" s="1943" t="s">
        <v>32</v>
      </c>
      <c r="F89" s="1943" t="s">
        <v>32</v>
      </c>
      <c r="G89" s="1943" t="s">
        <v>32</v>
      </c>
      <c r="H89" s="1945" t="s">
        <v>32</v>
      </c>
      <c r="I89" s="1945" t="s">
        <v>32</v>
      </c>
      <c r="J89" s="1945"/>
      <c r="K89" s="1945"/>
      <c r="L89" s="1945" t="s">
        <v>32</v>
      </c>
      <c r="M89" s="1945" t="s">
        <v>32</v>
      </c>
      <c r="N89" s="1945" t="s">
        <v>32</v>
      </c>
      <c r="O89" s="1943" t="s">
        <v>32</v>
      </c>
      <c r="P89" s="1943" t="s">
        <v>32</v>
      </c>
      <c r="Q89" s="1943"/>
      <c r="R89" s="1943"/>
      <c r="S89" s="1943" t="s">
        <v>32</v>
      </c>
      <c r="T89" s="2290" t="s">
        <v>32</v>
      </c>
      <c r="U89" s="1945" t="s">
        <v>32</v>
      </c>
      <c r="V89" s="1945" t="s">
        <v>32</v>
      </c>
      <c r="W89" s="1945" t="s">
        <v>32</v>
      </c>
      <c r="X89" s="1945"/>
      <c r="Y89" s="2291"/>
      <c r="Z89" s="2291" t="s">
        <v>32</v>
      </c>
      <c r="AA89" s="1945" t="s">
        <v>32</v>
      </c>
      <c r="AB89" s="1945" t="s">
        <v>32</v>
      </c>
      <c r="AC89" s="1945" t="s">
        <v>32</v>
      </c>
      <c r="AD89" s="1945" t="s">
        <v>32</v>
      </c>
      <c r="AE89" s="1945"/>
      <c r="AF89" s="1945"/>
      <c r="AG89" s="2292" t="s">
        <v>32</v>
      </c>
      <c r="AH89" s="1"/>
      <c r="AJ89" s="2077">
        <f t="shared" si="5"/>
        <v>160.33000000000001</v>
      </c>
      <c r="AK89" s="2077"/>
      <c r="AL89" s="2077">
        <f t="shared" si="7"/>
        <v>160.33000000000001</v>
      </c>
      <c r="AM89" s="2217">
        <f t="shared" si="8"/>
        <v>0</v>
      </c>
      <c r="AN89" s="2217">
        <f>IF(AM89="","",AM89+'September 2022'!AN89)</f>
        <v>0</v>
      </c>
    </row>
    <row r="90" spans="1:40" ht="22.35" customHeight="1" x14ac:dyDescent="0.2">
      <c r="A90" s="324"/>
      <c r="AH90" s="1"/>
      <c r="AJ90" s="2293"/>
      <c r="AK90" s="2293"/>
      <c r="AL90" s="2293"/>
      <c r="AM90" s="2294"/>
      <c r="AN90" s="2294"/>
    </row>
    <row r="91" spans="1:40" ht="22.35" customHeight="1" thickBot="1" x14ac:dyDescent="0.25">
      <c r="A91" s="983"/>
      <c r="B91" s="633" t="s">
        <v>29</v>
      </c>
      <c r="C91" s="2167">
        <v>1</v>
      </c>
      <c r="D91" s="2167">
        <v>2</v>
      </c>
      <c r="E91" s="2168">
        <v>3</v>
      </c>
      <c r="F91" s="2168">
        <v>4</v>
      </c>
      <c r="G91" s="2168">
        <v>5</v>
      </c>
      <c r="H91" s="2168">
        <v>6</v>
      </c>
      <c r="I91" s="2168">
        <v>7</v>
      </c>
      <c r="J91" s="2167">
        <v>8</v>
      </c>
      <c r="K91" s="2167">
        <v>9</v>
      </c>
      <c r="L91" s="2168">
        <v>10</v>
      </c>
      <c r="M91" s="2168">
        <v>11</v>
      </c>
      <c r="N91" s="2168">
        <v>12</v>
      </c>
      <c r="O91" s="2168">
        <v>13</v>
      </c>
      <c r="P91" s="2168">
        <v>14</v>
      </c>
      <c r="Q91" s="2167">
        <v>15</v>
      </c>
      <c r="R91" s="2167">
        <v>16</v>
      </c>
      <c r="S91" s="2168">
        <v>17</v>
      </c>
      <c r="T91" s="2168">
        <v>18</v>
      </c>
      <c r="U91" s="2168">
        <v>19</v>
      </c>
      <c r="V91" s="2168">
        <v>20</v>
      </c>
      <c r="W91" s="2168">
        <v>21</v>
      </c>
      <c r="X91" s="2167">
        <v>22</v>
      </c>
      <c r="Y91" s="2167">
        <v>23</v>
      </c>
      <c r="Z91" s="2168">
        <v>24</v>
      </c>
      <c r="AA91" s="2168">
        <v>25</v>
      </c>
      <c r="AB91" s="2168">
        <v>26</v>
      </c>
      <c r="AC91" s="2168">
        <v>27</v>
      </c>
      <c r="AD91" s="2168">
        <v>28</v>
      </c>
      <c r="AE91" s="2167">
        <v>29</v>
      </c>
      <c r="AF91" s="2167">
        <v>30</v>
      </c>
      <c r="AG91" s="2169">
        <v>31</v>
      </c>
      <c r="AH91" s="1"/>
      <c r="AJ91" s="190"/>
      <c r="AK91" s="190" t="s">
        <v>432</v>
      </c>
      <c r="AL91" s="190"/>
      <c r="AM91" s="328"/>
      <c r="AN91" s="328"/>
    </row>
    <row r="92" spans="1:40" ht="22.35" customHeight="1" x14ac:dyDescent="0.2">
      <c r="A92" s="983"/>
      <c r="B92" s="2295" t="s">
        <v>152</v>
      </c>
      <c r="C92" s="2244"/>
      <c r="D92" s="2296"/>
      <c r="E92" s="2244"/>
      <c r="F92" s="2244"/>
      <c r="G92" s="2244"/>
      <c r="H92" s="2244"/>
      <c r="I92" s="2244"/>
      <c r="J92" s="2244"/>
      <c r="K92" s="2244"/>
      <c r="L92" s="2244"/>
      <c r="M92" s="2244"/>
      <c r="N92" s="2244"/>
      <c r="O92" s="2244"/>
      <c r="P92" s="2244"/>
      <c r="Q92" s="2244"/>
      <c r="R92" s="2244"/>
      <c r="S92" s="2244"/>
      <c r="T92" s="2244"/>
      <c r="U92" s="2244"/>
      <c r="V92" s="2244"/>
      <c r="W92" s="2244"/>
      <c r="X92" s="2244"/>
      <c r="Y92" s="2244"/>
      <c r="Z92" s="2244"/>
      <c r="AA92" s="2244"/>
      <c r="AB92" s="2244"/>
      <c r="AC92" s="2244"/>
      <c r="AD92" s="2244"/>
      <c r="AE92" s="2244"/>
      <c r="AF92" s="2244"/>
      <c r="AG92" s="2258"/>
      <c r="AH92" s="1"/>
      <c r="AJ92" s="190"/>
      <c r="AK92" s="190"/>
      <c r="AL92" s="190"/>
      <c r="AM92" s="190"/>
      <c r="AN92" s="190"/>
    </row>
    <row r="93" spans="1:40" ht="22.35" customHeight="1" x14ac:dyDescent="0.2">
      <c r="A93" s="983"/>
      <c r="B93" s="2190"/>
      <c r="C93" s="985"/>
      <c r="D93" s="985"/>
      <c r="E93" s="985"/>
      <c r="F93" s="2183"/>
      <c r="G93" s="2183"/>
      <c r="H93" s="985"/>
      <c r="I93" s="985"/>
      <c r="J93" s="985"/>
      <c r="K93" s="985"/>
      <c r="L93" s="985"/>
      <c r="M93" s="985"/>
      <c r="N93" s="985"/>
      <c r="O93" s="985"/>
      <c r="P93" s="985"/>
      <c r="Q93" s="985"/>
      <c r="R93" s="985"/>
      <c r="S93" s="985"/>
      <c r="T93" s="2186"/>
      <c r="U93" s="985"/>
      <c r="V93" s="985"/>
      <c r="W93" s="985"/>
      <c r="X93" s="985"/>
      <c r="Y93" s="985"/>
      <c r="Z93" s="985"/>
      <c r="AA93" s="985"/>
      <c r="AB93" s="985"/>
      <c r="AC93" s="985"/>
      <c r="AD93" s="985"/>
      <c r="AE93" s="985"/>
      <c r="AF93" s="985"/>
      <c r="AG93" s="986"/>
      <c r="AH93" s="1"/>
    </row>
    <row r="94" spans="1:40" ht="22.35" customHeight="1" x14ac:dyDescent="0.2">
      <c r="A94" s="983"/>
      <c r="B94" s="2190"/>
      <c r="C94" s="2186"/>
      <c r="D94" s="2186"/>
      <c r="E94" s="2186"/>
      <c r="F94" s="2186"/>
      <c r="G94" s="2186"/>
      <c r="H94" s="2186"/>
      <c r="I94" s="2186"/>
      <c r="J94" s="2186"/>
      <c r="K94" s="2186"/>
      <c r="L94" s="2186"/>
      <c r="M94" s="2186"/>
      <c r="N94" s="2186"/>
      <c r="O94" s="2186"/>
      <c r="P94" s="2186"/>
      <c r="Q94" s="2186"/>
      <c r="R94" s="2186"/>
      <c r="S94" s="2186"/>
      <c r="T94" s="2186"/>
      <c r="U94" s="2186"/>
      <c r="V94" s="2186"/>
      <c r="W94" s="2186"/>
      <c r="X94" s="2186"/>
      <c r="Y94" s="2186"/>
      <c r="Z94" s="2186"/>
      <c r="AA94" s="2186"/>
      <c r="AB94" s="2186"/>
      <c r="AC94" s="2186"/>
      <c r="AD94" s="2186"/>
      <c r="AE94" s="2186"/>
      <c r="AF94" s="2186"/>
      <c r="AG94" s="1199"/>
      <c r="AH94" s="1"/>
    </row>
    <row r="95" spans="1:40" ht="22.35" customHeight="1" thickBot="1" x14ac:dyDescent="0.25">
      <c r="A95" s="197"/>
      <c r="B95" s="905"/>
      <c r="C95" s="987"/>
      <c r="D95" s="987"/>
      <c r="E95" s="987"/>
      <c r="F95" s="987"/>
      <c r="G95" s="987"/>
      <c r="H95" s="987"/>
      <c r="I95" s="987"/>
      <c r="J95" s="987"/>
      <c r="K95" s="987"/>
      <c r="L95" s="987"/>
      <c r="M95" s="987"/>
      <c r="N95" s="987"/>
      <c r="O95" s="987"/>
      <c r="P95" s="987"/>
      <c r="Q95" s="987"/>
      <c r="R95" s="987"/>
      <c r="S95" s="987"/>
      <c r="T95" s="987"/>
      <c r="U95" s="987"/>
      <c r="V95" s="987"/>
      <c r="W95" s="987"/>
      <c r="X95" s="987"/>
      <c r="Y95" s="987"/>
      <c r="Z95" s="987"/>
      <c r="AA95" s="987"/>
      <c r="AB95" s="987"/>
      <c r="AC95" s="987"/>
      <c r="AD95" s="987"/>
      <c r="AE95" s="987"/>
      <c r="AF95" s="987"/>
      <c r="AG95" s="2169"/>
      <c r="AH95" s="1"/>
    </row>
    <row r="96" spans="1:40" ht="22.35" customHeight="1" x14ac:dyDescent="0.2">
      <c r="A96" s="197"/>
      <c r="B96" s="198"/>
      <c r="C96" s="218"/>
      <c r="D96" s="218"/>
      <c r="E96" s="218"/>
      <c r="F96" s="218"/>
      <c r="G96" s="218"/>
      <c r="H96" s="218"/>
      <c r="I96" s="218"/>
      <c r="J96" s="218"/>
      <c r="K96" s="218"/>
      <c r="L96" s="218"/>
      <c r="M96" s="218"/>
      <c r="N96" s="218"/>
      <c r="O96" s="218"/>
      <c r="P96" s="218"/>
      <c r="Q96" s="218"/>
      <c r="R96" s="218"/>
      <c r="S96" s="218"/>
      <c r="T96" s="218"/>
      <c r="U96" s="218"/>
      <c r="V96" s="218"/>
      <c r="W96" s="218"/>
      <c r="X96" s="218"/>
      <c r="Y96" s="218"/>
      <c r="Z96" s="218"/>
      <c r="AA96" s="218"/>
      <c r="AB96" s="218"/>
      <c r="AC96" s="218"/>
      <c r="AD96" s="218"/>
      <c r="AE96" s="218"/>
      <c r="AF96" s="218"/>
      <c r="AG96" s="199"/>
      <c r="AH96" s="1"/>
    </row>
    <row r="97" spans="1:40" ht="22.35" customHeight="1" thickBot="1" x14ac:dyDescent="0.25">
      <c r="A97" s="345" t="s">
        <v>395</v>
      </c>
      <c r="B97" s="198"/>
      <c r="C97" s="218"/>
      <c r="D97" s="218"/>
      <c r="E97" s="218"/>
      <c r="F97" s="218"/>
      <c r="G97" s="218"/>
      <c r="H97" s="218"/>
      <c r="I97" s="218"/>
      <c r="J97" s="218"/>
      <c r="K97" s="218"/>
      <c r="L97" s="218"/>
      <c r="M97" s="218"/>
      <c r="N97" s="218"/>
      <c r="O97" s="218"/>
      <c r="P97" s="218"/>
      <c r="Q97" s="218"/>
      <c r="R97" s="218"/>
      <c r="S97" s="218"/>
      <c r="T97" s="218"/>
      <c r="U97" s="218"/>
      <c r="V97" s="218"/>
      <c r="W97" s="218"/>
      <c r="X97" s="218"/>
      <c r="Y97" s="218"/>
      <c r="Z97" s="218"/>
      <c r="AA97" s="218"/>
      <c r="AB97" s="218"/>
      <c r="AC97" s="218"/>
      <c r="AD97" s="218"/>
      <c r="AE97" s="218"/>
      <c r="AF97" s="218"/>
      <c r="AG97" s="199"/>
      <c r="AH97" s="1"/>
    </row>
    <row r="98" spans="1:40" ht="22.35" customHeight="1" thickBot="1" x14ac:dyDescent="0.3">
      <c r="A98" s="197"/>
      <c r="B98" s="346" t="s">
        <v>411</v>
      </c>
      <c r="C98" s="347"/>
      <c r="D98" s="347"/>
      <c r="E98" s="348" t="s">
        <v>412</v>
      </c>
      <c r="F98" s="347"/>
      <c r="G98" s="347"/>
      <c r="H98" s="347"/>
      <c r="I98" s="347"/>
      <c r="J98" s="347"/>
      <c r="K98" s="348" t="s">
        <v>413</v>
      </c>
      <c r="L98" s="347"/>
      <c r="M98" s="347"/>
      <c r="N98" s="347"/>
      <c r="O98" s="347"/>
      <c r="P98" s="347"/>
      <c r="Q98" s="348" t="s">
        <v>414</v>
      </c>
      <c r="R98" s="347"/>
      <c r="S98" s="347"/>
      <c r="T98" s="349"/>
      <c r="U98" s="170"/>
      <c r="V98" s="170"/>
      <c r="W98" s="170"/>
      <c r="X98" s="170"/>
      <c r="Y98" s="170"/>
      <c r="Z98" s="170"/>
      <c r="AA98" s="170"/>
      <c r="AB98" s="170"/>
      <c r="AC98" s="170"/>
      <c r="AD98" s="170"/>
      <c r="AE98" s="170"/>
      <c r="AF98" s="170"/>
      <c r="AG98" s="170"/>
      <c r="AH98" s="1"/>
    </row>
    <row r="99" spans="1:40" ht="22.35" customHeight="1" thickBot="1" x14ac:dyDescent="0.3">
      <c r="A99" s="197"/>
      <c r="B99" s="346" t="s">
        <v>415</v>
      </c>
      <c r="C99" s="347"/>
      <c r="D99" s="347"/>
      <c r="E99" s="350" t="s">
        <v>416</v>
      </c>
      <c r="F99" s="347"/>
      <c r="G99" s="347"/>
      <c r="H99" s="347"/>
      <c r="I99" s="347"/>
      <c r="J99" s="347"/>
      <c r="K99" s="347" t="s">
        <v>417</v>
      </c>
      <c r="L99" s="347"/>
      <c r="M99" s="347"/>
      <c r="N99" s="347"/>
      <c r="O99" s="347"/>
      <c r="P99" s="347"/>
      <c r="Q99" s="347"/>
      <c r="R99" s="347"/>
      <c r="S99" s="347"/>
      <c r="T99" s="349"/>
      <c r="U99" s="170"/>
      <c r="V99" s="170"/>
      <c r="W99" s="170"/>
      <c r="X99" s="170"/>
      <c r="Y99" s="170"/>
      <c r="Z99" s="170"/>
      <c r="AA99" s="170"/>
      <c r="AB99" s="170"/>
      <c r="AC99" s="170"/>
      <c r="AD99" s="170"/>
      <c r="AE99" s="170"/>
      <c r="AF99" s="170"/>
      <c r="AG99" s="170"/>
      <c r="AH99" s="1"/>
    </row>
    <row r="100" spans="1:40" ht="22.35" customHeight="1" thickBot="1" x14ac:dyDescent="0.3">
      <c r="A100" s="197"/>
      <c r="B100" s="346"/>
      <c r="C100" s="347"/>
      <c r="D100" s="347"/>
      <c r="E100" s="350" t="s">
        <v>418</v>
      </c>
      <c r="F100" s="347"/>
      <c r="G100" s="347"/>
      <c r="H100" s="347"/>
      <c r="I100" s="347"/>
      <c r="J100" s="347"/>
      <c r="K100" s="369" t="s">
        <v>17</v>
      </c>
      <c r="L100" s="351"/>
      <c r="M100" s="351"/>
      <c r="N100" s="351"/>
      <c r="O100" s="351"/>
      <c r="P100" s="351"/>
      <c r="Q100" s="351"/>
      <c r="R100" s="351"/>
      <c r="S100" s="351"/>
      <c r="T100" s="352"/>
      <c r="U100" s="170"/>
      <c r="V100" s="170"/>
      <c r="W100" s="170"/>
      <c r="X100" s="170"/>
      <c r="Y100" s="170"/>
      <c r="Z100" s="170"/>
      <c r="AA100" s="170"/>
      <c r="AB100" s="170"/>
      <c r="AC100" s="170"/>
      <c r="AD100" s="170"/>
      <c r="AE100" s="170"/>
      <c r="AF100" s="170"/>
      <c r="AG100" s="170"/>
      <c r="AH100" s="1"/>
    </row>
    <row r="101" spans="1:40" ht="22.35" customHeight="1" x14ac:dyDescent="0.25">
      <c r="A101" s="197"/>
      <c r="B101" s="170"/>
      <c r="C101" s="170"/>
      <c r="D101" s="170"/>
      <c r="E101" s="370"/>
      <c r="F101" s="170"/>
      <c r="G101" s="170"/>
      <c r="H101" s="170"/>
      <c r="I101" s="170"/>
      <c r="J101" s="170"/>
      <c r="K101" s="370"/>
      <c r="L101" s="170"/>
      <c r="M101" s="170"/>
      <c r="N101" s="170"/>
      <c r="O101" s="170"/>
      <c r="P101" s="170"/>
      <c r="Q101" s="170"/>
      <c r="R101" s="170"/>
      <c r="S101" s="170"/>
      <c r="T101" s="170"/>
      <c r="U101" s="170"/>
      <c r="V101" s="170"/>
      <c r="W101" s="170"/>
      <c r="X101" s="170"/>
      <c r="Y101" s="170"/>
      <c r="Z101" s="170"/>
      <c r="AA101" s="170"/>
      <c r="AB101" s="170"/>
      <c r="AC101" s="170"/>
      <c r="AD101" s="170"/>
      <c r="AE101" s="170"/>
      <c r="AF101" s="170"/>
      <c r="AG101" s="170"/>
      <c r="AH101" s="1"/>
    </row>
    <row r="102" spans="1:40" ht="22.35" customHeight="1" thickBot="1" x14ac:dyDescent="0.3">
      <c r="A102" s="197"/>
      <c r="B102" s="1949" t="s">
        <v>29</v>
      </c>
      <c r="C102" s="2167">
        <v>1</v>
      </c>
      <c r="D102" s="2167">
        <v>2</v>
      </c>
      <c r="E102" s="2168">
        <v>3</v>
      </c>
      <c r="F102" s="2168">
        <v>4</v>
      </c>
      <c r="G102" s="2168">
        <v>5</v>
      </c>
      <c r="H102" s="2168">
        <v>6</v>
      </c>
      <c r="I102" s="2168">
        <v>7</v>
      </c>
      <c r="J102" s="2167">
        <v>8</v>
      </c>
      <c r="K102" s="2167">
        <v>9</v>
      </c>
      <c r="L102" s="2168">
        <v>10</v>
      </c>
      <c r="M102" s="2168">
        <v>11</v>
      </c>
      <c r="N102" s="2168">
        <v>12</v>
      </c>
      <c r="O102" s="2168">
        <v>13</v>
      </c>
      <c r="P102" s="2168">
        <v>14</v>
      </c>
      <c r="Q102" s="2167">
        <v>15</v>
      </c>
      <c r="R102" s="2167">
        <v>16</v>
      </c>
      <c r="S102" s="2168">
        <v>17</v>
      </c>
      <c r="T102" s="2168">
        <v>18</v>
      </c>
      <c r="U102" s="2168">
        <v>19</v>
      </c>
      <c r="V102" s="2168">
        <v>20</v>
      </c>
      <c r="W102" s="2168">
        <v>21</v>
      </c>
      <c r="X102" s="2167">
        <v>22</v>
      </c>
      <c r="Y102" s="2167">
        <v>23</v>
      </c>
      <c r="Z102" s="2168">
        <v>24</v>
      </c>
      <c r="AA102" s="2168">
        <v>25</v>
      </c>
      <c r="AB102" s="2168">
        <v>26</v>
      </c>
      <c r="AC102" s="2168">
        <v>27</v>
      </c>
      <c r="AD102" s="2168">
        <v>28</v>
      </c>
      <c r="AE102" s="2167">
        <v>29</v>
      </c>
      <c r="AF102" s="2167">
        <v>30</v>
      </c>
      <c r="AG102" s="2169">
        <v>31</v>
      </c>
      <c r="AH102" s="1"/>
      <c r="AJ102" s="2170" t="s">
        <v>30</v>
      </c>
      <c r="AK102" s="2170" t="s">
        <v>44</v>
      </c>
      <c r="AL102" s="2170" t="s">
        <v>45</v>
      </c>
      <c r="AM102" s="2170" t="s">
        <v>46</v>
      </c>
      <c r="AN102" s="2170" t="s">
        <v>47</v>
      </c>
    </row>
    <row r="103" spans="1:40" ht="22.35" customHeight="1" thickBot="1" x14ac:dyDescent="0.25">
      <c r="B103" s="2297" t="s">
        <v>419</v>
      </c>
      <c r="C103" s="2211" t="s">
        <v>405</v>
      </c>
      <c r="D103" s="2211" t="s">
        <v>405</v>
      </c>
      <c r="E103" s="2298" t="s">
        <v>36</v>
      </c>
      <c r="F103" s="2298" t="s">
        <v>36</v>
      </c>
      <c r="G103" s="2298" t="s">
        <v>36</v>
      </c>
      <c r="H103" s="2298" t="s">
        <v>36</v>
      </c>
      <c r="I103" s="2298" t="s">
        <v>36</v>
      </c>
      <c r="J103" s="2211"/>
      <c r="K103" s="2211"/>
      <c r="L103" s="2211" t="s">
        <v>400</v>
      </c>
      <c r="M103" s="2211" t="s">
        <v>400</v>
      </c>
      <c r="N103" s="2211" t="s">
        <v>400</v>
      </c>
      <c r="O103" s="2211" t="s">
        <v>400</v>
      </c>
      <c r="P103" s="2211" t="s">
        <v>400</v>
      </c>
      <c r="Q103" s="2211" t="s">
        <v>409</v>
      </c>
      <c r="R103" s="2211" t="s">
        <v>0</v>
      </c>
      <c r="S103" s="2298" t="s">
        <v>36</v>
      </c>
      <c r="T103" s="2298" t="s">
        <v>36</v>
      </c>
      <c r="U103" s="2298" t="s">
        <v>36</v>
      </c>
      <c r="V103" s="2299" t="s">
        <v>36</v>
      </c>
      <c r="W103" s="2298" t="s">
        <v>36</v>
      </c>
      <c r="X103" s="2211"/>
      <c r="Y103" s="2267"/>
      <c r="Z103" s="2214" t="s">
        <v>420</v>
      </c>
      <c r="AA103" s="2214" t="s">
        <v>420</v>
      </c>
      <c r="AB103" s="2211" t="s">
        <v>420</v>
      </c>
      <c r="AC103" s="2211" t="s">
        <v>420</v>
      </c>
      <c r="AD103" s="2211" t="s">
        <v>420</v>
      </c>
      <c r="AE103" s="2211" t="s">
        <v>405</v>
      </c>
      <c r="AF103" s="2211" t="s">
        <v>405</v>
      </c>
      <c r="AG103" s="2299" t="s">
        <v>36</v>
      </c>
      <c r="AH103" s="1"/>
      <c r="AJ103" s="2077">
        <f>$AJ$12</f>
        <v>160.33000000000001</v>
      </c>
      <c r="AK103" s="2077"/>
      <c r="AL103" s="2077">
        <f>IF(AJ103="","",SUM(AJ103:AK103))</f>
        <v>160.33000000000001</v>
      </c>
      <c r="AM103" s="2217">
        <f t="shared" ref="AM103:AM107" si="9">IF(AJ103="","",AL103-NormTid)</f>
        <v>0</v>
      </c>
      <c r="AN103" s="2217">
        <f>IF(AM103="","",AM103+'September 2022'!AN105)</f>
        <v>0</v>
      </c>
    </row>
    <row r="104" spans="1:40" ht="22.35" customHeight="1" x14ac:dyDescent="0.25">
      <c r="B104" s="2300" t="s">
        <v>397</v>
      </c>
      <c r="C104" s="2174" t="s">
        <v>409</v>
      </c>
      <c r="D104" s="2174" t="s">
        <v>409</v>
      </c>
      <c r="E104" s="851" t="s">
        <v>36</v>
      </c>
      <c r="F104" s="1112" t="s">
        <v>36</v>
      </c>
      <c r="G104" s="851" t="s">
        <v>36</v>
      </c>
      <c r="H104" s="851" t="s">
        <v>36</v>
      </c>
      <c r="I104" s="851" t="s">
        <v>36</v>
      </c>
      <c r="J104" s="2174"/>
      <c r="K104" s="2174"/>
      <c r="L104" s="1112" t="s">
        <v>398</v>
      </c>
      <c r="M104" s="1928" t="s">
        <v>398</v>
      </c>
      <c r="N104" s="1928" t="s">
        <v>398</v>
      </c>
      <c r="O104" s="1928" t="s">
        <v>398</v>
      </c>
      <c r="P104" s="1928" t="s">
        <v>398</v>
      </c>
      <c r="Q104" s="2269" t="s">
        <v>405</v>
      </c>
      <c r="R104" s="851"/>
      <c r="S104" s="2174" t="s">
        <v>400</v>
      </c>
      <c r="T104" s="2174" t="s">
        <v>400</v>
      </c>
      <c r="U104" s="2174" t="s">
        <v>400</v>
      </c>
      <c r="V104" s="2174" t="s">
        <v>400</v>
      </c>
      <c r="W104" s="2174" t="s">
        <v>400</v>
      </c>
      <c r="X104" s="2174" t="s">
        <v>409</v>
      </c>
      <c r="Y104" s="2174" t="s">
        <v>0</v>
      </c>
      <c r="Z104" s="851" t="s">
        <v>36</v>
      </c>
      <c r="AA104" s="851" t="s">
        <v>36</v>
      </c>
      <c r="AB104" s="2211" t="s">
        <v>36</v>
      </c>
      <c r="AC104" s="2269" t="s">
        <v>36</v>
      </c>
      <c r="AD104" s="2269" t="s">
        <v>36</v>
      </c>
      <c r="AE104" s="960"/>
      <c r="AF104" s="960"/>
      <c r="AG104" s="2174" t="s">
        <v>398</v>
      </c>
      <c r="AH104" s="1"/>
      <c r="AJ104" s="2077">
        <f t="shared" ref="AJ104:AJ107" si="10">$AJ$12</f>
        <v>160.33000000000001</v>
      </c>
      <c r="AK104" s="2077"/>
      <c r="AL104" s="2077">
        <f t="shared" ref="AL104:AL107" si="11">IF(AJ104="","",SUM(AJ104:AK104))</f>
        <v>160.33000000000001</v>
      </c>
      <c r="AM104" s="2217">
        <f t="shared" si="9"/>
        <v>0</v>
      </c>
      <c r="AN104" s="2217">
        <f>IF(AM104="","",AM104+'September 2022'!AN106)</f>
        <v>0</v>
      </c>
    </row>
    <row r="105" spans="1:40" ht="22.35" customHeight="1" x14ac:dyDescent="0.25">
      <c r="B105" s="2301" t="s">
        <v>399</v>
      </c>
      <c r="C105" s="2174"/>
      <c r="D105" s="2174"/>
      <c r="E105" s="2302" t="s">
        <v>398</v>
      </c>
      <c r="F105" s="2302" t="s">
        <v>398</v>
      </c>
      <c r="G105" s="2302" t="s">
        <v>398</v>
      </c>
      <c r="H105" s="2302" t="s">
        <v>398</v>
      </c>
      <c r="I105" s="2302" t="s">
        <v>433</v>
      </c>
      <c r="J105" s="2174"/>
      <c r="K105" s="2174"/>
      <c r="L105" s="2220" t="s">
        <v>420</v>
      </c>
      <c r="M105" s="2220" t="s">
        <v>420</v>
      </c>
      <c r="N105" s="2220" t="s">
        <v>420</v>
      </c>
      <c r="O105" s="2220" t="s">
        <v>420</v>
      </c>
      <c r="P105" s="2220" t="s">
        <v>420</v>
      </c>
      <c r="Q105" s="2220" t="s">
        <v>405</v>
      </c>
      <c r="R105" s="2220" t="s">
        <v>405</v>
      </c>
      <c r="S105" s="1683" t="s">
        <v>36</v>
      </c>
      <c r="T105" s="1683" t="s">
        <v>36</v>
      </c>
      <c r="U105" s="1683" t="s">
        <v>36</v>
      </c>
      <c r="V105" s="1683" t="s">
        <v>36</v>
      </c>
      <c r="W105" s="2220" t="s">
        <v>36</v>
      </c>
      <c r="X105" s="2220"/>
      <c r="Y105" s="2220"/>
      <c r="Z105" s="2220" t="s">
        <v>433</v>
      </c>
      <c r="AA105" s="1163" t="s">
        <v>398</v>
      </c>
      <c r="AB105" s="1163" t="s">
        <v>398</v>
      </c>
      <c r="AC105" s="1163" t="s">
        <v>398</v>
      </c>
      <c r="AD105" s="1163" t="s">
        <v>398</v>
      </c>
      <c r="AE105" s="2220"/>
      <c r="AF105" s="2220"/>
      <c r="AG105" s="2220" t="s">
        <v>32</v>
      </c>
      <c r="AH105" s="1"/>
      <c r="AJ105" s="2077">
        <f t="shared" si="10"/>
        <v>160.33000000000001</v>
      </c>
      <c r="AK105" s="2077"/>
      <c r="AL105" s="2077">
        <f t="shared" si="11"/>
        <v>160.33000000000001</v>
      </c>
      <c r="AM105" s="2217">
        <f t="shared" si="9"/>
        <v>0</v>
      </c>
      <c r="AN105" s="2217">
        <f>IF(AM105="","",AM105+'September 2022'!AN107)</f>
        <v>0</v>
      </c>
    </row>
    <row r="106" spans="1:40" ht="22.35" customHeight="1" thickBot="1" x14ac:dyDescent="0.3">
      <c r="B106" s="2289" t="s">
        <v>423</v>
      </c>
      <c r="C106" s="2174"/>
      <c r="D106" s="2174"/>
      <c r="E106" s="2174" t="s">
        <v>420</v>
      </c>
      <c r="F106" s="2174" t="s">
        <v>420</v>
      </c>
      <c r="G106" s="2174" t="s">
        <v>420</v>
      </c>
      <c r="H106" s="2174" t="s">
        <v>420</v>
      </c>
      <c r="I106" s="2174" t="s">
        <v>420</v>
      </c>
      <c r="J106" s="2176" t="s">
        <v>405</v>
      </c>
      <c r="K106" s="2220" t="s">
        <v>434</v>
      </c>
      <c r="L106" s="2077" t="s">
        <v>36</v>
      </c>
      <c r="M106" s="2077" t="s">
        <v>36</v>
      </c>
      <c r="N106" s="2077" t="s">
        <v>36</v>
      </c>
      <c r="O106" s="851" t="s">
        <v>36</v>
      </c>
      <c r="P106" s="851" t="s">
        <v>36</v>
      </c>
      <c r="Q106" s="2174"/>
      <c r="R106" s="2174"/>
      <c r="S106" s="1928" t="s">
        <v>36</v>
      </c>
      <c r="T106" s="1928" t="s">
        <v>398</v>
      </c>
      <c r="U106" s="1928" t="s">
        <v>32</v>
      </c>
      <c r="V106" s="1928" t="s">
        <v>32</v>
      </c>
      <c r="W106" s="1928" t="s">
        <v>32</v>
      </c>
      <c r="X106" s="2174"/>
      <c r="Y106" s="2174"/>
      <c r="Z106" s="2223" t="s">
        <v>32</v>
      </c>
      <c r="AA106" s="2223" t="s">
        <v>32</v>
      </c>
      <c r="AB106" s="2223" t="s">
        <v>32</v>
      </c>
      <c r="AC106" s="2223" t="s">
        <v>32</v>
      </c>
      <c r="AD106" s="2223" t="s">
        <v>32</v>
      </c>
      <c r="AE106" s="2174" t="s">
        <v>0</v>
      </c>
      <c r="AF106" s="2174" t="s">
        <v>0</v>
      </c>
      <c r="AG106" s="2223" t="s">
        <v>32</v>
      </c>
      <c r="AH106" s="1"/>
      <c r="AJ106" s="2077">
        <f t="shared" si="10"/>
        <v>160.33000000000001</v>
      </c>
      <c r="AK106" s="2077"/>
      <c r="AL106" s="2077">
        <f t="shared" si="11"/>
        <v>160.33000000000001</v>
      </c>
      <c r="AM106" s="2217">
        <f t="shared" si="9"/>
        <v>0</v>
      </c>
      <c r="AN106" s="2217">
        <f>IF(AM106="","",AM106+'September 2022'!AN108)</f>
        <v>0</v>
      </c>
    </row>
    <row r="107" spans="1:40" ht="22.35" customHeight="1" x14ac:dyDescent="0.2">
      <c r="B107" s="353" t="s">
        <v>424</v>
      </c>
      <c r="C107" s="2174"/>
      <c r="D107" s="2174"/>
      <c r="E107" s="2174" t="s">
        <v>400</v>
      </c>
      <c r="F107" s="2174" t="s">
        <v>400</v>
      </c>
      <c r="G107" s="2174" t="s">
        <v>400</v>
      </c>
      <c r="H107" s="2174" t="s">
        <v>400</v>
      </c>
      <c r="I107" s="2174" t="s">
        <v>400</v>
      </c>
      <c r="J107" s="2174" t="s">
        <v>409</v>
      </c>
      <c r="K107" s="2174" t="s">
        <v>0</v>
      </c>
      <c r="L107" s="851" t="s">
        <v>36</v>
      </c>
      <c r="M107" s="851" t="s">
        <v>36</v>
      </c>
      <c r="N107" s="851" t="s">
        <v>36</v>
      </c>
      <c r="O107" s="851" t="s">
        <v>36</v>
      </c>
      <c r="P107" s="851" t="s">
        <v>36</v>
      </c>
      <c r="Q107" s="2174"/>
      <c r="R107" s="2174"/>
      <c r="S107" s="2174" t="s">
        <v>420</v>
      </c>
      <c r="T107" s="2174" t="s">
        <v>420</v>
      </c>
      <c r="U107" s="960" t="s">
        <v>420</v>
      </c>
      <c r="V107" s="960" t="s">
        <v>420</v>
      </c>
      <c r="W107" s="960" t="s">
        <v>420</v>
      </c>
      <c r="X107" s="2174" t="s">
        <v>405</v>
      </c>
      <c r="Y107" s="2174" t="s">
        <v>405</v>
      </c>
      <c r="Z107" s="851" t="s">
        <v>36</v>
      </c>
      <c r="AA107" s="851" t="s">
        <v>36</v>
      </c>
      <c r="AB107" s="2211" t="s">
        <v>36</v>
      </c>
      <c r="AC107" s="851" t="s">
        <v>36</v>
      </c>
      <c r="AD107" s="2077" t="s">
        <v>36</v>
      </c>
      <c r="AE107" s="2174"/>
      <c r="AF107" s="2174"/>
      <c r="AG107" s="2174" t="s">
        <v>420</v>
      </c>
      <c r="AH107" s="1"/>
      <c r="AJ107" s="2077">
        <f t="shared" si="10"/>
        <v>160.33000000000001</v>
      </c>
      <c r="AK107" s="2077"/>
      <c r="AL107" s="2077">
        <f t="shared" si="11"/>
        <v>160.33000000000001</v>
      </c>
      <c r="AM107" s="2217">
        <f t="shared" si="9"/>
        <v>0</v>
      </c>
      <c r="AN107" s="2217">
        <f>IF(AM107="","",AM107+'September 2022'!AN109)</f>
        <v>0</v>
      </c>
    </row>
    <row r="108" spans="1:40" ht="22.35" customHeight="1" thickBot="1" x14ac:dyDescent="0.25">
      <c r="B108" s="355" t="s">
        <v>435</v>
      </c>
      <c r="C108" s="2021"/>
      <c r="D108" s="2021"/>
      <c r="E108" s="2021"/>
      <c r="F108" s="2021"/>
      <c r="G108" s="2021"/>
      <c r="H108" s="2021"/>
      <c r="I108" s="2021"/>
      <c r="J108" s="2021"/>
      <c r="K108" s="2021"/>
      <c r="L108" s="2021"/>
      <c r="M108" s="2021"/>
      <c r="N108" s="2021"/>
      <c r="O108" s="2021"/>
      <c r="P108" s="2021"/>
      <c r="Q108" s="2021"/>
      <c r="R108" s="2021"/>
      <c r="S108" s="2021"/>
      <c r="T108" s="2021"/>
      <c r="U108" s="2021"/>
      <c r="V108" s="2021"/>
      <c r="W108" s="2021"/>
      <c r="X108" s="2021"/>
      <c r="Y108" s="2021"/>
      <c r="Z108" s="2021"/>
      <c r="AA108" s="2021"/>
      <c r="AB108" s="2021"/>
      <c r="AC108" s="2021"/>
      <c r="AD108" s="2021"/>
      <c r="AE108" s="2021"/>
      <c r="AF108" s="2021"/>
      <c r="AG108" s="2021"/>
      <c r="AH108" s="1"/>
      <c r="AJ108" s="2077"/>
      <c r="AK108" s="2077"/>
      <c r="AL108" s="2077"/>
      <c r="AM108" s="2217"/>
      <c r="AN108" s="2217"/>
    </row>
    <row r="109" spans="1:40" ht="22.35" customHeight="1" x14ac:dyDescent="0.2">
      <c r="B109" s="198"/>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c r="AA109" s="199"/>
      <c r="AB109" s="199"/>
      <c r="AC109" s="199"/>
      <c r="AD109" s="199"/>
      <c r="AE109" s="199"/>
      <c r="AF109" s="199"/>
      <c r="AG109" s="199"/>
      <c r="AH109" s="1"/>
    </row>
    <row r="110" spans="1:40" ht="22.35" customHeight="1" thickBot="1" x14ac:dyDescent="0.25">
      <c r="A110" s="169" t="s">
        <v>156</v>
      </c>
    </row>
    <row r="111" spans="1:40" ht="22.35" customHeight="1" thickBot="1" x14ac:dyDescent="0.25">
      <c r="B111" s="2303" t="s">
        <v>157</v>
      </c>
      <c r="C111" s="2304"/>
      <c r="D111" s="2236" t="s">
        <v>107</v>
      </c>
      <c r="E111" s="2236"/>
      <c r="F111" s="2305"/>
      <c r="G111" s="2304"/>
      <c r="H111" s="2236" t="s">
        <v>108</v>
      </c>
      <c r="I111" s="2236"/>
      <c r="J111" s="2305"/>
      <c r="K111" s="2304"/>
      <c r="L111" s="2236" t="s">
        <v>109</v>
      </c>
      <c r="M111" s="2236"/>
      <c r="N111" s="2305"/>
      <c r="O111" s="2304"/>
      <c r="P111" s="2236" t="s">
        <v>110</v>
      </c>
      <c r="Q111" s="2236"/>
      <c r="R111" s="2305"/>
      <c r="S111" s="2304"/>
      <c r="T111" s="2236" t="s">
        <v>111</v>
      </c>
      <c r="U111" s="2236"/>
      <c r="V111" s="2305"/>
      <c r="W111" s="2304"/>
      <c r="X111" s="2236" t="s">
        <v>112</v>
      </c>
      <c r="Y111" s="2236"/>
      <c r="Z111" s="2305"/>
      <c r="AA111" s="2304"/>
      <c r="AB111" s="2236" t="s">
        <v>113</v>
      </c>
      <c r="AC111" s="2236"/>
      <c r="AD111" s="2236"/>
      <c r="AE111" s="2236" t="s">
        <v>158</v>
      </c>
      <c r="AF111" s="2236"/>
      <c r="AG111" s="2236"/>
      <c r="AH111" s="2236"/>
      <c r="AI111" s="2306"/>
    </row>
    <row r="112" spans="1:40" ht="22.35" customHeight="1" x14ac:dyDescent="0.2">
      <c r="B112" s="2307" t="s">
        <v>159</v>
      </c>
      <c r="C112" s="2308" t="s">
        <v>160</v>
      </c>
      <c r="D112" s="2236"/>
      <c r="E112" s="2240"/>
      <c r="F112" s="2309"/>
      <c r="G112" s="2308" t="s">
        <v>160</v>
      </c>
      <c r="H112" s="2310"/>
      <c r="I112" s="2240"/>
      <c r="J112" s="2309"/>
      <c r="K112" s="2311" t="s">
        <v>160</v>
      </c>
      <c r="L112" s="2236"/>
      <c r="M112" s="2236"/>
      <c r="N112" s="2305"/>
      <c r="O112" s="2311" t="s">
        <v>161</v>
      </c>
      <c r="P112" s="2312"/>
      <c r="Q112" s="2240"/>
      <c r="R112" s="2309"/>
      <c r="S112" s="2308" t="s">
        <v>162</v>
      </c>
      <c r="T112" s="2240"/>
      <c r="U112" s="2240"/>
      <c r="V112" s="2240"/>
      <c r="W112" s="1970"/>
      <c r="X112" s="1971"/>
      <c r="Y112" s="1971"/>
      <c r="Z112" s="1972"/>
      <c r="AA112" s="2240"/>
      <c r="AB112" s="2240"/>
      <c r="AC112" s="2240"/>
      <c r="AD112" s="2240"/>
      <c r="AE112" s="2313">
        <v>37</v>
      </c>
      <c r="AF112" s="2236"/>
      <c r="AG112" s="2240"/>
      <c r="AH112" s="2240"/>
      <c r="AI112" s="2241"/>
    </row>
    <row r="113" spans="1:35" ht="22.35" customHeight="1" x14ac:dyDescent="0.2">
      <c r="B113" s="749" t="s">
        <v>163</v>
      </c>
      <c r="C113" s="2248" t="s">
        <v>164</v>
      </c>
      <c r="D113" s="2149"/>
      <c r="E113" s="2149"/>
      <c r="F113" s="2157"/>
      <c r="G113" s="2248" t="s">
        <v>165</v>
      </c>
      <c r="H113" s="630"/>
      <c r="I113" s="2149"/>
      <c r="J113" s="2157"/>
      <c r="K113" s="2248" t="s">
        <v>166</v>
      </c>
      <c r="L113" s="2149" t="s">
        <v>167</v>
      </c>
      <c r="M113" s="2149"/>
      <c r="N113" s="2157"/>
      <c r="O113" s="2248" t="s">
        <v>166</v>
      </c>
      <c r="P113" s="630" t="s">
        <v>167</v>
      </c>
      <c r="Q113" s="2149"/>
      <c r="R113" s="2157"/>
      <c r="S113" s="2248" t="s">
        <v>165</v>
      </c>
      <c r="T113" s="2149" t="s">
        <v>168</v>
      </c>
      <c r="U113" s="2149"/>
      <c r="V113" s="2157"/>
      <c r="W113" s="8" t="s">
        <v>127</v>
      </c>
      <c r="X113" s="14" t="s">
        <v>169</v>
      </c>
      <c r="Y113" s="14"/>
      <c r="Z113" s="14"/>
      <c r="AA113" s="2314" t="s">
        <v>127</v>
      </c>
      <c r="AB113" s="2149" t="s">
        <v>169</v>
      </c>
      <c r="AC113" s="2314"/>
      <c r="AD113" s="2314"/>
      <c r="AE113" s="2314">
        <v>68</v>
      </c>
      <c r="AF113" s="2149"/>
      <c r="AG113" s="2149"/>
      <c r="AH113" s="2149"/>
      <c r="AI113" s="2158"/>
    </row>
    <row r="114" spans="1:35" ht="22.35" customHeight="1" x14ac:dyDescent="0.2">
      <c r="B114" s="749" t="s">
        <v>170</v>
      </c>
      <c r="C114" s="698" t="s">
        <v>171</v>
      </c>
      <c r="D114" s="2149"/>
      <c r="E114" s="2149"/>
      <c r="F114" s="2157"/>
      <c r="G114" s="630" t="s">
        <v>171</v>
      </c>
      <c r="H114" s="630"/>
      <c r="I114" s="2149"/>
      <c r="J114" s="2157"/>
      <c r="K114" s="630" t="s">
        <v>171</v>
      </c>
      <c r="L114" s="2149"/>
      <c r="M114" s="2149"/>
      <c r="N114" s="2157"/>
      <c r="O114" s="630" t="s">
        <v>171</v>
      </c>
      <c r="P114" s="630"/>
      <c r="Q114" s="2149"/>
      <c r="R114" s="2157"/>
      <c r="S114" s="630" t="s">
        <v>171</v>
      </c>
      <c r="T114" s="2149"/>
      <c r="U114" s="2149"/>
      <c r="V114" s="2157"/>
      <c r="W114" s="2314"/>
      <c r="X114" s="2149"/>
      <c r="Y114" s="2149"/>
      <c r="Z114" s="2157"/>
      <c r="AA114" s="2314"/>
      <c r="AB114" s="2149"/>
      <c r="AC114" s="2149"/>
      <c r="AD114" s="2149"/>
      <c r="AE114" s="2314">
        <v>0</v>
      </c>
      <c r="AF114" s="2149"/>
      <c r="AG114" s="2149"/>
      <c r="AH114" s="2149"/>
      <c r="AI114" s="2158"/>
    </row>
    <row r="115" spans="1:35" ht="22.35" customHeight="1" thickBot="1" x14ac:dyDescent="0.25">
      <c r="B115" s="1003" t="s">
        <v>172</v>
      </c>
      <c r="C115" s="1004" t="s">
        <v>160</v>
      </c>
      <c r="D115" s="276"/>
      <c r="E115" s="734"/>
      <c r="F115" s="889"/>
      <c r="G115" s="1004" t="s">
        <v>160</v>
      </c>
      <c r="H115" s="278"/>
      <c r="I115" s="734"/>
      <c r="J115" s="889"/>
      <c r="K115" s="1004" t="s">
        <v>160</v>
      </c>
      <c r="L115" s="276"/>
      <c r="M115" s="734"/>
      <c r="N115" s="889"/>
      <c r="O115" s="1004" t="s">
        <v>161</v>
      </c>
      <c r="P115" s="891"/>
      <c r="Q115" s="734"/>
      <c r="R115" s="889"/>
      <c r="S115" s="1004" t="s">
        <v>162</v>
      </c>
      <c r="T115" s="734"/>
      <c r="U115" s="734"/>
      <c r="V115" s="734"/>
      <c r="W115" s="1005"/>
      <c r="X115" s="734"/>
      <c r="Y115" s="734"/>
      <c r="Z115" s="699"/>
      <c r="AA115" s="734"/>
      <c r="AB115" s="734"/>
      <c r="AC115" s="734"/>
      <c r="AD115" s="734"/>
      <c r="AE115" s="1006">
        <v>37</v>
      </c>
      <c r="AF115" s="734"/>
      <c r="AG115" s="734"/>
      <c r="AH115" s="734"/>
      <c r="AI115" s="894"/>
    </row>
    <row r="116" spans="1:35" ht="22.35" customHeight="1" x14ac:dyDescent="0.2">
      <c r="D116" s="14"/>
    </row>
    <row r="117" spans="1:35" ht="22.35" customHeight="1" thickBot="1" x14ac:dyDescent="0.25">
      <c r="A117" s="636"/>
      <c r="B117" s="636" t="s">
        <v>29</v>
      </c>
      <c r="C117" s="2167">
        <v>1</v>
      </c>
      <c r="D117" s="2167">
        <v>2</v>
      </c>
      <c r="E117" s="2168">
        <v>3</v>
      </c>
      <c r="F117" s="2168">
        <v>4</v>
      </c>
      <c r="G117" s="2168">
        <v>5</v>
      </c>
      <c r="H117" s="2168">
        <v>6</v>
      </c>
      <c r="I117" s="2168">
        <v>7</v>
      </c>
      <c r="J117" s="2167">
        <v>8</v>
      </c>
      <c r="K117" s="2167">
        <v>9</v>
      </c>
      <c r="L117" s="2168">
        <v>10</v>
      </c>
      <c r="M117" s="2168">
        <v>11</v>
      </c>
      <c r="N117" s="2168">
        <v>12</v>
      </c>
      <c r="O117" s="2168">
        <v>13</v>
      </c>
      <c r="P117" s="2168">
        <v>14</v>
      </c>
      <c r="Q117" s="2167">
        <v>15</v>
      </c>
      <c r="R117" s="2167">
        <v>16</v>
      </c>
      <c r="S117" s="2168">
        <v>17</v>
      </c>
      <c r="T117" s="2168">
        <v>18</v>
      </c>
      <c r="U117" s="2168">
        <v>19</v>
      </c>
      <c r="V117" s="2168">
        <v>20</v>
      </c>
      <c r="W117" s="2168">
        <v>21</v>
      </c>
      <c r="X117" s="2167">
        <v>22</v>
      </c>
      <c r="Y117" s="2167">
        <v>23</v>
      </c>
      <c r="Z117" s="2168">
        <v>24</v>
      </c>
      <c r="AA117" s="2168">
        <v>25</v>
      </c>
      <c r="AB117" s="2168">
        <v>26</v>
      </c>
      <c r="AC117" s="2168">
        <v>27</v>
      </c>
      <c r="AD117" s="2168">
        <v>28</v>
      </c>
      <c r="AE117" s="2167">
        <v>29</v>
      </c>
      <c r="AF117" s="2167">
        <v>30</v>
      </c>
      <c r="AG117" s="2169">
        <v>31</v>
      </c>
      <c r="AH117" s="173"/>
      <c r="AI117" s="174"/>
    </row>
    <row r="118" spans="1:35" ht="22.35" customHeight="1" x14ac:dyDescent="0.2">
      <c r="A118" s="2315">
        <v>1</v>
      </c>
      <c r="B118" s="2316" t="s">
        <v>173</v>
      </c>
      <c r="C118" s="2244"/>
      <c r="D118" s="2244"/>
      <c r="E118" s="2244" t="s">
        <v>174</v>
      </c>
      <c r="F118" s="2244" t="s">
        <v>174</v>
      </c>
      <c r="G118" s="2244" t="s">
        <v>174</v>
      </c>
      <c r="H118" s="2244" t="s">
        <v>174</v>
      </c>
      <c r="I118" s="2244" t="s">
        <v>174</v>
      </c>
      <c r="J118" s="2244"/>
      <c r="K118" s="2244"/>
      <c r="L118" s="2244" t="s">
        <v>128</v>
      </c>
      <c r="M118" s="2244" t="s">
        <v>128</v>
      </c>
      <c r="N118" s="2274" t="s">
        <v>128</v>
      </c>
      <c r="O118" s="2244" t="s">
        <v>128</v>
      </c>
      <c r="P118" s="2244" t="s">
        <v>128</v>
      </c>
      <c r="Q118" s="2244" t="s">
        <v>127</v>
      </c>
      <c r="R118" s="2244" t="s">
        <v>127</v>
      </c>
      <c r="S118" s="2244" t="s">
        <v>36</v>
      </c>
      <c r="T118" s="2244" t="s">
        <v>36</v>
      </c>
      <c r="U118" s="2244" t="s">
        <v>36</v>
      </c>
      <c r="V118" s="2317" t="s">
        <v>36</v>
      </c>
      <c r="W118" s="2317" t="s">
        <v>36</v>
      </c>
      <c r="X118" s="2317"/>
      <c r="Y118" s="2317"/>
      <c r="Z118" s="2244" t="s">
        <v>174</v>
      </c>
      <c r="AA118" s="2244" t="s">
        <v>174</v>
      </c>
      <c r="AB118" s="2244" t="s">
        <v>174</v>
      </c>
      <c r="AC118" s="2244" t="s">
        <v>174</v>
      </c>
      <c r="AD118" s="2244" t="s">
        <v>174</v>
      </c>
      <c r="AE118" s="2244"/>
      <c r="AF118" s="2244"/>
      <c r="AG118" s="2244" t="s">
        <v>174</v>
      </c>
      <c r="AH118" s="178"/>
      <c r="AI118" s="179"/>
    </row>
    <row r="119" spans="1:35" ht="22.35" customHeight="1" x14ac:dyDescent="0.2">
      <c r="A119" s="1010">
        <v>2</v>
      </c>
      <c r="B119" s="1011" t="s">
        <v>175</v>
      </c>
      <c r="C119" s="1012"/>
      <c r="D119" s="1012"/>
      <c r="E119" s="851" t="s">
        <v>95</v>
      </c>
      <c r="F119" s="851" t="s">
        <v>95</v>
      </c>
      <c r="G119" s="851" t="s">
        <v>95</v>
      </c>
      <c r="H119" s="851" t="s">
        <v>95</v>
      </c>
      <c r="I119" s="851" t="s">
        <v>95</v>
      </c>
      <c r="J119" s="1012"/>
      <c r="K119" s="2174"/>
      <c r="L119" s="2186" t="s">
        <v>95</v>
      </c>
      <c r="M119" s="2186" t="s">
        <v>95</v>
      </c>
      <c r="N119" s="2186" t="s">
        <v>95</v>
      </c>
      <c r="O119" s="2186" t="s">
        <v>174</v>
      </c>
      <c r="P119" s="2186">
        <v>1</v>
      </c>
      <c r="Q119" s="2186"/>
      <c r="R119" s="2186"/>
      <c r="S119" s="966" t="s">
        <v>128</v>
      </c>
      <c r="T119" s="966" t="s">
        <v>128</v>
      </c>
      <c r="U119" s="2201" t="s">
        <v>128</v>
      </c>
      <c r="V119" s="966" t="s">
        <v>128</v>
      </c>
      <c r="W119" s="966" t="s">
        <v>128</v>
      </c>
      <c r="X119" s="2186" t="s">
        <v>127</v>
      </c>
      <c r="Y119" s="2186" t="s">
        <v>127</v>
      </c>
      <c r="Z119" s="2186" t="s">
        <v>36</v>
      </c>
      <c r="AA119" s="2186" t="s">
        <v>36</v>
      </c>
      <c r="AB119" s="813" t="s">
        <v>36</v>
      </c>
      <c r="AC119" s="1012" t="s">
        <v>36</v>
      </c>
      <c r="AD119" s="1012" t="s">
        <v>36</v>
      </c>
      <c r="AE119" s="2186"/>
      <c r="AF119" s="2186"/>
      <c r="AG119" s="813">
        <v>1</v>
      </c>
      <c r="AH119" s="178"/>
      <c r="AI119" s="179"/>
    </row>
    <row r="120" spans="1:35" ht="22.35" customHeight="1" x14ac:dyDescent="0.2">
      <c r="A120" s="1010">
        <v>3</v>
      </c>
      <c r="B120" s="1011" t="s">
        <v>178</v>
      </c>
      <c r="C120" s="2318" t="s">
        <v>127</v>
      </c>
      <c r="D120" s="916" t="s">
        <v>127</v>
      </c>
      <c r="E120" s="183" t="s">
        <v>36</v>
      </c>
      <c r="F120" s="2186" t="s">
        <v>36</v>
      </c>
      <c r="G120" s="2186" t="s">
        <v>36</v>
      </c>
      <c r="H120" s="2186" t="s">
        <v>36</v>
      </c>
      <c r="I120" s="2186" t="s">
        <v>36</v>
      </c>
      <c r="J120" s="2186"/>
      <c r="K120" s="1112" t="s">
        <v>0</v>
      </c>
      <c r="L120" s="183" t="s">
        <v>174</v>
      </c>
      <c r="M120" s="2186">
        <v>99</v>
      </c>
      <c r="N120" s="2186" t="s">
        <v>174</v>
      </c>
      <c r="O120" s="2186" t="s">
        <v>174</v>
      </c>
      <c r="P120" s="2186" t="s">
        <v>243</v>
      </c>
      <c r="Q120" s="2186"/>
      <c r="R120" s="1112" t="s">
        <v>0</v>
      </c>
      <c r="S120" s="2099" t="s">
        <v>174</v>
      </c>
      <c r="T120" s="2099" t="s">
        <v>174</v>
      </c>
      <c r="U120" s="2099" t="s">
        <v>174</v>
      </c>
      <c r="V120" s="2099" t="s">
        <v>174</v>
      </c>
      <c r="W120" s="2099" t="s">
        <v>174</v>
      </c>
      <c r="X120" s="2099"/>
      <c r="Y120" s="2099"/>
      <c r="Z120" s="966" t="s">
        <v>128</v>
      </c>
      <c r="AA120" s="966" t="s">
        <v>128</v>
      </c>
      <c r="AB120" s="966" t="s">
        <v>128</v>
      </c>
      <c r="AC120" s="966" t="s">
        <v>128</v>
      </c>
      <c r="AD120" s="2186" t="s">
        <v>128</v>
      </c>
      <c r="AE120" s="2319" t="s">
        <v>127</v>
      </c>
      <c r="AF120" s="2319" t="s">
        <v>127</v>
      </c>
      <c r="AG120" s="2186" t="s">
        <v>36</v>
      </c>
      <c r="AH120" s="178"/>
      <c r="AI120" s="179"/>
    </row>
    <row r="121" spans="1:35" ht="22.35" customHeight="1" thickBot="1" x14ac:dyDescent="0.25">
      <c r="A121" s="1016">
        <v>4</v>
      </c>
      <c r="B121" s="1017" t="s">
        <v>173</v>
      </c>
      <c r="C121" s="958" t="s">
        <v>0</v>
      </c>
      <c r="D121" s="958" t="s">
        <v>0</v>
      </c>
      <c r="E121" s="958" t="s">
        <v>128</v>
      </c>
      <c r="F121" s="958" t="s">
        <v>128</v>
      </c>
      <c r="G121" s="958" t="s">
        <v>128</v>
      </c>
      <c r="H121" s="958" t="s">
        <v>128</v>
      </c>
      <c r="I121" s="958" t="s">
        <v>128</v>
      </c>
      <c r="J121" s="958" t="s">
        <v>127</v>
      </c>
      <c r="K121" s="958" t="s">
        <v>127</v>
      </c>
      <c r="L121" s="958" t="s">
        <v>36</v>
      </c>
      <c r="M121" s="958" t="s">
        <v>36</v>
      </c>
      <c r="N121" s="958" t="s">
        <v>36</v>
      </c>
      <c r="O121" s="958" t="s">
        <v>36</v>
      </c>
      <c r="P121" s="958" t="s">
        <v>36</v>
      </c>
      <c r="Q121" s="958"/>
      <c r="R121" s="958"/>
      <c r="S121" s="958" t="s">
        <v>174</v>
      </c>
      <c r="T121" s="958" t="s">
        <v>174</v>
      </c>
      <c r="U121" s="958" t="s">
        <v>174</v>
      </c>
      <c r="V121" s="958" t="s">
        <v>174</v>
      </c>
      <c r="W121" s="958" t="s">
        <v>174</v>
      </c>
      <c r="X121" s="958"/>
      <c r="Y121" s="2168"/>
      <c r="Z121" s="2168" t="s">
        <v>174</v>
      </c>
      <c r="AA121" s="2168" t="s">
        <v>174</v>
      </c>
      <c r="AB121" s="2168" t="s">
        <v>174</v>
      </c>
      <c r="AC121" s="958" t="s">
        <v>174</v>
      </c>
      <c r="AD121" s="958" t="s">
        <v>174</v>
      </c>
      <c r="AE121" s="2168" t="s">
        <v>0</v>
      </c>
      <c r="AF121" s="958" t="s">
        <v>0</v>
      </c>
      <c r="AG121" s="2169" t="s">
        <v>128</v>
      </c>
      <c r="AH121" s="178"/>
      <c r="AI121" s="179"/>
    </row>
    <row r="122" spans="1:35" ht="22.35" customHeight="1" thickBot="1" x14ac:dyDescent="0.25">
      <c r="A122" s="200"/>
      <c r="B122" s="190"/>
      <c r="C122" s="201"/>
      <c r="D122" s="201"/>
      <c r="E122" s="201"/>
      <c r="F122" s="201"/>
      <c r="G122" s="201"/>
      <c r="H122" s="201"/>
      <c r="I122" s="201"/>
      <c r="J122" s="201"/>
      <c r="K122" s="201"/>
      <c r="L122" s="201"/>
      <c r="M122" s="201"/>
      <c r="N122" s="201"/>
      <c r="O122" s="201"/>
      <c r="P122" s="201"/>
      <c r="Q122" s="201"/>
      <c r="R122" s="201"/>
      <c r="S122" s="201"/>
      <c r="T122" s="201"/>
      <c r="U122" s="201"/>
      <c r="V122" s="201"/>
      <c r="W122" s="201"/>
      <c r="X122" s="201"/>
      <c r="Y122" s="201"/>
      <c r="Z122" s="201"/>
      <c r="AA122" s="201"/>
      <c r="AB122" s="201"/>
      <c r="AC122" s="201"/>
      <c r="AD122" s="201"/>
      <c r="AE122" s="201"/>
      <c r="AF122" s="201"/>
      <c r="AG122" s="202"/>
      <c r="AH122" s="203"/>
      <c r="AI122" s="179"/>
    </row>
    <row r="123" spans="1:35" ht="22.35" customHeight="1" x14ac:dyDescent="0.2">
      <c r="A123" s="72"/>
      <c r="B123" s="2320" t="s">
        <v>180</v>
      </c>
      <c r="C123" s="2313"/>
      <c r="D123" s="2321" t="s">
        <v>107</v>
      </c>
      <c r="E123" s="2322"/>
      <c r="F123" s="2313"/>
      <c r="G123" s="2323" t="s">
        <v>108</v>
      </c>
      <c r="H123" s="2309"/>
      <c r="I123" s="2324"/>
      <c r="J123" s="2323" t="s">
        <v>109</v>
      </c>
      <c r="K123" s="2325"/>
      <c r="L123" s="2324"/>
      <c r="M123" s="2326" t="s">
        <v>110</v>
      </c>
      <c r="N123" s="2325"/>
      <c r="O123" s="2324"/>
      <c r="P123" s="2323" t="s">
        <v>111</v>
      </c>
      <c r="Q123" s="2327"/>
      <c r="R123" s="2324"/>
      <c r="S123" s="2323" t="s">
        <v>112</v>
      </c>
      <c r="T123" s="2328"/>
      <c r="U123" s="2324"/>
      <c r="V123" s="2323" t="s">
        <v>113</v>
      </c>
      <c r="W123" s="2327"/>
      <c r="X123" s="2329" t="s">
        <v>158</v>
      </c>
      <c r="Y123" s="2330"/>
      <c r="Z123" s="2330"/>
      <c r="AA123" s="2331"/>
      <c r="AB123" s="2311" t="s">
        <v>114</v>
      </c>
      <c r="AC123" s="2332"/>
      <c r="AD123" s="2332"/>
      <c r="AE123" s="2333"/>
      <c r="AF123" s="2333"/>
      <c r="AG123" s="2334"/>
      <c r="AH123" s="203"/>
      <c r="AI123" s="179"/>
    </row>
    <row r="124" spans="1:35" ht="22.35" customHeight="1" x14ac:dyDescent="0.2">
      <c r="A124" s="72"/>
      <c r="B124" s="744" t="s">
        <v>181</v>
      </c>
      <c r="C124" s="2335" t="s">
        <v>182</v>
      </c>
      <c r="D124" s="2151"/>
      <c r="E124" s="2152"/>
      <c r="F124" s="2335" t="s">
        <v>182</v>
      </c>
      <c r="G124" s="2151"/>
      <c r="H124" s="2152"/>
      <c r="I124" s="2335" t="s">
        <v>182</v>
      </c>
      <c r="J124" s="2151"/>
      <c r="K124" s="2152"/>
      <c r="L124" s="2335" t="s">
        <v>182</v>
      </c>
      <c r="M124" s="2151"/>
      <c r="N124" s="2152"/>
      <c r="O124" s="2335" t="s">
        <v>183</v>
      </c>
      <c r="P124" s="2151"/>
      <c r="Q124" s="2152"/>
      <c r="R124" s="2335"/>
      <c r="S124" s="2151"/>
      <c r="T124" s="2152"/>
      <c r="U124" s="2335"/>
      <c r="V124" s="2151"/>
      <c r="W124" s="2152"/>
      <c r="X124" s="2335"/>
      <c r="Y124" s="2336"/>
      <c r="Z124" s="2336"/>
      <c r="AA124" s="2336"/>
      <c r="AB124" s="2148"/>
      <c r="AC124" s="2336"/>
      <c r="AD124" s="2336"/>
      <c r="AE124" s="2336"/>
      <c r="AF124" s="2336"/>
      <c r="AG124" s="2337"/>
      <c r="AH124" s="203"/>
      <c r="AI124" s="179"/>
    </row>
    <row r="125" spans="1:35" ht="22.35" customHeight="1" x14ac:dyDescent="0.2">
      <c r="A125" s="72"/>
      <c r="B125" s="17"/>
      <c r="C125" s="72"/>
      <c r="D125" s="72"/>
      <c r="E125" s="72"/>
      <c r="F125" s="72"/>
      <c r="G125" s="72"/>
      <c r="H125" s="72"/>
      <c r="I125" s="72"/>
      <c r="J125" s="72"/>
      <c r="K125" s="72"/>
      <c r="L125" s="72"/>
      <c r="M125" s="72"/>
      <c r="N125" s="72"/>
      <c r="O125" s="72"/>
      <c r="P125" s="72"/>
      <c r="Q125" s="72"/>
      <c r="R125" s="72"/>
      <c r="S125" s="72"/>
      <c r="T125" s="72"/>
      <c r="U125" s="72"/>
      <c r="V125" s="72"/>
      <c r="W125" s="72"/>
      <c r="X125" s="72"/>
      <c r="Y125" s="72"/>
      <c r="Z125" s="72"/>
      <c r="AA125" s="72"/>
      <c r="AB125" s="72"/>
      <c r="AC125" s="72"/>
      <c r="AD125" s="72"/>
      <c r="AE125" s="72"/>
      <c r="AF125" s="72"/>
      <c r="AG125" s="72"/>
      <c r="AH125" s="203"/>
      <c r="AI125" s="179"/>
    </row>
    <row r="126" spans="1:35" ht="22.35" customHeight="1" thickBot="1" x14ac:dyDescent="0.25">
      <c r="A126" s="2338" t="s">
        <v>28</v>
      </c>
      <c r="B126" s="633" t="s">
        <v>29</v>
      </c>
      <c r="C126" s="2167">
        <v>1</v>
      </c>
      <c r="D126" s="2167">
        <v>2</v>
      </c>
      <c r="E126" s="2168">
        <v>3</v>
      </c>
      <c r="F126" s="2168">
        <v>4</v>
      </c>
      <c r="G126" s="2168">
        <v>5</v>
      </c>
      <c r="H126" s="2168">
        <v>6</v>
      </c>
      <c r="I126" s="2168">
        <v>7</v>
      </c>
      <c r="J126" s="2167">
        <v>8</v>
      </c>
      <c r="K126" s="2167">
        <v>9</v>
      </c>
      <c r="L126" s="2168">
        <v>10</v>
      </c>
      <c r="M126" s="2168">
        <v>11</v>
      </c>
      <c r="N126" s="2168">
        <v>12</v>
      </c>
      <c r="O126" s="2168">
        <v>13</v>
      </c>
      <c r="P126" s="2168">
        <v>14</v>
      </c>
      <c r="Q126" s="2167">
        <v>15</v>
      </c>
      <c r="R126" s="2167">
        <v>16</v>
      </c>
      <c r="S126" s="2168">
        <v>17</v>
      </c>
      <c r="T126" s="2168">
        <v>18</v>
      </c>
      <c r="U126" s="2168">
        <v>19</v>
      </c>
      <c r="V126" s="2168">
        <v>20</v>
      </c>
      <c r="W126" s="2168">
        <v>21</v>
      </c>
      <c r="X126" s="2167">
        <v>22</v>
      </c>
      <c r="Y126" s="2167">
        <v>23</v>
      </c>
      <c r="Z126" s="2168">
        <v>24</v>
      </c>
      <c r="AA126" s="2168">
        <v>25</v>
      </c>
      <c r="AB126" s="2168">
        <v>26</v>
      </c>
      <c r="AC126" s="2168">
        <v>27</v>
      </c>
      <c r="AD126" s="2168">
        <v>28</v>
      </c>
      <c r="AE126" s="2167">
        <v>29</v>
      </c>
      <c r="AF126" s="2167">
        <v>30</v>
      </c>
      <c r="AG126" s="2169">
        <v>31</v>
      </c>
      <c r="AH126" s="203"/>
      <c r="AI126" s="179"/>
    </row>
    <row r="127" spans="1:35" ht="22.35" customHeight="1" x14ac:dyDescent="0.2">
      <c r="A127" s="2339">
        <v>8520</v>
      </c>
      <c r="B127" s="2340" t="s">
        <v>184</v>
      </c>
      <c r="C127" s="2244"/>
      <c r="D127" s="2244"/>
      <c r="E127" s="2244" t="s">
        <v>358</v>
      </c>
      <c r="F127" s="2244" t="s">
        <v>358</v>
      </c>
      <c r="G127" s="2244" t="s">
        <v>358</v>
      </c>
      <c r="H127" s="2244" t="s">
        <v>358</v>
      </c>
      <c r="I127" s="2244" t="s">
        <v>358</v>
      </c>
      <c r="J127" s="2244"/>
      <c r="K127" s="2244"/>
      <c r="L127" s="2244" t="s">
        <v>358</v>
      </c>
      <c r="M127" s="2244" t="s">
        <v>358</v>
      </c>
      <c r="N127" s="2244" t="s">
        <v>358</v>
      </c>
      <c r="O127" s="2244" t="s">
        <v>358</v>
      </c>
      <c r="P127" s="2244" t="s">
        <v>358</v>
      </c>
      <c r="Q127" s="2244"/>
      <c r="R127" s="2244"/>
      <c r="S127" s="2244" t="s">
        <v>358</v>
      </c>
      <c r="T127" s="2244" t="s">
        <v>358</v>
      </c>
      <c r="U127" s="2244" t="s">
        <v>358</v>
      </c>
      <c r="V127" s="2244" t="s">
        <v>358</v>
      </c>
      <c r="W127" s="2244" t="s">
        <v>358</v>
      </c>
      <c r="X127" s="2244"/>
      <c r="Y127" s="2244"/>
      <c r="Z127" s="2247" t="s">
        <v>358</v>
      </c>
      <c r="AA127" s="2247" t="s">
        <v>358</v>
      </c>
      <c r="AB127" s="2247" t="s">
        <v>358</v>
      </c>
      <c r="AC127" s="2247" t="s">
        <v>358</v>
      </c>
      <c r="AD127" s="2247" t="s">
        <v>358</v>
      </c>
      <c r="AE127" s="2247"/>
      <c r="AF127" s="2247"/>
      <c r="AG127" s="2244" t="s">
        <v>358</v>
      </c>
      <c r="AH127" s="203"/>
      <c r="AI127" s="179"/>
    </row>
    <row r="128" spans="1:35" ht="22.35" customHeight="1" x14ac:dyDescent="0.2">
      <c r="A128" s="209"/>
      <c r="B128" s="208"/>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c r="AA128" s="199"/>
      <c r="AB128" s="199"/>
      <c r="AC128" s="199"/>
      <c r="AD128" s="199"/>
      <c r="AE128" s="199"/>
      <c r="AF128" s="199"/>
      <c r="AG128" s="199"/>
      <c r="AH128" s="203"/>
      <c r="AI128" s="179"/>
    </row>
    <row r="129" spans="1:35" ht="22.35" customHeight="1" x14ac:dyDescent="0.2">
      <c r="AH129" s="107"/>
      <c r="AI129" s="107"/>
    </row>
    <row r="130" spans="1:35" ht="22.35" customHeight="1" thickBot="1" x14ac:dyDescent="0.25">
      <c r="A130" s="169" t="s">
        <v>185</v>
      </c>
      <c r="B130" s="170"/>
      <c r="C130" s="170"/>
      <c r="D130" s="171"/>
      <c r="E130" s="171"/>
      <c r="F130" s="171"/>
      <c r="G130" s="105"/>
      <c r="H130" s="171"/>
      <c r="I130" s="171"/>
      <c r="J130" s="171"/>
      <c r="K130" s="171"/>
      <c r="L130" s="171"/>
      <c r="M130" s="171"/>
      <c r="N130" s="171"/>
      <c r="O130" s="171"/>
      <c r="P130" s="171"/>
      <c r="Q130" s="171"/>
      <c r="R130" s="171"/>
      <c r="S130" s="171"/>
      <c r="T130" s="171"/>
      <c r="U130" s="171"/>
      <c r="V130" s="171"/>
      <c r="W130" s="171"/>
      <c r="X130" s="171"/>
      <c r="Y130" s="171"/>
      <c r="Z130" s="171"/>
      <c r="AA130" s="171"/>
      <c r="AB130" s="171"/>
      <c r="AC130" s="171"/>
      <c r="AD130" s="171"/>
      <c r="AE130" s="171"/>
      <c r="AF130" s="171"/>
      <c r="AG130" s="171"/>
      <c r="AH130" s="170"/>
      <c r="AI130" s="170"/>
    </row>
    <row r="131" spans="1:35" ht="22.35" customHeight="1" x14ac:dyDescent="0.2">
      <c r="A131" s="169"/>
      <c r="B131" s="2320" t="s">
        <v>186</v>
      </c>
      <c r="C131" s="2341"/>
      <c r="D131" s="2342" t="s">
        <v>107</v>
      </c>
      <c r="E131" s="2343"/>
      <c r="F131" s="2344"/>
      <c r="G131" s="2341"/>
      <c r="H131" s="2342" t="s">
        <v>108</v>
      </c>
      <c r="I131" s="2343"/>
      <c r="J131" s="2344"/>
      <c r="K131" s="2341"/>
      <c r="L131" s="2342" t="s">
        <v>109</v>
      </c>
      <c r="M131" s="2343"/>
      <c r="N131" s="2344"/>
      <c r="O131" s="2341"/>
      <c r="P131" s="2342" t="s">
        <v>110</v>
      </c>
      <c r="Q131" s="2343"/>
      <c r="R131" s="2344"/>
      <c r="S131" s="2341"/>
      <c r="T131" s="2342" t="s">
        <v>111</v>
      </c>
      <c r="U131" s="2343"/>
      <c r="V131" s="2344"/>
      <c r="W131" s="2341"/>
      <c r="X131" s="2342" t="s">
        <v>112</v>
      </c>
      <c r="Y131" s="2343"/>
      <c r="Z131" s="2344"/>
      <c r="AA131" s="2341"/>
      <c r="AB131" s="2342" t="s">
        <v>113</v>
      </c>
      <c r="AC131" s="2343"/>
      <c r="AD131" s="2343"/>
      <c r="AE131" s="2345" t="s">
        <v>114</v>
      </c>
      <c r="AF131" s="2343"/>
      <c r="AG131" s="2343"/>
      <c r="AH131" s="2343"/>
      <c r="AI131" s="2346"/>
    </row>
    <row r="132" spans="1:35" ht="22.35" customHeight="1" x14ac:dyDescent="0.2">
      <c r="A132" s="169"/>
      <c r="B132" s="737" t="s">
        <v>159</v>
      </c>
      <c r="C132" s="2347">
        <v>69</v>
      </c>
      <c r="D132" s="2348" t="s">
        <v>187</v>
      </c>
      <c r="E132" s="2348"/>
      <c r="F132" s="2349"/>
      <c r="G132" s="2347">
        <v>69</v>
      </c>
      <c r="H132" s="2348" t="s">
        <v>187</v>
      </c>
      <c r="I132" s="2348"/>
      <c r="J132" s="2349"/>
      <c r="K132" s="2347">
        <v>69</v>
      </c>
      <c r="L132" s="2348" t="s">
        <v>187</v>
      </c>
      <c r="M132" s="2348"/>
      <c r="N132" s="2349"/>
      <c r="O132" s="2347">
        <v>69</v>
      </c>
      <c r="P132" s="2348" t="s">
        <v>187</v>
      </c>
      <c r="Q132" s="2348"/>
      <c r="R132" s="2349"/>
      <c r="S132" s="2347">
        <v>69</v>
      </c>
      <c r="T132" s="2348" t="s">
        <v>187</v>
      </c>
      <c r="U132" s="2348"/>
      <c r="V132" s="2349"/>
      <c r="W132" s="2347"/>
      <c r="X132" s="2350"/>
      <c r="Y132" s="2350"/>
      <c r="Z132" s="2351"/>
      <c r="AA132" s="2347"/>
      <c r="AB132" s="2348"/>
      <c r="AC132" s="2348"/>
      <c r="AD132" s="641"/>
      <c r="AE132" s="2352">
        <v>35</v>
      </c>
      <c r="AF132" s="2348"/>
      <c r="AG132" s="2348"/>
      <c r="AH132" s="641"/>
      <c r="AI132" s="2353"/>
    </row>
    <row r="133" spans="1:35" ht="22.35" customHeight="1" x14ac:dyDescent="0.2">
      <c r="A133" s="169"/>
      <c r="B133" s="737" t="s">
        <v>163</v>
      </c>
      <c r="C133" s="2347">
        <v>79</v>
      </c>
      <c r="D133" s="2348" t="s">
        <v>188</v>
      </c>
      <c r="E133" s="2348"/>
      <c r="F133" s="2349"/>
      <c r="G133" s="2347">
        <v>79</v>
      </c>
      <c r="H133" s="2348" t="s">
        <v>188</v>
      </c>
      <c r="I133" s="2348"/>
      <c r="J133" s="2349"/>
      <c r="K133" s="2347">
        <v>79</v>
      </c>
      <c r="L133" s="2348" t="s">
        <v>188</v>
      </c>
      <c r="M133" s="2348"/>
      <c r="N133" s="2349"/>
      <c r="O133" s="2347">
        <v>79</v>
      </c>
      <c r="P133" s="2348" t="s">
        <v>188</v>
      </c>
      <c r="Q133" s="2348"/>
      <c r="R133" s="2349"/>
      <c r="S133" s="2347">
        <v>79</v>
      </c>
      <c r="T133" s="2348" t="s">
        <v>188</v>
      </c>
      <c r="U133" s="2348"/>
      <c r="V133" s="2349"/>
      <c r="W133" s="2347"/>
      <c r="X133" s="2348"/>
      <c r="Y133" s="2348"/>
      <c r="Z133" s="2349"/>
      <c r="AA133" s="2348"/>
      <c r="AB133" s="2348"/>
      <c r="AC133" s="2348"/>
      <c r="AD133" s="641"/>
      <c r="AE133" s="2352">
        <v>40</v>
      </c>
      <c r="AF133" s="2348"/>
      <c r="AG133" s="2348"/>
      <c r="AH133" s="641"/>
      <c r="AI133" s="2353"/>
    </row>
    <row r="134" spans="1:35" ht="22.35" customHeight="1" x14ac:dyDescent="0.2">
      <c r="A134" s="169"/>
      <c r="B134" s="737" t="s">
        <v>170</v>
      </c>
      <c r="C134" s="2347">
        <v>89</v>
      </c>
      <c r="D134" s="2348" t="s">
        <v>189</v>
      </c>
      <c r="E134" s="2348"/>
      <c r="F134" s="2349"/>
      <c r="G134" s="2347">
        <v>89</v>
      </c>
      <c r="H134" s="2348" t="s">
        <v>189</v>
      </c>
      <c r="I134" s="2348"/>
      <c r="J134" s="2349"/>
      <c r="K134" s="2347">
        <v>89</v>
      </c>
      <c r="L134" s="2348" t="s">
        <v>189</v>
      </c>
      <c r="M134" s="2348"/>
      <c r="N134" s="2349"/>
      <c r="O134" s="2347">
        <v>89</v>
      </c>
      <c r="P134" s="2348" t="s">
        <v>189</v>
      </c>
      <c r="Q134" s="2348"/>
      <c r="R134" s="2349"/>
      <c r="S134" s="2347">
        <v>89</v>
      </c>
      <c r="T134" s="2348" t="s">
        <v>190</v>
      </c>
      <c r="U134" s="2348"/>
      <c r="V134" s="2349"/>
      <c r="W134" s="2354"/>
      <c r="X134" s="2355" t="s">
        <v>191</v>
      </c>
      <c r="Y134" s="2355"/>
      <c r="Z134" s="2356"/>
      <c r="AA134" s="2354"/>
      <c r="AB134" s="2355"/>
      <c r="AC134" s="2355"/>
      <c r="AD134" s="2260"/>
      <c r="AE134" s="2352">
        <v>44</v>
      </c>
      <c r="AF134" s="2348"/>
      <c r="AG134" s="2348"/>
      <c r="AH134" s="641"/>
      <c r="AI134" s="2353"/>
    </row>
    <row r="135" spans="1:35" ht="22.35" customHeight="1" x14ac:dyDescent="0.2">
      <c r="A135" s="169"/>
      <c r="B135" s="38" t="s">
        <v>172</v>
      </c>
      <c r="C135" s="2354">
        <v>99</v>
      </c>
      <c r="D135" s="2355" t="s">
        <v>192</v>
      </c>
      <c r="E135" s="2355"/>
      <c r="F135" s="2356"/>
      <c r="G135" s="2354">
        <v>99</v>
      </c>
      <c r="H135" s="2355" t="s">
        <v>192</v>
      </c>
      <c r="I135" s="2355"/>
      <c r="J135" s="2356"/>
      <c r="K135" s="2354">
        <v>99</v>
      </c>
      <c r="L135" s="2355" t="s">
        <v>192</v>
      </c>
      <c r="M135" s="2355"/>
      <c r="N135" s="2356"/>
      <c r="O135" s="2354">
        <v>99</v>
      </c>
      <c r="P135" s="2355" t="s">
        <v>192</v>
      </c>
      <c r="Q135" s="2355"/>
      <c r="R135" s="2356"/>
      <c r="S135" s="2354">
        <v>99</v>
      </c>
      <c r="T135" s="2355" t="s">
        <v>171</v>
      </c>
      <c r="U135" s="2355"/>
      <c r="V135" s="2260"/>
      <c r="W135" s="2259"/>
      <c r="X135" s="2260"/>
      <c r="Y135" s="2355"/>
      <c r="Z135" s="2356"/>
      <c r="AA135" s="2259"/>
      <c r="AB135" s="2260"/>
      <c r="AC135" s="2355"/>
      <c r="AD135" s="2356"/>
      <c r="AE135" s="2357">
        <v>28</v>
      </c>
      <c r="AF135" s="2355"/>
      <c r="AG135" s="2355"/>
      <c r="AH135" s="2260"/>
      <c r="AI135" s="2358"/>
    </row>
    <row r="136" spans="1:35" ht="22.35" customHeight="1" thickBot="1" x14ac:dyDescent="0.25">
      <c r="A136" s="169"/>
      <c r="B136" s="1056" t="s">
        <v>193</v>
      </c>
      <c r="C136" s="1057" t="s">
        <v>58</v>
      </c>
      <c r="D136" s="1058" t="s">
        <v>194</v>
      </c>
      <c r="E136" s="745"/>
      <c r="F136" s="889"/>
      <c r="G136" s="1057" t="s">
        <v>58</v>
      </c>
      <c r="H136" s="1058" t="s">
        <v>194</v>
      </c>
      <c r="I136" s="734"/>
      <c r="J136" s="745"/>
      <c r="K136" s="1057" t="s">
        <v>58</v>
      </c>
      <c r="L136" s="1058" t="s">
        <v>194</v>
      </c>
      <c r="M136" s="745"/>
      <c r="N136" s="1059"/>
      <c r="O136" s="1057" t="s">
        <v>58</v>
      </c>
      <c r="P136" s="1058" t="s">
        <v>194</v>
      </c>
      <c r="Q136" s="745"/>
      <c r="R136" s="1058"/>
      <c r="S136" s="1057" t="s">
        <v>58</v>
      </c>
      <c r="T136" s="891" t="s">
        <v>195</v>
      </c>
      <c r="U136" s="1058"/>
      <c r="V136" s="1059"/>
      <c r="W136" s="745"/>
      <c r="X136" s="1058"/>
      <c r="Y136" s="1058"/>
      <c r="Z136" s="1058"/>
      <c r="AA136" s="1060"/>
      <c r="AB136" s="1061"/>
      <c r="AC136" s="1058"/>
      <c r="AD136" s="1062"/>
      <c r="AE136" s="1058"/>
      <c r="AF136" s="1058"/>
      <c r="AG136" s="1058"/>
      <c r="AH136" s="1063"/>
      <c r="AI136" s="1064"/>
    </row>
    <row r="137" spans="1:35" ht="22.35" customHeight="1" x14ac:dyDescent="0.2">
      <c r="A137" s="108"/>
      <c r="B137" s="169"/>
      <c r="C137" s="171"/>
      <c r="D137" s="171"/>
      <c r="E137" s="171"/>
      <c r="F137" s="171"/>
      <c r="G137" s="171"/>
      <c r="H137" s="171"/>
      <c r="I137" s="171"/>
      <c r="J137" s="171"/>
      <c r="K137" s="171"/>
      <c r="L137" s="171"/>
      <c r="M137" s="171"/>
      <c r="N137" s="171"/>
      <c r="O137" s="171"/>
      <c r="P137" s="171"/>
      <c r="Q137" s="171"/>
      <c r="R137" s="171"/>
      <c r="S137" s="171"/>
      <c r="T137" s="171"/>
      <c r="U137" s="171"/>
      <c r="V137" s="171"/>
      <c r="W137" s="171"/>
      <c r="X137" s="171"/>
      <c r="Y137" s="171"/>
      <c r="Z137" s="171"/>
      <c r="AA137" s="171"/>
      <c r="AB137" s="171"/>
      <c r="AC137" s="171"/>
      <c r="AD137" s="171"/>
      <c r="AE137" s="171"/>
      <c r="AF137" s="171"/>
      <c r="AG137" s="171"/>
      <c r="AH137" s="170"/>
      <c r="AI137" s="170"/>
    </row>
    <row r="138" spans="1:35" ht="22.35" customHeight="1" thickBot="1" x14ac:dyDescent="0.25">
      <c r="A138" s="2338"/>
      <c r="B138" s="633" t="s">
        <v>29</v>
      </c>
      <c r="C138" s="2167">
        <v>1</v>
      </c>
      <c r="D138" s="2167">
        <v>2</v>
      </c>
      <c r="E138" s="2168">
        <v>3</v>
      </c>
      <c r="F138" s="2168">
        <v>4</v>
      </c>
      <c r="G138" s="2168">
        <v>5</v>
      </c>
      <c r="H138" s="2168">
        <v>6</v>
      </c>
      <c r="I138" s="2168">
        <v>7</v>
      </c>
      <c r="J138" s="2167">
        <v>8</v>
      </c>
      <c r="K138" s="2167">
        <v>9</v>
      </c>
      <c r="L138" s="2168">
        <v>10</v>
      </c>
      <c r="M138" s="2168">
        <v>11</v>
      </c>
      <c r="N138" s="2168">
        <v>12</v>
      </c>
      <c r="O138" s="2168">
        <v>13</v>
      </c>
      <c r="P138" s="2168">
        <v>14</v>
      </c>
      <c r="Q138" s="2167">
        <v>15</v>
      </c>
      <c r="R138" s="2167">
        <v>16</v>
      </c>
      <c r="S138" s="2168">
        <v>17</v>
      </c>
      <c r="T138" s="2168">
        <v>18</v>
      </c>
      <c r="U138" s="2168">
        <v>19</v>
      </c>
      <c r="V138" s="2168">
        <v>20</v>
      </c>
      <c r="W138" s="2168">
        <v>21</v>
      </c>
      <c r="X138" s="2167">
        <v>22</v>
      </c>
      <c r="Y138" s="2167">
        <v>23</v>
      </c>
      <c r="Z138" s="2168">
        <v>24</v>
      </c>
      <c r="AA138" s="2168">
        <v>25</v>
      </c>
      <c r="AB138" s="2168">
        <v>26</v>
      </c>
      <c r="AC138" s="2168">
        <v>27</v>
      </c>
      <c r="AD138" s="2168">
        <v>28</v>
      </c>
      <c r="AE138" s="2167">
        <v>29</v>
      </c>
      <c r="AF138" s="2167">
        <v>30</v>
      </c>
      <c r="AG138" s="2169">
        <v>31</v>
      </c>
      <c r="AH138" s="173"/>
      <c r="AI138" s="174"/>
    </row>
    <row r="139" spans="1:35" ht="22.35" customHeight="1" x14ac:dyDescent="0.2">
      <c r="A139" s="2315">
        <v>1</v>
      </c>
      <c r="B139" s="2359" t="s">
        <v>196</v>
      </c>
      <c r="C139" s="1894"/>
      <c r="D139" s="1894"/>
      <c r="E139" s="2244">
        <v>79</v>
      </c>
      <c r="F139" s="2244">
        <v>79</v>
      </c>
      <c r="G139" s="1899">
        <v>79</v>
      </c>
      <c r="H139" s="1894">
        <v>79</v>
      </c>
      <c r="I139" s="1899">
        <v>79</v>
      </c>
      <c r="J139" s="1899"/>
      <c r="K139" s="1894"/>
      <c r="L139" s="1899">
        <v>89</v>
      </c>
      <c r="M139" s="2244">
        <v>89</v>
      </c>
      <c r="N139" s="1894">
        <v>89</v>
      </c>
      <c r="O139" s="1894">
        <v>89</v>
      </c>
      <c r="P139" s="1894">
        <v>89</v>
      </c>
      <c r="Q139" s="1894">
        <v>89</v>
      </c>
      <c r="R139" s="1894"/>
      <c r="S139" s="2244">
        <v>99</v>
      </c>
      <c r="T139" s="2244">
        <v>99</v>
      </c>
      <c r="U139" s="1894">
        <v>99</v>
      </c>
      <c r="V139" s="1894">
        <v>99</v>
      </c>
      <c r="W139" s="1894" t="s">
        <v>36</v>
      </c>
      <c r="X139" s="1894"/>
      <c r="Y139" s="1894"/>
      <c r="Z139" s="2244" t="s">
        <v>358</v>
      </c>
      <c r="AA139" s="2244" t="s">
        <v>358</v>
      </c>
      <c r="AB139" s="2244" t="s">
        <v>358</v>
      </c>
      <c r="AC139" s="2360" t="s">
        <v>358</v>
      </c>
      <c r="AD139" s="2244" t="s">
        <v>358</v>
      </c>
      <c r="AE139" s="1894"/>
      <c r="AF139" s="1899"/>
      <c r="AG139" s="2361">
        <v>69</v>
      </c>
      <c r="AH139" s="191"/>
      <c r="AI139" s="107"/>
    </row>
    <row r="140" spans="1:35" ht="22.35" customHeight="1" x14ac:dyDescent="0.2">
      <c r="A140" s="1010">
        <v>2</v>
      </c>
      <c r="B140" s="1068" t="s">
        <v>197</v>
      </c>
      <c r="C140" s="2183"/>
      <c r="D140" s="2183"/>
      <c r="E140" s="2183">
        <v>89</v>
      </c>
      <c r="F140" s="2183">
        <v>89</v>
      </c>
      <c r="G140" s="2183">
        <v>89</v>
      </c>
      <c r="H140" s="868">
        <v>89</v>
      </c>
      <c r="I140" s="868">
        <v>89</v>
      </c>
      <c r="J140" s="868">
        <v>89</v>
      </c>
      <c r="K140" s="868"/>
      <c r="L140" s="2186">
        <v>99</v>
      </c>
      <c r="M140" s="1397">
        <v>99</v>
      </c>
      <c r="N140" s="868">
        <v>99</v>
      </c>
      <c r="O140" s="868">
        <v>99</v>
      </c>
      <c r="P140" s="868" t="s">
        <v>36</v>
      </c>
      <c r="Q140" s="868"/>
      <c r="R140" s="2187"/>
      <c r="S140" s="1909" t="s">
        <v>58</v>
      </c>
      <c r="T140" s="1247" t="s">
        <v>58</v>
      </c>
      <c r="U140" s="1909" t="s">
        <v>58</v>
      </c>
      <c r="V140" s="1909" t="s">
        <v>58</v>
      </c>
      <c r="W140" s="1909" t="s">
        <v>58</v>
      </c>
      <c r="X140" s="868"/>
      <c r="Y140" s="868"/>
      <c r="Z140" s="868">
        <v>69</v>
      </c>
      <c r="AA140" s="2186">
        <v>69</v>
      </c>
      <c r="AB140" s="2187">
        <v>69</v>
      </c>
      <c r="AC140" s="2201">
        <v>69</v>
      </c>
      <c r="AD140" s="2201">
        <v>69</v>
      </c>
      <c r="AE140" s="2201"/>
      <c r="AF140" s="2201"/>
      <c r="AG140" s="1070">
        <v>79</v>
      </c>
      <c r="AH140" s="192"/>
      <c r="AI140" s="168"/>
    </row>
    <row r="141" spans="1:35" ht="22.35" customHeight="1" x14ac:dyDescent="0.2">
      <c r="A141" s="1010">
        <v>3</v>
      </c>
      <c r="B141" s="1068" t="s">
        <v>360</v>
      </c>
      <c r="C141" s="820" t="s">
        <v>426</v>
      </c>
      <c r="D141" s="741"/>
      <c r="E141" s="1072">
        <v>99</v>
      </c>
      <c r="F141" s="1072">
        <v>99</v>
      </c>
      <c r="G141" s="1072">
        <v>99</v>
      </c>
      <c r="H141" s="1072">
        <v>99</v>
      </c>
      <c r="I141" s="1072" t="s">
        <v>36</v>
      </c>
      <c r="J141" s="1072"/>
      <c r="K141" s="1072"/>
      <c r="L141" s="1072" t="s">
        <v>58</v>
      </c>
      <c r="M141" s="1072" t="s">
        <v>58</v>
      </c>
      <c r="N141" s="1072" t="s">
        <v>58</v>
      </c>
      <c r="O141" s="2201" t="s">
        <v>58</v>
      </c>
      <c r="P141" s="2201" t="s">
        <v>58</v>
      </c>
      <c r="Q141" s="2201"/>
      <c r="R141" s="2201"/>
      <c r="S141" s="2201">
        <v>69</v>
      </c>
      <c r="T141" s="2201">
        <v>69</v>
      </c>
      <c r="U141" s="2201">
        <v>69</v>
      </c>
      <c r="V141" s="1072">
        <v>69</v>
      </c>
      <c r="W141" s="1072">
        <v>69</v>
      </c>
      <c r="X141" s="1072"/>
      <c r="Y141" s="1072"/>
      <c r="Z141" s="1072">
        <v>79</v>
      </c>
      <c r="AA141" s="1072">
        <v>79</v>
      </c>
      <c r="AB141" s="1072">
        <v>79</v>
      </c>
      <c r="AC141" s="1072">
        <v>79</v>
      </c>
      <c r="AD141" s="1072">
        <v>79</v>
      </c>
      <c r="AE141" s="1072"/>
      <c r="AF141" s="1072"/>
      <c r="AG141" s="1075">
        <v>89</v>
      </c>
      <c r="AH141" s="191"/>
      <c r="AI141" s="107"/>
    </row>
    <row r="142" spans="1:35" ht="22.35" customHeight="1" x14ac:dyDescent="0.2">
      <c r="A142" s="1010">
        <v>4</v>
      </c>
      <c r="B142" s="394" t="s">
        <v>199</v>
      </c>
      <c r="C142" s="2186"/>
      <c r="D142" s="2186"/>
      <c r="E142" s="2186" t="s">
        <v>58</v>
      </c>
      <c r="F142" s="2186" t="s">
        <v>58</v>
      </c>
      <c r="G142" s="2186" t="s">
        <v>58</v>
      </c>
      <c r="H142" s="2186" t="s">
        <v>201</v>
      </c>
      <c r="I142" s="2186" t="s">
        <v>201</v>
      </c>
      <c r="J142" s="2186"/>
      <c r="K142" s="2186"/>
      <c r="L142" s="2186">
        <v>69</v>
      </c>
      <c r="M142" s="2186">
        <v>69</v>
      </c>
      <c r="N142" s="2186">
        <v>69</v>
      </c>
      <c r="O142" s="2186">
        <v>69</v>
      </c>
      <c r="P142" s="2186">
        <v>69</v>
      </c>
      <c r="Q142" s="985"/>
      <c r="R142" s="985"/>
      <c r="S142" s="2186">
        <v>79</v>
      </c>
      <c r="T142" s="2186">
        <v>79</v>
      </c>
      <c r="U142" s="2186">
        <v>79</v>
      </c>
      <c r="V142" s="2186">
        <v>79</v>
      </c>
      <c r="W142" s="2186">
        <v>79</v>
      </c>
      <c r="X142" s="2186"/>
      <c r="Y142" s="985"/>
      <c r="Z142" s="985">
        <v>89</v>
      </c>
      <c r="AA142" s="2186">
        <v>89</v>
      </c>
      <c r="AB142" s="2186">
        <v>89</v>
      </c>
      <c r="AC142" s="2186">
        <v>89</v>
      </c>
      <c r="AD142" s="2186">
        <v>89</v>
      </c>
      <c r="AE142" s="2186">
        <v>89</v>
      </c>
      <c r="AF142" s="985"/>
      <c r="AG142" s="1070">
        <v>99</v>
      </c>
      <c r="AH142" s="191"/>
      <c r="AI142" s="107"/>
    </row>
    <row r="143" spans="1:35" ht="22.35" customHeight="1" thickBot="1" x14ac:dyDescent="0.25">
      <c r="A143" s="1016">
        <v>5</v>
      </c>
      <c r="B143" s="1076" t="s">
        <v>202</v>
      </c>
      <c r="C143" s="1077"/>
      <c r="D143" s="1077"/>
      <c r="E143" s="1078">
        <v>69</v>
      </c>
      <c r="F143" s="2168">
        <v>69</v>
      </c>
      <c r="G143" s="2168">
        <v>69</v>
      </c>
      <c r="H143" s="908">
        <v>69</v>
      </c>
      <c r="I143" s="908">
        <v>69</v>
      </c>
      <c r="J143" s="908"/>
      <c r="K143" s="908"/>
      <c r="L143" s="2168">
        <v>79</v>
      </c>
      <c r="M143" s="2168">
        <v>79</v>
      </c>
      <c r="N143" s="987">
        <v>79</v>
      </c>
      <c r="O143" s="987">
        <v>79</v>
      </c>
      <c r="P143" s="987">
        <v>79</v>
      </c>
      <c r="Q143" s="987"/>
      <c r="R143" s="987"/>
      <c r="S143" s="911">
        <v>89</v>
      </c>
      <c r="T143" s="911">
        <v>89</v>
      </c>
      <c r="U143" s="911">
        <v>89</v>
      </c>
      <c r="V143" s="911">
        <v>89</v>
      </c>
      <c r="W143" s="911">
        <v>89</v>
      </c>
      <c r="X143" s="911">
        <v>89</v>
      </c>
      <c r="Y143" s="911"/>
      <c r="Z143" s="987">
        <v>99</v>
      </c>
      <c r="AA143" s="2223">
        <v>99</v>
      </c>
      <c r="AB143" s="987">
        <v>99</v>
      </c>
      <c r="AC143" s="987">
        <v>99</v>
      </c>
      <c r="AD143" s="987" t="s">
        <v>36</v>
      </c>
      <c r="AE143" s="987"/>
      <c r="AF143" s="987"/>
      <c r="AG143" s="1079" t="s">
        <v>58</v>
      </c>
      <c r="AH143" s="191"/>
      <c r="AI143" s="107"/>
    </row>
    <row r="144" spans="1:35" ht="22.35" customHeight="1" x14ac:dyDescent="0.2">
      <c r="A144" s="200"/>
      <c r="B144" s="217"/>
      <c r="C144" s="218"/>
      <c r="D144" s="218"/>
      <c r="E144" s="218"/>
      <c r="F144" s="199"/>
      <c r="G144" s="216"/>
      <c r="H144" s="216"/>
      <c r="I144" s="216"/>
      <c r="J144" s="216"/>
      <c r="K144" s="216"/>
      <c r="L144" s="199"/>
      <c r="M144" s="199"/>
      <c r="N144" s="218"/>
      <c r="O144" s="218"/>
      <c r="P144" s="218"/>
      <c r="Q144" s="218"/>
      <c r="R144" s="218"/>
      <c r="S144" s="199"/>
      <c r="T144" s="219"/>
      <c r="U144" s="218"/>
      <c r="V144" s="218"/>
      <c r="W144" s="218"/>
      <c r="X144" s="218"/>
      <c r="Y144" s="218"/>
      <c r="Z144" s="220"/>
      <c r="AA144" s="220"/>
      <c r="AB144" s="218"/>
      <c r="AC144" s="218"/>
      <c r="AD144" s="218"/>
      <c r="AE144" s="218"/>
      <c r="AF144" s="218"/>
      <c r="AG144" s="220"/>
      <c r="AH144" s="191"/>
      <c r="AI144" s="107"/>
    </row>
    <row r="145" spans="1:35" ht="22.35" customHeight="1" x14ac:dyDescent="0.2">
      <c r="A145" s="109"/>
      <c r="B145" s="110"/>
      <c r="C145" s="106"/>
      <c r="D145" s="106"/>
      <c r="E145" s="106"/>
      <c r="F145" s="106"/>
      <c r="G145" s="106"/>
      <c r="H145" s="106"/>
      <c r="I145" s="106"/>
      <c r="J145" s="106"/>
      <c r="K145" s="106"/>
      <c r="L145" s="106"/>
      <c r="M145" s="106"/>
      <c r="N145" s="106"/>
      <c r="O145" s="106"/>
      <c r="P145" s="106"/>
      <c r="Q145" s="106"/>
      <c r="R145" s="106"/>
      <c r="S145" s="106"/>
      <c r="T145" s="106"/>
      <c r="U145" s="106"/>
      <c r="V145" s="106"/>
      <c r="W145" s="106"/>
      <c r="X145" s="106"/>
      <c r="Y145" s="106"/>
      <c r="Z145" s="106"/>
      <c r="AA145" s="106"/>
      <c r="AB145" s="106"/>
      <c r="AC145" s="106"/>
      <c r="AD145" s="106"/>
      <c r="AE145" s="106"/>
      <c r="AF145" s="106"/>
      <c r="AG145" s="106"/>
      <c r="AH145" s="107"/>
      <c r="AI145" s="107"/>
    </row>
    <row r="146" spans="1:35" ht="22.35" customHeight="1" thickBot="1" x14ac:dyDescent="0.25">
      <c r="A146" s="169" t="s">
        <v>204</v>
      </c>
      <c r="B146" s="170"/>
      <c r="C146" s="170"/>
      <c r="D146" s="171"/>
      <c r="E146" s="171"/>
      <c r="F146" s="171"/>
      <c r="G146" s="105"/>
      <c r="H146" s="171"/>
      <c r="I146" s="171"/>
      <c r="J146" s="171"/>
      <c r="K146" s="171"/>
      <c r="L146" s="171"/>
      <c r="M146" s="171"/>
      <c r="N146" s="171"/>
      <c r="O146" s="171"/>
      <c r="P146" s="171"/>
      <c r="Q146" s="171"/>
      <c r="R146" s="171"/>
      <c r="S146" s="171"/>
      <c r="T146" s="171"/>
      <c r="U146" s="171"/>
      <c r="V146" s="171"/>
      <c r="W146" s="171"/>
      <c r="X146" s="171"/>
      <c r="Y146" s="171"/>
      <c r="Z146" s="171"/>
      <c r="AA146" s="171"/>
      <c r="AB146" s="171"/>
      <c r="AC146" s="171"/>
      <c r="AD146" s="171"/>
      <c r="AE146" s="171"/>
      <c r="AF146" s="171"/>
      <c r="AG146" s="171"/>
      <c r="AH146" s="170"/>
      <c r="AI146" s="170"/>
    </row>
    <row r="147" spans="1:35" ht="22.35" customHeight="1" x14ac:dyDescent="0.2">
      <c r="A147" s="169"/>
      <c r="B147" s="2320" t="s">
        <v>186</v>
      </c>
      <c r="C147" s="2341"/>
      <c r="D147" s="2342" t="s">
        <v>107</v>
      </c>
      <c r="E147" s="2343"/>
      <c r="F147" s="2344"/>
      <c r="G147" s="2341"/>
      <c r="H147" s="2342" t="s">
        <v>108</v>
      </c>
      <c r="I147" s="2343"/>
      <c r="J147" s="2344"/>
      <c r="K147" s="2341"/>
      <c r="L147" s="2342" t="s">
        <v>109</v>
      </c>
      <c r="M147" s="2343"/>
      <c r="N147" s="2344"/>
      <c r="O147" s="2341"/>
      <c r="P147" s="2342" t="s">
        <v>110</v>
      </c>
      <c r="Q147" s="2343"/>
      <c r="R147" s="2344"/>
      <c r="S147" s="2341"/>
      <c r="T147" s="2342" t="s">
        <v>111</v>
      </c>
      <c r="U147" s="2343"/>
      <c r="V147" s="2344"/>
      <c r="W147" s="2341"/>
      <c r="X147" s="2342" t="s">
        <v>112</v>
      </c>
      <c r="Y147" s="2343"/>
      <c r="Z147" s="2344"/>
      <c r="AA147" s="2341"/>
      <c r="AB147" s="2342" t="s">
        <v>113</v>
      </c>
      <c r="AC147" s="2343"/>
      <c r="AD147" s="2343"/>
      <c r="AE147" s="2345" t="s">
        <v>114</v>
      </c>
      <c r="AF147" s="2343"/>
      <c r="AG147" s="2343"/>
      <c r="AH147" s="2343"/>
      <c r="AI147" s="2346"/>
    </row>
    <row r="148" spans="1:35" ht="22.35" customHeight="1" x14ac:dyDescent="0.2">
      <c r="A148" s="169"/>
      <c r="B148" s="737" t="s">
        <v>205</v>
      </c>
      <c r="C148" s="640" t="s">
        <v>206</v>
      </c>
      <c r="D148" s="2348"/>
      <c r="E148" s="2348"/>
      <c r="F148" s="2349"/>
      <c r="G148" s="640" t="s">
        <v>206</v>
      </c>
      <c r="H148" s="2348"/>
      <c r="I148" s="2348"/>
      <c r="J148" s="2349"/>
      <c r="K148" s="640" t="s">
        <v>206</v>
      </c>
      <c r="L148" s="2348"/>
      <c r="M148" s="2348"/>
      <c r="N148" s="2349"/>
      <c r="O148" s="640" t="s">
        <v>206</v>
      </c>
      <c r="P148" s="2348"/>
      <c r="Q148" s="2348"/>
      <c r="R148" s="2349"/>
      <c r="S148" s="640" t="s">
        <v>206</v>
      </c>
      <c r="T148" s="2348"/>
      <c r="U148" s="2348"/>
      <c r="V148" s="2349"/>
      <c r="W148" s="640" t="s">
        <v>207</v>
      </c>
      <c r="X148" s="2350"/>
      <c r="Y148" s="2350"/>
      <c r="Z148" s="2351"/>
      <c r="AA148" s="640" t="s">
        <v>207</v>
      </c>
      <c r="AB148" s="2348"/>
      <c r="AC148" s="2348"/>
      <c r="AD148" s="641"/>
      <c r="AE148" s="2352">
        <v>69</v>
      </c>
      <c r="AF148" s="185"/>
      <c r="AG148" s="185"/>
      <c r="AH148" s="185"/>
      <c r="AI148" s="186"/>
    </row>
    <row r="149" spans="1:35" ht="22.35" customHeight="1" x14ac:dyDescent="0.2">
      <c r="A149" s="169"/>
      <c r="B149" s="737" t="s">
        <v>163</v>
      </c>
      <c r="C149" s="640" t="s">
        <v>171</v>
      </c>
      <c r="D149" s="2348"/>
      <c r="E149" s="2348"/>
      <c r="F149" s="2349"/>
      <c r="G149" s="640" t="s">
        <v>171</v>
      </c>
      <c r="H149" s="2348"/>
      <c r="I149" s="2348"/>
      <c r="J149" s="2349"/>
      <c r="K149" s="640" t="s">
        <v>171</v>
      </c>
      <c r="L149" s="2348"/>
      <c r="M149" s="2348"/>
      <c r="N149" s="2349"/>
      <c r="O149" s="640" t="s">
        <v>171</v>
      </c>
      <c r="P149" s="2348"/>
      <c r="Q149" s="2348"/>
      <c r="R149" s="2349"/>
      <c r="S149" s="640" t="s">
        <v>171</v>
      </c>
      <c r="T149" s="2348"/>
      <c r="U149" s="2348"/>
      <c r="V149" s="2349"/>
      <c r="W149" s="640" t="s">
        <v>171</v>
      </c>
      <c r="X149" s="2348"/>
      <c r="Y149" s="2348"/>
      <c r="Z149" s="2349"/>
      <c r="AA149" s="2348" t="s">
        <v>171</v>
      </c>
      <c r="AB149" s="2348"/>
      <c r="AC149" s="2348"/>
      <c r="AD149" s="641"/>
      <c r="AE149" s="2352">
        <v>0</v>
      </c>
      <c r="AF149" s="185"/>
      <c r="AG149" s="185"/>
      <c r="AH149" s="185"/>
      <c r="AI149" s="186"/>
    </row>
    <row r="150" spans="1:35" ht="22.35" customHeight="1" x14ac:dyDescent="0.2">
      <c r="A150" s="169"/>
      <c r="B150" s="737" t="s">
        <v>208</v>
      </c>
      <c r="C150" s="640" t="s">
        <v>206</v>
      </c>
      <c r="D150" s="2348"/>
      <c r="E150" s="2348"/>
      <c r="F150" s="2349"/>
      <c r="G150" s="640" t="s">
        <v>206</v>
      </c>
      <c r="H150" s="2348"/>
      <c r="I150" s="2348"/>
      <c r="J150" s="2349"/>
      <c r="K150" s="640" t="s">
        <v>206</v>
      </c>
      <c r="L150" s="2348"/>
      <c r="M150" s="2348"/>
      <c r="N150" s="2349"/>
      <c r="O150" s="640" t="s">
        <v>206</v>
      </c>
      <c r="P150" s="2348"/>
      <c r="Q150" s="2348"/>
      <c r="R150" s="2349"/>
      <c r="S150" s="640" t="s">
        <v>206</v>
      </c>
      <c r="T150" s="2348"/>
      <c r="U150" s="2348"/>
      <c r="V150" s="2349"/>
      <c r="W150" s="640" t="s">
        <v>207</v>
      </c>
      <c r="X150" s="2350"/>
      <c r="Y150" s="2350"/>
      <c r="Z150" s="2351"/>
      <c r="AA150" s="640" t="s">
        <v>207</v>
      </c>
      <c r="AB150" s="2348"/>
      <c r="AC150" s="2348"/>
      <c r="AD150" s="641"/>
      <c r="AE150" s="2352">
        <v>69</v>
      </c>
      <c r="AF150" s="2348"/>
      <c r="AG150" s="2348" t="s">
        <v>0</v>
      </c>
      <c r="AH150" s="641"/>
      <c r="AI150" s="2353"/>
    </row>
    <row r="151" spans="1:35" ht="22.35" customHeight="1" x14ac:dyDescent="0.2">
      <c r="A151" s="169"/>
      <c r="B151" s="737" t="s">
        <v>172</v>
      </c>
      <c r="C151" s="640" t="s">
        <v>171</v>
      </c>
      <c r="D151" s="2348"/>
      <c r="E151" s="2348"/>
      <c r="F151" s="2349"/>
      <c r="G151" s="640" t="s">
        <v>171</v>
      </c>
      <c r="H151" s="2348"/>
      <c r="I151" s="2348"/>
      <c r="J151" s="2349"/>
      <c r="K151" s="640" t="s">
        <v>171</v>
      </c>
      <c r="L151" s="2348"/>
      <c r="M151" s="2348"/>
      <c r="N151" s="2349"/>
      <c r="O151" s="640" t="s">
        <v>171</v>
      </c>
      <c r="P151" s="2348"/>
      <c r="Q151" s="2348"/>
      <c r="R151" s="2349"/>
      <c r="S151" s="640" t="s">
        <v>171</v>
      </c>
      <c r="T151" s="2348"/>
      <c r="U151" s="2348"/>
      <c r="V151" s="2349"/>
      <c r="W151" s="640" t="s">
        <v>171</v>
      </c>
      <c r="X151" s="2348"/>
      <c r="Y151" s="2348"/>
      <c r="Z151" s="2349"/>
      <c r="AA151" s="2348" t="s">
        <v>171</v>
      </c>
      <c r="AB151" s="2348"/>
      <c r="AC151" s="2348"/>
      <c r="AD151" s="641"/>
      <c r="AE151" s="2352">
        <v>0</v>
      </c>
      <c r="AF151" s="2348"/>
      <c r="AG151" s="2348"/>
      <c r="AH151" s="641"/>
      <c r="AI151" s="2353"/>
    </row>
    <row r="152" spans="1:35" ht="22.35" customHeight="1" x14ac:dyDescent="0.2">
      <c r="A152" s="169"/>
      <c r="B152" s="737" t="s">
        <v>209</v>
      </c>
      <c r="C152" s="640" t="s">
        <v>206</v>
      </c>
      <c r="D152" s="2348"/>
      <c r="E152" s="2348"/>
      <c r="F152" s="2349"/>
      <c r="G152" s="640" t="s">
        <v>206</v>
      </c>
      <c r="H152" s="2348"/>
      <c r="I152" s="2348"/>
      <c r="J152" s="2349"/>
      <c r="K152" s="640" t="s">
        <v>206</v>
      </c>
      <c r="L152" s="2348"/>
      <c r="M152" s="2348"/>
      <c r="N152" s="2349"/>
      <c r="O152" s="640" t="s">
        <v>206</v>
      </c>
      <c r="P152" s="2348"/>
      <c r="Q152" s="2348"/>
      <c r="R152" s="2349"/>
      <c r="S152" s="640" t="s">
        <v>206</v>
      </c>
      <c r="T152" s="2348"/>
      <c r="U152" s="2348"/>
      <c r="V152" s="2349"/>
      <c r="W152" s="640" t="s">
        <v>210</v>
      </c>
      <c r="X152" s="2355"/>
      <c r="Y152" s="2355"/>
      <c r="Z152" s="2356"/>
      <c r="AA152" s="640" t="s">
        <v>210</v>
      </c>
      <c r="AB152" s="2355"/>
      <c r="AC152" s="2355"/>
      <c r="AD152" s="2260"/>
      <c r="AE152" s="2352">
        <v>66</v>
      </c>
      <c r="AF152" s="2348"/>
      <c r="AG152" s="2348"/>
      <c r="AH152" s="641"/>
      <c r="AI152" s="2353"/>
    </row>
    <row r="153" spans="1:35" ht="22.35" customHeight="1" thickBot="1" x14ac:dyDescent="0.25">
      <c r="A153" s="169"/>
      <c r="B153" s="737" t="s">
        <v>211</v>
      </c>
      <c r="C153" s="704" t="s">
        <v>171</v>
      </c>
      <c r="D153" s="705"/>
      <c r="E153" s="705"/>
      <c r="F153" s="706"/>
      <c r="G153" s="704" t="s">
        <v>171</v>
      </c>
      <c r="H153" s="705"/>
      <c r="I153" s="705"/>
      <c r="J153" s="706"/>
      <c r="K153" s="704" t="s">
        <v>171</v>
      </c>
      <c r="L153" s="705"/>
      <c r="M153" s="705"/>
      <c r="N153" s="706"/>
      <c r="O153" s="704" t="s">
        <v>171</v>
      </c>
      <c r="P153" s="705"/>
      <c r="Q153" s="705"/>
      <c r="R153" s="706"/>
      <c r="S153" s="704" t="s">
        <v>171</v>
      </c>
      <c r="T153" s="705"/>
      <c r="U153" s="705"/>
      <c r="V153" s="1063"/>
      <c r="W153" s="704" t="s">
        <v>171</v>
      </c>
      <c r="X153" s="1063"/>
      <c r="Y153" s="705"/>
      <c r="Z153" s="706"/>
      <c r="AA153" s="704" t="s">
        <v>171</v>
      </c>
      <c r="AB153" s="1063"/>
      <c r="AC153" s="705"/>
      <c r="AD153" s="706"/>
      <c r="AE153" s="707" t="s">
        <v>212</v>
      </c>
      <c r="AF153" s="705"/>
      <c r="AG153" s="705"/>
      <c r="AH153" s="1063"/>
      <c r="AI153" s="1064"/>
    </row>
    <row r="154" spans="1:35" ht="22.35" customHeight="1" x14ac:dyDescent="0.2">
      <c r="A154" s="108"/>
      <c r="B154" s="169"/>
      <c r="C154" s="171"/>
      <c r="D154" s="171"/>
      <c r="E154" s="171"/>
      <c r="F154" s="171"/>
      <c r="G154" s="171"/>
      <c r="H154" s="171"/>
      <c r="I154" s="171"/>
      <c r="J154" s="171"/>
      <c r="K154" s="171"/>
      <c r="L154" s="171"/>
      <c r="M154" s="171"/>
      <c r="N154" s="171"/>
      <c r="O154" s="171"/>
      <c r="P154" s="171"/>
      <c r="Q154" s="171"/>
      <c r="R154" s="171"/>
      <c r="S154" s="171"/>
      <c r="T154" s="171"/>
      <c r="U154" s="171"/>
      <c r="V154" s="171"/>
      <c r="W154" s="171"/>
      <c r="X154" s="171"/>
      <c r="Y154" s="171"/>
      <c r="Z154" s="171"/>
      <c r="AA154" s="171"/>
      <c r="AB154" s="171"/>
      <c r="AC154" s="171"/>
      <c r="AD154" s="171"/>
      <c r="AE154" s="171"/>
      <c r="AF154" s="171"/>
      <c r="AG154" s="171"/>
      <c r="AH154" s="170"/>
      <c r="AI154" s="170"/>
    </row>
    <row r="155" spans="1:35" ht="22.35" customHeight="1" thickBot="1" x14ac:dyDescent="0.25">
      <c r="A155" s="2338"/>
      <c r="B155" s="2264" t="s">
        <v>29</v>
      </c>
      <c r="C155" s="2167">
        <v>1</v>
      </c>
      <c r="D155" s="2167">
        <v>2</v>
      </c>
      <c r="E155" s="2168">
        <v>3</v>
      </c>
      <c r="F155" s="2168">
        <v>4</v>
      </c>
      <c r="G155" s="2168">
        <v>5</v>
      </c>
      <c r="H155" s="2168">
        <v>6</v>
      </c>
      <c r="I155" s="2168">
        <v>7</v>
      </c>
      <c r="J155" s="2167">
        <v>8</v>
      </c>
      <c r="K155" s="2167">
        <v>9</v>
      </c>
      <c r="L155" s="2168">
        <v>10</v>
      </c>
      <c r="M155" s="2168">
        <v>11</v>
      </c>
      <c r="N155" s="2168">
        <v>12</v>
      </c>
      <c r="O155" s="2168">
        <v>13</v>
      </c>
      <c r="P155" s="2168">
        <v>14</v>
      </c>
      <c r="Q155" s="2167">
        <v>15</v>
      </c>
      <c r="R155" s="2167">
        <v>16</v>
      </c>
      <c r="S155" s="2168">
        <v>17</v>
      </c>
      <c r="T155" s="2168">
        <v>18</v>
      </c>
      <c r="U155" s="2168">
        <v>19</v>
      </c>
      <c r="V155" s="2168">
        <v>20</v>
      </c>
      <c r="W155" s="2168">
        <v>21</v>
      </c>
      <c r="X155" s="2167">
        <v>22</v>
      </c>
      <c r="Y155" s="2167">
        <v>23</v>
      </c>
      <c r="Z155" s="2168">
        <v>24</v>
      </c>
      <c r="AA155" s="2168">
        <v>25</v>
      </c>
      <c r="AB155" s="2168">
        <v>26</v>
      </c>
      <c r="AC155" s="2168">
        <v>27</v>
      </c>
      <c r="AD155" s="2168">
        <v>28</v>
      </c>
      <c r="AE155" s="2167">
        <v>29</v>
      </c>
      <c r="AF155" s="2167">
        <v>30</v>
      </c>
      <c r="AG155" s="2169">
        <v>31</v>
      </c>
      <c r="AH155" s="173"/>
      <c r="AI155" s="174"/>
    </row>
    <row r="156" spans="1:35" ht="22.35" customHeight="1" x14ac:dyDescent="0.2">
      <c r="A156" s="2362">
        <v>1</v>
      </c>
      <c r="B156" s="215" t="s">
        <v>213</v>
      </c>
      <c r="C156" s="709">
        <v>21</v>
      </c>
      <c r="D156" s="709">
        <v>21</v>
      </c>
      <c r="E156" s="709" t="s">
        <v>36</v>
      </c>
      <c r="F156" s="709" t="s">
        <v>36</v>
      </c>
      <c r="G156" s="2363" t="s">
        <v>36</v>
      </c>
      <c r="H156" s="709" t="s">
        <v>36</v>
      </c>
      <c r="I156" s="2364" t="s">
        <v>36</v>
      </c>
      <c r="J156" s="2363"/>
      <c r="K156" s="709"/>
      <c r="L156" s="2364">
        <v>22</v>
      </c>
      <c r="M156" s="2363">
        <v>22</v>
      </c>
      <c r="N156" s="2363">
        <v>22</v>
      </c>
      <c r="O156" s="709">
        <v>22</v>
      </c>
      <c r="P156" s="709">
        <v>22</v>
      </c>
      <c r="Q156" s="709">
        <v>22</v>
      </c>
      <c r="R156" s="709">
        <v>22</v>
      </c>
      <c r="S156" s="709" t="s">
        <v>36</v>
      </c>
      <c r="T156" s="709" t="s">
        <v>36</v>
      </c>
      <c r="U156" s="709" t="s">
        <v>36</v>
      </c>
      <c r="V156" s="709" t="s">
        <v>36</v>
      </c>
      <c r="W156" s="2364" t="s">
        <v>36</v>
      </c>
      <c r="X156" s="709"/>
      <c r="Y156" s="709"/>
      <c r="Z156" s="2364">
        <v>23</v>
      </c>
      <c r="AA156" s="709">
        <v>23</v>
      </c>
      <c r="AB156" s="709">
        <v>23</v>
      </c>
      <c r="AC156" s="709">
        <v>23</v>
      </c>
      <c r="AD156" s="709">
        <v>23</v>
      </c>
      <c r="AE156" s="709">
        <v>23</v>
      </c>
      <c r="AF156" s="709">
        <v>23</v>
      </c>
      <c r="AG156" s="712" t="s">
        <v>36</v>
      </c>
      <c r="AH156" s="107"/>
      <c r="AI156" s="107"/>
    </row>
    <row r="157" spans="1:35" ht="22.35" customHeight="1" x14ac:dyDescent="0.2">
      <c r="A157" s="1086">
        <v>2</v>
      </c>
      <c r="B157" s="2172" t="s">
        <v>214</v>
      </c>
      <c r="C157" s="2174">
        <v>22</v>
      </c>
      <c r="D157" s="2174">
        <v>22</v>
      </c>
      <c r="E157" s="2174" t="s">
        <v>36</v>
      </c>
      <c r="F157" s="2174" t="s">
        <v>36</v>
      </c>
      <c r="G157" s="2174" t="s">
        <v>36</v>
      </c>
      <c r="H157" s="2174" t="s">
        <v>36</v>
      </c>
      <c r="I157" s="851" t="s">
        <v>36</v>
      </c>
      <c r="J157" s="2174"/>
      <c r="K157" s="2174"/>
      <c r="L157" s="851">
        <v>23</v>
      </c>
      <c r="M157" s="2177">
        <v>23</v>
      </c>
      <c r="N157" s="2177">
        <v>23</v>
      </c>
      <c r="O157" s="2177">
        <v>23</v>
      </c>
      <c r="P157" s="2177">
        <v>23</v>
      </c>
      <c r="Q157" s="2177">
        <v>23</v>
      </c>
      <c r="R157" s="2177">
        <v>23</v>
      </c>
      <c r="S157" s="2177" t="s">
        <v>36</v>
      </c>
      <c r="T157" s="2177" t="s">
        <v>36</v>
      </c>
      <c r="U157" s="2177" t="s">
        <v>36</v>
      </c>
      <c r="V157" s="2177" t="s">
        <v>36</v>
      </c>
      <c r="W157" s="851" t="s">
        <v>36</v>
      </c>
      <c r="X157" s="2174"/>
      <c r="Y157" s="2174"/>
      <c r="Z157" s="851">
        <v>21</v>
      </c>
      <c r="AA157" s="2177">
        <v>21</v>
      </c>
      <c r="AB157" s="2177">
        <v>21</v>
      </c>
      <c r="AC157" s="2177">
        <v>21</v>
      </c>
      <c r="AD157" s="2177">
        <v>21</v>
      </c>
      <c r="AE157" s="2177">
        <v>21</v>
      </c>
      <c r="AF157" s="2177">
        <v>21</v>
      </c>
      <c r="AG157" s="2178" t="s">
        <v>36</v>
      </c>
      <c r="AH157" s="107"/>
      <c r="AI157" s="107"/>
    </row>
    <row r="158" spans="1:35" ht="22.35" customHeight="1" x14ac:dyDescent="0.2">
      <c r="A158" s="1086">
        <v>3</v>
      </c>
      <c r="B158" s="2077" t="s">
        <v>362</v>
      </c>
      <c r="C158" s="2174">
        <v>23</v>
      </c>
      <c r="D158" s="2174">
        <v>23</v>
      </c>
      <c r="E158" s="2174" t="s">
        <v>36</v>
      </c>
      <c r="F158" s="2174" t="s">
        <v>36</v>
      </c>
      <c r="G158" s="2177" t="s">
        <v>36</v>
      </c>
      <c r="H158" s="2177" t="s">
        <v>36</v>
      </c>
      <c r="I158" s="2222" t="s">
        <v>36</v>
      </c>
      <c r="J158" s="2222"/>
      <c r="K158" s="2222"/>
      <c r="L158" s="2222">
        <v>21</v>
      </c>
      <c r="M158" s="2222">
        <v>21</v>
      </c>
      <c r="N158" s="2222">
        <v>21</v>
      </c>
      <c r="O158" s="2222">
        <v>21</v>
      </c>
      <c r="P158" s="2174">
        <v>21</v>
      </c>
      <c r="Q158" s="2174">
        <v>21</v>
      </c>
      <c r="R158" s="2226">
        <v>21</v>
      </c>
      <c r="S158" s="2226" t="s">
        <v>36</v>
      </c>
      <c r="T158" s="2174" t="s">
        <v>36</v>
      </c>
      <c r="U158" s="2177" t="s">
        <v>36</v>
      </c>
      <c r="V158" s="2177" t="s">
        <v>36</v>
      </c>
      <c r="W158" s="851" t="s">
        <v>36</v>
      </c>
      <c r="X158" s="2174"/>
      <c r="Y158" s="2174"/>
      <c r="Z158" s="851">
        <v>22</v>
      </c>
      <c r="AA158" s="2174">
        <v>22</v>
      </c>
      <c r="AB158" s="2174">
        <v>22</v>
      </c>
      <c r="AC158" s="2174">
        <v>22</v>
      </c>
      <c r="AD158" s="2176">
        <v>22</v>
      </c>
      <c r="AE158" s="2176">
        <v>22</v>
      </c>
      <c r="AF158" s="2176">
        <v>22</v>
      </c>
      <c r="AG158" s="2178" t="s">
        <v>36</v>
      </c>
      <c r="AH158" s="107"/>
      <c r="AI158" s="107"/>
    </row>
    <row r="159" spans="1:35" ht="22.35" customHeight="1" x14ac:dyDescent="0.2">
      <c r="A159" s="1086">
        <v>4</v>
      </c>
      <c r="B159" s="2172"/>
      <c r="C159" s="2174"/>
      <c r="D159" s="2174"/>
      <c r="E159" s="851">
        <v>21</v>
      </c>
      <c r="F159" s="2174">
        <v>21</v>
      </c>
      <c r="G159" s="2174">
        <v>21</v>
      </c>
      <c r="H159" s="2174">
        <v>21</v>
      </c>
      <c r="I159" s="2174">
        <v>21</v>
      </c>
      <c r="J159" s="2174">
        <v>21</v>
      </c>
      <c r="K159" s="2174">
        <v>21</v>
      </c>
      <c r="L159" s="2174" t="s">
        <v>36</v>
      </c>
      <c r="M159" s="2174" t="s">
        <v>36</v>
      </c>
      <c r="N159" s="2174" t="s">
        <v>36</v>
      </c>
      <c r="O159" s="2222" t="s">
        <v>36</v>
      </c>
      <c r="P159" s="2222" t="s">
        <v>36</v>
      </c>
      <c r="Q159" s="2222"/>
      <c r="R159" s="2222"/>
      <c r="S159" s="2222">
        <v>22</v>
      </c>
      <c r="T159" s="2222">
        <v>22</v>
      </c>
      <c r="U159" s="2222">
        <v>22</v>
      </c>
      <c r="V159" s="2222">
        <v>22</v>
      </c>
      <c r="W159" s="2174">
        <v>22</v>
      </c>
      <c r="X159" s="2174">
        <v>22</v>
      </c>
      <c r="Y159" s="2174">
        <v>22</v>
      </c>
      <c r="Z159" s="2174" t="s">
        <v>36</v>
      </c>
      <c r="AA159" s="2174" t="s">
        <v>36</v>
      </c>
      <c r="AB159" s="2174" t="s">
        <v>36</v>
      </c>
      <c r="AC159" s="2174" t="s">
        <v>36</v>
      </c>
      <c r="AD159" s="851" t="s">
        <v>36</v>
      </c>
      <c r="AE159" s="2174"/>
      <c r="AF159" s="2174"/>
      <c r="AG159" s="978">
        <v>23</v>
      </c>
      <c r="AH159" s="107"/>
      <c r="AI159" s="107"/>
    </row>
    <row r="160" spans="1:35" ht="22.35" customHeight="1" x14ac:dyDescent="0.2">
      <c r="A160" s="1086">
        <v>5</v>
      </c>
      <c r="B160" s="2172" t="s">
        <v>217</v>
      </c>
      <c r="C160" s="2174"/>
      <c r="D160" s="2174"/>
      <c r="E160" s="851">
        <v>22</v>
      </c>
      <c r="F160" s="2177">
        <v>22</v>
      </c>
      <c r="G160" s="2174">
        <v>22</v>
      </c>
      <c r="H160" s="2174">
        <v>22</v>
      </c>
      <c r="I160" s="2174">
        <v>22</v>
      </c>
      <c r="J160" s="2174">
        <v>22</v>
      </c>
      <c r="K160" s="2174">
        <v>22</v>
      </c>
      <c r="L160" s="2174" t="s">
        <v>36</v>
      </c>
      <c r="M160" s="2174" t="s">
        <v>36</v>
      </c>
      <c r="N160" s="2174" t="s">
        <v>36</v>
      </c>
      <c r="O160" s="2174" t="s">
        <v>36</v>
      </c>
      <c r="P160" s="851" t="s">
        <v>36</v>
      </c>
      <c r="Q160" s="2174"/>
      <c r="R160" s="2174"/>
      <c r="S160" s="2076">
        <v>23</v>
      </c>
      <c r="T160" s="2076">
        <v>23</v>
      </c>
      <c r="U160" s="2076">
        <v>23</v>
      </c>
      <c r="V160" s="2076">
        <v>23</v>
      </c>
      <c r="W160" s="2076">
        <v>23</v>
      </c>
      <c r="X160" s="2076">
        <v>23</v>
      </c>
      <c r="Y160" s="2076">
        <v>23</v>
      </c>
      <c r="Z160" s="2174" t="s">
        <v>36</v>
      </c>
      <c r="AA160" s="2174" t="s">
        <v>36</v>
      </c>
      <c r="AB160" s="2174" t="s">
        <v>36</v>
      </c>
      <c r="AC160" s="2177" t="s">
        <v>36</v>
      </c>
      <c r="AD160" s="2177" t="s">
        <v>36</v>
      </c>
      <c r="AE160" s="2177"/>
      <c r="AF160" s="2174"/>
      <c r="AG160" s="978">
        <v>21</v>
      </c>
      <c r="AH160" s="107"/>
      <c r="AI160" s="107"/>
    </row>
    <row r="161" spans="1:35" ht="22.35" customHeight="1" thickBot="1" x14ac:dyDescent="0.25">
      <c r="A161" s="1090">
        <v>6</v>
      </c>
      <c r="B161" s="1091" t="s">
        <v>218</v>
      </c>
      <c r="C161" s="2021"/>
      <c r="D161" s="2021"/>
      <c r="E161" s="1092">
        <v>23</v>
      </c>
      <c r="F161" s="2021">
        <v>23</v>
      </c>
      <c r="G161" s="2021">
        <v>23</v>
      </c>
      <c r="H161" s="1093">
        <v>23</v>
      </c>
      <c r="I161" s="1093">
        <v>23</v>
      </c>
      <c r="J161" s="1093">
        <v>23</v>
      </c>
      <c r="K161" s="1093">
        <v>23</v>
      </c>
      <c r="L161" s="1093" t="s">
        <v>36</v>
      </c>
      <c r="M161" s="1093" t="s">
        <v>36</v>
      </c>
      <c r="N161" s="2230" t="s">
        <v>36</v>
      </c>
      <c r="O161" s="2230" t="s">
        <v>36</v>
      </c>
      <c r="P161" s="1092" t="s">
        <v>36</v>
      </c>
      <c r="Q161" s="2021"/>
      <c r="R161" s="2021"/>
      <c r="S161" s="1092">
        <v>21</v>
      </c>
      <c r="T161" s="2021">
        <v>21</v>
      </c>
      <c r="U161" s="2021">
        <v>21</v>
      </c>
      <c r="V161" s="2021">
        <v>21</v>
      </c>
      <c r="W161" s="2021">
        <v>21</v>
      </c>
      <c r="X161" s="2021">
        <v>21</v>
      </c>
      <c r="Y161" s="2021">
        <v>21</v>
      </c>
      <c r="Z161" s="2021" t="s">
        <v>36</v>
      </c>
      <c r="AA161" s="2021" t="s">
        <v>36</v>
      </c>
      <c r="AB161" s="2230" t="s">
        <v>36</v>
      </c>
      <c r="AC161" s="2230" t="s">
        <v>36</v>
      </c>
      <c r="AD161" s="1092" t="s">
        <v>36</v>
      </c>
      <c r="AE161" s="2021"/>
      <c r="AF161" s="2021"/>
      <c r="AG161" s="1094">
        <v>22</v>
      </c>
      <c r="AH161" s="107"/>
      <c r="AI161" s="107"/>
    </row>
    <row r="162" spans="1:35" ht="22.35" customHeight="1" x14ac:dyDescent="0.2">
      <c r="A162" s="200"/>
      <c r="B162" s="198"/>
      <c r="C162" s="199"/>
      <c r="D162" s="199"/>
      <c r="E162" s="216"/>
      <c r="F162" s="199"/>
      <c r="G162" s="199"/>
      <c r="H162" s="221"/>
      <c r="I162" s="221"/>
      <c r="J162" s="221"/>
      <c r="K162" s="221"/>
      <c r="L162" s="221"/>
      <c r="M162" s="221"/>
      <c r="N162" s="192"/>
      <c r="O162" s="192"/>
      <c r="P162" s="216"/>
      <c r="Q162" s="199"/>
      <c r="R162" s="199"/>
      <c r="S162" s="216"/>
      <c r="T162" s="199"/>
      <c r="U162" s="199"/>
      <c r="V162" s="199"/>
      <c r="W162" s="199"/>
      <c r="X162" s="199"/>
      <c r="Y162" s="199"/>
      <c r="Z162" s="199"/>
      <c r="AA162" s="199"/>
      <c r="AB162" s="192"/>
      <c r="AC162" s="192"/>
      <c r="AD162" s="216"/>
      <c r="AE162" s="199"/>
      <c r="AF162" s="199"/>
      <c r="AG162" s="216"/>
      <c r="AH162" s="107"/>
      <c r="AI162" s="107"/>
    </row>
    <row r="163" spans="1:35" ht="22.35" customHeight="1" x14ac:dyDescent="0.2">
      <c r="A163" s="109"/>
      <c r="B163" s="110"/>
      <c r="C163" s="183"/>
      <c r="D163" s="183"/>
      <c r="E163" s="168"/>
      <c r="F163" s="183"/>
      <c r="G163" s="183"/>
      <c r="H163" s="183"/>
      <c r="I163" s="183"/>
      <c r="J163" s="183"/>
      <c r="K163" s="183"/>
      <c r="L163" s="183"/>
      <c r="M163" s="183"/>
      <c r="N163" s="183"/>
      <c r="O163" s="183"/>
      <c r="P163" s="168"/>
      <c r="Q163" s="183"/>
      <c r="R163" s="183"/>
      <c r="S163" s="168"/>
      <c r="T163" s="183"/>
      <c r="U163" s="183"/>
      <c r="V163" s="183"/>
      <c r="W163" s="183"/>
      <c r="X163" s="183"/>
      <c r="Y163" s="183"/>
      <c r="Z163" s="183"/>
      <c r="AA163" s="183"/>
      <c r="AB163" s="183"/>
      <c r="AC163" s="184"/>
      <c r="AD163" s="184"/>
      <c r="AE163" s="184"/>
      <c r="AF163" s="183"/>
      <c r="AG163" s="168"/>
      <c r="AH163" s="107"/>
      <c r="AI163" s="107"/>
    </row>
    <row r="164" spans="1:35" ht="22.35" customHeight="1" thickBot="1" x14ac:dyDescent="0.25">
      <c r="A164" s="158" t="s">
        <v>219</v>
      </c>
      <c r="D164" s="72"/>
      <c r="E164" s="72"/>
      <c r="F164" s="72"/>
      <c r="G164" s="105"/>
      <c r="H164" s="72"/>
      <c r="I164" s="72"/>
      <c r="J164" s="72"/>
      <c r="K164" s="72"/>
      <c r="L164" s="72"/>
      <c r="M164" s="72"/>
      <c r="N164" s="72"/>
      <c r="O164" s="72"/>
      <c r="P164" s="72"/>
      <c r="Q164" s="72"/>
      <c r="R164" s="72"/>
      <c r="S164" s="72"/>
      <c r="T164" s="72"/>
      <c r="U164" s="72"/>
      <c r="V164" s="72"/>
      <c r="W164" s="72"/>
      <c r="X164" s="72"/>
      <c r="Y164" s="72"/>
      <c r="Z164" s="72"/>
      <c r="AA164" s="72"/>
      <c r="AB164" s="72"/>
      <c r="AC164" s="72"/>
      <c r="AD164" s="72"/>
      <c r="AE164" s="72"/>
      <c r="AF164" s="72"/>
      <c r="AG164" s="72"/>
    </row>
    <row r="165" spans="1:35" ht="22.35" customHeight="1" x14ac:dyDescent="0.2">
      <c r="A165" s="1"/>
      <c r="B165" s="2320" t="s">
        <v>186</v>
      </c>
      <c r="C165" s="2313"/>
      <c r="D165" s="2342" t="s">
        <v>107</v>
      </c>
      <c r="E165" s="2240"/>
      <c r="F165" s="2309"/>
      <c r="G165" s="2313"/>
      <c r="H165" s="2342" t="s">
        <v>108</v>
      </c>
      <c r="I165" s="2240"/>
      <c r="J165" s="2309"/>
      <c r="K165" s="2313"/>
      <c r="L165" s="2342" t="s">
        <v>109</v>
      </c>
      <c r="M165" s="2240"/>
      <c r="N165" s="2309"/>
      <c r="O165" s="2313"/>
      <c r="P165" s="2342" t="s">
        <v>110</v>
      </c>
      <c r="Q165" s="2240"/>
      <c r="R165" s="2309"/>
      <c r="S165" s="2313"/>
      <c r="T165" s="2342" t="s">
        <v>111</v>
      </c>
      <c r="U165" s="2240"/>
      <c r="V165" s="2309"/>
      <c r="W165" s="2313"/>
      <c r="X165" s="2342" t="s">
        <v>112</v>
      </c>
      <c r="Y165" s="2240"/>
      <c r="Z165" s="2309"/>
      <c r="AA165" s="2313"/>
      <c r="AB165" s="2342" t="s">
        <v>113</v>
      </c>
      <c r="AC165" s="2240"/>
      <c r="AD165" s="2240"/>
      <c r="AE165" s="2345" t="s">
        <v>114</v>
      </c>
      <c r="AF165" s="2240"/>
      <c r="AG165" s="2240"/>
      <c r="AH165" s="2240"/>
      <c r="AI165" s="2241"/>
    </row>
    <row r="166" spans="1:35" ht="22.35" customHeight="1" x14ac:dyDescent="0.2">
      <c r="A166" s="1"/>
      <c r="B166" s="737" t="s">
        <v>159</v>
      </c>
      <c r="C166" s="640" t="s">
        <v>187</v>
      </c>
      <c r="D166" s="2149"/>
      <c r="E166" s="2149"/>
      <c r="F166" s="2349"/>
      <c r="G166" s="640" t="s">
        <v>187</v>
      </c>
      <c r="H166" s="2149"/>
      <c r="I166" s="2149"/>
      <c r="J166" s="2349"/>
      <c r="K166" s="640" t="s">
        <v>187</v>
      </c>
      <c r="L166" s="2149"/>
      <c r="M166" s="2149"/>
      <c r="N166" s="2349"/>
      <c r="O166" s="640" t="s">
        <v>220</v>
      </c>
      <c r="P166" s="2149"/>
      <c r="Q166" s="2149"/>
      <c r="R166" s="2349"/>
      <c r="S166" s="640" t="s">
        <v>171</v>
      </c>
      <c r="T166" s="2149"/>
      <c r="U166" s="2149"/>
      <c r="V166" s="2349"/>
      <c r="W166" s="2365"/>
      <c r="X166" s="2366"/>
      <c r="Y166" s="2366"/>
      <c r="Z166" s="2351"/>
      <c r="AA166" s="2347"/>
      <c r="AB166" s="2149"/>
      <c r="AC166" s="2149"/>
      <c r="AD166" s="641"/>
      <c r="AE166" s="2352">
        <v>27</v>
      </c>
      <c r="AF166" s="2149"/>
      <c r="AG166" s="2149"/>
      <c r="AH166" s="641"/>
      <c r="AI166" s="2158"/>
    </row>
    <row r="167" spans="1:35" ht="22.35" customHeight="1" x14ac:dyDescent="0.2">
      <c r="A167" s="1"/>
      <c r="B167" s="737" t="s">
        <v>163</v>
      </c>
      <c r="C167" s="640" t="s">
        <v>221</v>
      </c>
      <c r="D167" s="2149"/>
      <c r="E167" s="2149"/>
      <c r="F167" s="2349"/>
      <c r="G167" s="640" t="s">
        <v>221</v>
      </c>
      <c r="H167" s="2149"/>
      <c r="I167" s="2149"/>
      <c r="J167" s="2349"/>
      <c r="K167" s="640" t="s">
        <v>221</v>
      </c>
      <c r="L167" s="2149"/>
      <c r="M167" s="2149"/>
      <c r="N167" s="2349"/>
      <c r="O167" s="640" t="s">
        <v>221</v>
      </c>
      <c r="P167" s="2149"/>
      <c r="Q167" s="2149"/>
      <c r="R167" s="2349"/>
      <c r="S167" s="640" t="s">
        <v>187</v>
      </c>
      <c r="T167" s="2149"/>
      <c r="U167" s="2149"/>
      <c r="V167" s="2349"/>
      <c r="W167" s="640"/>
      <c r="X167" s="2149"/>
      <c r="Y167" s="2149"/>
      <c r="Z167" s="2349"/>
      <c r="AA167" s="2149"/>
      <c r="AB167" s="2149"/>
      <c r="AC167" s="2149"/>
      <c r="AD167" s="641"/>
      <c r="AE167" s="2352">
        <v>39</v>
      </c>
      <c r="AF167" s="2149"/>
      <c r="AG167" s="2149"/>
      <c r="AH167" s="641"/>
      <c r="AI167" s="2158"/>
    </row>
    <row r="168" spans="1:35" ht="22.35" customHeight="1" x14ac:dyDescent="0.2">
      <c r="A168" s="1"/>
      <c r="B168" s="737" t="s">
        <v>170</v>
      </c>
      <c r="C168" s="640" t="s">
        <v>221</v>
      </c>
      <c r="D168" s="2149"/>
      <c r="E168" s="2149"/>
      <c r="F168" s="2349"/>
      <c r="G168" s="640" t="s">
        <v>221</v>
      </c>
      <c r="H168" s="2149"/>
      <c r="I168" s="2149"/>
      <c r="J168" s="2349"/>
      <c r="K168" s="640" t="s">
        <v>221</v>
      </c>
      <c r="L168" s="2149"/>
      <c r="M168" s="2149"/>
      <c r="N168" s="2349"/>
      <c r="O168" s="640" t="s">
        <v>221</v>
      </c>
      <c r="P168" s="2149"/>
      <c r="Q168" s="2149"/>
      <c r="R168" s="2349"/>
      <c r="S168" s="640" t="s">
        <v>221</v>
      </c>
      <c r="T168" s="2149"/>
      <c r="U168" s="2149"/>
      <c r="V168" s="2349"/>
      <c r="W168" s="2259" t="s">
        <v>222</v>
      </c>
      <c r="X168" s="2162"/>
      <c r="Y168" s="2162"/>
      <c r="Z168" s="2356"/>
      <c r="AA168" s="2354"/>
      <c r="AB168" s="2162"/>
      <c r="AC168" s="2162"/>
      <c r="AD168" s="2260"/>
      <c r="AE168" s="2352">
        <v>45</v>
      </c>
      <c r="AF168" s="2149"/>
      <c r="AG168" s="2149"/>
      <c r="AH168" s="641"/>
      <c r="AI168" s="2158"/>
    </row>
    <row r="169" spans="1:35" ht="22.35" customHeight="1" thickBot="1" x14ac:dyDescent="0.25">
      <c r="A169" s="1"/>
      <c r="B169" s="223" t="s">
        <v>172</v>
      </c>
      <c r="C169" s="704"/>
      <c r="D169" s="734"/>
      <c r="E169" s="734"/>
      <c r="F169" s="706"/>
      <c r="G169" s="704"/>
      <c r="H169" s="734"/>
      <c r="I169" s="734"/>
      <c r="J169" s="706"/>
      <c r="K169" s="704"/>
      <c r="L169" s="734"/>
      <c r="M169" s="734"/>
      <c r="N169" s="706"/>
      <c r="O169" s="704"/>
      <c r="P169" s="734"/>
      <c r="Q169" s="734"/>
      <c r="R169" s="706"/>
      <c r="S169" s="704"/>
      <c r="T169" s="734"/>
      <c r="U169" s="734"/>
      <c r="V169" s="1063"/>
      <c r="W169" s="704"/>
      <c r="X169" s="1063"/>
      <c r="Y169" s="734"/>
      <c r="Z169" s="706"/>
      <c r="AA169" s="704"/>
      <c r="AB169" s="1063"/>
      <c r="AC169" s="734"/>
      <c r="AD169" s="706"/>
      <c r="AE169" s="713"/>
      <c r="AF169" s="734"/>
      <c r="AG169" s="734"/>
      <c r="AH169" s="1063"/>
      <c r="AI169" s="894"/>
    </row>
    <row r="170" spans="1:35" ht="22.35" customHeight="1" x14ac:dyDescent="0.2">
      <c r="A170" s="108"/>
      <c r="B170" s="1"/>
      <c r="C170" s="72"/>
      <c r="D170" s="72"/>
      <c r="E170" s="72"/>
      <c r="F170" s="72"/>
      <c r="G170" s="72"/>
      <c r="H170" s="72"/>
      <c r="I170" s="72"/>
      <c r="J170" s="72"/>
      <c r="K170" s="72"/>
      <c r="L170" s="72"/>
      <c r="M170" s="72"/>
      <c r="N170" s="72"/>
      <c r="O170" s="72"/>
      <c r="P170" s="72"/>
      <c r="Q170" s="72"/>
      <c r="R170" s="72"/>
      <c r="S170" s="72"/>
      <c r="T170" s="72"/>
      <c r="U170" s="72"/>
      <c r="V170" s="72"/>
      <c r="W170" s="72"/>
      <c r="X170" s="72"/>
      <c r="Y170" s="72"/>
      <c r="Z170" s="72"/>
      <c r="AA170" s="72"/>
      <c r="AB170" s="72"/>
      <c r="AC170" s="72"/>
      <c r="AD170" s="72"/>
      <c r="AE170" s="72"/>
      <c r="AF170" s="72"/>
      <c r="AG170" s="72"/>
    </row>
    <row r="171" spans="1:35" ht="22.35" customHeight="1" thickBot="1" x14ac:dyDescent="0.25">
      <c r="A171" s="2338"/>
      <c r="B171" s="633" t="s">
        <v>29</v>
      </c>
      <c r="C171" s="2278">
        <v>1</v>
      </c>
      <c r="D171" s="2278">
        <v>2</v>
      </c>
      <c r="E171" s="462">
        <v>3</v>
      </c>
      <c r="F171" s="462">
        <v>4</v>
      </c>
      <c r="G171" s="462">
        <v>5</v>
      </c>
      <c r="H171" s="462">
        <v>6</v>
      </c>
      <c r="I171" s="462">
        <v>7</v>
      </c>
      <c r="J171" s="2278">
        <v>8</v>
      </c>
      <c r="K171" s="2278">
        <v>9</v>
      </c>
      <c r="L171" s="462">
        <v>10</v>
      </c>
      <c r="M171" s="462">
        <v>11</v>
      </c>
      <c r="N171" s="462">
        <v>12</v>
      </c>
      <c r="O171" s="462">
        <v>13</v>
      </c>
      <c r="P171" s="462">
        <v>14</v>
      </c>
      <c r="Q171" s="2278">
        <v>15</v>
      </c>
      <c r="R171" s="2278">
        <v>16</v>
      </c>
      <c r="S171" s="462">
        <v>17</v>
      </c>
      <c r="T171" s="462">
        <v>18</v>
      </c>
      <c r="U171" s="462">
        <v>19</v>
      </c>
      <c r="V171" s="462">
        <v>20</v>
      </c>
      <c r="W171" s="462">
        <v>21</v>
      </c>
      <c r="X171" s="2278">
        <v>22</v>
      </c>
      <c r="Y171" s="2278">
        <v>23</v>
      </c>
      <c r="Z171" s="462">
        <v>24</v>
      </c>
      <c r="AA171" s="462">
        <v>25</v>
      </c>
      <c r="AB171" s="462">
        <v>26</v>
      </c>
      <c r="AC171" s="462">
        <v>27</v>
      </c>
      <c r="AD171" s="462">
        <v>28</v>
      </c>
      <c r="AE171" s="2278">
        <v>29</v>
      </c>
      <c r="AF171" s="2278">
        <v>30</v>
      </c>
      <c r="AG171" s="2279">
        <v>31</v>
      </c>
      <c r="AH171" s="173"/>
      <c r="AI171" s="174"/>
    </row>
    <row r="172" spans="1:35" ht="22.35" customHeight="1" x14ac:dyDescent="0.2">
      <c r="A172" s="2315">
        <v>1</v>
      </c>
      <c r="B172" s="2367" t="s">
        <v>223</v>
      </c>
      <c r="C172" s="709"/>
      <c r="D172" s="709"/>
      <c r="E172" s="709" t="s">
        <v>32</v>
      </c>
      <c r="F172" s="709" t="s">
        <v>32</v>
      </c>
      <c r="G172" s="709" t="s">
        <v>32</v>
      </c>
      <c r="H172" s="709" t="s">
        <v>32</v>
      </c>
      <c r="I172" s="709" t="s">
        <v>32</v>
      </c>
      <c r="J172" s="709"/>
      <c r="K172" s="2363"/>
      <c r="L172" s="2368" t="s">
        <v>32</v>
      </c>
      <c r="M172" s="2368" t="s">
        <v>51</v>
      </c>
      <c r="N172" s="2369" t="s">
        <v>32</v>
      </c>
      <c r="O172" s="2369" t="s">
        <v>32</v>
      </c>
      <c r="P172" s="2369" t="s">
        <v>32</v>
      </c>
      <c r="Q172" s="709"/>
      <c r="R172" s="709"/>
      <c r="S172" s="2370" t="s">
        <v>32</v>
      </c>
      <c r="T172" s="2370" t="s">
        <v>32</v>
      </c>
      <c r="U172" s="2370" t="s">
        <v>32</v>
      </c>
      <c r="V172" s="2370" t="s">
        <v>32</v>
      </c>
      <c r="W172" s="2370" t="s">
        <v>32</v>
      </c>
      <c r="X172" s="2371"/>
      <c r="Y172" s="2371"/>
      <c r="Z172" s="2363" t="s">
        <v>32</v>
      </c>
      <c r="AA172" s="2372" t="s">
        <v>32</v>
      </c>
      <c r="AB172" s="2363" t="s">
        <v>32</v>
      </c>
      <c r="AC172" s="2372" t="s">
        <v>32</v>
      </c>
      <c r="AD172" s="2370" t="s">
        <v>32</v>
      </c>
      <c r="AE172" s="2372"/>
      <c r="AF172" s="2372"/>
      <c r="AG172" s="2373" t="s">
        <v>32</v>
      </c>
      <c r="AH172" s="203"/>
      <c r="AI172" s="179"/>
    </row>
    <row r="173" spans="1:35" ht="22.35" customHeight="1" x14ac:dyDescent="0.2">
      <c r="A173" s="1010">
        <v>2</v>
      </c>
      <c r="B173" s="2374" t="s">
        <v>224</v>
      </c>
      <c r="C173" s="450"/>
      <c r="D173" s="450"/>
      <c r="E173" s="450" t="s">
        <v>154</v>
      </c>
      <c r="F173" s="450" t="s">
        <v>154</v>
      </c>
      <c r="G173" s="450" t="s">
        <v>154</v>
      </c>
      <c r="H173" s="450" t="s">
        <v>154</v>
      </c>
      <c r="I173" s="450" t="s">
        <v>154</v>
      </c>
      <c r="J173" s="450" t="s">
        <v>154</v>
      </c>
      <c r="K173" s="653"/>
      <c r="L173" s="450" t="s">
        <v>226</v>
      </c>
      <c r="M173" s="450" t="s">
        <v>226</v>
      </c>
      <c r="N173" s="450" t="s">
        <v>226</v>
      </c>
      <c r="O173" s="450" t="s">
        <v>226</v>
      </c>
      <c r="P173" s="450" t="s">
        <v>36</v>
      </c>
      <c r="Q173" s="450"/>
      <c r="R173" s="450"/>
      <c r="S173" s="656" t="s">
        <v>225</v>
      </c>
      <c r="T173" s="656" t="s">
        <v>225</v>
      </c>
      <c r="U173" s="656" t="s">
        <v>225</v>
      </c>
      <c r="V173" s="656" t="s">
        <v>225</v>
      </c>
      <c r="W173" s="656" t="s">
        <v>225</v>
      </c>
      <c r="X173" s="656"/>
      <c r="Y173" s="656"/>
      <c r="Z173" s="450" t="s">
        <v>154</v>
      </c>
      <c r="AA173" s="450" t="s">
        <v>154</v>
      </c>
      <c r="AB173" s="450" t="s">
        <v>154</v>
      </c>
      <c r="AC173" s="450" t="s">
        <v>154</v>
      </c>
      <c r="AD173" s="450" t="s">
        <v>154</v>
      </c>
      <c r="AE173" s="450" t="s">
        <v>154</v>
      </c>
      <c r="AF173" s="450"/>
      <c r="AG173" s="395" t="s">
        <v>226</v>
      </c>
      <c r="AH173" s="203"/>
      <c r="AI173" s="179"/>
    </row>
    <row r="174" spans="1:35" ht="22.35" customHeight="1" x14ac:dyDescent="0.2">
      <c r="A174" s="1010">
        <v>3</v>
      </c>
      <c r="B174" s="2172" t="s">
        <v>428</v>
      </c>
      <c r="C174" s="450" t="s">
        <v>154</v>
      </c>
      <c r="D174" s="653"/>
      <c r="E174" s="450" t="s">
        <v>226</v>
      </c>
      <c r="F174" s="450" t="s">
        <v>226</v>
      </c>
      <c r="G174" s="450" t="s">
        <v>226</v>
      </c>
      <c r="H174" s="450" t="s">
        <v>226</v>
      </c>
      <c r="I174" s="450" t="s">
        <v>36</v>
      </c>
      <c r="J174" s="450"/>
      <c r="K174" s="450"/>
      <c r="L174" s="450" t="s">
        <v>225</v>
      </c>
      <c r="M174" s="450" t="s">
        <v>225</v>
      </c>
      <c r="N174" s="450" t="s">
        <v>225</v>
      </c>
      <c r="O174" s="654" t="s">
        <v>436</v>
      </c>
      <c r="P174" s="451" t="s">
        <v>225</v>
      </c>
      <c r="Q174" s="451"/>
      <c r="R174" s="451"/>
      <c r="S174" s="450" t="s">
        <v>154</v>
      </c>
      <c r="T174" s="450" t="s">
        <v>154</v>
      </c>
      <c r="U174" s="450" t="s">
        <v>154</v>
      </c>
      <c r="V174" s="450" t="s">
        <v>154</v>
      </c>
      <c r="W174" s="450" t="s">
        <v>154</v>
      </c>
      <c r="X174" s="450" t="s">
        <v>154</v>
      </c>
      <c r="Y174" s="450"/>
      <c r="Z174" s="450" t="s">
        <v>226</v>
      </c>
      <c r="AA174" s="653" t="s">
        <v>226</v>
      </c>
      <c r="AB174" s="653" t="s">
        <v>226</v>
      </c>
      <c r="AC174" s="450" t="s">
        <v>226</v>
      </c>
      <c r="AD174" s="450" t="s">
        <v>36</v>
      </c>
      <c r="AE174" s="450"/>
      <c r="AF174" s="450"/>
      <c r="AG174" s="395" t="s">
        <v>225</v>
      </c>
      <c r="AH174" s="203"/>
      <c r="AI174" s="179"/>
    </row>
    <row r="175" spans="1:35" ht="22.35" customHeight="1" x14ac:dyDescent="0.2">
      <c r="A175" s="1010">
        <v>4</v>
      </c>
      <c r="B175" s="2375" t="s">
        <v>228</v>
      </c>
      <c r="C175" s="450"/>
      <c r="D175" s="450"/>
      <c r="E175" s="450"/>
      <c r="F175" s="450" t="s">
        <v>229</v>
      </c>
      <c r="G175" s="450" t="s">
        <v>32</v>
      </c>
      <c r="H175" s="450"/>
      <c r="I175" s="463" t="s">
        <v>32</v>
      </c>
      <c r="J175" s="463"/>
      <c r="K175" s="463"/>
      <c r="L175" s="450"/>
      <c r="M175" s="450" t="s">
        <v>229</v>
      </c>
      <c r="N175" s="450"/>
      <c r="O175" s="450"/>
      <c r="P175" s="463" t="s">
        <v>32</v>
      </c>
      <c r="Q175" s="450" t="s">
        <v>154</v>
      </c>
      <c r="R175" s="450"/>
      <c r="S175" s="450"/>
      <c r="T175" s="451" t="s">
        <v>229</v>
      </c>
      <c r="U175" s="451" t="s">
        <v>32</v>
      </c>
      <c r="V175" s="451"/>
      <c r="W175" s="654" t="s">
        <v>32</v>
      </c>
      <c r="X175" s="450"/>
      <c r="Y175" s="450"/>
      <c r="Z175" s="450"/>
      <c r="AA175" s="2176" t="s">
        <v>229</v>
      </c>
      <c r="AB175" s="2176" t="s">
        <v>32</v>
      </c>
      <c r="AC175" s="2176"/>
      <c r="AD175" s="2376" t="s">
        <v>32</v>
      </c>
      <c r="AE175" s="2376"/>
      <c r="AF175" s="2376"/>
      <c r="AG175" s="2377" t="s">
        <v>32</v>
      </c>
      <c r="AH175" s="203"/>
      <c r="AI175" s="179"/>
    </row>
    <row r="176" spans="1:35" ht="22.35" customHeight="1" x14ac:dyDescent="0.2">
      <c r="A176" s="1010">
        <v>5</v>
      </c>
      <c r="B176" s="2375" t="s">
        <v>230</v>
      </c>
      <c r="C176" s="450"/>
      <c r="D176" s="450"/>
      <c r="E176" s="450" t="s">
        <v>229</v>
      </c>
      <c r="F176" s="450"/>
      <c r="G176" s="450"/>
      <c r="H176" s="463" t="s">
        <v>32</v>
      </c>
      <c r="I176" s="450"/>
      <c r="J176" s="450"/>
      <c r="K176" s="450"/>
      <c r="L176" s="450" t="s">
        <v>229</v>
      </c>
      <c r="M176" s="450"/>
      <c r="N176" s="450"/>
      <c r="O176" s="463" t="s">
        <v>32</v>
      </c>
      <c r="P176" s="450"/>
      <c r="Q176" s="450"/>
      <c r="R176" s="450"/>
      <c r="S176" s="450" t="s">
        <v>229</v>
      </c>
      <c r="T176" s="450"/>
      <c r="U176" s="450"/>
      <c r="V176" s="463" t="s">
        <v>32</v>
      </c>
      <c r="W176" s="450"/>
      <c r="X176" s="450"/>
      <c r="Y176" s="450"/>
      <c r="Z176" s="450" t="s">
        <v>229</v>
      </c>
      <c r="AA176" s="450"/>
      <c r="AB176" s="450"/>
      <c r="AC176" s="463" t="s">
        <v>32</v>
      </c>
      <c r="AD176" s="450"/>
      <c r="AE176" s="450"/>
      <c r="AF176" s="450"/>
      <c r="AG176" s="395" t="s">
        <v>229</v>
      </c>
      <c r="AH176" s="203"/>
      <c r="AI176" s="179"/>
    </row>
    <row r="177" spans="1:36" ht="22.35" customHeight="1" x14ac:dyDescent="0.2">
      <c r="A177" s="1010">
        <v>6</v>
      </c>
      <c r="B177" s="2248" t="s">
        <v>231</v>
      </c>
      <c r="C177" s="450"/>
      <c r="D177" s="450"/>
      <c r="E177" s="450" t="s">
        <v>32</v>
      </c>
      <c r="F177" s="450" t="s">
        <v>32</v>
      </c>
      <c r="G177" s="450" t="s">
        <v>32</v>
      </c>
      <c r="H177" s="450" t="s">
        <v>32</v>
      </c>
      <c r="I177" s="450" t="s">
        <v>32</v>
      </c>
      <c r="J177" s="450"/>
      <c r="K177" s="463"/>
      <c r="L177" s="463" t="s">
        <v>32</v>
      </c>
      <c r="M177" s="463" t="s">
        <v>32</v>
      </c>
      <c r="N177" s="463" t="s">
        <v>32</v>
      </c>
      <c r="O177" s="450" t="s">
        <v>32</v>
      </c>
      <c r="P177" s="450" t="s">
        <v>32</v>
      </c>
      <c r="Q177" s="651"/>
      <c r="R177" s="450"/>
      <c r="S177" s="450" t="s">
        <v>32</v>
      </c>
      <c r="T177" s="450" t="s">
        <v>32</v>
      </c>
      <c r="U177" s="450" t="s">
        <v>32</v>
      </c>
      <c r="V177" s="651" t="s">
        <v>32</v>
      </c>
      <c r="W177" s="450" t="s">
        <v>32</v>
      </c>
      <c r="X177" s="463"/>
      <c r="Y177" s="450"/>
      <c r="Z177" s="450" t="s">
        <v>32</v>
      </c>
      <c r="AA177" s="450" t="s">
        <v>32</v>
      </c>
      <c r="AB177" s="450" t="s">
        <v>32</v>
      </c>
      <c r="AC177" s="657" t="s">
        <v>32</v>
      </c>
      <c r="AD177" s="653" t="s">
        <v>32</v>
      </c>
      <c r="AE177" s="450"/>
      <c r="AF177" s="653"/>
      <c r="AG177" s="2020" t="s">
        <v>32</v>
      </c>
      <c r="AH177" s="191"/>
      <c r="AI177" s="107"/>
    </row>
    <row r="178" spans="1:36" ht="22.35" customHeight="1" thickBot="1" x14ac:dyDescent="0.25">
      <c r="A178" s="1016"/>
      <c r="B178" s="1004"/>
      <c r="C178" s="2021"/>
      <c r="D178" s="2021"/>
      <c r="E178" s="2021"/>
      <c r="F178" s="2021"/>
      <c r="G178" s="2021"/>
      <c r="H178" s="2021"/>
      <c r="I178" s="2021"/>
      <c r="J178" s="2021"/>
      <c r="K178" s="2021"/>
      <c r="L178" s="2021"/>
      <c r="M178" s="2021"/>
      <c r="N178" s="2021"/>
      <c r="O178" s="2021"/>
      <c r="P178" s="2021"/>
      <c r="Q178" s="2021"/>
      <c r="R178" s="2021"/>
      <c r="S178" s="2021"/>
      <c r="T178" s="2021"/>
      <c r="U178" s="2021"/>
      <c r="V178" s="2021"/>
      <c r="W178" s="2021"/>
      <c r="X178" s="2021"/>
      <c r="Y178" s="2021"/>
      <c r="Z178" s="2021"/>
      <c r="AA178" s="2021"/>
      <c r="AB178" s="2021"/>
      <c r="AC178" s="2021"/>
      <c r="AD178" s="2021"/>
      <c r="AE178" s="2021"/>
      <c r="AF178" s="2021"/>
      <c r="AG178" s="2022"/>
      <c r="AH178" s="107"/>
      <c r="AI178" s="107"/>
    </row>
    <row r="179" spans="1:36" ht="22.35" customHeight="1" x14ac:dyDescent="0.2">
      <c r="A179" s="200"/>
      <c r="B179" s="198"/>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c r="AA179" s="199"/>
      <c r="AB179" s="199"/>
      <c r="AC179" s="199"/>
      <c r="AD179" s="199"/>
      <c r="AE179" s="199"/>
      <c r="AF179" s="199"/>
      <c r="AG179" s="199"/>
      <c r="AH179" s="107"/>
      <c r="AI179" s="107"/>
    </row>
    <row r="180" spans="1:36" ht="22.35" customHeight="1" x14ac:dyDescent="0.2">
      <c r="A180" s="200"/>
      <c r="B180" s="198"/>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c r="AA180" s="199"/>
      <c r="AB180" s="199"/>
      <c r="AC180" s="199"/>
      <c r="AD180" s="199"/>
      <c r="AE180" s="199"/>
      <c r="AF180" s="199"/>
      <c r="AG180" s="199"/>
      <c r="AH180" s="107"/>
      <c r="AI180" s="107"/>
    </row>
    <row r="181" spans="1:36" ht="22.35" customHeight="1" thickBot="1" x14ac:dyDescent="0.25">
      <c r="A181" s="148" t="s">
        <v>232</v>
      </c>
      <c r="B181" s="72"/>
      <c r="C181" s="106"/>
      <c r="D181" s="72"/>
      <c r="E181" s="72"/>
      <c r="F181" s="106"/>
      <c r="G181" s="72"/>
      <c r="H181" s="72"/>
      <c r="I181" s="106"/>
      <c r="J181" s="106"/>
      <c r="K181" s="72"/>
      <c r="L181" s="106"/>
      <c r="M181" s="72"/>
      <c r="N181" s="72"/>
      <c r="O181" s="106"/>
      <c r="P181" s="72"/>
      <c r="Q181" s="106"/>
      <c r="R181" s="106"/>
      <c r="S181" s="72"/>
      <c r="T181" s="72"/>
      <c r="U181" s="106"/>
      <c r="V181" s="72"/>
      <c r="W181" s="106"/>
      <c r="X181" s="106"/>
      <c r="Y181" s="72"/>
      <c r="Z181" s="72"/>
      <c r="AA181" s="72"/>
      <c r="AB181" s="72"/>
      <c r="AC181" s="72"/>
      <c r="AD181" s="72"/>
      <c r="AE181" s="106"/>
      <c r="AF181" s="72"/>
      <c r="AG181" s="72"/>
      <c r="AH181" s="107"/>
      <c r="AI181" s="107"/>
    </row>
    <row r="182" spans="1:36" ht="22.35" customHeight="1" x14ac:dyDescent="0.2">
      <c r="A182" s="109"/>
      <c r="B182" s="2378" t="s">
        <v>233</v>
      </c>
      <c r="C182" s="2379"/>
      <c r="D182" s="361" t="s">
        <v>107</v>
      </c>
      <c r="E182" s="362"/>
      <c r="F182" s="2380"/>
      <c r="G182" s="2381"/>
      <c r="H182" s="361" t="s">
        <v>108</v>
      </c>
      <c r="I182" s="362"/>
      <c r="J182" s="2380"/>
      <c r="K182" s="2381"/>
      <c r="L182" s="361" t="s">
        <v>109</v>
      </c>
      <c r="M182" s="362"/>
      <c r="N182" s="2380"/>
      <c r="O182" s="2381"/>
      <c r="P182" s="361" t="s">
        <v>110</v>
      </c>
      <c r="Q182" s="362"/>
      <c r="R182" s="2380"/>
      <c r="S182" s="2381"/>
      <c r="T182" s="361" t="s">
        <v>111</v>
      </c>
      <c r="U182" s="362"/>
      <c r="V182" s="2380"/>
      <c r="W182" s="2381"/>
      <c r="X182" s="361" t="s">
        <v>112</v>
      </c>
      <c r="Y182" s="362"/>
      <c r="Z182" s="2380"/>
      <c r="AA182" s="2381"/>
      <c r="AB182" s="361" t="s">
        <v>113</v>
      </c>
      <c r="AC182" s="362"/>
      <c r="AD182" s="362"/>
      <c r="AE182" s="2382" t="s">
        <v>114</v>
      </c>
      <c r="AF182" s="362"/>
      <c r="AG182" s="362"/>
      <c r="AH182" s="362"/>
      <c r="AI182" s="2383"/>
    </row>
    <row r="183" spans="1:36" ht="22.35" customHeight="1" x14ac:dyDescent="0.2">
      <c r="A183" s="109"/>
      <c r="B183" s="396" t="s">
        <v>234</v>
      </c>
      <c r="C183" s="397" t="s">
        <v>235</v>
      </c>
      <c r="D183" s="379" t="s">
        <v>236</v>
      </c>
      <c r="E183" s="380"/>
      <c r="F183" s="381"/>
      <c r="G183" s="398"/>
      <c r="H183" s="379" t="s">
        <v>236</v>
      </c>
      <c r="I183" s="380"/>
      <c r="J183" s="381"/>
      <c r="K183" s="398"/>
      <c r="L183" s="379" t="s">
        <v>236</v>
      </c>
      <c r="M183" s="380"/>
      <c r="N183" s="381"/>
      <c r="O183" s="398"/>
      <c r="P183" s="379" t="s">
        <v>237</v>
      </c>
      <c r="Q183" s="380"/>
      <c r="R183" s="381"/>
      <c r="S183" s="398"/>
      <c r="T183" s="379" t="s">
        <v>238</v>
      </c>
      <c r="U183" s="381"/>
      <c r="V183" s="381"/>
      <c r="W183" s="399"/>
      <c r="X183" s="382"/>
      <c r="Y183" s="382"/>
      <c r="Z183" s="383"/>
      <c r="AA183" s="399"/>
      <c r="AB183" s="382"/>
      <c r="AC183" s="382"/>
      <c r="AD183" s="382"/>
      <c r="AE183" s="399"/>
      <c r="AF183" s="382"/>
      <c r="AG183" s="382"/>
      <c r="AH183" s="384"/>
      <c r="AI183" s="2029"/>
    </row>
    <row r="184" spans="1:36" ht="22.35" customHeight="1" x14ac:dyDescent="0.2">
      <c r="A184" s="109"/>
      <c r="B184" s="396" t="s">
        <v>234</v>
      </c>
      <c r="C184" s="397" t="s">
        <v>239</v>
      </c>
      <c r="D184" s="379" t="s">
        <v>236</v>
      </c>
      <c r="E184" s="380"/>
      <c r="F184" s="381"/>
      <c r="G184" s="398"/>
      <c r="H184" s="379" t="s">
        <v>236</v>
      </c>
      <c r="I184" s="380"/>
      <c r="J184" s="381"/>
      <c r="K184" s="398"/>
      <c r="L184" s="379" t="s">
        <v>236</v>
      </c>
      <c r="M184" s="380"/>
      <c r="N184" s="381"/>
      <c r="O184" s="398"/>
      <c r="P184" s="379" t="s">
        <v>237</v>
      </c>
      <c r="Q184" s="380"/>
      <c r="R184" s="381"/>
      <c r="S184" s="398"/>
      <c r="T184" s="379" t="s">
        <v>238</v>
      </c>
      <c r="U184" s="381"/>
      <c r="V184" s="381"/>
      <c r="W184" s="399"/>
      <c r="X184" s="382"/>
      <c r="Y184" s="382"/>
      <c r="Z184" s="383"/>
      <c r="AA184" s="399"/>
      <c r="AB184" s="382"/>
      <c r="AC184" s="382"/>
      <c r="AD184" s="382"/>
      <c r="AE184" s="399"/>
      <c r="AF184" s="382"/>
      <c r="AG184" s="382"/>
      <c r="AH184" s="384"/>
      <c r="AI184" s="2029"/>
    </row>
    <row r="185" spans="1:36" ht="22.35" customHeight="1" x14ac:dyDescent="0.2">
      <c r="A185" s="109"/>
      <c r="B185" s="396" t="s">
        <v>240</v>
      </c>
      <c r="C185" s="397" t="s">
        <v>50</v>
      </c>
      <c r="D185" s="379" t="s">
        <v>236</v>
      </c>
      <c r="E185" s="380"/>
      <c r="F185" s="381"/>
      <c r="G185" s="398"/>
      <c r="H185" s="379" t="s">
        <v>236</v>
      </c>
      <c r="I185" s="380"/>
      <c r="J185" s="381"/>
      <c r="K185" s="398"/>
      <c r="L185" s="379" t="s">
        <v>236</v>
      </c>
      <c r="M185" s="380"/>
      <c r="N185" s="381"/>
      <c r="O185" s="398"/>
      <c r="P185" s="379" t="s">
        <v>237</v>
      </c>
      <c r="Q185" s="380"/>
      <c r="R185" s="381"/>
      <c r="S185" s="398"/>
      <c r="T185" s="379" t="s">
        <v>238</v>
      </c>
      <c r="U185" s="381"/>
      <c r="V185" s="381"/>
      <c r="W185" s="399"/>
      <c r="X185" s="382"/>
      <c r="Y185" s="382"/>
      <c r="Z185" s="383"/>
      <c r="AA185" s="399"/>
      <c r="AB185" s="382"/>
      <c r="AC185" s="382"/>
      <c r="AD185" s="382"/>
      <c r="AE185" s="399"/>
      <c r="AF185" s="382"/>
      <c r="AG185" s="382"/>
      <c r="AH185" s="384"/>
      <c r="AI185" s="2029"/>
    </row>
    <row r="186" spans="1:36" ht="22.35" customHeight="1" x14ac:dyDescent="0.2">
      <c r="A186" s="109"/>
      <c r="B186" s="396" t="s">
        <v>242</v>
      </c>
      <c r="C186" s="397" t="s">
        <v>243</v>
      </c>
      <c r="D186" s="379" t="s">
        <v>315</v>
      </c>
      <c r="E186" s="380"/>
      <c r="F186" s="381"/>
      <c r="G186" s="398"/>
      <c r="H186" s="379" t="s">
        <v>315</v>
      </c>
      <c r="I186" s="380"/>
      <c r="J186" s="381"/>
      <c r="K186" s="398"/>
      <c r="L186" s="379" t="s">
        <v>315</v>
      </c>
      <c r="M186" s="380"/>
      <c r="N186" s="381"/>
      <c r="O186" s="398"/>
      <c r="P186" s="379" t="s">
        <v>437</v>
      </c>
      <c r="Q186" s="380"/>
      <c r="R186" s="381"/>
      <c r="S186" s="398"/>
      <c r="T186" s="379" t="s">
        <v>438</v>
      </c>
      <c r="U186" s="381"/>
      <c r="V186" s="381"/>
      <c r="W186" s="399"/>
      <c r="X186" s="382"/>
      <c r="Y186" s="382"/>
      <c r="Z186" s="383"/>
      <c r="AA186" s="399"/>
      <c r="AB186" s="382"/>
      <c r="AC186" s="382"/>
      <c r="AD186" s="382"/>
      <c r="AE186" s="399"/>
      <c r="AF186" s="382"/>
      <c r="AG186" s="382"/>
      <c r="AH186" s="384"/>
      <c r="AI186" s="2029"/>
    </row>
    <row r="187" spans="1:36" ht="22.35" customHeight="1" x14ac:dyDescent="0.2">
      <c r="A187" s="109"/>
      <c r="B187" s="396" t="s">
        <v>248</v>
      </c>
      <c r="C187" s="397" t="s">
        <v>249</v>
      </c>
      <c r="D187" s="379" t="s">
        <v>250</v>
      </c>
      <c r="E187" s="380"/>
      <c r="F187" s="381"/>
      <c r="G187" s="398"/>
      <c r="H187" s="379" t="s">
        <v>250</v>
      </c>
      <c r="I187" s="380"/>
      <c r="J187" s="381"/>
      <c r="K187" s="398"/>
      <c r="L187" s="379" t="s">
        <v>251</v>
      </c>
      <c r="M187" s="380"/>
      <c r="N187" s="381"/>
      <c r="O187" s="398"/>
      <c r="P187" s="379" t="s">
        <v>252</v>
      </c>
      <c r="Q187" s="380"/>
      <c r="R187" s="381"/>
      <c r="S187" s="398"/>
      <c r="T187" s="379" t="s">
        <v>253</v>
      </c>
      <c r="U187" s="381"/>
      <c r="V187" s="381"/>
      <c r="W187" s="399"/>
      <c r="X187" s="382"/>
      <c r="Y187" s="382"/>
      <c r="Z187" s="383"/>
      <c r="AA187" s="399"/>
      <c r="AB187" s="382"/>
      <c r="AC187" s="382"/>
      <c r="AD187" s="382"/>
      <c r="AE187" s="399"/>
      <c r="AF187" s="382"/>
      <c r="AG187" s="382"/>
      <c r="AH187" s="384"/>
      <c r="AI187" s="2029"/>
    </row>
    <row r="188" spans="1:36" ht="22.35" customHeight="1" x14ac:dyDescent="0.2">
      <c r="A188" s="109"/>
      <c r="B188" s="396" t="s">
        <v>254</v>
      </c>
      <c r="C188" s="397" t="s">
        <v>142</v>
      </c>
      <c r="D188" s="379" t="s">
        <v>236</v>
      </c>
      <c r="E188" s="380"/>
      <c r="F188" s="381"/>
      <c r="G188" s="398"/>
      <c r="H188" s="379" t="s">
        <v>236</v>
      </c>
      <c r="I188" s="380"/>
      <c r="J188" s="381"/>
      <c r="K188" s="398"/>
      <c r="L188" s="379" t="s">
        <v>236</v>
      </c>
      <c r="M188" s="380"/>
      <c r="N188" s="381"/>
      <c r="O188" s="398"/>
      <c r="P188" s="379" t="s">
        <v>236</v>
      </c>
      <c r="Q188" s="380"/>
      <c r="R188" s="381"/>
      <c r="S188" s="398"/>
      <c r="T188" s="379" t="s">
        <v>250</v>
      </c>
      <c r="U188" s="381"/>
      <c r="V188" s="381"/>
      <c r="W188" s="399"/>
      <c r="X188" s="382"/>
      <c r="Y188" s="382"/>
      <c r="Z188" s="383"/>
      <c r="AA188" s="399"/>
      <c r="AB188" s="382"/>
      <c r="AC188" s="382"/>
      <c r="AD188" s="382"/>
      <c r="AE188" s="399"/>
      <c r="AF188" s="382"/>
      <c r="AG188" s="382"/>
      <c r="AH188" s="384"/>
      <c r="AI188" s="2029"/>
    </row>
    <row r="189" spans="1:36" ht="22.35" customHeight="1" x14ac:dyDescent="0.2">
      <c r="A189" s="109"/>
      <c r="B189" s="396" t="s">
        <v>255</v>
      </c>
      <c r="C189" s="397" t="s">
        <v>134</v>
      </c>
      <c r="D189" s="379" t="s">
        <v>236</v>
      </c>
      <c r="E189" s="380"/>
      <c r="F189" s="381"/>
      <c r="G189" s="398"/>
      <c r="H189" s="379" t="s">
        <v>236</v>
      </c>
      <c r="I189" s="380"/>
      <c r="J189" s="381"/>
      <c r="K189" s="398"/>
      <c r="L189" s="379" t="s">
        <v>236</v>
      </c>
      <c r="M189" s="380"/>
      <c r="N189" s="381"/>
      <c r="O189" s="398"/>
      <c r="P189" s="379" t="s">
        <v>237</v>
      </c>
      <c r="Q189" s="380"/>
      <c r="R189" s="381"/>
      <c r="S189" s="398"/>
      <c r="T189" s="379" t="s">
        <v>238</v>
      </c>
      <c r="U189" s="381"/>
      <c r="V189" s="381"/>
      <c r="W189" s="399"/>
      <c r="X189" s="382"/>
      <c r="Y189" s="382"/>
      <c r="Z189" s="383"/>
      <c r="AA189" s="399"/>
      <c r="AB189" s="382"/>
      <c r="AC189" s="382"/>
      <c r="AD189" s="382"/>
      <c r="AE189" s="399"/>
      <c r="AF189" s="382"/>
      <c r="AG189" s="382"/>
      <c r="AH189" s="384"/>
      <c r="AI189" s="2029"/>
    </row>
    <row r="190" spans="1:36" ht="22.35" customHeight="1" x14ac:dyDescent="0.2">
      <c r="A190" s="109"/>
      <c r="B190" s="396" t="s">
        <v>255</v>
      </c>
      <c r="C190" s="397" t="s">
        <v>176</v>
      </c>
      <c r="D190" s="379" t="s">
        <v>236</v>
      </c>
      <c r="E190" s="380"/>
      <c r="F190" s="381"/>
      <c r="G190" s="398"/>
      <c r="H190" s="379" t="s">
        <v>236</v>
      </c>
      <c r="I190" s="380"/>
      <c r="J190" s="381"/>
      <c r="K190" s="398"/>
      <c r="L190" s="379" t="s">
        <v>236</v>
      </c>
      <c r="M190" s="380"/>
      <c r="N190" s="381"/>
      <c r="O190" s="398"/>
      <c r="P190" s="379" t="s">
        <v>237</v>
      </c>
      <c r="Q190" s="380"/>
      <c r="R190" s="381"/>
      <c r="S190" s="398"/>
      <c r="T190" s="379" t="s">
        <v>238</v>
      </c>
      <c r="U190" s="381"/>
      <c r="V190" s="381"/>
      <c r="W190" s="399"/>
      <c r="X190" s="382"/>
      <c r="Y190" s="382"/>
      <c r="Z190" s="383"/>
      <c r="AA190" s="399"/>
      <c r="AB190" s="382"/>
      <c r="AC190" s="382"/>
      <c r="AD190" s="382"/>
      <c r="AE190" s="399"/>
      <c r="AF190" s="382"/>
      <c r="AG190" s="382"/>
      <c r="AH190" s="384"/>
      <c r="AI190" s="2029"/>
    </row>
    <row r="191" spans="1:36" ht="22.35" customHeight="1" x14ac:dyDescent="0.2">
      <c r="A191" s="109"/>
      <c r="B191" s="396" t="s">
        <v>256</v>
      </c>
      <c r="C191" s="397" t="s">
        <v>257</v>
      </c>
      <c r="D191" s="379" t="s">
        <v>236</v>
      </c>
      <c r="E191" s="380"/>
      <c r="F191" s="381"/>
      <c r="G191" s="398"/>
      <c r="H191" s="379" t="s">
        <v>236</v>
      </c>
      <c r="I191" s="380"/>
      <c r="J191" s="381"/>
      <c r="K191" s="398"/>
      <c r="L191" s="379" t="s">
        <v>236</v>
      </c>
      <c r="M191" s="380"/>
      <c r="N191" s="381"/>
      <c r="O191" s="398"/>
      <c r="P191" s="379" t="s">
        <v>258</v>
      </c>
      <c r="Q191" s="380"/>
      <c r="R191" s="381"/>
      <c r="S191" s="398"/>
      <c r="T191" s="379" t="s">
        <v>253</v>
      </c>
      <c r="U191" s="381"/>
      <c r="V191" s="381"/>
      <c r="W191" s="399"/>
      <c r="X191" s="382"/>
      <c r="Y191" s="382"/>
      <c r="Z191" s="383"/>
      <c r="AA191" s="399"/>
      <c r="AB191" s="382"/>
      <c r="AC191" s="382"/>
      <c r="AD191" s="382"/>
      <c r="AE191" s="399"/>
      <c r="AF191" s="382"/>
      <c r="AG191" s="382"/>
      <c r="AH191" s="384"/>
      <c r="AI191" s="2029"/>
    </row>
    <row r="192" spans="1:36" ht="22.35" customHeight="1" x14ac:dyDescent="0.2">
      <c r="A192" s="109"/>
      <c r="B192" s="2030" t="s">
        <v>259</v>
      </c>
      <c r="C192" s="400" t="s">
        <v>95</v>
      </c>
      <c r="D192" s="385" t="s">
        <v>236</v>
      </c>
      <c r="E192" s="386"/>
      <c r="F192" s="387"/>
      <c r="G192" s="400"/>
      <c r="H192" s="385" t="s">
        <v>236</v>
      </c>
      <c r="I192" s="386"/>
      <c r="J192" s="387"/>
      <c r="K192" s="400"/>
      <c r="L192" s="385" t="s">
        <v>236</v>
      </c>
      <c r="M192" s="386"/>
      <c r="N192" s="387"/>
      <c r="O192" s="400"/>
      <c r="P192" s="385" t="s">
        <v>237</v>
      </c>
      <c r="Q192" s="386"/>
      <c r="R192" s="387"/>
      <c r="S192" s="400"/>
      <c r="T192" s="385" t="s">
        <v>238</v>
      </c>
      <c r="U192" s="387"/>
      <c r="V192" s="388"/>
      <c r="W192" s="2031"/>
      <c r="X192" s="188"/>
      <c r="Y192" s="188"/>
      <c r="Z192" s="388"/>
      <c r="AA192" s="2031"/>
      <c r="AB192" s="188"/>
      <c r="AC192" s="188"/>
      <c r="AD192" s="188"/>
      <c r="AE192" s="2031"/>
      <c r="AF192" s="188"/>
      <c r="AG192" s="188"/>
      <c r="AH192" s="189"/>
      <c r="AI192" s="2032"/>
      <c r="AJ192" s="190"/>
    </row>
    <row r="193" spans="1:36" ht="22.35" customHeight="1" x14ac:dyDescent="0.2">
      <c r="A193" s="109"/>
      <c r="B193" s="396" t="s">
        <v>260</v>
      </c>
      <c r="C193" s="397" t="s">
        <v>177</v>
      </c>
      <c r="D193" s="379" t="s">
        <v>236</v>
      </c>
      <c r="E193" s="380"/>
      <c r="F193" s="381"/>
      <c r="G193" s="398"/>
      <c r="H193" s="379" t="s">
        <v>236</v>
      </c>
      <c r="I193" s="380"/>
      <c r="J193" s="381"/>
      <c r="K193" s="398"/>
      <c r="L193" s="379" t="s">
        <v>236</v>
      </c>
      <c r="M193" s="380"/>
      <c r="N193" s="381"/>
      <c r="O193" s="398"/>
      <c r="P193" s="379" t="s">
        <v>237</v>
      </c>
      <c r="Q193" s="380"/>
      <c r="R193" s="381"/>
      <c r="S193" s="398"/>
      <c r="T193" s="379" t="s">
        <v>238</v>
      </c>
      <c r="U193" s="381"/>
      <c r="V193" s="380"/>
      <c r="W193" s="399"/>
      <c r="X193" s="382"/>
      <c r="Y193" s="382"/>
      <c r="Z193" s="382"/>
      <c r="AA193" s="399"/>
      <c r="AB193" s="382"/>
      <c r="AC193" s="382"/>
      <c r="AD193" s="382"/>
      <c r="AE193" s="399"/>
      <c r="AF193" s="382"/>
      <c r="AG193" s="382"/>
      <c r="AH193" s="384"/>
      <c r="AI193" s="2029"/>
      <c r="AJ193" s="190"/>
    </row>
    <row r="194" spans="1:36" ht="22.35" customHeight="1" x14ac:dyDescent="0.2">
      <c r="A194" s="109"/>
      <c r="B194" s="396" t="s">
        <v>261</v>
      </c>
      <c r="C194" s="397" t="s">
        <v>137</v>
      </c>
      <c r="D194" s="379" t="s">
        <v>262</v>
      </c>
      <c r="E194" s="380"/>
      <c r="F194" s="381"/>
      <c r="G194" s="398"/>
      <c r="H194" s="379" t="s">
        <v>262</v>
      </c>
      <c r="I194" s="380"/>
      <c r="J194" s="381"/>
      <c r="K194" s="398"/>
      <c r="L194" s="379" t="s">
        <v>262</v>
      </c>
      <c r="M194" s="380"/>
      <c r="N194" s="380"/>
      <c r="O194" s="398"/>
      <c r="P194" s="379" t="s">
        <v>262</v>
      </c>
      <c r="Q194" s="380"/>
      <c r="R194" s="380"/>
      <c r="S194" s="398"/>
      <c r="T194" s="379" t="s">
        <v>253</v>
      </c>
      <c r="U194" s="381"/>
      <c r="V194" s="380"/>
      <c r="W194" s="401"/>
      <c r="X194" s="382"/>
      <c r="Y194" s="382"/>
      <c r="Z194" s="382"/>
      <c r="AA194" s="399"/>
      <c r="AB194" s="382"/>
      <c r="AC194" s="382"/>
      <c r="AD194" s="382"/>
      <c r="AE194" s="399"/>
      <c r="AF194" s="382"/>
      <c r="AG194" s="382"/>
      <c r="AH194" s="384"/>
      <c r="AI194" s="2029"/>
      <c r="AJ194" s="190"/>
    </row>
    <row r="195" spans="1:36" ht="22.35" customHeight="1" x14ac:dyDescent="0.2">
      <c r="A195" s="109"/>
      <c r="B195" s="396" t="s">
        <v>263</v>
      </c>
      <c r="C195" s="397" t="s">
        <v>264</v>
      </c>
      <c r="D195" s="379" t="s">
        <v>262</v>
      </c>
      <c r="E195" s="380"/>
      <c r="F195" s="381"/>
      <c r="G195" s="398"/>
      <c r="H195" s="379" t="s">
        <v>262</v>
      </c>
      <c r="I195" s="380"/>
      <c r="J195" s="381"/>
      <c r="K195" s="398"/>
      <c r="L195" s="379" t="s">
        <v>262</v>
      </c>
      <c r="M195" s="380"/>
      <c r="N195" s="380"/>
      <c r="O195" s="398"/>
      <c r="P195" s="379" t="s">
        <v>262</v>
      </c>
      <c r="Q195" s="380"/>
      <c r="R195" s="380"/>
      <c r="S195" s="398"/>
      <c r="T195" s="379" t="s">
        <v>253</v>
      </c>
      <c r="U195" s="381"/>
      <c r="V195" s="380"/>
      <c r="W195" s="401"/>
      <c r="X195" s="382"/>
      <c r="Y195" s="382"/>
      <c r="Z195" s="383"/>
      <c r="AA195" s="389"/>
      <c r="AB195" s="382"/>
      <c r="AC195" s="382"/>
      <c r="AD195" s="382"/>
      <c r="AE195" s="399"/>
      <c r="AF195" s="382"/>
      <c r="AG195" s="382"/>
      <c r="AH195" s="384"/>
      <c r="AI195" s="2029"/>
      <c r="AJ195" s="190"/>
    </row>
    <row r="196" spans="1:36" ht="22.35" customHeight="1" thickBot="1" x14ac:dyDescent="0.25">
      <c r="A196" s="109"/>
      <c r="B196" s="1119" t="s">
        <v>265</v>
      </c>
      <c r="C196" s="1120" t="s">
        <v>266</v>
      </c>
      <c r="D196" s="658" t="s">
        <v>262</v>
      </c>
      <c r="E196" s="659"/>
      <c r="F196" s="1123"/>
      <c r="G196" s="1124"/>
      <c r="H196" s="658" t="s">
        <v>262</v>
      </c>
      <c r="I196" s="659"/>
      <c r="J196" s="1123"/>
      <c r="K196" s="1124"/>
      <c r="L196" s="658" t="s">
        <v>262</v>
      </c>
      <c r="M196" s="659"/>
      <c r="N196" s="659"/>
      <c r="O196" s="1124"/>
      <c r="P196" s="658" t="s">
        <v>262</v>
      </c>
      <c r="Q196" s="659"/>
      <c r="R196" s="659"/>
      <c r="S196" s="1124"/>
      <c r="T196" s="658" t="s">
        <v>253</v>
      </c>
      <c r="U196" s="1123"/>
      <c r="V196" s="659"/>
      <c r="W196" s="1125"/>
      <c r="X196" s="660"/>
      <c r="Y196" s="660"/>
      <c r="Z196" s="1127"/>
      <c r="AA196" s="661"/>
      <c r="AB196" s="660"/>
      <c r="AC196" s="660"/>
      <c r="AD196" s="660"/>
      <c r="AE196" s="1129"/>
      <c r="AF196" s="660"/>
      <c r="AG196" s="660"/>
      <c r="AH196" s="662"/>
      <c r="AI196" s="1131"/>
      <c r="AJ196" s="190"/>
    </row>
    <row r="197" spans="1:36" ht="22.35" customHeight="1" x14ac:dyDescent="0.2">
      <c r="A197" s="109"/>
      <c r="B197" s="206"/>
      <c r="C197" s="207"/>
      <c r="D197" s="208"/>
      <c r="E197" s="209"/>
      <c r="F197" s="209"/>
      <c r="G197" s="210"/>
      <c r="H197" s="208"/>
      <c r="I197" s="209"/>
      <c r="J197" s="209"/>
      <c r="K197" s="210"/>
      <c r="L197" s="208"/>
      <c r="M197" s="209"/>
      <c r="N197" s="209"/>
      <c r="O197" s="210"/>
      <c r="P197" s="198"/>
      <c r="Q197" s="209"/>
      <c r="R197" s="209"/>
      <c r="S197" s="210"/>
      <c r="T197" s="198"/>
      <c r="U197" s="209"/>
      <c r="V197" s="209"/>
      <c r="W197" s="209"/>
      <c r="X197" s="209"/>
      <c r="Y197" s="209"/>
      <c r="Z197" s="209"/>
      <c r="AA197" s="210"/>
      <c r="AB197" s="209"/>
      <c r="AC197" s="209"/>
      <c r="AD197" s="209"/>
      <c r="AE197" s="210"/>
      <c r="AF197" s="209"/>
      <c r="AG197" s="209"/>
      <c r="AH197" s="191"/>
      <c r="AI197" s="191"/>
      <c r="AJ197" s="190"/>
    </row>
    <row r="198" spans="1:36" ht="22.35" customHeight="1" thickBot="1" x14ac:dyDescent="0.25">
      <c r="A198" s="147"/>
      <c r="B198" s="390" t="s">
        <v>29</v>
      </c>
      <c r="C198" s="2167">
        <v>1</v>
      </c>
      <c r="D198" s="2167">
        <v>2</v>
      </c>
      <c r="E198" s="2168">
        <v>3</v>
      </c>
      <c r="F198" s="2168">
        <v>4</v>
      </c>
      <c r="G198" s="2168">
        <v>5</v>
      </c>
      <c r="H198" s="2168">
        <v>6</v>
      </c>
      <c r="I198" s="2168">
        <v>7</v>
      </c>
      <c r="J198" s="2167">
        <v>8</v>
      </c>
      <c r="K198" s="2167">
        <v>9</v>
      </c>
      <c r="L198" s="2168">
        <v>10</v>
      </c>
      <c r="M198" s="2168">
        <v>11</v>
      </c>
      <c r="N198" s="2168">
        <v>12</v>
      </c>
      <c r="O198" s="2168">
        <v>13</v>
      </c>
      <c r="P198" s="2168">
        <v>14</v>
      </c>
      <c r="Q198" s="2167">
        <v>15</v>
      </c>
      <c r="R198" s="2167">
        <v>16</v>
      </c>
      <c r="S198" s="2168">
        <v>17</v>
      </c>
      <c r="T198" s="2168">
        <v>18</v>
      </c>
      <c r="U198" s="2168">
        <v>19</v>
      </c>
      <c r="V198" s="2168">
        <v>20</v>
      </c>
      <c r="W198" s="2168">
        <v>21</v>
      </c>
      <c r="X198" s="2167">
        <v>22</v>
      </c>
      <c r="Y198" s="2167">
        <v>23</v>
      </c>
      <c r="Z198" s="2168">
        <v>24</v>
      </c>
      <c r="AA198" s="2168">
        <v>25</v>
      </c>
      <c r="AB198" s="2168">
        <v>26</v>
      </c>
      <c r="AC198" s="2168">
        <v>27</v>
      </c>
      <c r="AD198" s="2168">
        <v>28</v>
      </c>
      <c r="AE198" s="2167">
        <v>29</v>
      </c>
      <c r="AF198" s="2167">
        <v>30</v>
      </c>
      <c r="AG198" s="2169">
        <v>31</v>
      </c>
      <c r="AH198" s="180"/>
      <c r="AI198" s="174"/>
    </row>
    <row r="199" spans="1:36" ht="22.35" customHeight="1" x14ac:dyDescent="0.2">
      <c r="A199" s="109"/>
      <c r="B199" s="2384" t="s">
        <v>267</v>
      </c>
      <c r="C199" s="2385"/>
      <c r="D199" s="2385"/>
      <c r="E199" s="2385" t="s">
        <v>235</v>
      </c>
      <c r="F199" s="2385" t="s">
        <v>235</v>
      </c>
      <c r="G199" s="2385" t="s">
        <v>235</v>
      </c>
      <c r="H199" s="2385" t="s">
        <v>235</v>
      </c>
      <c r="I199" s="2385" t="s">
        <v>235</v>
      </c>
      <c r="J199" s="2385"/>
      <c r="K199" s="2385"/>
      <c r="L199" s="2385" t="s">
        <v>235</v>
      </c>
      <c r="M199" s="2385" t="s">
        <v>235</v>
      </c>
      <c r="N199" s="2385" t="s">
        <v>235</v>
      </c>
      <c r="O199" s="2385" t="s">
        <v>235</v>
      </c>
      <c r="P199" s="2385" t="s">
        <v>235</v>
      </c>
      <c r="Q199" s="2385"/>
      <c r="R199" s="2385"/>
      <c r="S199" s="2385" t="s">
        <v>235</v>
      </c>
      <c r="T199" s="2385" t="s">
        <v>235</v>
      </c>
      <c r="U199" s="2385" t="s">
        <v>235</v>
      </c>
      <c r="V199" s="2385" t="s">
        <v>235</v>
      </c>
      <c r="W199" s="2385" t="s">
        <v>235</v>
      </c>
      <c r="X199" s="2385"/>
      <c r="Y199" s="2385"/>
      <c r="Z199" s="2386" t="s">
        <v>235</v>
      </c>
      <c r="AA199" s="2386" t="s">
        <v>235</v>
      </c>
      <c r="AB199" s="2386" t="s">
        <v>235</v>
      </c>
      <c r="AC199" s="2386" t="s">
        <v>439</v>
      </c>
      <c r="AD199" s="2387" t="s">
        <v>235</v>
      </c>
      <c r="AE199" s="2385"/>
      <c r="AF199" s="2385"/>
      <c r="AG199" s="2385" t="s">
        <v>235</v>
      </c>
      <c r="AH199" s="179"/>
      <c r="AI199" s="179"/>
    </row>
    <row r="200" spans="1:36" ht="22.35" customHeight="1" x14ac:dyDescent="0.2">
      <c r="A200" s="109"/>
      <c r="B200" s="663" t="s">
        <v>268</v>
      </c>
      <c r="C200" s="721"/>
      <c r="D200" s="721"/>
      <c r="E200" s="721" t="s">
        <v>235</v>
      </c>
      <c r="F200" s="721" t="s">
        <v>235</v>
      </c>
      <c r="G200" s="721" t="s">
        <v>235</v>
      </c>
      <c r="H200" s="721" t="s">
        <v>235</v>
      </c>
      <c r="I200" s="721" t="s">
        <v>235</v>
      </c>
      <c r="J200" s="721"/>
      <c r="K200" s="721"/>
      <c r="L200" s="721" t="s">
        <v>235</v>
      </c>
      <c r="M200" s="721" t="s">
        <v>235</v>
      </c>
      <c r="N200" s="721" t="s">
        <v>235</v>
      </c>
      <c r="O200" s="721" t="s">
        <v>235</v>
      </c>
      <c r="P200" s="721" t="s">
        <v>235</v>
      </c>
      <c r="Q200" s="721"/>
      <c r="R200" s="721"/>
      <c r="S200" s="2388" t="s">
        <v>235</v>
      </c>
      <c r="T200" s="721" t="s">
        <v>235</v>
      </c>
      <c r="U200" s="721" t="s">
        <v>235</v>
      </c>
      <c r="V200" s="721" t="s">
        <v>235</v>
      </c>
      <c r="W200" s="721" t="s">
        <v>235</v>
      </c>
      <c r="X200" s="721"/>
      <c r="Y200" s="721"/>
      <c r="Z200" s="721" t="s">
        <v>235</v>
      </c>
      <c r="AA200" s="721" t="s">
        <v>235</v>
      </c>
      <c r="AB200" s="721" t="s">
        <v>235</v>
      </c>
      <c r="AC200" s="721" t="s">
        <v>235</v>
      </c>
      <c r="AD200" s="721" t="s">
        <v>235</v>
      </c>
      <c r="AE200" s="721"/>
      <c r="AF200" s="721"/>
      <c r="AG200" s="721" t="s">
        <v>235</v>
      </c>
      <c r="AH200" s="179"/>
      <c r="AI200" s="179"/>
    </row>
    <row r="201" spans="1:36" ht="22.35" customHeight="1" x14ac:dyDescent="0.2">
      <c r="A201" s="109"/>
      <c r="B201" s="663" t="s">
        <v>270</v>
      </c>
      <c r="C201" s="721"/>
      <c r="D201" s="721"/>
      <c r="E201" s="721" t="s">
        <v>239</v>
      </c>
      <c r="F201" s="721" t="s">
        <v>239</v>
      </c>
      <c r="G201" s="721" t="s">
        <v>235</v>
      </c>
      <c r="H201" s="721" t="s">
        <v>239</v>
      </c>
      <c r="I201" s="721" t="s">
        <v>239</v>
      </c>
      <c r="J201" s="721"/>
      <c r="K201" s="721"/>
      <c r="L201" s="721" t="s">
        <v>239</v>
      </c>
      <c r="M201" s="721" t="s">
        <v>239</v>
      </c>
      <c r="N201" s="721" t="s">
        <v>235</v>
      </c>
      <c r="O201" s="721" t="s">
        <v>239</v>
      </c>
      <c r="P201" s="721" t="s">
        <v>239</v>
      </c>
      <c r="Q201" s="721"/>
      <c r="R201" s="721"/>
      <c r="S201" s="1286" t="s">
        <v>239</v>
      </c>
      <c r="T201" s="1286" t="s">
        <v>239</v>
      </c>
      <c r="U201" s="1286" t="s">
        <v>235</v>
      </c>
      <c r="V201" s="1286" t="s">
        <v>239</v>
      </c>
      <c r="W201" s="1286" t="s">
        <v>239</v>
      </c>
      <c r="X201" s="1286"/>
      <c r="Y201" s="1286"/>
      <c r="Z201" s="721" t="s">
        <v>239</v>
      </c>
      <c r="AA201" s="721" t="s">
        <v>239</v>
      </c>
      <c r="AB201" s="721" t="s">
        <v>235</v>
      </c>
      <c r="AC201" s="721" t="s">
        <v>239</v>
      </c>
      <c r="AD201" s="721" t="s">
        <v>239</v>
      </c>
      <c r="AE201" s="721"/>
      <c r="AF201" s="721"/>
      <c r="AG201" s="721" t="s">
        <v>239</v>
      </c>
      <c r="AH201" s="179"/>
      <c r="AI201" s="179"/>
    </row>
    <row r="202" spans="1:36" ht="22.35" customHeight="1" x14ac:dyDescent="0.2">
      <c r="A202" s="109"/>
      <c r="B202" s="663" t="s">
        <v>271</v>
      </c>
      <c r="C202" s="721"/>
      <c r="D202" s="721"/>
      <c r="E202" s="721" t="s">
        <v>50</v>
      </c>
      <c r="F202" s="721" t="s">
        <v>50</v>
      </c>
      <c r="G202" s="721" t="s">
        <v>50</v>
      </c>
      <c r="H202" s="721" t="s">
        <v>50</v>
      </c>
      <c r="I202" s="721" t="s">
        <v>50</v>
      </c>
      <c r="J202" s="721"/>
      <c r="K202" s="721"/>
      <c r="L202" s="721" t="s">
        <v>50</v>
      </c>
      <c r="M202" s="721" t="s">
        <v>50</v>
      </c>
      <c r="N202" s="721" t="s">
        <v>50</v>
      </c>
      <c r="O202" s="721" t="s">
        <v>50</v>
      </c>
      <c r="P202" s="721" t="s">
        <v>50</v>
      </c>
      <c r="Q202" s="721"/>
      <c r="R202" s="721"/>
      <c r="S202" s="721" t="s">
        <v>50</v>
      </c>
      <c r="T202" s="721" t="s">
        <v>50</v>
      </c>
      <c r="U202" s="721" t="s">
        <v>50</v>
      </c>
      <c r="V202" s="721" t="s">
        <v>50</v>
      </c>
      <c r="W202" s="721" t="s">
        <v>50</v>
      </c>
      <c r="X202" s="721"/>
      <c r="Y202" s="721"/>
      <c r="Z202" s="1137" t="s">
        <v>50</v>
      </c>
      <c r="AA202" s="1137" t="s">
        <v>50</v>
      </c>
      <c r="AB202" s="1137" t="s">
        <v>50</v>
      </c>
      <c r="AC202" s="1137" t="s">
        <v>50</v>
      </c>
      <c r="AD202" s="1137" t="s">
        <v>50</v>
      </c>
      <c r="AE202" s="1137"/>
      <c r="AF202" s="1137"/>
      <c r="AG202" s="721" t="s">
        <v>50</v>
      </c>
      <c r="AH202" s="179"/>
      <c r="AI202" s="179"/>
    </row>
    <row r="203" spans="1:36" ht="22.35" customHeight="1" x14ac:dyDescent="0.2">
      <c r="A203" s="109"/>
      <c r="B203" s="933" t="s">
        <v>272</v>
      </c>
      <c r="C203" s="721"/>
      <c r="D203" s="721"/>
      <c r="E203" s="721" t="s">
        <v>243</v>
      </c>
      <c r="F203" s="721" t="s">
        <v>243</v>
      </c>
      <c r="G203" s="721" t="s">
        <v>243</v>
      </c>
      <c r="H203" s="721" t="s">
        <v>243</v>
      </c>
      <c r="I203" s="721" t="s">
        <v>243</v>
      </c>
      <c r="J203" s="721"/>
      <c r="K203" s="721"/>
      <c r="L203" s="721" t="s">
        <v>243</v>
      </c>
      <c r="M203" s="721" t="s">
        <v>243</v>
      </c>
      <c r="N203" s="721" t="s">
        <v>243</v>
      </c>
      <c r="O203" s="722" t="s">
        <v>243</v>
      </c>
      <c r="P203" s="2389" t="s">
        <v>243</v>
      </c>
      <c r="Q203" s="722"/>
      <c r="R203" s="722"/>
      <c r="S203" s="1137" t="s">
        <v>243</v>
      </c>
      <c r="T203" s="1137" t="s">
        <v>243</v>
      </c>
      <c r="U203" s="1137" t="s">
        <v>243</v>
      </c>
      <c r="V203" s="1137" t="s">
        <v>243</v>
      </c>
      <c r="W203" s="1137" t="s">
        <v>243</v>
      </c>
      <c r="X203" s="1137"/>
      <c r="Y203" s="1137"/>
      <c r="Z203" s="721" t="s">
        <v>243</v>
      </c>
      <c r="AA203" s="721" t="s">
        <v>243</v>
      </c>
      <c r="AB203" s="721" t="s">
        <v>243</v>
      </c>
      <c r="AC203" s="721" t="s">
        <v>243</v>
      </c>
      <c r="AD203" s="721" t="s">
        <v>243</v>
      </c>
      <c r="AE203" s="721"/>
      <c r="AF203" s="721"/>
      <c r="AG203" s="721" t="s">
        <v>243</v>
      </c>
      <c r="AH203" s="179"/>
      <c r="AI203" s="179"/>
    </row>
    <row r="204" spans="1:36" ht="22.35" customHeight="1" x14ac:dyDescent="0.2">
      <c r="A204" s="109"/>
      <c r="B204" s="2172"/>
      <c r="C204" s="721"/>
      <c r="D204" s="721"/>
      <c r="E204" s="721" t="s">
        <v>249</v>
      </c>
      <c r="F204" s="721" t="s">
        <v>249</v>
      </c>
      <c r="G204" s="721" t="s">
        <v>249</v>
      </c>
      <c r="H204" s="721" t="s">
        <v>249</v>
      </c>
      <c r="I204" s="721" t="s">
        <v>249</v>
      </c>
      <c r="J204" s="721"/>
      <c r="K204" s="721"/>
      <c r="L204" s="721" t="s">
        <v>249</v>
      </c>
      <c r="M204" s="721" t="s">
        <v>249</v>
      </c>
      <c r="N204" s="721" t="s">
        <v>249</v>
      </c>
      <c r="O204" s="721" t="s">
        <v>249</v>
      </c>
      <c r="P204" s="721" t="s">
        <v>249</v>
      </c>
      <c r="Q204" s="721"/>
      <c r="R204" s="721"/>
      <c r="S204" s="721" t="s">
        <v>249</v>
      </c>
      <c r="T204" s="721" t="s">
        <v>249</v>
      </c>
      <c r="U204" s="721" t="s">
        <v>249</v>
      </c>
      <c r="V204" s="721" t="s">
        <v>249</v>
      </c>
      <c r="W204" s="721" t="s">
        <v>249</v>
      </c>
      <c r="X204" s="721"/>
      <c r="Y204" s="721"/>
      <c r="Z204" s="721" t="s">
        <v>249</v>
      </c>
      <c r="AA204" s="721" t="s">
        <v>249</v>
      </c>
      <c r="AB204" s="721" t="s">
        <v>249</v>
      </c>
      <c r="AC204" s="721" t="s">
        <v>249</v>
      </c>
      <c r="AD204" s="721" t="s">
        <v>249</v>
      </c>
      <c r="AE204" s="721"/>
      <c r="AF204" s="721"/>
      <c r="AG204" s="721" t="s">
        <v>249</v>
      </c>
      <c r="AH204" s="179"/>
      <c r="AI204" s="179"/>
    </row>
    <row r="205" spans="1:36" ht="22.35" customHeight="1" x14ac:dyDescent="0.2">
      <c r="A205" s="109"/>
      <c r="B205" s="663" t="s">
        <v>273</v>
      </c>
      <c r="C205" s="723"/>
      <c r="D205" s="723"/>
      <c r="E205" s="723" t="s">
        <v>142</v>
      </c>
      <c r="F205" s="723" t="s">
        <v>142</v>
      </c>
      <c r="G205" s="1137" t="s">
        <v>142</v>
      </c>
      <c r="H205" s="723" t="s">
        <v>142</v>
      </c>
      <c r="I205" s="723" t="s">
        <v>142</v>
      </c>
      <c r="J205" s="723"/>
      <c r="K205" s="723"/>
      <c r="L205" s="723" t="s">
        <v>142</v>
      </c>
      <c r="M205" s="723" t="s">
        <v>142</v>
      </c>
      <c r="N205" s="723" t="s">
        <v>142</v>
      </c>
      <c r="O205" s="723" t="s">
        <v>142</v>
      </c>
      <c r="P205" s="723" t="s">
        <v>142</v>
      </c>
      <c r="Q205" s="723"/>
      <c r="R205" s="723"/>
      <c r="S205" s="723" t="s">
        <v>142</v>
      </c>
      <c r="T205" s="723" t="s">
        <v>142</v>
      </c>
      <c r="U205" s="723" t="s">
        <v>142</v>
      </c>
      <c r="V205" s="723" t="s">
        <v>142</v>
      </c>
      <c r="W205" s="723" t="s">
        <v>142</v>
      </c>
      <c r="X205" s="723"/>
      <c r="Y205" s="723"/>
      <c r="Z205" s="723" t="s">
        <v>142</v>
      </c>
      <c r="AA205" s="723" t="s">
        <v>142</v>
      </c>
      <c r="AB205" s="723" t="s">
        <v>142</v>
      </c>
      <c r="AC205" s="723" t="s">
        <v>142</v>
      </c>
      <c r="AD205" s="723" t="s">
        <v>142</v>
      </c>
      <c r="AE205" s="723"/>
      <c r="AF205" s="723"/>
      <c r="AG205" s="723" t="s">
        <v>142</v>
      </c>
      <c r="AH205" s="179"/>
      <c r="AI205" s="179"/>
    </row>
    <row r="206" spans="1:36" ht="22.35" customHeight="1" x14ac:dyDescent="0.2">
      <c r="A206" s="109"/>
      <c r="B206" s="634" t="s">
        <v>0</v>
      </c>
      <c r="C206" s="721"/>
      <c r="D206" s="721"/>
      <c r="E206" s="721" t="s">
        <v>134</v>
      </c>
      <c r="F206" s="721" t="s">
        <v>134</v>
      </c>
      <c r="G206" s="721" t="s">
        <v>134</v>
      </c>
      <c r="H206" s="721" t="s">
        <v>134</v>
      </c>
      <c r="I206" s="721" t="s">
        <v>134</v>
      </c>
      <c r="J206" s="721"/>
      <c r="K206" s="721"/>
      <c r="L206" s="721" t="s">
        <v>134</v>
      </c>
      <c r="M206" s="721" t="s">
        <v>134</v>
      </c>
      <c r="N206" s="721" t="s">
        <v>134</v>
      </c>
      <c r="O206" s="721" t="s">
        <v>134</v>
      </c>
      <c r="P206" s="721" t="s">
        <v>134</v>
      </c>
      <c r="Q206" s="721"/>
      <c r="R206" s="721"/>
      <c r="S206" s="721" t="s">
        <v>134</v>
      </c>
      <c r="T206" s="721" t="s">
        <v>134</v>
      </c>
      <c r="U206" s="721" t="s">
        <v>134</v>
      </c>
      <c r="V206" s="721" t="s">
        <v>134</v>
      </c>
      <c r="W206" s="721" t="s">
        <v>134</v>
      </c>
      <c r="X206" s="721"/>
      <c r="Y206" s="721"/>
      <c r="Z206" s="721" t="s">
        <v>134</v>
      </c>
      <c r="AA206" s="721" t="s">
        <v>134</v>
      </c>
      <c r="AB206" s="721" t="s">
        <v>134</v>
      </c>
      <c r="AC206" s="721" t="s">
        <v>134</v>
      </c>
      <c r="AD206" s="721" t="s">
        <v>134</v>
      </c>
      <c r="AE206" s="721"/>
      <c r="AF206" s="721"/>
      <c r="AG206" s="721" t="s">
        <v>134</v>
      </c>
      <c r="AH206" s="179"/>
      <c r="AI206" s="179"/>
    </row>
    <row r="207" spans="1:36" ht="22.35" customHeight="1" x14ac:dyDescent="0.2">
      <c r="A207" s="109"/>
      <c r="B207" s="663" t="s">
        <v>274</v>
      </c>
      <c r="C207" s="292"/>
      <c r="D207" s="292"/>
      <c r="E207" s="292" t="s">
        <v>176</v>
      </c>
      <c r="F207" s="292" t="s">
        <v>176</v>
      </c>
      <c r="G207" s="292" t="s">
        <v>176</v>
      </c>
      <c r="H207" s="292" t="s">
        <v>176</v>
      </c>
      <c r="I207" s="292" t="s">
        <v>176</v>
      </c>
      <c r="J207" s="292"/>
      <c r="K207" s="292"/>
      <c r="L207" s="292" t="s">
        <v>176</v>
      </c>
      <c r="M207" s="292" t="s">
        <v>176</v>
      </c>
      <c r="N207" s="292" t="s">
        <v>176</v>
      </c>
      <c r="O207" s="292" t="s">
        <v>176</v>
      </c>
      <c r="P207" s="292" t="s">
        <v>176</v>
      </c>
      <c r="Q207" s="292"/>
      <c r="R207" s="292"/>
      <c r="S207" s="292" t="s">
        <v>176</v>
      </c>
      <c r="T207" s="292" t="s">
        <v>176</v>
      </c>
      <c r="U207" s="292" t="s">
        <v>176</v>
      </c>
      <c r="V207" s="292" t="s">
        <v>176</v>
      </c>
      <c r="W207" s="292" t="s">
        <v>176</v>
      </c>
      <c r="X207" s="292"/>
      <c r="Y207" s="292"/>
      <c r="Z207" s="292" t="s">
        <v>176</v>
      </c>
      <c r="AA207" s="292" t="s">
        <v>176</v>
      </c>
      <c r="AB207" s="292" t="s">
        <v>176</v>
      </c>
      <c r="AC207" s="292" t="s">
        <v>176</v>
      </c>
      <c r="AD207" s="292" t="s">
        <v>176</v>
      </c>
      <c r="AE207" s="292"/>
      <c r="AF207" s="292"/>
      <c r="AG207" s="292" t="s">
        <v>176</v>
      </c>
      <c r="AH207" s="179"/>
      <c r="AI207" s="179"/>
    </row>
    <row r="208" spans="1:36" ht="22.35" customHeight="1" x14ac:dyDescent="0.2">
      <c r="A208" s="109"/>
      <c r="B208" s="663" t="s">
        <v>275</v>
      </c>
      <c r="C208" s="851"/>
      <c r="D208" s="851"/>
      <c r="E208" s="851" t="s">
        <v>257</v>
      </c>
      <c r="F208" s="851" t="s">
        <v>257</v>
      </c>
      <c r="G208" s="851" t="s">
        <v>257</v>
      </c>
      <c r="H208" s="851" t="s">
        <v>257</v>
      </c>
      <c r="I208" s="851" t="s">
        <v>257</v>
      </c>
      <c r="J208" s="851"/>
      <c r="K208" s="851"/>
      <c r="L208" s="851" t="s">
        <v>257</v>
      </c>
      <c r="M208" s="851" t="s">
        <v>257</v>
      </c>
      <c r="N208" s="851" t="s">
        <v>257</v>
      </c>
      <c r="O208" s="851" t="s">
        <v>257</v>
      </c>
      <c r="P208" s="851" t="s">
        <v>257</v>
      </c>
      <c r="Q208" s="851"/>
      <c r="R208" s="851"/>
      <c r="S208" s="851" t="s">
        <v>257</v>
      </c>
      <c r="T208" s="851" t="s">
        <v>257</v>
      </c>
      <c r="U208" s="851" t="s">
        <v>257</v>
      </c>
      <c r="V208" s="851" t="s">
        <v>257</v>
      </c>
      <c r="W208" s="851" t="s">
        <v>257</v>
      </c>
      <c r="X208" s="851"/>
      <c r="Y208" s="851"/>
      <c r="Z208" s="851" t="s">
        <v>257</v>
      </c>
      <c r="AA208" s="851" t="s">
        <v>257</v>
      </c>
      <c r="AB208" s="851" t="s">
        <v>257</v>
      </c>
      <c r="AC208" s="851" t="s">
        <v>257</v>
      </c>
      <c r="AD208" s="851" t="s">
        <v>257</v>
      </c>
      <c r="AE208" s="851"/>
      <c r="AF208" s="851"/>
      <c r="AG208" s="851" t="s">
        <v>257</v>
      </c>
      <c r="AH208" s="179"/>
      <c r="AI208" s="179"/>
    </row>
    <row r="209" spans="1:35" ht="22.35" customHeight="1" x14ac:dyDescent="0.2">
      <c r="A209" s="109"/>
      <c r="B209" s="634" t="s">
        <v>276</v>
      </c>
      <c r="C209" s="851"/>
      <c r="D209" s="851"/>
      <c r="E209" s="2076" t="s">
        <v>95</v>
      </c>
      <c r="F209" s="2076" t="s">
        <v>95</v>
      </c>
      <c r="G209" s="2076" t="s">
        <v>95</v>
      </c>
      <c r="H209" s="2076" t="s">
        <v>95</v>
      </c>
      <c r="I209" s="2076" t="s">
        <v>95</v>
      </c>
      <c r="J209" s="2076"/>
      <c r="K209" s="2076"/>
      <c r="L209" s="2220" t="s">
        <v>95</v>
      </c>
      <c r="M209" s="2220" t="s">
        <v>95</v>
      </c>
      <c r="N209" s="2220" t="s">
        <v>404</v>
      </c>
      <c r="O209" s="655" t="s">
        <v>95</v>
      </c>
      <c r="P209" s="655" t="s">
        <v>95</v>
      </c>
      <c r="Q209" s="851"/>
      <c r="R209" s="851"/>
      <c r="S209" s="851" t="s">
        <v>95</v>
      </c>
      <c r="T209" s="851" t="s">
        <v>95</v>
      </c>
      <c r="U209" s="851" t="s">
        <v>95</v>
      </c>
      <c r="V209" s="851" t="s">
        <v>95</v>
      </c>
      <c r="W209" s="851" t="s">
        <v>95</v>
      </c>
      <c r="X209" s="851"/>
      <c r="Y209" s="851"/>
      <c r="Z209" s="851" t="s">
        <v>95</v>
      </c>
      <c r="AA209" s="851" t="s">
        <v>95</v>
      </c>
      <c r="AB209" s="851" t="s">
        <v>95</v>
      </c>
      <c r="AC209" s="851" t="s">
        <v>95</v>
      </c>
      <c r="AD209" s="851" t="s">
        <v>95</v>
      </c>
      <c r="AE209" s="851"/>
      <c r="AF209" s="851"/>
      <c r="AG209" s="664" t="s">
        <v>95</v>
      </c>
      <c r="AH209" s="179"/>
      <c r="AI209" s="179"/>
    </row>
    <row r="210" spans="1:35" ht="22.35" customHeight="1" x14ac:dyDescent="0.2">
      <c r="A210" s="109"/>
      <c r="B210" s="663" t="s">
        <v>277</v>
      </c>
      <c r="C210" s="851"/>
      <c r="D210" s="851"/>
      <c r="E210" s="851" t="s">
        <v>177</v>
      </c>
      <c r="F210" s="665" t="s">
        <v>177</v>
      </c>
      <c r="G210" s="851" t="s">
        <v>177</v>
      </c>
      <c r="H210" s="665" t="s">
        <v>177</v>
      </c>
      <c r="I210" s="665" t="s">
        <v>177</v>
      </c>
      <c r="J210" s="851"/>
      <c r="K210" s="851"/>
      <c r="L210" s="851" t="s">
        <v>177</v>
      </c>
      <c r="M210" s="665" t="s">
        <v>177</v>
      </c>
      <c r="N210" s="851" t="s">
        <v>177</v>
      </c>
      <c r="O210" s="665" t="s">
        <v>177</v>
      </c>
      <c r="P210" s="665" t="s">
        <v>177</v>
      </c>
      <c r="Q210" s="851"/>
      <c r="R210" s="851"/>
      <c r="S210" s="851" t="s">
        <v>177</v>
      </c>
      <c r="T210" s="665" t="s">
        <v>177</v>
      </c>
      <c r="U210" s="851" t="s">
        <v>177</v>
      </c>
      <c r="V210" s="665" t="s">
        <v>177</v>
      </c>
      <c r="W210" s="665" t="s">
        <v>177</v>
      </c>
      <c r="X210" s="851"/>
      <c r="Y210" s="851"/>
      <c r="Z210" s="851" t="s">
        <v>177</v>
      </c>
      <c r="AA210" s="665" t="s">
        <v>177</v>
      </c>
      <c r="AB210" s="851" t="s">
        <v>177</v>
      </c>
      <c r="AC210" s="665" t="s">
        <v>177</v>
      </c>
      <c r="AD210" s="851" t="s">
        <v>177</v>
      </c>
      <c r="AE210" s="851"/>
      <c r="AF210" s="851"/>
      <c r="AG210" s="851" t="s">
        <v>177</v>
      </c>
      <c r="AH210" s="179"/>
      <c r="AI210" s="179"/>
    </row>
    <row r="211" spans="1:35" ht="22.35" customHeight="1" x14ac:dyDescent="0.2">
      <c r="A211" s="109"/>
      <c r="B211" s="634"/>
      <c r="C211" s="851"/>
      <c r="D211" s="851"/>
      <c r="E211" s="851" t="s">
        <v>137</v>
      </c>
      <c r="F211" s="851" t="s">
        <v>137</v>
      </c>
      <c r="G211" s="851" t="s">
        <v>137</v>
      </c>
      <c r="H211" s="851" t="s">
        <v>137</v>
      </c>
      <c r="I211" s="851" t="s">
        <v>137</v>
      </c>
      <c r="J211" s="851"/>
      <c r="K211" s="851"/>
      <c r="L211" s="851" t="s">
        <v>137</v>
      </c>
      <c r="M211" s="851" t="s">
        <v>137</v>
      </c>
      <c r="N211" s="851" t="s">
        <v>137</v>
      </c>
      <c r="O211" s="851" t="s">
        <v>137</v>
      </c>
      <c r="P211" s="851" t="s">
        <v>137</v>
      </c>
      <c r="Q211" s="851"/>
      <c r="R211" s="851"/>
      <c r="S211" s="851" t="s">
        <v>137</v>
      </c>
      <c r="T211" s="851" t="s">
        <v>137</v>
      </c>
      <c r="U211" s="851" t="s">
        <v>137</v>
      </c>
      <c r="V211" s="851" t="s">
        <v>137</v>
      </c>
      <c r="W211" s="851" t="s">
        <v>137</v>
      </c>
      <c r="X211" s="851"/>
      <c r="Y211" s="851"/>
      <c r="Z211" s="851" t="s">
        <v>137</v>
      </c>
      <c r="AA211" s="851" t="s">
        <v>137</v>
      </c>
      <c r="AB211" s="851" t="s">
        <v>137</v>
      </c>
      <c r="AC211" s="851" t="s">
        <v>137</v>
      </c>
      <c r="AD211" s="851" t="s">
        <v>137</v>
      </c>
      <c r="AE211" s="851"/>
      <c r="AF211" s="851"/>
      <c r="AG211" s="851" t="s">
        <v>137</v>
      </c>
      <c r="AH211" s="179"/>
      <c r="AI211" s="179"/>
    </row>
    <row r="212" spans="1:35" ht="22.35" customHeight="1" x14ac:dyDescent="0.2">
      <c r="A212" s="109"/>
      <c r="B212" s="634" t="s">
        <v>278</v>
      </c>
      <c r="C212" s="851"/>
      <c r="D212" s="851"/>
      <c r="E212" s="851" t="s">
        <v>264</v>
      </c>
      <c r="F212" s="851" t="s">
        <v>264</v>
      </c>
      <c r="G212" s="851" t="s">
        <v>264</v>
      </c>
      <c r="H212" s="851" t="s">
        <v>264</v>
      </c>
      <c r="I212" s="851" t="s">
        <v>264</v>
      </c>
      <c r="J212" s="851"/>
      <c r="K212" s="851"/>
      <c r="L212" s="851" t="s">
        <v>264</v>
      </c>
      <c r="M212" s="851" t="s">
        <v>264</v>
      </c>
      <c r="N212" s="851" t="s">
        <v>264</v>
      </c>
      <c r="O212" s="851" t="s">
        <v>264</v>
      </c>
      <c r="P212" s="851" t="s">
        <v>264</v>
      </c>
      <c r="Q212" s="851"/>
      <c r="R212" s="851"/>
      <c r="S212" s="851" t="s">
        <v>264</v>
      </c>
      <c r="T212" s="851" t="s">
        <v>264</v>
      </c>
      <c r="U212" s="851" t="s">
        <v>264</v>
      </c>
      <c r="V212" s="851" t="s">
        <v>264</v>
      </c>
      <c r="W212" s="851" t="s">
        <v>264</v>
      </c>
      <c r="X212" s="851"/>
      <c r="Y212" s="851"/>
      <c r="Z212" s="851" t="s">
        <v>264</v>
      </c>
      <c r="AA212" s="851" t="s">
        <v>264</v>
      </c>
      <c r="AB212" s="851" t="s">
        <v>264</v>
      </c>
      <c r="AC212" s="851" t="s">
        <v>264</v>
      </c>
      <c r="AD212" s="851" t="s">
        <v>264</v>
      </c>
      <c r="AE212" s="851"/>
      <c r="AF212" s="851"/>
      <c r="AG212" s="2076" t="s">
        <v>264</v>
      </c>
      <c r="AH212" s="107"/>
      <c r="AI212" s="107"/>
    </row>
    <row r="213" spans="1:35" ht="21" customHeight="1" thickBot="1" x14ac:dyDescent="0.25">
      <c r="A213" s="147"/>
      <c r="B213" s="2049" t="s">
        <v>279</v>
      </c>
      <c r="C213" s="1092"/>
      <c r="D213" s="1092"/>
      <c r="E213" s="2050" t="s">
        <v>266</v>
      </c>
      <c r="F213" s="2050" t="s">
        <v>368</v>
      </c>
      <c r="G213" s="1092" t="s">
        <v>266</v>
      </c>
      <c r="H213" s="1092" t="s">
        <v>266</v>
      </c>
      <c r="I213" s="1092" t="s">
        <v>266</v>
      </c>
      <c r="J213" s="1092"/>
      <c r="K213" s="1092"/>
      <c r="L213" s="1092" t="s">
        <v>266</v>
      </c>
      <c r="M213" s="1092" t="s">
        <v>266</v>
      </c>
      <c r="N213" s="1092" t="s">
        <v>266</v>
      </c>
      <c r="O213" s="1092" t="s">
        <v>266</v>
      </c>
      <c r="P213" s="2390" t="s">
        <v>266</v>
      </c>
      <c r="Q213" s="1092"/>
      <c r="R213" s="1092"/>
      <c r="S213" s="2391" t="s">
        <v>266</v>
      </c>
      <c r="T213" s="2391" t="s">
        <v>266</v>
      </c>
      <c r="U213" s="2391" t="s">
        <v>266</v>
      </c>
      <c r="V213" s="2391" t="s">
        <v>266</v>
      </c>
      <c r="W213" s="2391" t="s">
        <v>266</v>
      </c>
      <c r="X213" s="2391"/>
      <c r="Y213" s="2391"/>
      <c r="Z213" s="1092" t="s">
        <v>266</v>
      </c>
      <c r="AA213" s="1092" t="s">
        <v>266</v>
      </c>
      <c r="AB213" s="1092" t="s">
        <v>266</v>
      </c>
      <c r="AC213" s="1092" t="s">
        <v>266</v>
      </c>
      <c r="AD213" s="2230" t="s">
        <v>266</v>
      </c>
      <c r="AE213" s="2230"/>
      <c r="AF213" s="2230"/>
      <c r="AG213" s="2050" t="s">
        <v>266</v>
      </c>
      <c r="AH213" s="114"/>
    </row>
    <row r="214" spans="1:35" ht="21" customHeight="1" x14ac:dyDescent="0.2">
      <c r="A214" s="147"/>
      <c r="B214" s="217"/>
      <c r="C214" s="216"/>
      <c r="D214" s="216"/>
      <c r="E214" s="216"/>
      <c r="F214" s="216"/>
      <c r="G214" s="216"/>
      <c r="H214" s="216"/>
      <c r="I214" s="216"/>
      <c r="J214" s="216"/>
      <c r="K214" s="216"/>
      <c r="L214" s="216"/>
      <c r="M214" s="216"/>
      <c r="N214" s="216"/>
      <c r="O214" s="216"/>
      <c r="P214" s="216"/>
      <c r="Q214" s="216"/>
      <c r="R214" s="216"/>
      <c r="S214" s="216"/>
      <c r="T214" s="216"/>
      <c r="U214" s="216"/>
      <c r="V214" s="216"/>
      <c r="W214" s="216"/>
      <c r="X214" s="216"/>
      <c r="Y214" s="216"/>
      <c r="Z214" s="216"/>
      <c r="AA214" s="216"/>
      <c r="AB214" s="216"/>
      <c r="AC214" s="216"/>
      <c r="AD214" s="216"/>
      <c r="AE214" s="216"/>
      <c r="AF214" s="216"/>
      <c r="AG214" s="216"/>
      <c r="AH214" s="114"/>
    </row>
    <row r="215" spans="1:35" ht="22.35" customHeight="1" x14ac:dyDescent="0.2">
      <c r="C215" s="37"/>
      <c r="D215" s="37"/>
      <c r="E215" s="37"/>
      <c r="F215" s="37"/>
      <c r="G215" s="37"/>
      <c r="H215" s="37"/>
      <c r="I215" s="37"/>
      <c r="J215" s="37"/>
      <c r="K215" s="37"/>
      <c r="L215" s="37"/>
      <c r="M215" s="37"/>
      <c r="N215" s="37"/>
      <c r="O215" s="37"/>
      <c r="P215" s="37"/>
      <c r="Q215" s="37"/>
      <c r="R215" s="37"/>
      <c r="S215" s="37"/>
      <c r="T215" s="37"/>
      <c r="U215" s="37"/>
      <c r="V215" s="37"/>
      <c r="W215" s="37"/>
      <c r="X215" s="37"/>
      <c r="Y215" s="37"/>
      <c r="Z215" s="37"/>
      <c r="AA215" s="37"/>
      <c r="AB215" s="37"/>
      <c r="AC215" s="37"/>
      <c r="AD215" s="37"/>
      <c r="AE215" s="37"/>
      <c r="AF215" s="37"/>
      <c r="AG215" s="37"/>
    </row>
    <row r="216" spans="1:35" ht="22.35" customHeight="1" thickBot="1" x14ac:dyDescent="0.25">
      <c r="A216" s="1" t="s">
        <v>280</v>
      </c>
      <c r="B216" s="59"/>
    </row>
    <row r="217" spans="1:35" ht="22.35" customHeight="1" x14ac:dyDescent="0.2">
      <c r="A217" s="1"/>
      <c r="B217" s="666" t="s">
        <v>281</v>
      </c>
      <c r="C217" s="2392" t="s">
        <v>107</v>
      </c>
      <c r="D217" s="2310"/>
      <c r="E217" s="2310"/>
      <c r="F217" s="2310"/>
      <c r="G217" s="2392" t="s">
        <v>108</v>
      </c>
      <c r="H217" s="2310"/>
      <c r="I217" s="2310"/>
      <c r="J217" s="2310"/>
      <c r="K217" s="2392" t="s">
        <v>109</v>
      </c>
      <c r="L217" s="2310"/>
      <c r="M217" s="2310"/>
      <c r="N217" s="2310"/>
      <c r="O217" s="2392" t="s">
        <v>110</v>
      </c>
      <c r="P217" s="2310"/>
      <c r="Q217" s="2310"/>
      <c r="R217" s="2310"/>
      <c r="S217" s="2392" t="s">
        <v>111</v>
      </c>
      <c r="T217" s="2310"/>
      <c r="U217" s="2310"/>
      <c r="V217" s="2310"/>
      <c r="W217" s="2392" t="s">
        <v>112</v>
      </c>
      <c r="X217" s="2240"/>
      <c r="Y217" s="2310"/>
      <c r="Z217" s="2393"/>
      <c r="AA217" s="2392" t="s">
        <v>113</v>
      </c>
      <c r="AB217" s="2240"/>
      <c r="AC217" s="2310"/>
      <c r="AD217" s="2393"/>
      <c r="AE217" s="2394" t="s">
        <v>114</v>
      </c>
      <c r="AF217" s="2310"/>
      <c r="AG217" s="2310"/>
      <c r="AH217" s="2310"/>
      <c r="AI217" s="2241"/>
    </row>
    <row r="218" spans="1:35" ht="22.35" customHeight="1" x14ac:dyDescent="0.2">
      <c r="A218" s="1"/>
      <c r="B218" s="391">
        <v>3701</v>
      </c>
      <c r="C218" s="110" t="s">
        <v>282</v>
      </c>
      <c r="D218" s="110"/>
      <c r="E218" s="110"/>
      <c r="F218" s="110"/>
      <c r="G218" s="534" t="s">
        <v>283</v>
      </c>
      <c r="H218" s="110"/>
      <c r="I218" s="110"/>
      <c r="J218" s="110"/>
      <c r="K218" s="534" t="s">
        <v>283</v>
      </c>
      <c r="L218" s="110"/>
      <c r="M218" s="110"/>
      <c r="N218" s="110"/>
      <c r="O218" s="534" t="s">
        <v>283</v>
      </c>
      <c r="P218" s="110"/>
      <c r="Q218" s="110"/>
      <c r="R218" s="110"/>
      <c r="S218" s="534" t="s">
        <v>284</v>
      </c>
      <c r="T218" s="110"/>
      <c r="U218" s="110"/>
      <c r="V218" s="110"/>
      <c r="W218" s="2248"/>
      <c r="X218" s="2395"/>
      <c r="Y218" s="630"/>
      <c r="Z218" s="2396"/>
      <c r="AA218" s="2248"/>
      <c r="AB218" s="2395"/>
      <c r="AC218" s="630"/>
      <c r="AD218" s="2396"/>
      <c r="AE218" s="2347"/>
      <c r="AF218" s="630"/>
      <c r="AG218" s="630"/>
      <c r="AH218" s="630"/>
      <c r="AI218" s="2158"/>
    </row>
    <row r="219" spans="1:35" ht="22.35" customHeight="1" x14ac:dyDescent="0.2">
      <c r="B219" s="666">
        <v>3700</v>
      </c>
      <c r="C219" s="630" t="s">
        <v>182</v>
      </c>
      <c r="D219" s="630"/>
      <c r="E219" s="630"/>
      <c r="F219" s="630"/>
      <c r="G219" s="698" t="s">
        <v>182</v>
      </c>
      <c r="H219" s="630"/>
      <c r="I219" s="630"/>
      <c r="J219" s="630"/>
      <c r="K219" s="698" t="s">
        <v>182</v>
      </c>
      <c r="L219" s="630"/>
      <c r="M219" s="630"/>
      <c r="N219" s="630"/>
      <c r="O219" s="698" t="s">
        <v>182</v>
      </c>
      <c r="P219" s="630"/>
      <c r="Q219" s="630"/>
      <c r="R219" s="630"/>
      <c r="S219" s="698" t="s">
        <v>183</v>
      </c>
      <c r="T219" s="630"/>
      <c r="U219" s="630"/>
      <c r="V219" s="630"/>
      <c r="W219" s="2248"/>
      <c r="X219" s="630"/>
      <c r="Y219" s="630"/>
      <c r="Z219" s="2349"/>
      <c r="AA219" s="2347"/>
      <c r="AB219" s="630"/>
      <c r="AC219" s="630"/>
      <c r="AD219" s="641"/>
      <c r="AE219" s="2397"/>
      <c r="AF219" s="630"/>
      <c r="AG219" s="630"/>
      <c r="AH219" s="641"/>
      <c r="AI219" s="2158"/>
    </row>
    <row r="220" spans="1:35" ht="22.35" customHeight="1" x14ac:dyDescent="0.2">
      <c r="A220" s="1"/>
      <c r="B220" s="666">
        <v>8514</v>
      </c>
      <c r="C220" s="630" t="s">
        <v>283</v>
      </c>
      <c r="D220" s="630"/>
      <c r="E220" s="630"/>
      <c r="F220" s="630"/>
      <c r="G220" s="698" t="s">
        <v>283</v>
      </c>
      <c r="H220" s="630"/>
      <c r="I220" s="630"/>
      <c r="J220" s="630"/>
      <c r="K220" s="698" t="s">
        <v>283</v>
      </c>
      <c r="L220" s="630"/>
      <c r="M220" s="630"/>
      <c r="N220" s="630"/>
      <c r="O220" s="698" t="s">
        <v>283</v>
      </c>
      <c r="P220" s="630"/>
      <c r="Q220" s="630"/>
      <c r="R220" s="630"/>
      <c r="S220" s="698" t="s">
        <v>285</v>
      </c>
      <c r="T220" s="630"/>
      <c r="U220" s="630"/>
      <c r="V220" s="630"/>
      <c r="W220" s="2248"/>
      <c r="X220" s="630"/>
      <c r="Y220" s="630"/>
      <c r="Z220" s="2349"/>
      <c r="AA220" s="640"/>
      <c r="AB220" s="630"/>
      <c r="AC220" s="630"/>
      <c r="AD220" s="641"/>
      <c r="AE220" s="640"/>
      <c r="AF220" s="630"/>
      <c r="AG220" s="630"/>
      <c r="AH220" s="641"/>
      <c r="AI220" s="2158"/>
    </row>
    <row r="221" spans="1:35" ht="22.35" customHeight="1" x14ac:dyDescent="0.2">
      <c r="A221" s="1"/>
      <c r="B221" s="666">
        <v>8500</v>
      </c>
      <c r="C221" s="162" t="s">
        <v>286</v>
      </c>
      <c r="D221" s="162"/>
      <c r="E221" s="162"/>
      <c r="F221" s="162"/>
      <c r="G221" s="163" t="s">
        <v>286</v>
      </c>
      <c r="H221" s="162"/>
      <c r="I221" s="162"/>
      <c r="J221" s="162"/>
      <c r="K221" s="163" t="s">
        <v>286</v>
      </c>
      <c r="L221" s="162"/>
      <c r="M221" s="162"/>
      <c r="N221" s="162"/>
      <c r="O221" s="163" t="s">
        <v>286</v>
      </c>
      <c r="P221" s="162"/>
      <c r="Q221" s="162"/>
      <c r="R221" s="162"/>
      <c r="S221" s="163" t="s">
        <v>287</v>
      </c>
      <c r="T221" s="162"/>
      <c r="U221" s="162"/>
      <c r="V221" s="162"/>
      <c r="W221" s="2248"/>
      <c r="X221" s="162"/>
      <c r="Y221" s="162"/>
      <c r="Z221" s="120"/>
      <c r="AA221" s="119"/>
      <c r="AB221" s="162"/>
      <c r="AC221" s="162"/>
      <c r="AD221" s="120"/>
      <c r="AE221" s="119"/>
      <c r="AF221" s="162"/>
      <c r="AG221" s="162"/>
      <c r="AH221" s="112"/>
      <c r="AI221" s="118"/>
    </row>
    <row r="222" spans="1:35" ht="22.35" customHeight="1" x14ac:dyDescent="0.2">
      <c r="A222" s="1"/>
      <c r="B222" s="666">
        <v>8514</v>
      </c>
      <c r="C222" s="165" t="s">
        <v>283</v>
      </c>
      <c r="D222" s="165"/>
      <c r="E222" s="165"/>
      <c r="F222" s="165"/>
      <c r="G222" s="166" t="s">
        <v>283</v>
      </c>
      <c r="H222" s="165"/>
      <c r="I222" s="165"/>
      <c r="J222" s="165"/>
      <c r="K222" s="166" t="s">
        <v>283</v>
      </c>
      <c r="L222" s="165"/>
      <c r="M222" s="165"/>
      <c r="N222" s="165"/>
      <c r="O222" s="166" t="s">
        <v>283</v>
      </c>
      <c r="P222" s="165"/>
      <c r="Q222" s="165"/>
      <c r="R222" s="165"/>
      <c r="S222" s="166" t="s">
        <v>285</v>
      </c>
      <c r="T222" s="165"/>
      <c r="U222" s="165"/>
      <c r="V222" s="165"/>
      <c r="W222" s="2398"/>
      <c r="X222" s="116"/>
      <c r="Y222" s="162"/>
      <c r="Z222" s="164"/>
      <c r="AA222" s="154"/>
      <c r="AB222" s="116"/>
      <c r="AC222" s="162"/>
      <c r="AD222" s="162"/>
      <c r="AE222" s="117"/>
      <c r="AF222" s="162"/>
      <c r="AG222" s="162"/>
      <c r="AH222" s="162"/>
      <c r="AI222" s="118"/>
    </row>
    <row r="223" spans="1:35" ht="22.35" customHeight="1" thickBot="1" x14ac:dyDescent="0.25">
      <c r="A223" s="1"/>
      <c r="B223" s="1149" t="s">
        <v>288</v>
      </c>
      <c r="C223" s="891" t="s">
        <v>289</v>
      </c>
      <c r="D223" s="891"/>
      <c r="E223" s="891"/>
      <c r="F223" s="891"/>
      <c r="G223" s="584" t="s">
        <v>289</v>
      </c>
      <c r="H223" s="891"/>
      <c r="I223" s="891"/>
      <c r="J223" s="891"/>
      <c r="K223" s="1004" t="s">
        <v>289</v>
      </c>
      <c r="L223" s="891"/>
      <c r="M223" s="891"/>
      <c r="N223" s="891"/>
      <c r="O223" s="584" t="s">
        <v>289</v>
      </c>
      <c r="P223" s="891"/>
      <c r="Q223" s="891"/>
      <c r="R223" s="891"/>
      <c r="S223" s="584" t="s">
        <v>290</v>
      </c>
      <c r="T223" s="891"/>
      <c r="U223" s="891"/>
      <c r="V223" s="891"/>
      <c r="W223" s="1004"/>
      <c r="X223" s="891"/>
      <c r="Y223" s="891"/>
      <c r="Z223" s="706"/>
      <c r="AA223" s="1057"/>
      <c r="AB223" s="891"/>
      <c r="AC223" s="891"/>
      <c r="AD223" s="1063"/>
      <c r="AE223" s="724"/>
      <c r="AF223" s="891"/>
      <c r="AG223" s="891"/>
      <c r="AH223" s="1063"/>
      <c r="AI223" s="894"/>
    </row>
    <row r="224" spans="1:35" ht="22.35" customHeight="1" x14ac:dyDescent="0.2">
      <c r="A224" s="1"/>
      <c r="B224" s="18"/>
      <c r="C224" s="64"/>
      <c r="D224" s="110"/>
      <c r="E224" s="110"/>
      <c r="F224" s="69"/>
      <c r="G224" s="64"/>
      <c r="H224" s="110"/>
      <c r="I224" s="110"/>
      <c r="J224" s="69"/>
      <c r="K224" s="64"/>
      <c r="L224" s="110"/>
      <c r="M224" s="110"/>
      <c r="N224" s="69"/>
      <c r="O224" s="64"/>
      <c r="P224" s="110"/>
      <c r="Q224" s="110"/>
      <c r="R224" s="69"/>
      <c r="S224" s="64"/>
      <c r="T224" s="110"/>
      <c r="U224" s="110"/>
      <c r="V224" s="69"/>
      <c r="W224" s="69"/>
      <c r="Z224" s="69"/>
      <c r="AA224" s="69"/>
      <c r="AD224" s="69"/>
      <c r="AE224" s="69"/>
      <c r="AH224" s="69"/>
    </row>
    <row r="225" spans="1:37" ht="22.35" customHeight="1" x14ac:dyDescent="0.2">
      <c r="A225" s="1" t="s">
        <v>291</v>
      </c>
      <c r="B225" s="18"/>
      <c r="C225" s="64"/>
      <c r="D225" s="110"/>
      <c r="E225" s="110"/>
      <c r="F225" s="69"/>
      <c r="G225" s="64"/>
      <c r="H225" s="110"/>
      <c r="I225" s="110"/>
      <c r="J225" s="69"/>
      <c r="K225" s="64"/>
      <c r="L225" s="110"/>
      <c r="M225" s="110"/>
      <c r="N225" s="69"/>
      <c r="O225" s="64"/>
      <c r="P225" s="110"/>
      <c r="Q225" s="110"/>
      <c r="R225" s="69"/>
      <c r="S225" s="64"/>
      <c r="T225" s="110"/>
      <c r="U225" s="110"/>
      <c r="V225" s="69"/>
      <c r="W225" s="69"/>
      <c r="Z225" s="69"/>
      <c r="AA225" s="69"/>
      <c r="AD225" s="69"/>
      <c r="AE225" s="69"/>
      <c r="AH225" s="69"/>
    </row>
    <row r="226" spans="1:37" ht="22.35" customHeight="1" thickBot="1" x14ac:dyDescent="0.25">
      <c r="A226" s="2338"/>
      <c r="B226" s="633" t="s">
        <v>29</v>
      </c>
      <c r="C226" s="2167">
        <v>1</v>
      </c>
      <c r="D226" s="2167">
        <v>2</v>
      </c>
      <c r="E226" s="2168">
        <v>3</v>
      </c>
      <c r="F226" s="2168">
        <v>4</v>
      </c>
      <c r="G226" s="2168">
        <v>5</v>
      </c>
      <c r="H226" s="2168">
        <v>6</v>
      </c>
      <c r="I226" s="2168">
        <v>7</v>
      </c>
      <c r="J226" s="2167">
        <v>8</v>
      </c>
      <c r="K226" s="2167">
        <v>9</v>
      </c>
      <c r="L226" s="2168">
        <v>10</v>
      </c>
      <c r="M226" s="2168">
        <v>11</v>
      </c>
      <c r="N226" s="2168">
        <v>12</v>
      </c>
      <c r="O226" s="2168">
        <v>13</v>
      </c>
      <c r="P226" s="2168">
        <v>14</v>
      </c>
      <c r="Q226" s="2167">
        <v>15</v>
      </c>
      <c r="R226" s="2167">
        <v>16</v>
      </c>
      <c r="S226" s="2168">
        <v>17</v>
      </c>
      <c r="T226" s="2168">
        <v>18</v>
      </c>
      <c r="U226" s="2168">
        <v>19</v>
      </c>
      <c r="V226" s="2168">
        <v>20</v>
      </c>
      <c r="W226" s="2168">
        <v>21</v>
      </c>
      <c r="X226" s="2167">
        <v>22</v>
      </c>
      <c r="Y226" s="2167">
        <v>23</v>
      </c>
      <c r="Z226" s="2168">
        <v>24</v>
      </c>
      <c r="AA226" s="2168">
        <v>25</v>
      </c>
      <c r="AB226" s="2168">
        <v>26</v>
      </c>
      <c r="AC226" s="2168">
        <v>27</v>
      </c>
      <c r="AD226" s="2168">
        <v>28</v>
      </c>
      <c r="AE226" s="2167">
        <v>29</v>
      </c>
      <c r="AF226" s="2167">
        <v>30</v>
      </c>
      <c r="AG226" s="2169">
        <v>31</v>
      </c>
      <c r="AH226" s="173"/>
      <c r="AI226" s="174"/>
    </row>
    <row r="227" spans="1:37" ht="22.35" customHeight="1" x14ac:dyDescent="0.2">
      <c r="A227" s="2399"/>
      <c r="B227" s="2400" t="s">
        <v>292</v>
      </c>
      <c r="C227" s="2174"/>
      <c r="D227" s="2174"/>
      <c r="E227" s="2174" t="s">
        <v>32</v>
      </c>
      <c r="F227" s="2174" t="s">
        <v>32</v>
      </c>
      <c r="G227" s="2174" t="s">
        <v>32</v>
      </c>
      <c r="H227" s="2076" t="s">
        <v>32</v>
      </c>
      <c r="I227" s="2174" t="s">
        <v>32</v>
      </c>
      <c r="J227" s="2174"/>
      <c r="K227" s="2174"/>
      <c r="L227" s="2174" t="s">
        <v>32</v>
      </c>
      <c r="M227" s="2174" t="s">
        <v>32</v>
      </c>
      <c r="N227" s="2222" t="s">
        <v>32</v>
      </c>
      <c r="O227" s="2076" t="s">
        <v>32</v>
      </c>
      <c r="P227" s="2222" t="s">
        <v>32</v>
      </c>
      <c r="Q227" s="2177"/>
      <c r="R227" s="2222"/>
      <c r="S227" s="2222" t="s">
        <v>32</v>
      </c>
      <c r="T227" s="2174" t="s">
        <v>32</v>
      </c>
      <c r="U227" s="2222" t="s">
        <v>32</v>
      </c>
      <c r="V227" s="1152" t="s">
        <v>32</v>
      </c>
      <c r="W227" s="1152" t="s">
        <v>32</v>
      </c>
      <c r="X227" s="1152"/>
      <c r="Y227" s="2222"/>
      <c r="Z227" s="2174" t="s">
        <v>32</v>
      </c>
      <c r="AA227" s="2174" t="s">
        <v>32</v>
      </c>
      <c r="AB227" s="2174" t="s">
        <v>32</v>
      </c>
      <c r="AC227" s="2222" t="s">
        <v>32</v>
      </c>
      <c r="AD227" s="2222" t="s">
        <v>32</v>
      </c>
      <c r="AE227" s="2222"/>
      <c r="AF227" s="2222"/>
      <c r="AG227" s="308" t="s">
        <v>32</v>
      </c>
      <c r="AH227" s="173"/>
      <c r="AI227" s="174"/>
    </row>
    <row r="228" spans="1:37" ht="22.35" customHeight="1" x14ac:dyDescent="0.2">
      <c r="A228" s="1153"/>
      <c r="B228" s="1154" t="s">
        <v>293</v>
      </c>
      <c r="C228" s="2174"/>
      <c r="D228" s="2174"/>
      <c r="E228" s="2174"/>
      <c r="F228" s="2174"/>
      <c r="G228" s="2174"/>
      <c r="H228" s="2174"/>
      <c r="I228" s="2174"/>
      <c r="J228" s="2174"/>
      <c r="K228" s="2174"/>
      <c r="L228" s="2174"/>
      <c r="M228" s="2174"/>
      <c r="N228" s="2222"/>
      <c r="O228" s="2222"/>
      <c r="P228" s="2222"/>
      <c r="Q228" s="2177"/>
      <c r="R228" s="2222"/>
      <c r="S228" s="2174"/>
      <c r="T228" s="2174"/>
      <c r="U228" s="2222"/>
      <c r="V228" s="2222"/>
      <c r="W228" s="2222"/>
      <c r="X228" s="2174"/>
      <c r="Y228" s="2222"/>
      <c r="Z228" s="2174"/>
      <c r="AA228" s="2174"/>
      <c r="AB228" s="2174"/>
      <c r="AC228" s="2174"/>
      <c r="AD228" s="2177"/>
      <c r="AE228" s="2177"/>
      <c r="AF228" s="2177"/>
      <c r="AG228" s="585"/>
      <c r="AH228" s="173"/>
      <c r="AI228" s="174"/>
    </row>
    <row r="229" spans="1:37" ht="22.35" customHeight="1" x14ac:dyDescent="0.2">
      <c r="A229" s="1155">
        <v>8514</v>
      </c>
      <c r="B229" s="1156" t="s">
        <v>294</v>
      </c>
      <c r="C229" s="2174"/>
      <c r="D229" s="2174"/>
      <c r="E229" s="2174" t="s">
        <v>32</v>
      </c>
      <c r="F229" s="2174" t="s">
        <v>32</v>
      </c>
      <c r="G229" s="2174" t="s">
        <v>32</v>
      </c>
      <c r="H229" s="2174" t="s">
        <v>32</v>
      </c>
      <c r="I229" s="2174" t="s">
        <v>32</v>
      </c>
      <c r="J229" s="2174"/>
      <c r="K229" s="2174"/>
      <c r="L229" s="2174" t="s">
        <v>32</v>
      </c>
      <c r="M229" s="2174" t="s">
        <v>32</v>
      </c>
      <c r="N229" s="2222" t="s">
        <v>32</v>
      </c>
      <c r="O229" s="2222" t="s">
        <v>32</v>
      </c>
      <c r="P229" s="2222" t="s">
        <v>32</v>
      </c>
      <c r="Q229" s="2177"/>
      <c r="R229" s="2222"/>
      <c r="S229" s="2174" t="s">
        <v>32</v>
      </c>
      <c r="T229" s="2174" t="s">
        <v>32</v>
      </c>
      <c r="U229" s="2222" t="s">
        <v>32</v>
      </c>
      <c r="V229" s="2222" t="s">
        <v>32</v>
      </c>
      <c r="W229" s="2222" t="s">
        <v>32</v>
      </c>
      <c r="X229" s="2222"/>
      <c r="Y229" s="2222"/>
      <c r="Z229" s="2174" t="s">
        <v>32</v>
      </c>
      <c r="AA229" s="2174" t="s">
        <v>32</v>
      </c>
      <c r="AB229" s="2174" t="s">
        <v>32</v>
      </c>
      <c r="AC229" s="2174" t="s">
        <v>32</v>
      </c>
      <c r="AD229" s="2177" t="s">
        <v>32</v>
      </c>
      <c r="AE229" s="2177"/>
      <c r="AF229" s="2177"/>
      <c r="AG229" s="585" t="s">
        <v>32</v>
      </c>
      <c r="AH229" s="178"/>
      <c r="AI229" s="179"/>
    </row>
    <row r="230" spans="1:37" ht="21" customHeight="1" x14ac:dyDescent="0.2">
      <c r="A230" s="1155">
        <v>3701</v>
      </c>
      <c r="B230" s="1157" t="s">
        <v>295</v>
      </c>
      <c r="C230" s="2174"/>
      <c r="D230" s="2174"/>
      <c r="E230" s="2174"/>
      <c r="F230" s="2174"/>
      <c r="G230" s="2174"/>
      <c r="H230" s="2174"/>
      <c r="I230" s="2174"/>
      <c r="J230" s="2174"/>
      <c r="K230" s="2174"/>
      <c r="L230" s="2174"/>
      <c r="M230" s="2174"/>
      <c r="N230" s="2222"/>
      <c r="O230" s="2222"/>
      <c r="P230" s="2222"/>
      <c r="Q230" s="2177"/>
      <c r="R230" s="2222"/>
      <c r="S230" s="2174"/>
      <c r="T230" s="2174"/>
      <c r="U230" s="2222"/>
      <c r="V230" s="2222"/>
      <c r="W230" s="2222"/>
      <c r="X230" s="2174"/>
      <c r="Y230" s="2222"/>
      <c r="Z230" s="2174"/>
      <c r="AA230" s="2174"/>
      <c r="AB230" s="2174"/>
      <c r="AC230" s="2174"/>
      <c r="AD230" s="2222"/>
      <c r="AE230" s="2222"/>
      <c r="AF230" s="2222"/>
      <c r="AG230" s="585"/>
      <c r="AH230" s="178"/>
      <c r="AI230" s="179"/>
    </row>
    <row r="231" spans="1:37" ht="21" customHeight="1" x14ac:dyDescent="0.2">
      <c r="A231" s="1155">
        <v>3701</v>
      </c>
      <c r="B231" s="933" t="s">
        <v>296</v>
      </c>
      <c r="C231" s="2220"/>
      <c r="D231" s="2220"/>
      <c r="E231" s="2220" t="s">
        <v>32</v>
      </c>
      <c r="F231" s="2220" t="s">
        <v>32</v>
      </c>
      <c r="G231" s="2220" t="s">
        <v>32</v>
      </c>
      <c r="H231" s="2220" t="s">
        <v>32</v>
      </c>
      <c r="I231" s="2220" t="s">
        <v>32</v>
      </c>
      <c r="J231" s="2220"/>
      <c r="K231" s="2220"/>
      <c r="L231" s="2220" t="s">
        <v>32</v>
      </c>
      <c r="M231" s="2220" t="s">
        <v>32</v>
      </c>
      <c r="N231" s="2220" t="s">
        <v>32</v>
      </c>
      <c r="O231" s="2220" t="s">
        <v>32</v>
      </c>
      <c r="P231" s="2220" t="s">
        <v>32</v>
      </c>
      <c r="Q231" s="2220"/>
      <c r="R231" s="2220"/>
      <c r="S231" s="2220" t="s">
        <v>32</v>
      </c>
      <c r="T231" s="2220" t="s">
        <v>32</v>
      </c>
      <c r="U231" s="2220" t="s">
        <v>32</v>
      </c>
      <c r="V231" s="2220" t="s">
        <v>32</v>
      </c>
      <c r="W231" s="2220" t="s">
        <v>32</v>
      </c>
      <c r="X231" s="2220"/>
      <c r="Y231" s="2220"/>
      <c r="Z231" s="2220" t="s">
        <v>32</v>
      </c>
      <c r="AA231" s="2220" t="s">
        <v>32</v>
      </c>
      <c r="AB231" s="2220" t="s">
        <v>32</v>
      </c>
      <c r="AC231" s="2220" t="s">
        <v>32</v>
      </c>
      <c r="AD231" s="2220" t="s">
        <v>32</v>
      </c>
      <c r="AE231" s="2220"/>
      <c r="AF231" s="2220"/>
      <c r="AG231" s="2401" t="s">
        <v>32</v>
      </c>
      <c r="AH231" s="178"/>
      <c r="AI231" s="179"/>
    </row>
    <row r="232" spans="1:37" ht="21" customHeight="1" x14ac:dyDescent="0.2">
      <c r="A232" s="1155">
        <v>3701</v>
      </c>
      <c r="B232" s="933" t="s">
        <v>297</v>
      </c>
      <c r="C232" s="2220"/>
      <c r="D232" s="2220"/>
      <c r="E232" s="2220" t="s">
        <v>32</v>
      </c>
      <c r="F232" s="2220" t="s">
        <v>32</v>
      </c>
      <c r="G232" s="2220" t="s">
        <v>32</v>
      </c>
      <c r="H232" s="2220" t="s">
        <v>32</v>
      </c>
      <c r="I232" s="2220" t="s">
        <v>32</v>
      </c>
      <c r="J232" s="2220"/>
      <c r="K232" s="2220"/>
      <c r="L232" s="2220" t="s">
        <v>32</v>
      </c>
      <c r="M232" s="2220" t="s">
        <v>32</v>
      </c>
      <c r="N232" s="2220" t="s">
        <v>32</v>
      </c>
      <c r="O232" s="2220" t="s">
        <v>32</v>
      </c>
      <c r="P232" s="2220" t="s">
        <v>32</v>
      </c>
      <c r="Q232" s="2220"/>
      <c r="R232" s="2220"/>
      <c r="S232" s="2220" t="s">
        <v>32</v>
      </c>
      <c r="T232" s="2220" t="s">
        <v>32</v>
      </c>
      <c r="U232" s="2220" t="s">
        <v>32</v>
      </c>
      <c r="V232" s="2220" t="s">
        <v>32</v>
      </c>
      <c r="W232" s="2220" t="s">
        <v>32</v>
      </c>
      <c r="X232" s="2220"/>
      <c r="Y232" s="2220"/>
      <c r="Z232" s="2220" t="s">
        <v>32</v>
      </c>
      <c r="AA232" s="2220" t="s">
        <v>32</v>
      </c>
      <c r="AB232" s="2220" t="s">
        <v>32</v>
      </c>
      <c r="AC232" s="2220" t="s">
        <v>32</v>
      </c>
      <c r="AD232" s="2220" t="s">
        <v>32</v>
      </c>
      <c r="AE232" s="2220"/>
      <c r="AF232" s="2220"/>
      <c r="AG232" s="2401" t="s">
        <v>32</v>
      </c>
      <c r="AH232" s="178"/>
      <c r="AI232" s="179"/>
    </row>
    <row r="233" spans="1:37" ht="21" customHeight="1" x14ac:dyDescent="0.2">
      <c r="A233" s="1155">
        <v>3701</v>
      </c>
      <c r="B233" s="933" t="s">
        <v>298</v>
      </c>
      <c r="C233" s="2174"/>
      <c r="D233" s="2174"/>
      <c r="E233" s="2174" t="s">
        <v>32</v>
      </c>
      <c r="F233" s="2174" t="s">
        <v>32</v>
      </c>
      <c r="G233" s="2174" t="s">
        <v>32</v>
      </c>
      <c r="H233" s="2174" t="s">
        <v>32</v>
      </c>
      <c r="I233" s="2174" t="s">
        <v>32</v>
      </c>
      <c r="J233" s="2174"/>
      <c r="K233" s="2174"/>
      <c r="L233" s="2174" t="s">
        <v>32</v>
      </c>
      <c r="M233" s="2174" t="s">
        <v>32</v>
      </c>
      <c r="N233" s="2222" t="s">
        <v>32</v>
      </c>
      <c r="O233" s="2222" t="s">
        <v>32</v>
      </c>
      <c r="P233" s="2222" t="s">
        <v>32</v>
      </c>
      <c r="Q233" s="2177"/>
      <c r="R233" s="2222"/>
      <c r="S233" s="2174" t="s">
        <v>32</v>
      </c>
      <c r="T233" s="2174" t="s">
        <v>32</v>
      </c>
      <c r="U233" s="1158" t="s">
        <v>32</v>
      </c>
      <c r="V233" s="1158" t="s">
        <v>32</v>
      </c>
      <c r="W233" s="1158" t="s">
        <v>32</v>
      </c>
      <c r="X233" s="2174"/>
      <c r="Y233" s="2226"/>
      <c r="Z233" s="2174" t="s">
        <v>32</v>
      </c>
      <c r="AA233" s="2174" t="s">
        <v>32</v>
      </c>
      <c r="AB233" s="2174" t="s">
        <v>32</v>
      </c>
      <c r="AC233" s="2174" t="s">
        <v>32</v>
      </c>
      <c r="AD233" s="2226" t="s">
        <v>32</v>
      </c>
      <c r="AE233" s="2177"/>
      <c r="AF233" s="2177"/>
      <c r="AG233" s="585" t="s">
        <v>32</v>
      </c>
      <c r="AH233" s="178"/>
      <c r="AI233" s="179"/>
    </row>
    <row r="234" spans="1:37" ht="22.35" customHeight="1" x14ac:dyDescent="0.2">
      <c r="A234" s="1155">
        <v>3701</v>
      </c>
      <c r="B234" s="1157" t="s">
        <v>299</v>
      </c>
      <c r="C234" s="2174"/>
      <c r="D234" s="2174"/>
      <c r="E234" s="2174"/>
      <c r="F234" s="2174"/>
      <c r="G234" s="2174"/>
      <c r="H234" s="2222"/>
      <c r="I234" s="2222"/>
      <c r="J234" s="2174"/>
      <c r="K234" s="2174"/>
      <c r="L234" s="2174"/>
      <c r="M234" s="2174"/>
      <c r="N234" s="2222"/>
      <c r="O234" s="2222"/>
      <c r="P234" s="2222"/>
      <c r="Q234" s="2177"/>
      <c r="R234" s="2222"/>
      <c r="S234" s="2174"/>
      <c r="T234" s="2174"/>
      <c r="U234" s="2222"/>
      <c r="V234" s="2222"/>
      <c r="W234" s="2222"/>
      <c r="X234" s="2174"/>
      <c r="Y234" s="2222"/>
      <c r="Z234" s="2174"/>
      <c r="AA234" s="2174"/>
      <c r="AB234" s="2174"/>
      <c r="AC234" s="2174"/>
      <c r="AD234" s="2222"/>
      <c r="AE234" s="2222"/>
      <c r="AF234" s="2222"/>
      <c r="AG234" s="585"/>
      <c r="AH234" s="178"/>
      <c r="AI234" s="179"/>
    </row>
    <row r="235" spans="1:37" ht="22.35" customHeight="1" x14ac:dyDescent="0.25">
      <c r="A235" s="1155">
        <v>3701</v>
      </c>
      <c r="B235" s="933" t="s">
        <v>300</v>
      </c>
      <c r="C235" s="2174"/>
      <c r="D235" s="2174"/>
      <c r="E235" s="2174" t="s">
        <v>32</v>
      </c>
      <c r="F235" s="2174" t="s">
        <v>32</v>
      </c>
      <c r="G235" s="2174" t="s">
        <v>32</v>
      </c>
      <c r="H235" s="2174" t="s">
        <v>32</v>
      </c>
      <c r="I235" s="2174" t="s">
        <v>32</v>
      </c>
      <c r="J235" s="2174"/>
      <c r="K235" s="2174"/>
      <c r="L235" s="2174" t="s">
        <v>32</v>
      </c>
      <c r="M235" s="2174" t="s">
        <v>32</v>
      </c>
      <c r="N235" s="2222" t="s">
        <v>32</v>
      </c>
      <c r="O235" s="2222" t="s">
        <v>32</v>
      </c>
      <c r="P235" s="2222" t="s">
        <v>32</v>
      </c>
      <c r="Q235" s="2177"/>
      <c r="R235" s="2222"/>
      <c r="S235" s="2174" t="s">
        <v>32</v>
      </c>
      <c r="T235" s="2174" t="s">
        <v>32</v>
      </c>
      <c r="U235" s="2222" t="s">
        <v>32</v>
      </c>
      <c r="V235" s="2076" t="s">
        <v>32</v>
      </c>
      <c r="W235" s="2076" t="s">
        <v>32</v>
      </c>
      <c r="X235" s="2174"/>
      <c r="Y235" s="2222"/>
      <c r="Z235" s="2174" t="s">
        <v>32</v>
      </c>
      <c r="AA235" s="2174" t="s">
        <v>32</v>
      </c>
      <c r="AB235" s="2174" t="s">
        <v>32</v>
      </c>
      <c r="AC235" s="2174" t="s">
        <v>32</v>
      </c>
      <c r="AD235" s="2222" t="s">
        <v>32</v>
      </c>
      <c r="AE235" s="2222"/>
      <c r="AF235" s="2222"/>
      <c r="AG235" s="585" t="s">
        <v>32</v>
      </c>
      <c r="AH235" s="178"/>
      <c r="AI235" s="179"/>
      <c r="AK235" s="316"/>
    </row>
    <row r="236" spans="1:37" ht="22.35" customHeight="1" x14ac:dyDescent="0.2">
      <c r="A236" s="1155">
        <v>3701</v>
      </c>
      <c r="B236" s="933" t="s">
        <v>301</v>
      </c>
      <c r="C236" s="2174"/>
      <c r="D236" s="2174"/>
      <c r="E236" s="2174" t="s">
        <v>32</v>
      </c>
      <c r="F236" s="2174" t="s">
        <v>32</v>
      </c>
      <c r="G236" s="2174" t="s">
        <v>32</v>
      </c>
      <c r="H236" s="2177" t="s">
        <v>32</v>
      </c>
      <c r="I236" s="2174" t="s">
        <v>32</v>
      </c>
      <c r="J236" s="2174"/>
      <c r="K236" s="2174"/>
      <c r="L236" s="2174" t="s">
        <v>32</v>
      </c>
      <c r="M236" s="2174" t="s">
        <v>32</v>
      </c>
      <c r="N236" s="2222" t="s">
        <v>32</v>
      </c>
      <c r="O236" s="2222" t="s">
        <v>32</v>
      </c>
      <c r="P236" s="2222" t="s">
        <v>32</v>
      </c>
      <c r="Q236" s="2177"/>
      <c r="R236" s="2222"/>
      <c r="S236" s="1159" t="s">
        <v>32</v>
      </c>
      <c r="T236" s="2174" t="s">
        <v>32</v>
      </c>
      <c r="U236" s="2222" t="s">
        <v>32</v>
      </c>
      <c r="V236" s="2222" t="s">
        <v>32</v>
      </c>
      <c r="W236" s="2222" t="s">
        <v>32</v>
      </c>
      <c r="X236" s="2222"/>
      <c r="Y236" s="2222"/>
      <c r="Z236" s="2174" t="s">
        <v>32</v>
      </c>
      <c r="AA236" s="2174" t="s">
        <v>32</v>
      </c>
      <c r="AB236" s="2174" t="s">
        <v>32</v>
      </c>
      <c r="AC236" s="1159" t="s">
        <v>32</v>
      </c>
      <c r="AD236" s="1159" t="s">
        <v>32</v>
      </c>
      <c r="AE236" s="1159"/>
      <c r="AF236" s="1159"/>
      <c r="AG236" s="585" t="s">
        <v>32</v>
      </c>
      <c r="AH236" s="178"/>
      <c r="AI236" s="179"/>
    </row>
    <row r="237" spans="1:37" ht="22.35" customHeight="1" x14ac:dyDescent="0.2">
      <c r="A237" s="1160">
        <v>3701</v>
      </c>
      <c r="B237" s="933" t="s">
        <v>302</v>
      </c>
      <c r="C237" s="2174"/>
      <c r="D237" s="2174"/>
      <c r="E237" s="2174" t="s">
        <v>32</v>
      </c>
      <c r="F237" s="2174" t="s">
        <v>32</v>
      </c>
      <c r="G237" s="2174" t="s">
        <v>32</v>
      </c>
      <c r="H237" s="2174" t="s">
        <v>32</v>
      </c>
      <c r="I237" s="1158" t="s">
        <v>32</v>
      </c>
      <c r="J237" s="2174"/>
      <c r="K237" s="2174"/>
      <c r="L237" s="2174" t="s">
        <v>32</v>
      </c>
      <c r="M237" s="2174" t="s">
        <v>32</v>
      </c>
      <c r="N237" s="2222" t="s">
        <v>32</v>
      </c>
      <c r="O237" s="2222" t="s">
        <v>32</v>
      </c>
      <c r="P237" s="2222" t="s">
        <v>32</v>
      </c>
      <c r="Q237" s="2177"/>
      <c r="R237" s="2222"/>
      <c r="S237" s="858" t="s">
        <v>32</v>
      </c>
      <c r="T237" s="858" t="s">
        <v>32</v>
      </c>
      <c r="U237" s="858" t="s">
        <v>32</v>
      </c>
      <c r="V237" s="2222" t="s">
        <v>32</v>
      </c>
      <c r="W237" s="2222" t="s">
        <v>32</v>
      </c>
      <c r="X237" s="2174"/>
      <c r="Y237" s="2222"/>
      <c r="Z237" s="857" t="s">
        <v>32</v>
      </c>
      <c r="AA237" s="857" t="s">
        <v>32</v>
      </c>
      <c r="AB237" s="857" t="s">
        <v>32</v>
      </c>
      <c r="AC237" s="857" t="s">
        <v>32</v>
      </c>
      <c r="AD237" s="857" t="s">
        <v>32</v>
      </c>
      <c r="AE237" s="2222"/>
      <c r="AF237" s="2222"/>
      <c r="AG237" s="585" t="s">
        <v>32</v>
      </c>
      <c r="AH237" s="178"/>
      <c r="AI237" s="179"/>
    </row>
    <row r="238" spans="1:37" ht="22.35" customHeight="1" x14ac:dyDescent="0.2">
      <c r="A238" s="1155">
        <v>3701</v>
      </c>
      <c r="B238" s="933"/>
      <c r="C238" s="2174"/>
      <c r="D238" s="2174"/>
      <c r="E238" s="2174" t="s">
        <v>32</v>
      </c>
      <c r="F238" s="2174" t="s">
        <v>32</v>
      </c>
      <c r="G238" s="2174" t="s">
        <v>32</v>
      </c>
      <c r="H238" s="2174" t="s">
        <v>32</v>
      </c>
      <c r="I238" s="2174" t="s">
        <v>32</v>
      </c>
      <c r="J238" s="2174"/>
      <c r="K238" s="2174"/>
      <c r="L238" s="2174" t="s">
        <v>32</v>
      </c>
      <c r="M238" s="2174" t="s">
        <v>32</v>
      </c>
      <c r="N238" s="2222" t="s">
        <v>32</v>
      </c>
      <c r="O238" s="2222" t="s">
        <v>32</v>
      </c>
      <c r="P238" s="2222" t="s">
        <v>32</v>
      </c>
      <c r="Q238" s="2177"/>
      <c r="R238" s="2222"/>
      <c r="S238" s="2174" t="s">
        <v>32</v>
      </c>
      <c r="T238" s="2174" t="s">
        <v>32</v>
      </c>
      <c r="U238" s="2222" t="s">
        <v>32</v>
      </c>
      <c r="V238" s="2222" t="s">
        <v>32</v>
      </c>
      <c r="W238" s="2222" t="s">
        <v>32</v>
      </c>
      <c r="X238" s="2174"/>
      <c r="Y238" s="2222"/>
      <c r="Z238" s="2174" t="s">
        <v>32</v>
      </c>
      <c r="AA238" s="2174" t="s">
        <v>32</v>
      </c>
      <c r="AB238" s="2174" t="s">
        <v>32</v>
      </c>
      <c r="AC238" s="2174" t="s">
        <v>32</v>
      </c>
      <c r="AD238" s="2222" t="s">
        <v>32</v>
      </c>
      <c r="AE238" s="2222"/>
      <c r="AF238" s="2222"/>
      <c r="AG238" s="586" t="s">
        <v>32</v>
      </c>
      <c r="AH238" s="178"/>
      <c r="AI238" s="179"/>
    </row>
    <row r="239" spans="1:37" ht="22.35" customHeight="1" x14ac:dyDescent="0.2">
      <c r="A239" s="1155">
        <v>3701</v>
      </c>
      <c r="B239" s="933" t="s">
        <v>304</v>
      </c>
      <c r="C239" s="2174"/>
      <c r="D239" s="2174"/>
      <c r="E239" s="2174" t="s">
        <v>32</v>
      </c>
      <c r="F239" s="2174" t="s">
        <v>32</v>
      </c>
      <c r="G239" s="2174" t="s">
        <v>32</v>
      </c>
      <c r="H239" s="2174" t="s">
        <v>32</v>
      </c>
      <c r="I239" s="2174" t="s">
        <v>32</v>
      </c>
      <c r="J239" s="2174"/>
      <c r="K239" s="2174"/>
      <c r="L239" s="2174" t="s">
        <v>32</v>
      </c>
      <c r="M239" s="2174" t="s">
        <v>32</v>
      </c>
      <c r="N239" s="2222" t="s">
        <v>32</v>
      </c>
      <c r="O239" s="2222" t="s">
        <v>32</v>
      </c>
      <c r="P239" s="2222" t="s">
        <v>32</v>
      </c>
      <c r="Q239" s="2177"/>
      <c r="R239" s="2222"/>
      <c r="S239" s="2076" t="s">
        <v>32</v>
      </c>
      <c r="T239" s="2076" t="s">
        <v>32</v>
      </c>
      <c r="U239" s="2076" t="s">
        <v>32</v>
      </c>
      <c r="V239" s="2076" t="s">
        <v>32</v>
      </c>
      <c r="W239" s="2076" t="s">
        <v>32</v>
      </c>
      <c r="X239" s="2174"/>
      <c r="Y239" s="2222"/>
      <c r="Z239" s="2174" t="s">
        <v>32</v>
      </c>
      <c r="AA239" s="2174" t="s">
        <v>32</v>
      </c>
      <c r="AB239" s="2174" t="s">
        <v>32</v>
      </c>
      <c r="AC239" s="2174" t="s">
        <v>32</v>
      </c>
      <c r="AD239" s="2222" t="s">
        <v>32</v>
      </c>
      <c r="AE239" s="2222"/>
      <c r="AF239" s="2222"/>
      <c r="AG239" s="587" t="s">
        <v>32</v>
      </c>
      <c r="AH239" s="178"/>
      <c r="AI239" s="179"/>
    </row>
    <row r="240" spans="1:37" ht="22.35" customHeight="1" x14ac:dyDescent="0.2">
      <c r="A240" s="1155"/>
      <c r="B240" s="933"/>
      <c r="C240" s="2174"/>
      <c r="D240" s="2174"/>
      <c r="E240" s="2174" t="s">
        <v>32</v>
      </c>
      <c r="F240" s="2174" t="s">
        <v>32</v>
      </c>
      <c r="G240" s="2174" t="s">
        <v>32</v>
      </c>
      <c r="H240" s="2174" t="s">
        <v>32</v>
      </c>
      <c r="I240" s="2174" t="s">
        <v>32</v>
      </c>
      <c r="J240" s="2174"/>
      <c r="K240" s="2174"/>
      <c r="L240" s="2174" t="s">
        <v>32</v>
      </c>
      <c r="M240" s="2174" t="s">
        <v>32</v>
      </c>
      <c r="N240" s="2222" t="s">
        <v>32</v>
      </c>
      <c r="O240" s="2222" t="s">
        <v>32</v>
      </c>
      <c r="P240" s="2222" t="s">
        <v>32</v>
      </c>
      <c r="Q240" s="2177"/>
      <c r="R240" s="2222"/>
      <c r="S240" s="2174" t="s">
        <v>32</v>
      </c>
      <c r="T240" s="2174" t="s">
        <v>32</v>
      </c>
      <c r="U240" s="2222" t="s">
        <v>32</v>
      </c>
      <c r="V240" s="2222" t="s">
        <v>32</v>
      </c>
      <c r="W240" s="2222" t="s">
        <v>32</v>
      </c>
      <c r="X240" s="2222"/>
      <c r="Y240" s="2222"/>
      <c r="Z240" s="2174" t="s">
        <v>32</v>
      </c>
      <c r="AA240" s="2174" t="s">
        <v>32</v>
      </c>
      <c r="AB240" s="2174" t="s">
        <v>32</v>
      </c>
      <c r="AC240" s="2222" t="s">
        <v>32</v>
      </c>
      <c r="AD240" s="2222" t="s">
        <v>32</v>
      </c>
      <c r="AE240" s="2222"/>
      <c r="AF240" s="2222"/>
      <c r="AG240" s="585" t="s">
        <v>32</v>
      </c>
      <c r="AH240" s="178"/>
      <c r="AI240" s="179"/>
    </row>
    <row r="241" spans="1:35" ht="22.35" customHeight="1" x14ac:dyDescent="0.2">
      <c r="A241" s="1155"/>
      <c r="B241" s="933" t="s">
        <v>306</v>
      </c>
      <c r="C241" s="2174"/>
      <c r="D241" s="2174"/>
      <c r="E241" s="2174" t="s">
        <v>32</v>
      </c>
      <c r="F241" s="2174" t="s">
        <v>32</v>
      </c>
      <c r="G241" s="2174" t="s">
        <v>32</v>
      </c>
      <c r="H241" s="2174" t="s">
        <v>32</v>
      </c>
      <c r="I241" s="2174" t="s">
        <v>32</v>
      </c>
      <c r="J241" s="2174"/>
      <c r="K241" s="2174"/>
      <c r="L241" s="2174" t="s">
        <v>32</v>
      </c>
      <c r="M241" s="2174" t="s">
        <v>32</v>
      </c>
      <c r="N241" s="2222" t="s">
        <v>32</v>
      </c>
      <c r="O241" s="2222" t="s">
        <v>32</v>
      </c>
      <c r="P241" s="2222" t="s">
        <v>32</v>
      </c>
      <c r="Q241" s="2177"/>
      <c r="R241" s="2222"/>
      <c r="S241" s="2174" t="s">
        <v>32</v>
      </c>
      <c r="T241" s="2174" t="s">
        <v>32</v>
      </c>
      <c r="U241" s="2076" t="s">
        <v>32</v>
      </c>
      <c r="V241" s="2076" t="s">
        <v>32</v>
      </c>
      <c r="W241" s="2076" t="s">
        <v>32</v>
      </c>
      <c r="X241" s="848"/>
      <c r="Y241" s="2222"/>
      <c r="Z241" s="2174" t="s">
        <v>32</v>
      </c>
      <c r="AA241" s="2174" t="s">
        <v>32</v>
      </c>
      <c r="AB241" s="2174" t="s">
        <v>32</v>
      </c>
      <c r="AC241" s="848" t="s">
        <v>32</v>
      </c>
      <c r="AD241" s="848" t="s">
        <v>32</v>
      </c>
      <c r="AE241" s="848"/>
      <c r="AF241" s="848"/>
      <c r="AG241" s="585" t="s">
        <v>32</v>
      </c>
      <c r="AH241" s="178"/>
      <c r="AI241" s="179"/>
    </row>
    <row r="242" spans="1:35" ht="22.35" customHeight="1" x14ac:dyDescent="0.2">
      <c r="A242" s="1155"/>
      <c r="B242" s="1157" t="s">
        <v>307</v>
      </c>
      <c r="C242" s="2174"/>
      <c r="D242" s="2174"/>
      <c r="E242" s="2174"/>
      <c r="F242" s="2174"/>
      <c r="G242" s="2174"/>
      <c r="H242" s="2174"/>
      <c r="I242" s="2174"/>
      <c r="J242" s="2174"/>
      <c r="K242" s="2174"/>
      <c r="L242" s="2174"/>
      <c r="M242" s="2174"/>
      <c r="N242" s="2222"/>
      <c r="O242" s="2222"/>
      <c r="P242" s="2222"/>
      <c r="Q242" s="2177"/>
      <c r="R242" s="2222"/>
      <c r="S242" s="2174"/>
      <c r="T242" s="2174"/>
      <c r="U242" s="2222"/>
      <c r="V242" s="2222"/>
      <c r="W242" s="2222"/>
      <c r="X242" s="2174"/>
      <c r="Y242" s="2222"/>
      <c r="Z242" s="2174"/>
      <c r="AA242" s="2174"/>
      <c r="AB242" s="2174"/>
      <c r="AC242" s="2174"/>
      <c r="AD242" s="2174"/>
      <c r="AE242" s="2174"/>
      <c r="AF242" s="2174"/>
      <c r="AG242" s="585"/>
      <c r="AH242" s="178"/>
      <c r="AI242" s="179"/>
    </row>
    <row r="243" spans="1:35" ht="22.35" customHeight="1" x14ac:dyDescent="0.2">
      <c r="A243" s="1155"/>
      <c r="B243" s="933" t="s">
        <v>308</v>
      </c>
      <c r="C243" s="2174"/>
      <c r="D243" s="2174"/>
      <c r="E243" s="2174" t="s">
        <v>32</v>
      </c>
      <c r="F243" s="2174" t="s">
        <v>32</v>
      </c>
      <c r="G243" s="2174" t="s">
        <v>32</v>
      </c>
      <c r="H243" s="2174" t="s">
        <v>32</v>
      </c>
      <c r="I243" s="2174" t="s">
        <v>32</v>
      </c>
      <c r="J243" s="2174"/>
      <c r="K243" s="2174"/>
      <c r="L243" s="2174" t="s">
        <v>32</v>
      </c>
      <c r="M243" s="2174" t="s">
        <v>32</v>
      </c>
      <c r="N243" s="2222" t="s">
        <v>32</v>
      </c>
      <c r="O243" s="1364" t="s">
        <v>32</v>
      </c>
      <c r="P243" s="2222" t="s">
        <v>32</v>
      </c>
      <c r="Q243" s="2177"/>
      <c r="R243" s="2222"/>
      <c r="S243" s="2402" t="s">
        <v>32</v>
      </c>
      <c r="T243" s="2174" t="s">
        <v>32</v>
      </c>
      <c r="U243" s="2222" t="s">
        <v>32</v>
      </c>
      <c r="V243" s="2222" t="s">
        <v>32</v>
      </c>
      <c r="W243" s="2402" t="s">
        <v>32</v>
      </c>
      <c r="X243" s="2174"/>
      <c r="Y243" s="2222"/>
      <c r="Z243" s="2076" t="s">
        <v>32</v>
      </c>
      <c r="AA243" s="2076" t="s">
        <v>32</v>
      </c>
      <c r="AB243" s="2076" t="s">
        <v>32</v>
      </c>
      <c r="AC243" s="2076" t="s">
        <v>32</v>
      </c>
      <c r="AD243" s="2076" t="s">
        <v>32</v>
      </c>
      <c r="AE243" s="2174"/>
      <c r="AF243" s="2174"/>
      <c r="AG243" s="585" t="s">
        <v>32</v>
      </c>
      <c r="AH243" s="178"/>
      <c r="AI243" s="179"/>
    </row>
    <row r="244" spans="1:35" ht="22.35" customHeight="1" x14ac:dyDescent="0.2">
      <c r="A244" s="1155"/>
      <c r="B244" s="933" t="s">
        <v>309</v>
      </c>
      <c r="C244" s="2174"/>
      <c r="D244" s="2174"/>
      <c r="E244" s="2174" t="s">
        <v>32</v>
      </c>
      <c r="F244" s="2174" t="s">
        <v>32</v>
      </c>
      <c r="G244" s="2174" t="s">
        <v>32</v>
      </c>
      <c r="H244" s="2174" t="s">
        <v>32</v>
      </c>
      <c r="I244" s="2174" t="s">
        <v>32</v>
      </c>
      <c r="J244" s="2174"/>
      <c r="K244" s="2174"/>
      <c r="L244" s="2174" t="s">
        <v>32</v>
      </c>
      <c r="M244" s="2174" t="s">
        <v>32</v>
      </c>
      <c r="N244" s="2222" t="s">
        <v>32</v>
      </c>
      <c r="O244" s="2222" t="s">
        <v>32</v>
      </c>
      <c r="P244" s="2222" t="s">
        <v>32</v>
      </c>
      <c r="Q244" s="2177"/>
      <c r="R244" s="2222"/>
      <c r="S244" s="2174" t="s">
        <v>32</v>
      </c>
      <c r="T244" s="2174" t="s">
        <v>32</v>
      </c>
      <c r="U244" s="2222" t="s">
        <v>32</v>
      </c>
      <c r="V244" s="2222" t="s">
        <v>32</v>
      </c>
      <c r="W244" s="2222" t="s">
        <v>32</v>
      </c>
      <c r="X244" s="2174"/>
      <c r="Y244" s="2222"/>
      <c r="Z244" s="2174" t="s">
        <v>32</v>
      </c>
      <c r="AA244" s="2174" t="s">
        <v>32</v>
      </c>
      <c r="AB244" s="2174" t="s">
        <v>32</v>
      </c>
      <c r="AC244" s="2174" t="s">
        <v>32</v>
      </c>
      <c r="AD244" s="2174" t="s">
        <v>32</v>
      </c>
      <c r="AE244" s="2174"/>
      <c r="AF244" s="2222"/>
      <c r="AG244" s="586" t="s">
        <v>32</v>
      </c>
      <c r="AH244" s="178"/>
      <c r="AI244" s="179"/>
    </row>
    <row r="245" spans="1:35" ht="22.35" customHeight="1" x14ac:dyDescent="0.2">
      <c r="A245" s="1155"/>
      <c r="B245" s="933"/>
      <c r="C245" s="2174"/>
      <c r="D245" s="2174"/>
      <c r="E245" s="2174" t="s">
        <v>32</v>
      </c>
      <c r="F245" s="2174" t="s">
        <v>32</v>
      </c>
      <c r="G245" s="2174" t="s">
        <v>32</v>
      </c>
      <c r="H245" s="2174" t="s">
        <v>32</v>
      </c>
      <c r="I245" s="2174" t="s">
        <v>32</v>
      </c>
      <c r="J245" s="2174"/>
      <c r="K245" s="2174"/>
      <c r="L245" s="2174" t="s">
        <v>32</v>
      </c>
      <c r="M245" s="2174" t="s">
        <v>32</v>
      </c>
      <c r="N245" s="2222" t="s">
        <v>32</v>
      </c>
      <c r="O245" s="2222" t="s">
        <v>32</v>
      </c>
      <c r="P245" s="2222" t="s">
        <v>32</v>
      </c>
      <c r="Q245" s="2177"/>
      <c r="R245" s="2222"/>
      <c r="S245" s="2174" t="s">
        <v>32</v>
      </c>
      <c r="T245" s="2174" t="s">
        <v>32</v>
      </c>
      <c r="U245" s="2222" t="s">
        <v>32</v>
      </c>
      <c r="V245" s="2222" t="s">
        <v>32</v>
      </c>
      <c r="W245" s="2222" t="s">
        <v>32</v>
      </c>
      <c r="X245" s="2222"/>
      <c r="Y245" s="2222"/>
      <c r="Z245" s="2174" t="s">
        <v>32</v>
      </c>
      <c r="AA245" s="2174" t="s">
        <v>32</v>
      </c>
      <c r="AB245" s="2174" t="s">
        <v>32</v>
      </c>
      <c r="AC245" s="2222" t="s">
        <v>32</v>
      </c>
      <c r="AD245" s="2222" t="s">
        <v>32</v>
      </c>
      <c r="AE245" s="2222"/>
      <c r="AF245" s="2222"/>
      <c r="AG245" s="586" t="s">
        <v>32</v>
      </c>
      <c r="AH245" s="175"/>
      <c r="AI245" s="107"/>
    </row>
    <row r="246" spans="1:35" ht="22.35" customHeight="1" x14ac:dyDescent="0.2">
      <c r="A246" s="1155"/>
      <c r="B246" s="933" t="s">
        <v>311</v>
      </c>
      <c r="C246" s="2174"/>
      <c r="D246" s="2174"/>
      <c r="E246" s="2174" t="s">
        <v>32</v>
      </c>
      <c r="F246" s="2174" t="s">
        <v>32</v>
      </c>
      <c r="G246" s="2174" t="s">
        <v>32</v>
      </c>
      <c r="H246" s="2174" t="s">
        <v>32</v>
      </c>
      <c r="I246" s="2174" t="s">
        <v>32</v>
      </c>
      <c r="J246" s="2174"/>
      <c r="K246" s="2174"/>
      <c r="L246" s="2174" t="s">
        <v>32</v>
      </c>
      <c r="M246" s="2174" t="s">
        <v>32</v>
      </c>
      <c r="N246" s="2222" t="s">
        <v>32</v>
      </c>
      <c r="O246" s="2222" t="s">
        <v>32</v>
      </c>
      <c r="P246" s="2222" t="s">
        <v>32</v>
      </c>
      <c r="Q246" s="2177"/>
      <c r="R246" s="2222"/>
      <c r="S246" s="2174" t="s">
        <v>32</v>
      </c>
      <c r="T246" s="2174" t="s">
        <v>32</v>
      </c>
      <c r="U246" s="2222" t="s">
        <v>32</v>
      </c>
      <c r="V246" s="2222" t="s">
        <v>32</v>
      </c>
      <c r="W246" s="2222" t="s">
        <v>32</v>
      </c>
      <c r="X246" s="2222"/>
      <c r="Y246" s="2222"/>
      <c r="Z246" s="2174" t="s">
        <v>32</v>
      </c>
      <c r="AA246" s="2174" t="s">
        <v>32</v>
      </c>
      <c r="AB246" s="2174" t="s">
        <v>32</v>
      </c>
      <c r="AC246" s="2222" t="s">
        <v>32</v>
      </c>
      <c r="AD246" s="2222" t="s">
        <v>32</v>
      </c>
      <c r="AE246" s="2222"/>
      <c r="AF246" s="2222"/>
      <c r="AG246" s="586" t="s">
        <v>32</v>
      </c>
      <c r="AH246" s="175"/>
      <c r="AI246" s="107"/>
    </row>
    <row r="247" spans="1:35" ht="22.35" customHeight="1" x14ac:dyDescent="0.2">
      <c r="A247" s="2077"/>
      <c r="B247" s="2403"/>
      <c r="C247" s="2174"/>
      <c r="D247" s="2174"/>
      <c r="E247" s="2174"/>
      <c r="F247" s="2174"/>
      <c r="G247" s="2174"/>
      <c r="H247" s="2174"/>
      <c r="I247" s="2174"/>
      <c r="J247" s="2174"/>
      <c r="K247" s="2174"/>
      <c r="L247" s="2174"/>
      <c r="M247" s="2174"/>
      <c r="N247" s="2174"/>
      <c r="O247" s="2174"/>
      <c r="P247" s="2174"/>
      <c r="Q247" s="2174"/>
      <c r="R247" s="2174"/>
      <c r="S247" s="2174"/>
      <c r="T247" s="2174"/>
      <c r="U247" s="2174"/>
      <c r="V247" s="2174"/>
      <c r="W247" s="2174"/>
      <c r="X247" s="2174"/>
      <c r="Y247" s="2174"/>
      <c r="Z247" s="2174"/>
      <c r="AA247" s="2174"/>
      <c r="AB247" s="2174"/>
      <c r="AC247" s="2174"/>
      <c r="AD247" s="2174"/>
      <c r="AE247" s="2174"/>
      <c r="AF247" s="2174"/>
      <c r="AG247" s="585"/>
      <c r="AH247" s="175"/>
      <c r="AI247" s="107"/>
    </row>
    <row r="248" spans="1:35" ht="22.35" customHeight="1" x14ac:dyDescent="0.2">
      <c r="A248" s="2077"/>
      <c r="B248" s="933"/>
      <c r="C248" s="2174"/>
      <c r="D248" s="2174"/>
      <c r="E248" s="2174"/>
      <c r="F248" s="2174"/>
      <c r="G248" s="2174"/>
      <c r="H248" s="2174"/>
      <c r="I248" s="2174"/>
      <c r="J248" s="2174"/>
      <c r="K248" s="2174"/>
      <c r="L248" s="2174"/>
      <c r="M248" s="2174"/>
      <c r="N248" s="2222"/>
      <c r="O248" s="2222"/>
      <c r="P248" s="2222"/>
      <c r="Q248" s="2177"/>
      <c r="R248" s="2222"/>
      <c r="S248" s="2174"/>
      <c r="T248" s="2174"/>
      <c r="U248" s="2222"/>
      <c r="V248" s="2222"/>
      <c r="W248" s="2222"/>
      <c r="X248" s="2174"/>
      <c r="Y248" s="2222"/>
      <c r="Z248" s="2174"/>
      <c r="AA248" s="2174"/>
      <c r="AB248" s="2174"/>
      <c r="AC248" s="2174"/>
      <c r="AD248" s="2174"/>
      <c r="AE248" s="2174"/>
      <c r="AF248" s="2222"/>
      <c r="AG248" s="586"/>
      <c r="AH248" s="175"/>
      <c r="AI248" s="107"/>
    </row>
    <row r="249" spans="1:35" ht="22.35" customHeight="1" x14ac:dyDescent="0.2">
      <c r="A249" s="2077"/>
      <c r="B249" s="2077"/>
      <c r="C249" s="2174"/>
      <c r="D249" s="2174"/>
      <c r="E249" s="2174"/>
      <c r="F249" s="2174"/>
      <c r="G249" s="2174"/>
      <c r="H249" s="2174"/>
      <c r="I249" s="2174"/>
      <c r="J249" s="2174"/>
      <c r="K249" s="2174"/>
      <c r="L249" s="2174"/>
      <c r="M249" s="2174"/>
      <c r="N249" s="2174"/>
      <c r="O249" s="2174"/>
      <c r="P249" s="2174"/>
      <c r="Q249" s="2174"/>
      <c r="R249" s="2174"/>
      <c r="S249" s="2174"/>
      <c r="T249" s="2174"/>
      <c r="U249" s="2174"/>
      <c r="V249" s="2174"/>
      <c r="W249" s="2174"/>
      <c r="X249" s="2174"/>
      <c r="Y249" s="2174"/>
      <c r="Z249" s="2174"/>
      <c r="AA249" s="2174"/>
      <c r="AB249" s="2174"/>
      <c r="AC249" s="2174"/>
      <c r="AD249" s="2174"/>
      <c r="AE249" s="2174"/>
      <c r="AF249" s="2174"/>
      <c r="AG249" s="585"/>
      <c r="AH249" s="175"/>
      <c r="AI249" s="107"/>
    </row>
    <row r="250" spans="1:35" ht="22.35" customHeight="1" x14ac:dyDescent="0.2">
      <c r="A250" s="2077"/>
      <c r="B250" s="2077"/>
      <c r="C250" s="2174"/>
      <c r="D250" s="2174"/>
      <c r="E250" s="2174"/>
      <c r="F250" s="2174"/>
      <c r="G250" s="2174"/>
      <c r="H250" s="1167"/>
      <c r="I250" s="2174"/>
      <c r="J250" s="2174"/>
      <c r="K250" s="2174"/>
      <c r="L250" s="2174"/>
      <c r="M250" s="2174"/>
      <c r="N250" s="2174"/>
      <c r="O250" s="2174"/>
      <c r="P250" s="2174"/>
      <c r="Q250" s="2174"/>
      <c r="R250" s="2174"/>
      <c r="S250" s="2174"/>
      <c r="T250" s="2174"/>
      <c r="U250" s="2174"/>
      <c r="V250" s="2174"/>
      <c r="W250" s="2174"/>
      <c r="X250" s="2174"/>
      <c r="Y250" s="2174"/>
      <c r="Z250" s="2174"/>
      <c r="AA250" s="2174"/>
      <c r="AB250" s="2174"/>
      <c r="AC250" s="2174"/>
      <c r="AD250" s="2174"/>
      <c r="AE250" s="2174"/>
      <c r="AF250" s="2174"/>
      <c r="AG250" s="588"/>
      <c r="AH250" s="175"/>
      <c r="AI250" s="107"/>
    </row>
    <row r="251" spans="1:35" ht="22.35" customHeight="1" x14ac:dyDescent="0.2">
      <c r="A251" s="1155"/>
      <c r="B251" s="1168"/>
      <c r="C251" s="2174"/>
      <c r="D251" s="2174"/>
      <c r="E251" s="2174"/>
      <c r="F251" s="2174"/>
      <c r="G251" s="2174"/>
      <c r="H251" s="2174"/>
      <c r="I251" s="2174"/>
      <c r="J251" s="2174"/>
      <c r="K251" s="2174"/>
      <c r="L251" s="2174"/>
      <c r="M251" s="2174"/>
      <c r="N251" s="2174"/>
      <c r="O251" s="2174"/>
      <c r="P251" s="2174"/>
      <c r="Q251" s="2174"/>
      <c r="R251" s="2174"/>
      <c r="S251" s="2174"/>
      <c r="T251" s="2174"/>
      <c r="U251" s="2174"/>
      <c r="V251" s="2174"/>
      <c r="W251" s="2174"/>
      <c r="X251" s="2174"/>
      <c r="Y251" s="2174"/>
      <c r="Z251" s="2174"/>
      <c r="AA251" s="2174"/>
      <c r="AB251" s="2174"/>
      <c r="AC251" s="2174"/>
      <c r="AD251" s="2174"/>
      <c r="AE251" s="2174"/>
      <c r="AF251" s="2174"/>
      <c r="AG251" s="588"/>
      <c r="AH251" s="175"/>
      <c r="AI251" s="107"/>
    </row>
    <row r="252" spans="1:35" ht="22.35" customHeight="1" x14ac:dyDescent="0.2">
      <c r="A252" s="1155"/>
      <c r="B252" s="1169"/>
      <c r="C252" s="2174"/>
      <c r="D252" s="2174"/>
      <c r="E252" s="2174"/>
      <c r="F252" s="2174"/>
      <c r="G252" s="2174"/>
      <c r="H252" s="2174"/>
      <c r="I252" s="2174"/>
      <c r="J252" s="2174"/>
      <c r="K252" s="2174"/>
      <c r="L252" s="2174"/>
      <c r="M252" s="2174"/>
      <c r="N252" s="2174"/>
      <c r="O252" s="2174"/>
      <c r="P252" s="2174"/>
      <c r="Q252" s="2174"/>
      <c r="R252" s="2174"/>
      <c r="S252" s="2174"/>
      <c r="T252" s="2174"/>
      <c r="U252" s="2174"/>
      <c r="V252" s="2174"/>
      <c r="W252" s="2174"/>
      <c r="X252" s="2174"/>
      <c r="Y252" s="2174"/>
      <c r="Z252" s="2174"/>
      <c r="AA252" s="2174"/>
      <c r="AB252" s="2174"/>
      <c r="AC252" s="2174"/>
      <c r="AD252" s="2174"/>
      <c r="AE252" s="2174"/>
      <c r="AF252" s="2174"/>
      <c r="AG252" s="588"/>
      <c r="AH252" s="175"/>
      <c r="AI252" s="107"/>
    </row>
    <row r="253" spans="1:35" ht="22.35" customHeight="1" x14ac:dyDescent="0.2">
      <c r="A253" s="108"/>
      <c r="B253" s="121"/>
      <c r="C253" s="106"/>
      <c r="D253" s="106"/>
      <c r="E253" s="106"/>
      <c r="F253" s="106"/>
      <c r="G253" s="106"/>
      <c r="H253" s="106"/>
      <c r="I253" s="106"/>
      <c r="J253" s="106"/>
      <c r="L253" s="106"/>
      <c r="M253" s="106"/>
      <c r="N253" s="106"/>
      <c r="O253" s="106"/>
      <c r="P253" s="72"/>
      <c r="Q253" s="72"/>
      <c r="R253" s="72"/>
      <c r="S253" s="106"/>
      <c r="T253" s="106"/>
      <c r="U253" s="106"/>
      <c r="V253" s="106"/>
      <c r="W253" s="106"/>
      <c r="X253" s="106"/>
      <c r="Y253" s="106"/>
      <c r="Z253" s="106"/>
      <c r="AA253" s="106"/>
      <c r="AB253" s="106"/>
      <c r="AC253" s="106"/>
      <c r="AD253" s="106"/>
      <c r="AE253" s="106"/>
      <c r="AF253" s="106"/>
      <c r="AG253" s="106"/>
      <c r="AH253" s="107"/>
      <c r="AI253" s="107"/>
    </row>
    <row r="257" spans="1:35" ht="21" customHeight="1" thickBot="1" x14ac:dyDescent="0.25">
      <c r="A257" s="158" t="s">
        <v>312</v>
      </c>
    </row>
    <row r="258" spans="1:35" ht="21" customHeight="1" x14ac:dyDescent="0.2">
      <c r="B258" s="2404" t="s">
        <v>281</v>
      </c>
      <c r="C258" s="2313"/>
      <c r="D258" s="2342" t="s">
        <v>107</v>
      </c>
      <c r="E258" s="2240"/>
      <c r="F258" s="2309"/>
      <c r="G258" s="2313"/>
      <c r="H258" s="2342" t="s">
        <v>108</v>
      </c>
      <c r="I258" s="2240"/>
      <c r="J258" s="2309"/>
      <c r="K258" s="2313"/>
      <c r="L258" s="2342" t="s">
        <v>109</v>
      </c>
      <c r="M258" s="2240"/>
      <c r="N258" s="2309"/>
      <c r="O258" s="2313"/>
      <c r="P258" s="2342" t="s">
        <v>110</v>
      </c>
      <c r="Q258" s="2240"/>
      <c r="R258" s="2309"/>
      <c r="S258" s="2313"/>
      <c r="T258" s="2342" t="s">
        <v>111</v>
      </c>
      <c r="U258" s="2240"/>
      <c r="V258" s="2309"/>
      <c r="W258" s="2313"/>
      <c r="X258" s="2342" t="s">
        <v>112</v>
      </c>
      <c r="Y258" s="2240"/>
      <c r="Z258" s="2309"/>
      <c r="AA258" s="2313"/>
      <c r="AB258" s="2342" t="s">
        <v>113</v>
      </c>
      <c r="AC258" s="2240"/>
      <c r="AD258" s="2240"/>
      <c r="AE258" s="2345" t="s">
        <v>114</v>
      </c>
      <c r="AF258" s="2240"/>
      <c r="AG258" s="2240"/>
      <c r="AH258" s="2240"/>
      <c r="AI258" s="2241"/>
    </row>
    <row r="259" spans="1:35" ht="21" customHeight="1" x14ac:dyDescent="0.2">
      <c r="B259" s="3"/>
      <c r="C259" s="287" t="s">
        <v>313</v>
      </c>
      <c r="D259" s="116"/>
      <c r="E259" s="283"/>
      <c r="F259" s="284"/>
      <c r="G259" s="287" t="s">
        <v>313</v>
      </c>
      <c r="H259" s="116"/>
      <c r="I259" s="283"/>
      <c r="J259" s="284"/>
      <c r="K259" s="287" t="s">
        <v>313</v>
      </c>
      <c r="L259" s="116"/>
      <c r="M259" s="283"/>
      <c r="N259" s="284"/>
      <c r="O259" s="287" t="s">
        <v>313</v>
      </c>
      <c r="P259" s="282"/>
      <c r="Q259" s="283"/>
      <c r="R259" s="284"/>
      <c r="S259" s="288" t="s">
        <v>314</v>
      </c>
      <c r="T259" s="116"/>
      <c r="U259" s="283"/>
      <c r="V259" s="284"/>
      <c r="W259" s="154"/>
      <c r="X259" s="116"/>
      <c r="Y259" s="162"/>
      <c r="Z259" s="164"/>
      <c r="AA259" s="154"/>
      <c r="AB259" s="116"/>
      <c r="AC259" s="162"/>
      <c r="AD259" s="162"/>
      <c r="AE259" s="117"/>
      <c r="AF259" s="162"/>
      <c r="AG259" s="14"/>
      <c r="AH259" s="14"/>
      <c r="AI259" s="118"/>
    </row>
    <row r="260" spans="1:35" ht="21" customHeight="1" x14ac:dyDescent="0.2">
      <c r="A260" s="110"/>
      <c r="B260" s="727"/>
      <c r="C260" s="2365" t="s">
        <v>189</v>
      </c>
      <c r="D260" s="2405"/>
      <c r="E260" s="283"/>
      <c r="F260" s="284"/>
      <c r="G260" s="2365" t="s">
        <v>189</v>
      </c>
      <c r="H260" s="116"/>
      <c r="I260" s="283"/>
      <c r="J260" s="284"/>
      <c r="K260" s="2365" t="s">
        <v>189</v>
      </c>
      <c r="L260" s="116"/>
      <c r="M260" s="283"/>
      <c r="N260" s="284"/>
      <c r="O260" s="2365" t="s">
        <v>189</v>
      </c>
      <c r="P260" s="116"/>
      <c r="Q260" s="283"/>
      <c r="R260" s="284"/>
      <c r="S260" s="287" t="s">
        <v>315</v>
      </c>
      <c r="T260" s="116"/>
      <c r="U260" s="283"/>
      <c r="V260" s="284"/>
      <c r="W260" s="154"/>
      <c r="X260" s="116"/>
      <c r="Y260" s="162"/>
      <c r="Z260" s="164"/>
      <c r="AA260" s="154"/>
      <c r="AB260" s="116"/>
      <c r="AC260" s="162"/>
      <c r="AD260" s="162"/>
      <c r="AE260" s="117"/>
      <c r="AF260" s="162"/>
      <c r="AG260" s="14"/>
      <c r="AH260" s="14"/>
      <c r="AI260" s="118"/>
    </row>
    <row r="261" spans="1:35" ht="21" customHeight="1" x14ac:dyDescent="0.2">
      <c r="B261" s="727"/>
      <c r="C261" s="2365" t="s">
        <v>192</v>
      </c>
      <c r="D261" s="2405"/>
      <c r="E261" s="283"/>
      <c r="F261" s="284"/>
      <c r="G261" s="2365" t="s">
        <v>192</v>
      </c>
      <c r="H261" s="116"/>
      <c r="I261" s="283"/>
      <c r="J261" s="284"/>
      <c r="K261" s="2365" t="s">
        <v>192</v>
      </c>
      <c r="L261" s="116"/>
      <c r="M261" s="283"/>
      <c r="N261" s="284"/>
      <c r="O261" s="2365" t="s">
        <v>192</v>
      </c>
      <c r="P261" s="116"/>
      <c r="Q261" s="283"/>
      <c r="R261" s="284"/>
      <c r="S261" s="2365" t="s">
        <v>187</v>
      </c>
      <c r="T261" s="116"/>
      <c r="U261" s="283"/>
      <c r="V261" s="284"/>
      <c r="W261" s="154"/>
      <c r="X261" s="116"/>
      <c r="Y261" s="162"/>
      <c r="Z261" s="164"/>
      <c r="AA261" s="154"/>
      <c r="AB261" s="116"/>
      <c r="AC261" s="162"/>
      <c r="AD261" s="162"/>
      <c r="AE261" s="117"/>
      <c r="AF261" s="162"/>
      <c r="AG261" s="14"/>
      <c r="AH261" s="14"/>
      <c r="AI261" s="118"/>
    </row>
    <row r="262" spans="1:35" ht="21" customHeight="1" x14ac:dyDescent="0.2">
      <c r="B262" s="727"/>
      <c r="C262" s="640"/>
      <c r="D262" s="641"/>
      <c r="E262" s="162"/>
      <c r="F262" s="164"/>
      <c r="G262" s="640"/>
      <c r="H262" s="641"/>
      <c r="I262" s="162"/>
      <c r="J262" s="164"/>
      <c r="K262" s="640"/>
      <c r="L262" s="641"/>
      <c r="M262" s="162"/>
      <c r="N262" s="164"/>
      <c r="O262" s="640"/>
      <c r="P262" s="641"/>
      <c r="Q262" s="162"/>
      <c r="R262" s="164"/>
      <c r="S262" s="640"/>
      <c r="T262" s="641"/>
      <c r="U262" s="162"/>
      <c r="V262" s="164"/>
      <c r="W262" s="154"/>
      <c r="X262" s="116"/>
      <c r="Y262" s="162"/>
      <c r="Z262" s="164"/>
      <c r="AA262" s="154"/>
      <c r="AB262" s="116"/>
      <c r="AC262" s="162"/>
      <c r="AD262" s="162"/>
      <c r="AE262" s="117"/>
      <c r="AF262" s="162"/>
      <c r="AG262" s="14"/>
      <c r="AH262" s="14"/>
      <c r="AI262" s="118"/>
    </row>
    <row r="263" spans="1:35" ht="21" customHeight="1" x14ac:dyDescent="0.2">
      <c r="B263" s="727"/>
      <c r="C263" s="2347"/>
      <c r="D263" s="641"/>
      <c r="E263" s="162"/>
      <c r="F263" s="164"/>
      <c r="G263" s="116"/>
      <c r="H263" s="116"/>
      <c r="I263" s="162"/>
      <c r="J263" s="164"/>
      <c r="K263" s="116"/>
      <c r="L263" s="116"/>
      <c r="M263" s="162"/>
      <c r="N263" s="164"/>
      <c r="O263" s="116"/>
      <c r="P263" s="116"/>
      <c r="Q263" s="162"/>
      <c r="R263" s="164"/>
      <c r="S263" s="116"/>
      <c r="T263" s="116"/>
      <c r="U263" s="162"/>
      <c r="V263" s="164"/>
      <c r="W263" s="154"/>
      <c r="X263" s="116"/>
      <c r="Y263" s="162"/>
      <c r="Z263" s="164"/>
      <c r="AA263" s="154"/>
      <c r="AB263" s="116"/>
      <c r="AC263" s="162"/>
      <c r="AD263" s="162"/>
      <c r="AE263" s="117"/>
      <c r="AF263" s="162"/>
      <c r="AG263" s="14"/>
      <c r="AH263" s="14"/>
      <c r="AI263" s="118"/>
    </row>
    <row r="264" spans="1:35" ht="21" customHeight="1" x14ac:dyDescent="0.2">
      <c r="B264" s="727" t="s">
        <v>159</v>
      </c>
      <c r="C264" s="2347" t="s">
        <v>316</v>
      </c>
      <c r="D264" s="2405"/>
      <c r="E264" s="283"/>
      <c r="F264" s="284"/>
      <c r="G264" s="2347" t="s">
        <v>316</v>
      </c>
      <c r="H264" s="2405"/>
      <c r="I264" s="283"/>
      <c r="J264" s="284"/>
      <c r="K264" s="2347" t="s">
        <v>316</v>
      </c>
      <c r="L264" s="2405"/>
      <c r="M264" s="283"/>
      <c r="N264" s="284"/>
      <c r="O264" s="2347" t="s">
        <v>316</v>
      </c>
      <c r="P264" s="2405"/>
      <c r="Q264" s="283"/>
      <c r="R264" s="284"/>
      <c r="S264" s="116" t="s">
        <v>317</v>
      </c>
      <c r="T264" s="116"/>
      <c r="U264" s="283"/>
      <c r="V264" s="284"/>
      <c r="W264" s="154"/>
      <c r="X264" s="116"/>
      <c r="Y264" s="162"/>
      <c r="Z264" s="164"/>
      <c r="AA264" s="154"/>
      <c r="AB264" s="116"/>
      <c r="AC264" s="162"/>
      <c r="AD264" s="162"/>
      <c r="AE264" s="117"/>
      <c r="AF264" s="162"/>
      <c r="AG264" s="14"/>
      <c r="AH264" s="14"/>
      <c r="AI264" s="118"/>
    </row>
    <row r="265" spans="1:35" ht="21" customHeight="1" x14ac:dyDescent="0.2">
      <c r="B265" s="727" t="s">
        <v>163</v>
      </c>
      <c r="C265" s="2347" t="s">
        <v>318</v>
      </c>
      <c r="D265" s="2405"/>
      <c r="E265" s="283"/>
      <c r="F265" s="284"/>
      <c r="G265" s="2347" t="s">
        <v>318</v>
      </c>
      <c r="H265" s="2405"/>
      <c r="I265" s="283"/>
      <c r="J265" s="284"/>
      <c r="K265" s="2347" t="s">
        <v>318</v>
      </c>
      <c r="L265" s="2405"/>
      <c r="M265" s="283"/>
      <c r="N265" s="284"/>
      <c r="O265" s="2347" t="s">
        <v>318</v>
      </c>
      <c r="P265" s="2405"/>
      <c r="Q265" s="283"/>
      <c r="R265" s="284"/>
      <c r="S265" s="116" t="s">
        <v>319</v>
      </c>
      <c r="T265" s="116"/>
      <c r="U265" s="283"/>
      <c r="V265" s="284"/>
      <c r="W265" s="154"/>
      <c r="X265" s="116"/>
      <c r="Y265" s="162"/>
      <c r="Z265" s="164"/>
      <c r="AA265" s="154"/>
      <c r="AB265" s="116"/>
      <c r="AC265" s="162"/>
      <c r="AD265" s="162"/>
      <c r="AE265" s="117"/>
      <c r="AF265" s="162"/>
      <c r="AG265" s="14"/>
      <c r="AH265" s="14"/>
      <c r="AI265" s="118"/>
    </row>
    <row r="266" spans="1:35" ht="21" customHeight="1" thickBot="1" x14ac:dyDescent="0.25">
      <c r="B266" s="589" t="s">
        <v>170</v>
      </c>
      <c r="C266" s="1057" t="s">
        <v>320</v>
      </c>
      <c r="D266" s="728"/>
      <c r="E266" s="285"/>
      <c r="F266" s="286"/>
      <c r="G266" s="1057" t="s">
        <v>320</v>
      </c>
      <c r="H266" s="728"/>
      <c r="I266" s="285"/>
      <c r="J266" s="286"/>
      <c r="K266" s="1057" t="s">
        <v>320</v>
      </c>
      <c r="L266" s="728"/>
      <c r="M266" s="285"/>
      <c r="N266" s="286"/>
      <c r="O266" s="1057" t="s">
        <v>320</v>
      </c>
      <c r="P266" s="728"/>
      <c r="Q266" s="285"/>
      <c r="R266" s="286"/>
      <c r="S266" s="225" t="s">
        <v>321</v>
      </c>
      <c r="T266" s="225"/>
      <c r="U266" s="285"/>
      <c r="V266" s="286"/>
      <c r="W266" s="277"/>
      <c r="X266" s="225"/>
      <c r="Y266" s="278"/>
      <c r="Z266" s="279"/>
      <c r="AA266" s="280"/>
      <c r="AB266" s="225"/>
      <c r="AC266" s="278"/>
      <c r="AD266" s="278"/>
      <c r="AE266" s="281"/>
      <c r="AF266" s="278"/>
      <c r="AG266" s="276"/>
      <c r="AH266" s="276"/>
      <c r="AI266" s="222"/>
    </row>
    <row r="267" spans="1:35" ht="21" customHeight="1" x14ac:dyDescent="0.2">
      <c r="B267" s="59"/>
      <c r="C267" s="64"/>
      <c r="D267" s="18"/>
      <c r="G267" s="64"/>
      <c r="H267" s="18"/>
      <c r="K267" s="64"/>
      <c r="L267" s="18"/>
      <c r="O267" s="64"/>
      <c r="P267" s="18"/>
      <c r="S267" s="64"/>
      <c r="T267" s="64"/>
      <c r="X267" s="64"/>
      <c r="AB267" s="64"/>
      <c r="AE267" s="64"/>
    </row>
    <row r="268" spans="1:35" ht="21" customHeight="1" x14ac:dyDescent="0.2">
      <c r="A268" s="122" t="s">
        <v>322</v>
      </c>
    </row>
    <row r="269" spans="1:35" ht="21" customHeight="1" thickBot="1" x14ac:dyDescent="0.25">
      <c r="A269" s="2338"/>
      <c r="B269" s="2264" t="s">
        <v>29</v>
      </c>
      <c r="C269" s="2167">
        <v>1</v>
      </c>
      <c r="D269" s="2167">
        <v>2</v>
      </c>
      <c r="E269" s="2168">
        <v>3</v>
      </c>
      <c r="F269" s="2168">
        <v>4</v>
      </c>
      <c r="G269" s="2168">
        <v>5</v>
      </c>
      <c r="H269" s="2168">
        <v>6</v>
      </c>
      <c r="I269" s="2168">
        <v>7</v>
      </c>
      <c r="J269" s="2167">
        <v>8</v>
      </c>
      <c r="K269" s="2167">
        <v>9</v>
      </c>
      <c r="L269" s="2168">
        <v>10</v>
      </c>
      <c r="M269" s="2168">
        <v>11</v>
      </c>
      <c r="N269" s="2168">
        <v>12</v>
      </c>
      <c r="O269" s="2168">
        <v>13</v>
      </c>
      <c r="P269" s="2168">
        <v>14</v>
      </c>
      <c r="Q269" s="2167">
        <v>15</v>
      </c>
      <c r="R269" s="2167">
        <v>16</v>
      </c>
      <c r="S269" s="2168">
        <v>17</v>
      </c>
      <c r="T269" s="2168">
        <v>18</v>
      </c>
      <c r="U269" s="2168">
        <v>19</v>
      </c>
      <c r="V269" s="2168">
        <v>20</v>
      </c>
      <c r="W269" s="2168">
        <v>21</v>
      </c>
      <c r="X269" s="2167">
        <v>22</v>
      </c>
      <c r="Y269" s="2167">
        <v>23</v>
      </c>
      <c r="Z269" s="2168">
        <v>24</v>
      </c>
      <c r="AA269" s="2168">
        <v>25</v>
      </c>
      <c r="AB269" s="2168">
        <v>26</v>
      </c>
      <c r="AC269" s="2168">
        <v>27</v>
      </c>
      <c r="AD269" s="2168">
        <v>28</v>
      </c>
      <c r="AE269" s="2167">
        <v>29</v>
      </c>
      <c r="AF269" s="2167">
        <v>30</v>
      </c>
      <c r="AG269" s="2169">
        <v>31</v>
      </c>
      <c r="AH269" s="173"/>
      <c r="AI269" s="174"/>
    </row>
    <row r="270" spans="1:35" ht="21" customHeight="1" x14ac:dyDescent="0.2">
      <c r="A270" s="750">
        <v>3702</v>
      </c>
      <c r="B270" s="172"/>
      <c r="C270" s="2174"/>
      <c r="D270" s="2174"/>
      <c r="E270" s="2174" t="s">
        <v>32</v>
      </c>
      <c r="F270" s="2174" t="s">
        <v>32</v>
      </c>
      <c r="G270" s="2174" t="s">
        <v>32</v>
      </c>
      <c r="H270" s="2174" t="s">
        <v>32</v>
      </c>
      <c r="I270" s="2174" t="s">
        <v>32</v>
      </c>
      <c r="J270" s="2174"/>
      <c r="K270" s="2174"/>
      <c r="L270" s="2174" t="s">
        <v>32</v>
      </c>
      <c r="M270" s="2174" t="s">
        <v>32</v>
      </c>
      <c r="N270" s="2222" t="s">
        <v>32</v>
      </c>
      <c r="O270" s="2222" t="s">
        <v>32</v>
      </c>
      <c r="P270" s="2222" t="s">
        <v>32</v>
      </c>
      <c r="Q270" s="2177"/>
      <c r="R270" s="2222"/>
      <c r="S270" s="2174" t="s">
        <v>32</v>
      </c>
      <c r="T270" s="2174" t="s">
        <v>32</v>
      </c>
      <c r="U270" s="2222" t="s">
        <v>32</v>
      </c>
      <c r="V270" s="2222" t="s">
        <v>32</v>
      </c>
      <c r="W270" s="2222" t="s">
        <v>32</v>
      </c>
      <c r="X270" s="2174"/>
      <c r="Y270" s="2222"/>
      <c r="Z270" s="2222" t="s">
        <v>32</v>
      </c>
      <c r="AA270" s="2174" t="s">
        <v>32</v>
      </c>
      <c r="AB270" s="2174" t="s">
        <v>32</v>
      </c>
      <c r="AC270" s="2174" t="s">
        <v>32</v>
      </c>
      <c r="AD270" s="2174" t="s">
        <v>32</v>
      </c>
      <c r="AE270" s="2174"/>
      <c r="AF270" s="2174"/>
      <c r="AG270" s="2174" t="s">
        <v>32</v>
      </c>
      <c r="AH270" s="178"/>
      <c r="AI270" s="179"/>
    </row>
    <row r="271" spans="1:35" ht="21" customHeight="1" x14ac:dyDescent="0.2">
      <c r="A271" s="2182"/>
      <c r="B271" s="1011" t="s">
        <v>323</v>
      </c>
      <c r="C271" s="2174"/>
      <c r="D271" s="2174"/>
      <c r="E271" s="2174" t="s">
        <v>32</v>
      </c>
      <c r="F271" s="2174" t="s">
        <v>32</v>
      </c>
      <c r="G271" s="2174" t="s">
        <v>32</v>
      </c>
      <c r="H271" s="2174" t="s">
        <v>32</v>
      </c>
      <c r="I271" s="2174" t="s">
        <v>32</v>
      </c>
      <c r="J271" s="2174"/>
      <c r="K271" s="2174"/>
      <c r="L271" s="2174" t="s">
        <v>32</v>
      </c>
      <c r="M271" s="2174" t="s">
        <v>32</v>
      </c>
      <c r="N271" s="2222" t="s">
        <v>32</v>
      </c>
      <c r="O271" s="2222" t="s">
        <v>32</v>
      </c>
      <c r="P271" s="2222" t="s">
        <v>32</v>
      </c>
      <c r="Q271" s="2177"/>
      <c r="R271" s="2222"/>
      <c r="S271" s="2174" t="s">
        <v>32</v>
      </c>
      <c r="T271" s="2174" t="s">
        <v>32</v>
      </c>
      <c r="U271" s="2222" t="s">
        <v>32</v>
      </c>
      <c r="V271" s="2222" t="s">
        <v>32</v>
      </c>
      <c r="W271" s="2222" t="s">
        <v>32</v>
      </c>
      <c r="X271" s="2174"/>
      <c r="Y271" s="2222"/>
      <c r="Z271" s="2222" t="s">
        <v>32</v>
      </c>
      <c r="AA271" s="2174" t="s">
        <v>32</v>
      </c>
      <c r="AB271" s="2174" t="s">
        <v>32</v>
      </c>
      <c r="AC271" s="2174" t="s">
        <v>32</v>
      </c>
      <c r="AD271" s="2174" t="s">
        <v>32</v>
      </c>
      <c r="AE271" s="2174"/>
      <c r="AF271" s="2174"/>
      <c r="AG271" s="2174" t="s">
        <v>32</v>
      </c>
      <c r="AH271" s="178"/>
      <c r="AI271" s="179"/>
    </row>
    <row r="272" spans="1:35" ht="21" customHeight="1" x14ac:dyDescent="0.2">
      <c r="A272" s="591"/>
      <c r="B272" s="1011"/>
      <c r="C272" s="2174"/>
      <c r="D272" s="2174"/>
      <c r="E272" s="2174" t="s">
        <v>32</v>
      </c>
      <c r="F272" s="2174" t="s">
        <v>32</v>
      </c>
      <c r="G272" s="2174" t="s">
        <v>32</v>
      </c>
      <c r="H272" s="2174" t="s">
        <v>32</v>
      </c>
      <c r="I272" s="2174" t="s">
        <v>32</v>
      </c>
      <c r="J272" s="2174"/>
      <c r="K272" s="2174"/>
      <c r="L272" s="2174" t="s">
        <v>32</v>
      </c>
      <c r="M272" s="2174" t="s">
        <v>32</v>
      </c>
      <c r="N272" s="2222" t="s">
        <v>32</v>
      </c>
      <c r="O272" s="2222" t="s">
        <v>32</v>
      </c>
      <c r="P272" s="2222" t="s">
        <v>32</v>
      </c>
      <c r="Q272" s="2177"/>
      <c r="R272" s="2222"/>
      <c r="S272" s="2174" t="s">
        <v>32</v>
      </c>
      <c r="T272" s="2174" t="s">
        <v>32</v>
      </c>
      <c r="U272" s="2222" t="s">
        <v>32</v>
      </c>
      <c r="V272" s="2222" t="s">
        <v>32</v>
      </c>
      <c r="W272" s="2222" t="s">
        <v>32</v>
      </c>
      <c r="X272" s="2174"/>
      <c r="Y272" s="2222"/>
      <c r="Z272" s="2222" t="s">
        <v>32</v>
      </c>
      <c r="AA272" s="2174" t="s">
        <v>32</v>
      </c>
      <c r="AB272" s="2174" t="s">
        <v>32</v>
      </c>
      <c r="AC272" s="2174" t="s">
        <v>32</v>
      </c>
      <c r="AD272" s="2174" t="s">
        <v>32</v>
      </c>
      <c r="AE272" s="2174"/>
      <c r="AF272" s="2174"/>
      <c r="AG272" s="2174" t="s">
        <v>32</v>
      </c>
      <c r="AH272" s="178"/>
      <c r="AI272" s="179"/>
    </row>
    <row r="273" spans="1:36" ht="21" customHeight="1" thickBot="1" x14ac:dyDescent="0.25">
      <c r="A273" s="1173"/>
      <c r="B273" s="1174"/>
      <c r="C273" s="2168"/>
      <c r="D273" s="2168"/>
      <c r="E273" s="2168"/>
      <c r="F273" s="2168"/>
      <c r="G273" s="2168"/>
      <c r="H273" s="2168"/>
      <c r="I273" s="2168"/>
      <c r="J273" s="2168"/>
      <c r="K273" s="2168"/>
      <c r="L273" s="2168"/>
      <c r="M273" s="2168"/>
      <c r="N273" s="2168"/>
      <c r="O273" s="2168"/>
      <c r="P273" s="2168"/>
      <c r="Q273" s="2168"/>
      <c r="R273" s="2168"/>
      <c r="S273" s="2168"/>
      <c r="T273" s="2168"/>
      <c r="U273" s="2168"/>
      <c r="V273" s="2168"/>
      <c r="W273" s="2168"/>
      <c r="X273" s="2168"/>
      <c r="Y273" s="2168"/>
      <c r="Z273" s="2168"/>
      <c r="AA273" s="2168"/>
      <c r="AB273" s="2168"/>
      <c r="AC273" s="2168"/>
      <c r="AD273" s="2168"/>
      <c r="AE273" s="2168"/>
      <c r="AF273" s="2168"/>
      <c r="AG273" s="2169"/>
      <c r="AH273" s="178"/>
      <c r="AI273" s="179"/>
    </row>
    <row r="274" spans="1:36" ht="21" customHeight="1" x14ac:dyDescent="0.2">
      <c r="A274" s="214"/>
      <c r="B274" s="667" t="s">
        <v>324</v>
      </c>
      <c r="C274" s="668"/>
      <c r="D274" s="668"/>
      <c r="E274" s="668"/>
      <c r="F274" s="668"/>
      <c r="G274" s="668"/>
      <c r="H274" s="668"/>
      <c r="I274" s="668"/>
      <c r="J274" s="668"/>
      <c r="K274" s="668"/>
      <c r="L274" s="668"/>
      <c r="M274" s="668"/>
      <c r="N274" s="668"/>
      <c r="O274" s="668"/>
      <c r="P274" s="668"/>
      <c r="Q274" s="668"/>
      <c r="R274" s="668"/>
      <c r="S274" s="668"/>
      <c r="T274" s="668"/>
      <c r="U274" s="668"/>
      <c r="V274" s="668"/>
      <c r="W274" s="668"/>
      <c r="X274" s="668"/>
      <c r="Y274" s="668"/>
      <c r="Z274" s="668"/>
      <c r="AA274" s="668"/>
      <c r="AB274" s="668"/>
      <c r="AC274" s="668"/>
      <c r="AD274" s="668"/>
      <c r="AE274" s="668"/>
      <c r="AF274" s="668"/>
      <c r="AG274" s="669"/>
      <c r="AH274" s="176"/>
      <c r="AI274" s="177"/>
    </row>
    <row r="275" spans="1:36" ht="21" customHeight="1" x14ac:dyDescent="0.2">
      <c r="A275" s="750">
        <v>3702</v>
      </c>
      <c r="B275" s="1175" t="s">
        <v>325</v>
      </c>
      <c r="C275" s="868"/>
      <c r="D275" s="868"/>
      <c r="E275" s="820" t="s">
        <v>326</v>
      </c>
      <c r="F275" s="820" t="s">
        <v>326</v>
      </c>
      <c r="G275" s="820" t="s">
        <v>326</v>
      </c>
      <c r="H275" s="820" t="s">
        <v>326</v>
      </c>
      <c r="I275" s="820" t="s">
        <v>326</v>
      </c>
      <c r="J275" s="820"/>
      <c r="K275" s="820"/>
      <c r="L275" s="820" t="s">
        <v>326</v>
      </c>
      <c r="M275" s="820" t="s">
        <v>326</v>
      </c>
      <c r="N275" s="820" t="s">
        <v>326</v>
      </c>
      <c r="O275" s="820" t="s">
        <v>326</v>
      </c>
      <c r="P275" s="820" t="s">
        <v>326</v>
      </c>
      <c r="Q275" s="820"/>
      <c r="R275" s="820"/>
      <c r="S275" s="820" t="s">
        <v>326</v>
      </c>
      <c r="T275" s="820" t="s">
        <v>326</v>
      </c>
      <c r="U275" s="820" t="s">
        <v>326</v>
      </c>
      <c r="V275" s="820" t="s">
        <v>326</v>
      </c>
      <c r="W275" s="820" t="s">
        <v>326</v>
      </c>
      <c r="X275" s="820"/>
      <c r="Y275" s="820"/>
      <c r="Z275" s="820" t="s">
        <v>326</v>
      </c>
      <c r="AA275" s="820" t="s">
        <v>326</v>
      </c>
      <c r="AB275" s="820" t="s">
        <v>326</v>
      </c>
      <c r="AC275" s="820" t="s">
        <v>326</v>
      </c>
      <c r="AD275" s="820" t="s">
        <v>326</v>
      </c>
      <c r="AE275" s="820"/>
      <c r="AF275" s="820"/>
      <c r="AG275" s="820" t="s">
        <v>326</v>
      </c>
      <c r="AH275" s="178"/>
      <c r="AI275" s="179"/>
    </row>
    <row r="276" spans="1:36" ht="21" customHeight="1" x14ac:dyDescent="0.2">
      <c r="A276" s="750"/>
      <c r="B276" s="2248" t="s">
        <v>327</v>
      </c>
      <c r="C276" s="868"/>
      <c r="D276" s="868"/>
      <c r="E276" s="868" t="s">
        <v>328</v>
      </c>
      <c r="F276" s="868" t="s">
        <v>328</v>
      </c>
      <c r="G276" s="868" t="s">
        <v>328</v>
      </c>
      <c r="H276" s="868" t="s">
        <v>328</v>
      </c>
      <c r="I276" s="868" t="s">
        <v>328</v>
      </c>
      <c r="J276" s="868"/>
      <c r="K276" s="868"/>
      <c r="L276" s="868" t="s">
        <v>328</v>
      </c>
      <c r="M276" s="868" t="s">
        <v>328</v>
      </c>
      <c r="N276" s="868" t="s">
        <v>328</v>
      </c>
      <c r="O276" s="868" t="s">
        <v>328</v>
      </c>
      <c r="P276" s="868" t="s">
        <v>328</v>
      </c>
      <c r="Q276" s="868"/>
      <c r="R276" s="868"/>
      <c r="S276" s="868" t="s">
        <v>328</v>
      </c>
      <c r="T276" s="868" t="s">
        <v>328</v>
      </c>
      <c r="U276" s="928" t="s">
        <v>328</v>
      </c>
      <c r="V276" s="868" t="s">
        <v>328</v>
      </c>
      <c r="W276" s="868" t="s">
        <v>328</v>
      </c>
      <c r="X276" s="868"/>
      <c r="Y276" s="2201"/>
      <c r="Z276" s="868" t="s">
        <v>328</v>
      </c>
      <c r="AA276" s="868" t="s">
        <v>328</v>
      </c>
      <c r="AB276" s="868" t="s">
        <v>328</v>
      </c>
      <c r="AC276" s="2201" t="s">
        <v>328</v>
      </c>
      <c r="AD276" s="2201" t="s">
        <v>328</v>
      </c>
      <c r="AE276" s="2201"/>
      <c r="AF276" s="2187"/>
      <c r="AG276" s="2187" t="s">
        <v>328</v>
      </c>
      <c r="AH276" s="178"/>
      <c r="AI276" s="179"/>
    </row>
    <row r="277" spans="1:36" ht="21" customHeight="1" thickBot="1" x14ac:dyDescent="0.25">
      <c r="A277" s="592"/>
      <c r="B277" s="729" t="s">
        <v>329</v>
      </c>
      <c r="C277" s="908"/>
      <c r="D277" s="908"/>
      <c r="E277" s="908" t="s">
        <v>330</v>
      </c>
      <c r="F277" s="908" t="s">
        <v>330</v>
      </c>
      <c r="G277" s="908" t="s">
        <v>330</v>
      </c>
      <c r="H277" s="2223" t="s">
        <v>330</v>
      </c>
      <c r="I277" s="2223" t="s">
        <v>330</v>
      </c>
      <c r="J277" s="2223"/>
      <c r="K277" s="2223"/>
      <c r="L277" s="2223" t="s">
        <v>330</v>
      </c>
      <c r="M277" s="908" t="s">
        <v>330</v>
      </c>
      <c r="N277" s="908" t="s">
        <v>330</v>
      </c>
      <c r="O277" s="2223" t="s">
        <v>330</v>
      </c>
      <c r="P277" s="908" t="s">
        <v>330</v>
      </c>
      <c r="Q277" s="908"/>
      <c r="R277" s="908"/>
      <c r="S277" s="908" t="s">
        <v>330</v>
      </c>
      <c r="T277" s="908" t="s">
        <v>330</v>
      </c>
      <c r="U277" s="908" t="s">
        <v>330</v>
      </c>
      <c r="V277" s="937" t="s">
        <v>330</v>
      </c>
      <c r="W277" s="908" t="s">
        <v>330</v>
      </c>
      <c r="X277" s="908"/>
      <c r="Y277" s="908"/>
      <c r="Z277" s="908" t="s">
        <v>330</v>
      </c>
      <c r="AA277" s="908" t="s">
        <v>330</v>
      </c>
      <c r="AB277" s="908" t="s">
        <v>330</v>
      </c>
      <c r="AC277" s="908" t="s">
        <v>330</v>
      </c>
      <c r="AD277" s="930" t="s">
        <v>330</v>
      </c>
      <c r="AE277" s="930"/>
      <c r="AF277" s="930"/>
      <c r="AG277" s="930" t="s">
        <v>330</v>
      </c>
      <c r="AH277" s="178"/>
      <c r="AI277" s="179"/>
    </row>
    <row r="278" spans="1:36" ht="21" customHeight="1" x14ac:dyDescent="0.2"/>
    <row r="279" spans="1:36" ht="24" customHeight="1" x14ac:dyDescent="0.2"/>
    <row r="280" spans="1:36" ht="25.5" customHeight="1" thickBot="1" x14ac:dyDescent="0.25">
      <c r="A280" s="158" t="s">
        <v>331</v>
      </c>
    </row>
    <row r="281" spans="1:36" ht="21" customHeight="1" x14ac:dyDescent="0.2">
      <c r="A281" s="1"/>
      <c r="B281" s="2404" t="s">
        <v>281</v>
      </c>
      <c r="C281" s="2313"/>
      <c r="D281" s="2342" t="s">
        <v>107</v>
      </c>
      <c r="E281" s="2240"/>
      <c r="F281" s="2309"/>
      <c r="G281" s="2313"/>
      <c r="H281" s="2342" t="s">
        <v>108</v>
      </c>
      <c r="I281" s="2240"/>
      <c r="J281" s="2309"/>
      <c r="K281" s="2313"/>
      <c r="L281" s="2342" t="s">
        <v>109</v>
      </c>
      <c r="M281" s="2240"/>
      <c r="N281" s="2309"/>
      <c r="O281" s="2313"/>
      <c r="P281" s="2342" t="s">
        <v>110</v>
      </c>
      <c r="Q281" s="2240"/>
      <c r="R281" s="2309"/>
      <c r="S281" s="2313"/>
      <c r="T281" s="2342" t="s">
        <v>111</v>
      </c>
      <c r="U281" s="2240"/>
      <c r="V281" s="2309"/>
      <c r="W281" s="2313"/>
      <c r="X281" s="2342" t="s">
        <v>112</v>
      </c>
      <c r="Y281" s="2240"/>
      <c r="Z281" s="2309"/>
      <c r="AA281" s="2313"/>
      <c r="AB281" s="2342" t="s">
        <v>113</v>
      </c>
      <c r="AC281" s="2240"/>
      <c r="AD281" s="2240"/>
      <c r="AE281" s="2345" t="s">
        <v>114</v>
      </c>
      <c r="AF281" s="2240"/>
      <c r="AG281" s="2240"/>
      <c r="AH281" s="2240"/>
      <c r="AI281" s="2241"/>
    </row>
    <row r="282" spans="1:36" ht="21" customHeight="1" x14ac:dyDescent="0.2">
      <c r="A282" s="1"/>
      <c r="B282" s="3"/>
      <c r="C282" s="8"/>
      <c r="D282" s="116"/>
      <c r="E282" s="14"/>
      <c r="F282" s="115"/>
      <c r="G282" s="8"/>
      <c r="H282" s="116"/>
      <c r="I282" s="14"/>
      <c r="J282" s="115"/>
      <c r="K282" s="8"/>
      <c r="L282" s="116"/>
      <c r="M282" s="14"/>
      <c r="N282" s="115"/>
      <c r="O282" s="8"/>
      <c r="P282" s="116"/>
      <c r="Q282" s="14"/>
      <c r="R282" s="115"/>
      <c r="S282" s="8"/>
      <c r="T282" s="116"/>
      <c r="U282" s="14"/>
      <c r="V282" s="115"/>
      <c r="W282" s="8"/>
      <c r="X282" s="116"/>
      <c r="Y282" s="14"/>
      <c r="Z282" s="115"/>
      <c r="AA282" s="8"/>
      <c r="AB282" s="116"/>
      <c r="AC282" s="14"/>
      <c r="AD282" s="14"/>
      <c r="AE282" s="117"/>
      <c r="AF282" s="14"/>
      <c r="AG282" s="14"/>
      <c r="AH282" s="14"/>
      <c r="AI282" s="118"/>
    </row>
    <row r="283" spans="1:36" ht="21" customHeight="1" x14ac:dyDescent="0.2">
      <c r="A283" s="110"/>
      <c r="B283" s="727"/>
      <c r="C283" s="640"/>
      <c r="D283" s="2149"/>
      <c r="E283" s="2149"/>
      <c r="F283" s="2349"/>
      <c r="G283" s="640"/>
      <c r="H283" s="2149"/>
      <c r="I283" s="2149"/>
      <c r="J283" s="2349"/>
      <c r="K283" s="640"/>
      <c r="L283" s="2149"/>
      <c r="M283" s="2149"/>
      <c r="N283" s="2349"/>
      <c r="O283" s="640"/>
      <c r="P283" s="2149"/>
      <c r="Q283" s="2149"/>
      <c r="R283" s="2349"/>
      <c r="S283" s="640"/>
      <c r="T283" s="2149"/>
      <c r="U283" s="2149"/>
      <c r="V283" s="2349"/>
      <c r="W283" s="640"/>
      <c r="X283" s="2149"/>
      <c r="Y283" s="2149"/>
      <c r="Z283" s="2349"/>
      <c r="AA283" s="2347"/>
      <c r="AB283" s="2149"/>
      <c r="AC283" s="2149"/>
      <c r="AD283" s="641"/>
      <c r="AE283" s="593"/>
      <c r="AF283" s="2149"/>
      <c r="AG283" s="2149"/>
      <c r="AH283" s="641"/>
      <c r="AI283" s="2158"/>
    </row>
    <row r="284" spans="1:36" ht="21" customHeight="1" thickBot="1" x14ac:dyDescent="0.25">
      <c r="A284" s="1"/>
      <c r="B284" s="1056"/>
      <c r="C284" s="1057"/>
      <c r="D284" s="734"/>
      <c r="E284" s="734"/>
      <c r="F284" s="706"/>
      <c r="G284" s="1057"/>
      <c r="H284" s="734"/>
      <c r="I284" s="734"/>
      <c r="J284" s="706"/>
      <c r="K284" s="1057"/>
      <c r="L284" s="734"/>
      <c r="M284" s="734"/>
      <c r="N284" s="706"/>
      <c r="O284" s="1057"/>
      <c r="P284" s="734"/>
      <c r="Q284" s="734"/>
      <c r="R284" s="706"/>
      <c r="S284" s="1057"/>
      <c r="T284" s="734"/>
      <c r="U284" s="734"/>
      <c r="V284" s="706"/>
      <c r="W284" s="704"/>
      <c r="X284" s="734"/>
      <c r="Y284" s="734"/>
      <c r="Z284" s="706"/>
      <c r="AA284" s="704"/>
      <c r="AB284" s="734"/>
      <c r="AC284" s="734"/>
      <c r="AD284" s="1063"/>
      <c r="AE284" s="704"/>
      <c r="AF284" s="734"/>
      <c r="AG284" s="734"/>
      <c r="AH284" s="1063"/>
      <c r="AI284" s="894"/>
    </row>
    <row r="285" spans="1:36" ht="21" customHeight="1" x14ac:dyDescent="0.2">
      <c r="A285" s="1"/>
      <c r="B285" s="18"/>
      <c r="C285" s="64"/>
      <c r="F285" s="69"/>
      <c r="G285" s="64"/>
      <c r="J285" s="69"/>
      <c r="K285" s="64"/>
      <c r="N285" s="69"/>
      <c r="O285" s="64"/>
      <c r="R285" s="69"/>
      <c r="S285" s="64"/>
      <c r="V285" s="69"/>
      <c r="W285" s="69"/>
      <c r="Z285" s="69"/>
      <c r="AA285" s="69"/>
      <c r="AD285" s="69"/>
      <c r="AE285" s="69"/>
      <c r="AH285" s="69"/>
    </row>
    <row r="286" spans="1:36" ht="33" customHeight="1" x14ac:dyDescent="0.2">
      <c r="A286" s="158" t="s">
        <v>332</v>
      </c>
      <c r="B286" s="18"/>
      <c r="C286" s="64"/>
      <c r="F286" s="69"/>
      <c r="G286" s="64"/>
      <c r="J286" s="69"/>
      <c r="K286" s="64"/>
      <c r="N286" s="69"/>
      <c r="O286" s="64"/>
      <c r="R286" s="69"/>
      <c r="S286" s="64"/>
      <c r="V286" s="69"/>
      <c r="W286" s="69"/>
      <c r="Z286" s="69"/>
      <c r="AA286" s="69"/>
      <c r="AD286" s="69"/>
      <c r="AE286" s="69"/>
      <c r="AH286" s="294"/>
      <c r="AI286" s="190"/>
      <c r="AJ286" s="190"/>
    </row>
    <row r="287" spans="1:36" ht="21" customHeight="1" thickBot="1" x14ac:dyDescent="0.25">
      <c r="A287" s="594" t="s">
        <v>28</v>
      </c>
      <c r="B287" s="595" t="s">
        <v>29</v>
      </c>
      <c r="C287" s="2167">
        <v>1</v>
      </c>
      <c r="D287" s="2167">
        <v>2</v>
      </c>
      <c r="E287" s="2168">
        <v>3</v>
      </c>
      <c r="F287" s="2168">
        <v>4</v>
      </c>
      <c r="G287" s="2168">
        <v>5</v>
      </c>
      <c r="H287" s="2168">
        <v>6</v>
      </c>
      <c r="I287" s="2168">
        <v>7</v>
      </c>
      <c r="J287" s="2167">
        <v>8</v>
      </c>
      <c r="K287" s="2167">
        <v>9</v>
      </c>
      <c r="L287" s="2168">
        <v>10</v>
      </c>
      <c r="M287" s="2168">
        <v>11</v>
      </c>
      <c r="N287" s="2168">
        <v>12</v>
      </c>
      <c r="O287" s="2168">
        <v>13</v>
      </c>
      <c r="P287" s="2168">
        <v>14</v>
      </c>
      <c r="Q287" s="2167">
        <v>15</v>
      </c>
      <c r="R287" s="2167">
        <v>16</v>
      </c>
      <c r="S287" s="2168">
        <v>17</v>
      </c>
      <c r="T287" s="2168">
        <v>18</v>
      </c>
      <c r="U287" s="2168">
        <v>19</v>
      </c>
      <c r="V287" s="2168">
        <v>20</v>
      </c>
      <c r="W287" s="2168">
        <v>21</v>
      </c>
      <c r="X287" s="2167">
        <v>22</v>
      </c>
      <c r="Y287" s="2167">
        <v>23</v>
      </c>
      <c r="Z287" s="2168">
        <v>24</v>
      </c>
      <c r="AA287" s="2168">
        <v>25</v>
      </c>
      <c r="AB287" s="2168">
        <v>26</v>
      </c>
      <c r="AC287" s="2168">
        <v>27</v>
      </c>
      <c r="AD287" s="2168">
        <v>28</v>
      </c>
      <c r="AE287" s="2167">
        <v>29</v>
      </c>
      <c r="AF287" s="2167">
        <v>30</v>
      </c>
      <c r="AG287" s="2169">
        <v>31</v>
      </c>
      <c r="AH287" s="295"/>
      <c r="AI287" s="296"/>
      <c r="AJ287" s="190"/>
    </row>
    <row r="288" spans="1:36" ht="21" customHeight="1" x14ac:dyDescent="0.2">
      <c r="A288" s="88"/>
      <c r="B288" s="2108" t="s">
        <v>333</v>
      </c>
      <c r="C288" s="2174"/>
      <c r="D288" s="2174"/>
      <c r="E288" s="2174" t="s">
        <v>32</v>
      </c>
      <c r="F288" s="2174" t="s">
        <v>32</v>
      </c>
      <c r="G288" s="2174" t="s">
        <v>32</v>
      </c>
      <c r="H288" s="2174" t="s">
        <v>32</v>
      </c>
      <c r="I288" s="2174" t="s">
        <v>32</v>
      </c>
      <c r="J288" s="2174"/>
      <c r="K288" s="2174"/>
      <c r="L288" s="2174" t="s">
        <v>32</v>
      </c>
      <c r="M288" s="2174" t="s">
        <v>32</v>
      </c>
      <c r="N288" s="2222" t="s">
        <v>32</v>
      </c>
      <c r="O288" s="2222" t="s">
        <v>32</v>
      </c>
      <c r="P288" s="2222" t="s">
        <v>32</v>
      </c>
      <c r="Q288" s="2177"/>
      <c r="R288" s="2222"/>
      <c r="S288" s="2174" t="s">
        <v>32</v>
      </c>
      <c r="T288" s="2174" t="s">
        <v>32</v>
      </c>
      <c r="U288" s="2222" t="s">
        <v>32</v>
      </c>
      <c r="V288" s="2222" t="s">
        <v>32</v>
      </c>
      <c r="W288" s="2222" t="s">
        <v>32</v>
      </c>
      <c r="X288" s="2174"/>
      <c r="Y288" s="2222"/>
      <c r="Z288" s="2222" t="s">
        <v>32</v>
      </c>
      <c r="AA288" s="2174" t="s">
        <v>32</v>
      </c>
      <c r="AB288" s="2174" t="s">
        <v>32</v>
      </c>
      <c r="AC288" s="2220" t="s">
        <v>51</v>
      </c>
      <c r="AD288" s="2077" t="s">
        <v>32</v>
      </c>
      <c r="AE288" s="2077"/>
      <c r="AF288" s="2077"/>
      <c r="AG288" s="2406" t="s">
        <v>32</v>
      </c>
      <c r="AH288" s="297"/>
      <c r="AI288" s="298"/>
      <c r="AJ288" s="190"/>
    </row>
    <row r="289" spans="1:36" ht="21" customHeight="1" x14ac:dyDescent="0.2">
      <c r="A289" s="1178"/>
      <c r="B289" s="403" t="s">
        <v>334</v>
      </c>
      <c r="C289" s="2174"/>
      <c r="D289" s="2174"/>
      <c r="E289" s="2174" t="s">
        <v>32</v>
      </c>
      <c r="F289" s="2174" t="s">
        <v>32</v>
      </c>
      <c r="G289" s="2174" t="s">
        <v>32</v>
      </c>
      <c r="H289" s="2174" t="s">
        <v>32</v>
      </c>
      <c r="I289" s="2174" t="s">
        <v>32</v>
      </c>
      <c r="J289" s="2174"/>
      <c r="K289" s="2174"/>
      <c r="L289" s="2174" t="s">
        <v>32</v>
      </c>
      <c r="M289" s="2174" t="s">
        <v>32</v>
      </c>
      <c r="N289" s="2222" t="s">
        <v>32</v>
      </c>
      <c r="O289" s="2222" t="s">
        <v>32</v>
      </c>
      <c r="P289" s="2222" t="s">
        <v>32</v>
      </c>
      <c r="Q289" s="2177"/>
      <c r="R289" s="2222"/>
      <c r="S289" s="2174" t="s">
        <v>32</v>
      </c>
      <c r="T289" s="2174" t="s">
        <v>32</v>
      </c>
      <c r="U289" s="2222" t="s">
        <v>32</v>
      </c>
      <c r="V289" s="2222" t="s">
        <v>32</v>
      </c>
      <c r="W289" s="2222" t="s">
        <v>32</v>
      </c>
      <c r="X289" s="2174"/>
      <c r="Y289" s="2222"/>
      <c r="Z289" s="2174" t="s">
        <v>32</v>
      </c>
      <c r="AA289" s="2174" t="s">
        <v>32</v>
      </c>
      <c r="AB289" s="2174" t="s">
        <v>32</v>
      </c>
      <c r="AC289" s="2174" t="s">
        <v>32</v>
      </c>
      <c r="AD289" s="2222" t="s">
        <v>32</v>
      </c>
      <c r="AE289" s="2222"/>
      <c r="AF289" s="2222"/>
      <c r="AG289" s="730" t="s">
        <v>32</v>
      </c>
      <c r="AH289" s="297"/>
      <c r="AI289" s="298"/>
      <c r="AJ289" s="190"/>
    </row>
    <row r="290" spans="1:36" ht="21" customHeight="1" x14ac:dyDescent="0.2">
      <c r="A290" s="632"/>
      <c r="B290" s="403" t="s">
        <v>335</v>
      </c>
      <c r="C290" s="2222"/>
      <c r="D290" s="2174"/>
      <c r="E290" s="2174" t="s">
        <v>32</v>
      </c>
      <c r="F290" s="2174" t="s">
        <v>32</v>
      </c>
      <c r="G290" s="2174" t="s">
        <v>32</v>
      </c>
      <c r="H290" s="2174" t="s">
        <v>32</v>
      </c>
      <c r="I290" s="2174" t="s">
        <v>32</v>
      </c>
      <c r="J290" s="2174"/>
      <c r="K290" s="2174"/>
      <c r="L290" s="2220" t="s">
        <v>51</v>
      </c>
      <c r="M290" s="2077" t="s">
        <v>32</v>
      </c>
      <c r="N290" s="2077" t="s">
        <v>32</v>
      </c>
      <c r="O290" s="2077" t="s">
        <v>32</v>
      </c>
      <c r="P290" s="2077" t="s">
        <v>32</v>
      </c>
      <c r="Q290" s="2177"/>
      <c r="R290" s="2222"/>
      <c r="S290" s="2174" t="s">
        <v>32</v>
      </c>
      <c r="T290" s="2174" t="s">
        <v>32</v>
      </c>
      <c r="U290" s="2222" t="s">
        <v>32</v>
      </c>
      <c r="V290" s="2076" t="s">
        <v>32</v>
      </c>
      <c r="W290" s="2076" t="s">
        <v>32</v>
      </c>
      <c r="X290" s="2174"/>
      <c r="Y290" s="2222"/>
      <c r="Z290" s="2174" t="s">
        <v>32</v>
      </c>
      <c r="AA290" s="2174" t="s">
        <v>32</v>
      </c>
      <c r="AB290" s="2174" t="s">
        <v>32</v>
      </c>
      <c r="AC290" s="2076" t="s">
        <v>32</v>
      </c>
      <c r="AD290" s="2174" t="s">
        <v>32</v>
      </c>
      <c r="AE290" s="2174"/>
      <c r="AF290" s="2174"/>
      <c r="AG290" s="730" t="s">
        <v>32</v>
      </c>
      <c r="AH290" s="297"/>
      <c r="AI290" s="298"/>
      <c r="AJ290" s="190"/>
    </row>
    <row r="291" spans="1:36" ht="21" customHeight="1" x14ac:dyDescent="0.2">
      <c r="A291" s="597"/>
      <c r="B291" s="403" t="s">
        <v>336</v>
      </c>
      <c r="C291" s="2174"/>
      <c r="D291" s="2174"/>
      <c r="E291" s="2174" t="s">
        <v>32</v>
      </c>
      <c r="F291" s="2174" t="s">
        <v>32</v>
      </c>
      <c r="G291" s="2174" t="s">
        <v>32</v>
      </c>
      <c r="H291" s="2174" t="s">
        <v>32</v>
      </c>
      <c r="I291" s="2174" t="s">
        <v>32</v>
      </c>
      <c r="J291" s="2174"/>
      <c r="K291" s="2174"/>
      <c r="L291" s="858" t="s">
        <v>32</v>
      </c>
      <c r="M291" s="2174" t="s">
        <v>32</v>
      </c>
      <c r="N291" s="2220" t="s">
        <v>32</v>
      </c>
      <c r="O291" s="2220" t="s">
        <v>32</v>
      </c>
      <c r="P291" s="2220" t="s">
        <v>32</v>
      </c>
      <c r="Q291" s="2220"/>
      <c r="R291" s="2220"/>
      <c r="S291" s="2220" t="s">
        <v>32</v>
      </c>
      <c r="T291" s="2220" t="s">
        <v>32</v>
      </c>
      <c r="U291" s="2220" t="s">
        <v>32</v>
      </c>
      <c r="V291" s="2220" t="s">
        <v>32</v>
      </c>
      <c r="W291" s="2220" t="s">
        <v>51</v>
      </c>
      <c r="X291" s="2174"/>
      <c r="Y291" s="2222"/>
      <c r="Z291" s="2174" t="s">
        <v>32</v>
      </c>
      <c r="AA291" s="2174" t="s">
        <v>32</v>
      </c>
      <c r="AB291" s="2174" t="s">
        <v>32</v>
      </c>
      <c r="AC291" s="2174" t="s">
        <v>32</v>
      </c>
      <c r="AD291" s="2222" t="s">
        <v>32</v>
      </c>
      <c r="AE291" s="2222"/>
      <c r="AF291" s="2222"/>
      <c r="AG291" s="730" t="s">
        <v>32</v>
      </c>
      <c r="AH291" s="297"/>
      <c r="AI291" s="298"/>
      <c r="AJ291" s="190"/>
    </row>
    <row r="292" spans="1:36" ht="21" customHeight="1" x14ac:dyDescent="0.2">
      <c r="A292" s="597"/>
      <c r="B292" s="403" t="s">
        <v>337</v>
      </c>
      <c r="C292" s="2174"/>
      <c r="D292" s="2174"/>
      <c r="E292" s="2174" t="s">
        <v>32</v>
      </c>
      <c r="F292" s="2174" t="s">
        <v>32</v>
      </c>
      <c r="G292" s="2174" t="s">
        <v>32</v>
      </c>
      <c r="H292" s="1158" t="s">
        <v>32</v>
      </c>
      <c r="I292" s="2076" t="s">
        <v>32</v>
      </c>
      <c r="J292" s="2174"/>
      <c r="K292" s="2174"/>
      <c r="L292" s="2174" t="s">
        <v>32</v>
      </c>
      <c r="M292" s="2174" t="s">
        <v>32</v>
      </c>
      <c r="N292" s="2222" t="s">
        <v>32</v>
      </c>
      <c r="O292" s="2222" t="s">
        <v>32</v>
      </c>
      <c r="P292" s="2076" t="s">
        <v>32</v>
      </c>
      <c r="Q292" s="2177"/>
      <c r="R292" s="2222"/>
      <c r="S292" s="672" t="s">
        <v>32</v>
      </c>
      <c r="T292" s="2076" t="s">
        <v>32</v>
      </c>
      <c r="U292" s="2076" t="s">
        <v>32</v>
      </c>
      <c r="V292" s="2076" t="s">
        <v>32</v>
      </c>
      <c r="W292" s="2222" t="s">
        <v>32</v>
      </c>
      <c r="X292" s="2174"/>
      <c r="Y292" s="2222"/>
      <c r="Z292" s="2222" t="s">
        <v>32</v>
      </c>
      <c r="AA292" s="2222" t="s">
        <v>32</v>
      </c>
      <c r="AB292" s="2222" t="s">
        <v>32</v>
      </c>
      <c r="AC292" s="2222" t="s">
        <v>32</v>
      </c>
      <c r="AD292" s="2222" t="s">
        <v>32</v>
      </c>
      <c r="AE292" s="2222"/>
      <c r="AF292" s="2222"/>
      <c r="AG292" s="1070" t="s">
        <v>32</v>
      </c>
      <c r="AH292" s="297"/>
      <c r="AI292" s="298"/>
      <c r="AJ292" s="190"/>
    </row>
    <row r="293" spans="1:36" ht="21" customHeight="1" x14ac:dyDescent="0.2">
      <c r="A293" s="597"/>
      <c r="B293" s="403" t="s">
        <v>338</v>
      </c>
      <c r="C293" s="2174"/>
      <c r="D293" s="2174"/>
      <c r="E293" s="2174" t="s">
        <v>32</v>
      </c>
      <c r="F293" s="2174" t="s">
        <v>32</v>
      </c>
      <c r="G293" s="2174" t="s">
        <v>32</v>
      </c>
      <c r="H293" s="2174" t="s">
        <v>32</v>
      </c>
      <c r="I293" s="2174" t="s">
        <v>32</v>
      </c>
      <c r="J293" s="2174"/>
      <c r="K293" s="2174"/>
      <c r="L293" s="2174" t="s">
        <v>32</v>
      </c>
      <c r="M293" s="2174" t="s">
        <v>32</v>
      </c>
      <c r="N293" s="2222" t="s">
        <v>32</v>
      </c>
      <c r="O293" s="2222" t="s">
        <v>32</v>
      </c>
      <c r="P293" s="2222" t="s">
        <v>32</v>
      </c>
      <c r="Q293" s="2177"/>
      <c r="R293" s="2222"/>
      <c r="S293" s="2174" t="s">
        <v>32</v>
      </c>
      <c r="T293" s="2174" t="s">
        <v>32</v>
      </c>
      <c r="U293" s="2222" t="s">
        <v>32</v>
      </c>
      <c r="V293" s="672" t="s">
        <v>32</v>
      </c>
      <c r="W293" s="672" t="s">
        <v>32</v>
      </c>
      <c r="X293" s="2174"/>
      <c r="Y293" s="2222"/>
      <c r="Z293" s="2220" t="s">
        <v>51</v>
      </c>
      <c r="AA293" s="2077" t="s">
        <v>32</v>
      </c>
      <c r="AB293" s="2077" t="s">
        <v>32</v>
      </c>
      <c r="AC293" s="2077" t="s">
        <v>32</v>
      </c>
      <c r="AD293" s="2077" t="s">
        <v>32</v>
      </c>
      <c r="AE293" s="2222"/>
      <c r="AF293" s="2222"/>
      <c r="AG293" s="917" t="s">
        <v>32</v>
      </c>
      <c r="AH293" s="297"/>
      <c r="AI293" s="298"/>
      <c r="AJ293" s="190"/>
    </row>
    <row r="294" spans="1:36" ht="21" customHeight="1" x14ac:dyDescent="0.2">
      <c r="A294" s="597"/>
      <c r="B294" s="403" t="s">
        <v>339</v>
      </c>
      <c r="C294" s="2174"/>
      <c r="D294" s="2174"/>
      <c r="E294" s="2174" t="s">
        <v>32</v>
      </c>
      <c r="F294" s="2174" t="s">
        <v>32</v>
      </c>
      <c r="G294" s="2174" t="s">
        <v>32</v>
      </c>
      <c r="H294" s="2174" t="s">
        <v>32</v>
      </c>
      <c r="I294" s="2174" t="s">
        <v>32</v>
      </c>
      <c r="J294" s="2174"/>
      <c r="K294" s="2174"/>
      <c r="L294" s="2226" t="s">
        <v>32</v>
      </c>
      <c r="M294" s="2174" t="s">
        <v>32</v>
      </c>
      <c r="N294" s="2222" t="s">
        <v>32</v>
      </c>
      <c r="O294" s="2222" t="s">
        <v>32</v>
      </c>
      <c r="P294" s="2222" t="s">
        <v>32</v>
      </c>
      <c r="Q294" s="2177"/>
      <c r="R294" s="2222"/>
      <c r="S294" s="2174" t="s">
        <v>32</v>
      </c>
      <c r="T294" s="2174" t="s">
        <v>32</v>
      </c>
      <c r="U294" s="2222" t="s">
        <v>32</v>
      </c>
      <c r="V294" s="2222" t="s">
        <v>32</v>
      </c>
      <c r="W294" s="2222" t="s">
        <v>32</v>
      </c>
      <c r="X294" s="2222"/>
      <c r="Y294" s="2222"/>
      <c r="Z294" s="2076" t="s">
        <v>32</v>
      </c>
      <c r="AA294" s="2076" t="s">
        <v>32</v>
      </c>
      <c r="AB294" s="2076" t="s">
        <v>32</v>
      </c>
      <c r="AC294" s="2174" t="s">
        <v>32</v>
      </c>
      <c r="AD294" s="2222" t="s">
        <v>32</v>
      </c>
      <c r="AE294" s="2222"/>
      <c r="AF294" s="2222"/>
      <c r="AG294" s="917" t="s">
        <v>32</v>
      </c>
      <c r="AH294" s="297"/>
      <c r="AI294" s="298"/>
      <c r="AJ294" s="190"/>
    </row>
    <row r="295" spans="1:36" ht="21" customHeight="1" x14ac:dyDescent="0.2">
      <c r="A295" s="597"/>
      <c r="B295" s="403"/>
      <c r="C295" s="2174"/>
      <c r="D295" s="2174"/>
      <c r="E295" s="2174" t="s">
        <v>32</v>
      </c>
      <c r="F295" s="2174" t="s">
        <v>32</v>
      </c>
      <c r="G295" s="2174" t="s">
        <v>32</v>
      </c>
      <c r="H295" s="2174" t="s">
        <v>32</v>
      </c>
      <c r="I295" s="2174" t="s">
        <v>32</v>
      </c>
      <c r="J295" s="2174"/>
      <c r="K295" s="2174"/>
      <c r="L295" s="2174" t="s">
        <v>32</v>
      </c>
      <c r="M295" s="2174" t="s">
        <v>32</v>
      </c>
      <c r="N295" s="2222" t="s">
        <v>32</v>
      </c>
      <c r="O295" s="2222" t="s">
        <v>32</v>
      </c>
      <c r="P295" s="2222" t="s">
        <v>32</v>
      </c>
      <c r="Q295" s="2177"/>
      <c r="R295" s="2222"/>
      <c r="S295" s="2174" t="s">
        <v>32</v>
      </c>
      <c r="T295" s="2174" t="s">
        <v>32</v>
      </c>
      <c r="U295" s="2222" t="s">
        <v>32</v>
      </c>
      <c r="V295" s="2222" t="s">
        <v>32</v>
      </c>
      <c r="W295" s="2222" t="s">
        <v>32</v>
      </c>
      <c r="X295" s="2174"/>
      <c r="Y295" s="2222"/>
      <c r="Z295" s="2174" t="s">
        <v>32</v>
      </c>
      <c r="AA295" s="2174" t="s">
        <v>32</v>
      </c>
      <c r="AB295" s="2174" t="s">
        <v>32</v>
      </c>
      <c r="AC295" s="2174" t="s">
        <v>32</v>
      </c>
      <c r="AD295" s="2174" t="s">
        <v>32</v>
      </c>
      <c r="AE295" s="2174"/>
      <c r="AF295" s="2174"/>
      <c r="AG295" s="917" t="s">
        <v>32</v>
      </c>
      <c r="AH295" s="297"/>
      <c r="AI295" s="298"/>
      <c r="AJ295" s="190"/>
    </row>
    <row r="296" spans="1:36" ht="21" customHeight="1" x14ac:dyDescent="0.2">
      <c r="A296" s="597"/>
      <c r="B296" s="403" t="s">
        <v>340</v>
      </c>
      <c r="C296" s="2174"/>
      <c r="D296" s="2174"/>
      <c r="E296" s="2174" t="s">
        <v>32</v>
      </c>
      <c r="F296" s="2174" t="s">
        <v>32</v>
      </c>
      <c r="G296" s="2174" t="s">
        <v>32</v>
      </c>
      <c r="H296" s="2174" t="s">
        <v>32</v>
      </c>
      <c r="I296" s="2174" t="s">
        <v>32</v>
      </c>
      <c r="J296" s="2174"/>
      <c r="K296" s="2174"/>
      <c r="L296" s="2220" t="s">
        <v>32</v>
      </c>
      <c r="M296" s="2220" t="s">
        <v>32</v>
      </c>
      <c r="N296" s="2220" t="s">
        <v>51</v>
      </c>
      <c r="O296" s="2077" t="s">
        <v>32</v>
      </c>
      <c r="P296" s="2077" t="s">
        <v>32</v>
      </c>
      <c r="Q296" s="2177"/>
      <c r="R296" s="2222"/>
      <c r="S296" s="2174" t="s">
        <v>32</v>
      </c>
      <c r="T296" s="2174" t="s">
        <v>32</v>
      </c>
      <c r="U296" s="2222" t="s">
        <v>32</v>
      </c>
      <c r="V296" s="2222" t="s">
        <v>32</v>
      </c>
      <c r="W296" s="2222" t="s">
        <v>32</v>
      </c>
      <c r="X296" s="2174"/>
      <c r="Y296" s="2222"/>
      <c r="Z296" s="2174" t="s">
        <v>32</v>
      </c>
      <c r="AA296" s="2174" t="s">
        <v>32</v>
      </c>
      <c r="AB296" s="2174" t="s">
        <v>32</v>
      </c>
      <c r="AC296" s="2174" t="s">
        <v>32</v>
      </c>
      <c r="AD296" s="2076" t="s">
        <v>32</v>
      </c>
      <c r="AE296" s="2222"/>
      <c r="AF296" s="2222"/>
      <c r="AG296" s="917" t="s">
        <v>32</v>
      </c>
      <c r="AH296" s="297"/>
      <c r="AI296" s="298"/>
      <c r="AJ296" s="190"/>
    </row>
    <row r="297" spans="1:36" ht="21" customHeight="1" x14ac:dyDescent="0.2">
      <c r="A297" s="597"/>
      <c r="B297" s="403" t="s">
        <v>341</v>
      </c>
      <c r="C297" s="2174"/>
      <c r="D297" s="2174"/>
      <c r="E297" s="2174" t="s">
        <v>32</v>
      </c>
      <c r="F297" s="2174" t="s">
        <v>32</v>
      </c>
      <c r="G297" s="2174" t="s">
        <v>32</v>
      </c>
      <c r="H297" s="2222" t="s">
        <v>32</v>
      </c>
      <c r="I297" s="2222" t="s">
        <v>32</v>
      </c>
      <c r="J297" s="2222"/>
      <c r="K297" s="2222"/>
      <c r="L297" s="2174" t="s">
        <v>32</v>
      </c>
      <c r="M297" s="2174" t="s">
        <v>32</v>
      </c>
      <c r="N297" s="2222" t="s">
        <v>32</v>
      </c>
      <c r="O297" s="2222" t="s">
        <v>32</v>
      </c>
      <c r="P297" s="2222" t="s">
        <v>32</v>
      </c>
      <c r="Q297" s="2177"/>
      <c r="R297" s="2222"/>
      <c r="S297" s="2174" t="s">
        <v>32</v>
      </c>
      <c r="T297" s="2174" t="s">
        <v>32</v>
      </c>
      <c r="U297" s="2222" t="s">
        <v>32</v>
      </c>
      <c r="V297" s="2226" t="s">
        <v>32</v>
      </c>
      <c r="W297" s="2226" t="s">
        <v>32</v>
      </c>
      <c r="X297" s="2226"/>
      <c r="Y297" s="2222"/>
      <c r="Z297" s="2174" t="s">
        <v>32</v>
      </c>
      <c r="AA297" s="2174" t="s">
        <v>32</v>
      </c>
      <c r="AB297" s="2174" t="s">
        <v>32</v>
      </c>
      <c r="AC297" s="2174" t="s">
        <v>32</v>
      </c>
      <c r="AD297" s="2222" t="s">
        <v>32</v>
      </c>
      <c r="AE297" s="2222"/>
      <c r="AF297" s="2222"/>
      <c r="AG297" s="929" t="s">
        <v>32</v>
      </c>
      <c r="AH297" s="297"/>
      <c r="AI297" s="298"/>
      <c r="AJ297" s="190"/>
    </row>
    <row r="298" spans="1:36" ht="21" customHeight="1" x14ac:dyDescent="0.2">
      <c r="A298" s="597"/>
      <c r="B298" s="403" t="s">
        <v>342</v>
      </c>
      <c r="C298" s="2174"/>
      <c r="D298" s="2174"/>
      <c r="E298" s="2174" t="s">
        <v>32</v>
      </c>
      <c r="F298" s="2174" t="s">
        <v>32</v>
      </c>
      <c r="G298" s="2174" t="s">
        <v>32</v>
      </c>
      <c r="H298" s="2174" t="s">
        <v>32</v>
      </c>
      <c r="I298" s="2174" t="s">
        <v>32</v>
      </c>
      <c r="J298" s="2174"/>
      <c r="K298" s="2174"/>
      <c r="L298" s="2220" t="s">
        <v>51</v>
      </c>
      <c r="M298" s="2077" t="s">
        <v>32</v>
      </c>
      <c r="N298" s="2077" t="s">
        <v>32</v>
      </c>
      <c r="O298" s="2077" t="s">
        <v>32</v>
      </c>
      <c r="P298" s="2077" t="s">
        <v>32</v>
      </c>
      <c r="Q298" s="2177"/>
      <c r="R298" s="2222"/>
      <c r="S298" s="2174" t="s">
        <v>32</v>
      </c>
      <c r="T298" s="2174" t="s">
        <v>32</v>
      </c>
      <c r="U298" s="2222" t="s">
        <v>32</v>
      </c>
      <c r="V298" s="2076" t="s">
        <v>32</v>
      </c>
      <c r="W298" s="2076" t="s">
        <v>32</v>
      </c>
      <c r="X298" s="2174"/>
      <c r="Y298" s="2222"/>
      <c r="Z298" s="2174" t="s">
        <v>32</v>
      </c>
      <c r="AA298" s="2174" t="s">
        <v>32</v>
      </c>
      <c r="AB298" s="2174" t="s">
        <v>32</v>
      </c>
      <c r="AC298" s="2174" t="s">
        <v>32</v>
      </c>
      <c r="AD298" s="2174" t="s">
        <v>32</v>
      </c>
      <c r="AE298" s="2174"/>
      <c r="AF298" s="2174"/>
      <c r="AG298" s="917" t="s">
        <v>32</v>
      </c>
      <c r="AH298" s="297"/>
      <c r="AI298" s="298"/>
      <c r="AJ298" s="190"/>
    </row>
    <row r="299" spans="1:36" ht="21" customHeight="1" x14ac:dyDescent="0.2">
      <c r="A299" s="597"/>
      <c r="B299" s="403"/>
      <c r="C299" s="2174"/>
      <c r="D299" s="2225"/>
      <c r="E299" s="2174"/>
      <c r="F299" s="2174"/>
      <c r="G299" s="2174"/>
      <c r="H299" s="2174"/>
      <c r="I299" s="2174"/>
      <c r="J299" s="2174"/>
      <c r="K299" s="2174"/>
      <c r="L299" s="2174"/>
      <c r="M299" s="2174"/>
      <c r="N299" s="2174"/>
      <c r="O299" s="2174"/>
      <c r="P299" s="2174"/>
      <c r="Q299" s="2174"/>
      <c r="R299" s="2174"/>
      <c r="S299" s="2174"/>
      <c r="T299" s="2174"/>
      <c r="U299" s="2174"/>
      <c r="V299" s="2174"/>
      <c r="W299" s="2174"/>
      <c r="X299" s="2174"/>
      <c r="Y299" s="2174"/>
      <c r="Z299" s="2174"/>
      <c r="AA299" s="2174"/>
      <c r="AB299" s="2174"/>
      <c r="AC299" s="2174"/>
      <c r="AD299" s="2174"/>
      <c r="AE299" s="2174"/>
      <c r="AF299" s="2174"/>
      <c r="AG299" s="917"/>
      <c r="AH299" s="297"/>
      <c r="AI299" s="298"/>
      <c r="AJ299" s="190"/>
    </row>
    <row r="300" spans="1:36" ht="21" customHeight="1" x14ac:dyDescent="0.2">
      <c r="A300" s="2077"/>
      <c r="B300" s="404"/>
      <c r="C300" s="868"/>
      <c r="D300" s="868"/>
      <c r="E300" s="868"/>
      <c r="F300" s="868"/>
      <c r="G300" s="868"/>
      <c r="H300" s="868"/>
      <c r="I300" s="868"/>
      <c r="J300" s="868"/>
      <c r="K300" s="868"/>
      <c r="L300" s="868"/>
      <c r="M300" s="868"/>
      <c r="N300" s="2186"/>
      <c r="O300" s="2186"/>
      <c r="P300" s="868"/>
      <c r="Q300" s="868"/>
      <c r="R300" s="868"/>
      <c r="S300" s="868"/>
      <c r="T300" s="868"/>
      <c r="U300" s="868"/>
      <c r="V300" s="868"/>
      <c r="W300" s="868"/>
      <c r="X300" s="868"/>
      <c r="Y300" s="868"/>
      <c r="Z300" s="868"/>
      <c r="AA300" s="868"/>
      <c r="AB300" s="2186"/>
      <c r="AC300" s="2186"/>
      <c r="AD300" s="868"/>
      <c r="AE300" s="868"/>
      <c r="AF300" s="868"/>
      <c r="AG300" s="917"/>
      <c r="AH300" s="297"/>
      <c r="AI300" s="299"/>
      <c r="AJ300" s="190"/>
    </row>
    <row r="301" spans="1:36" ht="21" customHeight="1" thickBot="1" x14ac:dyDescent="0.25">
      <c r="A301" s="2113"/>
      <c r="B301" s="2114"/>
      <c r="C301" s="670"/>
      <c r="D301" s="598"/>
      <c r="E301" s="598"/>
      <c r="F301" s="598"/>
      <c r="G301" s="598"/>
      <c r="H301" s="598"/>
      <c r="I301" s="598"/>
      <c r="J301" s="598"/>
      <c r="K301" s="598"/>
      <c r="L301" s="598"/>
      <c r="M301" s="598"/>
      <c r="N301" s="599"/>
      <c r="O301" s="599"/>
      <c r="P301" s="598"/>
      <c r="Q301" s="598"/>
      <c r="R301" s="598"/>
      <c r="S301" s="598"/>
      <c r="T301" s="598"/>
      <c r="U301" s="598"/>
      <c r="V301" s="598"/>
      <c r="W301" s="598"/>
      <c r="X301" s="598"/>
      <c r="Y301" s="598"/>
      <c r="Z301" s="598"/>
      <c r="AA301" s="598"/>
      <c r="AB301" s="599"/>
      <c r="AC301" s="599"/>
      <c r="AD301" s="598"/>
      <c r="AE301" s="598"/>
      <c r="AF301" s="598"/>
      <c r="AG301" s="671"/>
      <c r="AH301" s="297"/>
      <c r="AI301" s="299"/>
      <c r="AJ301" s="190"/>
    </row>
    <row r="302" spans="1:36" x14ac:dyDescent="0.2">
      <c r="AH302" s="190"/>
      <c r="AI302" s="190"/>
      <c r="AJ302" s="190"/>
    </row>
    <row r="303" spans="1:36" x14ac:dyDescent="0.2">
      <c r="AH303" s="190"/>
      <c r="AI303" s="190"/>
      <c r="AJ303" s="190"/>
    </row>
    <row r="304" spans="1:36" x14ac:dyDescent="0.2">
      <c r="AH304" s="190"/>
      <c r="AI304" s="190"/>
      <c r="AJ304" s="190"/>
    </row>
    <row r="305" spans="34:36" x14ac:dyDescent="0.2">
      <c r="AH305" s="190"/>
      <c r="AI305" s="190"/>
      <c r="AJ305" s="190"/>
    </row>
  </sheetData>
  <sheetProtection algorithmName="SHA-512" hashValue="lFCUuEOi8aGO5vHXFoH5Taj0f+83ldP0+VbFHm7UARsujs8SstYKsbKrSSGSQHqNGu3r+TgXb2aW/+5GbRxqqg==" saltValue="D1sjp5njUms8HKcOlg2ohg==" spinCount="100000" sheet="1" objects="1" scenarios="1"/>
  <protectedRanges>
    <protectedRange sqref="B139:B140"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1 B143:B144"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ignoredErrors>
    <ignoredError sqref="AC69:AD69" numberStoredAsText="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33A9D-620D-4A51-AB74-99851C547304}">
  <sheetPr codeName="Ark77"/>
  <dimension ref="A1:AN303"/>
  <sheetViews>
    <sheetView zoomScale="90" zoomScaleNormal="90" workbookViewId="0">
      <pane xSplit="2" ySplit="3" topLeftCell="C74" activePane="bottomRight" state="frozen"/>
      <selection pane="topRight" activeCell="P189" sqref="P189"/>
      <selection pane="bottomLeft" activeCell="P189" sqref="P189"/>
      <selection pane="bottomRight" activeCell="M139" sqref="M139"/>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40" ht="13.35" customHeight="1" x14ac:dyDescent="0.2">
      <c r="A1" t="s">
        <v>0</v>
      </c>
      <c r="B1" s="1" t="s">
        <v>1</v>
      </c>
    </row>
    <row r="2" spans="1:40" ht="13.35" customHeight="1" x14ac:dyDescent="0.2">
      <c r="B2" s="600" t="s">
        <v>2</v>
      </c>
      <c r="C2" s="601" t="s">
        <v>3</v>
      </c>
      <c r="D2" s="405"/>
      <c r="E2" s="602" t="s">
        <v>4</v>
      </c>
      <c r="F2" s="406"/>
      <c r="G2" s="407"/>
      <c r="H2" s="407"/>
      <c r="I2" s="407"/>
      <c r="J2" s="407"/>
      <c r="K2" s="408"/>
      <c r="L2" s="603" t="s">
        <v>5</v>
      </c>
      <c r="M2" s="409"/>
      <c r="N2" s="410"/>
      <c r="O2" s="604" t="s">
        <v>6</v>
      </c>
      <c r="P2" s="411"/>
      <c r="Q2" s="412"/>
      <c r="R2" s="413"/>
      <c r="S2" s="605" t="s">
        <v>7</v>
      </c>
      <c r="T2" s="414"/>
      <c r="U2" s="415"/>
      <c r="V2" s="414"/>
      <c r="W2" s="606" t="s">
        <v>8</v>
      </c>
      <c r="X2" s="416"/>
      <c r="Y2" s="417"/>
      <c r="Z2" s="160" t="s">
        <v>9</v>
      </c>
      <c r="AA2" s="2139"/>
      <c r="AB2" s="2140"/>
      <c r="AC2" s="2407"/>
      <c r="AD2" s="2142" t="s">
        <v>10</v>
      </c>
      <c r="AE2" s="2143"/>
      <c r="AF2" s="2143"/>
      <c r="AG2" s="2144"/>
    </row>
    <row r="3" spans="1:40" ht="13.35" customHeight="1" x14ac:dyDescent="0.2">
      <c r="A3" s="1"/>
      <c r="B3" s="776" t="s">
        <v>11</v>
      </c>
      <c r="C3" s="608" t="s">
        <v>12</v>
      </c>
      <c r="D3" s="424"/>
      <c r="E3" s="91"/>
      <c r="F3" s="92"/>
      <c r="G3" s="92"/>
      <c r="H3" s="161" t="s">
        <v>13</v>
      </c>
      <c r="I3" s="93"/>
      <c r="J3" s="93"/>
      <c r="K3" s="94"/>
      <c r="L3" s="609" t="s">
        <v>14</v>
      </c>
      <c r="M3" s="425"/>
      <c r="N3" s="426"/>
      <c r="O3" s="93"/>
      <c r="P3" s="93"/>
      <c r="Q3" s="93"/>
      <c r="R3" s="93"/>
      <c r="S3" s="14"/>
      <c r="T3" s="95" t="s">
        <v>15</v>
      </c>
      <c r="U3" s="96"/>
      <c r="V3" s="97"/>
      <c r="W3" s="98"/>
      <c r="X3" s="99"/>
      <c r="Y3" s="161" t="s">
        <v>16</v>
      </c>
      <c r="Z3" s="425"/>
      <c r="AA3" s="425"/>
      <c r="AB3" s="427"/>
      <c r="AC3" s="428"/>
      <c r="AD3" s="610" t="s">
        <v>17</v>
      </c>
      <c r="AE3" s="429"/>
      <c r="AF3" s="429"/>
      <c r="AG3" s="430"/>
    </row>
    <row r="4" spans="1:40"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40" ht="22.35" customHeight="1" x14ac:dyDescent="0.2">
      <c r="A5" s="158" t="s">
        <v>19</v>
      </c>
      <c r="B5" s="1"/>
    </row>
    <row r="6" spans="1:40" ht="22.35" customHeight="1" x14ac:dyDescent="0.2">
      <c r="A6" s="611" t="s">
        <v>20</v>
      </c>
      <c r="B6" s="425"/>
      <c r="C6" s="431"/>
      <c r="D6" s="611" t="s">
        <v>21</v>
      </c>
      <c r="E6" s="425"/>
      <c r="F6" s="425"/>
      <c r="G6" s="425"/>
      <c r="H6" s="432"/>
      <c r="I6" s="425"/>
      <c r="J6" s="425"/>
      <c r="K6" s="425"/>
      <c r="L6" s="433" t="s">
        <v>22</v>
      </c>
      <c r="M6" s="425"/>
      <c r="N6" s="425"/>
      <c r="O6" s="425"/>
      <c r="P6" s="425"/>
      <c r="Q6" s="425"/>
      <c r="R6" s="425"/>
      <c r="S6" s="431"/>
      <c r="T6" s="790"/>
      <c r="U6" s="425"/>
      <c r="V6" s="425"/>
      <c r="W6" s="425"/>
      <c r="X6" s="425"/>
      <c r="Y6" s="425"/>
      <c r="Z6" s="425"/>
      <c r="AA6" s="431"/>
      <c r="AB6" s="2161"/>
      <c r="AC6" s="2162"/>
      <c r="AD6" s="2162"/>
      <c r="AE6" s="2162"/>
      <c r="AF6" s="2162"/>
      <c r="AG6" s="2163"/>
    </row>
    <row r="7" spans="1:40" ht="22.35" customHeight="1" x14ac:dyDescent="0.2">
      <c r="A7" s="611" t="s">
        <v>23</v>
      </c>
      <c r="B7" s="425"/>
      <c r="C7" s="425"/>
      <c r="D7" s="425"/>
      <c r="E7" s="425"/>
      <c r="F7" s="425"/>
      <c r="G7" s="425"/>
      <c r="H7" s="425"/>
      <c r="I7" s="425"/>
      <c r="J7" s="425"/>
      <c r="K7" s="431"/>
      <c r="L7" s="153" t="s">
        <v>24</v>
      </c>
      <c r="M7" s="14"/>
      <c r="N7" s="14"/>
      <c r="O7" s="14"/>
      <c r="P7" s="14"/>
      <c r="Q7" s="14"/>
      <c r="R7" s="14"/>
      <c r="S7" s="14"/>
      <c r="T7" s="14"/>
      <c r="U7" s="425"/>
      <c r="V7" s="425"/>
      <c r="W7" s="425"/>
      <c r="X7" s="425"/>
      <c r="Y7" s="425"/>
      <c r="Z7" s="425"/>
      <c r="AA7" s="425"/>
      <c r="AB7" s="612"/>
      <c r="AC7" s="425"/>
      <c r="AD7" s="425"/>
      <c r="AE7" s="425"/>
      <c r="AF7" s="425"/>
      <c r="AG7" s="431"/>
    </row>
    <row r="8" spans="1:40" ht="22.35" customHeight="1" x14ac:dyDescent="0.2">
      <c r="A8" s="158" t="s">
        <v>25</v>
      </c>
      <c r="L8" s="100"/>
      <c r="AB8" s="1"/>
    </row>
    <row r="9" spans="1:40" ht="22.35" customHeight="1" x14ac:dyDescent="0.2">
      <c r="A9" s="158" t="s">
        <v>26</v>
      </c>
      <c r="L9" s="100"/>
      <c r="AB9" s="1"/>
    </row>
    <row r="10" spans="1:40"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40" ht="22.35" customHeight="1" thickBot="1" x14ac:dyDescent="0.25">
      <c r="A11" s="793" t="s">
        <v>28</v>
      </c>
      <c r="B11" s="794" t="s">
        <v>29</v>
      </c>
      <c r="C11" s="796">
        <v>1</v>
      </c>
      <c r="D11" s="796">
        <v>2</v>
      </c>
      <c r="E11" s="796">
        <v>3</v>
      </c>
      <c r="F11" s="796">
        <v>4</v>
      </c>
      <c r="G11" s="795">
        <v>5</v>
      </c>
      <c r="H11" s="795">
        <v>6</v>
      </c>
      <c r="I11" s="796">
        <v>7</v>
      </c>
      <c r="J11" s="796">
        <v>8</v>
      </c>
      <c r="K11" s="796">
        <v>9</v>
      </c>
      <c r="L11" s="796">
        <v>10</v>
      </c>
      <c r="M11" s="796">
        <v>11</v>
      </c>
      <c r="N11" s="795">
        <v>12</v>
      </c>
      <c r="O11" s="795">
        <v>13</v>
      </c>
      <c r="P11" s="796">
        <v>14</v>
      </c>
      <c r="Q11" s="796">
        <v>15</v>
      </c>
      <c r="R11" s="796">
        <v>16</v>
      </c>
      <c r="S11" s="796">
        <v>17</v>
      </c>
      <c r="T11" s="796">
        <v>18</v>
      </c>
      <c r="U11" s="795">
        <v>19</v>
      </c>
      <c r="V11" s="795">
        <v>20</v>
      </c>
      <c r="W11" s="796">
        <v>21</v>
      </c>
      <c r="X11" s="796">
        <v>22</v>
      </c>
      <c r="Y11" s="796">
        <v>23</v>
      </c>
      <c r="Z11" s="796">
        <v>24</v>
      </c>
      <c r="AA11" s="796">
        <v>25</v>
      </c>
      <c r="AB11" s="795">
        <v>26</v>
      </c>
      <c r="AC11" s="795">
        <v>27</v>
      </c>
      <c r="AD11" s="796">
        <v>28</v>
      </c>
      <c r="AE11" s="796">
        <v>29</v>
      </c>
      <c r="AF11" s="796">
        <v>30</v>
      </c>
      <c r="AG11" s="797"/>
      <c r="AH11" s="173"/>
      <c r="AI11" s="174"/>
      <c r="AJ11" s="1181" t="s">
        <v>30</v>
      </c>
    </row>
    <row r="12" spans="1:40" ht="22.35" customHeight="1" x14ac:dyDescent="0.2">
      <c r="A12" s="2408">
        <v>8500</v>
      </c>
      <c r="B12" s="1182" t="s">
        <v>31</v>
      </c>
      <c r="C12" s="1110" t="s">
        <v>32</v>
      </c>
      <c r="D12" s="1110" t="s">
        <v>32</v>
      </c>
      <c r="E12" s="1110" t="s">
        <v>32</v>
      </c>
      <c r="F12" s="644" t="s">
        <v>32</v>
      </c>
      <c r="G12" s="644"/>
      <c r="H12" s="961"/>
      <c r="I12" s="1183" t="s">
        <v>32</v>
      </c>
      <c r="J12" s="1110" t="s">
        <v>32</v>
      </c>
      <c r="K12" s="1110" t="s">
        <v>32</v>
      </c>
      <c r="L12" s="1110" t="s">
        <v>32</v>
      </c>
      <c r="M12" s="644" t="s">
        <v>32</v>
      </c>
      <c r="N12" s="1112"/>
      <c r="O12" s="1110"/>
      <c r="P12" s="1110" t="s">
        <v>32</v>
      </c>
      <c r="Q12" s="1110" t="s">
        <v>32</v>
      </c>
      <c r="R12" s="1110" t="s">
        <v>32</v>
      </c>
      <c r="S12" s="1110" t="s">
        <v>32</v>
      </c>
      <c r="T12" s="644" t="s">
        <v>32</v>
      </c>
      <c r="U12" s="644"/>
      <c r="V12" s="644"/>
      <c r="W12" s="644" t="s">
        <v>32</v>
      </c>
      <c r="X12" s="644" t="s">
        <v>32</v>
      </c>
      <c r="Y12" s="975" t="s">
        <v>32</v>
      </c>
      <c r="Z12" s="975" t="s">
        <v>32</v>
      </c>
      <c r="AA12" s="644" t="s">
        <v>32</v>
      </c>
      <c r="AB12" s="644"/>
      <c r="AC12" s="1110"/>
      <c r="AD12" s="1110" t="s">
        <v>32</v>
      </c>
      <c r="AE12" s="1110" t="s">
        <v>32</v>
      </c>
      <c r="AF12" s="1110" t="s">
        <v>32</v>
      </c>
      <c r="AG12" s="613"/>
      <c r="AH12" s="179"/>
      <c r="AI12" s="179"/>
      <c r="AJ12" s="1181">
        <v>160.33000000000001</v>
      </c>
    </row>
    <row r="13" spans="1:40" ht="22.35" customHeight="1" x14ac:dyDescent="0.2">
      <c r="A13" s="805" t="s">
        <v>33</v>
      </c>
      <c r="B13" s="806"/>
      <c r="C13" s="806"/>
      <c r="D13" s="806"/>
      <c r="E13" s="806"/>
      <c r="F13" s="806"/>
      <c r="G13" s="806"/>
      <c r="H13" s="806"/>
      <c r="I13" s="806"/>
      <c r="J13" s="806"/>
      <c r="K13" s="806"/>
      <c r="L13" s="806"/>
      <c r="M13" s="806"/>
      <c r="N13" s="806"/>
      <c r="O13" s="806"/>
      <c r="P13" s="806"/>
      <c r="Q13" s="806"/>
      <c r="R13" s="806"/>
      <c r="S13" s="806"/>
      <c r="T13" s="806"/>
      <c r="U13" s="806"/>
      <c r="V13" s="806"/>
      <c r="W13" s="806"/>
      <c r="X13" s="806"/>
      <c r="Y13" s="806"/>
      <c r="Z13" s="806"/>
      <c r="AA13" s="806"/>
      <c r="AB13" s="806"/>
      <c r="AC13" s="806"/>
      <c r="AD13" s="806"/>
      <c r="AE13" s="806"/>
      <c r="AF13" s="806"/>
      <c r="AG13" s="807"/>
      <c r="AH13" s="177"/>
      <c r="AI13" s="177"/>
      <c r="AN13" t="s">
        <v>440</v>
      </c>
    </row>
    <row r="14" spans="1:40" ht="22.35" customHeight="1" x14ac:dyDescent="0.2">
      <c r="A14" s="808">
        <v>8546</v>
      </c>
      <c r="B14" s="1182" t="s">
        <v>34</v>
      </c>
      <c r="C14" s="809">
        <v>1</v>
      </c>
      <c r="D14" s="809">
        <v>1</v>
      </c>
      <c r="E14" s="809">
        <v>1</v>
      </c>
      <c r="F14" s="809">
        <v>1</v>
      </c>
      <c r="G14" s="809"/>
      <c r="H14" s="811"/>
      <c r="I14" s="811">
        <v>1</v>
      </c>
      <c r="J14" s="813">
        <v>1</v>
      </c>
      <c r="K14" s="813">
        <v>1</v>
      </c>
      <c r="L14" s="811">
        <v>1</v>
      </c>
      <c r="M14" s="814">
        <v>1</v>
      </c>
      <c r="N14" s="809" t="s">
        <v>37</v>
      </c>
      <c r="O14" s="809" t="s">
        <v>37</v>
      </c>
      <c r="P14" s="815" t="s">
        <v>36</v>
      </c>
      <c r="Q14" s="815" t="s">
        <v>36</v>
      </c>
      <c r="R14" s="811" t="s">
        <v>36</v>
      </c>
      <c r="S14" s="816" t="s">
        <v>36</v>
      </c>
      <c r="T14" s="815" t="s">
        <v>36</v>
      </c>
      <c r="U14" s="815"/>
      <c r="V14" s="811"/>
      <c r="W14" s="811">
        <v>4</v>
      </c>
      <c r="X14" s="811">
        <v>4</v>
      </c>
      <c r="Y14" s="811">
        <v>4</v>
      </c>
      <c r="Z14" s="811">
        <v>4</v>
      </c>
      <c r="AA14" s="811">
        <v>4</v>
      </c>
      <c r="AB14" s="811" t="s">
        <v>35</v>
      </c>
      <c r="AC14" s="811" t="s">
        <v>35</v>
      </c>
      <c r="AD14" s="815" t="s">
        <v>36</v>
      </c>
      <c r="AE14" s="811" t="s">
        <v>36</v>
      </c>
      <c r="AF14" s="811" t="s">
        <v>36</v>
      </c>
      <c r="AG14" s="818"/>
      <c r="AH14" s="179"/>
      <c r="AI14" s="179"/>
    </row>
    <row r="15" spans="1:40" ht="22.35" customHeight="1" x14ac:dyDescent="0.2">
      <c r="A15" s="808">
        <v>8546</v>
      </c>
      <c r="B15" s="819" t="s">
        <v>38</v>
      </c>
      <c r="C15" s="812" t="s">
        <v>36</v>
      </c>
      <c r="D15" s="811" t="s">
        <v>36</v>
      </c>
      <c r="E15" s="811" t="s">
        <v>36</v>
      </c>
      <c r="F15" s="815" t="s">
        <v>36</v>
      </c>
      <c r="G15" s="815"/>
      <c r="H15" s="815"/>
      <c r="I15" s="811">
        <v>1</v>
      </c>
      <c r="J15" s="811">
        <v>1</v>
      </c>
      <c r="K15" s="811">
        <v>1</v>
      </c>
      <c r="L15" s="811">
        <v>2</v>
      </c>
      <c r="M15" s="811">
        <v>2</v>
      </c>
      <c r="N15" s="2409" t="s">
        <v>35</v>
      </c>
      <c r="O15" s="811"/>
      <c r="P15" s="811">
        <v>2</v>
      </c>
      <c r="Q15" s="811">
        <v>2</v>
      </c>
      <c r="R15" s="811">
        <v>2</v>
      </c>
      <c r="S15" s="811">
        <v>2</v>
      </c>
      <c r="T15" s="811">
        <v>2</v>
      </c>
      <c r="U15" s="811" t="s">
        <v>37</v>
      </c>
      <c r="V15" s="811" t="s">
        <v>37</v>
      </c>
      <c r="W15" s="811" t="s">
        <v>36</v>
      </c>
      <c r="X15" s="811" t="s">
        <v>36</v>
      </c>
      <c r="Y15" s="811" t="s">
        <v>36</v>
      </c>
      <c r="Z15" s="811" t="s">
        <v>36</v>
      </c>
      <c r="AA15" s="811" t="s">
        <v>36</v>
      </c>
      <c r="AB15" s="811"/>
      <c r="AC15" s="811"/>
      <c r="AD15" s="811">
        <v>4</v>
      </c>
      <c r="AE15" s="811">
        <v>4</v>
      </c>
      <c r="AF15" s="811">
        <v>4</v>
      </c>
      <c r="AG15" s="818"/>
      <c r="AH15" s="179"/>
      <c r="AI15" s="179"/>
      <c r="AL15" t="s">
        <v>0</v>
      </c>
    </row>
    <row r="16" spans="1:40" ht="22.35" customHeight="1" x14ac:dyDescent="0.2">
      <c r="A16" s="808">
        <v>8546</v>
      </c>
      <c r="B16" s="823" t="s">
        <v>40</v>
      </c>
      <c r="C16" s="821" t="s">
        <v>36</v>
      </c>
      <c r="D16" s="824" t="s">
        <v>36</v>
      </c>
      <c r="E16" s="824" t="s">
        <v>36</v>
      </c>
      <c r="F16" s="824" t="s">
        <v>36</v>
      </c>
      <c r="G16" s="824"/>
      <c r="H16" s="824"/>
      <c r="I16" s="825">
        <v>4</v>
      </c>
      <c r="J16" s="824">
        <v>4</v>
      </c>
      <c r="K16" s="824">
        <v>4</v>
      </c>
      <c r="L16" s="824">
        <v>4</v>
      </c>
      <c r="M16" s="824">
        <v>4</v>
      </c>
      <c r="N16" s="821" t="s">
        <v>35</v>
      </c>
      <c r="O16" s="821" t="s">
        <v>35</v>
      </c>
      <c r="P16" s="821" t="s">
        <v>36</v>
      </c>
      <c r="Q16" s="821" t="s">
        <v>36</v>
      </c>
      <c r="R16" s="821" t="s">
        <v>36</v>
      </c>
      <c r="S16" s="824" t="s">
        <v>36</v>
      </c>
      <c r="T16" s="824" t="s">
        <v>36</v>
      </c>
      <c r="U16" s="824"/>
      <c r="V16" s="824"/>
      <c r="W16" s="1185">
        <v>1</v>
      </c>
      <c r="X16" s="824">
        <v>1</v>
      </c>
      <c r="Y16" s="821">
        <v>1</v>
      </c>
      <c r="Z16" s="821">
        <v>1</v>
      </c>
      <c r="AA16" s="821">
        <v>1</v>
      </c>
      <c r="AB16" s="821"/>
      <c r="AC16" s="821"/>
      <c r="AD16" s="824">
        <v>2</v>
      </c>
      <c r="AE16" s="824">
        <v>2</v>
      </c>
      <c r="AF16" s="824">
        <v>2</v>
      </c>
      <c r="AG16" s="826"/>
      <c r="AH16" s="179"/>
      <c r="AI16" s="179"/>
    </row>
    <row r="17" spans="1:40" ht="22.35" customHeight="1" x14ac:dyDescent="0.2">
      <c r="A17" s="808">
        <v>8546</v>
      </c>
      <c r="B17" s="819" t="s">
        <v>41</v>
      </c>
      <c r="C17" s="811">
        <v>2</v>
      </c>
      <c r="D17" s="812">
        <v>2</v>
      </c>
      <c r="E17" s="811">
        <v>2</v>
      </c>
      <c r="F17" s="815">
        <v>2</v>
      </c>
      <c r="G17" s="2410" t="s">
        <v>37</v>
      </c>
      <c r="H17" s="811" t="s">
        <v>37</v>
      </c>
      <c r="I17" s="813">
        <v>2</v>
      </c>
      <c r="J17" s="811" t="s">
        <v>36</v>
      </c>
      <c r="K17" s="811" t="s">
        <v>36</v>
      </c>
      <c r="L17" s="811" t="s">
        <v>36</v>
      </c>
      <c r="M17" s="809" t="s">
        <v>36</v>
      </c>
      <c r="N17" s="813"/>
      <c r="O17" s="809"/>
      <c r="P17" s="809">
        <v>4</v>
      </c>
      <c r="Q17" s="809">
        <v>4</v>
      </c>
      <c r="R17" s="809">
        <v>4</v>
      </c>
      <c r="S17" s="809">
        <v>4</v>
      </c>
      <c r="T17" s="811">
        <v>4</v>
      </c>
      <c r="U17" s="811" t="s">
        <v>35</v>
      </c>
      <c r="V17" s="811" t="s">
        <v>35</v>
      </c>
      <c r="W17" s="811" t="s">
        <v>36</v>
      </c>
      <c r="X17" s="812" t="s">
        <v>36</v>
      </c>
      <c r="Y17" s="811" t="s">
        <v>36</v>
      </c>
      <c r="Z17" s="811" t="s">
        <v>36</v>
      </c>
      <c r="AA17" s="827" t="s">
        <v>36</v>
      </c>
      <c r="AB17" s="827"/>
      <c r="AC17" s="827"/>
      <c r="AD17" s="2411">
        <v>1</v>
      </c>
      <c r="AE17" s="827">
        <v>1</v>
      </c>
      <c r="AF17" s="827">
        <v>1</v>
      </c>
      <c r="AG17" s="818"/>
      <c r="AH17" s="179"/>
      <c r="AI17" s="179"/>
    </row>
    <row r="18" spans="1:40" ht="22.35" customHeight="1" x14ac:dyDescent="0.2">
      <c r="A18" s="808">
        <v>8546</v>
      </c>
      <c r="B18" s="823" t="s">
        <v>42</v>
      </c>
      <c r="C18" s="812">
        <v>4</v>
      </c>
      <c r="D18" s="828">
        <v>4</v>
      </c>
      <c r="E18" s="828">
        <v>4</v>
      </c>
      <c r="F18" s="811">
        <v>4</v>
      </c>
      <c r="G18" s="811" t="s">
        <v>35</v>
      </c>
      <c r="H18" s="811" t="s">
        <v>35</v>
      </c>
      <c r="I18" s="811" t="s">
        <v>36</v>
      </c>
      <c r="J18" s="815" t="s">
        <v>36</v>
      </c>
      <c r="K18" s="815" t="s">
        <v>36</v>
      </c>
      <c r="L18" s="811" t="s">
        <v>36</v>
      </c>
      <c r="M18" s="815" t="s">
        <v>36</v>
      </c>
      <c r="N18" s="815"/>
      <c r="O18" s="811"/>
      <c r="P18" s="815">
        <v>1</v>
      </c>
      <c r="Q18" s="815">
        <v>1</v>
      </c>
      <c r="R18" s="815">
        <v>1</v>
      </c>
      <c r="S18" s="815">
        <v>1</v>
      </c>
      <c r="T18" s="815">
        <v>1</v>
      </c>
      <c r="U18" s="814"/>
      <c r="V18" s="814"/>
      <c r="W18" s="811">
        <v>2</v>
      </c>
      <c r="X18" s="811">
        <v>2</v>
      </c>
      <c r="Y18" s="811">
        <v>2</v>
      </c>
      <c r="Z18" s="811">
        <v>2</v>
      </c>
      <c r="AA18" s="811">
        <v>2</v>
      </c>
      <c r="AB18" s="190" t="s">
        <v>37</v>
      </c>
      <c r="AC18" s="829" t="s">
        <v>37</v>
      </c>
      <c r="AD18" s="811" t="s">
        <v>36</v>
      </c>
      <c r="AE18" s="811" t="s">
        <v>36</v>
      </c>
      <c r="AF18" s="811" t="s">
        <v>36</v>
      </c>
      <c r="AG18" s="818"/>
      <c r="AH18" s="179"/>
      <c r="AI18" s="179"/>
    </row>
    <row r="19" spans="1:40" ht="22.35" customHeight="1" thickBot="1" x14ac:dyDescent="0.25">
      <c r="A19" s="830" t="s">
        <v>43</v>
      </c>
      <c r="B19" s="831"/>
      <c r="C19" s="832"/>
      <c r="D19" s="832"/>
      <c r="E19" s="832"/>
      <c r="F19" s="832"/>
      <c r="G19" s="832"/>
      <c r="H19" s="832"/>
      <c r="I19" s="832"/>
      <c r="J19" s="832"/>
      <c r="K19" s="832"/>
      <c r="L19" s="832"/>
      <c r="M19" s="832"/>
      <c r="N19" s="832"/>
      <c r="O19" s="832"/>
      <c r="P19" s="832"/>
      <c r="Q19" s="832"/>
      <c r="R19" s="832"/>
      <c r="S19" s="832"/>
      <c r="T19" s="832"/>
      <c r="U19" s="832"/>
      <c r="V19" s="832"/>
      <c r="W19" s="832"/>
      <c r="X19" s="832"/>
      <c r="Y19" s="832"/>
      <c r="Z19" s="832"/>
      <c r="AA19" s="832"/>
      <c r="AB19" s="832"/>
      <c r="AC19" s="832"/>
      <c r="AD19" s="832"/>
      <c r="AE19" s="832"/>
      <c r="AF19" s="832"/>
      <c r="AG19" s="833"/>
      <c r="AH19" s="177"/>
      <c r="AI19" s="177"/>
      <c r="AJ19" s="1181" t="s">
        <v>30</v>
      </c>
      <c r="AK19" s="1181" t="s">
        <v>44</v>
      </c>
      <c r="AL19" s="1181" t="s">
        <v>45</v>
      </c>
      <c r="AM19" s="1181" t="s">
        <v>46</v>
      </c>
      <c r="AN19" s="1181" t="s">
        <v>47</v>
      </c>
    </row>
    <row r="20" spans="1:40" ht="22.35" customHeight="1" thickBot="1" x14ac:dyDescent="0.25">
      <c r="A20" s="2412">
        <v>8500</v>
      </c>
      <c r="B20" s="2413" t="s">
        <v>49</v>
      </c>
      <c r="C20" s="2244" t="s">
        <v>32</v>
      </c>
      <c r="D20" s="2244" t="s">
        <v>32</v>
      </c>
      <c r="E20" s="2244" t="s">
        <v>32</v>
      </c>
      <c r="F20" s="2244" t="s">
        <v>32</v>
      </c>
      <c r="G20" s="2414" t="s">
        <v>37</v>
      </c>
      <c r="H20" s="961"/>
      <c r="I20" s="2415" t="s">
        <v>32</v>
      </c>
      <c r="J20" s="2244" t="s">
        <v>32</v>
      </c>
      <c r="K20" s="2244" t="s">
        <v>32</v>
      </c>
      <c r="L20" s="2244" t="s">
        <v>32</v>
      </c>
      <c r="M20" s="2244" t="s">
        <v>32</v>
      </c>
      <c r="N20" s="2254"/>
      <c r="O20" s="2244"/>
      <c r="P20" s="2415" t="s">
        <v>32</v>
      </c>
      <c r="Q20" s="2244" t="s">
        <v>32</v>
      </c>
      <c r="R20" s="2244" t="s">
        <v>32</v>
      </c>
      <c r="S20" s="2244" t="s">
        <v>32</v>
      </c>
      <c r="T20" s="2244" t="s">
        <v>32</v>
      </c>
      <c r="U20" s="2244"/>
      <c r="V20" s="678" t="s">
        <v>0</v>
      </c>
      <c r="W20" s="2415" t="s">
        <v>32</v>
      </c>
      <c r="X20" s="2244" t="s">
        <v>32</v>
      </c>
      <c r="Y20" s="2244" t="s">
        <v>32</v>
      </c>
      <c r="Z20" s="2244" t="s">
        <v>32</v>
      </c>
      <c r="AA20" s="2244" t="s">
        <v>235</v>
      </c>
      <c r="AB20" s="907" t="s">
        <v>0</v>
      </c>
      <c r="AC20" s="2244"/>
      <c r="AD20" s="2415" t="s">
        <v>32</v>
      </c>
      <c r="AE20" s="2244" t="s">
        <v>32</v>
      </c>
      <c r="AF20" s="2244" t="s">
        <v>32</v>
      </c>
      <c r="AG20" s="2416"/>
      <c r="AH20" s="179"/>
      <c r="AI20" s="179"/>
      <c r="AJ20" s="845">
        <f>$AJ$12</f>
        <v>160.33000000000001</v>
      </c>
      <c r="AK20" s="845"/>
      <c r="AL20" s="845">
        <f>IF(AJ20="","",SUM(AJ20:AK20))</f>
        <v>160.33000000000001</v>
      </c>
      <c r="AM20" s="846">
        <f>IF(AJ20="","",AL20-AJ20)</f>
        <v>0</v>
      </c>
      <c r="AN20" s="846">
        <f>IF(AM20="","",AM20+'Oktober 2022'!AN20)</f>
        <v>0</v>
      </c>
    </row>
    <row r="21" spans="1:40" ht="22.35" customHeight="1" x14ac:dyDescent="0.2">
      <c r="A21" s="847">
        <v>8500</v>
      </c>
      <c r="B21" s="1190" t="s">
        <v>52</v>
      </c>
      <c r="C21" s="1110" t="s">
        <v>32</v>
      </c>
      <c r="D21" s="1110" t="s">
        <v>32</v>
      </c>
      <c r="E21" s="1110" t="s">
        <v>36</v>
      </c>
      <c r="F21" s="644">
        <v>7</v>
      </c>
      <c r="G21" s="644"/>
      <c r="H21" s="1110"/>
      <c r="I21" s="809">
        <v>4</v>
      </c>
      <c r="J21" s="813">
        <v>4</v>
      </c>
      <c r="K21" s="813">
        <v>4</v>
      </c>
      <c r="L21" s="809">
        <v>4</v>
      </c>
      <c r="M21" s="811">
        <v>4</v>
      </c>
      <c r="N21" s="811" t="s">
        <v>0</v>
      </c>
      <c r="O21" s="811" t="s">
        <v>0</v>
      </c>
      <c r="P21" s="1110">
        <v>2</v>
      </c>
      <c r="Q21" s="1110">
        <v>2</v>
      </c>
      <c r="R21" s="1930">
        <v>2</v>
      </c>
      <c r="S21" s="1110">
        <v>2</v>
      </c>
      <c r="T21" s="644">
        <v>2</v>
      </c>
      <c r="U21" s="848"/>
      <c r="V21" s="1110"/>
      <c r="W21" s="815">
        <v>1</v>
      </c>
      <c r="X21" s="815">
        <v>1</v>
      </c>
      <c r="Y21" s="815">
        <v>1</v>
      </c>
      <c r="Z21" s="815">
        <v>1</v>
      </c>
      <c r="AA21" s="815">
        <v>1</v>
      </c>
      <c r="AB21" s="644" t="s">
        <v>53</v>
      </c>
      <c r="AC21" s="1192"/>
      <c r="AD21" s="1192">
        <v>1</v>
      </c>
      <c r="AE21" s="1192" t="s">
        <v>134</v>
      </c>
      <c r="AF21" s="1192" t="s">
        <v>134</v>
      </c>
      <c r="AG21" s="613"/>
      <c r="AH21" s="179"/>
      <c r="AI21" s="179"/>
      <c r="AJ21" s="845">
        <v>169.25</v>
      </c>
      <c r="AK21" s="845">
        <v>6</v>
      </c>
      <c r="AL21" s="845">
        <f t="shared" ref="AL21:AL23" si="0">IF(AJ21="","",SUM(AJ21:AK21))</f>
        <v>175.25</v>
      </c>
      <c r="AM21" s="846">
        <f>IF(AJ21="","",AL21-NormTid)</f>
        <v>14.919999999999987</v>
      </c>
      <c r="AN21" s="846">
        <f>IF(AM21="","",AM21+'Oktober 2022'!AN21)</f>
        <v>38.709999999999951</v>
      </c>
    </row>
    <row r="22" spans="1:40" ht="22.35" customHeight="1" x14ac:dyDescent="0.2">
      <c r="A22" s="847">
        <v>8500</v>
      </c>
      <c r="B22" s="1182" t="s">
        <v>54</v>
      </c>
      <c r="C22" s="1110" t="s">
        <v>32</v>
      </c>
      <c r="D22" s="1110" t="s">
        <v>32</v>
      </c>
      <c r="E22" s="1110" t="s">
        <v>36</v>
      </c>
      <c r="F22" s="644" t="s">
        <v>36</v>
      </c>
      <c r="G22" s="644"/>
      <c r="H22" s="1362"/>
      <c r="I22" s="1362">
        <v>2</v>
      </c>
      <c r="J22" s="1362">
        <v>2</v>
      </c>
      <c r="K22" s="1362">
        <v>2</v>
      </c>
      <c r="L22" s="1362">
        <v>2</v>
      </c>
      <c r="M22" s="1362">
        <v>2</v>
      </c>
      <c r="N22" s="824" t="s">
        <v>441</v>
      </c>
      <c r="O22" s="811" t="s">
        <v>0</v>
      </c>
      <c r="P22" s="859" t="s">
        <v>32</v>
      </c>
      <c r="Q22" s="859" t="s">
        <v>32</v>
      </c>
      <c r="R22" s="859" t="s">
        <v>32</v>
      </c>
      <c r="S22" s="859" t="s">
        <v>32</v>
      </c>
      <c r="T22" s="859" t="s">
        <v>32</v>
      </c>
      <c r="U22" s="859"/>
      <c r="V22" s="859"/>
      <c r="W22" s="848">
        <v>3</v>
      </c>
      <c r="X22" s="2417" t="s">
        <v>32</v>
      </c>
      <c r="Y22" s="848">
        <v>3</v>
      </c>
      <c r="Z22" s="848">
        <v>3</v>
      </c>
      <c r="AA22" s="644">
        <v>3</v>
      </c>
      <c r="AB22" s="644"/>
      <c r="AC22" s="644"/>
      <c r="AD22" s="811">
        <v>2</v>
      </c>
      <c r="AE22" s="811">
        <v>2</v>
      </c>
      <c r="AF22" s="811">
        <v>2</v>
      </c>
      <c r="AG22" s="856"/>
      <c r="AH22" s="179"/>
      <c r="AI22" s="179"/>
      <c r="AJ22" s="845">
        <v>168.5</v>
      </c>
      <c r="AK22" s="845">
        <v>5</v>
      </c>
      <c r="AL22" s="845">
        <f t="shared" si="0"/>
        <v>173.5</v>
      </c>
      <c r="AM22" s="846">
        <f>IF(AJ22="","",AL22-NormTid)</f>
        <v>13.169999999999987</v>
      </c>
      <c r="AN22" s="846">
        <f>IF(AM22="","",AM22+'Oktober 2022'!AN22)</f>
        <v>52.85999999999995</v>
      </c>
    </row>
    <row r="23" spans="1:40" ht="22.35" customHeight="1" x14ac:dyDescent="0.2">
      <c r="A23" s="847"/>
      <c r="B23" s="1190"/>
      <c r="C23" s="1183" t="s">
        <v>32</v>
      </c>
      <c r="D23" s="975" t="s">
        <v>32</v>
      </c>
      <c r="E23" s="644" t="s">
        <v>32</v>
      </c>
      <c r="F23" s="644" t="s">
        <v>32</v>
      </c>
      <c r="G23" s="644"/>
      <c r="H23" s="1192"/>
      <c r="I23" s="1192" t="s">
        <v>32</v>
      </c>
      <c r="J23" s="1192" t="s">
        <v>32</v>
      </c>
      <c r="K23" s="974" t="s">
        <v>32</v>
      </c>
      <c r="L23" s="1192" t="s">
        <v>32</v>
      </c>
      <c r="M23" s="644" t="s">
        <v>32</v>
      </c>
      <c r="N23" s="1110"/>
      <c r="O23" s="1110"/>
      <c r="P23" s="644" t="s">
        <v>32</v>
      </c>
      <c r="Q23" s="644" t="s">
        <v>32</v>
      </c>
      <c r="R23" s="980" t="s">
        <v>32</v>
      </c>
      <c r="S23" s="980" t="s">
        <v>32</v>
      </c>
      <c r="T23" s="644" t="s">
        <v>32</v>
      </c>
      <c r="U23" s="644"/>
      <c r="V23" s="1192"/>
      <c r="W23" s="1192" t="s">
        <v>32</v>
      </c>
      <c r="X23" s="1192" t="s">
        <v>32</v>
      </c>
      <c r="Y23" s="1192" t="s">
        <v>32</v>
      </c>
      <c r="Z23" s="1192" t="s">
        <v>32</v>
      </c>
      <c r="AA23" s="1192" t="s">
        <v>32</v>
      </c>
      <c r="AB23" s="1192"/>
      <c r="AC23" s="1192"/>
      <c r="AD23" s="975" t="s">
        <v>32</v>
      </c>
      <c r="AE23" s="1192" t="s">
        <v>32</v>
      </c>
      <c r="AF23" s="1192" t="s">
        <v>32</v>
      </c>
      <c r="AG23" s="623"/>
      <c r="AJ23" s="845">
        <f t="shared" ref="AJ23" si="1">$AJ$12</f>
        <v>160.33000000000001</v>
      </c>
      <c r="AK23" s="845"/>
      <c r="AL23" s="845">
        <f t="shared" si="0"/>
        <v>160.33000000000001</v>
      </c>
      <c r="AM23" s="846">
        <f t="shared" ref="AM23" si="2">IF(AJ23="","",AL23-AJ23)</f>
        <v>0</v>
      </c>
      <c r="AN23" s="846">
        <f>IF(AM23="","",AM23+'Oktober 2022'!AN23)</f>
        <v>0</v>
      </c>
    </row>
    <row r="24" spans="1:40" ht="22.35" customHeight="1" thickBot="1" x14ac:dyDescent="0.25">
      <c r="A24" s="861"/>
      <c r="B24" s="862" t="s">
        <v>56</v>
      </c>
      <c r="C24" s="863" t="s">
        <v>32</v>
      </c>
      <c r="D24" s="863" t="s">
        <v>32</v>
      </c>
      <c r="E24" s="863" t="s">
        <v>32</v>
      </c>
      <c r="F24" s="863" t="s">
        <v>32</v>
      </c>
      <c r="G24" s="863"/>
      <c r="H24" s="863"/>
      <c r="I24" s="863" t="s">
        <v>32</v>
      </c>
      <c r="J24" s="863" t="s">
        <v>32</v>
      </c>
      <c r="K24" s="863" t="s">
        <v>32</v>
      </c>
      <c r="L24" s="863" t="s">
        <v>32</v>
      </c>
      <c r="M24" s="863" t="s">
        <v>32</v>
      </c>
      <c r="N24" s="864"/>
      <c r="O24" s="864"/>
      <c r="P24" s="864" t="s">
        <v>32</v>
      </c>
      <c r="Q24" s="865" t="s">
        <v>32</v>
      </c>
      <c r="R24" s="864" t="s">
        <v>32</v>
      </c>
      <c r="S24" s="863" t="s">
        <v>32</v>
      </c>
      <c r="T24" s="863" t="s">
        <v>32</v>
      </c>
      <c r="U24" s="864"/>
      <c r="V24" s="864"/>
      <c r="W24" s="864" t="s">
        <v>32</v>
      </c>
      <c r="X24" s="863" t="s">
        <v>32</v>
      </c>
      <c r="Y24" s="2418" t="s">
        <v>32</v>
      </c>
      <c r="Z24" s="866" t="s">
        <v>32</v>
      </c>
      <c r="AA24" s="866" t="s">
        <v>32</v>
      </c>
      <c r="AB24" s="863"/>
      <c r="AC24" s="863"/>
      <c r="AD24" s="863" t="s">
        <v>32</v>
      </c>
      <c r="AE24" s="863" t="s">
        <v>32</v>
      </c>
      <c r="AF24" s="863" t="s">
        <v>32</v>
      </c>
      <c r="AG24" s="867"/>
    </row>
    <row r="25" spans="1:40" ht="22.35" customHeight="1" thickBot="1" x14ac:dyDescent="0.25">
      <c r="A25" s="372"/>
      <c r="B25" s="362"/>
      <c r="C25" s="907" t="s">
        <v>0</v>
      </c>
      <c r="D25" s="362"/>
      <c r="E25" s="907" t="s">
        <v>0</v>
      </c>
      <c r="F25" s="362" t="s">
        <v>0</v>
      </c>
      <c r="G25" s="362"/>
      <c r="H25" s="362"/>
      <c r="I25" s="362"/>
      <c r="L25" s="362"/>
      <c r="M25" s="362"/>
      <c r="N25" s="362"/>
      <c r="O25" s="362"/>
      <c r="P25" s="362"/>
      <c r="Q25" s="845" t="s">
        <v>58</v>
      </c>
      <c r="R25" s="362" t="s">
        <v>58</v>
      </c>
      <c r="S25" s="362"/>
      <c r="T25" s="845" t="s">
        <v>58</v>
      </c>
      <c r="U25" s="907" t="s">
        <v>0</v>
      </c>
      <c r="W25" s="362"/>
      <c r="X25" s="362"/>
      <c r="Y25" s="362"/>
      <c r="Z25" t="s">
        <v>0</v>
      </c>
      <c r="AB25">
        <v>22</v>
      </c>
      <c r="AC25">
        <v>22</v>
      </c>
      <c r="AD25" t="s">
        <v>0</v>
      </c>
      <c r="AE25" t="s">
        <v>0</v>
      </c>
      <c r="AF25" t="s">
        <v>0</v>
      </c>
    </row>
    <row r="26" spans="1:40" ht="22.35" customHeight="1" x14ac:dyDescent="0.2">
      <c r="A26" s="373"/>
      <c r="B26" s="190"/>
      <c r="D26" s="190"/>
      <c r="E26" s="190"/>
      <c r="F26" s="199" t="s">
        <v>0</v>
      </c>
      <c r="G26" s="190"/>
      <c r="H26" s="190"/>
      <c r="I26" s="190"/>
      <c r="J26" s="190"/>
      <c r="K26" s="190"/>
      <c r="L26" s="190"/>
      <c r="M26" s="190"/>
      <c r="N26" s="190"/>
      <c r="O26" s="342"/>
      <c r="P26" s="207"/>
      <c r="Q26" s="190"/>
      <c r="R26" s="190"/>
      <c r="S26" s="207"/>
      <c r="T26" s="190"/>
      <c r="U26" s="190" t="s">
        <v>0</v>
      </c>
      <c r="V26" s="190"/>
      <c r="W26" s="190"/>
      <c r="X26" s="190"/>
      <c r="Y26" s="190"/>
      <c r="AB26" s="190" t="s">
        <v>0</v>
      </c>
      <c r="AC26" s="190" t="s">
        <v>0</v>
      </c>
      <c r="AD26" t="s">
        <v>0</v>
      </c>
    </row>
    <row r="27" spans="1:40" ht="22.35" customHeight="1" x14ac:dyDescent="0.2">
      <c r="A27" s="373"/>
      <c r="B27" s="190"/>
      <c r="C27" s="220" t="s">
        <v>0</v>
      </c>
      <c r="D27" s="359" t="s">
        <v>0</v>
      </c>
      <c r="E27" s="359" t="s">
        <v>0</v>
      </c>
      <c r="F27" s="359" t="s">
        <v>0</v>
      </c>
      <c r="G27" s="190"/>
      <c r="H27" s="190"/>
      <c r="I27" s="190"/>
      <c r="J27" s="190"/>
      <c r="K27" s="190"/>
      <c r="L27" s="190"/>
      <c r="M27" s="190"/>
      <c r="N27" s="190"/>
      <c r="O27" s="190"/>
      <c r="P27" s="190"/>
      <c r="Q27" s="190"/>
      <c r="R27" s="190"/>
      <c r="S27" s="190"/>
      <c r="T27" s="190"/>
      <c r="U27" s="190"/>
      <c r="V27" s="190"/>
      <c r="W27" s="190"/>
      <c r="X27" s="190"/>
      <c r="Y27" s="190"/>
      <c r="AB27" t="s">
        <v>0</v>
      </c>
    </row>
    <row r="28" spans="1:40" ht="22.35" customHeight="1" x14ac:dyDescent="0.2">
      <c r="A28" s="373"/>
      <c r="B28" s="190"/>
      <c r="C28" s="190"/>
      <c r="G28" s="190"/>
      <c r="H28" s="190"/>
      <c r="I28" s="190"/>
      <c r="J28" s="190"/>
      <c r="K28" s="190"/>
      <c r="L28" s="190"/>
      <c r="M28" s="190"/>
      <c r="N28" s="190"/>
      <c r="O28" s="190"/>
      <c r="P28" s="190"/>
      <c r="Q28" s="190"/>
      <c r="R28" s="190"/>
      <c r="S28" s="190"/>
      <c r="T28" s="190"/>
      <c r="U28" s="190"/>
      <c r="V28" s="190"/>
      <c r="W28" s="190"/>
      <c r="X28" s="190"/>
      <c r="Y28" s="190"/>
    </row>
    <row r="29" spans="1:40" ht="22.35" customHeight="1" x14ac:dyDescent="0.2">
      <c r="A29" s="373"/>
      <c r="B29" s="190"/>
      <c r="C29" s="190"/>
      <c r="D29" s="190"/>
      <c r="E29" s="190"/>
      <c r="F29" s="190"/>
      <c r="G29" s="190"/>
      <c r="H29" s="190"/>
      <c r="I29" s="190"/>
      <c r="J29" s="190"/>
      <c r="K29" s="190"/>
      <c r="L29" s="190"/>
      <c r="M29" s="190"/>
      <c r="N29" s="190"/>
      <c r="O29" s="190"/>
      <c r="P29" s="190"/>
      <c r="Q29" s="190"/>
      <c r="R29" s="190"/>
      <c r="S29" s="190"/>
      <c r="T29" s="190"/>
      <c r="U29" s="190"/>
      <c r="V29" s="190"/>
      <c r="W29" s="190"/>
      <c r="X29" s="190"/>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2419" t="s">
        <v>62</v>
      </c>
      <c r="B31" s="2420"/>
      <c r="C31" s="2420"/>
      <c r="D31" s="2421" t="s">
        <v>63</v>
      </c>
      <c r="E31" s="2422"/>
      <c r="F31" s="2422"/>
      <c r="G31" s="2422"/>
      <c r="H31" s="2422"/>
      <c r="I31" s="2422"/>
      <c r="J31" s="2422"/>
      <c r="K31" s="2422"/>
      <c r="L31" s="2422"/>
      <c r="M31" s="2423" t="s">
        <v>65</v>
      </c>
      <c r="N31" s="2422"/>
      <c r="O31" s="2422"/>
      <c r="P31" s="2422"/>
      <c r="Q31" s="2422"/>
      <c r="R31" s="2422"/>
      <c r="S31" s="2424"/>
      <c r="T31" s="4942" t="s">
        <v>66</v>
      </c>
      <c r="U31" s="4943"/>
      <c r="V31" s="4943"/>
      <c r="W31" s="4943"/>
      <c r="X31" s="4943"/>
      <c r="Y31" s="4943"/>
      <c r="Z31" s="4944"/>
      <c r="AA31" s="2425" t="s">
        <v>67</v>
      </c>
      <c r="AB31" s="2426"/>
      <c r="AC31" s="2426"/>
      <c r="AD31" s="2426"/>
      <c r="AE31" s="2426"/>
      <c r="AF31" s="2426"/>
      <c r="AG31" s="2427"/>
      <c r="AK31" s="1"/>
    </row>
    <row r="32" spans="1:40" ht="22.35" customHeight="1" x14ac:dyDescent="0.2">
      <c r="A32" s="440" t="s">
        <v>68</v>
      </c>
      <c r="B32" s="2162"/>
      <c r="C32" s="2162"/>
      <c r="D32" s="624" t="s">
        <v>69</v>
      </c>
      <c r="E32" s="625"/>
      <c r="F32" s="425"/>
      <c r="G32" s="425"/>
      <c r="H32" s="425"/>
      <c r="I32" s="425"/>
      <c r="J32" s="425"/>
      <c r="K32" s="425"/>
      <c r="L32" s="431"/>
      <c r="M32" s="2428" t="s">
        <v>70</v>
      </c>
      <c r="N32" s="2162"/>
      <c r="O32" s="2429"/>
      <c r="P32" s="2162"/>
      <c r="Q32" s="2162"/>
      <c r="R32" s="2162"/>
      <c r="S32" s="2430"/>
      <c r="T32" s="624" t="s">
        <v>71</v>
      </c>
      <c r="U32" s="425"/>
      <c r="V32" s="625"/>
      <c r="W32" s="425"/>
      <c r="X32" s="425"/>
      <c r="Y32" s="425"/>
      <c r="Z32" s="431"/>
      <c r="AA32" s="159" t="s">
        <v>72</v>
      </c>
      <c r="AD32" s="100"/>
      <c r="AG32" s="103"/>
      <c r="AK32" s="1"/>
    </row>
    <row r="33" spans="1:38" ht="22.35" customHeight="1" x14ac:dyDescent="0.2">
      <c r="A33" s="884" t="s">
        <v>73</v>
      </c>
      <c r="B33" s="425"/>
      <c r="C33" s="425"/>
      <c r="D33" s="629"/>
      <c r="E33" s="425"/>
      <c r="F33" s="425"/>
      <c r="G33" s="431"/>
      <c r="H33" s="612" t="s">
        <v>74</v>
      </c>
      <c r="I33" s="425"/>
      <c r="J33" s="425"/>
      <c r="K33" s="425"/>
      <c r="L33" s="425"/>
      <c r="M33" s="630"/>
      <c r="N33" s="425"/>
      <c r="O33" s="425"/>
      <c r="P33" s="425"/>
      <c r="Q33" s="425"/>
      <c r="R33" s="425"/>
      <c r="S33" s="425"/>
      <c r="T33" s="629"/>
      <c r="U33" s="158" t="s">
        <v>75</v>
      </c>
      <c r="AA33" s="2429"/>
      <c r="AB33" s="2162"/>
      <c r="AC33" s="2162"/>
      <c r="AD33" s="2162"/>
      <c r="AE33" s="2162"/>
      <c r="AF33" s="2162"/>
      <c r="AG33" s="2431"/>
      <c r="AK33" s="64"/>
    </row>
    <row r="34" spans="1:38" ht="22.35" customHeight="1" thickBot="1" x14ac:dyDescent="0.25">
      <c r="A34" s="631" t="s">
        <v>76</v>
      </c>
      <c r="B34" s="734"/>
      <c r="C34" s="734"/>
      <c r="D34" s="888"/>
      <c r="E34" s="734"/>
      <c r="F34" s="734"/>
      <c r="G34" s="889"/>
      <c r="H34" s="890" t="s">
        <v>77</v>
      </c>
      <c r="I34" s="889"/>
      <c r="J34" s="734"/>
      <c r="K34" s="734"/>
      <c r="L34" s="734"/>
      <c r="M34" s="891"/>
      <c r="N34" s="734"/>
      <c r="O34" s="734"/>
      <c r="P34" s="734"/>
      <c r="Q34" s="892"/>
      <c r="R34" s="892"/>
      <c r="S34" s="892"/>
      <c r="T34" s="888"/>
      <c r="U34" s="893" t="s">
        <v>78</v>
      </c>
      <c r="V34" s="734"/>
      <c r="W34" s="734"/>
      <c r="X34" s="734"/>
      <c r="Y34" s="734"/>
      <c r="Z34" s="734"/>
      <c r="AA34" s="734"/>
      <c r="AB34" s="734"/>
      <c r="AC34" s="734"/>
      <c r="AD34" s="734"/>
      <c r="AE34" s="734"/>
      <c r="AF34" s="734"/>
      <c r="AG34" s="89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632" t="s">
        <v>28</v>
      </c>
      <c r="B36" s="633" t="s">
        <v>29</v>
      </c>
      <c r="C36" s="796">
        <v>1</v>
      </c>
      <c r="D36" s="796">
        <v>2</v>
      </c>
      <c r="E36" s="796">
        <v>3</v>
      </c>
      <c r="F36" s="796">
        <v>4</v>
      </c>
      <c r="G36" s="795">
        <v>5</v>
      </c>
      <c r="H36" s="795">
        <v>6</v>
      </c>
      <c r="I36" s="796">
        <v>7</v>
      </c>
      <c r="J36" s="796">
        <v>8</v>
      </c>
      <c r="K36" s="796">
        <v>9</v>
      </c>
      <c r="L36" s="796">
        <v>10</v>
      </c>
      <c r="M36" s="796">
        <v>11</v>
      </c>
      <c r="N36" s="795">
        <v>12</v>
      </c>
      <c r="O36" s="795">
        <v>13</v>
      </c>
      <c r="P36" s="796">
        <v>14</v>
      </c>
      <c r="Q36" s="796">
        <v>15</v>
      </c>
      <c r="R36" s="796">
        <v>16</v>
      </c>
      <c r="S36" s="796">
        <v>17</v>
      </c>
      <c r="T36" s="796">
        <v>18</v>
      </c>
      <c r="U36" s="795">
        <v>19</v>
      </c>
      <c r="V36" s="795">
        <v>20</v>
      </c>
      <c r="W36" s="796">
        <v>21</v>
      </c>
      <c r="X36" s="796">
        <v>22</v>
      </c>
      <c r="Y36" s="796">
        <v>23</v>
      </c>
      <c r="Z36" s="796">
        <v>24</v>
      </c>
      <c r="AA36" s="796">
        <v>25</v>
      </c>
      <c r="AB36" s="795">
        <v>26</v>
      </c>
      <c r="AC36" s="795">
        <v>27</v>
      </c>
      <c r="AD36" s="796">
        <v>28</v>
      </c>
      <c r="AE36" s="796">
        <v>29</v>
      </c>
      <c r="AF36" s="796">
        <v>30</v>
      </c>
      <c r="AG36" s="797"/>
      <c r="AH36" s="173"/>
      <c r="AI36" s="174"/>
      <c r="AL36" t="s">
        <v>0</v>
      </c>
    </row>
    <row r="37" spans="1:38" ht="22.35" customHeight="1" x14ac:dyDescent="0.2">
      <c r="A37" s="2432">
        <v>1</v>
      </c>
      <c r="B37" s="2433" t="s">
        <v>79</v>
      </c>
      <c r="C37" s="2434" t="s">
        <v>36</v>
      </c>
      <c r="D37" s="2244" t="s">
        <v>36</v>
      </c>
      <c r="E37" s="2434" t="s">
        <v>36</v>
      </c>
      <c r="F37" s="2434" t="s">
        <v>36</v>
      </c>
      <c r="G37" s="2434" t="s">
        <v>83</v>
      </c>
      <c r="H37" s="2434" t="s">
        <v>83</v>
      </c>
      <c r="I37" s="2434">
        <v>8</v>
      </c>
      <c r="J37" s="2244">
        <v>8</v>
      </c>
      <c r="K37" s="2434">
        <v>8</v>
      </c>
      <c r="L37" s="2434">
        <v>8</v>
      </c>
      <c r="M37" s="2434">
        <v>8</v>
      </c>
      <c r="N37" s="2434"/>
      <c r="O37" s="2244"/>
      <c r="P37" s="2434" t="s">
        <v>36</v>
      </c>
      <c r="Q37" s="2435" t="s">
        <v>36</v>
      </c>
      <c r="R37" s="2244" t="s">
        <v>36</v>
      </c>
      <c r="S37" s="2434" t="s">
        <v>36</v>
      </c>
      <c r="T37" s="2434" t="s">
        <v>36</v>
      </c>
      <c r="U37" s="2434"/>
      <c r="V37" s="2434"/>
      <c r="W37" s="2436">
        <v>1</v>
      </c>
      <c r="X37" s="2437">
        <v>1</v>
      </c>
      <c r="Y37" s="2437">
        <v>1</v>
      </c>
      <c r="Z37" s="2436">
        <v>1</v>
      </c>
      <c r="AA37" s="2436">
        <v>1</v>
      </c>
      <c r="AB37" s="2435"/>
      <c r="AC37" s="2435"/>
      <c r="AD37" s="2437">
        <v>9</v>
      </c>
      <c r="AE37" s="2436">
        <v>9</v>
      </c>
      <c r="AF37" s="2436">
        <v>9</v>
      </c>
      <c r="AG37" s="2438"/>
      <c r="AH37" s="178"/>
      <c r="AI37" s="179"/>
    </row>
    <row r="38" spans="1:38" ht="22.35" customHeight="1" x14ac:dyDescent="0.2">
      <c r="A38" s="904">
        <v>6</v>
      </c>
      <c r="B38" s="1182" t="s">
        <v>84</v>
      </c>
      <c r="C38" s="809" t="s">
        <v>36</v>
      </c>
      <c r="D38" s="809" t="s">
        <v>36</v>
      </c>
      <c r="E38" s="809" t="s">
        <v>36</v>
      </c>
      <c r="F38" s="809" t="s">
        <v>36</v>
      </c>
      <c r="G38" s="809" t="s">
        <v>82</v>
      </c>
      <c r="H38" s="809" t="s">
        <v>83</v>
      </c>
      <c r="I38" s="809">
        <v>6</v>
      </c>
      <c r="J38" s="809">
        <v>6</v>
      </c>
      <c r="K38" s="809">
        <v>6</v>
      </c>
      <c r="L38" s="809">
        <v>6</v>
      </c>
      <c r="M38" s="809">
        <v>6</v>
      </c>
      <c r="N38" s="813"/>
      <c r="O38" s="809"/>
      <c r="P38" s="809" t="s">
        <v>36</v>
      </c>
      <c r="Q38" s="809" t="s">
        <v>36</v>
      </c>
      <c r="R38" s="809" t="s">
        <v>36</v>
      </c>
      <c r="S38" s="809" t="s">
        <v>36</v>
      </c>
      <c r="T38" s="809" t="s">
        <v>36</v>
      </c>
      <c r="U38" s="809"/>
      <c r="V38" s="809"/>
      <c r="W38" s="2439">
        <v>5</v>
      </c>
      <c r="X38" s="2439">
        <v>5</v>
      </c>
      <c r="Y38" s="2439">
        <v>5</v>
      </c>
      <c r="Z38" s="2439">
        <v>5</v>
      </c>
      <c r="AA38" s="2439">
        <v>5</v>
      </c>
      <c r="AB38" s="2439"/>
      <c r="AC38" s="2439"/>
      <c r="AD38" s="809">
        <v>10</v>
      </c>
      <c r="AE38" s="809">
        <v>10</v>
      </c>
      <c r="AF38" s="809">
        <v>10</v>
      </c>
      <c r="AG38" s="1199"/>
      <c r="AH38" s="178"/>
      <c r="AI38" s="179"/>
    </row>
    <row r="39" spans="1:38" ht="22.35" customHeight="1" thickBot="1" x14ac:dyDescent="0.25">
      <c r="A39" s="673">
        <v>11</v>
      </c>
      <c r="B39" s="905" t="s">
        <v>85</v>
      </c>
      <c r="C39" s="906" t="s">
        <v>32</v>
      </c>
      <c r="D39" s="906" t="s">
        <v>32</v>
      </c>
      <c r="E39" s="906" t="s">
        <v>32</v>
      </c>
      <c r="F39" s="906" t="s">
        <v>51</v>
      </c>
      <c r="G39" s="1345" t="s">
        <v>0</v>
      </c>
      <c r="H39" s="1345" t="s">
        <v>0</v>
      </c>
      <c r="I39" s="1345" t="s">
        <v>32</v>
      </c>
      <c r="J39" s="1345" t="s">
        <v>32</v>
      </c>
      <c r="K39" s="906" t="s">
        <v>32</v>
      </c>
      <c r="L39" s="1345" t="s">
        <v>32</v>
      </c>
      <c r="M39" s="1345" t="s">
        <v>32</v>
      </c>
      <c r="N39" s="907"/>
      <c r="O39" s="907"/>
      <c r="P39" s="908" t="s">
        <v>32</v>
      </c>
      <c r="Q39" s="908" t="s">
        <v>32</v>
      </c>
      <c r="R39" s="931" t="s">
        <v>32</v>
      </c>
      <c r="S39" s="908" t="s">
        <v>32</v>
      </c>
      <c r="T39" s="908" t="s">
        <v>32</v>
      </c>
      <c r="U39" s="910"/>
      <c r="V39" s="910"/>
      <c r="W39" s="908" t="s">
        <v>32</v>
      </c>
      <c r="X39" s="908" t="s">
        <v>32</v>
      </c>
      <c r="Y39" s="931" t="s">
        <v>32</v>
      </c>
      <c r="Z39" s="908" t="s">
        <v>32</v>
      </c>
      <c r="AA39" s="908" t="s">
        <v>32</v>
      </c>
      <c r="AB39" s="930"/>
      <c r="AC39" s="930"/>
      <c r="AD39" s="908" t="s">
        <v>32</v>
      </c>
      <c r="AE39" s="908" t="s">
        <v>32</v>
      </c>
      <c r="AF39" s="931" t="s">
        <v>32</v>
      </c>
      <c r="AG39" s="645"/>
      <c r="AH39" s="178"/>
      <c r="AI39" s="179"/>
    </row>
    <row r="40" spans="1:38" ht="22.35" customHeight="1" x14ac:dyDescent="0.2">
      <c r="A40" s="2432">
        <v>2</v>
      </c>
      <c r="B40" s="172" t="s">
        <v>88</v>
      </c>
      <c r="C40" s="2440">
        <v>8</v>
      </c>
      <c r="D40" s="2440">
        <v>8</v>
      </c>
      <c r="E40" s="2440">
        <v>8</v>
      </c>
      <c r="F40" s="2440">
        <v>8</v>
      </c>
      <c r="G40" s="2440"/>
      <c r="H40" s="2434"/>
      <c r="I40" s="2434" t="s">
        <v>36</v>
      </c>
      <c r="J40" s="2244" t="s">
        <v>36</v>
      </c>
      <c r="K40" s="2244" t="s">
        <v>36</v>
      </c>
      <c r="L40" s="2434" t="s">
        <v>36</v>
      </c>
      <c r="M40" s="2434" t="s">
        <v>36</v>
      </c>
      <c r="N40" s="2434"/>
      <c r="O40" s="2435"/>
      <c r="P40" s="2434">
        <v>1</v>
      </c>
      <c r="Q40" s="2435">
        <v>1</v>
      </c>
      <c r="R40" s="2435">
        <v>1</v>
      </c>
      <c r="S40" s="2244">
        <v>1</v>
      </c>
      <c r="T40" s="2435">
        <v>1</v>
      </c>
      <c r="U40" s="2435"/>
      <c r="V40" s="2435"/>
      <c r="W40" s="2435">
        <v>9</v>
      </c>
      <c r="X40" s="2435">
        <v>9</v>
      </c>
      <c r="Y40" s="2434">
        <v>9</v>
      </c>
      <c r="Z40" s="2434">
        <v>9</v>
      </c>
      <c r="AA40" s="2434">
        <v>9</v>
      </c>
      <c r="AB40" s="2434" t="s">
        <v>80</v>
      </c>
      <c r="AC40" s="2435" t="s">
        <v>81</v>
      </c>
      <c r="AD40" s="2435" t="s">
        <v>36</v>
      </c>
      <c r="AE40" s="2434" t="s">
        <v>36</v>
      </c>
      <c r="AF40" s="2434" t="s">
        <v>36</v>
      </c>
      <c r="AG40" s="2438"/>
      <c r="AH40" s="178"/>
      <c r="AI40" s="179"/>
    </row>
    <row r="41" spans="1:38" ht="22.35" customHeight="1" x14ac:dyDescent="0.2">
      <c r="A41" s="904">
        <v>7</v>
      </c>
      <c r="B41" s="819" t="s">
        <v>91</v>
      </c>
      <c r="C41" s="815">
        <v>6</v>
      </c>
      <c r="D41" s="815">
        <v>6</v>
      </c>
      <c r="E41" s="815">
        <v>6</v>
      </c>
      <c r="F41" s="815">
        <v>6</v>
      </c>
      <c r="G41" s="868"/>
      <c r="H41" s="868"/>
      <c r="I41" s="814" t="s">
        <v>36</v>
      </c>
      <c r="J41" s="828" t="s">
        <v>36</v>
      </c>
      <c r="K41" s="828" t="s">
        <v>36</v>
      </c>
      <c r="L41" s="828" t="s">
        <v>36</v>
      </c>
      <c r="M41" s="828" t="s">
        <v>36</v>
      </c>
      <c r="N41" s="828"/>
      <c r="O41" s="813" t="s">
        <v>35</v>
      </c>
      <c r="P41" s="815">
        <v>5</v>
      </c>
      <c r="Q41" s="815">
        <v>5</v>
      </c>
      <c r="R41" s="815">
        <v>5</v>
      </c>
      <c r="S41" s="815">
        <v>5</v>
      </c>
      <c r="T41" s="815">
        <v>5</v>
      </c>
      <c r="U41" s="916"/>
      <c r="V41" s="916"/>
      <c r="W41" s="916">
        <v>10</v>
      </c>
      <c r="X41" s="868">
        <v>10</v>
      </c>
      <c r="Y41" s="868">
        <v>10</v>
      </c>
      <c r="Z41" s="868">
        <v>10</v>
      </c>
      <c r="AA41" s="868">
        <v>10</v>
      </c>
      <c r="AB41" s="868" t="s">
        <v>81</v>
      </c>
      <c r="AC41" s="868" t="s">
        <v>81</v>
      </c>
      <c r="AD41" s="868" t="s">
        <v>36</v>
      </c>
      <c r="AE41" s="868" t="s">
        <v>36</v>
      </c>
      <c r="AF41" s="868" t="s">
        <v>36</v>
      </c>
      <c r="AG41" s="917"/>
      <c r="AH41" s="178"/>
      <c r="AI41" s="179"/>
    </row>
    <row r="42" spans="1:38" ht="22.35" customHeight="1" thickBot="1" x14ac:dyDescent="0.25">
      <c r="A42" s="673">
        <v>12</v>
      </c>
      <c r="B42" s="634" t="s">
        <v>93</v>
      </c>
      <c r="C42" s="907">
        <v>7</v>
      </c>
      <c r="D42" s="907">
        <v>7</v>
      </c>
      <c r="E42" s="907">
        <v>7</v>
      </c>
      <c r="F42" s="911">
        <v>7</v>
      </c>
      <c r="G42" s="907"/>
      <c r="H42" s="907"/>
      <c r="I42" s="911">
        <v>4</v>
      </c>
      <c r="J42" s="2441">
        <v>4</v>
      </c>
      <c r="K42" s="2441">
        <v>4</v>
      </c>
      <c r="L42" s="2441">
        <v>4</v>
      </c>
      <c r="M42" s="2441">
        <v>4</v>
      </c>
      <c r="N42" s="2441"/>
      <c r="O42" s="920" t="s">
        <v>57</v>
      </c>
      <c r="P42" s="908">
        <v>3</v>
      </c>
      <c r="Q42" s="908">
        <v>3</v>
      </c>
      <c r="R42" s="908">
        <v>3</v>
      </c>
      <c r="S42" s="908">
        <v>3</v>
      </c>
      <c r="T42" s="908">
        <v>3</v>
      </c>
      <c r="U42" s="930"/>
      <c r="V42" s="930"/>
      <c r="W42" s="930">
        <v>11</v>
      </c>
      <c r="X42" s="908">
        <v>11</v>
      </c>
      <c r="Y42" s="908">
        <v>11</v>
      </c>
      <c r="Z42" s="908">
        <v>11</v>
      </c>
      <c r="AA42" s="908">
        <v>11</v>
      </c>
      <c r="AB42" s="2442" t="s">
        <v>94</v>
      </c>
      <c r="AC42" s="2443" t="s">
        <v>94</v>
      </c>
      <c r="AD42" s="911" t="s">
        <v>36</v>
      </c>
      <c r="AE42" s="911" t="s">
        <v>36</v>
      </c>
      <c r="AF42" s="911" t="s">
        <v>36</v>
      </c>
      <c r="AG42" s="912"/>
      <c r="AH42" s="178"/>
      <c r="AI42" s="179"/>
    </row>
    <row r="43" spans="1:38" ht="22.35" customHeight="1" x14ac:dyDescent="0.2">
      <c r="A43" s="2432">
        <v>3</v>
      </c>
      <c r="B43" s="2444" t="s">
        <v>96</v>
      </c>
      <c r="C43" s="2445" t="s">
        <v>36</v>
      </c>
      <c r="D43" s="2445" t="s">
        <v>36</v>
      </c>
      <c r="E43" s="2445" t="s">
        <v>36</v>
      </c>
      <c r="F43" s="2445" t="s">
        <v>36</v>
      </c>
      <c r="G43" s="2445"/>
      <c r="H43" s="2445"/>
      <c r="I43" s="2445">
        <v>1</v>
      </c>
      <c r="J43" s="2445">
        <v>1</v>
      </c>
      <c r="K43" s="2445">
        <v>1</v>
      </c>
      <c r="L43" s="2445">
        <v>1</v>
      </c>
      <c r="M43" s="2445">
        <v>1</v>
      </c>
      <c r="N43" s="2445"/>
      <c r="O43" s="2445"/>
      <c r="P43" s="2445">
        <v>9</v>
      </c>
      <c r="Q43" s="2445">
        <v>9</v>
      </c>
      <c r="R43" s="2445">
        <v>9</v>
      </c>
      <c r="S43" s="2445">
        <v>9</v>
      </c>
      <c r="T43" s="2445">
        <v>9</v>
      </c>
      <c r="U43" s="2445" t="s">
        <v>80</v>
      </c>
      <c r="V43" s="2445" t="s">
        <v>81</v>
      </c>
      <c r="W43" s="2445" t="s">
        <v>36</v>
      </c>
      <c r="X43" s="2445" t="s">
        <v>36</v>
      </c>
      <c r="Y43" s="2445" t="s">
        <v>36</v>
      </c>
      <c r="Z43" s="2445" t="s">
        <v>36</v>
      </c>
      <c r="AA43" s="2445" t="s">
        <v>36</v>
      </c>
      <c r="AB43" s="2445" t="s">
        <v>82</v>
      </c>
      <c r="AC43" s="2445" t="s">
        <v>83</v>
      </c>
      <c r="AD43" s="2445">
        <v>6</v>
      </c>
      <c r="AE43" s="2445">
        <v>6</v>
      </c>
      <c r="AF43" s="2445">
        <v>6</v>
      </c>
      <c r="AG43" s="2438"/>
      <c r="AH43" s="178"/>
      <c r="AI43" s="179"/>
    </row>
    <row r="44" spans="1:38" ht="22.35" customHeight="1" x14ac:dyDescent="0.2">
      <c r="A44" s="904">
        <v>8</v>
      </c>
      <c r="B44" s="819" t="s">
        <v>97</v>
      </c>
      <c r="C44" s="816" t="s">
        <v>36</v>
      </c>
      <c r="D44" s="816" t="s">
        <v>36</v>
      </c>
      <c r="E44" s="816" t="s">
        <v>36</v>
      </c>
      <c r="F44" s="816" t="s">
        <v>36</v>
      </c>
      <c r="G44" s="815"/>
      <c r="H44" s="815"/>
      <c r="I44" s="868">
        <v>5</v>
      </c>
      <c r="J44" s="814">
        <v>5</v>
      </c>
      <c r="K44" s="809">
        <v>5</v>
      </c>
      <c r="L44" s="809">
        <v>5</v>
      </c>
      <c r="M44" s="809">
        <v>5</v>
      </c>
      <c r="N44" s="815"/>
      <c r="O44" s="828"/>
      <c r="P44" s="828">
        <v>10</v>
      </c>
      <c r="Q44" s="828">
        <v>10</v>
      </c>
      <c r="R44" s="828">
        <v>10</v>
      </c>
      <c r="S44" s="828">
        <v>10</v>
      </c>
      <c r="T44" s="828">
        <v>10</v>
      </c>
      <c r="U44" s="828" t="s">
        <v>81</v>
      </c>
      <c r="V44" s="868" t="s">
        <v>81</v>
      </c>
      <c r="W44" s="868" t="s">
        <v>36</v>
      </c>
      <c r="X44" s="814" t="s">
        <v>36</v>
      </c>
      <c r="Y44" s="868" t="s">
        <v>36</v>
      </c>
      <c r="Z44" s="868" t="s">
        <v>36</v>
      </c>
      <c r="AA44" s="868" t="s">
        <v>36</v>
      </c>
      <c r="AB44" s="868" t="s">
        <v>57</v>
      </c>
      <c r="AC44" s="868" t="s">
        <v>57</v>
      </c>
      <c r="AD44" s="928">
        <v>7</v>
      </c>
      <c r="AE44" s="928">
        <v>7</v>
      </c>
      <c r="AF44" s="928">
        <v>7</v>
      </c>
      <c r="AG44" s="917"/>
      <c r="AH44" s="178"/>
      <c r="AI44" s="179"/>
    </row>
    <row r="45" spans="1:38" ht="22.35" customHeight="1" thickBot="1" x14ac:dyDescent="0.25">
      <c r="A45" s="673">
        <v>13</v>
      </c>
      <c r="B45" s="905" t="s">
        <v>98</v>
      </c>
      <c r="C45" s="911">
        <v>4</v>
      </c>
      <c r="D45" s="911">
        <v>4</v>
      </c>
      <c r="E45" s="2257">
        <v>4</v>
      </c>
      <c r="F45" s="2257">
        <v>4</v>
      </c>
      <c r="G45" s="908"/>
      <c r="H45" s="908"/>
      <c r="I45" s="911">
        <v>3</v>
      </c>
      <c r="J45" s="911">
        <v>3</v>
      </c>
      <c r="K45" s="911">
        <v>3</v>
      </c>
      <c r="L45" s="2446">
        <v>3</v>
      </c>
      <c r="M45" s="2257">
        <v>3</v>
      </c>
      <c r="N45" s="930"/>
      <c r="O45" s="930"/>
      <c r="P45" s="2441">
        <v>11</v>
      </c>
      <c r="Q45" s="2441">
        <v>11</v>
      </c>
      <c r="R45" s="2441">
        <v>11</v>
      </c>
      <c r="S45" s="2441">
        <v>11</v>
      </c>
      <c r="T45" s="2441">
        <v>11</v>
      </c>
      <c r="U45" s="2441" t="s">
        <v>94</v>
      </c>
      <c r="V45" s="2441" t="s">
        <v>94</v>
      </c>
      <c r="W45" s="908" t="s">
        <v>36</v>
      </c>
      <c r="X45" s="908" t="s">
        <v>36</v>
      </c>
      <c r="Y45" s="796" t="s">
        <v>36</v>
      </c>
      <c r="Z45" s="908" t="s">
        <v>36</v>
      </c>
      <c r="AA45" s="908" t="s">
        <v>36</v>
      </c>
      <c r="AB45" s="908" t="s">
        <v>83</v>
      </c>
      <c r="AC45" s="908" t="s">
        <v>83</v>
      </c>
      <c r="AD45" s="908">
        <v>8</v>
      </c>
      <c r="AE45" s="796">
        <v>8</v>
      </c>
      <c r="AF45" s="908">
        <v>8</v>
      </c>
      <c r="AG45" s="645"/>
      <c r="AH45" s="178"/>
      <c r="AI45" s="179"/>
    </row>
    <row r="46" spans="1:38" ht="22.35" customHeight="1" x14ac:dyDescent="0.2">
      <c r="A46" s="2432">
        <v>4</v>
      </c>
      <c r="B46" s="2433" t="s">
        <v>442</v>
      </c>
      <c r="C46" s="2434">
        <v>1</v>
      </c>
      <c r="D46" s="2435">
        <v>1</v>
      </c>
      <c r="E46" s="2434">
        <v>1</v>
      </c>
      <c r="F46" s="2244">
        <v>1</v>
      </c>
      <c r="G46" s="2244"/>
      <c r="H46" s="2244"/>
      <c r="I46" s="2244">
        <v>9</v>
      </c>
      <c r="J46" s="2244">
        <v>9</v>
      </c>
      <c r="K46" s="2244">
        <v>9</v>
      </c>
      <c r="L46" s="2244">
        <v>9</v>
      </c>
      <c r="M46" s="2244">
        <v>9</v>
      </c>
      <c r="N46" s="2244" t="s">
        <v>80</v>
      </c>
      <c r="O46" s="2244" t="s">
        <v>81</v>
      </c>
      <c r="P46" s="2244" t="s">
        <v>36</v>
      </c>
      <c r="Q46" s="2244" t="s">
        <v>36</v>
      </c>
      <c r="R46" s="2244" t="s">
        <v>36</v>
      </c>
      <c r="S46" s="2244" t="s">
        <v>36</v>
      </c>
      <c r="T46" s="2434" t="s">
        <v>36</v>
      </c>
      <c r="U46" s="2434" t="s">
        <v>82</v>
      </c>
      <c r="V46" s="2447" t="s">
        <v>83</v>
      </c>
      <c r="W46" s="2436">
        <v>6</v>
      </c>
      <c r="X46" s="2448">
        <v>6</v>
      </c>
      <c r="Y46" s="2449">
        <v>6</v>
      </c>
      <c r="Z46" s="2436">
        <v>6</v>
      </c>
      <c r="AA46" s="2436">
        <v>6</v>
      </c>
      <c r="AB46" s="2434"/>
      <c r="AC46" s="2254"/>
      <c r="AD46" s="2434" t="s">
        <v>36</v>
      </c>
      <c r="AE46" s="2435" t="s">
        <v>36</v>
      </c>
      <c r="AF46" s="2434" t="s">
        <v>36</v>
      </c>
      <c r="AG46" s="2438"/>
      <c r="AH46" s="178"/>
      <c r="AI46" s="179"/>
    </row>
    <row r="47" spans="1:38" ht="22.35" customHeight="1" x14ac:dyDescent="0.2">
      <c r="A47" s="904">
        <v>9</v>
      </c>
      <c r="B47" s="819" t="s">
        <v>100</v>
      </c>
      <c r="C47" s="928">
        <v>5</v>
      </c>
      <c r="D47" s="928">
        <v>5</v>
      </c>
      <c r="E47" s="928">
        <v>5</v>
      </c>
      <c r="F47" s="928">
        <v>5</v>
      </c>
      <c r="G47" s="928"/>
      <c r="H47" s="928"/>
      <c r="I47" s="868">
        <v>10</v>
      </c>
      <c r="J47" s="868">
        <v>10</v>
      </c>
      <c r="K47" s="868">
        <v>10</v>
      </c>
      <c r="L47" s="868">
        <v>10</v>
      </c>
      <c r="M47" s="868">
        <v>10</v>
      </c>
      <c r="N47" s="868" t="s">
        <v>81</v>
      </c>
      <c r="O47" s="868" t="s">
        <v>81</v>
      </c>
      <c r="P47" s="868" t="s">
        <v>36</v>
      </c>
      <c r="Q47" s="814" t="s">
        <v>36</v>
      </c>
      <c r="R47" s="868" t="s">
        <v>36</v>
      </c>
      <c r="S47" s="868" t="s">
        <v>36</v>
      </c>
      <c r="T47" s="868" t="s">
        <v>36</v>
      </c>
      <c r="U47" s="868" t="s">
        <v>57</v>
      </c>
      <c r="V47" s="868" t="s">
        <v>57</v>
      </c>
      <c r="W47" s="868">
        <v>7</v>
      </c>
      <c r="X47" s="868">
        <v>7</v>
      </c>
      <c r="Y47" s="868">
        <v>7</v>
      </c>
      <c r="Z47" s="868">
        <v>7</v>
      </c>
      <c r="AA47" s="868">
        <v>7</v>
      </c>
      <c r="AB47" s="868"/>
      <c r="AC47" s="868"/>
      <c r="AD47" s="2450">
        <v>4</v>
      </c>
      <c r="AE47" s="2450">
        <v>4</v>
      </c>
      <c r="AF47" s="2450">
        <v>4</v>
      </c>
      <c r="AG47" s="917"/>
      <c r="AH47" s="178"/>
      <c r="AI47" s="179"/>
    </row>
    <row r="48" spans="1:38" ht="22.35" customHeight="1" thickBot="1" x14ac:dyDescent="0.25">
      <c r="A48" s="673">
        <v>14</v>
      </c>
      <c r="B48" s="905" t="s">
        <v>102</v>
      </c>
      <c r="C48" s="796">
        <v>3</v>
      </c>
      <c r="D48" s="908">
        <v>3</v>
      </c>
      <c r="E48" s="908">
        <v>3</v>
      </c>
      <c r="F48" s="2257">
        <v>3</v>
      </c>
      <c r="G48" s="930"/>
      <c r="H48" s="930"/>
      <c r="I48" s="930">
        <v>11</v>
      </c>
      <c r="J48" s="908">
        <v>11</v>
      </c>
      <c r="K48" s="908">
        <v>11</v>
      </c>
      <c r="L48" s="908">
        <v>11</v>
      </c>
      <c r="M48" s="908">
        <v>11</v>
      </c>
      <c r="N48" s="908" t="s">
        <v>94</v>
      </c>
      <c r="O48" s="796" t="s">
        <v>94</v>
      </c>
      <c r="P48" s="908" t="s">
        <v>36</v>
      </c>
      <c r="Q48" s="908" t="s">
        <v>36</v>
      </c>
      <c r="R48" s="796" t="s">
        <v>36</v>
      </c>
      <c r="S48" s="908" t="s">
        <v>36</v>
      </c>
      <c r="T48" s="908" t="s">
        <v>36</v>
      </c>
      <c r="U48" s="908" t="s">
        <v>83</v>
      </c>
      <c r="V48" s="908" t="s">
        <v>83</v>
      </c>
      <c r="W48" s="908">
        <v>8</v>
      </c>
      <c r="X48" s="796">
        <v>8</v>
      </c>
      <c r="Y48" s="908">
        <v>8</v>
      </c>
      <c r="Z48" s="908">
        <v>8</v>
      </c>
      <c r="AA48" s="908">
        <v>8</v>
      </c>
      <c r="AB48" s="908"/>
      <c r="AC48" s="796"/>
      <c r="AD48" s="908" t="s">
        <v>36</v>
      </c>
      <c r="AE48" s="908" t="s">
        <v>36</v>
      </c>
      <c r="AF48" s="796" t="s">
        <v>36</v>
      </c>
      <c r="AG48" s="797"/>
      <c r="AH48" s="178"/>
      <c r="AI48" s="179"/>
    </row>
    <row r="49" spans="1:40" ht="22.35" customHeight="1" x14ac:dyDescent="0.2">
      <c r="A49" s="2432">
        <v>5</v>
      </c>
      <c r="B49" s="819" t="s">
        <v>103</v>
      </c>
      <c r="C49" s="2435">
        <v>9</v>
      </c>
      <c r="D49" s="2434">
        <v>9</v>
      </c>
      <c r="E49" s="2434">
        <v>9</v>
      </c>
      <c r="F49" s="2435">
        <v>9</v>
      </c>
      <c r="G49" s="2435" t="s">
        <v>80</v>
      </c>
      <c r="H49" s="2435" t="s">
        <v>81</v>
      </c>
      <c r="I49" s="2435" t="s">
        <v>36</v>
      </c>
      <c r="J49" s="2435" t="s">
        <v>36</v>
      </c>
      <c r="K49" s="2434" t="s">
        <v>36</v>
      </c>
      <c r="L49" s="2434" t="s">
        <v>36</v>
      </c>
      <c r="M49" s="2434" t="s">
        <v>36</v>
      </c>
      <c r="N49" s="2254" t="s">
        <v>82</v>
      </c>
      <c r="O49" s="2244" t="s">
        <v>83</v>
      </c>
      <c r="P49" s="2434">
        <v>6</v>
      </c>
      <c r="Q49" s="2434">
        <v>6</v>
      </c>
      <c r="R49" s="2244">
        <v>6</v>
      </c>
      <c r="S49" s="2434">
        <v>6</v>
      </c>
      <c r="T49" s="2434">
        <v>6</v>
      </c>
      <c r="U49" s="2435"/>
      <c r="V49" s="2435"/>
      <c r="W49" s="2435" t="s">
        <v>36</v>
      </c>
      <c r="X49" s="2435" t="s">
        <v>36</v>
      </c>
      <c r="Y49" s="2451" t="s">
        <v>36</v>
      </c>
      <c r="Z49" s="2435" t="s">
        <v>36</v>
      </c>
      <c r="AA49" s="2435" t="s">
        <v>36</v>
      </c>
      <c r="AB49" s="2435"/>
      <c r="AC49" s="2435"/>
      <c r="AD49" s="2452">
        <v>5</v>
      </c>
      <c r="AE49" s="2452">
        <v>5</v>
      </c>
      <c r="AF49" s="2452">
        <v>5</v>
      </c>
      <c r="AG49" s="2453"/>
      <c r="AH49" s="178"/>
      <c r="AI49" s="179"/>
    </row>
    <row r="50" spans="1:40" ht="22.35" customHeight="1" x14ac:dyDescent="0.2">
      <c r="A50" s="904">
        <v>10</v>
      </c>
      <c r="B50" s="819" t="s">
        <v>104</v>
      </c>
      <c r="C50" s="868">
        <v>10</v>
      </c>
      <c r="D50" s="868">
        <v>10</v>
      </c>
      <c r="E50" s="868">
        <v>10</v>
      </c>
      <c r="F50" s="815">
        <v>10</v>
      </c>
      <c r="G50" s="809" t="s">
        <v>81</v>
      </c>
      <c r="H50" s="809" t="s">
        <v>81</v>
      </c>
      <c r="I50" s="809" t="s">
        <v>36</v>
      </c>
      <c r="J50" s="809" t="s">
        <v>36</v>
      </c>
      <c r="K50" s="809" t="s">
        <v>36</v>
      </c>
      <c r="L50" s="809" t="s">
        <v>36</v>
      </c>
      <c r="M50" s="809" t="s">
        <v>36</v>
      </c>
      <c r="N50" s="820" t="s">
        <v>57</v>
      </c>
      <c r="O50" s="820" t="s">
        <v>57</v>
      </c>
      <c r="P50" s="820">
        <v>7</v>
      </c>
      <c r="Q50" s="820">
        <v>7</v>
      </c>
      <c r="R50" s="820">
        <v>7</v>
      </c>
      <c r="S50" s="820">
        <v>7</v>
      </c>
      <c r="T50" s="820">
        <v>7</v>
      </c>
      <c r="U50" s="820"/>
      <c r="V50" s="820"/>
      <c r="W50" s="2454">
        <v>4</v>
      </c>
      <c r="X50" s="2454">
        <v>4</v>
      </c>
      <c r="Y50" s="2454">
        <v>4</v>
      </c>
      <c r="Z50" s="2454">
        <v>4</v>
      </c>
      <c r="AA50" s="2454">
        <v>4</v>
      </c>
      <c r="AB50" s="2454"/>
      <c r="AC50" s="2454"/>
      <c r="AD50" s="2455">
        <v>3</v>
      </c>
      <c r="AE50" s="2455">
        <v>3</v>
      </c>
      <c r="AF50" s="2455">
        <v>3</v>
      </c>
      <c r="AG50" s="917"/>
      <c r="AH50" s="178"/>
      <c r="AI50" s="179"/>
    </row>
    <row r="51" spans="1:40" ht="22.35" customHeight="1" thickBot="1" x14ac:dyDescent="0.25">
      <c r="A51" s="673">
        <v>15</v>
      </c>
      <c r="B51" s="905" t="s">
        <v>105</v>
      </c>
      <c r="C51" s="908">
        <v>11</v>
      </c>
      <c r="D51" s="908">
        <v>11</v>
      </c>
      <c r="E51" s="908">
        <v>11</v>
      </c>
      <c r="F51" s="930">
        <v>11</v>
      </c>
      <c r="G51" s="930" t="s">
        <v>94</v>
      </c>
      <c r="H51" s="930" t="s">
        <v>94</v>
      </c>
      <c r="I51" s="930" t="s">
        <v>36</v>
      </c>
      <c r="J51" s="930" t="s">
        <v>36</v>
      </c>
      <c r="K51" s="796" t="s">
        <v>36</v>
      </c>
      <c r="L51" s="908" t="s">
        <v>36</v>
      </c>
      <c r="M51" s="908" t="s">
        <v>36</v>
      </c>
      <c r="N51" s="908" t="s">
        <v>83</v>
      </c>
      <c r="O51" s="907" t="s">
        <v>83</v>
      </c>
      <c r="P51" s="907">
        <v>8</v>
      </c>
      <c r="Q51" s="907">
        <v>8</v>
      </c>
      <c r="R51" s="907">
        <v>8</v>
      </c>
      <c r="S51" s="907">
        <v>8</v>
      </c>
      <c r="T51" s="907">
        <v>8</v>
      </c>
      <c r="U51" s="907"/>
      <c r="V51" s="908"/>
      <c r="W51" s="908" t="s">
        <v>36</v>
      </c>
      <c r="X51" s="908" t="s">
        <v>36</v>
      </c>
      <c r="Y51" s="796" t="s">
        <v>36</v>
      </c>
      <c r="Z51" s="908" t="s">
        <v>36</v>
      </c>
      <c r="AA51" s="908" t="s">
        <v>36</v>
      </c>
      <c r="AB51" s="908"/>
      <c r="AC51" s="908"/>
      <c r="AD51" s="908">
        <v>1</v>
      </c>
      <c r="AE51" s="796">
        <v>1</v>
      </c>
      <c r="AF51" s="930">
        <v>1</v>
      </c>
      <c r="AG51" s="635"/>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753" t="s">
        <v>28</v>
      </c>
      <c r="B54" s="753"/>
      <c r="C54" s="741"/>
      <c r="D54" s="753" t="s">
        <v>107</v>
      </c>
      <c r="E54" s="751"/>
      <c r="F54" s="741"/>
      <c r="G54" s="753" t="s">
        <v>108</v>
      </c>
      <c r="H54" s="751"/>
      <c r="I54" s="741"/>
      <c r="J54" s="753" t="s">
        <v>109</v>
      </c>
      <c r="K54" s="751"/>
      <c r="L54" s="741"/>
      <c r="M54" s="753" t="s">
        <v>110</v>
      </c>
      <c r="N54" s="751"/>
      <c r="O54" s="741"/>
      <c r="P54" s="753" t="s">
        <v>111</v>
      </c>
      <c r="Q54" s="751"/>
      <c r="R54" s="636"/>
      <c r="S54" s="637" t="s">
        <v>112</v>
      </c>
      <c r="T54" s="751"/>
      <c r="U54" s="741"/>
      <c r="V54" s="753" t="s">
        <v>113</v>
      </c>
      <c r="W54" s="751"/>
      <c r="X54" s="942" t="s">
        <v>114</v>
      </c>
      <c r="Y54" s="751"/>
      <c r="Z54" s="751"/>
      <c r="AA54" s="638"/>
      <c r="AB54" s="427"/>
      <c r="AC54" s="427"/>
      <c r="AD54" s="427"/>
      <c r="AE54" s="427"/>
      <c r="AF54" s="427"/>
      <c r="AG54" s="428"/>
      <c r="AH54" s="1"/>
    </row>
    <row r="55" spans="1:40" ht="22.35" customHeight="1" x14ac:dyDescent="0.2">
      <c r="A55" s="738">
        <v>8517</v>
      </c>
      <c r="B55" s="639" t="s">
        <v>115</v>
      </c>
      <c r="C55" s="640" t="s">
        <v>116</v>
      </c>
      <c r="D55" s="641"/>
      <c r="E55" s="426"/>
      <c r="F55" s="640" t="s">
        <v>116</v>
      </c>
      <c r="G55" s="641"/>
      <c r="H55" s="426"/>
      <c r="I55" s="640" t="s">
        <v>116</v>
      </c>
      <c r="J55" s="641"/>
      <c r="K55" s="426"/>
      <c r="L55" s="640" t="s">
        <v>116</v>
      </c>
      <c r="M55" s="641"/>
      <c r="N55" s="426"/>
      <c r="O55" s="640" t="s">
        <v>117</v>
      </c>
      <c r="P55" s="641"/>
      <c r="Q55" s="426"/>
      <c r="R55" s="640"/>
      <c r="S55" s="641"/>
      <c r="T55" s="426"/>
      <c r="U55" s="640" t="s">
        <v>118</v>
      </c>
      <c r="V55" s="641"/>
      <c r="W55" s="426"/>
      <c r="X55" s="609"/>
      <c r="Y55" s="427"/>
      <c r="Z55" s="427"/>
      <c r="AA55" s="427"/>
      <c r="AB55" s="427"/>
      <c r="AC55" s="427"/>
      <c r="AD55" s="427"/>
      <c r="AE55" s="427"/>
      <c r="AF55" s="427"/>
      <c r="AG55" s="428"/>
      <c r="AH55" s="1"/>
    </row>
    <row r="56" spans="1:40" ht="22.35" customHeight="1" x14ac:dyDescent="0.2">
      <c r="B56" s="808" t="s">
        <v>119</v>
      </c>
      <c r="C56" s="2259" t="s">
        <v>120</v>
      </c>
      <c r="D56" s="2260"/>
      <c r="E56" s="2261"/>
      <c r="F56" s="2259" t="s">
        <v>120</v>
      </c>
      <c r="G56" s="2262"/>
      <c r="H56" s="2261"/>
      <c r="I56" s="640" t="s">
        <v>120</v>
      </c>
      <c r="J56" s="641"/>
      <c r="K56" s="642"/>
      <c r="L56" s="640" t="s">
        <v>120</v>
      </c>
      <c r="M56" s="641"/>
      <c r="N56" s="642"/>
      <c r="O56" s="640" t="s">
        <v>121</v>
      </c>
      <c r="P56" s="641"/>
      <c r="Q56" s="426"/>
      <c r="R56" s="643" t="s">
        <v>0</v>
      </c>
      <c r="S56" s="641"/>
      <c r="T56" s="642"/>
      <c r="U56" s="641" t="s">
        <v>0</v>
      </c>
      <c r="V56" s="641"/>
      <c r="W56" s="426"/>
      <c r="X56" s="675" t="s">
        <v>0</v>
      </c>
      <c r="Y56" s="72"/>
      <c r="Z56" s="72"/>
      <c r="AA56" s="72"/>
      <c r="AB56" s="72"/>
      <c r="AC56" s="72"/>
      <c r="AD56" s="72"/>
      <c r="AE56" s="72"/>
      <c r="AF56" s="72"/>
      <c r="AG56" s="111"/>
      <c r="AH56" s="1"/>
    </row>
    <row r="57" spans="1:40" ht="22.35" customHeight="1" x14ac:dyDescent="0.2">
      <c r="A57" s="951"/>
      <c r="B57" s="639" t="s">
        <v>122</v>
      </c>
      <c r="C57" s="2259" t="s">
        <v>123</v>
      </c>
      <c r="D57" s="2260"/>
      <c r="E57" s="2262"/>
      <c r="F57" s="2259" t="s">
        <v>123</v>
      </c>
      <c r="G57" s="2260"/>
      <c r="H57" s="2262"/>
      <c r="I57" s="2259" t="s">
        <v>123</v>
      </c>
      <c r="J57" s="2260"/>
      <c r="K57" s="2262"/>
      <c r="L57" s="2259" t="s">
        <v>123</v>
      </c>
      <c r="M57" s="2260"/>
      <c r="N57" s="2262"/>
      <c r="O57" s="2259" t="s">
        <v>124</v>
      </c>
      <c r="P57" s="2260"/>
      <c r="Q57" s="2262"/>
      <c r="R57" s="676"/>
      <c r="S57" s="294"/>
      <c r="T57" s="2261"/>
      <c r="U57" s="2260"/>
      <c r="V57" s="2260"/>
      <c r="W57" s="2262"/>
      <c r="X57" s="609"/>
      <c r="Y57" s="427"/>
      <c r="Z57" s="427"/>
      <c r="AA57" s="427"/>
      <c r="AB57" s="427"/>
      <c r="AC57" s="427"/>
      <c r="AD57" s="427"/>
      <c r="AE57" s="427"/>
      <c r="AF57" s="427"/>
      <c r="AG57" s="428"/>
      <c r="AH57" s="1"/>
    </row>
    <row r="58" spans="1:40" ht="22.35" customHeight="1" x14ac:dyDescent="0.2">
      <c r="A58" s="753"/>
      <c r="B58" s="639"/>
      <c r="C58" s="442"/>
      <c r="D58" s="392"/>
      <c r="E58" s="393"/>
      <c r="F58" s="442"/>
      <c r="G58" s="392"/>
      <c r="H58" s="393"/>
      <c r="I58" s="442"/>
      <c r="J58" s="392"/>
      <c r="K58" s="393"/>
      <c r="L58" s="442"/>
      <c r="M58" s="392"/>
      <c r="N58" s="393"/>
      <c r="O58" s="442"/>
      <c r="P58" s="392"/>
      <c r="Q58" s="393"/>
      <c r="R58" s="442"/>
      <c r="S58" s="392"/>
      <c r="T58" s="393"/>
      <c r="U58" s="442"/>
      <c r="V58" s="392"/>
      <c r="W58" s="393"/>
      <c r="X58" s="426"/>
      <c r="Y58" s="427"/>
      <c r="Z58" s="427"/>
      <c r="AA58" s="427"/>
      <c r="AB58" s="427"/>
      <c r="AC58" s="427"/>
      <c r="AD58" s="427"/>
      <c r="AE58" s="427"/>
      <c r="AF58" s="427"/>
      <c r="AG58" s="428"/>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2263"/>
      <c r="B60" s="2264" t="s">
        <v>29</v>
      </c>
      <c r="C60" s="796">
        <v>1</v>
      </c>
      <c r="D60" s="796">
        <v>2</v>
      </c>
      <c r="E60" s="796">
        <v>3</v>
      </c>
      <c r="F60" s="796">
        <v>4</v>
      </c>
      <c r="G60" s="795">
        <v>5</v>
      </c>
      <c r="H60" s="795">
        <v>6</v>
      </c>
      <c r="I60" s="796">
        <v>7</v>
      </c>
      <c r="J60" s="796">
        <v>8</v>
      </c>
      <c r="K60" s="796">
        <v>9</v>
      </c>
      <c r="L60" s="796">
        <v>10</v>
      </c>
      <c r="M60" s="796">
        <v>11</v>
      </c>
      <c r="N60" s="795">
        <v>12</v>
      </c>
      <c r="O60" s="795">
        <v>13</v>
      </c>
      <c r="P60" s="796">
        <v>14</v>
      </c>
      <c r="Q60" s="796">
        <v>15</v>
      </c>
      <c r="R60" s="796">
        <v>16</v>
      </c>
      <c r="S60" s="796">
        <v>17</v>
      </c>
      <c r="T60" s="796">
        <v>18</v>
      </c>
      <c r="U60" s="795">
        <v>19</v>
      </c>
      <c r="V60" s="795">
        <v>20</v>
      </c>
      <c r="W60" s="796">
        <v>21</v>
      </c>
      <c r="X60" s="796">
        <v>22</v>
      </c>
      <c r="Y60" s="796">
        <v>23</v>
      </c>
      <c r="Z60" s="796">
        <v>24</v>
      </c>
      <c r="AA60" s="796">
        <v>25</v>
      </c>
      <c r="AB60" s="795">
        <v>26</v>
      </c>
      <c r="AC60" s="795">
        <v>27</v>
      </c>
      <c r="AD60" s="796">
        <v>28</v>
      </c>
      <c r="AE60" s="796">
        <v>29</v>
      </c>
      <c r="AF60" s="796">
        <v>30</v>
      </c>
      <c r="AG60" s="797"/>
      <c r="AH60" s="1"/>
      <c r="AJ60" s="1181" t="s">
        <v>30</v>
      </c>
      <c r="AK60" s="1181" t="s">
        <v>44</v>
      </c>
      <c r="AL60" s="1181" t="s">
        <v>45</v>
      </c>
      <c r="AM60" s="1181" t="s">
        <v>46</v>
      </c>
      <c r="AN60" s="1181" t="s">
        <v>47</v>
      </c>
    </row>
    <row r="61" spans="1:40" ht="22.35" customHeight="1" thickBot="1" x14ac:dyDescent="0.25">
      <c r="A61" s="2456"/>
      <c r="B61" s="2457" t="s">
        <v>126</v>
      </c>
      <c r="C61" s="2458" t="s">
        <v>128</v>
      </c>
      <c r="D61" s="2458" t="s">
        <v>128</v>
      </c>
      <c r="E61" s="2458" t="s">
        <v>128</v>
      </c>
      <c r="F61" s="2458" t="s">
        <v>128</v>
      </c>
      <c r="G61" s="2458"/>
      <c r="H61" s="2459"/>
      <c r="I61" s="908" t="s">
        <v>36</v>
      </c>
      <c r="J61" s="908" t="s">
        <v>36</v>
      </c>
      <c r="K61" s="908" t="s">
        <v>36</v>
      </c>
      <c r="L61" s="908" t="s">
        <v>36</v>
      </c>
      <c r="M61" s="908" t="s">
        <v>36</v>
      </c>
      <c r="N61" s="2460"/>
      <c r="O61" s="2461"/>
      <c r="P61" s="908" t="s">
        <v>36</v>
      </c>
      <c r="Q61" s="908" t="s">
        <v>36</v>
      </c>
      <c r="R61" s="908" t="s">
        <v>36</v>
      </c>
      <c r="S61" s="908" t="s">
        <v>36</v>
      </c>
      <c r="T61" s="908" t="s">
        <v>36</v>
      </c>
      <c r="U61" s="2462"/>
      <c r="V61" s="2458"/>
      <c r="W61" s="908" t="s">
        <v>393</v>
      </c>
      <c r="X61" s="908" t="s">
        <v>393</v>
      </c>
      <c r="Y61" s="908" t="s">
        <v>393</v>
      </c>
      <c r="Z61" s="908" t="s">
        <v>393</v>
      </c>
      <c r="AA61" s="908" t="s">
        <v>393</v>
      </c>
      <c r="AB61" s="2458"/>
      <c r="AC61" s="908" t="s">
        <v>393</v>
      </c>
      <c r="AD61" s="908" t="s">
        <v>36</v>
      </c>
      <c r="AE61" s="908" t="s">
        <v>36</v>
      </c>
      <c r="AF61" s="908" t="s">
        <v>36</v>
      </c>
      <c r="AG61" s="2463"/>
      <c r="AH61" s="1"/>
      <c r="AJ61" s="845">
        <v>82.25</v>
      </c>
      <c r="AK61" s="845">
        <v>6</v>
      </c>
      <c r="AL61" s="845">
        <f t="shared" ref="AL61:AL75" si="3">IF(AJ61="","",SUM(AJ61:AK61))</f>
        <v>88.25</v>
      </c>
      <c r="AM61" s="846">
        <f t="shared" ref="AM61:AM75" si="4">IF(AJ61="","",AL61-NormTid)</f>
        <v>-72.080000000000013</v>
      </c>
      <c r="AN61" s="846">
        <f>IF(AM61="","",AM61+'Oktober 2022'!AN61)</f>
        <v>168.11999999999992</v>
      </c>
    </row>
    <row r="62" spans="1:40" ht="22.35" customHeight="1" thickBot="1" x14ac:dyDescent="0.25">
      <c r="A62" s="1182"/>
      <c r="B62" s="1182" t="s">
        <v>129</v>
      </c>
      <c r="C62" s="859" t="s">
        <v>32</v>
      </c>
      <c r="D62" s="859" t="s">
        <v>32</v>
      </c>
      <c r="E62" s="859" t="s">
        <v>32</v>
      </c>
      <c r="F62" s="859" t="s">
        <v>32</v>
      </c>
      <c r="G62" s="859" t="s">
        <v>53</v>
      </c>
      <c r="H62" s="859" t="s">
        <v>53</v>
      </c>
      <c r="I62" s="644">
        <v>25</v>
      </c>
      <c r="J62" s="644">
        <v>25</v>
      </c>
      <c r="K62" s="644">
        <v>25</v>
      </c>
      <c r="L62" s="644">
        <v>25</v>
      </c>
      <c r="M62" s="644">
        <v>25</v>
      </c>
      <c r="N62" s="851"/>
      <c r="O62" s="644">
        <v>26</v>
      </c>
      <c r="P62" s="937" t="s">
        <v>36</v>
      </c>
      <c r="Q62" s="937" t="s">
        <v>36</v>
      </c>
      <c r="R62" s="937" t="s">
        <v>36</v>
      </c>
      <c r="S62" s="937" t="s">
        <v>36</v>
      </c>
      <c r="T62" s="937" t="s">
        <v>36</v>
      </c>
      <c r="U62" s="678" t="s">
        <v>0</v>
      </c>
      <c r="V62" s="848"/>
      <c r="W62" s="1112">
        <v>5</v>
      </c>
      <c r="X62" s="1112">
        <v>5</v>
      </c>
      <c r="Y62" s="1112">
        <v>5</v>
      </c>
      <c r="Z62" s="1112">
        <v>5</v>
      </c>
      <c r="AA62" s="1112">
        <v>5</v>
      </c>
      <c r="AB62" s="678" t="s">
        <v>0</v>
      </c>
      <c r="AC62" s="644"/>
      <c r="AD62" s="644">
        <v>25</v>
      </c>
      <c r="AE62" s="644">
        <v>25</v>
      </c>
      <c r="AF62" s="644">
        <v>25</v>
      </c>
      <c r="AG62" s="856"/>
      <c r="AH62" s="1"/>
      <c r="AJ62" s="845">
        <v>161.25</v>
      </c>
      <c r="AK62" s="845">
        <v>8.5</v>
      </c>
      <c r="AL62" s="845">
        <f t="shared" si="3"/>
        <v>169.75</v>
      </c>
      <c r="AM62" s="846">
        <f t="shared" si="4"/>
        <v>9.4199999999999875</v>
      </c>
      <c r="AN62" s="846">
        <f>IF(AM62="","",AM62+'Oktober 2022'!AN62)</f>
        <v>48.119999999999912</v>
      </c>
    </row>
    <row r="63" spans="1:40" ht="22.35" customHeight="1" thickBot="1" x14ac:dyDescent="0.25">
      <c r="A63" s="1182"/>
      <c r="B63" s="1182" t="s">
        <v>130</v>
      </c>
      <c r="C63" s="644" t="s">
        <v>36</v>
      </c>
      <c r="D63" s="960" t="s">
        <v>36</v>
      </c>
      <c r="E63" s="644" t="s">
        <v>36</v>
      </c>
      <c r="F63" s="960" t="s">
        <v>36</v>
      </c>
      <c r="G63" s="644"/>
      <c r="H63" s="644"/>
      <c r="I63" s="644" t="s">
        <v>398</v>
      </c>
      <c r="J63" s="644" t="s">
        <v>398</v>
      </c>
      <c r="K63" s="644" t="s">
        <v>398</v>
      </c>
      <c r="L63" s="644" t="s">
        <v>398</v>
      </c>
      <c r="M63" s="644" t="s">
        <v>398</v>
      </c>
      <c r="N63" s="1112"/>
      <c r="O63" s="1230"/>
      <c r="P63" s="644" t="s">
        <v>420</v>
      </c>
      <c r="Q63" s="1112" t="s">
        <v>420</v>
      </c>
      <c r="R63" s="644" t="s">
        <v>420</v>
      </c>
      <c r="S63" s="644" t="s">
        <v>420</v>
      </c>
      <c r="T63" s="960" t="s">
        <v>420</v>
      </c>
      <c r="U63" s="851" t="s">
        <v>405</v>
      </c>
      <c r="V63" s="851" t="s">
        <v>405</v>
      </c>
      <c r="W63" s="851" t="s">
        <v>36</v>
      </c>
      <c r="X63" s="851" t="s">
        <v>36</v>
      </c>
      <c r="Y63" s="851" t="s">
        <v>36</v>
      </c>
      <c r="Z63" s="851" t="s">
        <v>36</v>
      </c>
      <c r="AA63" s="851" t="s">
        <v>36</v>
      </c>
      <c r="AB63" s="644"/>
      <c r="AC63" s="678" t="s">
        <v>0</v>
      </c>
      <c r="AD63" s="2269" t="s">
        <v>400</v>
      </c>
      <c r="AE63" s="851" t="s">
        <v>400</v>
      </c>
      <c r="AF63" s="851" t="s">
        <v>400</v>
      </c>
      <c r="AG63" s="1111"/>
      <c r="AH63" s="1"/>
      <c r="AJ63" s="845">
        <v>131</v>
      </c>
      <c r="AK63" s="845">
        <v>6.5</v>
      </c>
      <c r="AL63" s="845">
        <f t="shared" si="3"/>
        <v>137.5</v>
      </c>
      <c r="AM63" s="846">
        <f t="shared" si="4"/>
        <v>-22.830000000000013</v>
      </c>
      <c r="AN63" s="846">
        <f>IF(AM63="","",AM63+'Oktober 2022'!AN63)</f>
        <v>76.119999999999919</v>
      </c>
    </row>
    <row r="64" spans="1:40" ht="22.35" customHeight="1" x14ac:dyDescent="0.2">
      <c r="A64" s="1182"/>
      <c r="B64" s="634" t="s">
        <v>132</v>
      </c>
      <c r="C64" s="1112">
        <v>25</v>
      </c>
      <c r="D64" s="644">
        <v>25</v>
      </c>
      <c r="E64" s="1230">
        <v>25</v>
      </c>
      <c r="F64" s="644">
        <v>25</v>
      </c>
      <c r="G64" s="644" t="s">
        <v>127</v>
      </c>
      <c r="H64" s="960" t="s">
        <v>127</v>
      </c>
      <c r="I64" s="647" t="s">
        <v>32</v>
      </c>
      <c r="J64" s="647" t="s">
        <v>32</v>
      </c>
      <c r="K64" s="647" t="s">
        <v>32</v>
      </c>
      <c r="L64" s="647" t="s">
        <v>32</v>
      </c>
      <c r="M64" s="647" t="s">
        <v>32</v>
      </c>
      <c r="N64" s="647"/>
      <c r="O64" s="647"/>
      <c r="P64" s="644">
        <v>25</v>
      </c>
      <c r="Q64" s="644">
        <v>25</v>
      </c>
      <c r="R64" s="644">
        <v>25</v>
      </c>
      <c r="S64" s="960">
        <v>25</v>
      </c>
      <c r="T64" s="644">
        <v>25</v>
      </c>
      <c r="U64" s="848"/>
      <c r="V64" s="848">
        <v>26</v>
      </c>
      <c r="W64" s="1232" t="s">
        <v>32</v>
      </c>
      <c r="X64" s="647" t="s">
        <v>32</v>
      </c>
      <c r="Y64" s="1232" t="s">
        <v>32</v>
      </c>
      <c r="Z64" s="647" t="s">
        <v>32</v>
      </c>
      <c r="AA64" s="647" t="s">
        <v>32</v>
      </c>
      <c r="AB64" s="647"/>
      <c r="AC64" s="647"/>
      <c r="AD64" s="814" t="s">
        <v>128</v>
      </c>
      <c r="AE64" s="814" t="s">
        <v>128</v>
      </c>
      <c r="AF64" s="814" t="s">
        <v>128</v>
      </c>
      <c r="AG64" s="856"/>
      <c r="AH64" s="1"/>
      <c r="AJ64" s="845">
        <v>221.5</v>
      </c>
      <c r="AK64" s="845">
        <v>10</v>
      </c>
      <c r="AL64" s="845">
        <f t="shared" si="3"/>
        <v>231.5</v>
      </c>
      <c r="AM64" s="846">
        <f>IF(AJ64="","",AL64-NormTid)</f>
        <v>71.169999999999987</v>
      </c>
      <c r="AN64" s="846">
        <f>IF(AM64="","",AM64+'Oktober 2022'!AN64)</f>
        <v>47.869999999999919</v>
      </c>
    </row>
    <row r="65" spans="1:40" ht="22.35" customHeight="1" x14ac:dyDescent="0.2">
      <c r="A65" s="933"/>
      <c r="B65" s="1182" t="s">
        <v>133</v>
      </c>
      <c r="C65" s="964" t="s">
        <v>134</v>
      </c>
      <c r="D65" s="964" t="s">
        <v>134</v>
      </c>
      <c r="E65" s="964" t="s">
        <v>134</v>
      </c>
      <c r="F65" s="964" t="s">
        <v>134</v>
      </c>
      <c r="G65" s="964"/>
      <c r="H65" s="964"/>
      <c r="I65" s="964" t="s">
        <v>134</v>
      </c>
      <c r="J65" s="964" t="s">
        <v>134</v>
      </c>
      <c r="K65" s="964" t="s">
        <v>134</v>
      </c>
      <c r="L65" s="964" t="s">
        <v>134</v>
      </c>
      <c r="M65" s="964" t="s">
        <v>134</v>
      </c>
      <c r="N65" s="1163"/>
      <c r="O65" s="1362"/>
      <c r="P65" s="1362" t="s">
        <v>134</v>
      </c>
      <c r="Q65" s="1362" t="s">
        <v>134</v>
      </c>
      <c r="R65" s="1362" t="s">
        <v>134</v>
      </c>
      <c r="S65" s="1362" t="s">
        <v>134</v>
      </c>
      <c r="T65" s="1362" t="s">
        <v>134</v>
      </c>
      <c r="U65" s="1162"/>
      <c r="V65" s="1162"/>
      <c r="W65" s="1362" t="s">
        <v>134</v>
      </c>
      <c r="X65" s="1362" t="s">
        <v>134</v>
      </c>
      <c r="Y65" s="1362" t="s">
        <v>134</v>
      </c>
      <c r="Z65" s="964" t="s">
        <v>134</v>
      </c>
      <c r="AA65" s="964" t="s">
        <v>134</v>
      </c>
      <c r="AB65" s="964"/>
      <c r="AC65" s="964"/>
      <c r="AD65" s="964" t="s">
        <v>134</v>
      </c>
      <c r="AE65" s="964" t="s">
        <v>134</v>
      </c>
      <c r="AF65" s="964" t="s">
        <v>134</v>
      </c>
      <c r="AG65" s="1088"/>
      <c r="AH65" s="1"/>
      <c r="AJ65" s="845">
        <v>163</v>
      </c>
      <c r="AK65" s="845">
        <v>0.75</v>
      </c>
      <c r="AL65" s="845">
        <f t="shared" si="3"/>
        <v>163.75</v>
      </c>
      <c r="AM65" s="846">
        <f t="shared" si="4"/>
        <v>3.4199999999999875</v>
      </c>
      <c r="AN65" s="846">
        <f>IF(AM65="","",AM65+'Oktober 2022'!AN65)</f>
        <v>5.3699999999999122</v>
      </c>
    </row>
    <row r="66" spans="1:40" ht="22.35" customHeight="1" x14ac:dyDescent="0.2">
      <c r="A66" s="1182"/>
      <c r="B66" s="1182" t="s">
        <v>136</v>
      </c>
      <c r="C66" s="1110" t="s">
        <v>137</v>
      </c>
      <c r="D66" s="1110" t="s">
        <v>137</v>
      </c>
      <c r="E66" s="1110" t="s">
        <v>137</v>
      </c>
      <c r="F66" s="1110" t="s">
        <v>137</v>
      </c>
      <c r="G66" s="644"/>
      <c r="H66" s="644"/>
      <c r="I66" s="1110" t="s">
        <v>137</v>
      </c>
      <c r="J66" s="1110" t="s">
        <v>137</v>
      </c>
      <c r="K66" s="1110" t="s">
        <v>137</v>
      </c>
      <c r="L66" s="1110" t="s">
        <v>137</v>
      </c>
      <c r="M66" s="1110" t="s">
        <v>137</v>
      </c>
      <c r="N66" s="1112"/>
      <c r="O66" s="644"/>
      <c r="P66" s="859" t="s">
        <v>32</v>
      </c>
      <c r="Q66" s="859" t="s">
        <v>32</v>
      </c>
      <c r="R66" s="859" t="s">
        <v>32</v>
      </c>
      <c r="S66" s="859" t="s">
        <v>32</v>
      </c>
      <c r="T66" s="859" t="s">
        <v>32</v>
      </c>
      <c r="U66" s="859"/>
      <c r="V66" s="859"/>
      <c r="W66" s="1110" t="s">
        <v>137</v>
      </c>
      <c r="X66" s="1110" t="s">
        <v>137</v>
      </c>
      <c r="Y66" s="1110" t="s">
        <v>137</v>
      </c>
      <c r="Z66" s="1110" t="s">
        <v>137</v>
      </c>
      <c r="AA66" s="1110" t="s">
        <v>137</v>
      </c>
      <c r="AB66" s="644"/>
      <c r="AC66" s="644"/>
      <c r="AD66" s="1110" t="s">
        <v>137</v>
      </c>
      <c r="AE66" s="1110" t="s">
        <v>137</v>
      </c>
      <c r="AF66" s="1110" t="s">
        <v>137</v>
      </c>
      <c r="AG66" s="613"/>
      <c r="AH66" s="1"/>
      <c r="AJ66" s="845">
        <v>170.5</v>
      </c>
      <c r="AK66" s="845">
        <v>0.75</v>
      </c>
      <c r="AL66" s="845">
        <f t="shared" si="3"/>
        <v>171.25</v>
      </c>
      <c r="AM66" s="846">
        <f t="shared" si="4"/>
        <v>10.919999999999987</v>
      </c>
      <c r="AN66" s="846">
        <f>IF(AM66="","",AM66+'Oktober 2022'!AN66)</f>
        <v>6.1199999999998624</v>
      </c>
    </row>
    <row r="67" spans="1:40" ht="22.35" customHeight="1" thickBot="1" x14ac:dyDescent="0.25">
      <c r="A67" s="1182"/>
      <c r="B67" s="394" t="s">
        <v>443</v>
      </c>
      <c r="C67" s="796" t="s">
        <v>36</v>
      </c>
      <c r="D67" s="908" t="s">
        <v>36</v>
      </c>
      <c r="E67" s="908" t="s">
        <v>36</v>
      </c>
      <c r="F67" s="908" t="s">
        <v>36</v>
      </c>
      <c r="G67" s="908" t="s">
        <v>57</v>
      </c>
      <c r="H67" s="908" t="s">
        <v>57</v>
      </c>
      <c r="I67" s="907">
        <v>7</v>
      </c>
      <c r="J67" s="908">
        <v>7</v>
      </c>
      <c r="K67" s="907">
        <v>7</v>
      </c>
      <c r="L67" s="908">
        <v>7</v>
      </c>
      <c r="M67" s="907">
        <v>7</v>
      </c>
      <c r="N67" s="920"/>
      <c r="O67" s="907"/>
      <c r="P67" s="908" t="s">
        <v>36</v>
      </c>
      <c r="Q67" s="908" t="s">
        <v>36</v>
      </c>
      <c r="R67" s="908" t="s">
        <v>36</v>
      </c>
      <c r="S67" s="908" t="s">
        <v>36</v>
      </c>
      <c r="T67" s="908" t="s">
        <v>36</v>
      </c>
      <c r="U67" s="910"/>
      <c r="V67" s="910"/>
      <c r="W67" s="908" t="s">
        <v>36</v>
      </c>
      <c r="X67" s="908" t="s">
        <v>353</v>
      </c>
      <c r="Y67" s="908" t="s">
        <v>36</v>
      </c>
      <c r="Z67" s="908" t="s">
        <v>36</v>
      </c>
      <c r="AA67" s="920">
        <v>4</v>
      </c>
      <c r="AB67" s="1212">
        <v>89</v>
      </c>
      <c r="AC67" s="930"/>
      <c r="AD67" s="930">
        <v>11</v>
      </c>
      <c r="AE67" s="908">
        <v>11</v>
      </c>
      <c r="AF67" s="908">
        <v>11</v>
      </c>
      <c r="AG67" s="856"/>
      <c r="AH67" s="1"/>
      <c r="AJ67" s="845">
        <v>97.25</v>
      </c>
      <c r="AK67" s="845">
        <v>6.75</v>
      </c>
      <c r="AL67" s="845">
        <f t="shared" si="3"/>
        <v>104</v>
      </c>
      <c r="AM67" s="846">
        <f t="shared" si="4"/>
        <v>-56.330000000000013</v>
      </c>
      <c r="AN67" s="846">
        <f>IF(AM67="","",AM67+'Oktober 2022'!AN67)</f>
        <v>81.119999999999919</v>
      </c>
    </row>
    <row r="68" spans="1:40" ht="22.35" customHeight="1" thickBot="1" x14ac:dyDescent="0.25">
      <c r="A68" s="1182"/>
      <c r="B68" s="394" t="s">
        <v>444</v>
      </c>
      <c r="C68" s="859" t="s">
        <v>32</v>
      </c>
      <c r="D68" s="859" t="s">
        <v>32</v>
      </c>
      <c r="E68" s="859" t="s">
        <v>32</v>
      </c>
      <c r="F68" s="859" t="s">
        <v>32</v>
      </c>
      <c r="G68" s="859"/>
      <c r="H68" s="859"/>
      <c r="I68" s="2244" t="s">
        <v>128</v>
      </c>
      <c r="J68" s="2244" t="s">
        <v>128</v>
      </c>
      <c r="K68" s="2440" t="s">
        <v>128</v>
      </c>
      <c r="L68" s="2244" t="s">
        <v>128</v>
      </c>
      <c r="M68" s="2244" t="s">
        <v>128</v>
      </c>
      <c r="N68" s="2244" t="s">
        <v>127</v>
      </c>
      <c r="O68" s="2244" t="s">
        <v>127</v>
      </c>
      <c r="P68" s="2244" t="s">
        <v>36</v>
      </c>
      <c r="Q68" s="2244" t="s">
        <v>36</v>
      </c>
      <c r="R68" s="2244" t="s">
        <v>36</v>
      </c>
      <c r="S68" s="2464" t="s">
        <v>36</v>
      </c>
      <c r="T68" s="2464" t="s">
        <v>36</v>
      </c>
      <c r="U68" s="848"/>
      <c r="V68" s="644"/>
      <c r="W68" s="644">
        <v>25</v>
      </c>
      <c r="X68" s="1112">
        <v>25</v>
      </c>
      <c r="Y68" s="1230">
        <v>25</v>
      </c>
      <c r="Z68" s="960">
        <v>25</v>
      </c>
      <c r="AA68" s="1112">
        <v>25</v>
      </c>
      <c r="AB68" s="644" t="s">
        <v>94</v>
      </c>
      <c r="AC68" s="644" t="s">
        <v>94</v>
      </c>
      <c r="AD68" s="908" t="s">
        <v>36</v>
      </c>
      <c r="AE68" s="329" t="s">
        <v>36</v>
      </c>
      <c r="AF68" s="329" t="s">
        <v>36</v>
      </c>
      <c r="AG68" s="613"/>
      <c r="AH68" s="1"/>
      <c r="AJ68" s="845">
        <v>169.75</v>
      </c>
      <c r="AK68" s="845">
        <v>9.75</v>
      </c>
      <c r="AL68" s="845">
        <f t="shared" si="3"/>
        <v>179.5</v>
      </c>
      <c r="AM68" s="846">
        <f t="shared" si="4"/>
        <v>19.169999999999987</v>
      </c>
      <c r="AN68" s="846">
        <f>IF(AM68="","",AM68+'Oktober 2022'!AN68)</f>
        <v>59.119999999999912</v>
      </c>
    </row>
    <row r="69" spans="1:40" ht="22.35" customHeight="1" thickBot="1" x14ac:dyDescent="0.25">
      <c r="A69" s="1182"/>
      <c r="B69" s="634" t="s">
        <v>445</v>
      </c>
      <c r="C69" s="960">
        <v>5</v>
      </c>
      <c r="D69" s="960">
        <v>5</v>
      </c>
      <c r="E69" s="960">
        <v>5</v>
      </c>
      <c r="F69" s="644">
        <v>5</v>
      </c>
      <c r="G69" s="644"/>
      <c r="H69" s="961" t="s">
        <v>0</v>
      </c>
      <c r="I69" s="908" t="s">
        <v>36</v>
      </c>
      <c r="J69" s="908" t="s">
        <v>36</v>
      </c>
      <c r="K69" s="908" t="s">
        <v>36</v>
      </c>
      <c r="L69" s="908" t="s">
        <v>36</v>
      </c>
      <c r="M69" s="908" t="s">
        <v>36</v>
      </c>
      <c r="N69" s="1112"/>
      <c r="O69" s="644"/>
      <c r="P69" s="908" t="s">
        <v>36</v>
      </c>
      <c r="Q69" s="908" t="s">
        <v>36</v>
      </c>
      <c r="R69" s="908" t="s">
        <v>36</v>
      </c>
      <c r="S69" s="908" t="s">
        <v>36</v>
      </c>
      <c r="T69" s="908" t="s">
        <v>36</v>
      </c>
      <c r="U69" s="644"/>
      <c r="V69" s="644"/>
      <c r="W69" s="644">
        <v>6</v>
      </c>
      <c r="X69" s="644">
        <v>6</v>
      </c>
      <c r="Y69" s="644">
        <v>6</v>
      </c>
      <c r="Z69" s="644">
        <v>6</v>
      </c>
      <c r="AA69" s="644">
        <v>6</v>
      </c>
      <c r="AB69" s="644"/>
      <c r="AC69" s="644"/>
      <c r="AD69" s="908" t="s">
        <v>36</v>
      </c>
      <c r="AE69" s="908" t="s">
        <v>36</v>
      </c>
      <c r="AF69" s="906" t="s">
        <v>36</v>
      </c>
      <c r="AG69" s="613"/>
      <c r="AH69" s="1"/>
      <c r="AJ69" s="845">
        <v>74</v>
      </c>
      <c r="AK69" s="845">
        <v>4.75</v>
      </c>
      <c r="AL69" s="845">
        <f t="shared" si="3"/>
        <v>78.75</v>
      </c>
      <c r="AM69" s="846">
        <f t="shared" si="4"/>
        <v>-81.580000000000013</v>
      </c>
      <c r="AN69" s="846">
        <f>IF(AM69="","",AM69+'Oktober 2022'!AN69)</f>
        <v>53.869999999999919</v>
      </c>
    </row>
    <row r="70" spans="1:40" ht="22.35" customHeight="1" thickBot="1" x14ac:dyDescent="0.25">
      <c r="A70" s="394"/>
      <c r="B70" s="634" t="s">
        <v>143</v>
      </c>
      <c r="C70" s="848">
        <v>26</v>
      </c>
      <c r="D70" s="848">
        <v>26</v>
      </c>
      <c r="E70" s="848">
        <v>26</v>
      </c>
      <c r="F70" s="848">
        <v>26</v>
      </c>
      <c r="G70" s="848" t="s">
        <v>53</v>
      </c>
      <c r="H70" s="848" t="s">
        <v>53</v>
      </c>
      <c r="I70" s="908" t="s">
        <v>36</v>
      </c>
      <c r="J70" s="908" t="s">
        <v>36</v>
      </c>
      <c r="K70" s="908" t="s">
        <v>36</v>
      </c>
      <c r="L70" s="908" t="s">
        <v>36</v>
      </c>
      <c r="M70" s="908" t="s">
        <v>36</v>
      </c>
      <c r="N70" s="851"/>
      <c r="O70" s="851"/>
      <c r="P70" s="2465" t="s">
        <v>128</v>
      </c>
      <c r="Q70" s="2465" t="s">
        <v>128</v>
      </c>
      <c r="R70" s="323">
        <v>89</v>
      </c>
      <c r="S70" s="2465" t="s">
        <v>128</v>
      </c>
      <c r="T70" s="2465" t="s">
        <v>128</v>
      </c>
      <c r="U70" s="2465" t="s">
        <v>127</v>
      </c>
      <c r="V70" s="2465" t="s">
        <v>127</v>
      </c>
      <c r="W70" s="908" t="s">
        <v>36</v>
      </c>
      <c r="X70" s="908" t="s">
        <v>36</v>
      </c>
      <c r="Y70" s="908" t="s">
        <v>36</v>
      </c>
      <c r="Z70" s="908" t="s">
        <v>36</v>
      </c>
      <c r="AA70" s="908" t="s">
        <v>36</v>
      </c>
      <c r="AB70" s="851"/>
      <c r="AC70" s="1110" t="s">
        <v>0</v>
      </c>
      <c r="AD70" s="644">
        <v>5</v>
      </c>
      <c r="AE70" s="644">
        <v>5</v>
      </c>
      <c r="AF70" s="644">
        <v>5</v>
      </c>
      <c r="AG70" s="613"/>
      <c r="AJ70" s="845">
        <v>120.5</v>
      </c>
      <c r="AK70" s="845">
        <v>8.5</v>
      </c>
      <c r="AL70" s="845">
        <f t="shared" si="3"/>
        <v>129</v>
      </c>
      <c r="AM70" s="846">
        <f t="shared" si="4"/>
        <v>-31.330000000000013</v>
      </c>
      <c r="AN70" s="846">
        <f>IF(AM70="","",AM70+'Oktober 2022'!AN70)</f>
        <v>49.619999999999919</v>
      </c>
    </row>
    <row r="71" spans="1:40" ht="22.35" customHeight="1" thickBot="1" x14ac:dyDescent="0.25">
      <c r="A71" s="634"/>
      <c r="B71" s="541" t="s">
        <v>144</v>
      </c>
      <c r="C71" s="1232" t="s">
        <v>32</v>
      </c>
      <c r="D71" s="1232" t="s">
        <v>32</v>
      </c>
      <c r="E71" s="644" t="s">
        <v>177</v>
      </c>
      <c r="F71" s="644">
        <v>3</v>
      </c>
      <c r="G71" s="644"/>
      <c r="H71" s="1112"/>
      <c r="I71" s="908" t="s">
        <v>36</v>
      </c>
      <c r="J71" s="907" t="s">
        <v>32</v>
      </c>
      <c r="K71" s="907" t="s">
        <v>32</v>
      </c>
      <c r="L71" s="908" t="s">
        <v>36</v>
      </c>
      <c r="M71" s="908" t="s">
        <v>36</v>
      </c>
      <c r="N71" s="644"/>
      <c r="O71" s="644"/>
      <c r="P71" s="1110" t="s">
        <v>137</v>
      </c>
      <c r="Q71" s="1110" t="s">
        <v>137</v>
      </c>
      <c r="R71" s="1110" t="s">
        <v>137</v>
      </c>
      <c r="S71" s="1110" t="s">
        <v>137</v>
      </c>
      <c r="T71" s="1110" t="s">
        <v>137</v>
      </c>
      <c r="U71" s="644"/>
      <c r="V71" s="644"/>
      <c r="W71" s="644" t="s">
        <v>420</v>
      </c>
      <c r="X71" s="644" t="s">
        <v>420</v>
      </c>
      <c r="Y71" s="644" t="s">
        <v>420</v>
      </c>
      <c r="Z71" s="644" t="s">
        <v>420</v>
      </c>
      <c r="AA71" s="644" t="s">
        <v>420</v>
      </c>
      <c r="AB71" s="851" t="s">
        <v>405</v>
      </c>
      <c r="AC71" s="851" t="s">
        <v>405</v>
      </c>
      <c r="AD71" s="937" t="s">
        <v>36</v>
      </c>
      <c r="AE71" s="908" t="s">
        <v>36</v>
      </c>
      <c r="AF71" s="908" t="s">
        <v>36</v>
      </c>
      <c r="AG71" s="856"/>
      <c r="AJ71" s="845">
        <v>150.5</v>
      </c>
      <c r="AK71" s="845">
        <v>4.75</v>
      </c>
      <c r="AL71" s="845">
        <f t="shared" si="3"/>
        <v>155.25</v>
      </c>
      <c r="AM71" s="846">
        <f t="shared" si="4"/>
        <v>-5.0800000000000125</v>
      </c>
      <c r="AN71" s="846">
        <f>IF(AM71="","",AM71+'Oktober 2022'!AN71)</f>
        <v>11.779999999999916</v>
      </c>
    </row>
    <row r="72" spans="1:40" ht="22.35" customHeight="1" thickBot="1" x14ac:dyDescent="0.25">
      <c r="A72" s="289"/>
      <c r="B72" s="634" t="s">
        <v>354</v>
      </c>
      <c r="C72" s="848" t="s">
        <v>264</v>
      </c>
      <c r="D72" s="848" t="s">
        <v>264</v>
      </c>
      <c r="E72" s="644" t="s">
        <v>264</v>
      </c>
      <c r="F72" s="644" t="s">
        <v>264</v>
      </c>
      <c r="G72" s="644"/>
      <c r="H72" s="644"/>
      <c r="I72" s="1110">
        <v>26</v>
      </c>
      <c r="J72" s="1110">
        <v>26</v>
      </c>
      <c r="K72" s="1110">
        <v>26</v>
      </c>
      <c r="L72" s="1110">
        <v>26</v>
      </c>
      <c r="M72" s="1110">
        <v>26</v>
      </c>
      <c r="N72" s="960"/>
      <c r="O72" s="1110" t="s">
        <v>0</v>
      </c>
      <c r="P72" s="851" t="s">
        <v>142</v>
      </c>
      <c r="Q72" s="851" t="s">
        <v>36</v>
      </c>
      <c r="R72" s="851" t="s">
        <v>36</v>
      </c>
      <c r="S72" s="851" t="s">
        <v>176</v>
      </c>
      <c r="T72" s="644" t="s">
        <v>36</v>
      </c>
      <c r="V72" s="644"/>
      <c r="W72" s="1112">
        <v>1</v>
      </c>
      <c r="X72" s="644" t="s">
        <v>176</v>
      </c>
      <c r="Y72" s="644">
        <v>1</v>
      </c>
      <c r="Z72" s="644" t="s">
        <v>36</v>
      </c>
      <c r="AA72" s="644" t="s">
        <v>36</v>
      </c>
      <c r="AD72" s="1112" t="s">
        <v>36</v>
      </c>
      <c r="AE72" s="644" t="s">
        <v>36</v>
      </c>
      <c r="AF72" s="644">
        <v>79</v>
      </c>
      <c r="AG72" s="856"/>
      <c r="AH72" s="1"/>
      <c r="AJ72" s="845">
        <v>148.25</v>
      </c>
      <c r="AK72" s="845">
        <v>5.25</v>
      </c>
      <c r="AL72" s="845">
        <f t="shared" si="3"/>
        <v>153.5</v>
      </c>
      <c r="AM72" s="846">
        <f t="shared" si="4"/>
        <v>-6.8300000000000125</v>
      </c>
      <c r="AN72" s="846">
        <f>IF(AM72="","",AM72+'Oktober 2022'!AN72)</f>
        <v>113.26999999999992</v>
      </c>
    </row>
    <row r="73" spans="1:40" ht="22.35" customHeight="1" thickBot="1" x14ac:dyDescent="0.25">
      <c r="A73" s="634"/>
      <c r="B73" s="2466" t="s">
        <v>357</v>
      </c>
      <c r="C73" s="848">
        <v>4</v>
      </c>
      <c r="D73" s="848">
        <v>4</v>
      </c>
      <c r="E73" s="644">
        <v>4</v>
      </c>
      <c r="F73" s="644">
        <v>4</v>
      </c>
      <c r="G73" s="644"/>
      <c r="H73" s="644"/>
      <c r="I73" s="908" t="s">
        <v>36</v>
      </c>
      <c r="J73" s="908" t="s">
        <v>36</v>
      </c>
      <c r="K73" s="908" t="s">
        <v>36</v>
      </c>
      <c r="L73" s="908" t="s">
        <v>36</v>
      </c>
      <c r="M73" s="908" t="s">
        <v>36</v>
      </c>
      <c r="N73" s="845"/>
      <c r="O73" s="845"/>
      <c r="P73" s="1345" t="s">
        <v>36</v>
      </c>
      <c r="Q73" s="1345" t="s">
        <v>36</v>
      </c>
      <c r="R73" s="1345" t="s">
        <v>36</v>
      </c>
      <c r="S73" s="1345" t="s">
        <v>36</v>
      </c>
      <c r="T73" s="908" t="s">
        <v>36</v>
      </c>
      <c r="U73" s="644">
        <v>23</v>
      </c>
      <c r="V73" s="644">
        <v>23</v>
      </c>
      <c r="W73" s="908" t="s">
        <v>36</v>
      </c>
      <c r="X73" s="908" t="s">
        <v>36</v>
      </c>
      <c r="Y73" s="908" t="s">
        <v>36</v>
      </c>
      <c r="Z73" s="908" t="s">
        <v>36</v>
      </c>
      <c r="AA73" s="908" t="s">
        <v>203</v>
      </c>
      <c r="AB73" s="644"/>
      <c r="AC73" s="644"/>
      <c r="AD73" s="964" t="s">
        <v>345</v>
      </c>
      <c r="AE73" s="845">
        <v>3</v>
      </c>
      <c r="AF73" s="845">
        <v>3</v>
      </c>
      <c r="AG73" s="856"/>
      <c r="AH73" s="1"/>
      <c r="AJ73" s="845">
        <v>87</v>
      </c>
      <c r="AK73" s="845">
        <v>2.25</v>
      </c>
      <c r="AL73" s="845">
        <f t="shared" si="3"/>
        <v>89.25</v>
      </c>
      <c r="AM73" s="846">
        <f t="shared" si="4"/>
        <v>-71.080000000000013</v>
      </c>
      <c r="AN73" s="846">
        <f>IF(AM73="","",AM73+'Oktober 2022'!AN73)</f>
        <v>-71.080000000000013</v>
      </c>
    </row>
    <row r="74" spans="1:40" ht="22.35" customHeight="1" thickBot="1" x14ac:dyDescent="0.25">
      <c r="A74" s="634"/>
      <c r="B74" s="1182" t="s">
        <v>380</v>
      </c>
      <c r="C74" s="848" t="s">
        <v>36</v>
      </c>
      <c r="D74" s="845" t="s">
        <v>32</v>
      </c>
      <c r="E74" s="644" t="s">
        <v>36</v>
      </c>
      <c r="F74" s="644" t="s">
        <v>36</v>
      </c>
      <c r="G74" s="644"/>
      <c r="H74" s="644">
        <v>26</v>
      </c>
      <c r="I74" s="908" t="s">
        <v>36</v>
      </c>
      <c r="J74" s="908" t="s">
        <v>36</v>
      </c>
      <c r="K74" s="908" t="s">
        <v>36</v>
      </c>
      <c r="L74" s="908" t="s">
        <v>36</v>
      </c>
      <c r="M74" s="908" t="s">
        <v>36</v>
      </c>
      <c r="N74" s="644"/>
      <c r="O74" s="851"/>
      <c r="P74" s="1110">
        <v>7</v>
      </c>
      <c r="Q74" s="1110">
        <v>7</v>
      </c>
      <c r="R74" s="1110">
        <v>7</v>
      </c>
      <c r="S74" s="1110">
        <v>7</v>
      </c>
      <c r="T74" s="1110">
        <v>7</v>
      </c>
      <c r="U74" s="644"/>
      <c r="V74" s="1110" t="s">
        <v>0</v>
      </c>
      <c r="W74" s="644" t="s">
        <v>36</v>
      </c>
      <c r="X74" s="644" t="s">
        <v>128</v>
      </c>
      <c r="Y74" s="644" t="s">
        <v>128</v>
      </c>
      <c r="Z74" s="964">
        <v>4</v>
      </c>
      <c r="AA74" s="964" t="s">
        <v>343</v>
      </c>
      <c r="AB74" s="2467"/>
      <c r="AC74" s="2467"/>
      <c r="AD74" s="2467">
        <v>26</v>
      </c>
      <c r="AE74" s="644">
        <v>7</v>
      </c>
      <c r="AF74" s="644">
        <v>7</v>
      </c>
      <c r="AG74" s="856"/>
      <c r="AH74" s="1"/>
      <c r="AJ74" s="845">
        <v>118</v>
      </c>
      <c r="AK74" s="845">
        <v>6.75</v>
      </c>
      <c r="AL74" s="845">
        <f t="shared" si="3"/>
        <v>124.75</v>
      </c>
      <c r="AM74" s="846">
        <f t="shared" si="4"/>
        <v>-35.580000000000013</v>
      </c>
      <c r="AN74" s="846">
        <f>IF(AM74="","",AM74+'Oktober 2022'!AN74)</f>
        <v>-35.580000000000013</v>
      </c>
    </row>
    <row r="75" spans="1:40" ht="22.35" customHeight="1" x14ac:dyDescent="0.2">
      <c r="A75" s="634"/>
      <c r="B75" s="1182" t="s">
        <v>379</v>
      </c>
      <c r="C75" s="845">
        <v>69</v>
      </c>
      <c r="D75" s="845">
        <v>69</v>
      </c>
      <c r="E75" s="845">
        <v>69</v>
      </c>
      <c r="F75" s="845">
        <v>69</v>
      </c>
      <c r="G75" s="845">
        <v>89</v>
      </c>
      <c r="H75" s="845"/>
      <c r="I75" s="851" t="s">
        <v>243</v>
      </c>
      <c r="J75" s="851" t="s">
        <v>32</v>
      </c>
      <c r="K75" s="851" t="s">
        <v>36</v>
      </c>
      <c r="L75" s="851" t="s">
        <v>36</v>
      </c>
      <c r="M75" s="851" t="s">
        <v>36</v>
      </c>
      <c r="N75" s="845"/>
      <c r="O75" s="845"/>
      <c r="P75" s="1110">
        <v>26</v>
      </c>
      <c r="Q75" s="1110">
        <v>26</v>
      </c>
      <c r="R75" s="1110">
        <v>26</v>
      </c>
      <c r="S75" s="1110">
        <v>26</v>
      </c>
      <c r="T75" s="1110">
        <v>26</v>
      </c>
      <c r="U75" s="644"/>
      <c r="V75" s="644"/>
      <c r="W75" s="644" t="s">
        <v>142</v>
      </c>
      <c r="X75" s="644" t="s">
        <v>142</v>
      </c>
      <c r="Y75" s="644" t="s">
        <v>142</v>
      </c>
      <c r="Z75" s="644" t="s">
        <v>142</v>
      </c>
      <c r="AA75" s="644" t="s">
        <v>142</v>
      </c>
      <c r="AB75" s="845"/>
      <c r="AC75" s="845"/>
      <c r="AD75" s="644">
        <v>7</v>
      </c>
      <c r="AE75" s="644">
        <v>26</v>
      </c>
      <c r="AF75" s="644">
        <v>26</v>
      </c>
      <c r="AG75" s="1312"/>
      <c r="AH75" s="1"/>
      <c r="AJ75" s="845">
        <v>152</v>
      </c>
      <c r="AK75" s="845">
        <v>5.25</v>
      </c>
      <c r="AL75" s="845">
        <f t="shared" si="3"/>
        <v>157.25</v>
      </c>
      <c r="AM75" s="846">
        <f t="shared" si="4"/>
        <v>-3.0800000000000125</v>
      </c>
      <c r="AN75" s="846">
        <f>IF(AM75="","",AM75+'Oktober 2022'!AN75)</f>
        <v>-3.0800000000000125</v>
      </c>
    </row>
    <row r="76" spans="1:40" ht="22.35" customHeight="1" x14ac:dyDescent="0.2">
      <c r="A76" s="634"/>
      <c r="B76" s="1182" t="s">
        <v>383</v>
      </c>
      <c r="C76" s="644" t="s">
        <v>257</v>
      </c>
      <c r="D76" s="644" t="s">
        <v>257</v>
      </c>
      <c r="E76" s="644" t="s">
        <v>257</v>
      </c>
      <c r="F76" s="644" t="s">
        <v>257</v>
      </c>
      <c r="G76" s="974"/>
      <c r="H76" s="974"/>
      <c r="I76" s="644" t="s">
        <v>257</v>
      </c>
      <c r="J76" s="644" t="s">
        <v>257</v>
      </c>
      <c r="K76" s="644" t="s">
        <v>257</v>
      </c>
      <c r="L76" s="644" t="s">
        <v>257</v>
      </c>
      <c r="M76" s="644" t="s">
        <v>257</v>
      </c>
      <c r="N76" s="974"/>
      <c r="O76" s="974"/>
      <c r="P76" s="644" t="s">
        <v>257</v>
      </c>
      <c r="Q76" s="644" t="s">
        <v>257</v>
      </c>
      <c r="R76" s="644" t="s">
        <v>257</v>
      </c>
      <c r="S76" s="644" t="s">
        <v>257</v>
      </c>
      <c r="T76" s="644" t="s">
        <v>257</v>
      </c>
      <c r="U76" s="1110"/>
      <c r="V76" s="644"/>
      <c r="W76" s="644" t="s">
        <v>257</v>
      </c>
      <c r="X76" s="644" t="s">
        <v>257</v>
      </c>
      <c r="Y76" s="644" t="s">
        <v>257</v>
      </c>
      <c r="Z76" s="644" t="s">
        <v>257</v>
      </c>
      <c r="AA76" s="644" t="s">
        <v>257</v>
      </c>
      <c r="AB76" s="644"/>
      <c r="AC76" s="644"/>
      <c r="AD76" s="1364" t="s">
        <v>257</v>
      </c>
      <c r="AE76" s="644" t="s">
        <v>257</v>
      </c>
      <c r="AF76" s="644" t="s">
        <v>257</v>
      </c>
      <c r="AG76" s="613"/>
      <c r="AH76" s="1"/>
      <c r="AJ76" s="845">
        <f t="shared" ref="AJ76:AJ85" si="5">$AJ$12</f>
        <v>160.33000000000001</v>
      </c>
      <c r="AK76" s="845"/>
      <c r="AL76" s="845">
        <f t="shared" ref="AL76:AL85" si="6">IF(AJ76="","",SUM(AJ76:AK76))</f>
        <v>160.33000000000001</v>
      </c>
      <c r="AM76" s="846">
        <f t="shared" ref="AM76:AM85" si="7">IF(AJ76="","",AL76-NormTid)</f>
        <v>0</v>
      </c>
      <c r="AN76" s="846">
        <f>IF(AM76="","",AM76+'Oktober 2022'!AN76)</f>
        <v>0</v>
      </c>
    </row>
    <row r="77" spans="1:40" ht="22.35" customHeight="1" x14ac:dyDescent="0.2">
      <c r="A77" s="977"/>
      <c r="B77" s="933" t="s">
        <v>446</v>
      </c>
      <c r="C77" s="644" t="s">
        <v>32</v>
      </c>
      <c r="D77" s="1234">
        <v>1</v>
      </c>
      <c r="E77" s="1234">
        <v>89</v>
      </c>
      <c r="F77" s="1234" t="s">
        <v>176</v>
      </c>
      <c r="G77" s="644"/>
      <c r="H77" s="644"/>
      <c r="I77" s="1234" t="s">
        <v>176</v>
      </c>
      <c r="J77" s="1234">
        <v>89</v>
      </c>
      <c r="K77" s="1234">
        <v>79</v>
      </c>
      <c r="L77" s="1234">
        <v>4</v>
      </c>
      <c r="M77" s="1234">
        <v>89</v>
      </c>
      <c r="N77" s="644"/>
      <c r="O77" s="644"/>
      <c r="P77" s="644" t="s">
        <v>134</v>
      </c>
      <c r="Q77" s="644" t="s">
        <v>134</v>
      </c>
      <c r="R77" s="644" t="s">
        <v>134</v>
      </c>
      <c r="S77" s="644" t="s">
        <v>134</v>
      </c>
      <c r="T77" s="644" t="s">
        <v>134</v>
      </c>
      <c r="U77" s="644"/>
      <c r="V77" s="848"/>
      <c r="W77" s="848">
        <v>4</v>
      </c>
      <c r="X77" s="848">
        <v>4</v>
      </c>
      <c r="Y77" s="644">
        <v>4</v>
      </c>
      <c r="Z77" s="644" t="s">
        <v>134</v>
      </c>
      <c r="AA77" s="644" t="s">
        <v>134</v>
      </c>
      <c r="AB77" s="848"/>
      <c r="AC77" s="848"/>
      <c r="AD77" s="848">
        <v>4</v>
      </c>
      <c r="AE77" s="969" t="s">
        <v>235</v>
      </c>
      <c r="AF77" s="969" t="s">
        <v>235</v>
      </c>
      <c r="AG77" s="856"/>
      <c r="AH77" s="1" t="s">
        <v>0</v>
      </c>
      <c r="AJ77" s="845">
        <v>171</v>
      </c>
      <c r="AK77" s="845">
        <v>1.25</v>
      </c>
      <c r="AL77" s="845">
        <f t="shared" si="6"/>
        <v>172.25</v>
      </c>
      <c r="AM77" s="846">
        <f t="shared" si="7"/>
        <v>11.919999999999987</v>
      </c>
      <c r="AN77" s="846">
        <f>IF(AM77="","",AM77+'Oktober 2022'!AN77)</f>
        <v>11.919999999999987</v>
      </c>
    </row>
    <row r="78" spans="1:40" ht="22.35" customHeight="1" x14ac:dyDescent="0.2">
      <c r="A78" s="977"/>
      <c r="B78" s="1182" t="s">
        <v>447</v>
      </c>
      <c r="C78" s="644" t="s">
        <v>32</v>
      </c>
      <c r="D78" s="2468">
        <v>99</v>
      </c>
      <c r="E78" s="1235" t="s">
        <v>58</v>
      </c>
      <c r="F78" s="1234">
        <v>3</v>
      </c>
      <c r="G78" s="644"/>
      <c r="H78" s="644"/>
      <c r="I78" s="1234">
        <v>3</v>
      </c>
      <c r="J78" s="1234">
        <v>4</v>
      </c>
      <c r="K78" s="1234">
        <v>3</v>
      </c>
      <c r="L78" s="644">
        <v>3</v>
      </c>
      <c r="M78" s="1234">
        <v>69</v>
      </c>
      <c r="N78" s="644"/>
      <c r="O78" s="644"/>
      <c r="P78" s="960" t="s">
        <v>58</v>
      </c>
      <c r="Q78" s="1234">
        <v>22</v>
      </c>
      <c r="R78" s="1234">
        <v>22</v>
      </c>
      <c r="S78" s="1234">
        <v>22</v>
      </c>
      <c r="T78" s="1235" t="s">
        <v>382</v>
      </c>
      <c r="U78" s="2469">
        <v>22</v>
      </c>
      <c r="V78" s="2470" t="s">
        <v>382</v>
      </c>
      <c r="W78" s="2471" t="s">
        <v>36</v>
      </c>
      <c r="X78" s="2472" t="s">
        <v>36</v>
      </c>
      <c r="Y78" s="2471" t="s">
        <v>36</v>
      </c>
      <c r="Z78" s="2471" t="s">
        <v>36</v>
      </c>
      <c r="AA78" s="2471" t="s">
        <v>36</v>
      </c>
      <c r="AB78" s="851"/>
      <c r="AC78" s="851"/>
      <c r="AD78" s="851" t="s">
        <v>448</v>
      </c>
      <c r="AE78" s="975">
        <v>21</v>
      </c>
      <c r="AF78" s="851" t="s">
        <v>448</v>
      </c>
      <c r="AG78" s="978"/>
      <c r="AH78" s="1"/>
      <c r="AJ78" s="845">
        <v>170</v>
      </c>
      <c r="AK78" s="845">
        <v>8</v>
      </c>
      <c r="AL78" s="845">
        <f t="shared" si="6"/>
        <v>178</v>
      </c>
      <c r="AM78" s="846">
        <f t="shared" si="7"/>
        <v>17.669999999999987</v>
      </c>
      <c r="AN78" s="846">
        <f>IF(AM78="","",AM78+'Oktober 2022'!AN78)</f>
        <v>17.669999999999987</v>
      </c>
    </row>
    <row r="79" spans="1:40" ht="22.35" customHeight="1" x14ac:dyDescent="0.2">
      <c r="A79" s="977"/>
      <c r="B79" s="1182" t="s">
        <v>217</v>
      </c>
      <c r="C79" s="644">
        <v>21</v>
      </c>
      <c r="D79" s="644">
        <v>21</v>
      </c>
      <c r="E79" s="851">
        <v>21</v>
      </c>
      <c r="F79" s="975">
        <v>21</v>
      </c>
      <c r="G79" s="644">
        <v>21</v>
      </c>
      <c r="H79" s="644">
        <v>21</v>
      </c>
      <c r="I79" s="644" t="s">
        <v>36</v>
      </c>
      <c r="J79" s="644" t="s">
        <v>36</v>
      </c>
      <c r="K79" s="644" t="s">
        <v>36</v>
      </c>
      <c r="L79" s="644" t="s">
        <v>36</v>
      </c>
      <c r="M79" s="644" t="s">
        <v>36</v>
      </c>
      <c r="N79" s="644"/>
      <c r="O79" s="644"/>
      <c r="P79" s="851">
        <v>22</v>
      </c>
      <c r="Q79" s="644">
        <v>22</v>
      </c>
      <c r="R79" s="644">
        <v>22</v>
      </c>
      <c r="S79" s="1235" t="s">
        <v>449</v>
      </c>
      <c r="T79" s="2469">
        <v>10</v>
      </c>
      <c r="U79" s="2469" t="s">
        <v>81</v>
      </c>
      <c r="V79" s="2470" t="s">
        <v>81</v>
      </c>
      <c r="W79" s="644" t="s">
        <v>36</v>
      </c>
      <c r="X79" s="644" t="s">
        <v>36</v>
      </c>
      <c r="Y79" s="644" t="s">
        <v>36</v>
      </c>
      <c r="Z79" s="644" t="s">
        <v>36</v>
      </c>
      <c r="AA79" s="644" t="s">
        <v>36</v>
      </c>
      <c r="AB79" s="644"/>
      <c r="AC79" s="975"/>
      <c r="AD79" s="975">
        <v>9</v>
      </c>
      <c r="AE79" s="975">
        <v>9</v>
      </c>
      <c r="AF79" s="644">
        <v>9</v>
      </c>
      <c r="AG79" s="978"/>
      <c r="AH79" s="1"/>
      <c r="AJ79" s="845"/>
      <c r="AK79" s="845"/>
      <c r="AL79" s="845"/>
      <c r="AM79" s="846"/>
      <c r="AN79" s="846"/>
    </row>
    <row r="80" spans="1:40" ht="22.35" customHeight="1" thickBot="1" x14ac:dyDescent="0.25">
      <c r="A80" s="977"/>
      <c r="B80" s="2473" t="s">
        <v>450</v>
      </c>
      <c r="C80" s="644" t="s">
        <v>32</v>
      </c>
      <c r="D80" s="2468">
        <v>89</v>
      </c>
      <c r="E80" s="1235" t="s">
        <v>86</v>
      </c>
      <c r="F80" s="1234" t="s">
        <v>58</v>
      </c>
      <c r="G80" s="644"/>
      <c r="H80" s="644"/>
      <c r="I80" s="1234">
        <v>89</v>
      </c>
      <c r="J80" s="1234">
        <v>3</v>
      </c>
      <c r="K80" s="1234">
        <v>4</v>
      </c>
      <c r="L80" s="1234" t="s">
        <v>32</v>
      </c>
      <c r="M80" s="1234">
        <v>79</v>
      </c>
      <c r="N80" s="644"/>
      <c r="O80" s="644"/>
      <c r="P80" s="1234">
        <v>25</v>
      </c>
      <c r="Q80" s="1234">
        <v>25</v>
      </c>
      <c r="R80" s="1234">
        <v>25</v>
      </c>
      <c r="S80" s="1234">
        <v>25</v>
      </c>
      <c r="T80" s="1234">
        <v>25</v>
      </c>
      <c r="U80" s="851"/>
      <c r="V80" s="974"/>
      <c r="W80" s="964" t="s">
        <v>426</v>
      </c>
      <c r="X80" s="2467" t="s">
        <v>86</v>
      </c>
      <c r="Y80" s="376">
        <v>89</v>
      </c>
      <c r="Z80" s="1112" t="s">
        <v>86</v>
      </c>
      <c r="AA80" s="851" t="s">
        <v>86</v>
      </c>
      <c r="AB80" s="851"/>
      <c r="AC80" s="851"/>
      <c r="AD80" s="1235" t="s">
        <v>449</v>
      </c>
      <c r="AE80" s="1235" t="s">
        <v>449</v>
      </c>
      <c r="AF80" s="1235" t="s">
        <v>449</v>
      </c>
      <c r="AG80" s="978"/>
      <c r="AH80" s="1"/>
      <c r="AJ80" s="845">
        <v>180</v>
      </c>
      <c r="AK80" s="845">
        <v>5.5</v>
      </c>
      <c r="AL80" s="845">
        <f t="shared" si="6"/>
        <v>185.5</v>
      </c>
      <c r="AM80" s="846">
        <f t="shared" si="7"/>
        <v>25.169999999999987</v>
      </c>
      <c r="AN80" s="846">
        <f>IF(AM80="","",AM80+'Oktober 2022'!AN79)</f>
        <v>25.169999999999987</v>
      </c>
    </row>
    <row r="81" spans="1:40" ht="22.35" customHeight="1" thickBot="1" x14ac:dyDescent="0.25">
      <c r="A81" s="1685"/>
      <c r="B81" s="2474" t="s">
        <v>147</v>
      </c>
      <c r="C81" s="2475">
        <v>1</v>
      </c>
      <c r="D81" s="2475">
        <v>2</v>
      </c>
      <c r="E81" s="2475">
        <v>3</v>
      </c>
      <c r="F81" s="2475">
        <v>4</v>
      </c>
      <c r="G81" s="2476">
        <v>5</v>
      </c>
      <c r="H81" s="2476">
        <v>6</v>
      </c>
      <c r="I81" s="2475">
        <v>7</v>
      </c>
      <c r="J81" s="2475">
        <v>8</v>
      </c>
      <c r="K81" s="2475">
        <v>9</v>
      </c>
      <c r="L81" s="2475">
        <v>10</v>
      </c>
      <c r="M81" s="2475">
        <v>11</v>
      </c>
      <c r="N81" s="2476">
        <v>12</v>
      </c>
      <c r="O81" s="2476">
        <v>13</v>
      </c>
      <c r="P81" s="2475">
        <v>14</v>
      </c>
      <c r="Q81" s="2475">
        <v>15</v>
      </c>
      <c r="R81" s="2475">
        <v>16</v>
      </c>
      <c r="S81" s="2475">
        <v>17</v>
      </c>
      <c r="T81" s="2475">
        <v>18</v>
      </c>
      <c r="U81" s="2476">
        <v>19</v>
      </c>
      <c r="V81" s="2476">
        <v>20</v>
      </c>
      <c r="W81" s="2475">
        <v>21</v>
      </c>
      <c r="X81" s="2475">
        <v>22</v>
      </c>
      <c r="Y81" s="2475">
        <v>23</v>
      </c>
      <c r="Z81" s="2475">
        <v>24</v>
      </c>
      <c r="AA81" s="2475">
        <v>25</v>
      </c>
      <c r="AB81" s="2476">
        <v>26</v>
      </c>
      <c r="AC81" s="2476">
        <v>27</v>
      </c>
      <c r="AD81" s="2475">
        <v>28</v>
      </c>
      <c r="AE81" s="2475">
        <v>29</v>
      </c>
      <c r="AF81" s="2475">
        <v>30</v>
      </c>
      <c r="AG81" s="2477"/>
      <c r="AH81" s="1"/>
      <c r="AJ81" s="845">
        <f t="shared" si="5"/>
        <v>160.33000000000001</v>
      </c>
      <c r="AK81" s="845"/>
      <c r="AL81" s="845">
        <f t="shared" si="6"/>
        <v>160.33000000000001</v>
      </c>
      <c r="AM81" s="846">
        <f t="shared" si="7"/>
        <v>0</v>
      </c>
      <c r="AN81" s="846">
        <f>IF(AM81="","",AM81+'Oktober 2022'!AN80)</f>
        <v>0</v>
      </c>
    </row>
    <row r="82" spans="1:40" ht="22.35" customHeight="1" thickBot="1" x14ac:dyDescent="0.25">
      <c r="A82" s="977"/>
      <c r="B82" s="1182" t="s">
        <v>359</v>
      </c>
      <c r="C82" s="2478" t="s">
        <v>36</v>
      </c>
      <c r="D82" s="2478" t="s">
        <v>36</v>
      </c>
      <c r="E82" s="2478" t="s">
        <v>36</v>
      </c>
      <c r="F82" s="2478" t="s">
        <v>36</v>
      </c>
      <c r="G82" s="2478"/>
      <c r="H82" s="2478"/>
      <c r="I82" s="2478">
        <v>1</v>
      </c>
      <c r="J82" s="2478">
        <v>1</v>
      </c>
      <c r="K82" s="2478">
        <v>1</v>
      </c>
      <c r="L82" s="2478">
        <v>1</v>
      </c>
      <c r="M82" s="2478">
        <v>1</v>
      </c>
      <c r="N82" s="2478"/>
      <c r="O82" s="2478"/>
      <c r="P82" s="2478">
        <v>9</v>
      </c>
      <c r="Q82" s="2478">
        <v>9</v>
      </c>
      <c r="R82" s="2478">
        <v>9</v>
      </c>
      <c r="S82" s="2478">
        <v>9</v>
      </c>
      <c r="T82" s="2478">
        <v>9</v>
      </c>
      <c r="U82" s="2478" t="s">
        <v>80</v>
      </c>
      <c r="V82" s="2478" t="s">
        <v>81</v>
      </c>
      <c r="W82" s="2478" t="s">
        <v>36</v>
      </c>
      <c r="X82" s="2478" t="s">
        <v>36</v>
      </c>
      <c r="Y82" s="2478" t="s">
        <v>36</v>
      </c>
      <c r="Z82" s="2478" t="s">
        <v>36</v>
      </c>
      <c r="AA82" s="2478" t="s">
        <v>36</v>
      </c>
      <c r="AB82" s="2478" t="s">
        <v>82</v>
      </c>
      <c r="AC82" s="2478" t="s">
        <v>83</v>
      </c>
      <c r="AD82" s="2478">
        <v>6</v>
      </c>
      <c r="AE82" s="2478">
        <v>6</v>
      </c>
      <c r="AF82" s="2478">
        <v>6</v>
      </c>
      <c r="AG82" s="1312"/>
      <c r="AH82" s="1"/>
      <c r="AJ82" s="845">
        <f t="shared" si="5"/>
        <v>160.33000000000001</v>
      </c>
      <c r="AK82" s="845"/>
      <c r="AL82" s="845">
        <f t="shared" si="6"/>
        <v>160.33000000000001</v>
      </c>
      <c r="AM82" s="846">
        <f t="shared" si="7"/>
        <v>0</v>
      </c>
      <c r="AN82" s="846">
        <f>IF(AM82="","",AM82+'Oktober 2022'!AN83)</f>
        <v>0</v>
      </c>
    </row>
    <row r="83" spans="1:40" ht="22.35" customHeight="1" thickBot="1" x14ac:dyDescent="0.25">
      <c r="A83" s="977"/>
      <c r="B83" s="2289" t="s">
        <v>423</v>
      </c>
      <c r="C83" s="2478" t="s">
        <v>36</v>
      </c>
      <c r="D83" s="907" t="s">
        <v>32</v>
      </c>
      <c r="E83" s="2478" t="s">
        <v>36</v>
      </c>
      <c r="F83" s="907" t="s">
        <v>32</v>
      </c>
      <c r="G83" s="907" t="s">
        <v>32</v>
      </c>
      <c r="H83" s="907" t="s">
        <v>32</v>
      </c>
      <c r="I83" s="907" t="s">
        <v>32</v>
      </c>
      <c r="J83" s="2478" t="s">
        <v>36</v>
      </c>
      <c r="K83" s="2478" t="s">
        <v>36</v>
      </c>
      <c r="L83" s="907" t="s">
        <v>32</v>
      </c>
      <c r="M83" s="907" t="s">
        <v>32</v>
      </c>
      <c r="N83" s="907" t="s">
        <v>32</v>
      </c>
      <c r="O83" s="907" t="s">
        <v>32</v>
      </c>
      <c r="P83" s="907" t="s">
        <v>32</v>
      </c>
      <c r="Q83" s="2478" t="s">
        <v>36</v>
      </c>
      <c r="R83" s="907" t="s">
        <v>32</v>
      </c>
      <c r="S83" s="907" t="s">
        <v>32</v>
      </c>
      <c r="T83" s="2479" t="s">
        <v>451</v>
      </c>
      <c r="U83" s="2479" t="s">
        <v>451</v>
      </c>
      <c r="V83" s="2479" t="s">
        <v>451</v>
      </c>
      <c r="W83" s="2479" t="s">
        <v>451</v>
      </c>
      <c r="X83" s="2479" t="s">
        <v>451</v>
      </c>
      <c r="Y83" s="2479" t="s">
        <v>451</v>
      </c>
      <c r="Z83" s="2479" t="s">
        <v>451</v>
      </c>
      <c r="AA83" s="2479" t="s">
        <v>451</v>
      </c>
      <c r="AB83" s="2479" t="s">
        <v>451</v>
      </c>
      <c r="AC83" s="2479" t="s">
        <v>451</v>
      </c>
      <c r="AD83" s="2479" t="s">
        <v>451</v>
      </c>
      <c r="AE83" s="2479" t="s">
        <v>451</v>
      </c>
      <c r="AF83" s="2479" t="s">
        <v>451</v>
      </c>
      <c r="AG83" s="1312"/>
      <c r="AH83" s="1"/>
      <c r="AJ83" s="845">
        <f t="shared" si="5"/>
        <v>160.33000000000001</v>
      </c>
      <c r="AK83" s="845"/>
      <c r="AL83" s="845">
        <f t="shared" si="6"/>
        <v>160.33000000000001</v>
      </c>
      <c r="AM83" s="846">
        <f t="shared" si="7"/>
        <v>0</v>
      </c>
      <c r="AN83" s="846">
        <f>IF(AM83="","",AM83+'Oktober 2022'!AN84)</f>
        <v>0</v>
      </c>
    </row>
    <row r="84" spans="1:40" ht="22.35" customHeight="1" thickBot="1" x14ac:dyDescent="0.25">
      <c r="A84" s="977"/>
      <c r="B84" s="1182" t="s">
        <v>381</v>
      </c>
      <c r="C84" s="644">
        <v>23</v>
      </c>
      <c r="D84" s="644">
        <v>23</v>
      </c>
      <c r="E84" s="851">
        <v>23</v>
      </c>
      <c r="F84" s="644">
        <v>23</v>
      </c>
      <c r="G84" s="644">
        <v>23</v>
      </c>
      <c r="H84" s="644">
        <v>23</v>
      </c>
      <c r="I84" s="644" t="s">
        <v>36</v>
      </c>
      <c r="J84" s="644" t="s">
        <v>36</v>
      </c>
      <c r="K84" s="644" t="s">
        <v>36</v>
      </c>
      <c r="L84" s="644" t="s">
        <v>36</v>
      </c>
      <c r="M84" s="644" t="s">
        <v>36</v>
      </c>
      <c r="N84" s="644"/>
      <c r="O84" s="848"/>
      <c r="P84" s="1162">
        <v>21</v>
      </c>
      <c r="Q84" s="1162">
        <v>21</v>
      </c>
      <c r="R84" s="1162" t="s">
        <v>149</v>
      </c>
      <c r="S84" s="2480">
        <v>21</v>
      </c>
      <c r="T84" s="848">
        <v>21</v>
      </c>
      <c r="U84" s="848">
        <v>21</v>
      </c>
      <c r="V84" s="848">
        <v>21</v>
      </c>
      <c r="W84" s="644" t="s">
        <v>36</v>
      </c>
      <c r="X84" s="644" t="s">
        <v>36</v>
      </c>
      <c r="Y84" s="644" t="s">
        <v>36</v>
      </c>
      <c r="Z84" s="644" t="s">
        <v>36</v>
      </c>
      <c r="AA84" s="644" t="s">
        <v>36</v>
      </c>
      <c r="AB84" s="644"/>
      <c r="AC84" s="644"/>
      <c r="AD84" s="851">
        <v>22</v>
      </c>
      <c r="AE84" s="644">
        <v>22</v>
      </c>
      <c r="AF84" s="644">
        <v>22</v>
      </c>
      <c r="AG84" s="1312"/>
      <c r="AH84" s="1"/>
      <c r="AJ84" s="845">
        <f t="shared" si="5"/>
        <v>160.33000000000001</v>
      </c>
      <c r="AK84" s="845"/>
      <c r="AL84" s="845">
        <f t="shared" si="6"/>
        <v>160.33000000000001</v>
      </c>
      <c r="AM84" s="846">
        <f t="shared" si="7"/>
        <v>0</v>
      </c>
      <c r="AN84" s="846">
        <f>IF(AM84="","",AM84+'Oktober 2022'!AN85)</f>
        <v>12.969999999999999</v>
      </c>
    </row>
    <row r="85" spans="1:40" ht="22.35" customHeight="1" thickBot="1" x14ac:dyDescent="0.25">
      <c r="A85" s="979"/>
      <c r="B85" s="2301" t="s">
        <v>399</v>
      </c>
      <c r="C85" s="2481" t="s">
        <v>32</v>
      </c>
      <c r="D85" s="2481" t="s">
        <v>32</v>
      </c>
      <c r="E85" s="2481" t="s">
        <v>32</v>
      </c>
      <c r="F85" s="2481" t="s">
        <v>32</v>
      </c>
      <c r="G85" s="2481"/>
      <c r="H85" s="2481"/>
      <c r="I85" s="2481" t="s">
        <v>32</v>
      </c>
      <c r="J85" s="2481" t="s">
        <v>32</v>
      </c>
      <c r="K85" s="2481" t="s">
        <v>32</v>
      </c>
      <c r="L85" s="2481" t="s">
        <v>32</v>
      </c>
      <c r="M85" s="2481" t="s">
        <v>32</v>
      </c>
      <c r="N85" s="2481"/>
      <c r="O85" s="2481"/>
      <c r="P85" s="2481" t="s">
        <v>32</v>
      </c>
      <c r="Q85" s="2481" t="s">
        <v>32</v>
      </c>
      <c r="R85" s="2481" t="s">
        <v>32</v>
      </c>
      <c r="S85" s="2481" t="s">
        <v>32</v>
      </c>
      <c r="T85" s="2481" t="s">
        <v>32</v>
      </c>
      <c r="U85" s="2481"/>
      <c r="V85" s="2481"/>
      <c r="W85" s="2481" t="s">
        <v>32</v>
      </c>
      <c r="X85" s="2481" t="s">
        <v>32</v>
      </c>
      <c r="Y85" s="2481" t="s">
        <v>32</v>
      </c>
      <c r="Z85" s="2481" t="s">
        <v>32</v>
      </c>
      <c r="AA85" s="2481" t="s">
        <v>32</v>
      </c>
      <c r="AB85" s="2481"/>
      <c r="AC85" s="2481"/>
      <c r="AD85" s="2481" t="s">
        <v>32</v>
      </c>
      <c r="AE85" s="2481" t="s">
        <v>32</v>
      </c>
      <c r="AF85" s="2481" t="s">
        <v>32</v>
      </c>
      <c r="AG85" s="867"/>
      <c r="AH85" s="1"/>
      <c r="AJ85" s="845">
        <f t="shared" si="5"/>
        <v>160.33000000000001</v>
      </c>
      <c r="AK85" s="845"/>
      <c r="AL85" s="845">
        <f t="shared" si="6"/>
        <v>160.33000000000001</v>
      </c>
      <c r="AM85" s="846">
        <f t="shared" si="7"/>
        <v>0</v>
      </c>
      <c r="AN85" s="846">
        <f>IF(AM85="","",AM85+'Oktober 2022'!AN89)</f>
        <v>0</v>
      </c>
    </row>
    <row r="86" spans="1:40" ht="22.35" customHeight="1" thickBot="1" x14ac:dyDescent="0.25">
      <c r="A86" s="64"/>
      <c r="B86" s="2474" t="s">
        <v>150</v>
      </c>
      <c r="C86" s="2482"/>
      <c r="D86" s="2483"/>
      <c r="E86" s="2483"/>
      <c r="F86" s="2483"/>
      <c r="G86" s="2483"/>
      <c r="H86" s="2483"/>
      <c r="I86" s="2482"/>
      <c r="J86" s="2482"/>
      <c r="K86" s="2483"/>
      <c r="L86" s="2483"/>
      <c r="M86" s="2483"/>
      <c r="N86" s="2483"/>
      <c r="O86" s="2483"/>
      <c r="P86" s="2482"/>
      <c r="Q86" s="2482"/>
      <c r="R86" s="2482"/>
      <c r="S86" s="2484"/>
      <c r="T86" s="2484"/>
      <c r="U86" s="2484"/>
      <c r="V86" s="2482"/>
      <c r="W86" s="2482"/>
      <c r="X86" s="2482"/>
      <c r="Y86" s="2482"/>
      <c r="Z86" s="2482"/>
      <c r="AA86" s="2482"/>
      <c r="AB86" s="2482"/>
      <c r="AC86" s="2482"/>
      <c r="AD86" s="2482"/>
      <c r="AE86" s="2482"/>
      <c r="AF86" s="2482"/>
      <c r="AG86" s="2485"/>
      <c r="AH86" s="1"/>
      <c r="AJ86" s="2293"/>
      <c r="AK86" s="2293"/>
      <c r="AL86" s="2293"/>
      <c r="AM86" s="2294"/>
      <c r="AN86" s="2294"/>
    </row>
    <row r="87" spans="1:40" ht="22.35" customHeight="1" thickBot="1" x14ac:dyDescent="0.25">
      <c r="A87" s="2486"/>
      <c r="B87" s="2487" t="s">
        <v>151</v>
      </c>
      <c r="C87" s="2488" t="s">
        <v>32</v>
      </c>
      <c r="D87" s="2489" t="s">
        <v>32</v>
      </c>
      <c r="E87" s="2488" t="s">
        <v>32</v>
      </c>
      <c r="F87" s="2490" t="s">
        <v>32</v>
      </c>
      <c r="G87" s="2490"/>
      <c r="H87" s="2490"/>
      <c r="I87" s="2490" t="s">
        <v>32</v>
      </c>
      <c r="J87" s="2490" t="s">
        <v>32</v>
      </c>
      <c r="K87" s="2490" t="s">
        <v>32</v>
      </c>
      <c r="L87" s="2490" t="s">
        <v>32</v>
      </c>
      <c r="M87" s="2490" t="s">
        <v>32</v>
      </c>
      <c r="N87" s="2490"/>
      <c r="O87" s="2490"/>
      <c r="P87" s="2490" t="s">
        <v>32</v>
      </c>
      <c r="Q87" s="2490" t="s">
        <v>32</v>
      </c>
      <c r="R87" s="2490" t="s">
        <v>32</v>
      </c>
      <c r="S87" s="2490" t="s">
        <v>32</v>
      </c>
      <c r="T87" s="2488" t="s">
        <v>32</v>
      </c>
      <c r="U87" s="2488"/>
      <c r="V87" s="2491"/>
      <c r="W87" s="2488" t="s">
        <v>32</v>
      </c>
      <c r="X87" s="2488" t="s">
        <v>32</v>
      </c>
      <c r="Y87" s="2490" t="s">
        <v>32</v>
      </c>
      <c r="Z87" s="2488" t="s">
        <v>32</v>
      </c>
      <c r="AA87" s="2488" t="s">
        <v>32</v>
      </c>
      <c r="AB87" s="2488"/>
      <c r="AC87" s="2488"/>
      <c r="AD87" s="2488" t="s">
        <v>32</v>
      </c>
      <c r="AE87" s="2489" t="s">
        <v>32</v>
      </c>
      <c r="AF87" s="2488" t="s">
        <v>32</v>
      </c>
      <c r="AG87" s="2492"/>
      <c r="AH87" s="1"/>
      <c r="AJ87" s="190"/>
      <c r="AK87" s="190"/>
      <c r="AL87" s="190"/>
      <c r="AM87" s="328"/>
      <c r="AN87" s="328"/>
    </row>
    <row r="88" spans="1:40" ht="22.35" customHeight="1" x14ac:dyDescent="0.2">
      <c r="A88" s="324"/>
      <c r="AH88" s="1"/>
      <c r="AJ88" s="190"/>
      <c r="AK88" s="190"/>
      <c r="AL88" s="190"/>
      <c r="AM88" s="190"/>
      <c r="AN88" s="190"/>
    </row>
    <row r="89" spans="1:40" ht="22.35" customHeight="1" thickBot="1" x14ac:dyDescent="0.25">
      <c r="A89" s="2493"/>
      <c r="B89" s="633" t="s">
        <v>29</v>
      </c>
      <c r="C89" s="796">
        <v>1</v>
      </c>
      <c r="D89" s="796">
        <v>2</v>
      </c>
      <c r="E89" s="796">
        <v>3</v>
      </c>
      <c r="F89" s="796">
        <v>4</v>
      </c>
      <c r="G89" s="795">
        <v>5</v>
      </c>
      <c r="H89" s="795">
        <v>6</v>
      </c>
      <c r="I89" s="796">
        <v>7</v>
      </c>
      <c r="J89" s="796">
        <v>8</v>
      </c>
      <c r="K89" s="796">
        <v>9</v>
      </c>
      <c r="L89" s="796">
        <v>10</v>
      </c>
      <c r="M89" s="796">
        <v>11</v>
      </c>
      <c r="N89" s="795">
        <v>12</v>
      </c>
      <c r="O89" s="795">
        <v>13</v>
      </c>
      <c r="P89" s="796">
        <v>14</v>
      </c>
      <c r="Q89" s="796">
        <v>15</v>
      </c>
      <c r="R89" s="796">
        <v>16</v>
      </c>
      <c r="S89" s="796">
        <v>17</v>
      </c>
      <c r="T89" s="796">
        <v>18</v>
      </c>
      <c r="U89" s="795">
        <v>19</v>
      </c>
      <c r="V89" s="795">
        <v>20</v>
      </c>
      <c r="W89" s="796">
        <v>21</v>
      </c>
      <c r="X89" s="796">
        <v>22</v>
      </c>
      <c r="Y89" s="796">
        <v>23</v>
      </c>
      <c r="Z89" s="796">
        <v>24</v>
      </c>
      <c r="AA89" s="796">
        <v>25</v>
      </c>
      <c r="AB89" s="795">
        <v>26</v>
      </c>
      <c r="AC89" s="795">
        <v>27</v>
      </c>
      <c r="AD89" s="796">
        <v>28</v>
      </c>
      <c r="AE89" s="796">
        <v>29</v>
      </c>
      <c r="AF89" s="796">
        <v>30</v>
      </c>
      <c r="AG89" s="797"/>
      <c r="AH89" s="1"/>
    </row>
    <row r="90" spans="1:40" ht="22.35" customHeight="1" x14ac:dyDescent="0.2">
      <c r="A90" s="2493"/>
      <c r="B90" s="2494" t="s">
        <v>152</v>
      </c>
      <c r="C90" s="2244"/>
      <c r="D90" s="2447"/>
      <c r="E90" s="2244"/>
      <c r="F90" s="2244"/>
      <c r="G90" s="2244"/>
      <c r="H90" s="2244"/>
      <c r="I90" s="2244"/>
      <c r="J90" s="2244"/>
      <c r="K90" s="2244"/>
      <c r="L90" s="2244"/>
      <c r="M90" s="2244"/>
      <c r="N90" s="2244"/>
      <c r="O90" s="2244"/>
      <c r="P90" s="2244"/>
      <c r="Q90" s="2244"/>
      <c r="R90" s="2244"/>
      <c r="S90" s="2244"/>
      <c r="T90" s="2244"/>
      <c r="U90" s="2244"/>
      <c r="V90" s="2244"/>
      <c r="W90" s="2244"/>
      <c r="X90" s="2244"/>
      <c r="Y90" s="2244"/>
      <c r="Z90" s="2244"/>
      <c r="AA90" s="2244"/>
      <c r="AB90" s="2244"/>
      <c r="AC90" s="2244"/>
      <c r="AD90" s="2244"/>
      <c r="AE90" s="2244"/>
      <c r="AF90" s="2244"/>
      <c r="AG90" s="2495"/>
      <c r="AH90" s="1"/>
    </row>
    <row r="91" spans="1:40" ht="22.35" customHeight="1" x14ac:dyDescent="0.2">
      <c r="A91" s="2493"/>
      <c r="B91" s="819"/>
      <c r="C91" s="2496"/>
      <c r="D91" s="2496"/>
      <c r="E91" s="2496"/>
      <c r="F91" s="809"/>
      <c r="G91" s="809"/>
      <c r="H91" s="2496"/>
      <c r="I91" s="2496"/>
      <c r="J91" s="2496"/>
      <c r="K91" s="2496"/>
      <c r="L91" s="2496"/>
      <c r="M91" s="2496"/>
      <c r="N91" s="2496"/>
      <c r="O91" s="2496"/>
      <c r="P91" s="2496"/>
      <c r="Q91" s="2496"/>
      <c r="R91" s="2496"/>
      <c r="S91" s="2496"/>
      <c r="T91" s="814"/>
      <c r="U91" s="2496"/>
      <c r="V91" s="2496"/>
      <c r="W91" s="2496"/>
      <c r="X91" s="2496"/>
      <c r="Y91" s="2496"/>
      <c r="Z91" s="2496"/>
      <c r="AA91" s="2496"/>
      <c r="AB91" s="2496"/>
      <c r="AC91" s="2496"/>
      <c r="AD91" s="2496"/>
      <c r="AE91" s="2496"/>
      <c r="AF91" s="2496"/>
      <c r="AG91" s="2497"/>
      <c r="AH91" s="1"/>
    </row>
    <row r="92" spans="1:40" ht="22.35" customHeight="1" x14ac:dyDescent="0.2">
      <c r="A92" s="2493"/>
      <c r="B92" s="819"/>
      <c r="C92" s="814"/>
      <c r="D92" s="814"/>
      <c r="E92" s="814"/>
      <c r="F92" s="814"/>
      <c r="G92" s="814"/>
      <c r="H92" s="814"/>
      <c r="I92" s="814"/>
      <c r="J92" s="814"/>
      <c r="K92" s="814"/>
      <c r="L92" s="814"/>
      <c r="M92" s="814"/>
      <c r="N92" s="814"/>
      <c r="O92" s="814"/>
      <c r="P92" s="814"/>
      <c r="Q92" s="814"/>
      <c r="R92" s="814"/>
      <c r="S92" s="814"/>
      <c r="T92" s="814"/>
      <c r="U92" s="814"/>
      <c r="V92" s="814"/>
      <c r="W92" s="814"/>
      <c r="X92" s="814"/>
      <c r="Y92" s="814"/>
      <c r="Z92" s="814"/>
      <c r="AA92" s="814"/>
      <c r="AB92" s="814"/>
      <c r="AC92" s="814"/>
      <c r="AD92" s="814"/>
      <c r="AE92" s="814"/>
      <c r="AF92" s="814"/>
      <c r="AG92" s="1199"/>
      <c r="AH92" s="1"/>
    </row>
    <row r="93" spans="1:40" ht="22.35" customHeight="1" thickBot="1" x14ac:dyDescent="0.25">
      <c r="A93" s="197"/>
      <c r="B93" s="905"/>
      <c r="C93" s="2498"/>
      <c r="D93" s="2498"/>
      <c r="E93" s="2498"/>
      <c r="F93" s="2498"/>
      <c r="G93" s="2498"/>
      <c r="H93" s="2498"/>
      <c r="I93" s="2498"/>
      <c r="J93" s="2498"/>
      <c r="K93" s="2498"/>
      <c r="L93" s="2498"/>
      <c r="M93" s="2498"/>
      <c r="N93" s="2498"/>
      <c r="O93" s="2498"/>
      <c r="P93" s="2498"/>
      <c r="Q93" s="2498"/>
      <c r="R93" s="2498"/>
      <c r="S93" s="2498"/>
      <c r="T93" s="2498"/>
      <c r="U93" s="2498"/>
      <c r="V93" s="2498"/>
      <c r="W93" s="2498"/>
      <c r="X93" s="2498"/>
      <c r="Y93" s="2498"/>
      <c r="Z93" s="2498"/>
      <c r="AA93" s="2498"/>
      <c r="AB93" s="2498"/>
      <c r="AC93" s="2498"/>
      <c r="AD93" s="2498"/>
      <c r="AE93" s="2498"/>
      <c r="AF93" s="2498"/>
      <c r="AG93" s="797"/>
      <c r="AH93" s="1"/>
    </row>
    <row r="94" spans="1:40" ht="22.35" customHeight="1" x14ac:dyDescent="0.2">
      <c r="A94" s="197"/>
      <c r="B94" s="198"/>
      <c r="C94" s="218"/>
      <c r="D94" s="218"/>
      <c r="E94" s="218"/>
      <c r="F94" s="218"/>
      <c r="G94" s="218"/>
      <c r="H94" s="218"/>
      <c r="I94" s="218"/>
      <c r="J94" s="218"/>
      <c r="K94" s="218"/>
      <c r="L94" s="218"/>
      <c r="M94" s="218"/>
      <c r="N94" s="218"/>
      <c r="O94" s="218"/>
      <c r="P94" s="218"/>
      <c r="Q94" s="218"/>
      <c r="R94" s="218"/>
      <c r="S94" s="218"/>
      <c r="T94" s="218"/>
      <c r="U94" s="218"/>
      <c r="V94" s="218"/>
      <c r="W94" s="218"/>
      <c r="X94" s="218"/>
      <c r="Y94" s="218"/>
      <c r="Z94" s="218"/>
      <c r="AA94" s="218"/>
      <c r="AB94" s="218"/>
      <c r="AC94" s="218"/>
      <c r="AD94" s="218"/>
      <c r="AE94" s="218"/>
      <c r="AF94" s="218"/>
      <c r="AG94" s="199"/>
      <c r="AH94" s="1"/>
    </row>
    <row r="95" spans="1:40" ht="22.35" customHeight="1" thickBot="1" x14ac:dyDescent="0.25">
      <c r="A95" s="345" t="s">
        <v>395</v>
      </c>
      <c r="B95" s="198"/>
      <c r="C95" s="218"/>
      <c r="D95" s="218"/>
      <c r="E95" s="218"/>
      <c r="F95" s="218"/>
      <c r="G95" s="218"/>
      <c r="H95" s="218"/>
      <c r="I95" s="218"/>
      <c r="J95" s="218"/>
      <c r="K95" s="218"/>
      <c r="L95" s="218"/>
      <c r="M95" s="218"/>
      <c r="N95" s="218"/>
      <c r="O95" s="218"/>
      <c r="P95" s="218"/>
      <c r="Q95" s="218"/>
      <c r="R95" s="218"/>
      <c r="S95" s="218"/>
      <c r="T95" s="218"/>
      <c r="U95" s="218"/>
      <c r="V95" s="218"/>
      <c r="W95" s="218"/>
      <c r="X95" s="218"/>
      <c r="Y95" s="218"/>
      <c r="Z95" s="218"/>
      <c r="AA95" s="218"/>
      <c r="AB95" s="218"/>
      <c r="AC95" s="218"/>
      <c r="AD95" s="218"/>
      <c r="AE95" s="218"/>
      <c r="AF95" s="218"/>
      <c r="AG95" s="199"/>
      <c r="AH95" s="1"/>
    </row>
    <row r="96" spans="1:40" ht="22.35" customHeight="1" thickBot="1" x14ac:dyDescent="0.3">
      <c r="A96" s="197"/>
      <c r="B96" s="346" t="s">
        <v>411</v>
      </c>
      <c r="C96" s="347"/>
      <c r="D96" s="347"/>
      <c r="E96" s="348" t="s">
        <v>412</v>
      </c>
      <c r="F96" s="347"/>
      <c r="G96" s="347"/>
      <c r="H96" s="347"/>
      <c r="I96" s="347"/>
      <c r="J96" s="347"/>
      <c r="K96" s="348" t="s">
        <v>413</v>
      </c>
      <c r="L96" s="347"/>
      <c r="M96" s="347"/>
      <c r="N96" s="347"/>
      <c r="O96" s="347"/>
      <c r="P96" s="347"/>
      <c r="Q96" s="348" t="s">
        <v>414</v>
      </c>
      <c r="R96" s="347"/>
      <c r="S96" s="347"/>
      <c r="T96" s="349"/>
      <c r="U96" s="170"/>
      <c r="V96" s="170"/>
      <c r="W96" s="170"/>
      <c r="X96" s="170"/>
      <c r="Y96" s="170"/>
      <c r="Z96" s="170"/>
      <c r="AA96" s="170"/>
      <c r="AB96" s="170"/>
      <c r="AC96" s="170"/>
      <c r="AD96" s="170"/>
      <c r="AE96" s="170"/>
      <c r="AF96" s="170"/>
      <c r="AG96" s="170"/>
      <c r="AH96" s="1"/>
      <c r="AN96" t="s">
        <v>350</v>
      </c>
    </row>
    <row r="97" spans="1:40" ht="22.35" customHeight="1" thickBot="1" x14ac:dyDescent="0.3">
      <c r="A97" s="197"/>
      <c r="B97" s="346" t="s">
        <v>415</v>
      </c>
      <c r="C97" s="347"/>
      <c r="D97" s="347"/>
      <c r="E97" s="350" t="s">
        <v>416</v>
      </c>
      <c r="F97" s="347"/>
      <c r="G97" s="347"/>
      <c r="H97" s="347"/>
      <c r="I97" s="347"/>
      <c r="J97" s="347"/>
      <c r="K97" s="347" t="s">
        <v>417</v>
      </c>
      <c r="L97" s="347"/>
      <c r="M97" s="347"/>
      <c r="N97" s="347"/>
      <c r="O97" s="347"/>
      <c r="P97" s="347"/>
      <c r="Q97" s="347"/>
      <c r="R97" s="347"/>
      <c r="S97" s="347"/>
      <c r="T97" s="349"/>
      <c r="U97" s="170"/>
      <c r="V97" s="170"/>
      <c r="W97" s="170"/>
      <c r="X97" s="170"/>
      <c r="Y97" s="170"/>
      <c r="Z97" s="170"/>
      <c r="AA97" s="170"/>
      <c r="AB97" s="170"/>
      <c r="AC97" s="170"/>
      <c r="AD97" s="170"/>
      <c r="AE97" s="170"/>
      <c r="AF97" s="170"/>
      <c r="AG97" s="170"/>
      <c r="AH97" s="1"/>
    </row>
    <row r="98" spans="1:40" ht="22.35" customHeight="1" thickBot="1" x14ac:dyDescent="0.3">
      <c r="A98" s="197"/>
      <c r="B98" s="346"/>
      <c r="C98" s="347"/>
      <c r="D98" s="347"/>
      <c r="E98" s="350" t="s">
        <v>418</v>
      </c>
      <c r="F98" s="347"/>
      <c r="G98" s="347"/>
      <c r="H98" s="347"/>
      <c r="I98" s="347"/>
      <c r="J98" s="347"/>
      <c r="K98" s="369" t="s">
        <v>17</v>
      </c>
      <c r="L98" s="351"/>
      <c r="M98" s="351"/>
      <c r="N98" s="351"/>
      <c r="O98" s="351"/>
      <c r="P98" s="351"/>
      <c r="Q98" s="351"/>
      <c r="R98" s="351"/>
      <c r="S98" s="351"/>
      <c r="T98" s="352"/>
      <c r="U98" s="170"/>
      <c r="V98" s="170"/>
      <c r="W98" s="170"/>
      <c r="X98" s="170"/>
      <c r="Y98" s="170"/>
      <c r="Z98" s="170"/>
      <c r="AA98" s="170"/>
      <c r="AB98" s="170"/>
      <c r="AC98" s="170"/>
      <c r="AD98" s="170"/>
      <c r="AE98" s="170"/>
      <c r="AF98" s="170"/>
      <c r="AG98" s="170"/>
      <c r="AH98" s="1"/>
    </row>
    <row r="99" spans="1:40" ht="22.35" customHeight="1" x14ac:dyDescent="0.25">
      <c r="A99" s="197"/>
      <c r="B99" s="170"/>
      <c r="C99" s="170"/>
      <c r="D99" s="170"/>
      <c r="E99" s="370"/>
      <c r="F99" s="170"/>
      <c r="G99" s="170"/>
      <c r="H99" s="170"/>
      <c r="I99" s="170"/>
      <c r="J99" s="170"/>
      <c r="K99" s="370"/>
      <c r="L99" s="170"/>
      <c r="M99" s="170"/>
      <c r="N99" s="170"/>
      <c r="O99" s="170"/>
      <c r="P99" s="170"/>
      <c r="Q99" s="170"/>
      <c r="R99" s="170"/>
      <c r="S99" s="170"/>
      <c r="T99" s="170"/>
      <c r="U99" s="170"/>
      <c r="V99" s="170"/>
      <c r="W99" s="170"/>
      <c r="X99" s="170"/>
      <c r="Y99" s="170"/>
      <c r="Z99" s="170"/>
      <c r="AA99" s="170"/>
      <c r="AB99" s="170"/>
      <c r="AC99" s="170"/>
      <c r="AD99" s="170"/>
      <c r="AE99" s="170"/>
      <c r="AF99" s="170"/>
      <c r="AG99" s="170"/>
      <c r="AH99" s="1"/>
    </row>
    <row r="100" spans="1:40" ht="22.35" customHeight="1" thickBot="1" x14ac:dyDescent="0.3">
      <c r="A100" s="197"/>
      <c r="B100" s="2499" t="s">
        <v>29</v>
      </c>
      <c r="C100" s="796">
        <v>1</v>
      </c>
      <c r="D100" s="796">
        <v>2</v>
      </c>
      <c r="E100" s="796">
        <v>3</v>
      </c>
      <c r="F100" s="796">
        <v>4</v>
      </c>
      <c r="G100" s="795">
        <v>5</v>
      </c>
      <c r="H100" s="795">
        <v>6</v>
      </c>
      <c r="I100" s="796">
        <v>7</v>
      </c>
      <c r="J100" s="796">
        <v>8</v>
      </c>
      <c r="K100" s="796">
        <v>9</v>
      </c>
      <c r="L100" s="796">
        <v>10</v>
      </c>
      <c r="M100" s="796">
        <v>11</v>
      </c>
      <c r="N100" s="795">
        <v>12</v>
      </c>
      <c r="O100" s="795">
        <v>13</v>
      </c>
      <c r="P100" s="796">
        <v>14</v>
      </c>
      <c r="Q100" s="796">
        <v>15</v>
      </c>
      <c r="R100" s="796">
        <v>16</v>
      </c>
      <c r="S100" s="796">
        <v>17</v>
      </c>
      <c r="T100" s="796">
        <v>18</v>
      </c>
      <c r="U100" s="795">
        <v>19</v>
      </c>
      <c r="V100" s="795">
        <v>20</v>
      </c>
      <c r="W100" s="796">
        <v>21</v>
      </c>
      <c r="X100" s="796">
        <v>22</v>
      </c>
      <c r="Y100" s="796">
        <v>23</v>
      </c>
      <c r="Z100" s="796">
        <v>24</v>
      </c>
      <c r="AA100" s="796">
        <v>25</v>
      </c>
      <c r="AB100" s="795">
        <v>26</v>
      </c>
      <c r="AC100" s="795">
        <v>27</v>
      </c>
      <c r="AD100" s="796">
        <v>28</v>
      </c>
      <c r="AE100" s="796">
        <v>29</v>
      </c>
      <c r="AF100" s="796">
        <v>30</v>
      </c>
      <c r="AG100" s="797"/>
      <c r="AH100" s="1"/>
      <c r="AJ100" s="1181" t="s">
        <v>30</v>
      </c>
      <c r="AK100" s="1181" t="s">
        <v>44</v>
      </c>
      <c r="AL100" s="1181" t="s">
        <v>45</v>
      </c>
      <c r="AM100" s="1181" t="s">
        <v>46</v>
      </c>
      <c r="AN100" s="1181" t="s">
        <v>47</v>
      </c>
    </row>
    <row r="101" spans="1:40" ht="22.35" customHeight="1" x14ac:dyDescent="0.2">
      <c r="B101" s="2500" t="s">
        <v>419</v>
      </c>
      <c r="C101" s="2501" t="s">
        <v>36</v>
      </c>
      <c r="D101" s="2501" t="s">
        <v>36</v>
      </c>
      <c r="E101" s="2501" t="s">
        <v>36</v>
      </c>
      <c r="F101" s="2501" t="s">
        <v>36</v>
      </c>
      <c r="G101" s="2502"/>
      <c r="H101" s="2502"/>
      <c r="I101" s="851" t="s">
        <v>400</v>
      </c>
      <c r="J101" s="964" t="s">
        <v>452</v>
      </c>
      <c r="K101" s="845" t="s">
        <v>400</v>
      </c>
      <c r="L101" s="845" t="s">
        <v>400</v>
      </c>
      <c r="M101" s="845" t="s">
        <v>400</v>
      </c>
      <c r="N101" s="2503" t="s">
        <v>409</v>
      </c>
      <c r="O101" s="2503" t="s">
        <v>409</v>
      </c>
      <c r="P101" s="851" t="s">
        <v>36</v>
      </c>
      <c r="Q101" s="851" t="s">
        <v>36</v>
      </c>
      <c r="R101" s="851" t="s">
        <v>36</v>
      </c>
      <c r="S101" s="851" t="s">
        <v>36</v>
      </c>
      <c r="T101" s="851" t="s">
        <v>36</v>
      </c>
      <c r="U101" s="2501" t="s">
        <v>0</v>
      </c>
      <c r="V101" s="2501" t="s">
        <v>0</v>
      </c>
      <c r="W101" s="644" t="s">
        <v>398</v>
      </c>
      <c r="X101" s="644" t="s">
        <v>398</v>
      </c>
      <c r="Y101" s="644" t="s">
        <v>398</v>
      </c>
      <c r="Z101" s="644" t="s">
        <v>398</v>
      </c>
      <c r="AA101" s="644" t="s">
        <v>398</v>
      </c>
      <c r="AB101" s="2501"/>
      <c r="AC101" s="2501"/>
      <c r="AD101" s="644" t="s">
        <v>420</v>
      </c>
      <c r="AE101" s="644" t="s">
        <v>420</v>
      </c>
      <c r="AF101" s="644" t="s">
        <v>420</v>
      </c>
      <c r="AG101" s="2504"/>
      <c r="AH101" s="1"/>
      <c r="AJ101" s="845">
        <f>$AJ$12</f>
        <v>160.33000000000001</v>
      </c>
      <c r="AK101" s="845"/>
      <c r="AL101" s="845">
        <f>IF(AJ101="","",SUM(AJ101:AK101))</f>
        <v>160.33000000000001</v>
      </c>
      <c r="AM101" s="846">
        <f t="shared" ref="AM101:AM105" si="8">IF(AJ101="","",AL101-NormTid)</f>
        <v>0</v>
      </c>
      <c r="AN101" s="846">
        <f>IF(AM101="","",AM101+'Oktober 2022'!AN103)</f>
        <v>0</v>
      </c>
    </row>
    <row r="102" spans="1:40" ht="22.35" customHeight="1" x14ac:dyDescent="0.2">
      <c r="B102" s="2505" t="s">
        <v>397</v>
      </c>
      <c r="C102" s="2506" t="s">
        <v>398</v>
      </c>
      <c r="D102" s="2506" t="s">
        <v>398</v>
      </c>
      <c r="E102" s="2506" t="s">
        <v>398</v>
      </c>
      <c r="F102" s="2506" t="s">
        <v>398</v>
      </c>
      <c r="G102" s="2506"/>
      <c r="H102" s="2507"/>
      <c r="I102" s="2506" t="s">
        <v>420</v>
      </c>
      <c r="J102" s="2506" t="s">
        <v>420</v>
      </c>
      <c r="K102" s="2506" t="s">
        <v>420</v>
      </c>
      <c r="L102" s="2506" t="s">
        <v>420</v>
      </c>
      <c r="M102" s="2506" t="s">
        <v>420</v>
      </c>
      <c r="N102" s="2508" t="s">
        <v>405</v>
      </c>
      <c r="O102" s="2508" t="s">
        <v>405</v>
      </c>
      <c r="P102" s="2508" t="s">
        <v>36</v>
      </c>
      <c r="Q102" s="2508" t="s">
        <v>36</v>
      </c>
      <c r="R102" s="2508" t="s">
        <v>36</v>
      </c>
      <c r="S102" s="2508" t="s">
        <v>36</v>
      </c>
      <c r="T102" s="2508" t="s">
        <v>36</v>
      </c>
      <c r="U102" s="2508"/>
      <c r="V102" s="2508"/>
      <c r="W102" s="2508" t="s">
        <v>400</v>
      </c>
      <c r="X102" s="2508" t="s">
        <v>400</v>
      </c>
      <c r="Y102" s="2508" t="s">
        <v>400</v>
      </c>
      <c r="Z102" s="2508" t="s">
        <v>400</v>
      </c>
      <c r="AA102" s="2508" t="s">
        <v>400</v>
      </c>
      <c r="AB102" s="2508" t="s">
        <v>409</v>
      </c>
      <c r="AC102" s="2508" t="s">
        <v>409</v>
      </c>
      <c r="AD102" s="2508" t="s">
        <v>36</v>
      </c>
      <c r="AE102" s="2508" t="s">
        <v>36</v>
      </c>
      <c r="AF102" s="2508" t="s">
        <v>36</v>
      </c>
      <c r="AG102" s="978"/>
      <c r="AH102" s="1"/>
      <c r="AJ102" s="845">
        <f t="shared" ref="AJ102:AJ105" si="9">$AJ$12</f>
        <v>160.33000000000001</v>
      </c>
      <c r="AK102" s="845"/>
      <c r="AL102" s="845">
        <f t="shared" ref="AL102:AL105" si="10">IF(AJ102="","",SUM(AJ102:AK102))</f>
        <v>160.33000000000001</v>
      </c>
      <c r="AM102" s="846">
        <f t="shared" si="8"/>
        <v>0</v>
      </c>
      <c r="AN102" s="846">
        <f>IF(AM102="","",AM102+'Oktober 2022'!AN104)</f>
        <v>0</v>
      </c>
    </row>
    <row r="103" spans="1:40" ht="22.35" customHeight="1" x14ac:dyDescent="0.2">
      <c r="B103" s="378" t="s">
        <v>0</v>
      </c>
      <c r="C103" s="2508" t="s">
        <v>400</v>
      </c>
      <c r="D103" s="2508" t="s">
        <v>400</v>
      </c>
      <c r="E103" s="2508" t="s">
        <v>400</v>
      </c>
      <c r="F103" s="2508" t="s">
        <v>400</v>
      </c>
      <c r="G103" s="2508" t="s">
        <v>409</v>
      </c>
      <c r="H103" s="2508" t="s">
        <v>409</v>
      </c>
      <c r="I103" s="2508" t="s">
        <v>36</v>
      </c>
      <c r="J103" s="2508" t="s">
        <v>36</v>
      </c>
      <c r="K103" s="2508" t="s">
        <v>36</v>
      </c>
      <c r="L103" s="2508" t="s">
        <v>36</v>
      </c>
      <c r="M103" s="2508" t="s">
        <v>36</v>
      </c>
      <c r="N103" s="2509"/>
      <c r="O103" s="2506"/>
      <c r="P103" s="2506" t="s">
        <v>398</v>
      </c>
      <c r="Q103" s="2506" t="s">
        <v>398</v>
      </c>
      <c r="R103" s="2506" t="s">
        <v>398</v>
      </c>
      <c r="S103" s="2506" t="s">
        <v>398</v>
      </c>
      <c r="T103" s="2506" t="s">
        <v>398</v>
      </c>
      <c r="U103" s="2506"/>
      <c r="V103" s="2506"/>
      <c r="W103" s="2506" t="s">
        <v>420</v>
      </c>
      <c r="X103" s="2506" t="s">
        <v>420</v>
      </c>
      <c r="Y103" s="2506" t="s">
        <v>420</v>
      </c>
      <c r="Z103" s="2506" t="s">
        <v>420</v>
      </c>
      <c r="AA103" s="2506" t="s">
        <v>420</v>
      </c>
      <c r="AB103" s="2508" t="s">
        <v>405</v>
      </c>
      <c r="AC103" s="2508" t="s">
        <v>405</v>
      </c>
      <c r="AD103" s="2508" t="s">
        <v>36</v>
      </c>
      <c r="AE103" s="2508" t="s">
        <v>36</v>
      </c>
      <c r="AF103" s="2508" t="s">
        <v>36</v>
      </c>
      <c r="AG103" s="978"/>
      <c r="AH103" s="1"/>
      <c r="AJ103" s="845">
        <f t="shared" si="9"/>
        <v>160.33000000000001</v>
      </c>
      <c r="AK103" s="845"/>
      <c r="AL103" s="845">
        <f t="shared" si="10"/>
        <v>160.33000000000001</v>
      </c>
      <c r="AM103" s="846">
        <f t="shared" si="8"/>
        <v>0</v>
      </c>
      <c r="AN103" s="846">
        <f>IF(AM103="","",AM103+'Oktober 2022'!AN105)</f>
        <v>0</v>
      </c>
    </row>
    <row r="104" spans="1:40" ht="22.35" customHeight="1" x14ac:dyDescent="0.2">
      <c r="B104" s="2510" t="s">
        <v>435</v>
      </c>
      <c r="C104" s="2508" t="s">
        <v>36</v>
      </c>
      <c r="D104" s="2508" t="s">
        <v>36</v>
      </c>
      <c r="E104" s="2508" t="s">
        <v>36</v>
      </c>
      <c r="F104" s="2508" t="s">
        <v>36</v>
      </c>
      <c r="G104" s="2509"/>
      <c r="H104" s="2506"/>
      <c r="I104" s="644" t="s">
        <v>398</v>
      </c>
      <c r="J104" s="644" t="s">
        <v>398</v>
      </c>
      <c r="K104" s="644" t="s">
        <v>398</v>
      </c>
      <c r="L104" s="644" t="s">
        <v>398</v>
      </c>
      <c r="M104" s="644" t="s">
        <v>398</v>
      </c>
      <c r="N104" s="644"/>
      <c r="O104" s="644"/>
      <c r="P104" s="644" t="s">
        <v>420</v>
      </c>
      <c r="Q104" s="644" t="s">
        <v>420</v>
      </c>
      <c r="R104" s="644" t="s">
        <v>420</v>
      </c>
      <c r="S104" s="644" t="s">
        <v>420</v>
      </c>
      <c r="T104" s="644" t="s">
        <v>420</v>
      </c>
      <c r="U104" s="2508" t="s">
        <v>405</v>
      </c>
      <c r="V104" s="2508" t="s">
        <v>405</v>
      </c>
      <c r="W104" s="2508" t="s">
        <v>36</v>
      </c>
      <c r="X104" s="2508" t="s">
        <v>36</v>
      </c>
      <c r="Y104" s="2508" t="s">
        <v>36</v>
      </c>
      <c r="Z104" s="2508" t="s">
        <v>36</v>
      </c>
      <c r="AA104" s="2508" t="s">
        <v>36</v>
      </c>
      <c r="AB104" s="2506"/>
      <c r="AC104" s="2506"/>
      <c r="AD104" s="2508" t="s">
        <v>400</v>
      </c>
      <c r="AE104" s="2508" t="s">
        <v>400</v>
      </c>
      <c r="AF104" s="2508" t="s">
        <v>400</v>
      </c>
      <c r="AG104" s="613"/>
      <c r="AH104" s="1"/>
      <c r="AJ104" s="845">
        <f t="shared" si="9"/>
        <v>160.33000000000001</v>
      </c>
      <c r="AK104" s="845"/>
      <c r="AL104" s="845">
        <f t="shared" si="10"/>
        <v>160.33000000000001</v>
      </c>
      <c r="AM104" s="846">
        <f t="shared" si="8"/>
        <v>0</v>
      </c>
      <c r="AN104" s="846">
        <f>IF(AM104="","",AM104+'Oktober 2022'!AN106)</f>
        <v>0</v>
      </c>
    </row>
    <row r="105" spans="1:40" ht="22.35" customHeight="1" x14ac:dyDescent="0.2">
      <c r="B105" s="353" t="s">
        <v>424</v>
      </c>
      <c r="C105" s="2507" t="s">
        <v>420</v>
      </c>
      <c r="D105" s="2506" t="s">
        <v>420</v>
      </c>
      <c r="E105" s="960" t="s">
        <v>420</v>
      </c>
      <c r="F105" s="2506" t="s">
        <v>420</v>
      </c>
      <c r="G105" s="2508" t="s">
        <v>405</v>
      </c>
      <c r="H105" s="2508" t="s">
        <v>405</v>
      </c>
      <c r="I105" s="2508" t="s">
        <v>36</v>
      </c>
      <c r="J105" s="2511" t="s">
        <v>36</v>
      </c>
      <c r="K105" s="2508" t="s">
        <v>36</v>
      </c>
      <c r="L105" s="2508" t="s">
        <v>36</v>
      </c>
      <c r="M105" s="2508" t="s">
        <v>36</v>
      </c>
      <c r="N105" s="2508" t="s">
        <v>0</v>
      </c>
      <c r="O105" s="2508"/>
      <c r="P105" s="2508" t="s">
        <v>400</v>
      </c>
      <c r="Q105" s="2508" t="s">
        <v>400</v>
      </c>
      <c r="R105" s="2508" t="s">
        <v>400</v>
      </c>
      <c r="S105" s="2508" t="s">
        <v>400</v>
      </c>
      <c r="T105" s="2508" t="s">
        <v>400</v>
      </c>
      <c r="U105" s="2508" t="s">
        <v>409</v>
      </c>
      <c r="V105" s="2508" t="s">
        <v>409</v>
      </c>
      <c r="W105" s="2508" t="s">
        <v>36</v>
      </c>
      <c r="X105" s="2508" t="s">
        <v>36</v>
      </c>
      <c r="Y105" s="2508" t="s">
        <v>36</v>
      </c>
      <c r="Z105" s="2508" t="s">
        <v>36</v>
      </c>
      <c r="AA105" s="2508" t="s">
        <v>36</v>
      </c>
      <c r="AB105" s="2506"/>
      <c r="AC105" s="2506"/>
      <c r="AD105" s="2506" t="s">
        <v>398</v>
      </c>
      <c r="AE105" s="2506" t="s">
        <v>398</v>
      </c>
      <c r="AF105" s="2506" t="s">
        <v>398</v>
      </c>
      <c r="AG105" s="613"/>
      <c r="AH105" s="1"/>
      <c r="AJ105" s="845">
        <f t="shared" si="9"/>
        <v>160.33000000000001</v>
      </c>
      <c r="AK105" s="845"/>
      <c r="AL105" s="845">
        <f t="shared" si="10"/>
        <v>160.33000000000001</v>
      </c>
      <c r="AM105" s="846">
        <f t="shared" si="8"/>
        <v>0</v>
      </c>
      <c r="AN105" s="846">
        <f>IF(AM105="","",AM105+'Oktober 2022'!AN107)</f>
        <v>0</v>
      </c>
    </row>
    <row r="106" spans="1:40" ht="22.35" customHeight="1" thickBot="1" x14ac:dyDescent="0.25">
      <c r="B106" s="355"/>
      <c r="C106" s="863"/>
      <c r="D106" s="863"/>
      <c r="E106" s="863"/>
      <c r="F106" s="863"/>
      <c r="G106" s="863"/>
      <c r="H106" s="863"/>
      <c r="I106" s="863"/>
      <c r="J106" s="863"/>
      <c r="K106" s="863"/>
      <c r="L106" s="863"/>
      <c r="M106" s="863"/>
      <c r="N106" s="863"/>
      <c r="O106" s="863"/>
      <c r="P106" s="863"/>
      <c r="Q106" s="863"/>
      <c r="R106" s="863"/>
      <c r="S106" s="863"/>
      <c r="T106" s="863"/>
      <c r="U106" s="863"/>
      <c r="V106" s="863"/>
      <c r="W106" s="863"/>
      <c r="X106" s="863"/>
      <c r="Y106" s="863"/>
      <c r="Z106" s="863"/>
      <c r="AA106" s="863"/>
      <c r="AB106" s="863"/>
      <c r="AC106" s="863"/>
      <c r="AD106" s="863"/>
      <c r="AE106" s="863"/>
      <c r="AF106" s="863"/>
      <c r="AG106" s="867"/>
      <c r="AH106" s="1"/>
      <c r="AJ106" s="845"/>
      <c r="AK106" s="845"/>
      <c r="AL106" s="845"/>
      <c r="AM106" s="846"/>
      <c r="AN106" s="846"/>
    </row>
    <row r="107" spans="1:40" ht="22.35" customHeight="1" x14ac:dyDescent="0.2">
      <c r="B107" s="198"/>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c r="AA107" s="199"/>
      <c r="AB107" s="199"/>
      <c r="AC107" s="199"/>
      <c r="AD107" s="199"/>
      <c r="AE107" s="199"/>
      <c r="AF107" s="199"/>
      <c r="AG107" s="199"/>
      <c r="AH107" s="1"/>
    </row>
    <row r="108" spans="1:40" ht="22.35" customHeight="1" thickBot="1" x14ac:dyDescent="0.25">
      <c r="A108" s="169" t="s">
        <v>156</v>
      </c>
    </row>
    <row r="109" spans="1:40" ht="22.35" customHeight="1" thickBot="1" x14ac:dyDescent="0.25">
      <c r="B109" s="2512" t="s">
        <v>157</v>
      </c>
      <c r="C109" s="2513"/>
      <c r="D109" s="2422" t="s">
        <v>107</v>
      </c>
      <c r="E109" s="2422"/>
      <c r="F109" s="2514"/>
      <c r="G109" s="2513"/>
      <c r="H109" s="2422" t="s">
        <v>108</v>
      </c>
      <c r="I109" s="2422"/>
      <c r="J109" s="2514"/>
      <c r="K109" s="2513"/>
      <c r="L109" s="2422" t="s">
        <v>109</v>
      </c>
      <c r="M109" s="2422"/>
      <c r="N109" s="2514"/>
      <c r="O109" s="2513"/>
      <c r="P109" s="2422" t="s">
        <v>110</v>
      </c>
      <c r="Q109" s="2422"/>
      <c r="R109" s="2514"/>
      <c r="S109" s="2513"/>
      <c r="T109" s="2422" t="s">
        <v>111</v>
      </c>
      <c r="U109" s="2422"/>
      <c r="V109" s="2514"/>
      <c r="W109" s="2513"/>
      <c r="X109" s="2422" t="s">
        <v>112</v>
      </c>
      <c r="Y109" s="2422"/>
      <c r="Z109" s="2514"/>
      <c r="AA109" s="2513"/>
      <c r="AB109" s="2422" t="s">
        <v>113</v>
      </c>
      <c r="AC109" s="2422"/>
      <c r="AD109" s="2422"/>
      <c r="AE109" s="2422" t="s">
        <v>158</v>
      </c>
      <c r="AF109" s="2422"/>
      <c r="AG109" s="2422"/>
      <c r="AH109" s="2422"/>
      <c r="AI109" s="2515"/>
    </row>
    <row r="110" spans="1:40" ht="22.35" customHeight="1" x14ac:dyDescent="0.2">
      <c r="B110" s="2516" t="s">
        <v>159</v>
      </c>
      <c r="C110" s="2517" t="s">
        <v>160</v>
      </c>
      <c r="D110" s="2422"/>
      <c r="E110" s="2426"/>
      <c r="F110" s="2518"/>
      <c r="G110" s="2517" t="s">
        <v>160</v>
      </c>
      <c r="H110" s="2519"/>
      <c r="I110" s="2426"/>
      <c r="J110" s="2518"/>
      <c r="K110" s="2520" t="s">
        <v>160</v>
      </c>
      <c r="L110" s="2422"/>
      <c r="M110" s="2422"/>
      <c r="N110" s="2514"/>
      <c r="O110" s="2520" t="s">
        <v>161</v>
      </c>
      <c r="P110" s="2521"/>
      <c r="Q110" s="2426"/>
      <c r="R110" s="2518"/>
      <c r="S110" s="2517" t="s">
        <v>162</v>
      </c>
      <c r="T110" s="2426"/>
      <c r="U110" s="2426"/>
      <c r="V110" s="2426"/>
      <c r="W110" s="2522"/>
      <c r="X110" s="2523"/>
      <c r="Y110" s="2523"/>
      <c r="Z110" s="2524"/>
      <c r="AA110" s="2426"/>
      <c r="AB110" s="2426"/>
      <c r="AC110" s="2426"/>
      <c r="AD110" s="2426"/>
      <c r="AE110" s="2525">
        <v>37</v>
      </c>
      <c r="AF110" s="2422"/>
      <c r="AG110" s="2426"/>
      <c r="AH110" s="2426"/>
      <c r="AI110" s="2427"/>
    </row>
    <row r="111" spans="1:40" ht="22.35" customHeight="1" x14ac:dyDescent="0.2">
      <c r="B111" s="2526" t="s">
        <v>163</v>
      </c>
      <c r="C111" s="2527" t="s">
        <v>164</v>
      </c>
      <c r="D111" s="425"/>
      <c r="E111" s="425"/>
      <c r="F111" s="431"/>
      <c r="G111" s="2527" t="s">
        <v>165</v>
      </c>
      <c r="H111" s="630"/>
      <c r="I111" s="425"/>
      <c r="J111" s="431"/>
      <c r="K111" s="2527" t="s">
        <v>166</v>
      </c>
      <c r="L111" s="425" t="s">
        <v>167</v>
      </c>
      <c r="M111" s="425"/>
      <c r="N111" s="431"/>
      <c r="O111" s="2527" t="s">
        <v>166</v>
      </c>
      <c r="P111" s="630" t="s">
        <v>167</v>
      </c>
      <c r="Q111" s="425"/>
      <c r="R111" s="431"/>
      <c r="S111" s="2527" t="s">
        <v>165</v>
      </c>
      <c r="T111" s="425" t="s">
        <v>168</v>
      </c>
      <c r="U111" s="425"/>
      <c r="V111" s="431"/>
      <c r="W111" s="8" t="s">
        <v>127</v>
      </c>
      <c r="X111" s="14" t="s">
        <v>169</v>
      </c>
      <c r="Y111" s="14"/>
      <c r="Z111" s="14"/>
      <c r="AA111" s="2528" t="s">
        <v>127</v>
      </c>
      <c r="AB111" s="425" t="s">
        <v>169</v>
      </c>
      <c r="AC111" s="2528"/>
      <c r="AD111" s="2528"/>
      <c r="AE111" s="2528">
        <v>68</v>
      </c>
      <c r="AF111" s="425"/>
      <c r="AG111" s="425"/>
      <c r="AH111" s="425"/>
      <c r="AI111" s="432"/>
    </row>
    <row r="112" spans="1:40" ht="22.35" customHeight="1" x14ac:dyDescent="0.2">
      <c r="B112" s="2526" t="s">
        <v>170</v>
      </c>
      <c r="C112" s="2529" t="s">
        <v>171</v>
      </c>
      <c r="D112" s="425"/>
      <c r="E112" s="425"/>
      <c r="F112" s="431"/>
      <c r="G112" s="630" t="s">
        <v>171</v>
      </c>
      <c r="H112" s="630"/>
      <c r="I112" s="425"/>
      <c r="J112" s="431"/>
      <c r="K112" s="630" t="s">
        <v>171</v>
      </c>
      <c r="L112" s="425"/>
      <c r="M112" s="425"/>
      <c r="N112" s="431"/>
      <c r="O112" s="630" t="s">
        <v>171</v>
      </c>
      <c r="P112" s="630"/>
      <c r="Q112" s="425"/>
      <c r="R112" s="431"/>
      <c r="S112" s="630" t="s">
        <v>171</v>
      </c>
      <c r="T112" s="425"/>
      <c r="U112" s="425"/>
      <c r="V112" s="431"/>
      <c r="W112" s="2528"/>
      <c r="X112" s="425"/>
      <c r="Y112" s="425"/>
      <c r="Z112" s="431"/>
      <c r="AA112" s="2528"/>
      <c r="AB112" s="425"/>
      <c r="AC112" s="425"/>
      <c r="AD112" s="425"/>
      <c r="AE112" s="2528">
        <v>0</v>
      </c>
      <c r="AF112" s="425"/>
      <c r="AG112" s="425"/>
      <c r="AH112" s="425"/>
      <c r="AI112" s="432"/>
    </row>
    <row r="113" spans="1:35" ht="22.35" customHeight="1" thickBot="1" x14ac:dyDescent="0.25">
      <c r="B113" s="1003" t="s">
        <v>172</v>
      </c>
      <c r="C113" s="2530" t="s">
        <v>160</v>
      </c>
      <c r="D113" s="276"/>
      <c r="E113" s="734"/>
      <c r="F113" s="889"/>
      <c r="G113" s="2530" t="s">
        <v>160</v>
      </c>
      <c r="H113" s="278"/>
      <c r="I113" s="734"/>
      <c r="J113" s="889"/>
      <c r="K113" s="2530" t="s">
        <v>160</v>
      </c>
      <c r="L113" s="276"/>
      <c r="M113" s="734"/>
      <c r="N113" s="889"/>
      <c r="O113" s="2530" t="s">
        <v>161</v>
      </c>
      <c r="P113" s="891"/>
      <c r="Q113" s="734"/>
      <c r="R113" s="889"/>
      <c r="S113" s="2530" t="s">
        <v>162</v>
      </c>
      <c r="T113" s="734"/>
      <c r="U113" s="734"/>
      <c r="V113" s="734"/>
      <c r="W113" s="1005"/>
      <c r="X113" s="734"/>
      <c r="Y113" s="734"/>
      <c r="Z113" s="2531"/>
      <c r="AA113" s="734"/>
      <c r="AB113" s="734"/>
      <c r="AC113" s="734"/>
      <c r="AD113" s="734"/>
      <c r="AE113" s="2532">
        <v>37</v>
      </c>
      <c r="AF113" s="734"/>
      <c r="AG113" s="734"/>
      <c r="AH113" s="734"/>
      <c r="AI113" s="894"/>
    </row>
    <row r="114" spans="1:35" ht="22.35" customHeight="1" x14ac:dyDescent="0.2">
      <c r="D114" s="14"/>
    </row>
    <row r="115" spans="1:35" ht="22.35" customHeight="1" thickBot="1" x14ac:dyDescent="0.25">
      <c r="A115" s="636"/>
      <c r="B115" s="636" t="s">
        <v>29</v>
      </c>
      <c r="C115" s="796">
        <v>1</v>
      </c>
      <c r="D115" s="796">
        <v>2</v>
      </c>
      <c r="E115" s="796">
        <v>3</v>
      </c>
      <c r="F115" s="796">
        <v>4</v>
      </c>
      <c r="G115" s="795">
        <v>5</v>
      </c>
      <c r="H115" s="795">
        <v>6</v>
      </c>
      <c r="I115" s="796">
        <v>7</v>
      </c>
      <c r="J115" s="796">
        <v>8</v>
      </c>
      <c r="K115" s="796">
        <v>9</v>
      </c>
      <c r="L115" s="796">
        <v>10</v>
      </c>
      <c r="M115" s="796">
        <v>11</v>
      </c>
      <c r="N115" s="795">
        <v>12</v>
      </c>
      <c r="O115" s="795">
        <v>13</v>
      </c>
      <c r="P115" s="796">
        <v>14</v>
      </c>
      <c r="Q115" s="796">
        <v>15</v>
      </c>
      <c r="R115" s="796">
        <v>16</v>
      </c>
      <c r="S115" s="796">
        <v>17</v>
      </c>
      <c r="T115" s="796">
        <v>18</v>
      </c>
      <c r="U115" s="795">
        <v>19</v>
      </c>
      <c r="V115" s="795">
        <v>20</v>
      </c>
      <c r="W115" s="796">
        <v>21</v>
      </c>
      <c r="X115" s="796">
        <v>22</v>
      </c>
      <c r="Y115" s="796">
        <v>23</v>
      </c>
      <c r="Z115" s="796">
        <v>24</v>
      </c>
      <c r="AA115" s="796">
        <v>25</v>
      </c>
      <c r="AB115" s="795">
        <v>26</v>
      </c>
      <c r="AC115" s="795">
        <v>27</v>
      </c>
      <c r="AD115" s="796">
        <v>28</v>
      </c>
      <c r="AE115" s="796">
        <v>29</v>
      </c>
      <c r="AF115" s="796">
        <v>30</v>
      </c>
      <c r="AG115" s="797"/>
      <c r="AH115" s="173"/>
      <c r="AI115" s="174"/>
    </row>
    <row r="116" spans="1:35" ht="22.35" customHeight="1" x14ac:dyDescent="0.2">
      <c r="A116" s="2533">
        <v>1</v>
      </c>
      <c r="B116" s="2534" t="s">
        <v>173</v>
      </c>
      <c r="C116" s="2244" t="s">
        <v>174</v>
      </c>
      <c r="D116" s="2244" t="s">
        <v>174</v>
      </c>
      <c r="E116" s="2244" t="s">
        <v>174</v>
      </c>
      <c r="F116" s="2244" t="s">
        <v>174</v>
      </c>
      <c r="G116" s="2244"/>
      <c r="H116" s="2244"/>
      <c r="I116" s="2244" t="s">
        <v>128</v>
      </c>
      <c r="J116" s="2244" t="s">
        <v>128</v>
      </c>
      <c r="K116" s="2440" t="s">
        <v>128</v>
      </c>
      <c r="L116" s="2244" t="s">
        <v>128</v>
      </c>
      <c r="M116" s="2244" t="s">
        <v>128</v>
      </c>
      <c r="N116" s="2244" t="s">
        <v>127</v>
      </c>
      <c r="O116" s="2244" t="s">
        <v>127</v>
      </c>
      <c r="P116" s="2244" t="s">
        <v>36</v>
      </c>
      <c r="Q116" s="2244" t="s">
        <v>36</v>
      </c>
      <c r="R116" s="2244" t="s">
        <v>36</v>
      </c>
      <c r="S116" s="2464" t="s">
        <v>36</v>
      </c>
      <c r="T116" s="2464" t="s">
        <v>36</v>
      </c>
      <c r="U116" s="2464"/>
      <c r="V116" s="2464"/>
      <c r="W116" s="2244" t="s">
        <v>174</v>
      </c>
      <c r="X116" s="2244" t="s">
        <v>174</v>
      </c>
      <c r="Y116" s="2244" t="s">
        <v>174</v>
      </c>
      <c r="Z116" s="2244" t="s">
        <v>174</v>
      </c>
      <c r="AA116" s="2244" t="s">
        <v>174</v>
      </c>
      <c r="AB116" s="2244"/>
      <c r="AC116" s="2244"/>
      <c r="AD116" s="2244" t="s">
        <v>174</v>
      </c>
      <c r="AE116" s="2244" t="s">
        <v>174</v>
      </c>
      <c r="AF116" s="2244" t="s">
        <v>174</v>
      </c>
      <c r="AG116" s="2244"/>
      <c r="AH116" s="178"/>
      <c r="AI116" s="179"/>
    </row>
    <row r="117" spans="1:35" ht="22.35" customHeight="1" x14ac:dyDescent="0.2">
      <c r="A117" s="2535">
        <v>2</v>
      </c>
      <c r="B117" s="2536" t="s">
        <v>175</v>
      </c>
      <c r="C117" s="2537">
        <v>1</v>
      </c>
      <c r="D117" s="2537" t="s">
        <v>137</v>
      </c>
      <c r="E117" s="2537" t="s">
        <v>58</v>
      </c>
      <c r="F117" s="2537" t="s">
        <v>32</v>
      </c>
      <c r="G117" s="2537"/>
      <c r="H117" s="814"/>
      <c r="I117" s="814" t="s">
        <v>95</v>
      </c>
      <c r="J117" s="814" t="s">
        <v>134</v>
      </c>
      <c r="K117" s="814" t="s">
        <v>134</v>
      </c>
      <c r="L117" s="814" t="s">
        <v>134</v>
      </c>
      <c r="M117" s="814" t="s">
        <v>134</v>
      </c>
      <c r="N117" s="814"/>
      <c r="O117" s="814"/>
      <c r="P117" s="814" t="s">
        <v>128</v>
      </c>
      <c r="Q117" s="814" t="s">
        <v>128</v>
      </c>
      <c r="R117" s="828" t="s">
        <v>128</v>
      </c>
      <c r="S117" s="814" t="s">
        <v>128</v>
      </c>
      <c r="T117" s="814" t="s">
        <v>128</v>
      </c>
      <c r="U117" s="814" t="s">
        <v>127</v>
      </c>
      <c r="V117" s="814" t="s">
        <v>127</v>
      </c>
      <c r="W117" s="814" t="s">
        <v>36</v>
      </c>
      <c r="X117" s="814" t="s">
        <v>36</v>
      </c>
      <c r="Y117" s="2538" t="s">
        <v>36</v>
      </c>
      <c r="Z117" s="2537" t="s">
        <v>36</v>
      </c>
      <c r="AA117" s="2472" t="s">
        <v>36</v>
      </c>
      <c r="AB117" s="814"/>
      <c r="AC117" s="814"/>
      <c r="AD117" s="814">
        <v>69</v>
      </c>
      <c r="AE117" s="814">
        <v>4</v>
      </c>
      <c r="AF117" s="814">
        <v>4</v>
      </c>
      <c r="AG117" s="814"/>
      <c r="AH117" s="178"/>
      <c r="AI117" s="179"/>
    </row>
    <row r="118" spans="1:35" ht="22.35" customHeight="1" thickBot="1" x14ac:dyDescent="0.25">
      <c r="A118" s="2535">
        <v>3</v>
      </c>
      <c r="B118" s="2536" t="s">
        <v>178</v>
      </c>
      <c r="C118" s="813" t="s">
        <v>36</v>
      </c>
      <c r="D118" s="2539" t="s">
        <v>36</v>
      </c>
      <c r="E118" s="2539" t="s">
        <v>36</v>
      </c>
      <c r="F118" s="2539" t="s">
        <v>36</v>
      </c>
      <c r="G118" s="814"/>
      <c r="H118" s="2540"/>
      <c r="I118" s="814">
        <v>4</v>
      </c>
      <c r="J118" s="814">
        <v>3</v>
      </c>
      <c r="K118" s="814">
        <v>3</v>
      </c>
      <c r="L118" s="814" t="s">
        <v>50</v>
      </c>
      <c r="M118" s="814">
        <v>3</v>
      </c>
      <c r="N118" s="814"/>
      <c r="O118" s="814"/>
      <c r="P118" s="908">
        <v>4</v>
      </c>
      <c r="Q118" s="796">
        <v>4</v>
      </c>
      <c r="R118" s="796">
        <v>4</v>
      </c>
      <c r="S118" s="908">
        <v>4</v>
      </c>
      <c r="T118" s="910">
        <v>4</v>
      </c>
      <c r="U118" s="814"/>
      <c r="V118" s="814"/>
      <c r="W118" s="820" t="s">
        <v>128</v>
      </c>
      <c r="X118" s="820" t="s">
        <v>128</v>
      </c>
      <c r="Y118" s="820" t="s">
        <v>408</v>
      </c>
      <c r="Z118" s="2541" t="s">
        <v>128</v>
      </c>
      <c r="AA118" s="2541" t="s">
        <v>128</v>
      </c>
      <c r="AB118" s="2541" t="s">
        <v>127</v>
      </c>
      <c r="AC118" s="2541" t="s">
        <v>127</v>
      </c>
      <c r="AD118" s="813" t="s">
        <v>36</v>
      </c>
      <c r="AE118" s="814" t="s">
        <v>36</v>
      </c>
      <c r="AF118" s="2538" t="s">
        <v>36</v>
      </c>
      <c r="AG118" s="814"/>
      <c r="AH118" s="178"/>
      <c r="AI118" s="179"/>
    </row>
    <row r="119" spans="1:35" ht="22.35" customHeight="1" thickBot="1" x14ac:dyDescent="0.25">
      <c r="A119" s="2542">
        <v>4</v>
      </c>
      <c r="B119" s="2543" t="s">
        <v>173</v>
      </c>
      <c r="C119" s="2544" t="s">
        <v>128</v>
      </c>
      <c r="D119" s="2544" t="s">
        <v>128</v>
      </c>
      <c r="E119" s="2544" t="s">
        <v>128</v>
      </c>
      <c r="F119" s="2544" t="s">
        <v>128</v>
      </c>
      <c r="G119" s="2544" t="s">
        <v>127</v>
      </c>
      <c r="H119" s="2544" t="s">
        <v>127</v>
      </c>
      <c r="I119" s="2544" t="s">
        <v>36</v>
      </c>
      <c r="J119" s="2544" t="s">
        <v>36</v>
      </c>
      <c r="K119" s="2544" t="s">
        <v>36</v>
      </c>
      <c r="L119" s="2544" t="s">
        <v>36</v>
      </c>
      <c r="M119" s="2544" t="s">
        <v>36</v>
      </c>
      <c r="N119" s="2544"/>
      <c r="O119" s="2544"/>
      <c r="P119" s="2544" t="s">
        <v>174</v>
      </c>
      <c r="Q119" s="2544" t="s">
        <v>174</v>
      </c>
      <c r="R119" s="2544" t="s">
        <v>174</v>
      </c>
      <c r="S119" s="2544" t="s">
        <v>174</v>
      </c>
      <c r="T119" s="2544" t="s">
        <v>174</v>
      </c>
      <c r="U119" s="2544"/>
      <c r="V119" s="796"/>
      <c r="W119" s="796" t="s">
        <v>174</v>
      </c>
      <c r="X119" s="796" t="s">
        <v>174</v>
      </c>
      <c r="Y119" s="796" t="s">
        <v>174</v>
      </c>
      <c r="Z119" s="2544" t="s">
        <v>174</v>
      </c>
      <c r="AA119" s="2544" t="s">
        <v>174</v>
      </c>
      <c r="AB119" s="796" t="s">
        <v>0</v>
      </c>
      <c r="AC119" s="2544" t="s">
        <v>0</v>
      </c>
      <c r="AD119" s="796" t="s">
        <v>128</v>
      </c>
      <c r="AE119" s="796" t="s">
        <v>128</v>
      </c>
      <c r="AF119" s="2544" t="s">
        <v>128</v>
      </c>
      <c r="AG119" s="797"/>
      <c r="AH119" s="178"/>
      <c r="AI119" s="179"/>
    </row>
    <row r="120" spans="1:35" ht="22.35" customHeight="1" thickBot="1" x14ac:dyDescent="0.25">
      <c r="A120" s="200"/>
      <c r="B120" s="190"/>
      <c r="C120" s="201"/>
      <c r="D120" s="201"/>
      <c r="E120" s="201"/>
      <c r="F120" s="201"/>
      <c r="G120" s="201"/>
      <c r="H120" s="201"/>
      <c r="I120" s="201"/>
      <c r="J120" s="201"/>
      <c r="K120" s="201"/>
      <c r="L120" s="201"/>
      <c r="M120" s="201"/>
      <c r="N120" s="201"/>
      <c r="O120" s="201"/>
      <c r="P120" s="201"/>
      <c r="Q120" s="201"/>
      <c r="R120" s="201"/>
      <c r="S120" s="201"/>
      <c r="T120" s="201"/>
      <c r="U120" s="201"/>
      <c r="V120" s="201"/>
      <c r="W120" s="201"/>
      <c r="X120" s="201"/>
      <c r="Y120" s="201"/>
      <c r="Z120" s="201"/>
      <c r="AA120" s="201"/>
      <c r="AB120" s="201"/>
      <c r="AC120" s="201"/>
      <c r="AD120" s="201"/>
      <c r="AE120" s="201"/>
      <c r="AF120" s="201"/>
      <c r="AG120" s="202"/>
      <c r="AH120" s="203"/>
      <c r="AI120" s="179"/>
    </row>
    <row r="121" spans="1:35" ht="22.35" customHeight="1" x14ac:dyDescent="0.2">
      <c r="A121" s="72"/>
      <c r="B121" s="2545" t="s">
        <v>180</v>
      </c>
      <c r="C121" s="2525"/>
      <c r="D121" s="2546" t="s">
        <v>107</v>
      </c>
      <c r="E121" s="2547"/>
      <c r="F121" s="2525"/>
      <c r="G121" s="2548" t="s">
        <v>108</v>
      </c>
      <c r="H121" s="2518"/>
      <c r="I121" s="2549"/>
      <c r="J121" s="2548" t="s">
        <v>109</v>
      </c>
      <c r="K121" s="2550"/>
      <c r="L121" s="2549"/>
      <c r="M121" s="2551" t="s">
        <v>110</v>
      </c>
      <c r="N121" s="2550"/>
      <c r="O121" s="2549"/>
      <c r="P121" s="2548" t="s">
        <v>111</v>
      </c>
      <c r="Q121" s="2552"/>
      <c r="R121" s="2549"/>
      <c r="S121" s="2548" t="s">
        <v>112</v>
      </c>
      <c r="T121" s="2553"/>
      <c r="U121" s="2549"/>
      <c r="V121" s="2548" t="s">
        <v>113</v>
      </c>
      <c r="W121" s="2552"/>
      <c r="X121" s="2554" t="s">
        <v>158</v>
      </c>
      <c r="Y121" s="2555"/>
      <c r="Z121" s="2555"/>
      <c r="AA121" s="2556"/>
      <c r="AB121" s="2520" t="s">
        <v>114</v>
      </c>
      <c r="AC121" s="2557"/>
      <c r="AD121" s="2557"/>
      <c r="AE121" s="2558"/>
      <c r="AF121" s="2558"/>
      <c r="AG121" s="2559"/>
      <c r="AH121" s="203"/>
      <c r="AI121" s="179"/>
    </row>
    <row r="122" spans="1:35" ht="22.35" customHeight="1" x14ac:dyDescent="0.2">
      <c r="A122" s="72"/>
      <c r="B122" s="2560" t="s">
        <v>181</v>
      </c>
      <c r="C122" s="2561" t="s">
        <v>182</v>
      </c>
      <c r="D122" s="427"/>
      <c r="E122" s="428"/>
      <c r="F122" s="2561" t="s">
        <v>182</v>
      </c>
      <c r="G122" s="427"/>
      <c r="H122" s="428"/>
      <c r="I122" s="2561" t="s">
        <v>182</v>
      </c>
      <c r="J122" s="427"/>
      <c r="K122" s="428"/>
      <c r="L122" s="2561" t="s">
        <v>182</v>
      </c>
      <c r="M122" s="427"/>
      <c r="N122" s="428"/>
      <c r="O122" s="2561" t="s">
        <v>183</v>
      </c>
      <c r="P122" s="427"/>
      <c r="Q122" s="428"/>
      <c r="R122" s="2561"/>
      <c r="S122" s="427"/>
      <c r="T122" s="428"/>
      <c r="U122" s="2561"/>
      <c r="V122" s="427"/>
      <c r="W122" s="428"/>
      <c r="X122" s="2561"/>
      <c r="Y122" s="2562"/>
      <c r="Z122" s="2562"/>
      <c r="AA122" s="2562"/>
      <c r="AB122" s="609"/>
      <c r="AC122" s="2562"/>
      <c r="AD122" s="2562"/>
      <c r="AE122" s="2562"/>
      <c r="AF122" s="2562"/>
      <c r="AG122" s="2563"/>
      <c r="AH122" s="203"/>
      <c r="AI122" s="179"/>
    </row>
    <row r="123" spans="1:35" ht="22.35" customHeight="1" x14ac:dyDescent="0.2">
      <c r="A123" s="72"/>
      <c r="B123" s="17"/>
      <c r="C123" s="72"/>
      <c r="D123" s="72"/>
      <c r="E123" s="72"/>
      <c r="F123" s="72"/>
      <c r="G123" s="72"/>
      <c r="H123" s="72"/>
      <c r="I123" s="72"/>
      <c r="J123" s="72"/>
      <c r="K123" s="72"/>
      <c r="L123" s="72"/>
      <c r="M123" s="72"/>
      <c r="N123" s="72"/>
      <c r="O123" s="72"/>
      <c r="P123" s="72"/>
      <c r="Q123" s="72"/>
      <c r="R123" s="72"/>
      <c r="S123" s="72"/>
      <c r="T123" s="72"/>
      <c r="U123" s="72"/>
      <c r="V123" s="72"/>
      <c r="W123" s="72"/>
      <c r="X123" s="72"/>
      <c r="Y123" s="72"/>
      <c r="Z123" s="72"/>
      <c r="AA123" s="72"/>
      <c r="AB123" s="72"/>
      <c r="AC123" s="72"/>
      <c r="AD123" s="72"/>
      <c r="AE123" s="72"/>
      <c r="AF123" s="72"/>
      <c r="AG123" s="72"/>
      <c r="AH123" s="203"/>
      <c r="AI123" s="179"/>
    </row>
    <row r="124" spans="1:35" ht="22.35" customHeight="1" thickBot="1" x14ac:dyDescent="0.25">
      <c r="A124" s="2564" t="s">
        <v>28</v>
      </c>
      <c r="B124" s="633" t="s">
        <v>29</v>
      </c>
      <c r="C124" s="796">
        <v>1</v>
      </c>
      <c r="D124" s="796">
        <v>2</v>
      </c>
      <c r="E124" s="796">
        <v>3</v>
      </c>
      <c r="F124" s="796">
        <v>4</v>
      </c>
      <c r="G124" s="795">
        <v>5</v>
      </c>
      <c r="H124" s="795">
        <v>6</v>
      </c>
      <c r="I124" s="796">
        <v>7</v>
      </c>
      <c r="J124" s="796">
        <v>8</v>
      </c>
      <c r="K124" s="796">
        <v>9</v>
      </c>
      <c r="L124" s="796">
        <v>10</v>
      </c>
      <c r="M124" s="796">
        <v>11</v>
      </c>
      <c r="N124" s="795">
        <v>12</v>
      </c>
      <c r="O124" s="795">
        <v>13</v>
      </c>
      <c r="P124" s="796">
        <v>14</v>
      </c>
      <c r="Q124" s="796">
        <v>15</v>
      </c>
      <c r="R124" s="796">
        <v>16</v>
      </c>
      <c r="S124" s="796">
        <v>17</v>
      </c>
      <c r="T124" s="796">
        <v>18</v>
      </c>
      <c r="U124" s="795">
        <v>19</v>
      </c>
      <c r="V124" s="795">
        <v>20</v>
      </c>
      <c r="W124" s="796">
        <v>21</v>
      </c>
      <c r="X124" s="796">
        <v>22</v>
      </c>
      <c r="Y124" s="796">
        <v>23</v>
      </c>
      <c r="Z124" s="796">
        <v>24</v>
      </c>
      <c r="AA124" s="796">
        <v>25</v>
      </c>
      <c r="AB124" s="795">
        <v>26</v>
      </c>
      <c r="AC124" s="795">
        <v>27</v>
      </c>
      <c r="AD124" s="796">
        <v>28</v>
      </c>
      <c r="AE124" s="796">
        <v>29</v>
      </c>
      <c r="AF124" s="796">
        <v>30</v>
      </c>
      <c r="AG124" s="797"/>
      <c r="AH124" s="203"/>
      <c r="AI124" s="179"/>
    </row>
    <row r="125" spans="1:35" ht="22.35" customHeight="1" x14ac:dyDescent="0.2">
      <c r="A125" s="2565">
        <v>8520</v>
      </c>
      <c r="B125" s="2566" t="s">
        <v>184</v>
      </c>
      <c r="C125" s="2244" t="s">
        <v>358</v>
      </c>
      <c r="D125" s="2244" t="s">
        <v>358</v>
      </c>
      <c r="E125" s="2244" t="s">
        <v>358</v>
      </c>
      <c r="F125" s="2244" t="s">
        <v>358</v>
      </c>
      <c r="G125" s="2244"/>
      <c r="H125" s="2244"/>
      <c r="I125" s="2244" t="s">
        <v>358</v>
      </c>
      <c r="J125" s="2244" t="s">
        <v>358</v>
      </c>
      <c r="K125" s="2244" t="s">
        <v>358</v>
      </c>
      <c r="L125" s="2244" t="s">
        <v>358</v>
      </c>
      <c r="M125" s="2244" t="s">
        <v>358</v>
      </c>
      <c r="N125" s="2244"/>
      <c r="O125" s="2244"/>
      <c r="P125" s="2244" t="s">
        <v>358</v>
      </c>
      <c r="Q125" s="2244" t="s">
        <v>358</v>
      </c>
      <c r="R125" s="2567" t="s">
        <v>358</v>
      </c>
      <c r="S125" s="2244" t="s">
        <v>358</v>
      </c>
      <c r="T125" s="2244" t="s">
        <v>358</v>
      </c>
      <c r="U125" s="2244"/>
      <c r="V125" s="2244"/>
      <c r="W125" s="2244" t="s">
        <v>358</v>
      </c>
      <c r="X125" s="2244" t="s">
        <v>358</v>
      </c>
      <c r="Y125" s="2244" t="s">
        <v>358</v>
      </c>
      <c r="Z125" s="2244" t="s">
        <v>358</v>
      </c>
      <c r="AA125" s="2244" t="s">
        <v>358</v>
      </c>
      <c r="AB125" s="2244"/>
      <c r="AC125" s="2244"/>
      <c r="AD125" s="2244" t="s">
        <v>358</v>
      </c>
      <c r="AE125" s="2244" t="s">
        <v>358</v>
      </c>
      <c r="AF125" s="2244" t="s">
        <v>358</v>
      </c>
      <c r="AG125" s="2495"/>
      <c r="AH125" s="203"/>
      <c r="AI125" s="179"/>
    </row>
    <row r="126" spans="1:35" ht="22.35" customHeight="1" x14ac:dyDescent="0.2">
      <c r="A126" s="209"/>
      <c r="B126" s="208"/>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c r="AA126" s="199"/>
      <c r="AB126" s="199"/>
      <c r="AC126" s="199"/>
      <c r="AD126" s="199"/>
      <c r="AE126" s="199"/>
      <c r="AF126" s="199"/>
      <c r="AG126" s="199"/>
      <c r="AH126" s="203"/>
      <c r="AI126" s="179"/>
    </row>
    <row r="127" spans="1:35" ht="22.35" customHeight="1" x14ac:dyDescent="0.2">
      <c r="AH127" s="107"/>
      <c r="AI127" s="107"/>
    </row>
    <row r="128" spans="1:35" ht="22.35" customHeight="1" thickBot="1" x14ac:dyDescent="0.25">
      <c r="A128" s="169" t="s">
        <v>185</v>
      </c>
      <c r="B128" s="170"/>
      <c r="C128" s="170"/>
      <c r="D128" s="171"/>
      <c r="E128" s="171"/>
      <c r="F128" s="171"/>
      <c r="G128" s="105"/>
      <c r="H128" s="171"/>
      <c r="I128" s="171"/>
      <c r="J128" s="171"/>
      <c r="K128" s="171"/>
      <c r="L128" s="171"/>
      <c r="M128" s="171"/>
      <c r="N128" s="171"/>
      <c r="O128" s="171"/>
      <c r="P128" s="171"/>
      <c r="Q128" s="171"/>
      <c r="R128" s="171"/>
      <c r="S128" s="171"/>
      <c r="T128" s="171"/>
      <c r="U128" s="171"/>
      <c r="V128" s="171"/>
      <c r="W128" s="171"/>
      <c r="X128" s="171"/>
      <c r="Y128" s="171"/>
      <c r="Z128" s="171"/>
      <c r="AA128" s="171"/>
      <c r="AB128" s="171"/>
      <c r="AC128" s="171"/>
      <c r="AD128" s="171"/>
      <c r="AE128" s="171"/>
      <c r="AF128" s="171"/>
      <c r="AG128" s="171"/>
      <c r="AH128" s="170"/>
      <c r="AI128" s="170"/>
    </row>
    <row r="129" spans="1:35" ht="22.35" customHeight="1" x14ac:dyDescent="0.2">
      <c r="A129" s="169"/>
      <c r="B129" s="2545" t="s">
        <v>186</v>
      </c>
      <c r="C129" s="2568"/>
      <c r="D129" s="2569" t="s">
        <v>107</v>
      </c>
      <c r="E129" s="2570"/>
      <c r="F129" s="2571"/>
      <c r="G129" s="2568"/>
      <c r="H129" s="2569" t="s">
        <v>108</v>
      </c>
      <c r="I129" s="2570"/>
      <c r="J129" s="2571"/>
      <c r="K129" s="2568"/>
      <c r="L129" s="2569" t="s">
        <v>109</v>
      </c>
      <c r="M129" s="2570"/>
      <c r="N129" s="2571"/>
      <c r="O129" s="2568"/>
      <c r="P129" s="2569" t="s">
        <v>110</v>
      </c>
      <c r="Q129" s="2570"/>
      <c r="R129" s="2571"/>
      <c r="S129" s="2568"/>
      <c r="T129" s="2569" t="s">
        <v>111</v>
      </c>
      <c r="U129" s="2570"/>
      <c r="V129" s="2571"/>
      <c r="W129" s="2568"/>
      <c r="X129" s="2569" t="s">
        <v>112</v>
      </c>
      <c r="Y129" s="2570"/>
      <c r="Z129" s="2571"/>
      <c r="AA129" s="2568"/>
      <c r="AB129" s="2569" t="s">
        <v>113</v>
      </c>
      <c r="AC129" s="2570"/>
      <c r="AD129" s="2570"/>
      <c r="AE129" s="2572" t="s">
        <v>114</v>
      </c>
      <c r="AF129" s="2570"/>
      <c r="AG129" s="2570"/>
      <c r="AH129" s="2570"/>
      <c r="AI129" s="2573"/>
    </row>
    <row r="130" spans="1:35" ht="22.35" customHeight="1" x14ac:dyDescent="0.2">
      <c r="A130" s="169"/>
      <c r="B130" s="2574" t="s">
        <v>159</v>
      </c>
      <c r="C130" s="2575">
        <v>69</v>
      </c>
      <c r="D130" s="2576" t="s">
        <v>187</v>
      </c>
      <c r="E130" s="2576"/>
      <c r="F130" s="2577"/>
      <c r="G130" s="2575">
        <v>69</v>
      </c>
      <c r="H130" s="2576" t="s">
        <v>187</v>
      </c>
      <c r="I130" s="2576"/>
      <c r="J130" s="2577"/>
      <c r="K130" s="2575">
        <v>69</v>
      </c>
      <c r="L130" s="2576" t="s">
        <v>187</v>
      </c>
      <c r="M130" s="2576"/>
      <c r="N130" s="2577"/>
      <c r="O130" s="2575">
        <v>69</v>
      </c>
      <c r="P130" s="2576" t="s">
        <v>187</v>
      </c>
      <c r="Q130" s="2576"/>
      <c r="R130" s="2577"/>
      <c r="S130" s="2575">
        <v>69</v>
      </c>
      <c r="T130" s="2576" t="s">
        <v>187</v>
      </c>
      <c r="U130" s="2576"/>
      <c r="V130" s="2577"/>
      <c r="W130" s="2575"/>
      <c r="X130" s="2578"/>
      <c r="Y130" s="2578"/>
      <c r="Z130" s="2579"/>
      <c r="AA130" s="2575"/>
      <c r="AB130" s="2576"/>
      <c r="AC130" s="2576"/>
      <c r="AD130" s="641"/>
      <c r="AE130" s="2580">
        <v>35</v>
      </c>
      <c r="AF130" s="2576"/>
      <c r="AG130" s="2576"/>
      <c r="AH130" s="641"/>
      <c r="AI130" s="2581"/>
    </row>
    <row r="131" spans="1:35" ht="22.35" customHeight="1" x14ac:dyDescent="0.2">
      <c r="A131" s="169"/>
      <c r="B131" s="2574" t="s">
        <v>163</v>
      </c>
      <c r="C131" s="2575">
        <v>79</v>
      </c>
      <c r="D131" s="2576" t="s">
        <v>188</v>
      </c>
      <c r="E131" s="2576"/>
      <c r="F131" s="2577"/>
      <c r="G131" s="2575">
        <v>79</v>
      </c>
      <c r="H131" s="2576" t="s">
        <v>188</v>
      </c>
      <c r="I131" s="2576"/>
      <c r="J131" s="2577"/>
      <c r="K131" s="2575">
        <v>79</v>
      </c>
      <c r="L131" s="2576" t="s">
        <v>188</v>
      </c>
      <c r="M131" s="2576"/>
      <c r="N131" s="2577"/>
      <c r="O131" s="2575">
        <v>79</v>
      </c>
      <c r="P131" s="2576" t="s">
        <v>188</v>
      </c>
      <c r="Q131" s="2576"/>
      <c r="R131" s="2577"/>
      <c r="S131" s="2575">
        <v>79</v>
      </c>
      <c r="T131" s="2576" t="s">
        <v>188</v>
      </c>
      <c r="U131" s="2576"/>
      <c r="V131" s="2577"/>
      <c r="W131" s="2575"/>
      <c r="X131" s="2576"/>
      <c r="Y131" s="2576"/>
      <c r="Z131" s="2577"/>
      <c r="AA131" s="2576"/>
      <c r="AB131" s="2576"/>
      <c r="AC131" s="2576"/>
      <c r="AD131" s="641"/>
      <c r="AE131" s="2580">
        <v>40</v>
      </c>
      <c r="AF131" s="2576"/>
      <c r="AG131" s="2576"/>
      <c r="AH131" s="641"/>
      <c r="AI131" s="2581"/>
    </row>
    <row r="132" spans="1:35" ht="22.35" customHeight="1" x14ac:dyDescent="0.2">
      <c r="A132" s="169"/>
      <c r="B132" s="2574" t="s">
        <v>170</v>
      </c>
      <c r="C132" s="2575">
        <v>89</v>
      </c>
      <c r="D132" s="2576" t="s">
        <v>189</v>
      </c>
      <c r="E132" s="2576"/>
      <c r="F132" s="2577"/>
      <c r="G132" s="2575">
        <v>89</v>
      </c>
      <c r="H132" s="2576" t="s">
        <v>189</v>
      </c>
      <c r="I132" s="2576"/>
      <c r="J132" s="2577"/>
      <c r="K132" s="2575">
        <v>89</v>
      </c>
      <c r="L132" s="2576" t="s">
        <v>189</v>
      </c>
      <c r="M132" s="2576"/>
      <c r="N132" s="2577"/>
      <c r="O132" s="2575">
        <v>89</v>
      </c>
      <c r="P132" s="2576" t="s">
        <v>189</v>
      </c>
      <c r="Q132" s="2576"/>
      <c r="R132" s="2577"/>
      <c r="S132" s="2575">
        <v>89</v>
      </c>
      <c r="T132" s="2576" t="s">
        <v>190</v>
      </c>
      <c r="U132" s="2576"/>
      <c r="V132" s="2577"/>
      <c r="W132" s="2582"/>
      <c r="X132" s="2583" t="s">
        <v>191</v>
      </c>
      <c r="Y132" s="2583"/>
      <c r="Z132" s="2584"/>
      <c r="AA132" s="2582"/>
      <c r="AB132" s="2583"/>
      <c r="AC132" s="2583"/>
      <c r="AD132" s="2260"/>
      <c r="AE132" s="2580">
        <v>44</v>
      </c>
      <c r="AF132" s="2576"/>
      <c r="AG132" s="2576"/>
      <c r="AH132" s="641"/>
      <c r="AI132" s="2581"/>
    </row>
    <row r="133" spans="1:35" ht="22.35" customHeight="1" x14ac:dyDescent="0.2">
      <c r="A133" s="169"/>
      <c r="B133" s="38" t="s">
        <v>172</v>
      </c>
      <c r="C133" s="2582">
        <v>99</v>
      </c>
      <c r="D133" s="2583" t="s">
        <v>192</v>
      </c>
      <c r="E133" s="2583"/>
      <c r="F133" s="2584"/>
      <c r="G133" s="2582">
        <v>99</v>
      </c>
      <c r="H133" s="2583" t="s">
        <v>192</v>
      </c>
      <c r="I133" s="2583"/>
      <c r="J133" s="2584"/>
      <c r="K133" s="2582">
        <v>99</v>
      </c>
      <c r="L133" s="2583" t="s">
        <v>192</v>
      </c>
      <c r="M133" s="2583"/>
      <c r="N133" s="2584"/>
      <c r="O133" s="2582">
        <v>99</v>
      </c>
      <c r="P133" s="2583" t="s">
        <v>192</v>
      </c>
      <c r="Q133" s="2583"/>
      <c r="R133" s="2584"/>
      <c r="S133" s="2582">
        <v>99</v>
      </c>
      <c r="T133" s="2583" t="s">
        <v>171</v>
      </c>
      <c r="U133" s="2583"/>
      <c r="V133" s="2260"/>
      <c r="W133" s="2259"/>
      <c r="X133" s="2260"/>
      <c r="Y133" s="2583"/>
      <c r="Z133" s="2584"/>
      <c r="AA133" s="2259"/>
      <c r="AB133" s="2260"/>
      <c r="AC133" s="2583"/>
      <c r="AD133" s="2584"/>
      <c r="AE133" s="2585">
        <v>28</v>
      </c>
      <c r="AF133" s="2583"/>
      <c r="AG133" s="2583"/>
      <c r="AH133" s="2260"/>
      <c r="AI133" s="2586"/>
    </row>
    <row r="134" spans="1:35" ht="22.35" customHeight="1" thickBot="1" x14ac:dyDescent="0.25">
      <c r="A134" s="169"/>
      <c r="B134" s="1056" t="s">
        <v>193</v>
      </c>
      <c r="C134" s="2587" t="s">
        <v>58</v>
      </c>
      <c r="D134" s="2588" t="s">
        <v>194</v>
      </c>
      <c r="E134" s="2589"/>
      <c r="F134" s="889"/>
      <c r="G134" s="2587" t="s">
        <v>58</v>
      </c>
      <c r="H134" s="2588" t="s">
        <v>194</v>
      </c>
      <c r="I134" s="734"/>
      <c r="J134" s="2589"/>
      <c r="K134" s="2587" t="s">
        <v>58</v>
      </c>
      <c r="L134" s="2588" t="s">
        <v>194</v>
      </c>
      <c r="M134" s="2589"/>
      <c r="N134" s="2590"/>
      <c r="O134" s="2587" t="s">
        <v>58</v>
      </c>
      <c r="P134" s="2588" t="s">
        <v>194</v>
      </c>
      <c r="Q134" s="2589"/>
      <c r="R134" s="2588"/>
      <c r="S134" s="2587" t="s">
        <v>58</v>
      </c>
      <c r="T134" s="891" t="s">
        <v>195</v>
      </c>
      <c r="U134" s="2588"/>
      <c r="V134" s="2590"/>
      <c r="W134" s="2589"/>
      <c r="X134" s="2588"/>
      <c r="Y134" s="2588"/>
      <c r="Z134" s="2588"/>
      <c r="AA134" s="2591"/>
      <c r="AB134" s="2592"/>
      <c r="AC134" s="2588"/>
      <c r="AD134" s="2593"/>
      <c r="AE134" s="2588"/>
      <c r="AF134" s="2588"/>
      <c r="AG134" s="2588"/>
      <c r="AH134" s="2594"/>
      <c r="AI134" s="2595"/>
    </row>
    <row r="135" spans="1:35" ht="22.35" customHeight="1" x14ac:dyDescent="0.2">
      <c r="A135" s="108"/>
      <c r="B135" s="169"/>
      <c r="C135" s="171"/>
      <c r="D135" s="171"/>
      <c r="E135" s="171"/>
      <c r="F135" s="171"/>
      <c r="G135" s="171"/>
      <c r="H135" s="171"/>
      <c r="I135" s="171"/>
      <c r="J135" s="171"/>
      <c r="K135" s="171"/>
      <c r="L135" s="171"/>
      <c r="M135" s="171"/>
      <c r="N135" s="171"/>
      <c r="O135" s="171"/>
      <c r="P135" s="171"/>
      <c r="Q135" s="171"/>
      <c r="R135" s="171"/>
      <c r="S135" s="171"/>
      <c r="T135" s="171"/>
      <c r="U135" s="171"/>
      <c r="V135" s="171"/>
      <c r="W135" s="171"/>
      <c r="X135" s="171"/>
      <c r="Y135" s="171"/>
      <c r="Z135" s="171"/>
      <c r="AA135" s="171"/>
      <c r="AB135" s="171"/>
      <c r="AC135" s="171"/>
      <c r="AD135" s="171"/>
      <c r="AE135" s="171"/>
      <c r="AF135" s="171"/>
      <c r="AG135" s="171"/>
      <c r="AH135" s="170"/>
      <c r="AI135" s="170"/>
    </row>
    <row r="136" spans="1:35" ht="22.35" customHeight="1" thickBot="1" x14ac:dyDescent="0.25">
      <c r="A136" s="2564"/>
      <c r="B136" s="633" t="s">
        <v>29</v>
      </c>
      <c r="C136" s="796">
        <v>1</v>
      </c>
      <c r="D136" s="796">
        <v>2</v>
      </c>
      <c r="E136" s="796">
        <v>3</v>
      </c>
      <c r="F136" s="796">
        <v>4</v>
      </c>
      <c r="G136" s="795">
        <v>5</v>
      </c>
      <c r="H136" s="795">
        <v>6</v>
      </c>
      <c r="I136" s="796">
        <v>7</v>
      </c>
      <c r="J136" s="796">
        <v>8</v>
      </c>
      <c r="K136" s="796">
        <v>9</v>
      </c>
      <c r="L136" s="796">
        <v>10</v>
      </c>
      <c r="M136" s="796">
        <v>11</v>
      </c>
      <c r="N136" s="795">
        <v>12</v>
      </c>
      <c r="O136" s="795">
        <v>13</v>
      </c>
      <c r="P136" s="796">
        <v>14</v>
      </c>
      <c r="Q136" s="796">
        <v>15</v>
      </c>
      <c r="R136" s="796">
        <v>16</v>
      </c>
      <c r="S136" s="796">
        <v>17</v>
      </c>
      <c r="T136" s="796">
        <v>18</v>
      </c>
      <c r="U136" s="795">
        <v>19</v>
      </c>
      <c r="V136" s="795">
        <v>20</v>
      </c>
      <c r="W136" s="796">
        <v>21</v>
      </c>
      <c r="X136" s="796">
        <v>22</v>
      </c>
      <c r="Y136" s="796">
        <v>23</v>
      </c>
      <c r="Z136" s="796">
        <v>24</v>
      </c>
      <c r="AA136" s="796">
        <v>25</v>
      </c>
      <c r="AB136" s="795">
        <v>26</v>
      </c>
      <c r="AC136" s="795">
        <v>27</v>
      </c>
      <c r="AD136" s="796">
        <v>28</v>
      </c>
      <c r="AE136" s="796">
        <v>29</v>
      </c>
      <c r="AF136" s="796">
        <v>30</v>
      </c>
      <c r="AG136" s="797"/>
      <c r="AH136" s="173"/>
      <c r="AI136" s="174"/>
    </row>
    <row r="137" spans="1:35" ht="22.35" customHeight="1" x14ac:dyDescent="0.2">
      <c r="A137" s="2533">
        <v>1</v>
      </c>
      <c r="B137" s="2596" t="s">
        <v>196</v>
      </c>
      <c r="C137" s="2452">
        <v>69</v>
      </c>
      <c r="D137" s="2452">
        <v>69</v>
      </c>
      <c r="E137" s="2452">
        <v>69</v>
      </c>
      <c r="F137" s="2452">
        <v>69</v>
      </c>
      <c r="G137" s="2452"/>
      <c r="H137" s="2452"/>
      <c r="I137" s="2435">
        <v>79</v>
      </c>
      <c r="J137" s="2435">
        <v>79</v>
      </c>
      <c r="K137" s="2434">
        <v>79</v>
      </c>
      <c r="L137" s="2435">
        <v>79</v>
      </c>
      <c r="M137" s="2244">
        <v>79</v>
      </c>
      <c r="N137" s="2254"/>
      <c r="O137" s="2434"/>
      <c r="P137" s="2434">
        <v>89</v>
      </c>
      <c r="Q137" s="2434">
        <v>89</v>
      </c>
      <c r="R137" s="2436">
        <v>89</v>
      </c>
      <c r="S137" s="2244">
        <v>89</v>
      </c>
      <c r="T137" s="2244">
        <v>89</v>
      </c>
      <c r="U137" s="2434">
        <v>89</v>
      </c>
      <c r="V137" s="2434"/>
      <c r="W137" s="2434">
        <v>99</v>
      </c>
      <c r="X137" s="2434">
        <v>99</v>
      </c>
      <c r="Y137" s="2434">
        <v>99</v>
      </c>
      <c r="Z137" s="2434">
        <v>99</v>
      </c>
      <c r="AA137" s="2435" t="s">
        <v>36</v>
      </c>
      <c r="AB137" s="2434"/>
      <c r="AC137" s="2434"/>
      <c r="AD137" s="2434" t="s">
        <v>58</v>
      </c>
      <c r="AE137" s="2434" t="s">
        <v>58</v>
      </c>
      <c r="AF137" s="2435" t="s">
        <v>58</v>
      </c>
      <c r="AG137" s="2438"/>
      <c r="AH137" s="191"/>
      <c r="AI137" s="107"/>
    </row>
    <row r="138" spans="1:35" ht="22.35" customHeight="1" x14ac:dyDescent="0.2">
      <c r="A138" s="2535">
        <v>2</v>
      </c>
      <c r="B138" s="2597" t="s">
        <v>197</v>
      </c>
      <c r="C138" s="809">
        <v>79</v>
      </c>
      <c r="D138" s="809">
        <v>79</v>
      </c>
      <c r="E138" s="809">
        <v>79</v>
      </c>
      <c r="F138" s="809">
        <v>79</v>
      </c>
      <c r="G138" s="809"/>
      <c r="H138" s="2598"/>
      <c r="I138" s="868">
        <v>89</v>
      </c>
      <c r="J138" s="868">
        <v>89</v>
      </c>
      <c r="K138" s="868">
        <v>89</v>
      </c>
      <c r="L138" s="814">
        <v>89</v>
      </c>
      <c r="M138" s="814">
        <v>89</v>
      </c>
      <c r="N138" s="868">
        <v>89</v>
      </c>
      <c r="O138" s="868"/>
      <c r="P138" s="868">
        <v>99</v>
      </c>
      <c r="Q138" s="868">
        <v>99</v>
      </c>
      <c r="R138" s="815">
        <v>99</v>
      </c>
      <c r="S138" s="868">
        <v>99</v>
      </c>
      <c r="T138" s="814" t="s">
        <v>36</v>
      </c>
      <c r="U138" s="868"/>
      <c r="V138" s="868"/>
      <c r="W138" s="868" t="s">
        <v>58</v>
      </c>
      <c r="X138" s="868" t="s">
        <v>58</v>
      </c>
      <c r="Y138" s="868" t="s">
        <v>58</v>
      </c>
      <c r="Z138" s="868" t="s">
        <v>58</v>
      </c>
      <c r="AA138" s="2599" t="s">
        <v>58</v>
      </c>
      <c r="AB138" s="815"/>
      <c r="AC138" s="828"/>
      <c r="AD138" s="2600">
        <v>69</v>
      </c>
      <c r="AE138" s="828">
        <v>69</v>
      </c>
      <c r="AF138" s="828">
        <v>69</v>
      </c>
      <c r="AG138" s="2601"/>
      <c r="AH138" s="192"/>
      <c r="AI138" s="168"/>
    </row>
    <row r="139" spans="1:35" ht="22.35" customHeight="1" x14ac:dyDescent="0.2">
      <c r="A139" s="2535">
        <v>3</v>
      </c>
      <c r="B139" s="2597" t="s">
        <v>360</v>
      </c>
      <c r="C139" s="2602">
        <v>89</v>
      </c>
      <c r="D139" s="2602">
        <v>89</v>
      </c>
      <c r="E139" s="2602">
        <v>89</v>
      </c>
      <c r="F139" s="2602">
        <v>89</v>
      </c>
      <c r="G139" s="2603">
        <v>89</v>
      </c>
      <c r="H139" s="2604"/>
      <c r="I139" s="2602">
        <v>99</v>
      </c>
      <c r="J139" s="2602">
        <v>99</v>
      </c>
      <c r="K139" s="2602">
        <v>99</v>
      </c>
      <c r="L139" s="2602">
        <v>99</v>
      </c>
      <c r="M139" s="2602" t="s">
        <v>36</v>
      </c>
      <c r="N139" s="2605"/>
      <c r="O139" s="828"/>
      <c r="P139" s="2606" t="s">
        <v>58</v>
      </c>
      <c r="Q139" s="2606" t="s">
        <v>58</v>
      </c>
      <c r="R139" s="828" t="s">
        <v>60</v>
      </c>
      <c r="S139" s="828" t="s">
        <v>58</v>
      </c>
      <c r="T139" s="828" t="s">
        <v>58</v>
      </c>
      <c r="U139" s="828"/>
      <c r="V139" s="2602"/>
      <c r="W139" s="2602">
        <v>69</v>
      </c>
      <c r="X139" s="2602">
        <v>69</v>
      </c>
      <c r="Y139" s="2602">
        <v>69</v>
      </c>
      <c r="Z139" s="2602">
        <v>69</v>
      </c>
      <c r="AA139" s="2602">
        <v>69</v>
      </c>
      <c r="AB139" s="2602"/>
      <c r="AC139" s="2602"/>
      <c r="AD139" s="2602">
        <v>79</v>
      </c>
      <c r="AE139" s="2602">
        <v>79</v>
      </c>
      <c r="AF139" s="2602">
        <v>79</v>
      </c>
      <c r="AG139" s="2607"/>
      <c r="AH139" s="191"/>
      <c r="AI139" s="107"/>
    </row>
    <row r="140" spans="1:35" ht="22.35" customHeight="1" x14ac:dyDescent="0.2">
      <c r="A140" s="2535">
        <v>4</v>
      </c>
      <c r="B140" s="394" t="s">
        <v>199</v>
      </c>
      <c r="C140" s="814">
        <v>99</v>
      </c>
      <c r="D140" s="814">
        <v>99</v>
      </c>
      <c r="E140" s="814">
        <v>99</v>
      </c>
      <c r="F140" s="814" t="s">
        <v>36</v>
      </c>
      <c r="G140" s="814"/>
      <c r="H140" s="2538"/>
      <c r="I140" s="814" t="s">
        <v>58</v>
      </c>
      <c r="J140" s="814" t="s">
        <v>58</v>
      </c>
      <c r="K140" s="814" t="s">
        <v>58</v>
      </c>
      <c r="L140" s="814" t="s">
        <v>201</v>
      </c>
      <c r="M140" s="814" t="s">
        <v>201</v>
      </c>
      <c r="N140" s="813"/>
      <c r="O140" s="814"/>
      <c r="P140" s="814">
        <v>69</v>
      </c>
      <c r="Q140" s="2496">
        <v>69</v>
      </c>
      <c r="R140" s="2496">
        <v>69</v>
      </c>
      <c r="S140" s="814">
        <v>69</v>
      </c>
      <c r="T140" s="814">
        <v>69</v>
      </c>
      <c r="U140" s="814"/>
      <c r="V140" s="814"/>
      <c r="W140" s="814">
        <v>79</v>
      </c>
      <c r="X140" s="814">
        <v>79</v>
      </c>
      <c r="Y140" s="2496">
        <v>79</v>
      </c>
      <c r="Z140" s="2496">
        <v>79</v>
      </c>
      <c r="AA140" s="814">
        <v>79</v>
      </c>
      <c r="AB140" s="814"/>
      <c r="AC140" s="814"/>
      <c r="AD140" s="814">
        <v>89</v>
      </c>
      <c r="AE140" s="814">
        <v>89</v>
      </c>
      <c r="AF140" s="2496">
        <v>89</v>
      </c>
      <c r="AG140" s="2601"/>
      <c r="AH140" s="191"/>
      <c r="AI140" s="107"/>
    </row>
    <row r="141" spans="1:35" ht="22.35" customHeight="1" thickBot="1" x14ac:dyDescent="0.25">
      <c r="A141" s="2542">
        <v>5</v>
      </c>
      <c r="B141" s="2608" t="s">
        <v>202</v>
      </c>
      <c r="C141" s="2498" t="s">
        <v>58</v>
      </c>
      <c r="D141" s="2498" t="s">
        <v>58</v>
      </c>
      <c r="E141" s="2609" t="s">
        <v>58</v>
      </c>
      <c r="F141" s="796" t="s">
        <v>58</v>
      </c>
      <c r="G141" s="796"/>
      <c r="H141" s="937"/>
      <c r="I141" s="2610">
        <v>69</v>
      </c>
      <c r="J141" s="908">
        <v>69</v>
      </c>
      <c r="K141" s="908">
        <v>69</v>
      </c>
      <c r="L141" s="796">
        <v>69</v>
      </c>
      <c r="M141" s="796">
        <v>69</v>
      </c>
      <c r="N141" s="920"/>
      <c r="O141" s="2498"/>
      <c r="P141" s="2498">
        <v>79</v>
      </c>
      <c r="Q141" s="2498">
        <v>79</v>
      </c>
      <c r="R141" s="2498">
        <v>79</v>
      </c>
      <c r="S141" s="796">
        <v>79</v>
      </c>
      <c r="T141" s="2611">
        <v>79</v>
      </c>
      <c r="U141" s="2498"/>
      <c r="V141" s="2498"/>
      <c r="W141" s="2498">
        <v>89</v>
      </c>
      <c r="X141" s="2498">
        <v>89</v>
      </c>
      <c r="Y141" s="2498" t="s">
        <v>229</v>
      </c>
      <c r="Z141" s="2498">
        <v>89</v>
      </c>
      <c r="AA141" s="907">
        <v>89</v>
      </c>
      <c r="AB141" s="2498" t="s">
        <v>154</v>
      </c>
      <c r="AC141" s="2498"/>
      <c r="AD141" s="2498">
        <v>99</v>
      </c>
      <c r="AE141" s="2498">
        <v>99</v>
      </c>
      <c r="AF141" s="2498">
        <v>99</v>
      </c>
      <c r="AG141" s="1079"/>
      <c r="AH141" s="191"/>
      <c r="AI141" s="107"/>
    </row>
    <row r="142" spans="1:35" ht="22.35" customHeight="1" x14ac:dyDescent="0.2">
      <c r="A142" s="200"/>
      <c r="B142" s="217"/>
      <c r="C142" s="218"/>
      <c r="D142" s="218"/>
      <c r="E142" s="218"/>
      <c r="F142" s="199"/>
      <c r="G142" s="216"/>
      <c r="H142" s="216"/>
      <c r="I142" s="216"/>
      <c r="J142" s="216"/>
      <c r="K142" s="216"/>
      <c r="L142" s="199"/>
      <c r="M142" s="199"/>
      <c r="N142" s="218"/>
      <c r="O142" s="218"/>
      <c r="P142" s="218"/>
      <c r="Q142" s="218"/>
      <c r="R142" s="218"/>
      <c r="S142" s="199"/>
      <c r="T142" s="219"/>
      <c r="U142" s="218"/>
      <c r="V142" s="218"/>
      <c r="W142" s="218"/>
      <c r="X142" s="218"/>
      <c r="Y142" s="218"/>
      <c r="Z142" s="220"/>
      <c r="AA142" s="220"/>
      <c r="AB142" s="218"/>
      <c r="AC142" s="218"/>
      <c r="AD142" s="218"/>
      <c r="AE142" s="218"/>
      <c r="AF142" s="218"/>
      <c r="AG142" s="220"/>
      <c r="AH142" s="191"/>
      <c r="AI142" s="107"/>
    </row>
    <row r="143" spans="1:35" ht="22.35" customHeight="1" x14ac:dyDescent="0.2">
      <c r="A143" s="109"/>
      <c r="B143" s="110"/>
      <c r="C143" s="106"/>
      <c r="D143" s="106"/>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t="s">
        <v>229</v>
      </c>
      <c r="AB143" s="106"/>
      <c r="AC143" s="106"/>
      <c r="AD143" s="106"/>
      <c r="AE143" s="106"/>
      <c r="AF143" s="106"/>
      <c r="AG143" s="106"/>
      <c r="AH143" s="107"/>
      <c r="AI143" s="107"/>
    </row>
    <row r="144" spans="1:35" ht="22.35" customHeight="1" thickBot="1" x14ac:dyDescent="0.25">
      <c r="A144" s="169" t="s">
        <v>204</v>
      </c>
      <c r="B144" s="170"/>
      <c r="C144" s="170"/>
      <c r="D144" s="171"/>
      <c r="E144" s="171"/>
      <c r="F144" s="171"/>
      <c r="G144" s="105"/>
      <c r="H144" s="171"/>
      <c r="I144" s="171"/>
      <c r="J144" s="171"/>
      <c r="K144" s="171"/>
      <c r="L144" s="171"/>
      <c r="M144" s="171"/>
      <c r="N144" s="171"/>
      <c r="O144" s="171"/>
      <c r="P144" s="171"/>
      <c r="Q144" s="171"/>
      <c r="R144" s="171"/>
      <c r="S144" s="171"/>
      <c r="T144" s="171"/>
      <c r="U144" s="171"/>
      <c r="V144" s="171"/>
      <c r="W144" s="171"/>
      <c r="X144" s="171"/>
      <c r="Y144" s="171"/>
      <c r="Z144" s="171"/>
      <c r="AA144" s="171"/>
      <c r="AB144" s="171"/>
      <c r="AC144" s="171"/>
      <c r="AD144" s="171"/>
      <c r="AE144" s="171"/>
      <c r="AF144" s="171"/>
      <c r="AG144" s="171"/>
      <c r="AH144" s="170"/>
      <c r="AI144" s="170"/>
    </row>
    <row r="145" spans="1:35" ht="22.35" customHeight="1" x14ac:dyDescent="0.2">
      <c r="A145" s="169"/>
      <c r="B145" s="2545" t="s">
        <v>186</v>
      </c>
      <c r="C145" s="2568"/>
      <c r="D145" s="2569" t="s">
        <v>107</v>
      </c>
      <c r="E145" s="2570"/>
      <c r="F145" s="2571"/>
      <c r="G145" s="2568"/>
      <c r="H145" s="2569" t="s">
        <v>108</v>
      </c>
      <c r="I145" s="2570"/>
      <c r="J145" s="2571"/>
      <c r="K145" s="2568"/>
      <c r="L145" s="2569" t="s">
        <v>109</v>
      </c>
      <c r="M145" s="2570"/>
      <c r="N145" s="2571"/>
      <c r="O145" s="2568"/>
      <c r="P145" s="2569" t="s">
        <v>110</v>
      </c>
      <c r="Q145" s="2570"/>
      <c r="R145" s="2571"/>
      <c r="S145" s="2568"/>
      <c r="T145" s="2569" t="s">
        <v>111</v>
      </c>
      <c r="U145" s="2570"/>
      <c r="V145" s="2571"/>
      <c r="W145" s="2568"/>
      <c r="X145" s="2569" t="s">
        <v>112</v>
      </c>
      <c r="Y145" s="2570"/>
      <c r="Z145" s="2571"/>
      <c r="AA145" s="2568"/>
      <c r="AB145" s="2569" t="s">
        <v>113</v>
      </c>
      <c r="AC145" s="2570"/>
      <c r="AD145" s="2570"/>
      <c r="AE145" s="2572" t="s">
        <v>114</v>
      </c>
      <c r="AF145" s="2570"/>
      <c r="AG145" s="2570"/>
      <c r="AH145" s="2570"/>
      <c r="AI145" s="2573"/>
    </row>
    <row r="146" spans="1:35" ht="22.35" customHeight="1" x14ac:dyDescent="0.2">
      <c r="A146" s="169"/>
      <c r="B146" s="2574" t="s">
        <v>205</v>
      </c>
      <c r="C146" s="640" t="s">
        <v>206</v>
      </c>
      <c r="D146" s="2576"/>
      <c r="E146" s="2576"/>
      <c r="F146" s="2577"/>
      <c r="G146" s="640" t="s">
        <v>206</v>
      </c>
      <c r="H146" s="2576"/>
      <c r="I146" s="2576"/>
      <c r="J146" s="2577"/>
      <c r="K146" s="640" t="s">
        <v>206</v>
      </c>
      <c r="L146" s="2576"/>
      <c r="M146" s="2576"/>
      <c r="N146" s="2577"/>
      <c r="O146" s="640" t="s">
        <v>206</v>
      </c>
      <c r="P146" s="2576"/>
      <c r="Q146" s="2576"/>
      <c r="R146" s="2577"/>
      <c r="S146" s="640" t="s">
        <v>206</v>
      </c>
      <c r="T146" s="2576"/>
      <c r="U146" s="2576"/>
      <c r="V146" s="2577"/>
      <c r="W146" s="640" t="s">
        <v>207</v>
      </c>
      <c r="X146" s="2578"/>
      <c r="Y146" s="2578"/>
      <c r="Z146" s="2579"/>
      <c r="AA146" s="640" t="s">
        <v>207</v>
      </c>
      <c r="AB146" s="2576"/>
      <c r="AC146" s="2576"/>
      <c r="AD146" s="641"/>
      <c r="AE146" s="2580">
        <v>69</v>
      </c>
      <c r="AF146" s="185"/>
      <c r="AG146" s="185"/>
      <c r="AH146" s="185"/>
      <c r="AI146" s="186"/>
    </row>
    <row r="147" spans="1:35" ht="22.35" customHeight="1" x14ac:dyDescent="0.2">
      <c r="A147" s="169"/>
      <c r="B147" s="2574" t="s">
        <v>163</v>
      </c>
      <c r="C147" s="640" t="s">
        <v>171</v>
      </c>
      <c r="D147" s="2576"/>
      <c r="E147" s="2576"/>
      <c r="F147" s="2577"/>
      <c r="G147" s="640" t="s">
        <v>171</v>
      </c>
      <c r="H147" s="2576"/>
      <c r="I147" s="2576"/>
      <c r="J147" s="2577"/>
      <c r="K147" s="640" t="s">
        <v>171</v>
      </c>
      <c r="L147" s="2576"/>
      <c r="M147" s="2576"/>
      <c r="N147" s="2577"/>
      <c r="O147" s="640" t="s">
        <v>171</v>
      </c>
      <c r="P147" s="2576"/>
      <c r="Q147" s="2576"/>
      <c r="R147" s="2577"/>
      <c r="S147" s="640" t="s">
        <v>171</v>
      </c>
      <c r="T147" s="2576"/>
      <c r="U147" s="2576"/>
      <c r="V147" s="2577"/>
      <c r="W147" s="640" t="s">
        <v>171</v>
      </c>
      <c r="X147" s="2576"/>
      <c r="Y147" s="2576"/>
      <c r="Z147" s="2577"/>
      <c r="AA147" s="2576" t="s">
        <v>171</v>
      </c>
      <c r="AB147" s="2576"/>
      <c r="AC147" s="2576"/>
      <c r="AD147" s="641"/>
      <c r="AE147" s="2580">
        <v>0</v>
      </c>
      <c r="AF147" s="185"/>
      <c r="AG147" s="185"/>
      <c r="AH147" s="185"/>
      <c r="AI147" s="186"/>
    </row>
    <row r="148" spans="1:35" ht="22.35" customHeight="1" x14ac:dyDescent="0.2">
      <c r="A148" s="169"/>
      <c r="B148" s="2574" t="s">
        <v>208</v>
      </c>
      <c r="C148" s="640" t="s">
        <v>206</v>
      </c>
      <c r="D148" s="2576"/>
      <c r="E148" s="2576"/>
      <c r="F148" s="2577"/>
      <c r="G148" s="640" t="s">
        <v>206</v>
      </c>
      <c r="H148" s="2576"/>
      <c r="I148" s="2576"/>
      <c r="J148" s="2577"/>
      <c r="K148" s="640" t="s">
        <v>206</v>
      </c>
      <c r="L148" s="2576"/>
      <c r="M148" s="2576"/>
      <c r="N148" s="2577"/>
      <c r="O148" s="640" t="s">
        <v>206</v>
      </c>
      <c r="P148" s="2576"/>
      <c r="Q148" s="2576"/>
      <c r="R148" s="2577"/>
      <c r="S148" s="640" t="s">
        <v>206</v>
      </c>
      <c r="T148" s="2576"/>
      <c r="U148" s="2576"/>
      <c r="V148" s="2577"/>
      <c r="W148" s="640" t="s">
        <v>207</v>
      </c>
      <c r="X148" s="2578"/>
      <c r="Y148" s="2578"/>
      <c r="Z148" s="2579"/>
      <c r="AA148" s="640" t="s">
        <v>207</v>
      </c>
      <c r="AB148" s="2576"/>
      <c r="AC148" s="2576"/>
      <c r="AD148" s="641"/>
      <c r="AE148" s="2580">
        <v>69</v>
      </c>
      <c r="AF148" s="2576"/>
      <c r="AG148" s="2576" t="s">
        <v>0</v>
      </c>
      <c r="AH148" s="641"/>
      <c r="AI148" s="2581"/>
    </row>
    <row r="149" spans="1:35" ht="22.35" customHeight="1" x14ac:dyDescent="0.2">
      <c r="A149" s="169"/>
      <c r="B149" s="2574" t="s">
        <v>172</v>
      </c>
      <c r="C149" s="640" t="s">
        <v>171</v>
      </c>
      <c r="D149" s="2576"/>
      <c r="E149" s="2576"/>
      <c r="F149" s="2577"/>
      <c r="G149" s="640" t="s">
        <v>171</v>
      </c>
      <c r="H149" s="2576"/>
      <c r="I149" s="2576"/>
      <c r="J149" s="2577"/>
      <c r="K149" s="640" t="s">
        <v>171</v>
      </c>
      <c r="L149" s="2576"/>
      <c r="M149" s="2576"/>
      <c r="N149" s="2577"/>
      <c r="O149" s="640" t="s">
        <v>171</v>
      </c>
      <c r="P149" s="2576"/>
      <c r="Q149" s="2576"/>
      <c r="R149" s="2577"/>
      <c r="S149" s="640" t="s">
        <v>171</v>
      </c>
      <c r="T149" s="2576"/>
      <c r="U149" s="2576"/>
      <c r="V149" s="2577"/>
      <c r="W149" s="640" t="s">
        <v>171</v>
      </c>
      <c r="X149" s="2576"/>
      <c r="Y149" s="2576"/>
      <c r="Z149" s="2577"/>
      <c r="AA149" s="2576" t="s">
        <v>171</v>
      </c>
      <c r="AB149" s="2576"/>
      <c r="AC149" s="2576"/>
      <c r="AD149" s="641"/>
      <c r="AE149" s="2580">
        <v>0</v>
      </c>
      <c r="AF149" s="2576"/>
      <c r="AG149" s="2576"/>
      <c r="AH149" s="641"/>
      <c r="AI149" s="2581"/>
    </row>
    <row r="150" spans="1:35" ht="22.35" customHeight="1" x14ac:dyDescent="0.2">
      <c r="A150" s="169"/>
      <c r="B150" s="2574" t="s">
        <v>209</v>
      </c>
      <c r="C150" s="640" t="s">
        <v>206</v>
      </c>
      <c r="D150" s="2576"/>
      <c r="E150" s="2576"/>
      <c r="F150" s="2577"/>
      <c r="G150" s="640" t="s">
        <v>206</v>
      </c>
      <c r="H150" s="2576"/>
      <c r="I150" s="2576"/>
      <c r="J150" s="2577"/>
      <c r="K150" s="640" t="s">
        <v>206</v>
      </c>
      <c r="L150" s="2576"/>
      <c r="M150" s="2576"/>
      <c r="N150" s="2577"/>
      <c r="O150" s="640" t="s">
        <v>206</v>
      </c>
      <c r="P150" s="2576"/>
      <c r="Q150" s="2576"/>
      <c r="R150" s="2577"/>
      <c r="S150" s="640" t="s">
        <v>206</v>
      </c>
      <c r="T150" s="2576"/>
      <c r="U150" s="2576"/>
      <c r="V150" s="2577"/>
      <c r="W150" s="640" t="s">
        <v>210</v>
      </c>
      <c r="X150" s="2583"/>
      <c r="Y150" s="2583"/>
      <c r="Z150" s="2584"/>
      <c r="AA150" s="640" t="s">
        <v>210</v>
      </c>
      <c r="AB150" s="2583"/>
      <c r="AC150" s="2583"/>
      <c r="AD150" s="2260"/>
      <c r="AE150" s="2580">
        <v>66</v>
      </c>
      <c r="AF150" s="2576"/>
      <c r="AG150" s="2576"/>
      <c r="AH150" s="641"/>
      <c r="AI150" s="2581"/>
    </row>
    <row r="151" spans="1:35" ht="22.35" customHeight="1" thickBot="1" x14ac:dyDescent="0.25">
      <c r="A151" s="169"/>
      <c r="B151" s="2574" t="s">
        <v>211</v>
      </c>
      <c r="C151" s="2612" t="s">
        <v>171</v>
      </c>
      <c r="D151" s="2613"/>
      <c r="E151" s="2613"/>
      <c r="F151" s="2614"/>
      <c r="G151" s="2612" t="s">
        <v>171</v>
      </c>
      <c r="H151" s="2613"/>
      <c r="I151" s="2613"/>
      <c r="J151" s="2614"/>
      <c r="K151" s="2612" t="s">
        <v>171</v>
      </c>
      <c r="L151" s="2613"/>
      <c r="M151" s="2613"/>
      <c r="N151" s="2614"/>
      <c r="O151" s="2612" t="s">
        <v>171</v>
      </c>
      <c r="P151" s="2613"/>
      <c r="Q151" s="2613"/>
      <c r="R151" s="2614"/>
      <c r="S151" s="2612" t="s">
        <v>171</v>
      </c>
      <c r="T151" s="2613"/>
      <c r="U151" s="2613"/>
      <c r="V151" s="2594"/>
      <c r="W151" s="2612" t="s">
        <v>171</v>
      </c>
      <c r="X151" s="2594"/>
      <c r="Y151" s="2613"/>
      <c r="Z151" s="2614"/>
      <c r="AA151" s="2612" t="s">
        <v>171</v>
      </c>
      <c r="AB151" s="2594"/>
      <c r="AC151" s="2613"/>
      <c r="AD151" s="2614"/>
      <c r="AE151" s="2615" t="s">
        <v>212</v>
      </c>
      <c r="AF151" s="2613"/>
      <c r="AG151" s="2613"/>
      <c r="AH151" s="2594"/>
      <c r="AI151" s="2595"/>
    </row>
    <row r="152" spans="1:35" ht="22.35" customHeight="1" x14ac:dyDescent="0.2">
      <c r="A152" s="108"/>
      <c r="B152" s="169"/>
      <c r="C152" s="171"/>
      <c r="D152" s="171"/>
      <c r="E152" s="171"/>
      <c r="F152" s="171"/>
      <c r="G152" s="171"/>
      <c r="H152" s="171"/>
      <c r="I152" s="171"/>
      <c r="J152" s="171"/>
      <c r="K152" s="171"/>
      <c r="L152" s="171"/>
      <c r="M152" s="171"/>
      <c r="N152" s="171"/>
      <c r="O152" s="171"/>
      <c r="P152" s="171"/>
      <c r="Q152" s="171"/>
      <c r="R152" s="171"/>
      <c r="S152" s="171"/>
      <c r="T152" s="171"/>
      <c r="U152" s="171"/>
      <c r="V152" s="171"/>
      <c r="W152" s="171"/>
      <c r="X152" s="171"/>
      <c r="Y152" s="171"/>
      <c r="Z152" s="171"/>
      <c r="AA152" s="171"/>
      <c r="AB152" s="171"/>
      <c r="AC152" s="171"/>
      <c r="AD152" s="171"/>
      <c r="AE152" s="171"/>
      <c r="AF152" s="171"/>
      <c r="AG152" s="171"/>
      <c r="AH152" s="170"/>
      <c r="AI152" s="170"/>
    </row>
    <row r="153" spans="1:35" ht="22.35" customHeight="1" thickBot="1" x14ac:dyDescent="0.25">
      <c r="A153" s="2564"/>
      <c r="B153" s="2264" t="s">
        <v>29</v>
      </c>
      <c r="C153" s="796">
        <v>1</v>
      </c>
      <c r="D153" s="796">
        <v>2</v>
      </c>
      <c r="E153" s="796">
        <v>3</v>
      </c>
      <c r="F153" s="796">
        <v>4</v>
      </c>
      <c r="G153" s="795">
        <v>5</v>
      </c>
      <c r="H153" s="795">
        <v>6</v>
      </c>
      <c r="I153" s="796">
        <v>7</v>
      </c>
      <c r="J153" s="796">
        <v>8</v>
      </c>
      <c r="K153" s="796">
        <v>9</v>
      </c>
      <c r="L153" s="796">
        <v>10</v>
      </c>
      <c r="M153" s="796">
        <v>11</v>
      </c>
      <c r="N153" s="795">
        <v>12</v>
      </c>
      <c r="O153" s="795">
        <v>13</v>
      </c>
      <c r="P153" s="796">
        <v>14</v>
      </c>
      <c r="Q153" s="796">
        <v>15</v>
      </c>
      <c r="R153" s="796">
        <v>16</v>
      </c>
      <c r="S153" s="796">
        <v>17</v>
      </c>
      <c r="T153" s="796">
        <v>18</v>
      </c>
      <c r="U153" s="795">
        <v>19</v>
      </c>
      <c r="V153" s="795">
        <v>20</v>
      </c>
      <c r="W153" s="796">
        <v>21</v>
      </c>
      <c r="X153" s="796">
        <v>22</v>
      </c>
      <c r="Y153" s="796">
        <v>23</v>
      </c>
      <c r="Z153" s="796">
        <v>24</v>
      </c>
      <c r="AA153" s="796">
        <v>25</v>
      </c>
      <c r="AB153" s="795">
        <v>26</v>
      </c>
      <c r="AC153" s="795">
        <v>27</v>
      </c>
      <c r="AD153" s="796">
        <v>28</v>
      </c>
      <c r="AE153" s="796">
        <v>29</v>
      </c>
      <c r="AF153" s="796">
        <v>30</v>
      </c>
      <c r="AG153" s="797"/>
      <c r="AH153" s="173"/>
      <c r="AI153" s="174"/>
    </row>
    <row r="154" spans="1:35" ht="22.35" customHeight="1" x14ac:dyDescent="0.2">
      <c r="A154" s="2616">
        <v>1</v>
      </c>
      <c r="B154" s="215" t="s">
        <v>213</v>
      </c>
      <c r="C154" s="2617" t="s">
        <v>36</v>
      </c>
      <c r="D154" s="2617" t="s">
        <v>36</v>
      </c>
      <c r="E154" s="2617" t="s">
        <v>36</v>
      </c>
      <c r="F154" s="2617" t="s">
        <v>36</v>
      </c>
      <c r="G154" s="2618"/>
      <c r="H154" s="2617"/>
      <c r="I154" s="2619">
        <v>21</v>
      </c>
      <c r="J154" s="2618">
        <v>21</v>
      </c>
      <c r="K154" s="2617">
        <v>21</v>
      </c>
      <c r="L154" s="2619">
        <v>21</v>
      </c>
      <c r="M154" s="2618">
        <v>21</v>
      </c>
      <c r="N154" s="2618">
        <v>21</v>
      </c>
      <c r="O154" s="2617">
        <v>21</v>
      </c>
      <c r="P154" s="2617" t="s">
        <v>36</v>
      </c>
      <c r="Q154" s="2617" t="s">
        <v>36</v>
      </c>
      <c r="R154" s="2617" t="s">
        <v>36</v>
      </c>
      <c r="S154" s="2617" t="s">
        <v>36</v>
      </c>
      <c r="T154" s="2617" t="s">
        <v>36</v>
      </c>
      <c r="U154" s="2617"/>
      <c r="V154" s="2617"/>
      <c r="W154" s="2619">
        <v>22</v>
      </c>
      <c r="X154" s="2617">
        <v>22</v>
      </c>
      <c r="Y154" s="2617">
        <v>22</v>
      </c>
      <c r="Z154" s="2619">
        <v>22</v>
      </c>
      <c r="AA154" s="2617">
        <v>22</v>
      </c>
      <c r="AB154" s="2620">
        <v>22</v>
      </c>
      <c r="AC154" s="2620">
        <v>22</v>
      </c>
      <c r="AD154" s="2617" t="s">
        <v>36</v>
      </c>
      <c r="AE154" s="2617" t="s">
        <v>36</v>
      </c>
      <c r="AF154" s="2617" t="s">
        <v>36</v>
      </c>
      <c r="AG154" s="2621"/>
      <c r="AH154" s="107"/>
      <c r="AI154" s="107"/>
    </row>
    <row r="155" spans="1:35" ht="22.35" customHeight="1" x14ac:dyDescent="0.2">
      <c r="A155" s="1086">
        <v>2</v>
      </c>
      <c r="B155" s="1182" t="s">
        <v>214</v>
      </c>
      <c r="C155" s="644" t="s">
        <v>36</v>
      </c>
      <c r="D155" s="644" t="s">
        <v>36</v>
      </c>
      <c r="E155" s="644" t="s">
        <v>36</v>
      </c>
      <c r="F155" s="644" t="s">
        <v>36</v>
      </c>
      <c r="G155" s="644"/>
      <c r="H155" s="644"/>
      <c r="I155" s="851">
        <v>22</v>
      </c>
      <c r="J155" s="644">
        <v>22</v>
      </c>
      <c r="K155" s="644">
        <v>22</v>
      </c>
      <c r="L155" s="851">
        <v>22</v>
      </c>
      <c r="M155" s="975">
        <v>22</v>
      </c>
      <c r="N155" s="975">
        <v>22</v>
      </c>
      <c r="O155" s="975">
        <v>22</v>
      </c>
      <c r="P155" s="975" t="s">
        <v>36</v>
      </c>
      <c r="Q155" s="975" t="s">
        <v>36</v>
      </c>
      <c r="R155" s="975" t="s">
        <v>36</v>
      </c>
      <c r="S155" s="975" t="s">
        <v>36</v>
      </c>
      <c r="T155" s="975" t="s">
        <v>36</v>
      </c>
      <c r="U155" s="975"/>
      <c r="V155" s="975"/>
      <c r="W155" s="851">
        <v>23</v>
      </c>
      <c r="X155" s="644">
        <v>23</v>
      </c>
      <c r="Y155" s="644">
        <v>23</v>
      </c>
      <c r="Z155" s="851">
        <v>23</v>
      </c>
      <c r="AA155" s="975">
        <v>23</v>
      </c>
      <c r="AB155" s="975">
        <v>23</v>
      </c>
      <c r="AC155" s="975">
        <v>23</v>
      </c>
      <c r="AD155" s="975" t="s">
        <v>36</v>
      </c>
      <c r="AE155" s="975" t="s">
        <v>36</v>
      </c>
      <c r="AF155" s="975" t="s">
        <v>36</v>
      </c>
      <c r="AG155" s="613"/>
      <c r="AH155" s="107"/>
      <c r="AI155" s="107"/>
    </row>
    <row r="156" spans="1:35" ht="22.35" customHeight="1" x14ac:dyDescent="0.2">
      <c r="A156" s="1086">
        <v>3</v>
      </c>
      <c r="B156" s="1182" t="s">
        <v>362</v>
      </c>
      <c r="C156" s="644" t="s">
        <v>36</v>
      </c>
      <c r="D156" s="644" t="s">
        <v>36</v>
      </c>
      <c r="E156" s="644" t="s">
        <v>36</v>
      </c>
      <c r="F156" s="644" t="s">
        <v>36</v>
      </c>
      <c r="G156" s="975"/>
      <c r="H156" s="975"/>
      <c r="I156" s="848">
        <v>23</v>
      </c>
      <c r="J156" s="848">
        <v>23</v>
      </c>
      <c r="K156" s="848">
        <v>23</v>
      </c>
      <c r="L156" s="848">
        <v>23</v>
      </c>
      <c r="M156" s="848">
        <v>23</v>
      </c>
      <c r="N156" s="848">
        <v>23</v>
      </c>
      <c r="O156" s="848">
        <v>23</v>
      </c>
      <c r="P156" s="644" t="s">
        <v>36</v>
      </c>
      <c r="Q156" s="644" t="s">
        <v>36</v>
      </c>
      <c r="R156" s="980" t="s">
        <v>36</v>
      </c>
      <c r="S156" s="980" t="s">
        <v>36</v>
      </c>
      <c r="T156" s="644" t="s">
        <v>36</v>
      </c>
      <c r="U156" s="975"/>
      <c r="V156" s="975"/>
      <c r="W156" s="851">
        <v>21</v>
      </c>
      <c r="X156" s="644">
        <v>21</v>
      </c>
      <c r="Y156" s="644">
        <v>21</v>
      </c>
      <c r="Z156" s="851">
        <v>21</v>
      </c>
      <c r="AA156" s="644">
        <v>21</v>
      </c>
      <c r="AB156" s="644">
        <v>21</v>
      </c>
      <c r="AC156" s="644">
        <v>21</v>
      </c>
      <c r="AD156" s="960">
        <v>23</v>
      </c>
      <c r="AE156" s="960">
        <v>23</v>
      </c>
      <c r="AF156" s="960">
        <v>23</v>
      </c>
      <c r="AG156" s="613"/>
      <c r="AH156" s="107"/>
      <c r="AI156" s="107"/>
    </row>
    <row r="157" spans="1:35" ht="22.35" customHeight="1" x14ac:dyDescent="0.2">
      <c r="A157" s="1086">
        <v>4</v>
      </c>
      <c r="B157" s="1182" t="s">
        <v>0</v>
      </c>
      <c r="C157" s="644">
        <v>23</v>
      </c>
      <c r="D157" s="644">
        <v>23</v>
      </c>
      <c r="E157" s="851">
        <v>23</v>
      </c>
      <c r="F157" s="644">
        <v>23</v>
      </c>
      <c r="G157" s="644">
        <v>23</v>
      </c>
      <c r="H157" s="644">
        <v>23</v>
      </c>
      <c r="I157" s="644" t="s">
        <v>36</v>
      </c>
      <c r="J157" s="644" t="s">
        <v>36</v>
      </c>
      <c r="K157" s="644" t="s">
        <v>36</v>
      </c>
      <c r="L157" s="644" t="s">
        <v>36</v>
      </c>
      <c r="M157" s="644" t="s">
        <v>36</v>
      </c>
      <c r="N157" s="644"/>
      <c r="O157" s="848"/>
      <c r="P157" s="848">
        <v>21</v>
      </c>
      <c r="Q157" s="848">
        <v>21</v>
      </c>
      <c r="R157" s="848">
        <v>21</v>
      </c>
      <c r="S157" s="848">
        <v>21</v>
      </c>
      <c r="T157" s="848">
        <v>21</v>
      </c>
      <c r="U157" s="848">
        <v>21</v>
      </c>
      <c r="V157" s="848">
        <v>21</v>
      </c>
      <c r="W157" s="644" t="s">
        <v>36</v>
      </c>
      <c r="X157" s="644" t="s">
        <v>36</v>
      </c>
      <c r="Y157" s="644" t="s">
        <v>36</v>
      </c>
      <c r="Z157" s="644" t="s">
        <v>36</v>
      </c>
      <c r="AA157" s="644" t="s">
        <v>36</v>
      </c>
      <c r="AB157" s="644"/>
      <c r="AC157" s="644"/>
      <c r="AD157" s="851">
        <v>22</v>
      </c>
      <c r="AE157" s="644">
        <v>22</v>
      </c>
      <c r="AF157" s="644">
        <v>22</v>
      </c>
      <c r="AG157" s="978"/>
      <c r="AH157" s="107"/>
      <c r="AI157" s="107"/>
    </row>
    <row r="158" spans="1:35" ht="22.35" customHeight="1" x14ac:dyDescent="0.2">
      <c r="A158" s="1086">
        <v>5</v>
      </c>
      <c r="B158" s="1182" t="s">
        <v>217</v>
      </c>
      <c r="C158" s="644">
        <v>21</v>
      </c>
      <c r="D158" s="644">
        <v>21</v>
      </c>
      <c r="E158" s="851">
        <v>21</v>
      </c>
      <c r="F158" s="975">
        <v>21</v>
      </c>
      <c r="G158" s="644">
        <v>21</v>
      </c>
      <c r="H158" s="644">
        <v>21</v>
      </c>
      <c r="I158" s="644" t="s">
        <v>36</v>
      </c>
      <c r="J158" s="644" t="s">
        <v>36</v>
      </c>
      <c r="K158" s="644" t="s">
        <v>36</v>
      </c>
      <c r="L158" s="644" t="s">
        <v>36</v>
      </c>
      <c r="M158" s="644" t="s">
        <v>36</v>
      </c>
      <c r="N158" s="644"/>
      <c r="O158" s="644"/>
      <c r="P158" s="851">
        <v>22</v>
      </c>
      <c r="Q158" s="644">
        <v>22</v>
      </c>
      <c r="R158" s="644">
        <v>22</v>
      </c>
      <c r="S158" s="851">
        <v>22</v>
      </c>
      <c r="T158" s="644">
        <v>22</v>
      </c>
      <c r="U158" s="644">
        <v>22</v>
      </c>
      <c r="V158" s="644">
        <v>22</v>
      </c>
      <c r="W158" s="644" t="s">
        <v>36</v>
      </c>
      <c r="X158" s="644" t="s">
        <v>36</v>
      </c>
      <c r="Y158" s="644" t="s">
        <v>36</v>
      </c>
      <c r="Z158" s="644" t="s">
        <v>36</v>
      </c>
      <c r="AA158" s="644" t="s">
        <v>36</v>
      </c>
      <c r="AB158" s="644"/>
      <c r="AC158" s="975"/>
      <c r="AD158" s="975">
        <v>23</v>
      </c>
      <c r="AE158" s="975">
        <v>23</v>
      </c>
      <c r="AF158" s="644">
        <v>23</v>
      </c>
      <c r="AG158" s="978"/>
      <c r="AH158" s="107"/>
      <c r="AI158" s="107"/>
    </row>
    <row r="159" spans="1:35" ht="22.35" customHeight="1" thickBot="1" x14ac:dyDescent="0.25">
      <c r="A159" s="1090">
        <v>6</v>
      </c>
      <c r="B159" s="1091" t="s">
        <v>218</v>
      </c>
      <c r="C159" s="863">
        <v>22</v>
      </c>
      <c r="D159" s="863">
        <v>22</v>
      </c>
      <c r="E159" s="1092">
        <v>22</v>
      </c>
      <c r="F159" s="863">
        <v>22</v>
      </c>
      <c r="G159" s="863">
        <v>22</v>
      </c>
      <c r="H159" s="1093">
        <v>22</v>
      </c>
      <c r="I159" s="1093" t="s">
        <v>36</v>
      </c>
      <c r="J159" s="1093" t="s">
        <v>36</v>
      </c>
      <c r="K159" s="1093" t="s">
        <v>36</v>
      </c>
      <c r="L159" s="1093" t="s">
        <v>36</v>
      </c>
      <c r="M159" s="1093" t="s">
        <v>36</v>
      </c>
      <c r="N159" s="865"/>
      <c r="O159" s="865"/>
      <c r="P159" s="1092">
        <v>23</v>
      </c>
      <c r="Q159" s="863">
        <v>23</v>
      </c>
      <c r="R159" s="863">
        <v>23</v>
      </c>
      <c r="S159" s="1092">
        <v>23</v>
      </c>
      <c r="T159" s="863">
        <v>23</v>
      </c>
      <c r="U159" s="2622">
        <v>23</v>
      </c>
      <c r="V159" s="1273">
        <v>23</v>
      </c>
      <c r="W159" s="863" t="s">
        <v>36</v>
      </c>
      <c r="X159" s="863" t="s">
        <v>36</v>
      </c>
      <c r="Y159" s="863" t="s">
        <v>36</v>
      </c>
      <c r="Z159" s="863" t="s">
        <v>36</v>
      </c>
      <c r="AA159" s="863" t="s">
        <v>36</v>
      </c>
      <c r="AB159" s="865"/>
      <c r="AC159" s="865"/>
      <c r="AD159" s="2623">
        <v>21</v>
      </c>
      <c r="AE159" s="866">
        <v>21</v>
      </c>
      <c r="AF159" s="866">
        <v>21</v>
      </c>
      <c r="AG159" s="1094"/>
      <c r="AH159" s="107"/>
      <c r="AI159" s="107"/>
    </row>
    <row r="160" spans="1:35" ht="22.35" customHeight="1" x14ac:dyDescent="0.2">
      <c r="A160" s="200"/>
      <c r="B160" s="198"/>
      <c r="C160" s="199"/>
      <c r="D160" s="199"/>
      <c r="E160" s="216"/>
      <c r="F160" s="199"/>
      <c r="G160" s="199"/>
      <c r="H160" s="221"/>
      <c r="I160" s="221"/>
      <c r="J160" s="221"/>
      <c r="K160" s="221"/>
      <c r="L160" s="221"/>
      <c r="M160" s="221"/>
      <c r="N160" s="192"/>
      <c r="O160" s="192"/>
      <c r="P160" s="216"/>
      <c r="Q160" s="199"/>
      <c r="R160" s="199"/>
      <c r="S160" s="216"/>
      <c r="T160" s="199"/>
      <c r="U160" s="199"/>
      <c r="V160" s="199"/>
      <c r="W160" s="199"/>
      <c r="X160" s="199"/>
      <c r="Y160" s="199"/>
      <c r="Z160" s="199"/>
      <c r="AA160" s="199"/>
      <c r="AB160" s="192"/>
      <c r="AC160" s="192"/>
      <c r="AD160" s="216"/>
      <c r="AE160" s="199"/>
      <c r="AF160" s="199"/>
      <c r="AG160" s="216"/>
      <c r="AH160" s="107"/>
      <c r="AI160" s="107"/>
    </row>
    <row r="161" spans="1:35" ht="22.35" customHeight="1" x14ac:dyDescent="0.2">
      <c r="A161" s="109"/>
      <c r="B161" s="110"/>
      <c r="C161" s="183"/>
      <c r="D161" s="183"/>
      <c r="E161" s="168"/>
      <c r="F161" s="183"/>
      <c r="G161" s="183"/>
      <c r="H161" s="183"/>
      <c r="I161" s="183"/>
      <c r="J161" s="183"/>
      <c r="K161" s="183"/>
      <c r="L161" s="183"/>
      <c r="M161" s="183"/>
      <c r="N161" s="183"/>
      <c r="O161" s="183"/>
      <c r="P161" s="168"/>
      <c r="Q161" s="183"/>
      <c r="R161" s="183"/>
      <c r="S161" s="168"/>
      <c r="T161" s="183"/>
      <c r="U161" s="183"/>
      <c r="V161" s="183"/>
      <c r="W161" s="183"/>
      <c r="X161" s="183"/>
      <c r="Y161" s="183"/>
      <c r="Z161" s="183"/>
      <c r="AA161" s="183"/>
      <c r="AB161" s="183"/>
      <c r="AC161" s="184"/>
      <c r="AD161" s="184"/>
      <c r="AE161" s="184"/>
      <c r="AF161" s="183"/>
      <c r="AG161" s="168"/>
      <c r="AH161" s="107"/>
      <c r="AI161" s="107"/>
    </row>
    <row r="162" spans="1:35" ht="22.35" customHeight="1" thickBot="1" x14ac:dyDescent="0.25">
      <c r="A162" s="158" t="s">
        <v>219</v>
      </c>
      <c r="D162" s="72"/>
      <c r="E162" s="72"/>
      <c r="F162" s="72"/>
      <c r="G162" s="105"/>
      <c r="H162" s="72"/>
      <c r="I162" s="72"/>
      <c r="J162" s="72"/>
      <c r="K162" s="72"/>
      <c r="L162" s="72"/>
      <c r="M162" s="72"/>
      <c r="N162" s="72"/>
      <c r="O162" s="72"/>
      <c r="P162" s="72"/>
      <c r="Q162" s="72"/>
      <c r="R162" s="72"/>
      <c r="S162" s="72"/>
      <c r="T162" s="72"/>
      <c r="U162" s="72"/>
      <c r="V162" s="72"/>
      <c r="W162" s="72"/>
      <c r="X162" s="72"/>
      <c r="Y162" s="72"/>
      <c r="Z162" s="72"/>
      <c r="AA162" s="72"/>
      <c r="AB162" s="72"/>
      <c r="AC162" s="72"/>
      <c r="AD162" s="72"/>
      <c r="AE162" s="72"/>
      <c r="AF162" s="72"/>
      <c r="AG162" s="72"/>
    </row>
    <row r="163" spans="1:35" ht="22.35" customHeight="1" x14ac:dyDescent="0.2">
      <c r="A163" s="1"/>
      <c r="B163" s="2545" t="s">
        <v>186</v>
      </c>
      <c r="C163" s="2525"/>
      <c r="D163" s="2569" t="s">
        <v>107</v>
      </c>
      <c r="E163" s="2426"/>
      <c r="F163" s="2518"/>
      <c r="G163" s="2525"/>
      <c r="H163" s="2569" t="s">
        <v>108</v>
      </c>
      <c r="I163" s="2426"/>
      <c r="J163" s="2518"/>
      <c r="K163" s="2525"/>
      <c r="L163" s="2569" t="s">
        <v>109</v>
      </c>
      <c r="M163" s="2426"/>
      <c r="N163" s="2518"/>
      <c r="O163" s="2525"/>
      <c r="P163" s="2569" t="s">
        <v>110</v>
      </c>
      <c r="Q163" s="2426"/>
      <c r="R163" s="2518"/>
      <c r="S163" s="2525"/>
      <c r="T163" s="2569" t="s">
        <v>111</v>
      </c>
      <c r="U163" s="2426"/>
      <c r="V163" s="2518"/>
      <c r="W163" s="2525"/>
      <c r="X163" s="2569" t="s">
        <v>112</v>
      </c>
      <c r="Y163" s="2426"/>
      <c r="Z163" s="2518"/>
      <c r="AA163" s="2525"/>
      <c r="AB163" s="2569" t="s">
        <v>113</v>
      </c>
      <c r="AC163" s="2426"/>
      <c r="AD163" s="2426"/>
      <c r="AE163" s="2572" t="s">
        <v>114</v>
      </c>
      <c r="AF163" s="2426"/>
      <c r="AG163" s="2426"/>
      <c r="AH163" s="2426"/>
      <c r="AI163" s="2427"/>
    </row>
    <row r="164" spans="1:35" ht="22.35" customHeight="1" x14ac:dyDescent="0.2">
      <c r="A164" s="1"/>
      <c r="B164" s="2574" t="s">
        <v>159</v>
      </c>
      <c r="C164" s="640" t="s">
        <v>187</v>
      </c>
      <c r="D164" s="425"/>
      <c r="E164" s="425"/>
      <c r="F164" s="2577"/>
      <c r="G164" s="640" t="s">
        <v>187</v>
      </c>
      <c r="H164" s="425"/>
      <c r="I164" s="425"/>
      <c r="J164" s="2577"/>
      <c r="K164" s="640" t="s">
        <v>187</v>
      </c>
      <c r="L164" s="425"/>
      <c r="M164" s="425"/>
      <c r="N164" s="2577"/>
      <c r="O164" s="640" t="s">
        <v>220</v>
      </c>
      <c r="P164" s="425"/>
      <c r="Q164" s="425"/>
      <c r="R164" s="2577"/>
      <c r="S164" s="640" t="s">
        <v>171</v>
      </c>
      <c r="T164" s="425"/>
      <c r="U164" s="425"/>
      <c r="V164" s="2577"/>
      <c r="W164" s="2624"/>
      <c r="X164" s="2625"/>
      <c r="Y164" s="2625"/>
      <c r="Z164" s="2579"/>
      <c r="AA164" s="2575"/>
      <c r="AB164" s="425"/>
      <c r="AC164" s="425"/>
      <c r="AD164" s="641"/>
      <c r="AE164" s="2580">
        <v>27</v>
      </c>
      <c r="AF164" s="425"/>
      <c r="AG164" s="425"/>
      <c r="AH164" s="641"/>
      <c r="AI164" s="432"/>
    </row>
    <row r="165" spans="1:35" ht="22.35" customHeight="1" x14ac:dyDescent="0.2">
      <c r="A165" s="1"/>
      <c r="B165" s="2574" t="s">
        <v>163</v>
      </c>
      <c r="C165" s="640" t="s">
        <v>221</v>
      </c>
      <c r="D165" s="425"/>
      <c r="E165" s="425"/>
      <c r="F165" s="2577"/>
      <c r="G165" s="640" t="s">
        <v>221</v>
      </c>
      <c r="H165" s="425"/>
      <c r="I165" s="425"/>
      <c r="J165" s="2577"/>
      <c r="K165" s="640" t="s">
        <v>221</v>
      </c>
      <c r="L165" s="425"/>
      <c r="M165" s="425"/>
      <c r="N165" s="2577"/>
      <c r="O165" s="640" t="s">
        <v>221</v>
      </c>
      <c r="P165" s="425"/>
      <c r="Q165" s="425"/>
      <c r="R165" s="2577"/>
      <c r="S165" s="640" t="s">
        <v>187</v>
      </c>
      <c r="T165" s="425"/>
      <c r="U165" s="425"/>
      <c r="V165" s="2577"/>
      <c r="W165" s="640"/>
      <c r="X165" s="425"/>
      <c r="Y165" s="425"/>
      <c r="Z165" s="2577"/>
      <c r="AA165" s="425"/>
      <c r="AB165" s="425"/>
      <c r="AC165" s="425"/>
      <c r="AD165" s="641"/>
      <c r="AE165" s="2580">
        <v>39</v>
      </c>
      <c r="AF165" s="425"/>
      <c r="AG165" s="425"/>
      <c r="AH165" s="641"/>
      <c r="AI165" s="432"/>
    </row>
    <row r="166" spans="1:35" ht="22.35" customHeight="1" x14ac:dyDescent="0.2">
      <c r="A166" s="1"/>
      <c r="B166" s="2574" t="s">
        <v>170</v>
      </c>
      <c r="C166" s="640" t="s">
        <v>221</v>
      </c>
      <c r="D166" s="425"/>
      <c r="E166" s="425"/>
      <c r="F166" s="2577"/>
      <c r="G166" s="640" t="s">
        <v>221</v>
      </c>
      <c r="H166" s="425"/>
      <c r="I166" s="425"/>
      <c r="J166" s="2577"/>
      <c r="K166" s="640" t="s">
        <v>221</v>
      </c>
      <c r="L166" s="425"/>
      <c r="M166" s="425"/>
      <c r="N166" s="2577"/>
      <c r="O166" s="640" t="s">
        <v>221</v>
      </c>
      <c r="P166" s="425"/>
      <c r="Q166" s="425"/>
      <c r="R166" s="2577"/>
      <c r="S166" s="640" t="s">
        <v>221</v>
      </c>
      <c r="T166" s="425"/>
      <c r="U166" s="425"/>
      <c r="V166" s="2577"/>
      <c r="W166" s="2259" t="s">
        <v>222</v>
      </c>
      <c r="X166" s="2162"/>
      <c r="Y166" s="2162"/>
      <c r="Z166" s="2584"/>
      <c r="AA166" s="2582"/>
      <c r="AB166" s="2162"/>
      <c r="AC166" s="2162"/>
      <c r="AD166" s="2260"/>
      <c r="AE166" s="2580">
        <v>45</v>
      </c>
      <c r="AF166" s="425"/>
      <c r="AG166" s="425"/>
      <c r="AH166" s="641"/>
      <c r="AI166" s="432"/>
    </row>
    <row r="167" spans="1:35" ht="22.35" customHeight="1" thickBot="1" x14ac:dyDescent="0.25">
      <c r="A167" s="1"/>
      <c r="B167" s="223" t="s">
        <v>172</v>
      </c>
      <c r="C167" s="2612"/>
      <c r="D167" s="734"/>
      <c r="E167" s="734"/>
      <c r="F167" s="2614"/>
      <c r="G167" s="2612"/>
      <c r="H167" s="734"/>
      <c r="I167" s="734"/>
      <c r="J167" s="2614"/>
      <c r="K167" s="2612"/>
      <c r="L167" s="734"/>
      <c r="M167" s="734"/>
      <c r="N167" s="2614"/>
      <c r="O167" s="2612"/>
      <c r="P167" s="734"/>
      <c r="Q167" s="734"/>
      <c r="R167" s="2614"/>
      <c r="S167" s="2612"/>
      <c r="T167" s="734"/>
      <c r="U167" s="734"/>
      <c r="V167" s="2594"/>
      <c r="W167" s="2612"/>
      <c r="X167" s="2594"/>
      <c r="Y167" s="734"/>
      <c r="Z167" s="2614"/>
      <c r="AA167" s="2612"/>
      <c r="AB167" s="2594"/>
      <c r="AC167" s="734"/>
      <c r="AD167" s="2614"/>
      <c r="AE167" s="2626"/>
      <c r="AF167" s="734"/>
      <c r="AG167" s="734"/>
      <c r="AH167" s="2594"/>
      <c r="AI167" s="894"/>
    </row>
    <row r="168" spans="1:35" ht="22.35" customHeight="1" x14ac:dyDescent="0.2">
      <c r="A168" s="108"/>
      <c r="B168" s="1"/>
      <c r="C168" s="72"/>
      <c r="D168" s="72"/>
      <c r="E168" s="72"/>
      <c r="F168" s="72"/>
      <c r="G168" s="72"/>
      <c r="H168" s="72"/>
      <c r="I168" s="72"/>
      <c r="J168" s="72"/>
      <c r="K168" s="72"/>
      <c r="L168" s="72"/>
      <c r="M168" s="72"/>
      <c r="N168" s="72"/>
      <c r="O168" s="72"/>
      <c r="P168" s="72"/>
      <c r="Q168" s="72"/>
      <c r="R168" s="72"/>
      <c r="S168" s="72"/>
      <c r="T168" s="72"/>
      <c r="U168" s="72"/>
      <c r="V168" s="72"/>
      <c r="W168" s="72"/>
      <c r="X168" s="72"/>
      <c r="Y168" s="72"/>
      <c r="Z168" s="72"/>
      <c r="AA168" s="72"/>
      <c r="AB168" s="72"/>
      <c r="AC168" s="72"/>
      <c r="AD168" s="72"/>
      <c r="AE168" s="72"/>
      <c r="AF168" s="72"/>
      <c r="AG168" s="72"/>
    </row>
    <row r="169" spans="1:35" ht="22.35" customHeight="1" thickBot="1" x14ac:dyDescent="0.25">
      <c r="A169" s="2564"/>
      <c r="B169" s="633" t="s">
        <v>29</v>
      </c>
      <c r="C169" s="2475">
        <v>1</v>
      </c>
      <c r="D169" s="2475">
        <v>2</v>
      </c>
      <c r="E169" s="2475">
        <v>3</v>
      </c>
      <c r="F169" s="2475">
        <v>4</v>
      </c>
      <c r="G169" s="2476">
        <v>5</v>
      </c>
      <c r="H169" s="2476">
        <v>6</v>
      </c>
      <c r="I169" s="2475">
        <v>7</v>
      </c>
      <c r="J169" s="2475">
        <v>8</v>
      </c>
      <c r="K169" s="2475">
        <v>9</v>
      </c>
      <c r="L169" s="2475">
        <v>10</v>
      </c>
      <c r="M169" s="2475">
        <v>11</v>
      </c>
      <c r="N169" s="2476">
        <v>12</v>
      </c>
      <c r="O169" s="2476">
        <v>13</v>
      </c>
      <c r="P169" s="2475">
        <v>14</v>
      </c>
      <c r="Q169" s="2475">
        <v>15</v>
      </c>
      <c r="R169" s="2475">
        <v>16</v>
      </c>
      <c r="S169" s="2475">
        <v>17</v>
      </c>
      <c r="T169" s="2475">
        <v>18</v>
      </c>
      <c r="U169" s="2476">
        <v>19</v>
      </c>
      <c r="V169" s="2476">
        <v>20</v>
      </c>
      <c r="W169" s="2475">
        <v>21</v>
      </c>
      <c r="X169" s="2475">
        <v>22</v>
      </c>
      <c r="Y169" s="2475">
        <v>23</v>
      </c>
      <c r="Z169" s="2475">
        <v>24</v>
      </c>
      <c r="AA169" s="2475">
        <v>25</v>
      </c>
      <c r="AB169" s="2476">
        <v>26</v>
      </c>
      <c r="AC169" s="2476">
        <v>27</v>
      </c>
      <c r="AD169" s="2475">
        <v>28</v>
      </c>
      <c r="AE169" s="2475">
        <v>29</v>
      </c>
      <c r="AF169" s="2475">
        <v>30</v>
      </c>
      <c r="AG169" s="2477"/>
      <c r="AH169" s="173"/>
      <c r="AI169" s="174"/>
    </row>
    <row r="170" spans="1:35" ht="22.35" customHeight="1" thickBot="1" x14ac:dyDescent="0.25">
      <c r="A170" s="2533">
        <v>1</v>
      </c>
      <c r="B170" s="2627" t="s">
        <v>223</v>
      </c>
      <c r="C170" s="2628" t="s">
        <v>32</v>
      </c>
      <c r="D170" s="2617" t="s">
        <v>32</v>
      </c>
      <c r="E170" s="2617" t="s">
        <v>32</v>
      </c>
      <c r="F170" s="2617" t="s">
        <v>32</v>
      </c>
      <c r="G170" s="2617"/>
      <c r="H170" s="2629"/>
      <c r="I170" s="2630" t="s">
        <v>32</v>
      </c>
      <c r="J170" s="2617" t="s">
        <v>32</v>
      </c>
      <c r="K170" s="2617" t="s">
        <v>32</v>
      </c>
      <c r="L170" s="2617" t="s">
        <v>32</v>
      </c>
      <c r="M170" s="2631" t="s">
        <v>32</v>
      </c>
      <c r="N170" s="2617"/>
      <c r="O170" s="2617"/>
      <c r="P170" s="2632" t="s">
        <v>32</v>
      </c>
      <c r="Q170" s="2617" t="s">
        <v>32</v>
      </c>
      <c r="R170" s="2617" t="s">
        <v>32</v>
      </c>
      <c r="S170" s="2617" t="s">
        <v>32</v>
      </c>
      <c r="T170" s="2618" t="s">
        <v>32</v>
      </c>
      <c r="U170" s="2617"/>
      <c r="V170" s="2618"/>
      <c r="W170" s="2618" t="s">
        <v>32</v>
      </c>
      <c r="X170" s="2618" t="s">
        <v>32</v>
      </c>
      <c r="Y170" s="2617" t="s">
        <v>32</v>
      </c>
      <c r="Z170" s="2617" t="s">
        <v>32</v>
      </c>
      <c r="AA170" s="2617" t="s">
        <v>32</v>
      </c>
      <c r="AB170" s="2617"/>
      <c r="AC170" s="2617"/>
      <c r="AD170" s="2628" t="s">
        <v>32</v>
      </c>
      <c r="AE170" s="2617" t="s">
        <v>32</v>
      </c>
      <c r="AF170" s="2631" t="s">
        <v>32</v>
      </c>
      <c r="AG170" s="2621"/>
      <c r="AH170" s="203"/>
      <c r="AI170" s="179"/>
    </row>
    <row r="171" spans="1:35" ht="22.35" customHeight="1" x14ac:dyDescent="0.2">
      <c r="A171" s="2535">
        <v>2</v>
      </c>
      <c r="B171" s="2633" t="s">
        <v>224</v>
      </c>
      <c r="C171" s="2506" t="s">
        <v>226</v>
      </c>
      <c r="D171" s="2506" t="s">
        <v>226</v>
      </c>
      <c r="E171" s="2506" t="s">
        <v>226</v>
      </c>
      <c r="F171" s="2506" t="s">
        <v>36</v>
      </c>
      <c r="G171" s="2506"/>
      <c r="H171" s="2511"/>
      <c r="I171" s="2506" t="s">
        <v>225</v>
      </c>
      <c r="J171" s="2506" t="s">
        <v>225</v>
      </c>
      <c r="K171" s="2506" t="s">
        <v>225</v>
      </c>
      <c r="L171" s="2506" t="s">
        <v>225</v>
      </c>
      <c r="M171" s="2506" t="s">
        <v>225</v>
      </c>
      <c r="N171" s="2506"/>
      <c r="O171" s="2506"/>
      <c r="P171" s="2506" t="s">
        <v>154</v>
      </c>
      <c r="Q171" s="2506" t="s">
        <v>154</v>
      </c>
      <c r="R171" s="2506" t="s">
        <v>154</v>
      </c>
      <c r="S171" s="2506" t="s">
        <v>154</v>
      </c>
      <c r="T171" s="2634" t="s">
        <v>154</v>
      </c>
      <c r="U171" s="2506" t="s">
        <v>154</v>
      </c>
      <c r="V171" s="2506"/>
      <c r="W171" s="2506" t="s">
        <v>226</v>
      </c>
      <c r="X171" s="2506" t="s">
        <v>226</v>
      </c>
      <c r="Y171" s="2506" t="s">
        <v>226</v>
      </c>
      <c r="Z171" s="2506" t="s">
        <v>226</v>
      </c>
      <c r="AA171" s="2507" t="s">
        <v>36</v>
      </c>
      <c r="AB171" s="2635"/>
      <c r="AC171" s="2635"/>
      <c r="AD171" s="2506" t="s">
        <v>225</v>
      </c>
      <c r="AE171" s="2506" t="s">
        <v>225</v>
      </c>
      <c r="AF171" s="2506" t="s">
        <v>225</v>
      </c>
      <c r="AG171" s="613"/>
      <c r="AH171" s="203"/>
      <c r="AI171" s="179"/>
    </row>
    <row r="172" spans="1:35" ht="22.35" customHeight="1" x14ac:dyDescent="0.2">
      <c r="A172" s="2535">
        <v>3</v>
      </c>
      <c r="B172" s="2636" t="s">
        <v>365</v>
      </c>
      <c r="C172" s="2637" t="s">
        <v>225</v>
      </c>
      <c r="D172" s="2506" t="s">
        <v>225</v>
      </c>
      <c r="E172" s="2506" t="s">
        <v>225</v>
      </c>
      <c r="F172" s="2506" t="s">
        <v>225</v>
      </c>
      <c r="G172" s="2506"/>
      <c r="H172" s="2506"/>
      <c r="I172" s="2638" t="s">
        <v>154</v>
      </c>
      <c r="J172" s="2638" t="s">
        <v>154</v>
      </c>
      <c r="K172" s="2638" t="s">
        <v>154</v>
      </c>
      <c r="L172" s="2638" t="s">
        <v>154</v>
      </c>
      <c r="M172" s="2639" t="s">
        <v>154</v>
      </c>
      <c r="N172" s="2638" t="s">
        <v>154</v>
      </c>
      <c r="O172" s="2638"/>
      <c r="P172" s="2506" t="s">
        <v>226</v>
      </c>
      <c r="Q172" s="2506" t="s">
        <v>226</v>
      </c>
      <c r="R172" s="2506" t="s">
        <v>226</v>
      </c>
      <c r="S172" s="2506" t="s">
        <v>226</v>
      </c>
      <c r="T172" s="2506" t="s">
        <v>36</v>
      </c>
      <c r="U172" s="2506"/>
      <c r="V172" s="2506"/>
      <c r="W172" s="2638" t="s">
        <v>225</v>
      </c>
      <c r="X172" s="2638" t="s">
        <v>225</v>
      </c>
      <c r="Y172" s="2638" t="s">
        <v>225</v>
      </c>
      <c r="Z172" s="2638" t="s">
        <v>225</v>
      </c>
      <c r="AA172" s="2638" t="s">
        <v>225</v>
      </c>
      <c r="AB172" s="2638"/>
      <c r="AC172" s="2638"/>
      <c r="AD172" s="2638" t="s">
        <v>154</v>
      </c>
      <c r="AE172" s="2638" t="s">
        <v>154</v>
      </c>
      <c r="AF172" s="2638" t="s">
        <v>154</v>
      </c>
      <c r="AG172" s="613"/>
      <c r="AH172" s="203"/>
      <c r="AI172" s="179"/>
    </row>
    <row r="173" spans="1:35" ht="22.35" customHeight="1" x14ac:dyDescent="0.2">
      <c r="A173" s="2535">
        <v>4</v>
      </c>
      <c r="B173" s="2636" t="s">
        <v>228</v>
      </c>
      <c r="C173" s="2506" t="s">
        <v>229</v>
      </c>
      <c r="D173" s="2506"/>
      <c r="E173" s="2506"/>
      <c r="F173" s="2640" t="s">
        <v>32</v>
      </c>
      <c r="G173" s="2506" t="s">
        <v>154</v>
      </c>
      <c r="H173" s="2506"/>
      <c r="I173" s="2506"/>
      <c r="J173" s="2506" t="s">
        <v>229</v>
      </c>
      <c r="K173" s="2506" t="s">
        <v>32</v>
      </c>
      <c r="L173" s="2506"/>
      <c r="M173" s="2640" t="s">
        <v>32</v>
      </c>
      <c r="N173" s="2506"/>
      <c r="O173" s="2506"/>
      <c r="P173" s="2506"/>
      <c r="Q173" s="2506" t="s">
        <v>229</v>
      </c>
      <c r="R173" s="2506" t="s">
        <v>32</v>
      </c>
      <c r="S173" s="2506"/>
      <c r="T173" s="2640" t="s">
        <v>32</v>
      </c>
      <c r="U173" s="2641"/>
      <c r="V173" s="2641"/>
      <c r="W173" s="2503"/>
      <c r="X173" s="2503" t="s">
        <v>229</v>
      </c>
      <c r="Y173" s="2503"/>
      <c r="Z173" s="2503"/>
      <c r="AA173" s="2641" t="s">
        <v>32</v>
      </c>
      <c r="AB173" s="2642" t="s">
        <v>154</v>
      </c>
      <c r="AC173" s="2503"/>
      <c r="AD173" s="2503"/>
      <c r="AE173" s="2503" t="s">
        <v>229</v>
      </c>
      <c r="AF173" s="2503" t="s">
        <v>32</v>
      </c>
      <c r="AG173" s="613"/>
      <c r="AH173" s="203"/>
      <c r="AI173" s="179"/>
    </row>
    <row r="174" spans="1:35" ht="22.35" customHeight="1" x14ac:dyDescent="0.2">
      <c r="A174" s="2535">
        <v>5</v>
      </c>
      <c r="B174" s="2636" t="s">
        <v>230</v>
      </c>
      <c r="C174" s="2506"/>
      <c r="D174" s="2506"/>
      <c r="E174" s="2640" t="s">
        <v>32</v>
      </c>
      <c r="F174" s="2506"/>
      <c r="G174" s="2506"/>
      <c r="H174" s="2506"/>
      <c r="I174" s="2506" t="s">
        <v>229</v>
      </c>
      <c r="J174" s="2506"/>
      <c r="K174" s="2506"/>
      <c r="L174" s="2640" t="s">
        <v>32</v>
      </c>
      <c r="M174" s="2506"/>
      <c r="N174" s="2506"/>
      <c r="O174" s="2506"/>
      <c r="P174" s="2506" t="s">
        <v>229</v>
      </c>
      <c r="Q174" s="2506"/>
      <c r="R174" s="2506"/>
      <c r="S174" s="2640" t="s">
        <v>32</v>
      </c>
      <c r="T174" s="2506"/>
      <c r="U174" s="2506"/>
      <c r="V174" s="2506"/>
      <c r="W174" s="2506" t="s">
        <v>229</v>
      </c>
      <c r="X174" s="2506"/>
      <c r="Y174" s="2506"/>
      <c r="Z174" s="2640" t="s">
        <v>32</v>
      </c>
      <c r="AA174" s="2506"/>
      <c r="AB174" s="2506"/>
      <c r="AC174" s="2506"/>
      <c r="AD174" s="2506" t="s">
        <v>229</v>
      </c>
      <c r="AE174" s="2506"/>
      <c r="AF174" s="2506"/>
      <c r="AG174" s="613"/>
      <c r="AH174" s="203"/>
      <c r="AI174" s="179"/>
    </row>
    <row r="175" spans="1:35" ht="22.35" customHeight="1" x14ac:dyDescent="0.2">
      <c r="A175" s="2535">
        <v>6</v>
      </c>
      <c r="B175" s="2527" t="s">
        <v>231</v>
      </c>
      <c r="C175" s="2506" t="s">
        <v>32</v>
      </c>
      <c r="D175" s="2506" t="s">
        <v>32</v>
      </c>
      <c r="E175" s="2643" t="s">
        <v>32</v>
      </c>
      <c r="F175" s="2642" t="s">
        <v>32</v>
      </c>
      <c r="G175" s="2506"/>
      <c r="H175" s="2511"/>
      <c r="I175" s="2644" t="s">
        <v>32</v>
      </c>
      <c r="J175" s="2644" t="s">
        <v>32</v>
      </c>
      <c r="K175" s="2644" t="s">
        <v>32</v>
      </c>
      <c r="L175" s="2644" t="s">
        <v>51</v>
      </c>
      <c r="M175" s="498" t="s">
        <v>32</v>
      </c>
      <c r="N175" s="2509"/>
      <c r="O175" s="2509"/>
      <c r="P175" s="2506" t="s">
        <v>32</v>
      </c>
      <c r="Q175" s="2506" t="s">
        <v>32</v>
      </c>
      <c r="R175" s="2506" t="s">
        <v>32</v>
      </c>
      <c r="S175" s="2506" t="s">
        <v>32</v>
      </c>
      <c r="T175" s="2640" t="s">
        <v>32</v>
      </c>
      <c r="U175" s="2640"/>
      <c r="V175" s="2640"/>
      <c r="W175" s="2640" t="s">
        <v>32</v>
      </c>
      <c r="X175" s="2506" t="s">
        <v>32</v>
      </c>
      <c r="Y175" s="2506" t="s">
        <v>32</v>
      </c>
      <c r="Z175" s="2643" t="s">
        <v>32</v>
      </c>
      <c r="AA175" s="2506" t="s">
        <v>32</v>
      </c>
      <c r="AB175" s="2506"/>
      <c r="AC175" s="2506"/>
      <c r="AD175" s="2645" t="s">
        <v>32</v>
      </c>
      <c r="AE175" s="2643" t="s">
        <v>32</v>
      </c>
      <c r="AF175" s="2506" t="s">
        <v>32</v>
      </c>
      <c r="AG175" s="856"/>
      <c r="AH175" s="191"/>
      <c r="AI175" s="107"/>
    </row>
    <row r="176" spans="1:35" ht="22.35" customHeight="1" thickBot="1" x14ac:dyDescent="0.25">
      <c r="A176" s="2542"/>
      <c r="B176" s="2530"/>
      <c r="C176" s="863"/>
      <c r="D176" s="863"/>
      <c r="E176" s="863"/>
      <c r="F176" s="863"/>
      <c r="G176" s="863"/>
      <c r="H176" s="863"/>
      <c r="I176" s="863"/>
      <c r="J176" s="863"/>
      <c r="K176" s="863"/>
      <c r="L176" s="863"/>
      <c r="M176" s="863"/>
      <c r="N176" s="863"/>
      <c r="O176" s="863"/>
      <c r="P176" s="863"/>
      <c r="Q176" s="863"/>
      <c r="R176" s="863"/>
      <c r="S176" s="863"/>
      <c r="T176" s="863"/>
      <c r="U176" s="863"/>
      <c r="V176" s="863"/>
      <c r="W176" s="863"/>
      <c r="X176" s="863"/>
      <c r="Y176" s="863"/>
      <c r="Z176" s="863"/>
      <c r="AA176" s="863"/>
      <c r="AB176" s="863"/>
      <c r="AC176" s="863"/>
      <c r="AD176" s="863"/>
      <c r="AE176" s="863"/>
      <c r="AF176" s="863"/>
      <c r="AG176" s="867"/>
      <c r="AH176" s="107"/>
      <c r="AI176" s="107"/>
    </row>
    <row r="177" spans="1:36" ht="22.35" customHeight="1" x14ac:dyDescent="0.2">
      <c r="A177" s="200"/>
      <c r="B177" s="198"/>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c r="AA177" s="199"/>
      <c r="AB177" s="199"/>
      <c r="AC177" s="199"/>
      <c r="AD177" s="199"/>
      <c r="AE177" s="199"/>
      <c r="AF177" s="199"/>
      <c r="AG177" s="199"/>
      <c r="AH177" s="107"/>
      <c r="AI177" s="107"/>
    </row>
    <row r="178" spans="1:36" ht="22.35" customHeight="1" x14ac:dyDescent="0.2">
      <c r="A178" s="200"/>
      <c r="B178" s="198"/>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c r="AA178" s="199"/>
      <c r="AB178" s="199"/>
      <c r="AC178" s="199"/>
      <c r="AD178" s="199"/>
      <c r="AE178" s="199"/>
      <c r="AF178" s="199"/>
      <c r="AG178" s="199"/>
      <c r="AH178" s="107"/>
      <c r="AI178" s="107"/>
    </row>
    <row r="179" spans="1:36" ht="22.35" customHeight="1" thickBot="1" x14ac:dyDescent="0.25">
      <c r="A179" s="148" t="s">
        <v>232</v>
      </c>
      <c r="B179" s="72"/>
      <c r="C179" s="106"/>
      <c r="D179" s="72"/>
      <c r="E179" s="72"/>
      <c r="F179" s="106"/>
      <c r="G179" s="72"/>
      <c r="H179" s="72"/>
      <c r="I179" s="106"/>
      <c r="J179" s="106"/>
      <c r="K179" s="72"/>
      <c r="L179" s="106"/>
      <c r="M179" s="72"/>
      <c r="N179" s="72"/>
      <c r="O179" s="106"/>
      <c r="P179" s="72"/>
      <c r="Q179" s="106"/>
      <c r="R179" s="106"/>
      <c r="S179" s="72"/>
      <c r="T179" s="72"/>
      <c r="U179" s="106"/>
      <c r="V179" s="72"/>
      <c r="W179" s="106"/>
      <c r="X179" s="106"/>
      <c r="Y179" s="72"/>
      <c r="Z179" s="72"/>
      <c r="AA179" s="72"/>
      <c r="AB179" s="72"/>
      <c r="AC179" s="72"/>
      <c r="AD179" s="72"/>
      <c r="AE179" s="106"/>
      <c r="AF179" s="72"/>
      <c r="AG179" s="72"/>
      <c r="AH179" s="107"/>
      <c r="AI179" s="107"/>
    </row>
    <row r="180" spans="1:36" ht="22.35" customHeight="1" x14ac:dyDescent="0.2">
      <c r="A180" s="109"/>
      <c r="B180" s="714" t="s">
        <v>233</v>
      </c>
      <c r="C180" s="715"/>
      <c r="D180" s="361" t="s">
        <v>107</v>
      </c>
      <c r="E180" s="362"/>
      <c r="F180" s="1747"/>
      <c r="G180" s="716"/>
      <c r="H180" s="361" t="s">
        <v>108</v>
      </c>
      <c r="I180" s="362"/>
      <c r="J180" s="1747"/>
      <c r="K180" s="716"/>
      <c r="L180" s="361" t="s">
        <v>109</v>
      </c>
      <c r="M180" s="362"/>
      <c r="N180" s="1747"/>
      <c r="O180" s="716"/>
      <c r="P180" s="361" t="s">
        <v>110</v>
      </c>
      <c r="Q180" s="362"/>
      <c r="R180" s="1747"/>
      <c r="S180" s="716"/>
      <c r="T180" s="361" t="s">
        <v>111</v>
      </c>
      <c r="U180" s="362"/>
      <c r="V180" s="1747"/>
      <c r="W180" s="716"/>
      <c r="X180" s="361" t="s">
        <v>112</v>
      </c>
      <c r="Y180" s="362"/>
      <c r="Z180" s="1747"/>
      <c r="AA180" s="716"/>
      <c r="AB180" s="361" t="s">
        <v>113</v>
      </c>
      <c r="AC180" s="362"/>
      <c r="AD180" s="362"/>
      <c r="AE180" s="717" t="s">
        <v>114</v>
      </c>
      <c r="AF180" s="362"/>
      <c r="AG180" s="362"/>
      <c r="AH180" s="362"/>
      <c r="AI180" s="718"/>
    </row>
    <row r="181" spans="1:36" ht="22.35" customHeight="1" x14ac:dyDescent="0.2">
      <c r="A181" s="109"/>
      <c r="B181" s="2646" t="s">
        <v>234</v>
      </c>
      <c r="C181" s="2647" t="s">
        <v>235</v>
      </c>
      <c r="D181" s="379" t="s">
        <v>236</v>
      </c>
      <c r="E181" s="380"/>
      <c r="F181" s="381"/>
      <c r="G181" s="2648"/>
      <c r="H181" s="379" t="s">
        <v>236</v>
      </c>
      <c r="I181" s="380"/>
      <c r="J181" s="381"/>
      <c r="K181" s="2648"/>
      <c r="L181" s="379" t="s">
        <v>236</v>
      </c>
      <c r="M181" s="380"/>
      <c r="N181" s="381"/>
      <c r="O181" s="2648"/>
      <c r="P181" s="379" t="s">
        <v>237</v>
      </c>
      <c r="Q181" s="380"/>
      <c r="R181" s="381"/>
      <c r="S181" s="2648"/>
      <c r="T181" s="379" t="s">
        <v>238</v>
      </c>
      <c r="U181" s="381"/>
      <c r="V181" s="381"/>
      <c r="W181" s="2649"/>
      <c r="X181" s="382"/>
      <c r="Y181" s="382"/>
      <c r="Z181" s="383"/>
      <c r="AA181" s="2649"/>
      <c r="AB181" s="382"/>
      <c r="AC181" s="382"/>
      <c r="AD181" s="382"/>
      <c r="AE181" s="2649"/>
      <c r="AF181" s="382"/>
      <c r="AG181" s="382"/>
      <c r="AH181" s="384"/>
      <c r="AI181" s="2650"/>
    </row>
    <row r="182" spans="1:36" ht="22.35" customHeight="1" x14ac:dyDescent="0.2">
      <c r="A182" s="109"/>
      <c r="B182" s="2646" t="s">
        <v>234</v>
      </c>
      <c r="C182" s="2647" t="s">
        <v>239</v>
      </c>
      <c r="D182" s="379" t="s">
        <v>236</v>
      </c>
      <c r="E182" s="380"/>
      <c r="F182" s="381"/>
      <c r="G182" s="2648"/>
      <c r="H182" s="379" t="s">
        <v>236</v>
      </c>
      <c r="I182" s="380"/>
      <c r="J182" s="381"/>
      <c r="K182" s="2648"/>
      <c r="L182" s="379" t="s">
        <v>236</v>
      </c>
      <c r="M182" s="380"/>
      <c r="N182" s="381"/>
      <c r="O182" s="2648"/>
      <c r="P182" s="379" t="s">
        <v>237</v>
      </c>
      <c r="Q182" s="380"/>
      <c r="R182" s="381"/>
      <c r="S182" s="2648"/>
      <c r="T182" s="379" t="s">
        <v>238</v>
      </c>
      <c r="U182" s="381"/>
      <c r="V182" s="381"/>
      <c r="W182" s="2649"/>
      <c r="X182" s="382"/>
      <c r="Y182" s="382"/>
      <c r="Z182" s="383"/>
      <c r="AA182" s="2649"/>
      <c r="AB182" s="382"/>
      <c r="AC182" s="382"/>
      <c r="AD182" s="382"/>
      <c r="AE182" s="2649"/>
      <c r="AF182" s="382"/>
      <c r="AG182" s="382"/>
      <c r="AH182" s="384"/>
      <c r="AI182" s="2650"/>
    </row>
    <row r="183" spans="1:36" ht="22.35" customHeight="1" x14ac:dyDescent="0.2">
      <c r="A183" s="109"/>
      <c r="B183" s="2646" t="s">
        <v>240</v>
      </c>
      <c r="C183" s="2647" t="s">
        <v>50</v>
      </c>
      <c r="D183" s="379" t="s">
        <v>236</v>
      </c>
      <c r="E183" s="380"/>
      <c r="F183" s="381"/>
      <c r="G183" s="2648"/>
      <c r="H183" s="379" t="s">
        <v>236</v>
      </c>
      <c r="I183" s="380"/>
      <c r="J183" s="381"/>
      <c r="K183" s="2648"/>
      <c r="L183" s="379" t="s">
        <v>236</v>
      </c>
      <c r="M183" s="380"/>
      <c r="N183" s="381"/>
      <c r="O183" s="2648"/>
      <c r="P183" s="379" t="s">
        <v>453</v>
      </c>
      <c r="Q183" s="380"/>
      <c r="R183" s="381"/>
      <c r="S183" s="2648"/>
      <c r="T183" s="379" t="s">
        <v>238</v>
      </c>
      <c r="U183" s="381"/>
      <c r="V183" s="381"/>
      <c r="W183" s="2649"/>
      <c r="X183" s="382"/>
      <c r="Y183" s="382"/>
      <c r="Z183" s="383"/>
      <c r="AA183" s="2649"/>
      <c r="AB183" s="382"/>
      <c r="AC183" s="382"/>
      <c r="AD183" s="382"/>
      <c r="AE183" s="2649"/>
      <c r="AF183" s="382"/>
      <c r="AG183" s="382"/>
      <c r="AH183" s="384"/>
      <c r="AI183" s="2650"/>
    </row>
    <row r="184" spans="1:36" ht="22.35" customHeight="1" x14ac:dyDescent="0.2">
      <c r="A184" s="109"/>
      <c r="B184" s="2646" t="s">
        <v>242</v>
      </c>
      <c r="C184" s="2647" t="s">
        <v>243</v>
      </c>
      <c r="D184" s="379" t="s">
        <v>315</v>
      </c>
      <c r="E184" s="380"/>
      <c r="F184" s="381"/>
      <c r="G184" s="2648"/>
      <c r="H184" s="379" t="s">
        <v>315</v>
      </c>
      <c r="I184" s="380"/>
      <c r="J184" s="381"/>
      <c r="K184" s="2648"/>
      <c r="L184" s="379" t="s">
        <v>315</v>
      </c>
      <c r="M184" s="380"/>
      <c r="N184" s="381"/>
      <c r="O184" s="2648"/>
      <c r="P184" s="379" t="s">
        <v>437</v>
      </c>
      <c r="Q184" s="380"/>
      <c r="R184" s="381"/>
      <c r="S184" s="2648"/>
      <c r="T184" s="379" t="s">
        <v>438</v>
      </c>
      <c r="U184" s="381"/>
      <c r="V184" s="381"/>
      <c r="W184" s="2649"/>
      <c r="X184" s="382"/>
      <c r="Y184" s="382"/>
      <c r="Z184" s="383"/>
      <c r="AA184" s="2649"/>
      <c r="AB184" s="382"/>
      <c r="AC184" s="382"/>
      <c r="AD184" s="382"/>
      <c r="AE184" s="2649"/>
      <c r="AF184" s="382"/>
      <c r="AG184" s="382"/>
      <c r="AH184" s="384"/>
      <c r="AI184" s="2650"/>
    </row>
    <row r="185" spans="1:36" ht="22.35" customHeight="1" x14ac:dyDescent="0.2">
      <c r="A185" s="109"/>
      <c r="B185" s="2646" t="s">
        <v>248</v>
      </c>
      <c r="C185" s="2647" t="s">
        <v>249</v>
      </c>
      <c r="D185" s="379" t="s">
        <v>250</v>
      </c>
      <c r="E185" s="380"/>
      <c r="F185" s="381"/>
      <c r="G185" s="2648"/>
      <c r="H185" s="379" t="s">
        <v>250</v>
      </c>
      <c r="I185" s="380"/>
      <c r="J185" s="381"/>
      <c r="K185" s="2648"/>
      <c r="L185" s="379" t="s">
        <v>251</v>
      </c>
      <c r="M185" s="380"/>
      <c r="N185" s="381"/>
      <c r="O185" s="2648"/>
      <c r="P185" s="379" t="s">
        <v>252</v>
      </c>
      <c r="Q185" s="380"/>
      <c r="R185" s="381"/>
      <c r="S185" s="2648"/>
      <c r="T185" s="379" t="s">
        <v>253</v>
      </c>
      <c r="U185" s="381"/>
      <c r="V185" s="381"/>
      <c r="W185" s="2649"/>
      <c r="X185" s="382"/>
      <c r="Y185" s="382"/>
      <c r="Z185" s="383"/>
      <c r="AA185" s="2649"/>
      <c r="AB185" s="382"/>
      <c r="AC185" s="382"/>
      <c r="AD185" s="382"/>
      <c r="AE185" s="2649"/>
      <c r="AF185" s="382"/>
      <c r="AG185" s="382"/>
      <c r="AH185" s="384"/>
      <c r="AI185" s="2650"/>
    </row>
    <row r="186" spans="1:36" ht="22.35" customHeight="1" x14ac:dyDescent="0.2">
      <c r="A186" s="109"/>
      <c r="B186" s="2646" t="s">
        <v>254</v>
      </c>
      <c r="C186" s="2647" t="s">
        <v>142</v>
      </c>
      <c r="D186" s="379" t="s">
        <v>236</v>
      </c>
      <c r="E186" s="380"/>
      <c r="F186" s="381"/>
      <c r="G186" s="2648"/>
      <c r="H186" s="379" t="s">
        <v>236</v>
      </c>
      <c r="I186" s="380"/>
      <c r="J186" s="381"/>
      <c r="K186" s="2648"/>
      <c r="L186" s="379" t="s">
        <v>236</v>
      </c>
      <c r="M186" s="380"/>
      <c r="N186" s="381"/>
      <c r="O186" s="2648"/>
      <c r="P186" s="379" t="s">
        <v>236</v>
      </c>
      <c r="Q186" s="380"/>
      <c r="R186" s="381"/>
      <c r="S186" s="2648"/>
      <c r="T186" s="379" t="s">
        <v>250</v>
      </c>
      <c r="U186" s="381"/>
      <c r="V186" s="381"/>
      <c r="W186" s="2649"/>
      <c r="X186" s="382"/>
      <c r="Y186" s="382"/>
      <c r="Z186" s="383"/>
      <c r="AA186" s="2649"/>
      <c r="AB186" s="382"/>
      <c r="AC186" s="382"/>
      <c r="AD186" s="382"/>
      <c r="AE186" s="2649"/>
      <c r="AF186" s="382"/>
      <c r="AG186" s="382"/>
      <c r="AH186" s="384"/>
      <c r="AI186" s="2650"/>
    </row>
    <row r="187" spans="1:36" ht="22.35" customHeight="1" x14ac:dyDescent="0.2">
      <c r="A187" s="109"/>
      <c r="B187" s="2646" t="s">
        <v>255</v>
      </c>
      <c r="C187" s="2647" t="s">
        <v>134</v>
      </c>
      <c r="D187" s="379" t="s">
        <v>236</v>
      </c>
      <c r="E187" s="380"/>
      <c r="F187" s="381"/>
      <c r="G187" s="2648"/>
      <c r="H187" s="379" t="s">
        <v>236</v>
      </c>
      <c r="I187" s="380"/>
      <c r="J187" s="381"/>
      <c r="K187" s="2648"/>
      <c r="L187" s="379" t="s">
        <v>236</v>
      </c>
      <c r="M187" s="380"/>
      <c r="N187" s="381"/>
      <c r="O187" s="2648"/>
      <c r="P187" s="379" t="s">
        <v>237</v>
      </c>
      <c r="Q187" s="380"/>
      <c r="R187" s="381"/>
      <c r="S187" s="2648"/>
      <c r="T187" s="379" t="s">
        <v>238</v>
      </c>
      <c r="U187" s="381"/>
      <c r="V187" s="381"/>
      <c r="W187" s="2649"/>
      <c r="X187" s="382"/>
      <c r="Y187" s="382"/>
      <c r="Z187" s="383"/>
      <c r="AA187" s="2649"/>
      <c r="AB187" s="382"/>
      <c r="AC187" s="382"/>
      <c r="AD187" s="382"/>
      <c r="AE187" s="2649"/>
      <c r="AF187" s="382"/>
      <c r="AG187" s="382"/>
      <c r="AH187" s="384"/>
      <c r="AI187" s="2650"/>
    </row>
    <row r="188" spans="1:36" ht="22.35" customHeight="1" x14ac:dyDescent="0.2">
      <c r="A188" s="109"/>
      <c r="B188" s="2646" t="s">
        <v>255</v>
      </c>
      <c r="C188" s="2647" t="s">
        <v>176</v>
      </c>
      <c r="D188" s="379" t="s">
        <v>236</v>
      </c>
      <c r="E188" s="380"/>
      <c r="F188" s="381"/>
      <c r="G188" s="2648"/>
      <c r="H188" s="379" t="s">
        <v>236</v>
      </c>
      <c r="I188" s="380"/>
      <c r="J188" s="381"/>
      <c r="K188" s="2648"/>
      <c r="L188" s="379" t="s">
        <v>236</v>
      </c>
      <c r="M188" s="380"/>
      <c r="N188" s="381"/>
      <c r="O188" s="2648"/>
      <c r="P188" s="379" t="s">
        <v>237</v>
      </c>
      <c r="Q188" s="380"/>
      <c r="R188" s="381"/>
      <c r="S188" s="2648"/>
      <c r="T188" s="379" t="s">
        <v>238</v>
      </c>
      <c r="U188" s="381"/>
      <c r="V188" s="381"/>
      <c r="W188" s="2649"/>
      <c r="X188" s="382"/>
      <c r="Y188" s="382"/>
      <c r="Z188" s="383"/>
      <c r="AA188" s="2649"/>
      <c r="AB188" s="382"/>
      <c r="AC188" s="382"/>
      <c r="AD188" s="382"/>
      <c r="AE188" s="2649"/>
      <c r="AF188" s="382"/>
      <c r="AG188" s="382"/>
      <c r="AH188" s="384"/>
      <c r="AI188" s="2650"/>
    </row>
    <row r="189" spans="1:36" ht="22.35" customHeight="1" x14ac:dyDescent="0.2">
      <c r="A189" s="109"/>
      <c r="B189" s="2646" t="s">
        <v>256</v>
      </c>
      <c r="C189" s="2647" t="s">
        <v>257</v>
      </c>
      <c r="D189" s="379" t="s">
        <v>236</v>
      </c>
      <c r="E189" s="380"/>
      <c r="F189" s="381"/>
      <c r="G189" s="2648"/>
      <c r="H189" s="379" t="s">
        <v>236</v>
      </c>
      <c r="I189" s="380"/>
      <c r="J189" s="381"/>
      <c r="K189" s="2648"/>
      <c r="L189" s="379" t="s">
        <v>236</v>
      </c>
      <c r="M189" s="380"/>
      <c r="N189" s="381"/>
      <c r="O189" s="2648"/>
      <c r="P189" s="379" t="s">
        <v>258</v>
      </c>
      <c r="Q189" s="380"/>
      <c r="R189" s="381"/>
      <c r="S189" s="2648"/>
      <c r="T189" s="379" t="s">
        <v>253</v>
      </c>
      <c r="U189" s="381"/>
      <c r="V189" s="381"/>
      <c r="W189" s="2649"/>
      <c r="X189" s="382"/>
      <c r="Y189" s="382"/>
      <c r="Z189" s="383"/>
      <c r="AA189" s="2649"/>
      <c r="AB189" s="382"/>
      <c r="AC189" s="382"/>
      <c r="AD189" s="382"/>
      <c r="AE189" s="2649"/>
      <c r="AF189" s="382"/>
      <c r="AG189" s="382"/>
      <c r="AH189" s="384"/>
      <c r="AI189" s="2650"/>
    </row>
    <row r="190" spans="1:36" ht="22.35" customHeight="1" x14ac:dyDescent="0.2">
      <c r="A190" s="109"/>
      <c r="B190" s="2030" t="s">
        <v>259</v>
      </c>
      <c r="C190" s="2651" t="s">
        <v>95</v>
      </c>
      <c r="D190" s="385" t="s">
        <v>236</v>
      </c>
      <c r="E190" s="386"/>
      <c r="F190" s="387"/>
      <c r="G190" s="2651"/>
      <c r="H190" s="385" t="s">
        <v>236</v>
      </c>
      <c r="I190" s="386"/>
      <c r="J190" s="387"/>
      <c r="K190" s="2651"/>
      <c r="L190" s="385" t="s">
        <v>236</v>
      </c>
      <c r="M190" s="386"/>
      <c r="N190" s="387"/>
      <c r="O190" s="2651"/>
      <c r="P190" s="385" t="s">
        <v>237</v>
      </c>
      <c r="Q190" s="386"/>
      <c r="R190" s="387"/>
      <c r="S190" s="2651"/>
      <c r="T190" s="385" t="s">
        <v>238</v>
      </c>
      <c r="U190" s="387"/>
      <c r="V190" s="388"/>
      <c r="W190" s="2031"/>
      <c r="X190" s="188"/>
      <c r="Y190" s="188"/>
      <c r="Z190" s="388"/>
      <c r="AA190" s="2031"/>
      <c r="AB190" s="188"/>
      <c r="AC190" s="188"/>
      <c r="AD190" s="188"/>
      <c r="AE190" s="2031"/>
      <c r="AF190" s="188"/>
      <c r="AG190" s="188"/>
      <c r="AH190" s="189"/>
      <c r="AI190" s="2032"/>
      <c r="AJ190" s="190"/>
    </row>
    <row r="191" spans="1:36" ht="22.35" customHeight="1" x14ac:dyDescent="0.2">
      <c r="A191" s="109"/>
      <c r="B191" s="2646" t="s">
        <v>260</v>
      </c>
      <c r="C191" s="2647" t="s">
        <v>177</v>
      </c>
      <c r="D191" s="379" t="s">
        <v>236</v>
      </c>
      <c r="E191" s="380"/>
      <c r="F191" s="381"/>
      <c r="G191" s="2648"/>
      <c r="H191" s="379" t="s">
        <v>236</v>
      </c>
      <c r="I191" s="380"/>
      <c r="J191" s="381"/>
      <c r="K191" s="2648"/>
      <c r="L191" s="379" t="s">
        <v>236</v>
      </c>
      <c r="M191" s="380"/>
      <c r="N191" s="381"/>
      <c r="O191" s="2648"/>
      <c r="P191" s="379" t="s">
        <v>237</v>
      </c>
      <c r="Q191" s="380"/>
      <c r="R191" s="381"/>
      <c r="S191" s="2648"/>
      <c r="T191" s="379" t="s">
        <v>238</v>
      </c>
      <c r="U191" s="381"/>
      <c r="V191" s="380"/>
      <c r="W191" s="2649"/>
      <c r="X191" s="382"/>
      <c r="Y191" s="382"/>
      <c r="Z191" s="382"/>
      <c r="AA191" s="2649"/>
      <c r="AB191" s="382"/>
      <c r="AC191" s="382"/>
      <c r="AD191" s="382"/>
      <c r="AE191" s="2649"/>
      <c r="AF191" s="382"/>
      <c r="AG191" s="382"/>
      <c r="AH191" s="384"/>
      <c r="AI191" s="2650"/>
      <c r="AJ191" s="190"/>
    </row>
    <row r="192" spans="1:36" ht="22.35" customHeight="1" x14ac:dyDescent="0.2">
      <c r="A192" s="109"/>
      <c r="B192" s="2646" t="s">
        <v>261</v>
      </c>
      <c r="C192" s="2647" t="s">
        <v>137</v>
      </c>
      <c r="D192" s="379" t="s">
        <v>262</v>
      </c>
      <c r="E192" s="380"/>
      <c r="F192" s="381"/>
      <c r="G192" s="2648"/>
      <c r="H192" s="379" t="s">
        <v>262</v>
      </c>
      <c r="I192" s="380"/>
      <c r="J192" s="381"/>
      <c r="K192" s="2648"/>
      <c r="L192" s="379" t="s">
        <v>262</v>
      </c>
      <c r="M192" s="380"/>
      <c r="N192" s="380"/>
      <c r="O192" s="2648"/>
      <c r="P192" s="379" t="s">
        <v>262</v>
      </c>
      <c r="Q192" s="380"/>
      <c r="R192" s="380"/>
      <c r="S192" s="2648"/>
      <c r="T192" s="379" t="s">
        <v>253</v>
      </c>
      <c r="U192" s="381"/>
      <c r="V192" s="380"/>
      <c r="W192" s="2652"/>
      <c r="X192" s="382"/>
      <c r="Y192" s="382"/>
      <c r="Z192" s="382"/>
      <c r="AA192" s="2649"/>
      <c r="AB192" s="382"/>
      <c r="AC192" s="382"/>
      <c r="AD192" s="382"/>
      <c r="AE192" s="2649"/>
      <c r="AF192" s="382"/>
      <c r="AG192" s="382"/>
      <c r="AH192" s="384"/>
      <c r="AI192" s="2650"/>
      <c r="AJ192" s="190"/>
    </row>
    <row r="193" spans="1:36" ht="22.35" customHeight="1" x14ac:dyDescent="0.2">
      <c r="A193" s="109"/>
      <c r="B193" s="2646" t="s">
        <v>263</v>
      </c>
      <c r="C193" s="2647" t="s">
        <v>264</v>
      </c>
      <c r="D193" s="379" t="s">
        <v>262</v>
      </c>
      <c r="E193" s="380"/>
      <c r="F193" s="381"/>
      <c r="G193" s="2648"/>
      <c r="H193" s="379" t="s">
        <v>262</v>
      </c>
      <c r="I193" s="380"/>
      <c r="J193" s="381"/>
      <c r="K193" s="2648"/>
      <c r="L193" s="379" t="s">
        <v>262</v>
      </c>
      <c r="M193" s="380"/>
      <c r="N193" s="380"/>
      <c r="O193" s="2648"/>
      <c r="P193" s="379" t="s">
        <v>262</v>
      </c>
      <c r="Q193" s="380"/>
      <c r="R193" s="380"/>
      <c r="S193" s="2648"/>
      <c r="T193" s="379" t="s">
        <v>253</v>
      </c>
      <c r="U193" s="381"/>
      <c r="V193" s="380"/>
      <c r="W193" s="2652"/>
      <c r="X193" s="382"/>
      <c r="Y193" s="382"/>
      <c r="Z193" s="383"/>
      <c r="AA193" s="389"/>
      <c r="AB193" s="382"/>
      <c r="AC193" s="382"/>
      <c r="AD193" s="382"/>
      <c r="AE193" s="2649"/>
      <c r="AF193" s="382"/>
      <c r="AG193" s="382"/>
      <c r="AH193" s="384"/>
      <c r="AI193" s="2650"/>
      <c r="AJ193" s="190"/>
    </row>
    <row r="194" spans="1:36" ht="22.35" customHeight="1" thickBot="1" x14ac:dyDescent="0.25">
      <c r="A194" s="109"/>
      <c r="B194" s="1119" t="s">
        <v>265</v>
      </c>
      <c r="C194" s="1120" t="s">
        <v>266</v>
      </c>
      <c r="D194" s="2653" t="s">
        <v>262</v>
      </c>
      <c r="E194" s="2654"/>
      <c r="F194" s="2655"/>
      <c r="G194" s="2656"/>
      <c r="H194" s="2653" t="s">
        <v>262</v>
      </c>
      <c r="I194" s="2654"/>
      <c r="J194" s="2655"/>
      <c r="K194" s="2656"/>
      <c r="L194" s="2653" t="s">
        <v>262</v>
      </c>
      <c r="M194" s="2654"/>
      <c r="N194" s="2654"/>
      <c r="O194" s="2656"/>
      <c r="P194" s="2653" t="s">
        <v>262</v>
      </c>
      <c r="Q194" s="2654"/>
      <c r="R194" s="2654"/>
      <c r="S194" s="2656"/>
      <c r="T194" s="2653" t="s">
        <v>253</v>
      </c>
      <c r="U194" s="2655"/>
      <c r="V194" s="2654"/>
      <c r="W194" s="2657"/>
      <c r="X194" s="2658"/>
      <c r="Y194" s="2658"/>
      <c r="Z194" s="2659"/>
      <c r="AA194" s="2660"/>
      <c r="AB194" s="2658"/>
      <c r="AC194" s="2658"/>
      <c r="AD194" s="2658"/>
      <c r="AE194" s="2661"/>
      <c r="AF194" s="2658"/>
      <c r="AG194" s="2658"/>
      <c r="AH194" s="2662"/>
      <c r="AI194" s="2663"/>
      <c r="AJ194" s="190"/>
    </row>
    <row r="195" spans="1:36" ht="22.35" customHeight="1" x14ac:dyDescent="0.2">
      <c r="A195" s="109"/>
      <c r="B195" s="206"/>
      <c r="C195" s="207"/>
      <c r="D195" s="208"/>
      <c r="E195" s="209"/>
      <c r="F195" s="209"/>
      <c r="G195" s="210"/>
      <c r="H195" s="208"/>
      <c r="I195" s="209"/>
      <c r="J195" s="209"/>
      <c r="K195" s="210"/>
      <c r="L195" s="208"/>
      <c r="M195" s="209"/>
      <c r="N195" s="209"/>
      <c r="O195" s="210"/>
      <c r="P195" s="198"/>
      <c r="Q195" s="209"/>
      <c r="R195" s="209"/>
      <c r="S195" s="210"/>
      <c r="T195" s="198"/>
      <c r="U195" s="209"/>
      <c r="V195" s="209"/>
      <c r="W195" s="209"/>
      <c r="X195" s="209"/>
      <c r="Y195" s="209"/>
      <c r="Z195" s="209"/>
      <c r="AA195" s="210"/>
      <c r="AB195" s="209"/>
      <c r="AC195" s="209"/>
      <c r="AD195" s="209"/>
      <c r="AE195" s="210"/>
      <c r="AF195" s="209"/>
      <c r="AG195" s="209"/>
      <c r="AH195" s="191"/>
      <c r="AI195" s="191"/>
      <c r="AJ195" s="190"/>
    </row>
    <row r="196" spans="1:36" ht="22.35" customHeight="1" thickBot="1" x14ac:dyDescent="0.25">
      <c r="A196" s="147"/>
      <c r="B196" s="390" t="s">
        <v>29</v>
      </c>
      <c r="C196" s="796">
        <v>1</v>
      </c>
      <c r="D196" s="796">
        <v>2</v>
      </c>
      <c r="E196" s="796">
        <v>3</v>
      </c>
      <c r="F196" s="796">
        <v>4</v>
      </c>
      <c r="G196" s="795">
        <v>5</v>
      </c>
      <c r="H196" s="795">
        <v>6</v>
      </c>
      <c r="I196" s="796">
        <v>7</v>
      </c>
      <c r="J196" s="796">
        <v>8</v>
      </c>
      <c r="K196" s="796">
        <v>9</v>
      </c>
      <c r="L196" s="796">
        <v>10</v>
      </c>
      <c r="M196" s="796">
        <v>11</v>
      </c>
      <c r="N196" s="795">
        <v>12</v>
      </c>
      <c r="O196" s="795">
        <v>13</v>
      </c>
      <c r="P196" s="796">
        <v>14</v>
      </c>
      <c r="Q196" s="796">
        <v>15</v>
      </c>
      <c r="R196" s="796">
        <v>16</v>
      </c>
      <c r="S196" s="796">
        <v>17</v>
      </c>
      <c r="T196" s="796">
        <v>18</v>
      </c>
      <c r="U196" s="795">
        <v>19</v>
      </c>
      <c r="V196" s="795">
        <v>20</v>
      </c>
      <c r="W196" s="796">
        <v>21</v>
      </c>
      <c r="X196" s="796">
        <v>22</v>
      </c>
      <c r="Y196" s="796">
        <v>23</v>
      </c>
      <c r="Z196" s="796">
        <v>24</v>
      </c>
      <c r="AA196" s="796">
        <v>25</v>
      </c>
      <c r="AB196" s="795">
        <v>26</v>
      </c>
      <c r="AC196" s="795">
        <v>27</v>
      </c>
      <c r="AD196" s="796">
        <v>28</v>
      </c>
      <c r="AE196" s="796">
        <v>29</v>
      </c>
      <c r="AF196" s="796">
        <v>30</v>
      </c>
      <c r="AG196" s="797"/>
      <c r="AH196" s="180"/>
      <c r="AI196" s="174"/>
    </row>
    <row r="197" spans="1:36" ht="22.35" customHeight="1" x14ac:dyDescent="0.2">
      <c r="A197" s="109"/>
      <c r="B197" s="719" t="s">
        <v>267</v>
      </c>
      <c r="C197" s="2664" t="s">
        <v>239</v>
      </c>
      <c r="D197" s="2665" t="s">
        <v>235</v>
      </c>
      <c r="E197" s="2665" t="s">
        <v>235</v>
      </c>
      <c r="F197" s="2665" t="s">
        <v>235</v>
      </c>
      <c r="G197" s="2665"/>
      <c r="H197" s="2665"/>
      <c r="I197" s="2665" t="s">
        <v>235</v>
      </c>
      <c r="J197" s="2665" t="s">
        <v>235</v>
      </c>
      <c r="K197" s="2665" t="s">
        <v>235</v>
      </c>
      <c r="L197" s="2665" t="s">
        <v>235</v>
      </c>
      <c r="M197" s="2665" t="s">
        <v>235</v>
      </c>
      <c r="N197" s="2665"/>
      <c r="O197" s="2665"/>
      <c r="P197" s="2665" t="s">
        <v>235</v>
      </c>
      <c r="Q197" s="2665" t="s">
        <v>235</v>
      </c>
      <c r="R197" s="2665" t="s">
        <v>235</v>
      </c>
      <c r="S197" s="2665" t="s">
        <v>235</v>
      </c>
      <c r="T197" s="2665" t="s">
        <v>235</v>
      </c>
      <c r="U197" s="2665"/>
      <c r="V197" s="2665"/>
      <c r="W197" s="2665" t="s">
        <v>235</v>
      </c>
      <c r="X197" s="2665" t="s">
        <v>235</v>
      </c>
      <c r="Y197" s="2665" t="s">
        <v>235</v>
      </c>
      <c r="Z197" s="2665" t="s">
        <v>235</v>
      </c>
      <c r="AA197" s="2665" t="s">
        <v>235</v>
      </c>
      <c r="AB197" s="2665"/>
      <c r="AC197" s="2665"/>
      <c r="AD197" s="2665" t="s">
        <v>235</v>
      </c>
      <c r="AE197" s="2665" t="s">
        <v>235</v>
      </c>
      <c r="AF197" s="2665" t="s">
        <v>235</v>
      </c>
      <c r="AG197" s="2665"/>
      <c r="AH197" s="179"/>
      <c r="AI197" s="179"/>
    </row>
    <row r="198" spans="1:36" ht="22.35" customHeight="1" x14ac:dyDescent="0.2">
      <c r="A198" s="109"/>
      <c r="B198" s="2666" t="s">
        <v>268</v>
      </c>
      <c r="C198" s="2664" t="s">
        <v>235</v>
      </c>
      <c r="D198" s="2664" t="s">
        <v>235</v>
      </c>
      <c r="E198" s="2664" t="s">
        <v>235</v>
      </c>
      <c r="F198" s="2664" t="s">
        <v>235</v>
      </c>
      <c r="G198" s="2664"/>
      <c r="H198" s="2667"/>
      <c r="I198" s="2664" t="s">
        <v>235</v>
      </c>
      <c r="J198" s="2664" t="s">
        <v>235</v>
      </c>
      <c r="K198" s="2664" t="s">
        <v>235</v>
      </c>
      <c r="L198" s="2664" t="s">
        <v>235</v>
      </c>
      <c r="M198" s="2664" t="s">
        <v>235</v>
      </c>
      <c r="N198" s="2664"/>
      <c r="O198" s="2664"/>
      <c r="P198" s="2664" t="s">
        <v>235</v>
      </c>
      <c r="Q198" s="2664" t="s">
        <v>235</v>
      </c>
      <c r="R198" s="2664" t="s">
        <v>235</v>
      </c>
      <c r="S198" s="2664" t="s">
        <v>235</v>
      </c>
      <c r="T198" s="2664" t="s">
        <v>235</v>
      </c>
      <c r="U198" s="2664"/>
      <c r="V198" s="2664"/>
      <c r="W198" s="2664" t="s">
        <v>235</v>
      </c>
      <c r="X198" s="2664" t="s">
        <v>235</v>
      </c>
      <c r="Y198" s="2664" t="s">
        <v>235</v>
      </c>
      <c r="Z198" s="2664" t="s">
        <v>235</v>
      </c>
      <c r="AA198" s="2664" t="s">
        <v>235</v>
      </c>
      <c r="AB198" s="2664"/>
      <c r="AC198" s="2664"/>
      <c r="AD198" s="2664" t="s">
        <v>235</v>
      </c>
      <c r="AE198" s="2664" t="s">
        <v>235</v>
      </c>
      <c r="AF198" s="2664" t="s">
        <v>235</v>
      </c>
      <c r="AG198" s="2664"/>
      <c r="AH198" s="179"/>
      <c r="AI198" s="179"/>
    </row>
    <row r="199" spans="1:36" ht="22.35" customHeight="1" x14ac:dyDescent="0.2">
      <c r="A199" s="109"/>
      <c r="B199" s="2666" t="s">
        <v>270</v>
      </c>
      <c r="C199" s="2664" t="s">
        <v>239</v>
      </c>
      <c r="D199" s="2664" t="s">
        <v>235</v>
      </c>
      <c r="E199" s="2664" t="s">
        <v>239</v>
      </c>
      <c r="F199" s="2664" t="s">
        <v>239</v>
      </c>
      <c r="G199" s="2664"/>
      <c r="H199" s="2667"/>
      <c r="I199" s="2664" t="s">
        <v>239</v>
      </c>
      <c r="J199" s="2664" t="s">
        <v>239</v>
      </c>
      <c r="K199" s="2664" t="s">
        <v>235</v>
      </c>
      <c r="L199" s="2664" t="s">
        <v>239</v>
      </c>
      <c r="M199" s="2664" t="s">
        <v>239</v>
      </c>
      <c r="N199" s="2664"/>
      <c r="O199" s="2664"/>
      <c r="P199" s="2664" t="s">
        <v>239</v>
      </c>
      <c r="Q199" s="2664" t="s">
        <v>239</v>
      </c>
      <c r="R199" s="2664" t="s">
        <v>235</v>
      </c>
      <c r="S199" s="2664" t="s">
        <v>239</v>
      </c>
      <c r="T199" s="2664" t="s">
        <v>239</v>
      </c>
      <c r="U199" s="2664"/>
      <c r="V199" s="2664"/>
      <c r="W199" s="2664" t="s">
        <v>239</v>
      </c>
      <c r="X199" s="2664" t="s">
        <v>239</v>
      </c>
      <c r="Y199" s="2668" t="s">
        <v>235</v>
      </c>
      <c r="Z199" s="2668" t="s">
        <v>239</v>
      </c>
      <c r="AA199" s="2668" t="s">
        <v>239</v>
      </c>
      <c r="AB199" s="2668"/>
      <c r="AC199" s="2668"/>
      <c r="AD199" s="2668" t="s">
        <v>239</v>
      </c>
      <c r="AE199" s="2668" t="s">
        <v>239</v>
      </c>
      <c r="AF199" s="2668" t="s">
        <v>235</v>
      </c>
      <c r="AG199" s="2664"/>
      <c r="AH199" s="179"/>
      <c r="AI199" s="179"/>
    </row>
    <row r="200" spans="1:36" ht="22.35" customHeight="1" x14ac:dyDescent="0.2">
      <c r="A200" s="109"/>
      <c r="B200" s="2666" t="s">
        <v>271</v>
      </c>
      <c r="C200" s="2664" t="s">
        <v>50</v>
      </c>
      <c r="D200" s="2664" t="s">
        <v>50</v>
      </c>
      <c r="E200" s="2664" t="s">
        <v>50</v>
      </c>
      <c r="F200" s="2664" t="s">
        <v>50</v>
      </c>
      <c r="G200" s="2664"/>
      <c r="H200" s="2664"/>
      <c r="I200" s="2664" t="s">
        <v>50</v>
      </c>
      <c r="J200" s="2664" t="s">
        <v>50</v>
      </c>
      <c r="K200" s="2664" t="s">
        <v>50</v>
      </c>
      <c r="L200" s="2669" t="s">
        <v>50</v>
      </c>
      <c r="M200" s="2664" t="s">
        <v>50</v>
      </c>
      <c r="N200" s="2664"/>
      <c r="O200" s="2664"/>
      <c r="P200" s="2664" t="s">
        <v>50</v>
      </c>
      <c r="Q200" s="2664" t="s">
        <v>50</v>
      </c>
      <c r="R200" s="2664" t="s">
        <v>50</v>
      </c>
      <c r="S200" s="2664" t="s">
        <v>50</v>
      </c>
      <c r="T200" s="2664" t="s">
        <v>50</v>
      </c>
      <c r="U200" s="2664"/>
      <c r="V200" s="2664"/>
      <c r="W200" s="2664" t="s">
        <v>50</v>
      </c>
      <c r="X200" s="2664" t="s">
        <v>50</v>
      </c>
      <c r="Y200" s="2670" t="s">
        <v>50</v>
      </c>
      <c r="Z200" s="2670" t="s">
        <v>403</v>
      </c>
      <c r="AA200" s="2671" t="s">
        <v>50</v>
      </c>
      <c r="AB200" s="2664"/>
      <c r="AC200" s="2664"/>
      <c r="AD200" s="2664" t="s">
        <v>50</v>
      </c>
      <c r="AE200" s="2664" t="s">
        <v>50</v>
      </c>
      <c r="AF200" s="2664" t="s">
        <v>50</v>
      </c>
      <c r="AG200" s="2664"/>
      <c r="AH200" s="179"/>
      <c r="AI200" s="179"/>
    </row>
    <row r="201" spans="1:36" ht="22.35" customHeight="1" x14ac:dyDescent="0.2">
      <c r="A201" s="109"/>
      <c r="B201" s="933" t="s">
        <v>272</v>
      </c>
      <c r="C201" s="2670" t="s">
        <v>243</v>
      </c>
      <c r="D201" s="2670" t="s">
        <v>243</v>
      </c>
      <c r="E201" s="2670" t="s">
        <v>243</v>
      </c>
      <c r="F201" s="2670" t="s">
        <v>243</v>
      </c>
      <c r="G201" s="2670"/>
      <c r="H201" s="2670"/>
      <c r="I201" s="2670" t="s">
        <v>391</v>
      </c>
      <c r="J201" s="2672" t="s">
        <v>243</v>
      </c>
      <c r="K201" s="2672" t="s">
        <v>243</v>
      </c>
      <c r="L201" s="2672" t="s">
        <v>243</v>
      </c>
      <c r="M201" s="2672" t="s">
        <v>243</v>
      </c>
      <c r="N201" s="2672"/>
      <c r="O201" s="2672"/>
      <c r="P201" s="2672" t="s">
        <v>243</v>
      </c>
      <c r="Q201" s="2672" t="s">
        <v>243</v>
      </c>
      <c r="R201" s="2672" t="s">
        <v>243</v>
      </c>
      <c r="S201" s="2672" t="s">
        <v>243</v>
      </c>
      <c r="T201" s="2672" t="s">
        <v>243</v>
      </c>
      <c r="U201" s="2673"/>
      <c r="V201" s="2664"/>
      <c r="W201" s="2664" t="s">
        <v>243</v>
      </c>
      <c r="X201" s="2664" t="s">
        <v>243</v>
      </c>
      <c r="Y201" s="2664" t="s">
        <v>243</v>
      </c>
      <c r="Z201" s="2664" t="s">
        <v>243</v>
      </c>
      <c r="AA201" s="2664" t="s">
        <v>243</v>
      </c>
      <c r="AB201" s="2664"/>
      <c r="AC201" s="2664"/>
      <c r="AD201" s="2664" t="s">
        <v>243</v>
      </c>
      <c r="AE201" s="2664" t="s">
        <v>243</v>
      </c>
      <c r="AF201" s="2664" t="s">
        <v>243</v>
      </c>
      <c r="AG201" s="2664"/>
      <c r="AH201" s="179"/>
      <c r="AI201" s="179"/>
    </row>
    <row r="202" spans="1:36" ht="22.35" customHeight="1" x14ac:dyDescent="0.2">
      <c r="A202" s="109"/>
      <c r="B202" s="1182"/>
      <c r="C202" s="2664" t="s">
        <v>249</v>
      </c>
      <c r="D202" s="2664" t="s">
        <v>249</v>
      </c>
      <c r="E202" s="2664" t="s">
        <v>249</v>
      </c>
      <c r="F202" s="2664" t="s">
        <v>249</v>
      </c>
      <c r="G202" s="2664"/>
      <c r="H202" s="2664"/>
      <c r="I202" s="2664" t="s">
        <v>249</v>
      </c>
      <c r="J202" s="2664" t="s">
        <v>249</v>
      </c>
      <c r="K202" s="2664" t="s">
        <v>249</v>
      </c>
      <c r="L202" s="2664" t="s">
        <v>249</v>
      </c>
      <c r="M202" s="2664" t="s">
        <v>249</v>
      </c>
      <c r="N202" s="2664"/>
      <c r="O202" s="2664"/>
      <c r="P202" s="2664" t="s">
        <v>249</v>
      </c>
      <c r="Q202" s="2664" t="s">
        <v>249</v>
      </c>
      <c r="R202" s="2664" t="s">
        <v>249</v>
      </c>
      <c r="S202" s="2664" t="s">
        <v>249</v>
      </c>
      <c r="T202" s="2664" t="s">
        <v>249</v>
      </c>
      <c r="U202" s="2664"/>
      <c r="V202" s="2664"/>
      <c r="W202" s="2664" t="s">
        <v>249</v>
      </c>
      <c r="X202" s="2664" t="s">
        <v>249</v>
      </c>
      <c r="Y202" s="2664" t="s">
        <v>249</v>
      </c>
      <c r="Z202" s="2664" t="s">
        <v>249</v>
      </c>
      <c r="AA202" s="2664" t="s">
        <v>249</v>
      </c>
      <c r="AB202" s="2664"/>
      <c r="AC202" s="2664"/>
      <c r="AD202" s="2664" t="s">
        <v>249</v>
      </c>
      <c r="AE202" s="2664" t="s">
        <v>249</v>
      </c>
      <c r="AF202" s="2664" t="s">
        <v>249</v>
      </c>
      <c r="AG202" s="2664"/>
      <c r="AH202" s="179"/>
      <c r="AI202" s="179"/>
    </row>
    <row r="203" spans="1:36" ht="22.35" customHeight="1" x14ac:dyDescent="0.2">
      <c r="A203" s="109"/>
      <c r="B203" s="2666" t="s">
        <v>273</v>
      </c>
      <c r="C203" s="2674" t="s">
        <v>142</v>
      </c>
      <c r="D203" s="2674" t="s">
        <v>142</v>
      </c>
      <c r="E203" s="2674" t="s">
        <v>142</v>
      </c>
      <c r="F203" s="2674" t="s">
        <v>142</v>
      </c>
      <c r="G203" s="2674"/>
      <c r="H203" s="2674"/>
      <c r="I203" s="2674" t="s">
        <v>142</v>
      </c>
      <c r="J203" s="2674" t="s">
        <v>142</v>
      </c>
      <c r="K203" s="2674" t="s">
        <v>142</v>
      </c>
      <c r="L203" s="2674" t="s">
        <v>142</v>
      </c>
      <c r="M203" s="2674" t="s">
        <v>142</v>
      </c>
      <c r="N203" s="2674"/>
      <c r="O203" s="2674"/>
      <c r="P203" s="2675" t="s">
        <v>142</v>
      </c>
      <c r="Q203" s="2674" t="s">
        <v>142</v>
      </c>
      <c r="R203" s="2674" t="s">
        <v>142</v>
      </c>
      <c r="S203" s="2674" t="s">
        <v>142</v>
      </c>
      <c r="T203" s="2674" t="s">
        <v>142</v>
      </c>
      <c r="U203" s="2674"/>
      <c r="V203" s="2674"/>
      <c r="W203" s="2676" t="s">
        <v>142</v>
      </c>
      <c r="X203" s="2676" t="s">
        <v>142</v>
      </c>
      <c r="Y203" s="2676" t="s">
        <v>142</v>
      </c>
      <c r="Z203" s="2676" t="s">
        <v>142</v>
      </c>
      <c r="AA203" s="2676" t="s">
        <v>142</v>
      </c>
      <c r="AB203" s="2676"/>
      <c r="AC203" s="2676"/>
      <c r="AD203" s="2674" t="s">
        <v>142</v>
      </c>
      <c r="AE203" s="2674" t="s">
        <v>142</v>
      </c>
      <c r="AF203" s="2674" t="s">
        <v>142</v>
      </c>
      <c r="AG203" s="2674"/>
      <c r="AH203" s="179"/>
      <c r="AI203" s="179"/>
    </row>
    <row r="204" spans="1:36" ht="22.35" customHeight="1" x14ac:dyDescent="0.2">
      <c r="A204" s="109"/>
      <c r="B204" s="634" t="s">
        <v>0</v>
      </c>
      <c r="C204" s="2664" t="s">
        <v>134</v>
      </c>
      <c r="D204" s="2664" t="s">
        <v>134</v>
      </c>
      <c r="E204" s="2664" t="s">
        <v>134</v>
      </c>
      <c r="F204" s="2664" t="s">
        <v>134</v>
      </c>
      <c r="G204" s="2664"/>
      <c r="H204" s="2664"/>
      <c r="I204" s="2664" t="s">
        <v>134</v>
      </c>
      <c r="J204" s="2664" t="s">
        <v>134</v>
      </c>
      <c r="K204" s="2664" t="s">
        <v>134</v>
      </c>
      <c r="L204" s="2664" t="s">
        <v>134</v>
      </c>
      <c r="M204" s="2664" t="s">
        <v>134</v>
      </c>
      <c r="N204" s="2664"/>
      <c r="O204" s="2664"/>
      <c r="P204" s="2664" t="s">
        <v>134</v>
      </c>
      <c r="Q204" s="2664" t="s">
        <v>134</v>
      </c>
      <c r="R204" s="2664" t="s">
        <v>134</v>
      </c>
      <c r="S204" s="2664" t="s">
        <v>134</v>
      </c>
      <c r="T204" s="2664" t="s">
        <v>134</v>
      </c>
      <c r="U204" s="2664"/>
      <c r="V204" s="2664"/>
      <c r="W204" s="2664" t="s">
        <v>134</v>
      </c>
      <c r="X204" s="2664" t="s">
        <v>134</v>
      </c>
      <c r="Y204" s="2664" t="s">
        <v>134</v>
      </c>
      <c r="Z204" s="2664" t="s">
        <v>134</v>
      </c>
      <c r="AA204" s="2664" t="s">
        <v>134</v>
      </c>
      <c r="AB204" s="2664"/>
      <c r="AC204" s="2664"/>
      <c r="AD204" s="2664" t="s">
        <v>134</v>
      </c>
      <c r="AE204" s="2664" t="s">
        <v>134</v>
      </c>
      <c r="AF204" s="2664" t="s">
        <v>134</v>
      </c>
      <c r="AG204" s="2664"/>
      <c r="AH204" s="179"/>
      <c r="AI204" s="179"/>
    </row>
    <row r="205" spans="1:36" ht="22.35" customHeight="1" x14ac:dyDescent="0.2">
      <c r="A205" s="109"/>
      <c r="B205" s="2666" t="s">
        <v>274</v>
      </c>
      <c r="C205" s="292" t="s">
        <v>176</v>
      </c>
      <c r="D205" s="292" t="s">
        <v>176</v>
      </c>
      <c r="E205" s="292" t="s">
        <v>176</v>
      </c>
      <c r="F205" s="292" t="s">
        <v>176</v>
      </c>
      <c r="G205" s="292"/>
      <c r="H205" s="292"/>
      <c r="I205" s="292" t="s">
        <v>176</v>
      </c>
      <c r="J205" s="292" t="s">
        <v>176</v>
      </c>
      <c r="K205" s="292" t="s">
        <v>176</v>
      </c>
      <c r="L205" s="292" t="s">
        <v>176</v>
      </c>
      <c r="M205" s="292" t="s">
        <v>176</v>
      </c>
      <c r="N205" s="292"/>
      <c r="O205" s="292"/>
      <c r="P205" s="292" t="s">
        <v>176</v>
      </c>
      <c r="Q205" s="292" t="s">
        <v>176</v>
      </c>
      <c r="R205" s="292" t="s">
        <v>176</v>
      </c>
      <c r="S205" s="292" t="s">
        <v>176</v>
      </c>
      <c r="T205" s="292" t="s">
        <v>176</v>
      </c>
      <c r="U205" s="292"/>
      <c r="V205" s="292"/>
      <c r="W205" s="292" t="s">
        <v>176</v>
      </c>
      <c r="X205" s="307" t="s">
        <v>176</v>
      </c>
      <c r="Y205" s="292" t="s">
        <v>176</v>
      </c>
      <c r="Z205" s="292" t="s">
        <v>176</v>
      </c>
      <c r="AA205" s="292" t="s">
        <v>176</v>
      </c>
      <c r="AB205" s="292"/>
      <c r="AC205" s="292"/>
      <c r="AD205" s="292" t="s">
        <v>176</v>
      </c>
      <c r="AE205" s="292" t="s">
        <v>176</v>
      </c>
      <c r="AF205" s="292" t="s">
        <v>176</v>
      </c>
      <c r="AG205" s="292"/>
      <c r="AH205" s="179"/>
      <c r="AI205" s="179"/>
    </row>
    <row r="206" spans="1:36" ht="22.35" customHeight="1" x14ac:dyDescent="0.2">
      <c r="A206" s="109"/>
      <c r="B206" s="2666"/>
      <c r="C206" s="851" t="s">
        <v>257</v>
      </c>
      <c r="D206" s="851" t="s">
        <v>257</v>
      </c>
      <c r="E206" s="851" t="s">
        <v>257</v>
      </c>
      <c r="F206" s="851" t="s">
        <v>257</v>
      </c>
      <c r="G206" s="851"/>
      <c r="H206" s="851"/>
      <c r="I206" s="851" t="s">
        <v>257</v>
      </c>
      <c r="J206" s="851" t="s">
        <v>257</v>
      </c>
      <c r="K206" s="851" t="s">
        <v>257</v>
      </c>
      <c r="L206" s="851" t="s">
        <v>257</v>
      </c>
      <c r="M206" s="851" t="s">
        <v>257</v>
      </c>
      <c r="N206" s="851"/>
      <c r="O206" s="851"/>
      <c r="P206" s="851" t="s">
        <v>257</v>
      </c>
      <c r="Q206" s="851" t="s">
        <v>257</v>
      </c>
      <c r="R206" s="851" t="s">
        <v>257</v>
      </c>
      <c r="S206" s="851" t="s">
        <v>257</v>
      </c>
      <c r="T206" s="851" t="s">
        <v>257</v>
      </c>
      <c r="U206" s="851"/>
      <c r="V206" s="851"/>
      <c r="W206" s="851" t="s">
        <v>257</v>
      </c>
      <c r="X206" s="851" t="s">
        <v>257</v>
      </c>
      <c r="Y206" s="851" t="s">
        <v>257</v>
      </c>
      <c r="Z206" s="851" t="s">
        <v>257</v>
      </c>
      <c r="AA206" s="851" t="s">
        <v>257</v>
      </c>
      <c r="AB206" s="851"/>
      <c r="AC206" s="851"/>
      <c r="AD206" s="851" t="s">
        <v>257</v>
      </c>
      <c r="AE206" s="851" t="s">
        <v>257</v>
      </c>
      <c r="AF206" s="851" t="s">
        <v>257</v>
      </c>
      <c r="AG206" s="851"/>
      <c r="AH206" s="179"/>
      <c r="AI206" s="179"/>
    </row>
    <row r="207" spans="1:36" ht="22.35" customHeight="1" x14ac:dyDescent="0.2">
      <c r="A207" s="109"/>
      <c r="B207" s="634" t="s">
        <v>276</v>
      </c>
      <c r="C207" s="851" t="s">
        <v>95</v>
      </c>
      <c r="D207" s="851" t="s">
        <v>95</v>
      </c>
      <c r="E207" s="851" t="s">
        <v>95</v>
      </c>
      <c r="F207" s="851" t="s">
        <v>95</v>
      </c>
      <c r="G207" s="851"/>
      <c r="H207" s="851"/>
      <c r="I207" s="2677" t="s">
        <v>95</v>
      </c>
      <c r="J207" s="851" t="s">
        <v>95</v>
      </c>
      <c r="K207" s="851" t="s">
        <v>95</v>
      </c>
      <c r="L207" s="851" t="s">
        <v>95</v>
      </c>
      <c r="M207" s="851" t="s">
        <v>95</v>
      </c>
      <c r="N207" s="851"/>
      <c r="O207" s="851"/>
      <c r="P207" s="851" t="s">
        <v>95</v>
      </c>
      <c r="Q207" s="851" t="s">
        <v>95</v>
      </c>
      <c r="R207" s="851" t="s">
        <v>95</v>
      </c>
      <c r="S207" s="851" t="s">
        <v>95</v>
      </c>
      <c r="T207" s="851" t="s">
        <v>95</v>
      </c>
      <c r="U207" s="851"/>
      <c r="V207" s="851"/>
      <c r="W207" s="851" t="s">
        <v>95</v>
      </c>
      <c r="X207" s="851" t="s">
        <v>95</v>
      </c>
      <c r="Y207" s="851" t="s">
        <v>95</v>
      </c>
      <c r="Z207" s="851" t="s">
        <v>95</v>
      </c>
      <c r="AA207" s="964" t="s">
        <v>404</v>
      </c>
      <c r="AB207" s="2467"/>
      <c r="AC207" s="2467"/>
      <c r="AD207" s="2467" t="s">
        <v>95</v>
      </c>
      <c r="AE207" s="2467" t="s">
        <v>95</v>
      </c>
      <c r="AF207" s="851" t="s">
        <v>95</v>
      </c>
      <c r="AG207" s="2678"/>
      <c r="AH207" s="179"/>
      <c r="AI207" s="179"/>
    </row>
    <row r="208" spans="1:36" ht="22.35" customHeight="1" x14ac:dyDescent="0.2">
      <c r="A208" s="109"/>
      <c r="B208" s="2666" t="s">
        <v>277</v>
      </c>
      <c r="C208" s="851" t="s">
        <v>177</v>
      </c>
      <c r="D208" s="851" t="s">
        <v>177</v>
      </c>
      <c r="E208" s="2679" t="s">
        <v>177</v>
      </c>
      <c r="F208" s="851" t="s">
        <v>177</v>
      </c>
      <c r="G208" s="851"/>
      <c r="H208" s="851"/>
      <c r="I208" s="851" t="s">
        <v>177</v>
      </c>
      <c r="J208" s="851" t="s">
        <v>177</v>
      </c>
      <c r="K208" s="851" t="s">
        <v>177</v>
      </c>
      <c r="L208" s="851" t="s">
        <v>177</v>
      </c>
      <c r="M208" s="851" t="s">
        <v>177</v>
      </c>
      <c r="N208" s="851"/>
      <c r="O208" s="851"/>
      <c r="P208" s="851" t="s">
        <v>177</v>
      </c>
      <c r="Q208" s="851" t="s">
        <v>177</v>
      </c>
      <c r="R208" s="851" t="s">
        <v>177</v>
      </c>
      <c r="S208" s="851" t="s">
        <v>177</v>
      </c>
      <c r="T208" s="851" t="s">
        <v>177</v>
      </c>
      <c r="U208" s="851"/>
      <c r="V208" s="851"/>
      <c r="W208" s="851" t="s">
        <v>177</v>
      </c>
      <c r="X208" s="851" t="s">
        <v>177</v>
      </c>
      <c r="Y208" s="851" t="s">
        <v>177</v>
      </c>
      <c r="Z208" s="851" t="s">
        <v>177</v>
      </c>
      <c r="AA208" s="851" t="s">
        <v>177</v>
      </c>
      <c r="AB208" s="851"/>
      <c r="AC208" s="851"/>
      <c r="AD208" s="851" t="s">
        <v>177</v>
      </c>
      <c r="AE208" s="851" t="s">
        <v>177</v>
      </c>
      <c r="AF208" s="851" t="s">
        <v>177</v>
      </c>
      <c r="AG208" s="851"/>
      <c r="AH208" s="179"/>
      <c r="AI208" s="179"/>
    </row>
    <row r="209" spans="1:35" ht="22.35" customHeight="1" x14ac:dyDescent="0.2">
      <c r="A209" s="109"/>
      <c r="B209" s="634"/>
      <c r="C209" s="851" t="s">
        <v>137</v>
      </c>
      <c r="D209" s="851" t="s">
        <v>137</v>
      </c>
      <c r="E209" s="851" t="s">
        <v>137</v>
      </c>
      <c r="F209" s="851" t="s">
        <v>137</v>
      </c>
      <c r="G209" s="851"/>
      <c r="H209" s="851"/>
      <c r="I209" s="851" t="s">
        <v>137</v>
      </c>
      <c r="J209" s="851" t="s">
        <v>137</v>
      </c>
      <c r="K209" s="851" t="s">
        <v>137</v>
      </c>
      <c r="L209" s="851" t="s">
        <v>137</v>
      </c>
      <c r="M209" s="851" t="s">
        <v>137</v>
      </c>
      <c r="N209" s="851"/>
      <c r="O209" s="851"/>
      <c r="P209" s="851" t="s">
        <v>137</v>
      </c>
      <c r="Q209" s="851" t="s">
        <v>137</v>
      </c>
      <c r="R209" s="851" t="s">
        <v>137</v>
      </c>
      <c r="S209" s="851" t="s">
        <v>137</v>
      </c>
      <c r="T209" s="851" t="s">
        <v>137</v>
      </c>
      <c r="U209" s="851"/>
      <c r="V209" s="851"/>
      <c r="W209" s="851" t="s">
        <v>137</v>
      </c>
      <c r="X209" s="851" t="s">
        <v>137</v>
      </c>
      <c r="Y209" s="851" t="s">
        <v>137</v>
      </c>
      <c r="Z209" s="851" t="s">
        <v>137</v>
      </c>
      <c r="AA209" s="851" t="s">
        <v>137</v>
      </c>
      <c r="AB209" s="851"/>
      <c r="AC209" s="851"/>
      <c r="AD209" s="851" t="s">
        <v>137</v>
      </c>
      <c r="AE209" s="851" t="s">
        <v>137</v>
      </c>
      <c r="AF209" s="851" t="s">
        <v>137</v>
      </c>
      <c r="AG209" s="851"/>
      <c r="AH209" s="179"/>
      <c r="AI209" s="179"/>
    </row>
    <row r="210" spans="1:35" ht="22.35" customHeight="1" x14ac:dyDescent="0.2">
      <c r="A210" s="109"/>
      <c r="B210" s="634" t="s">
        <v>278</v>
      </c>
      <c r="C210" s="859" t="s">
        <v>264</v>
      </c>
      <c r="D210" s="859" t="s">
        <v>264</v>
      </c>
      <c r="E210" s="859" t="s">
        <v>264</v>
      </c>
      <c r="F210" s="859" t="s">
        <v>264</v>
      </c>
      <c r="G210" s="859"/>
      <c r="H210" s="859"/>
      <c r="I210" s="851" t="s">
        <v>264</v>
      </c>
      <c r="J210" s="851" t="s">
        <v>264</v>
      </c>
      <c r="K210" s="851" t="s">
        <v>264</v>
      </c>
      <c r="L210" s="851" t="s">
        <v>264</v>
      </c>
      <c r="M210" s="851" t="s">
        <v>264</v>
      </c>
      <c r="N210" s="851"/>
      <c r="O210" s="851"/>
      <c r="P210" s="851" t="s">
        <v>264</v>
      </c>
      <c r="Q210" s="851" t="s">
        <v>264</v>
      </c>
      <c r="R210" s="851" t="s">
        <v>264</v>
      </c>
      <c r="S210" s="851" t="s">
        <v>264</v>
      </c>
      <c r="T210" s="851" t="s">
        <v>264</v>
      </c>
      <c r="U210" s="851"/>
      <c r="V210" s="851"/>
      <c r="W210" s="851" t="s">
        <v>264</v>
      </c>
      <c r="X210" s="851" t="s">
        <v>264</v>
      </c>
      <c r="Y210" s="851" t="s">
        <v>264</v>
      </c>
      <c r="Z210" s="851" t="s">
        <v>264</v>
      </c>
      <c r="AA210" s="851" t="s">
        <v>264</v>
      </c>
      <c r="AB210" s="851"/>
      <c r="AC210" s="851"/>
      <c r="AD210" s="851" t="s">
        <v>264</v>
      </c>
      <c r="AE210" s="851" t="s">
        <v>264</v>
      </c>
      <c r="AF210" s="851" t="s">
        <v>264</v>
      </c>
      <c r="AG210" s="851"/>
      <c r="AH210" s="107"/>
      <c r="AI210" s="107"/>
    </row>
    <row r="211" spans="1:35" ht="21" customHeight="1" thickBot="1" x14ac:dyDescent="0.25">
      <c r="A211" s="147"/>
      <c r="B211" s="2680" t="s">
        <v>279</v>
      </c>
      <c r="C211" s="2681" t="s">
        <v>266</v>
      </c>
      <c r="D211" s="2681" t="s">
        <v>266</v>
      </c>
      <c r="E211" s="2681" t="s">
        <v>368</v>
      </c>
      <c r="F211" s="2682" t="s">
        <v>266</v>
      </c>
      <c r="G211" s="1092"/>
      <c r="H211" s="1092"/>
      <c r="I211" s="1092" t="s">
        <v>266</v>
      </c>
      <c r="J211" s="1092" t="s">
        <v>266</v>
      </c>
      <c r="K211" s="1092" t="s">
        <v>266</v>
      </c>
      <c r="L211" s="1092" t="s">
        <v>266</v>
      </c>
      <c r="M211" s="1092" t="s">
        <v>266</v>
      </c>
      <c r="N211" s="1092"/>
      <c r="O211" s="1092"/>
      <c r="P211" s="1092" t="s">
        <v>266</v>
      </c>
      <c r="Q211" s="1092" t="s">
        <v>266</v>
      </c>
      <c r="R211" s="1092" t="s">
        <v>266</v>
      </c>
      <c r="S211" s="1092" t="s">
        <v>266</v>
      </c>
      <c r="T211" s="2683" t="s">
        <v>266</v>
      </c>
      <c r="U211" s="2683"/>
      <c r="V211" s="2683"/>
      <c r="W211" s="2683" t="s">
        <v>266</v>
      </c>
      <c r="X211" s="2683" t="s">
        <v>368</v>
      </c>
      <c r="Y211" s="2682" t="s">
        <v>266</v>
      </c>
      <c r="Z211" s="2682" t="s">
        <v>266</v>
      </c>
      <c r="AA211" s="2682" t="s">
        <v>266</v>
      </c>
      <c r="AB211" s="1092"/>
      <c r="AC211" s="1092"/>
      <c r="AD211" s="865" t="s">
        <v>266</v>
      </c>
      <c r="AE211" s="865" t="s">
        <v>266</v>
      </c>
      <c r="AF211" s="865" t="s">
        <v>266</v>
      </c>
      <c r="AG211" s="1092"/>
      <c r="AH211" s="114"/>
    </row>
    <row r="212" spans="1:35" ht="21" customHeight="1" x14ac:dyDescent="0.2">
      <c r="A212" s="147"/>
      <c r="B212" s="217"/>
      <c r="C212" s="216"/>
      <c r="D212" s="216"/>
      <c r="E212" s="216"/>
      <c r="F212" s="216"/>
      <c r="G212" s="216"/>
      <c r="H212" s="216"/>
      <c r="I212" s="216"/>
      <c r="J212" s="216"/>
      <c r="K212" s="216"/>
      <c r="L212" s="216"/>
      <c r="M212" s="216"/>
      <c r="N212" s="216"/>
      <c r="O212" s="216"/>
      <c r="P212" s="216"/>
      <c r="Q212" s="216"/>
      <c r="R212" s="216"/>
      <c r="S212" s="216"/>
      <c r="T212" s="216"/>
      <c r="U212" s="216"/>
      <c r="V212" s="216"/>
      <c r="W212" s="216"/>
      <c r="X212" s="216"/>
      <c r="Y212" s="216"/>
      <c r="Z212" s="216"/>
      <c r="AA212" s="216"/>
      <c r="AB212" s="216"/>
      <c r="AC212" s="216"/>
      <c r="AD212" s="216"/>
      <c r="AE212" s="216"/>
      <c r="AF212" s="216"/>
      <c r="AG212" s="216"/>
      <c r="AH212" s="114"/>
    </row>
    <row r="213" spans="1:35" ht="22.35" customHeight="1" x14ac:dyDescent="0.2">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row>
    <row r="214" spans="1:35" ht="22.35" customHeight="1" thickBot="1" x14ac:dyDescent="0.25">
      <c r="A214" s="1" t="s">
        <v>280</v>
      </c>
      <c r="B214" s="59"/>
    </row>
    <row r="215" spans="1:35" ht="22.35" customHeight="1" x14ac:dyDescent="0.2">
      <c r="A215" s="1"/>
      <c r="B215" s="2684" t="s">
        <v>281</v>
      </c>
      <c r="C215" s="2685" t="s">
        <v>107</v>
      </c>
      <c r="D215" s="2519"/>
      <c r="E215" s="2519"/>
      <c r="F215" s="2519"/>
      <c r="G215" s="2685" t="s">
        <v>108</v>
      </c>
      <c r="H215" s="2519"/>
      <c r="I215" s="2519"/>
      <c r="J215" s="2519"/>
      <c r="K215" s="2685" t="s">
        <v>109</v>
      </c>
      <c r="L215" s="2519"/>
      <c r="M215" s="2519"/>
      <c r="N215" s="2519"/>
      <c r="O215" s="2685" t="s">
        <v>110</v>
      </c>
      <c r="P215" s="2519"/>
      <c r="Q215" s="2519"/>
      <c r="R215" s="2519"/>
      <c r="S215" s="2685" t="s">
        <v>111</v>
      </c>
      <c r="T215" s="2519"/>
      <c r="U215" s="2519"/>
      <c r="V215" s="2519"/>
      <c r="W215" s="2685" t="s">
        <v>112</v>
      </c>
      <c r="X215" s="2426"/>
      <c r="Y215" s="2519"/>
      <c r="Z215" s="2686"/>
      <c r="AA215" s="2685" t="s">
        <v>113</v>
      </c>
      <c r="AB215" s="2426"/>
      <c r="AC215" s="2519"/>
      <c r="AD215" s="2686"/>
      <c r="AE215" s="2687" t="s">
        <v>114</v>
      </c>
      <c r="AF215" s="2519"/>
      <c r="AG215" s="2519"/>
      <c r="AH215" s="2519"/>
      <c r="AI215" s="2427"/>
    </row>
    <row r="216" spans="1:35" ht="22.35" customHeight="1" x14ac:dyDescent="0.2">
      <c r="A216" s="1"/>
      <c r="B216" s="391">
        <v>3701</v>
      </c>
      <c r="C216" s="110" t="s">
        <v>282</v>
      </c>
      <c r="D216" s="110"/>
      <c r="E216" s="110"/>
      <c r="F216" s="110"/>
      <c r="G216" s="534" t="s">
        <v>283</v>
      </c>
      <c r="H216" s="110"/>
      <c r="I216" s="110"/>
      <c r="J216" s="110"/>
      <c r="K216" s="534" t="s">
        <v>283</v>
      </c>
      <c r="L216" s="110"/>
      <c r="M216" s="110"/>
      <c r="N216" s="110"/>
      <c r="O216" s="534" t="s">
        <v>283</v>
      </c>
      <c r="P216" s="110"/>
      <c r="Q216" s="110"/>
      <c r="R216" s="110"/>
      <c r="S216" s="534" t="s">
        <v>284</v>
      </c>
      <c r="T216" s="110"/>
      <c r="U216" s="110"/>
      <c r="V216" s="110"/>
      <c r="W216" s="2527"/>
      <c r="X216" s="2688"/>
      <c r="Y216" s="630"/>
      <c r="Z216" s="2689"/>
      <c r="AA216" s="2527"/>
      <c r="AB216" s="2688"/>
      <c r="AC216" s="630"/>
      <c r="AD216" s="2689"/>
      <c r="AE216" s="2575"/>
      <c r="AF216" s="630"/>
      <c r="AG216" s="630"/>
      <c r="AH216" s="630"/>
      <c r="AI216" s="432"/>
    </row>
    <row r="217" spans="1:35" ht="22.35" customHeight="1" x14ac:dyDescent="0.2">
      <c r="B217" s="2684">
        <v>3700</v>
      </c>
      <c r="C217" s="630" t="s">
        <v>182</v>
      </c>
      <c r="D217" s="630"/>
      <c r="E217" s="630"/>
      <c r="F217" s="630"/>
      <c r="G217" s="2529" t="s">
        <v>182</v>
      </c>
      <c r="H217" s="630"/>
      <c r="I217" s="630"/>
      <c r="J217" s="630"/>
      <c r="K217" s="2529" t="s">
        <v>182</v>
      </c>
      <c r="L217" s="630"/>
      <c r="M217" s="630"/>
      <c r="N217" s="630"/>
      <c r="O217" s="2529" t="s">
        <v>182</v>
      </c>
      <c r="P217" s="630"/>
      <c r="Q217" s="630"/>
      <c r="R217" s="630"/>
      <c r="S217" s="2529" t="s">
        <v>183</v>
      </c>
      <c r="T217" s="630"/>
      <c r="U217" s="630"/>
      <c r="V217" s="630"/>
      <c r="W217" s="2527"/>
      <c r="X217" s="630"/>
      <c r="Y217" s="630"/>
      <c r="Z217" s="2577"/>
      <c r="AA217" s="2575"/>
      <c r="AB217" s="630"/>
      <c r="AC217" s="630"/>
      <c r="AD217" s="641"/>
      <c r="AE217" s="2690"/>
      <c r="AF217" s="630"/>
      <c r="AG217" s="630"/>
      <c r="AH217" s="641"/>
      <c r="AI217" s="432"/>
    </row>
    <row r="218" spans="1:35" ht="22.35" customHeight="1" x14ac:dyDescent="0.2">
      <c r="A218" s="1"/>
      <c r="B218" s="2684">
        <v>8514</v>
      </c>
      <c r="C218" s="630" t="s">
        <v>283</v>
      </c>
      <c r="D218" s="630"/>
      <c r="E218" s="630"/>
      <c r="F218" s="630"/>
      <c r="G218" s="2529" t="s">
        <v>283</v>
      </c>
      <c r="H218" s="630"/>
      <c r="I218" s="630"/>
      <c r="J218" s="630"/>
      <c r="K218" s="2529" t="s">
        <v>283</v>
      </c>
      <c r="L218" s="630"/>
      <c r="M218" s="630"/>
      <c r="N218" s="630"/>
      <c r="O218" s="2529" t="s">
        <v>283</v>
      </c>
      <c r="P218" s="630"/>
      <c r="Q218" s="630"/>
      <c r="R218" s="630"/>
      <c r="S218" s="2529" t="s">
        <v>285</v>
      </c>
      <c r="T218" s="630"/>
      <c r="U218" s="630"/>
      <c r="V218" s="630"/>
      <c r="W218" s="2527"/>
      <c r="X218" s="630"/>
      <c r="Y218" s="630"/>
      <c r="Z218" s="2577"/>
      <c r="AA218" s="640"/>
      <c r="AB218" s="630"/>
      <c r="AC218" s="630"/>
      <c r="AD218" s="641"/>
      <c r="AE218" s="640"/>
      <c r="AF218" s="630"/>
      <c r="AG218" s="630"/>
      <c r="AH218" s="641"/>
      <c r="AI218" s="432"/>
    </row>
    <row r="219" spans="1:35" ht="22.35" customHeight="1" x14ac:dyDescent="0.2">
      <c r="A219" s="1"/>
      <c r="B219" s="2684">
        <v>8500</v>
      </c>
      <c r="C219" s="162" t="s">
        <v>286</v>
      </c>
      <c r="D219" s="162"/>
      <c r="E219" s="162"/>
      <c r="F219" s="162"/>
      <c r="G219" s="163" t="s">
        <v>286</v>
      </c>
      <c r="H219" s="162"/>
      <c r="I219" s="162"/>
      <c r="J219" s="162"/>
      <c r="K219" s="163" t="s">
        <v>286</v>
      </c>
      <c r="L219" s="162"/>
      <c r="M219" s="162"/>
      <c r="N219" s="162"/>
      <c r="O219" s="163" t="s">
        <v>286</v>
      </c>
      <c r="P219" s="162"/>
      <c r="Q219" s="162"/>
      <c r="R219" s="162"/>
      <c r="S219" s="163" t="s">
        <v>287</v>
      </c>
      <c r="T219" s="162"/>
      <c r="U219" s="162"/>
      <c r="V219" s="162"/>
      <c r="W219" s="2527"/>
      <c r="X219" s="162"/>
      <c r="Y219" s="162"/>
      <c r="Z219" s="120"/>
      <c r="AA219" s="119"/>
      <c r="AB219" s="162"/>
      <c r="AC219" s="162"/>
      <c r="AD219" s="120"/>
      <c r="AE219" s="119"/>
      <c r="AF219" s="162"/>
      <c r="AG219" s="162"/>
      <c r="AH219" s="112"/>
      <c r="AI219" s="118"/>
    </row>
    <row r="220" spans="1:35" ht="22.35" customHeight="1" x14ac:dyDescent="0.2">
      <c r="A220" s="1"/>
      <c r="B220" s="2684">
        <v>8514</v>
      </c>
      <c r="C220" s="165" t="s">
        <v>283</v>
      </c>
      <c r="D220" s="165"/>
      <c r="E220" s="165"/>
      <c r="F220" s="165"/>
      <c r="G220" s="166" t="s">
        <v>283</v>
      </c>
      <c r="H220" s="165"/>
      <c r="I220" s="165"/>
      <c r="J220" s="165"/>
      <c r="K220" s="166" t="s">
        <v>283</v>
      </c>
      <c r="L220" s="165"/>
      <c r="M220" s="165"/>
      <c r="N220" s="165"/>
      <c r="O220" s="166" t="s">
        <v>283</v>
      </c>
      <c r="P220" s="165"/>
      <c r="Q220" s="165"/>
      <c r="R220" s="165"/>
      <c r="S220" s="166" t="s">
        <v>285</v>
      </c>
      <c r="T220" s="165"/>
      <c r="U220" s="165"/>
      <c r="V220" s="165"/>
      <c r="W220" s="2691"/>
      <c r="X220" s="116"/>
      <c r="Y220" s="162"/>
      <c r="Z220" s="164"/>
      <c r="AA220" s="154"/>
      <c r="AB220" s="116"/>
      <c r="AC220" s="162"/>
      <c r="AD220" s="162"/>
      <c r="AE220" s="117"/>
      <c r="AF220" s="162"/>
      <c r="AG220" s="162"/>
      <c r="AH220" s="162"/>
      <c r="AI220" s="118"/>
    </row>
    <row r="221" spans="1:35" ht="22.35" customHeight="1" thickBot="1" x14ac:dyDescent="0.25">
      <c r="A221" s="1"/>
      <c r="B221" s="2692" t="s">
        <v>288</v>
      </c>
      <c r="C221" s="891" t="s">
        <v>289</v>
      </c>
      <c r="D221" s="891"/>
      <c r="E221" s="891"/>
      <c r="F221" s="891"/>
      <c r="G221" s="2693" t="s">
        <v>289</v>
      </c>
      <c r="H221" s="891"/>
      <c r="I221" s="891"/>
      <c r="J221" s="891"/>
      <c r="K221" s="2530" t="s">
        <v>289</v>
      </c>
      <c r="L221" s="891"/>
      <c r="M221" s="891"/>
      <c r="N221" s="891"/>
      <c r="O221" s="2693" t="s">
        <v>289</v>
      </c>
      <c r="P221" s="891"/>
      <c r="Q221" s="891"/>
      <c r="R221" s="891"/>
      <c r="S221" s="2693" t="s">
        <v>290</v>
      </c>
      <c r="T221" s="891"/>
      <c r="U221" s="891"/>
      <c r="V221" s="891"/>
      <c r="W221" s="2530"/>
      <c r="X221" s="891"/>
      <c r="Y221" s="891"/>
      <c r="Z221" s="2614"/>
      <c r="AA221" s="2587"/>
      <c r="AB221" s="891"/>
      <c r="AC221" s="891"/>
      <c r="AD221" s="2594"/>
      <c r="AE221" s="2694"/>
      <c r="AF221" s="891"/>
      <c r="AG221" s="891"/>
      <c r="AH221" s="2594"/>
      <c r="AI221" s="894"/>
    </row>
    <row r="222" spans="1:35" ht="22.35" customHeight="1" x14ac:dyDescent="0.2">
      <c r="A222" s="1"/>
      <c r="B222" s="18"/>
      <c r="C222" s="64"/>
      <c r="D222" s="110"/>
      <c r="E222" s="110"/>
      <c r="F222" s="69"/>
      <c r="G222" s="64"/>
      <c r="H222" s="110"/>
      <c r="I222" s="110"/>
      <c r="J222" s="69"/>
      <c r="K222" s="64"/>
      <c r="L222" s="110"/>
      <c r="M222" s="110"/>
      <c r="N222" s="69"/>
      <c r="O222" s="64"/>
      <c r="P222" s="110"/>
      <c r="Q222" s="110"/>
      <c r="R222" s="69"/>
      <c r="S222" s="64"/>
      <c r="T222" s="110"/>
      <c r="U222" s="110"/>
      <c r="V222" s="69"/>
      <c r="W222" s="69"/>
      <c r="Z222" s="69"/>
      <c r="AA222" s="69"/>
      <c r="AD222" s="69"/>
      <c r="AE222" s="69"/>
      <c r="AH222" s="69"/>
    </row>
    <row r="223" spans="1:35" ht="22.35" customHeight="1" x14ac:dyDescent="0.2">
      <c r="A223" s="1" t="s">
        <v>291</v>
      </c>
      <c r="B223" s="18"/>
      <c r="C223" s="64"/>
      <c r="D223" s="110"/>
      <c r="E223" s="110"/>
      <c r="F223" s="69"/>
      <c r="G223" s="64"/>
      <c r="H223" s="110"/>
      <c r="I223" s="110"/>
      <c r="J223" s="69"/>
      <c r="K223" s="64"/>
      <c r="L223" s="110"/>
      <c r="M223" s="110"/>
      <c r="N223" s="69"/>
      <c r="O223" s="64"/>
      <c r="P223" s="110"/>
      <c r="Q223" s="110"/>
      <c r="R223" s="69"/>
      <c r="S223" s="64"/>
      <c r="T223" s="110"/>
      <c r="U223" s="110"/>
      <c r="V223" s="69"/>
      <c r="W223" s="69"/>
      <c r="Z223" s="69"/>
      <c r="AA223" s="69"/>
      <c r="AD223" s="69"/>
      <c r="AE223" s="69"/>
      <c r="AH223" s="69"/>
    </row>
    <row r="224" spans="1:35" ht="22.35" customHeight="1" thickBot="1" x14ac:dyDescent="0.25">
      <c r="A224" s="2564"/>
      <c r="B224" s="633" t="s">
        <v>29</v>
      </c>
      <c r="C224" s="796">
        <v>1</v>
      </c>
      <c r="D224" s="796">
        <v>2</v>
      </c>
      <c r="E224" s="796">
        <v>3</v>
      </c>
      <c r="F224" s="796">
        <v>4</v>
      </c>
      <c r="G224" s="795">
        <v>5</v>
      </c>
      <c r="H224" s="795">
        <v>6</v>
      </c>
      <c r="I224" s="796">
        <v>7</v>
      </c>
      <c r="J224" s="796">
        <v>8</v>
      </c>
      <c r="K224" s="796">
        <v>9</v>
      </c>
      <c r="L224" s="796">
        <v>10</v>
      </c>
      <c r="M224" s="796">
        <v>11</v>
      </c>
      <c r="N224" s="795">
        <v>12</v>
      </c>
      <c r="O224" s="795">
        <v>13</v>
      </c>
      <c r="P224" s="796">
        <v>14</v>
      </c>
      <c r="Q224" s="796">
        <v>15</v>
      </c>
      <c r="R224" s="796">
        <v>16</v>
      </c>
      <c r="S224" s="796">
        <v>17</v>
      </c>
      <c r="T224" s="796">
        <v>18</v>
      </c>
      <c r="U224" s="795">
        <v>19</v>
      </c>
      <c r="V224" s="795">
        <v>20</v>
      </c>
      <c r="W224" s="796">
        <v>21</v>
      </c>
      <c r="X224" s="796">
        <v>22</v>
      </c>
      <c r="Y224" s="796">
        <v>23</v>
      </c>
      <c r="Z224" s="796">
        <v>24</v>
      </c>
      <c r="AA224" s="796">
        <v>25</v>
      </c>
      <c r="AB224" s="795">
        <v>26</v>
      </c>
      <c r="AC224" s="795">
        <v>27</v>
      </c>
      <c r="AD224" s="796">
        <v>28</v>
      </c>
      <c r="AE224" s="796">
        <v>29</v>
      </c>
      <c r="AF224" s="796">
        <v>30</v>
      </c>
      <c r="AG224" s="797"/>
      <c r="AH224" s="173"/>
      <c r="AI224" s="174"/>
    </row>
    <row r="225" spans="1:35" ht="22.35" customHeight="1" x14ac:dyDescent="0.2">
      <c r="A225" s="725"/>
      <c r="B225" s="726" t="s">
        <v>292</v>
      </c>
      <c r="C225" s="644" t="s">
        <v>32</v>
      </c>
      <c r="D225" s="859" t="s">
        <v>32</v>
      </c>
      <c r="E225" s="644" t="s">
        <v>32</v>
      </c>
      <c r="F225" s="644" t="s">
        <v>32</v>
      </c>
      <c r="G225" s="644"/>
      <c r="H225" s="644"/>
      <c r="I225" s="644" t="s">
        <v>32</v>
      </c>
      <c r="J225" s="644" t="s">
        <v>32</v>
      </c>
      <c r="K225" s="644" t="s">
        <v>32</v>
      </c>
      <c r="L225" s="644" t="s">
        <v>32</v>
      </c>
      <c r="M225" s="644" t="s">
        <v>32</v>
      </c>
      <c r="N225" s="848"/>
      <c r="O225" s="848"/>
      <c r="P225" s="848" t="s">
        <v>32</v>
      </c>
      <c r="Q225" s="975" t="s">
        <v>32</v>
      </c>
      <c r="R225" s="848" t="s">
        <v>32</v>
      </c>
      <c r="S225" s="848" t="s">
        <v>32</v>
      </c>
      <c r="T225" s="644" t="s">
        <v>32</v>
      </c>
      <c r="U225" s="848"/>
      <c r="V225" s="2695"/>
      <c r="W225" s="2695" t="s">
        <v>32</v>
      </c>
      <c r="X225" s="2695" t="s">
        <v>32</v>
      </c>
      <c r="Y225" s="848" t="s">
        <v>32</v>
      </c>
      <c r="Z225" s="644" t="s">
        <v>32</v>
      </c>
      <c r="AA225" s="644" t="s">
        <v>32</v>
      </c>
      <c r="AB225" s="644"/>
      <c r="AC225" s="848"/>
      <c r="AD225" s="848" t="s">
        <v>32</v>
      </c>
      <c r="AE225" s="848" t="s">
        <v>32</v>
      </c>
      <c r="AF225" s="848" t="s">
        <v>32</v>
      </c>
      <c r="AG225" s="293"/>
      <c r="AH225" s="173"/>
      <c r="AI225" s="174"/>
    </row>
    <row r="226" spans="1:35" ht="22.35" customHeight="1" x14ac:dyDescent="0.2">
      <c r="A226" s="2696"/>
      <c r="B226" s="2697" t="s">
        <v>293</v>
      </c>
      <c r="C226" s="644"/>
      <c r="D226" s="644"/>
      <c r="E226" s="644"/>
      <c r="F226" s="644"/>
      <c r="G226" s="644"/>
      <c r="H226" s="644"/>
      <c r="I226" s="644"/>
      <c r="J226" s="644"/>
      <c r="K226" s="644"/>
      <c r="L226" s="644"/>
      <c r="M226" s="644"/>
      <c r="N226" s="848"/>
      <c r="O226" s="848"/>
      <c r="P226" s="848"/>
      <c r="Q226" s="975"/>
      <c r="R226" s="848"/>
      <c r="S226" s="644"/>
      <c r="T226" s="644"/>
      <c r="U226" s="848"/>
      <c r="V226" s="848"/>
      <c r="W226" s="848"/>
      <c r="X226" s="644"/>
      <c r="Y226" s="848"/>
      <c r="Z226" s="644"/>
      <c r="AA226" s="644"/>
      <c r="AB226" s="644"/>
      <c r="AC226" s="644"/>
      <c r="AD226" s="975"/>
      <c r="AE226" s="975"/>
      <c r="AF226" s="975"/>
      <c r="AG226" s="2698"/>
      <c r="AH226" s="173"/>
      <c r="AI226" s="174"/>
    </row>
    <row r="227" spans="1:35" ht="22.35" customHeight="1" x14ac:dyDescent="0.2">
      <c r="A227" s="2699">
        <v>8514</v>
      </c>
      <c r="B227" s="2700" t="s">
        <v>294</v>
      </c>
      <c r="C227" s="644" t="s">
        <v>32</v>
      </c>
      <c r="D227" s="644" t="s">
        <v>32</v>
      </c>
      <c r="E227" s="644" t="s">
        <v>32</v>
      </c>
      <c r="F227" s="859" t="s">
        <v>32</v>
      </c>
      <c r="G227" s="644"/>
      <c r="H227" s="644"/>
      <c r="I227" s="644" t="s">
        <v>32</v>
      </c>
      <c r="J227" s="644" t="s">
        <v>32</v>
      </c>
      <c r="K227" s="644" t="s">
        <v>32</v>
      </c>
      <c r="L227" s="644" t="s">
        <v>32</v>
      </c>
      <c r="M227" s="644" t="s">
        <v>32</v>
      </c>
      <c r="N227" s="848"/>
      <c r="O227" s="848"/>
      <c r="P227" s="848" t="s">
        <v>32</v>
      </c>
      <c r="Q227" s="975" t="s">
        <v>32</v>
      </c>
      <c r="R227" s="848" t="s">
        <v>32</v>
      </c>
      <c r="S227" s="644" t="s">
        <v>32</v>
      </c>
      <c r="T227" s="644" t="s">
        <v>32</v>
      </c>
      <c r="U227" s="848"/>
      <c r="V227" s="848"/>
      <c r="W227" s="848" t="s">
        <v>32</v>
      </c>
      <c r="X227" s="848" t="s">
        <v>32</v>
      </c>
      <c r="Y227" s="848" t="s">
        <v>32</v>
      </c>
      <c r="Z227" s="644" t="s">
        <v>32</v>
      </c>
      <c r="AA227" s="644" t="s">
        <v>32</v>
      </c>
      <c r="AB227" s="644"/>
      <c r="AC227" s="644"/>
      <c r="AD227" s="975" t="s">
        <v>32</v>
      </c>
      <c r="AE227" s="975" t="s">
        <v>32</v>
      </c>
      <c r="AF227" s="975" t="s">
        <v>32</v>
      </c>
      <c r="AG227" s="2698"/>
      <c r="AH227" s="178"/>
      <c r="AI227" s="179"/>
    </row>
    <row r="228" spans="1:35" ht="21" customHeight="1" x14ac:dyDescent="0.2">
      <c r="A228" s="2699">
        <v>3701</v>
      </c>
      <c r="B228" s="2701" t="s">
        <v>295</v>
      </c>
      <c r="C228" s="644"/>
      <c r="D228" s="644"/>
      <c r="E228" s="644"/>
      <c r="F228" s="644"/>
      <c r="G228" s="644"/>
      <c r="H228" s="644"/>
      <c r="I228" s="644"/>
      <c r="J228" s="644"/>
      <c r="K228" s="644"/>
      <c r="L228" s="644"/>
      <c r="M228" s="644"/>
      <c r="N228" s="848"/>
      <c r="O228" s="848"/>
      <c r="P228" s="848"/>
      <c r="Q228" s="975"/>
      <c r="R228" s="848"/>
      <c r="S228" s="644"/>
      <c r="T228" s="644"/>
      <c r="U228" s="848"/>
      <c r="V228" s="848"/>
      <c r="W228" s="848"/>
      <c r="X228" s="644"/>
      <c r="Y228" s="848"/>
      <c r="Z228" s="644"/>
      <c r="AA228" s="644"/>
      <c r="AB228" s="644"/>
      <c r="AC228" s="644"/>
      <c r="AD228" s="848"/>
      <c r="AE228" s="848"/>
      <c r="AF228" s="848"/>
      <c r="AG228" s="2698"/>
      <c r="AH228" s="178"/>
      <c r="AI228" s="179"/>
    </row>
    <row r="229" spans="1:35" ht="21" customHeight="1" x14ac:dyDescent="0.2">
      <c r="A229" s="2699">
        <v>3701</v>
      </c>
      <c r="B229" s="933" t="s">
        <v>296</v>
      </c>
      <c r="C229" s="964" t="s">
        <v>32</v>
      </c>
      <c r="D229" s="964" t="s">
        <v>32</v>
      </c>
      <c r="E229" s="964" t="s">
        <v>32</v>
      </c>
      <c r="F229" s="964" t="s">
        <v>32</v>
      </c>
      <c r="G229" s="964"/>
      <c r="H229" s="964"/>
      <c r="I229" s="964" t="s">
        <v>32</v>
      </c>
      <c r="J229" s="964" t="s">
        <v>32</v>
      </c>
      <c r="K229" s="964" t="s">
        <v>32</v>
      </c>
      <c r="L229" s="964" t="s">
        <v>32</v>
      </c>
      <c r="M229" s="964" t="s">
        <v>32</v>
      </c>
      <c r="N229" s="964"/>
      <c r="O229" s="964"/>
      <c r="P229" s="964" t="s">
        <v>32</v>
      </c>
      <c r="Q229" s="964" t="s">
        <v>32</v>
      </c>
      <c r="R229" s="964" t="s">
        <v>32</v>
      </c>
      <c r="S229" s="964" t="s">
        <v>32</v>
      </c>
      <c r="T229" s="964" t="s">
        <v>32</v>
      </c>
      <c r="U229" s="845"/>
      <c r="V229" s="845"/>
      <c r="W229" s="845" t="s">
        <v>32</v>
      </c>
      <c r="X229" s="845" t="s">
        <v>32</v>
      </c>
      <c r="Y229" s="845" t="s">
        <v>32</v>
      </c>
      <c r="Z229" s="845" t="s">
        <v>32</v>
      </c>
      <c r="AA229" s="845" t="s">
        <v>32</v>
      </c>
      <c r="AB229" s="845"/>
      <c r="AC229" s="845"/>
      <c r="AD229" s="845" t="s">
        <v>32</v>
      </c>
      <c r="AE229" s="845" t="s">
        <v>32</v>
      </c>
      <c r="AF229" s="845" t="s">
        <v>32</v>
      </c>
      <c r="AG229" s="2702"/>
      <c r="AH229" s="178"/>
      <c r="AI229" s="179"/>
    </row>
    <row r="230" spans="1:35" ht="21" customHeight="1" x14ac:dyDescent="0.2">
      <c r="A230" s="2699">
        <v>3701</v>
      </c>
      <c r="B230" s="933" t="s">
        <v>297</v>
      </c>
      <c r="C230" s="964" t="s">
        <v>32</v>
      </c>
      <c r="D230" s="964" t="s">
        <v>32</v>
      </c>
      <c r="E230" s="964" t="s">
        <v>32</v>
      </c>
      <c r="F230" s="964" t="s">
        <v>32</v>
      </c>
      <c r="G230" s="964"/>
      <c r="H230" s="964"/>
      <c r="I230" s="964" t="s">
        <v>32</v>
      </c>
      <c r="J230" s="964" t="s">
        <v>32</v>
      </c>
      <c r="K230" s="964" t="s">
        <v>32</v>
      </c>
      <c r="L230" s="964" t="s">
        <v>32</v>
      </c>
      <c r="M230" s="964" t="s">
        <v>32</v>
      </c>
      <c r="N230" s="964"/>
      <c r="O230" s="964"/>
      <c r="P230" s="964" t="s">
        <v>32</v>
      </c>
      <c r="Q230" s="964" t="s">
        <v>32</v>
      </c>
      <c r="R230" s="964" t="s">
        <v>32</v>
      </c>
      <c r="S230" s="964" t="s">
        <v>32</v>
      </c>
      <c r="T230" s="964" t="s">
        <v>32</v>
      </c>
      <c r="U230" s="964"/>
      <c r="V230" s="964"/>
      <c r="W230" s="964" t="s">
        <v>32</v>
      </c>
      <c r="X230" s="964" t="s">
        <v>32</v>
      </c>
      <c r="Y230" s="964" t="s">
        <v>32</v>
      </c>
      <c r="Z230" s="964" t="s">
        <v>32</v>
      </c>
      <c r="AA230" s="964" t="s">
        <v>32</v>
      </c>
      <c r="AB230" s="964"/>
      <c r="AC230" s="964"/>
      <c r="AD230" s="964" t="s">
        <v>32</v>
      </c>
      <c r="AE230" s="964" t="s">
        <v>32</v>
      </c>
      <c r="AF230" s="964" t="s">
        <v>32</v>
      </c>
      <c r="AG230" s="2703"/>
      <c r="AH230" s="178"/>
      <c r="AI230" s="179"/>
    </row>
    <row r="231" spans="1:35" ht="21" customHeight="1" x14ac:dyDescent="0.2">
      <c r="A231" s="2699">
        <v>3701</v>
      </c>
      <c r="B231" s="933" t="s">
        <v>298</v>
      </c>
      <c r="C231" s="644" t="s">
        <v>32</v>
      </c>
      <c r="D231" s="2704" t="s">
        <v>32</v>
      </c>
      <c r="E231" s="644" t="s">
        <v>32</v>
      </c>
      <c r="F231" s="644" t="s">
        <v>32</v>
      </c>
      <c r="G231" s="644"/>
      <c r="H231" s="644"/>
      <c r="I231" s="644" t="s">
        <v>32</v>
      </c>
      <c r="J231" s="644" t="s">
        <v>32</v>
      </c>
      <c r="K231" s="644" t="s">
        <v>32</v>
      </c>
      <c r="L231" s="644" t="s">
        <v>32</v>
      </c>
      <c r="M231" s="644" t="s">
        <v>32</v>
      </c>
      <c r="N231" s="848"/>
      <c r="O231" s="848"/>
      <c r="P231" s="848" t="s">
        <v>32</v>
      </c>
      <c r="Q231" s="975" t="s">
        <v>32</v>
      </c>
      <c r="R231" s="848" t="s">
        <v>32</v>
      </c>
      <c r="S231" s="2704" t="s">
        <v>32</v>
      </c>
      <c r="T231" s="644" t="s">
        <v>32</v>
      </c>
      <c r="U231" s="848"/>
      <c r="V231" s="848"/>
      <c r="W231" s="848" t="s">
        <v>32</v>
      </c>
      <c r="X231" s="644" t="s">
        <v>32</v>
      </c>
      <c r="Y231" s="980" t="s">
        <v>32</v>
      </c>
      <c r="Z231" s="644" t="s">
        <v>32</v>
      </c>
      <c r="AA231" s="644" t="s">
        <v>32</v>
      </c>
      <c r="AB231" s="644"/>
      <c r="AC231" s="644"/>
      <c r="AD231" s="2704" t="s">
        <v>32</v>
      </c>
      <c r="AE231" s="975" t="s">
        <v>32</v>
      </c>
      <c r="AF231" s="975" t="s">
        <v>32</v>
      </c>
      <c r="AG231" s="2698"/>
      <c r="AH231" s="178"/>
      <c r="AI231" s="179"/>
    </row>
    <row r="232" spans="1:35" ht="22.35" customHeight="1" x14ac:dyDescent="0.2">
      <c r="A232" s="2699">
        <v>3701</v>
      </c>
      <c r="B232" s="2701" t="s">
        <v>299</v>
      </c>
      <c r="C232" s="644"/>
      <c r="D232" s="644"/>
      <c r="E232" s="644"/>
      <c r="F232" s="644"/>
      <c r="G232" s="644"/>
      <c r="H232" s="848"/>
      <c r="I232" s="848"/>
      <c r="J232" s="644"/>
      <c r="K232" s="644"/>
      <c r="L232" s="644"/>
      <c r="M232" s="644"/>
      <c r="N232" s="848"/>
      <c r="O232" s="848"/>
      <c r="P232" s="848"/>
      <c r="Q232" s="975"/>
      <c r="R232" s="848"/>
      <c r="S232" s="644"/>
      <c r="T232" s="644"/>
      <c r="U232" s="848"/>
      <c r="V232" s="848"/>
      <c r="W232" s="848"/>
      <c r="X232" s="644"/>
      <c r="Y232" s="848"/>
      <c r="Z232" s="644"/>
      <c r="AA232" s="644"/>
      <c r="AB232" s="644"/>
      <c r="AC232" s="644"/>
      <c r="AD232" s="848"/>
      <c r="AE232" s="848"/>
      <c r="AF232" s="848"/>
      <c r="AG232" s="2698"/>
      <c r="AH232" s="178"/>
      <c r="AI232" s="179"/>
    </row>
    <row r="233" spans="1:35" ht="22.35" customHeight="1" x14ac:dyDescent="0.2">
      <c r="A233" s="2699">
        <v>3701</v>
      </c>
      <c r="B233" s="933" t="s">
        <v>300</v>
      </c>
      <c r="C233" s="644" t="s">
        <v>32</v>
      </c>
      <c r="D233" s="644" t="s">
        <v>32</v>
      </c>
      <c r="E233" s="644" t="s">
        <v>32</v>
      </c>
      <c r="F233" s="644" t="s">
        <v>32</v>
      </c>
      <c r="G233" s="644"/>
      <c r="H233" s="644"/>
      <c r="I233" s="644" t="s">
        <v>32</v>
      </c>
      <c r="J233" s="644" t="s">
        <v>32</v>
      </c>
      <c r="K233" s="644" t="s">
        <v>32</v>
      </c>
      <c r="L233" s="644" t="s">
        <v>32</v>
      </c>
      <c r="M233" s="644" t="s">
        <v>32</v>
      </c>
      <c r="N233" s="848"/>
      <c r="O233" s="848"/>
      <c r="P233" s="848" t="s">
        <v>32</v>
      </c>
      <c r="Q233" s="975" t="s">
        <v>32</v>
      </c>
      <c r="R233" s="848" t="s">
        <v>32</v>
      </c>
      <c r="S233" s="644" t="s">
        <v>32</v>
      </c>
      <c r="T233" s="644" t="s">
        <v>32</v>
      </c>
      <c r="U233" s="848"/>
      <c r="V233" s="848"/>
      <c r="W233" s="848" t="s">
        <v>32</v>
      </c>
      <c r="X233" s="644" t="s">
        <v>32</v>
      </c>
      <c r="Y233" s="848" t="s">
        <v>32</v>
      </c>
      <c r="Z233" s="644" t="s">
        <v>32</v>
      </c>
      <c r="AA233" s="644" t="s">
        <v>32</v>
      </c>
      <c r="AB233" s="644"/>
      <c r="AC233" s="644"/>
      <c r="AD233" s="848" t="s">
        <v>32</v>
      </c>
      <c r="AE233" s="848" t="s">
        <v>32</v>
      </c>
      <c r="AF233" s="848" t="s">
        <v>32</v>
      </c>
      <c r="AG233" s="2698"/>
      <c r="AH233" s="178"/>
      <c r="AI233" s="179"/>
    </row>
    <row r="234" spans="1:35" ht="22.35" customHeight="1" x14ac:dyDescent="0.2">
      <c r="A234" s="2699">
        <v>3701</v>
      </c>
      <c r="B234" s="933" t="s">
        <v>301</v>
      </c>
      <c r="C234" s="644" t="s">
        <v>32</v>
      </c>
      <c r="D234" s="644" t="s">
        <v>32</v>
      </c>
      <c r="E234" s="644" t="s">
        <v>32</v>
      </c>
      <c r="F234" s="644" t="s">
        <v>32</v>
      </c>
      <c r="G234" s="644"/>
      <c r="H234" s="975"/>
      <c r="I234" s="644" t="s">
        <v>32</v>
      </c>
      <c r="J234" s="644" t="s">
        <v>32</v>
      </c>
      <c r="K234" s="644" t="s">
        <v>32</v>
      </c>
      <c r="L234" s="644" t="s">
        <v>32</v>
      </c>
      <c r="M234" s="644" t="s">
        <v>32</v>
      </c>
      <c r="N234" s="848"/>
      <c r="O234" s="848"/>
      <c r="P234" s="848" t="s">
        <v>32</v>
      </c>
      <c r="Q234" s="975" t="s">
        <v>32</v>
      </c>
      <c r="R234" s="848" t="s">
        <v>32</v>
      </c>
      <c r="S234" s="2705" t="s">
        <v>32</v>
      </c>
      <c r="T234" s="644" t="s">
        <v>32</v>
      </c>
      <c r="U234" s="848"/>
      <c r="V234" s="848"/>
      <c r="W234" s="848" t="s">
        <v>32</v>
      </c>
      <c r="X234" s="848" t="s">
        <v>32</v>
      </c>
      <c r="Y234" s="848" t="s">
        <v>32</v>
      </c>
      <c r="Z234" s="644" t="s">
        <v>32</v>
      </c>
      <c r="AA234" s="644" t="s">
        <v>32</v>
      </c>
      <c r="AB234" s="644"/>
      <c r="AC234" s="2705"/>
      <c r="AD234" s="2705" t="s">
        <v>32</v>
      </c>
      <c r="AE234" s="2705" t="s">
        <v>32</v>
      </c>
      <c r="AF234" s="2705" t="s">
        <v>32</v>
      </c>
      <c r="AG234" s="2698"/>
      <c r="AH234" s="178"/>
      <c r="AI234" s="179"/>
    </row>
    <row r="235" spans="1:35" ht="22.35" customHeight="1" x14ac:dyDescent="0.2">
      <c r="A235" s="2706">
        <v>3701</v>
      </c>
      <c r="B235" s="933" t="s">
        <v>302</v>
      </c>
      <c r="C235" s="644" t="s">
        <v>32</v>
      </c>
      <c r="D235" s="644" t="s">
        <v>32</v>
      </c>
      <c r="E235" s="644" t="s">
        <v>32</v>
      </c>
      <c r="F235" s="644" t="s">
        <v>32</v>
      </c>
      <c r="G235" s="644"/>
      <c r="H235" s="644"/>
      <c r="I235" s="644" t="s">
        <v>32</v>
      </c>
      <c r="J235" s="644" t="s">
        <v>32</v>
      </c>
      <c r="K235" s="644" t="s">
        <v>32</v>
      </c>
      <c r="L235" s="644" t="s">
        <v>32</v>
      </c>
      <c r="M235" s="644" t="s">
        <v>32</v>
      </c>
      <c r="N235" s="848"/>
      <c r="O235" s="848"/>
      <c r="P235" s="848" t="s">
        <v>32</v>
      </c>
      <c r="Q235" s="975" t="s">
        <v>32</v>
      </c>
      <c r="R235" s="848" t="s">
        <v>32</v>
      </c>
      <c r="S235" s="644" t="s">
        <v>32</v>
      </c>
      <c r="T235" s="644" t="s">
        <v>32</v>
      </c>
      <c r="U235" s="848"/>
      <c r="V235" s="848"/>
      <c r="W235" s="848" t="s">
        <v>32</v>
      </c>
      <c r="X235" s="644" t="s">
        <v>32</v>
      </c>
      <c r="Y235" s="848" t="s">
        <v>32</v>
      </c>
      <c r="Z235" s="644" t="s">
        <v>32</v>
      </c>
      <c r="AA235" s="644" t="s">
        <v>32</v>
      </c>
      <c r="AB235" s="644"/>
      <c r="AC235" s="644"/>
      <c r="AD235" s="848" t="s">
        <v>32</v>
      </c>
      <c r="AE235" s="848" t="s">
        <v>32</v>
      </c>
      <c r="AF235" s="848" t="s">
        <v>32</v>
      </c>
      <c r="AG235" s="2698"/>
      <c r="AH235" s="178"/>
      <c r="AI235" s="179"/>
    </row>
    <row r="236" spans="1:35" ht="22.35" customHeight="1" x14ac:dyDescent="0.2">
      <c r="A236" s="2699">
        <v>3701</v>
      </c>
      <c r="B236" s="933"/>
      <c r="C236" s="644" t="s">
        <v>32</v>
      </c>
      <c r="D236" s="644" t="s">
        <v>32</v>
      </c>
      <c r="E236" s="644" t="s">
        <v>32</v>
      </c>
      <c r="F236" s="644" t="s">
        <v>32</v>
      </c>
      <c r="G236" s="644"/>
      <c r="H236" s="644"/>
      <c r="I236" s="644" t="s">
        <v>32</v>
      </c>
      <c r="J236" s="644" t="s">
        <v>32</v>
      </c>
      <c r="K236" s="644" t="s">
        <v>32</v>
      </c>
      <c r="L236" s="644" t="s">
        <v>32</v>
      </c>
      <c r="M236" s="644" t="s">
        <v>32</v>
      </c>
      <c r="N236" s="848"/>
      <c r="O236" s="848"/>
      <c r="P236" s="848" t="s">
        <v>32</v>
      </c>
      <c r="Q236" s="975" t="s">
        <v>32</v>
      </c>
      <c r="R236" s="848" t="s">
        <v>32</v>
      </c>
      <c r="S236" s="644" t="s">
        <v>32</v>
      </c>
      <c r="T236" s="644" t="s">
        <v>32</v>
      </c>
      <c r="U236" s="848"/>
      <c r="V236" s="848"/>
      <c r="W236" s="848" t="s">
        <v>32</v>
      </c>
      <c r="X236" s="644" t="s">
        <v>32</v>
      </c>
      <c r="Y236" s="848" t="s">
        <v>32</v>
      </c>
      <c r="Z236" s="644" t="s">
        <v>32</v>
      </c>
      <c r="AA236" s="644" t="s">
        <v>32</v>
      </c>
      <c r="AB236" s="644"/>
      <c r="AC236" s="644"/>
      <c r="AD236" s="848" t="s">
        <v>32</v>
      </c>
      <c r="AE236" s="848" t="s">
        <v>32</v>
      </c>
      <c r="AF236" s="848" t="s">
        <v>32</v>
      </c>
      <c r="AG236" s="2707"/>
      <c r="AH236" s="178"/>
      <c r="AI236" s="179"/>
    </row>
    <row r="237" spans="1:35" ht="22.35" customHeight="1" x14ac:dyDescent="0.2">
      <c r="A237" s="2699">
        <v>3701</v>
      </c>
      <c r="B237" s="933" t="s">
        <v>454</v>
      </c>
      <c r="C237" s="644" t="s">
        <v>32</v>
      </c>
      <c r="D237" s="644" t="s">
        <v>32</v>
      </c>
      <c r="E237" s="644" t="s">
        <v>32</v>
      </c>
      <c r="F237" s="859" t="s">
        <v>32</v>
      </c>
      <c r="G237" s="644"/>
      <c r="H237" s="644"/>
      <c r="I237" s="644" t="s">
        <v>32</v>
      </c>
      <c r="J237" s="644" t="s">
        <v>32</v>
      </c>
      <c r="K237" s="644" t="s">
        <v>32</v>
      </c>
      <c r="L237" s="644" t="s">
        <v>32</v>
      </c>
      <c r="M237" s="644" t="s">
        <v>32</v>
      </c>
      <c r="N237" s="848"/>
      <c r="O237" s="848"/>
      <c r="P237" s="848" t="s">
        <v>32</v>
      </c>
      <c r="Q237" s="975" t="s">
        <v>32</v>
      </c>
      <c r="R237" s="848" t="s">
        <v>32</v>
      </c>
      <c r="S237" s="644" t="s">
        <v>32</v>
      </c>
      <c r="T237" s="644" t="s">
        <v>32</v>
      </c>
      <c r="U237" s="848"/>
      <c r="V237" s="848"/>
      <c r="W237" s="848" t="s">
        <v>32</v>
      </c>
      <c r="X237" s="644" t="s">
        <v>32</v>
      </c>
      <c r="Y237" s="859" t="s">
        <v>32</v>
      </c>
      <c r="Z237" s="644" t="s">
        <v>32</v>
      </c>
      <c r="AA237" s="644" t="s">
        <v>32</v>
      </c>
      <c r="AB237" s="644"/>
      <c r="AC237" s="644"/>
      <c r="AD237" s="848" t="s">
        <v>32</v>
      </c>
      <c r="AE237" s="848" t="s">
        <v>32</v>
      </c>
      <c r="AF237" s="848" t="s">
        <v>32</v>
      </c>
      <c r="AG237" s="2708"/>
      <c r="AH237" s="178"/>
      <c r="AI237" s="179"/>
    </row>
    <row r="238" spans="1:35" ht="22.35" customHeight="1" x14ac:dyDescent="0.2">
      <c r="A238" s="2699"/>
      <c r="B238" s="933"/>
      <c r="C238" s="644" t="s">
        <v>32</v>
      </c>
      <c r="D238" s="644" t="s">
        <v>32</v>
      </c>
      <c r="E238" s="644" t="s">
        <v>32</v>
      </c>
      <c r="F238" s="644" t="s">
        <v>32</v>
      </c>
      <c r="G238" s="644"/>
      <c r="H238" s="644"/>
      <c r="I238" s="644" t="s">
        <v>32</v>
      </c>
      <c r="J238" s="644" t="s">
        <v>32</v>
      </c>
      <c r="K238" s="644" t="s">
        <v>32</v>
      </c>
      <c r="L238" s="644" t="s">
        <v>32</v>
      </c>
      <c r="M238" s="644" t="s">
        <v>32</v>
      </c>
      <c r="N238" s="848"/>
      <c r="O238" s="848"/>
      <c r="P238" s="848" t="s">
        <v>32</v>
      </c>
      <c r="Q238" s="975" t="s">
        <v>32</v>
      </c>
      <c r="R238" s="848" t="s">
        <v>32</v>
      </c>
      <c r="S238" s="644" t="s">
        <v>32</v>
      </c>
      <c r="T238" s="644" t="s">
        <v>32</v>
      </c>
      <c r="U238" s="848"/>
      <c r="V238" s="848"/>
      <c r="W238" s="848" t="s">
        <v>32</v>
      </c>
      <c r="X238" s="848" t="s">
        <v>32</v>
      </c>
      <c r="Y238" s="848" t="s">
        <v>32</v>
      </c>
      <c r="Z238" s="644" t="s">
        <v>32</v>
      </c>
      <c r="AA238" s="644" t="s">
        <v>32</v>
      </c>
      <c r="AB238" s="644"/>
      <c r="AC238" s="848"/>
      <c r="AD238" s="848" t="s">
        <v>32</v>
      </c>
      <c r="AE238" s="848" t="s">
        <v>32</v>
      </c>
      <c r="AF238" s="848" t="s">
        <v>32</v>
      </c>
      <c r="AG238" s="2698"/>
      <c r="AH238" s="178"/>
      <c r="AI238" s="179"/>
    </row>
    <row r="239" spans="1:35" ht="22.35" customHeight="1" x14ac:dyDescent="0.2">
      <c r="A239" s="2699"/>
      <c r="B239" s="933" t="s">
        <v>306</v>
      </c>
      <c r="C239" s="644" t="s">
        <v>32</v>
      </c>
      <c r="D239" s="644" t="s">
        <v>32</v>
      </c>
      <c r="E239" s="644" t="s">
        <v>32</v>
      </c>
      <c r="F239" s="644" t="s">
        <v>32</v>
      </c>
      <c r="G239" s="644"/>
      <c r="H239" s="644"/>
      <c r="I239" s="644" t="s">
        <v>32</v>
      </c>
      <c r="J239" s="644" t="s">
        <v>32</v>
      </c>
      <c r="K239" s="644" t="s">
        <v>32</v>
      </c>
      <c r="L239" s="644" t="s">
        <v>32</v>
      </c>
      <c r="M239" s="964" t="s">
        <v>51</v>
      </c>
      <c r="N239" s="848"/>
      <c r="O239" s="848"/>
      <c r="P239" s="848" t="s">
        <v>32</v>
      </c>
      <c r="Q239" s="975" t="s">
        <v>32</v>
      </c>
      <c r="R239" s="848" t="s">
        <v>32</v>
      </c>
      <c r="S239" s="644" t="s">
        <v>32</v>
      </c>
      <c r="T239" s="644" t="s">
        <v>32</v>
      </c>
      <c r="U239" s="848"/>
      <c r="V239" s="848"/>
      <c r="W239" s="848" t="s">
        <v>32</v>
      </c>
      <c r="X239" s="2709" t="s">
        <v>32</v>
      </c>
      <c r="Y239" s="848" t="s">
        <v>32</v>
      </c>
      <c r="Z239" s="644" t="s">
        <v>32</v>
      </c>
      <c r="AA239" s="644" t="s">
        <v>32</v>
      </c>
      <c r="AB239" s="644"/>
      <c r="AC239" s="644"/>
      <c r="AD239" s="2709" t="s">
        <v>32</v>
      </c>
      <c r="AE239" s="2709" t="s">
        <v>32</v>
      </c>
      <c r="AF239" s="2709" t="s">
        <v>32</v>
      </c>
      <c r="AG239" s="2698"/>
      <c r="AH239" s="178"/>
      <c r="AI239" s="179"/>
    </row>
    <row r="240" spans="1:35" ht="22.35" customHeight="1" x14ac:dyDescent="0.2">
      <c r="A240" s="2699"/>
      <c r="B240" s="2701" t="s">
        <v>307</v>
      </c>
      <c r="C240" s="644"/>
      <c r="D240" s="644"/>
      <c r="E240" s="644"/>
      <c r="F240" s="644"/>
      <c r="G240" s="644"/>
      <c r="H240" s="644"/>
      <c r="I240" s="644"/>
      <c r="J240" s="644"/>
      <c r="K240" s="644"/>
      <c r="L240" s="644"/>
      <c r="M240" s="644"/>
      <c r="N240" s="848"/>
      <c r="O240" s="848"/>
      <c r="P240" s="848"/>
      <c r="Q240" s="975"/>
      <c r="R240" s="848"/>
      <c r="S240" s="644"/>
      <c r="T240" s="644"/>
      <c r="U240" s="848"/>
      <c r="V240" s="848"/>
      <c r="W240" s="848"/>
      <c r="X240" s="644"/>
      <c r="Y240" s="848"/>
      <c r="Z240" s="644"/>
      <c r="AA240" s="644"/>
      <c r="AB240" s="644"/>
      <c r="AC240" s="644"/>
      <c r="AD240" s="644"/>
      <c r="AE240" s="644"/>
      <c r="AF240" s="644"/>
      <c r="AG240" s="2698"/>
      <c r="AH240" s="178"/>
      <c r="AI240" s="179"/>
    </row>
    <row r="241" spans="1:35" ht="22.35" customHeight="1" x14ac:dyDescent="0.2">
      <c r="A241" s="2699"/>
      <c r="B241" s="933" t="s">
        <v>308</v>
      </c>
      <c r="C241" s="644" t="s">
        <v>32</v>
      </c>
      <c r="D241" s="644" t="s">
        <v>32</v>
      </c>
      <c r="E241" s="644" t="s">
        <v>32</v>
      </c>
      <c r="F241" s="644" t="s">
        <v>32</v>
      </c>
      <c r="G241" s="644"/>
      <c r="H241" s="644"/>
      <c r="I241" s="644" t="s">
        <v>32</v>
      </c>
      <c r="J241" s="2710" t="s">
        <v>32</v>
      </c>
      <c r="K241" s="644" t="s">
        <v>32</v>
      </c>
      <c r="L241" s="644" t="s">
        <v>32</v>
      </c>
      <c r="M241" s="644" t="s">
        <v>32</v>
      </c>
      <c r="N241" s="848"/>
      <c r="O241" s="848"/>
      <c r="P241" s="848" t="s">
        <v>32</v>
      </c>
      <c r="Q241" s="2711" t="s">
        <v>32</v>
      </c>
      <c r="R241" s="848" t="s">
        <v>32</v>
      </c>
      <c r="S241" s="2710" t="s">
        <v>32</v>
      </c>
      <c r="T241" s="2710" t="s">
        <v>32</v>
      </c>
      <c r="U241" s="848"/>
      <c r="V241" s="848"/>
      <c r="W241" s="848" t="s">
        <v>32</v>
      </c>
      <c r="X241" s="644" t="s">
        <v>32</v>
      </c>
      <c r="Y241" s="848" t="s">
        <v>32</v>
      </c>
      <c r="Z241" s="644" t="s">
        <v>32</v>
      </c>
      <c r="AA241" s="644" t="s">
        <v>32</v>
      </c>
      <c r="AB241" s="644"/>
      <c r="AC241" s="644"/>
      <c r="AD241" s="644" t="s">
        <v>32</v>
      </c>
      <c r="AE241" s="644" t="s">
        <v>32</v>
      </c>
      <c r="AF241" s="644" t="s">
        <v>32</v>
      </c>
      <c r="AG241" s="2698"/>
      <c r="AH241" s="178"/>
      <c r="AI241" s="179"/>
    </row>
    <row r="242" spans="1:35" ht="22.35" customHeight="1" x14ac:dyDescent="0.2">
      <c r="A242" s="2699"/>
      <c r="B242" s="933" t="s">
        <v>309</v>
      </c>
      <c r="C242" s="644" t="s">
        <v>32</v>
      </c>
      <c r="D242" s="644" t="s">
        <v>32</v>
      </c>
      <c r="E242" s="644" t="s">
        <v>32</v>
      </c>
      <c r="F242" s="644" t="s">
        <v>32</v>
      </c>
      <c r="G242" s="644"/>
      <c r="H242" s="644"/>
      <c r="I242" s="644" t="s">
        <v>32</v>
      </c>
      <c r="J242" s="644" t="s">
        <v>32</v>
      </c>
      <c r="K242" s="644" t="s">
        <v>32</v>
      </c>
      <c r="L242" s="644" t="s">
        <v>32</v>
      </c>
      <c r="M242" s="644" t="s">
        <v>32</v>
      </c>
      <c r="N242" s="848"/>
      <c r="O242" s="848"/>
      <c r="P242" s="848" t="s">
        <v>32</v>
      </c>
      <c r="Q242" s="975" t="s">
        <v>32</v>
      </c>
      <c r="R242" s="848" t="s">
        <v>32</v>
      </c>
      <c r="S242" s="644" t="s">
        <v>32</v>
      </c>
      <c r="T242" s="644" t="s">
        <v>32</v>
      </c>
      <c r="U242" s="848"/>
      <c r="V242" s="848"/>
      <c r="W242" s="848" t="s">
        <v>32</v>
      </c>
      <c r="X242" s="644" t="s">
        <v>32</v>
      </c>
      <c r="Y242" s="848" t="s">
        <v>32</v>
      </c>
      <c r="Z242" s="644" t="s">
        <v>32</v>
      </c>
      <c r="AA242" s="644" t="s">
        <v>32</v>
      </c>
      <c r="AB242" s="644"/>
      <c r="AC242" s="644"/>
      <c r="AD242" s="644" t="s">
        <v>32</v>
      </c>
      <c r="AE242" s="644" t="s">
        <v>32</v>
      </c>
      <c r="AF242" s="848" t="s">
        <v>32</v>
      </c>
      <c r="AG242" s="2707"/>
      <c r="AH242" s="178"/>
      <c r="AI242" s="179"/>
    </row>
    <row r="243" spans="1:35" ht="22.35" customHeight="1" x14ac:dyDescent="0.2">
      <c r="A243" s="2699"/>
      <c r="B243" s="933"/>
      <c r="C243" s="644" t="s">
        <v>32</v>
      </c>
      <c r="D243" s="644" t="s">
        <v>32</v>
      </c>
      <c r="E243" s="644" t="s">
        <v>32</v>
      </c>
      <c r="F243" s="644" t="s">
        <v>32</v>
      </c>
      <c r="G243" s="644"/>
      <c r="H243" s="644"/>
      <c r="I243" s="644" t="s">
        <v>32</v>
      </c>
      <c r="J243" s="644" t="s">
        <v>32</v>
      </c>
      <c r="K243" s="644" t="s">
        <v>32</v>
      </c>
      <c r="L243" s="644" t="s">
        <v>32</v>
      </c>
      <c r="M243" s="644" t="s">
        <v>32</v>
      </c>
      <c r="N243" s="848"/>
      <c r="O243" s="848"/>
      <c r="P243" s="848" t="s">
        <v>32</v>
      </c>
      <c r="Q243" s="975" t="s">
        <v>32</v>
      </c>
      <c r="R243" s="848" t="s">
        <v>32</v>
      </c>
      <c r="S243" s="644" t="s">
        <v>32</v>
      </c>
      <c r="T243" s="644" t="s">
        <v>32</v>
      </c>
      <c r="U243" s="848"/>
      <c r="V243" s="848"/>
      <c r="W243" s="848" t="s">
        <v>32</v>
      </c>
      <c r="X243" s="848" t="s">
        <v>32</v>
      </c>
      <c r="Y243" s="848" t="s">
        <v>32</v>
      </c>
      <c r="Z243" s="644" t="s">
        <v>32</v>
      </c>
      <c r="AA243" s="644" t="s">
        <v>32</v>
      </c>
      <c r="AB243" s="644"/>
      <c r="AC243" s="848"/>
      <c r="AD243" s="848" t="s">
        <v>32</v>
      </c>
      <c r="AE243" s="848" t="s">
        <v>32</v>
      </c>
      <c r="AF243" s="848" t="s">
        <v>32</v>
      </c>
      <c r="AG243" s="2707"/>
      <c r="AH243" s="175"/>
      <c r="AI243" s="107"/>
    </row>
    <row r="244" spans="1:35" ht="22.35" customHeight="1" x14ac:dyDescent="0.2">
      <c r="A244" s="2699"/>
      <c r="B244" s="933" t="s">
        <v>311</v>
      </c>
      <c r="C244" s="644" t="s">
        <v>32</v>
      </c>
      <c r="D244" s="644" t="s">
        <v>32</v>
      </c>
      <c r="E244" s="644" t="s">
        <v>32</v>
      </c>
      <c r="F244" s="644" t="s">
        <v>32</v>
      </c>
      <c r="G244" s="644"/>
      <c r="H244" s="644"/>
      <c r="I244" s="644" t="s">
        <v>32</v>
      </c>
      <c r="J244" s="644" t="s">
        <v>32</v>
      </c>
      <c r="K244" s="644" t="s">
        <v>32</v>
      </c>
      <c r="L244" s="644" t="s">
        <v>32</v>
      </c>
      <c r="M244" s="644" t="s">
        <v>32</v>
      </c>
      <c r="N244" s="848"/>
      <c r="O244" s="848"/>
      <c r="P244" s="848" t="s">
        <v>32</v>
      </c>
      <c r="Q244" s="975" t="s">
        <v>32</v>
      </c>
      <c r="R244" s="964" t="s">
        <v>32</v>
      </c>
      <c r="S244" s="964" t="s">
        <v>51</v>
      </c>
      <c r="T244" s="2712" t="s">
        <v>32</v>
      </c>
      <c r="U244" s="848"/>
      <c r="V244" s="848"/>
      <c r="W244" s="848" t="s">
        <v>32</v>
      </c>
      <c r="X244" s="964" t="s">
        <v>32</v>
      </c>
      <c r="Y244" s="964" t="s">
        <v>32</v>
      </c>
      <c r="Z244" s="964" t="s">
        <v>32</v>
      </c>
      <c r="AA244" s="964" t="s">
        <v>32</v>
      </c>
      <c r="AB244" s="964"/>
      <c r="AC244" s="964"/>
      <c r="AD244" s="964" t="s">
        <v>32</v>
      </c>
      <c r="AE244" s="964" t="s">
        <v>32</v>
      </c>
      <c r="AF244" s="964" t="s">
        <v>32</v>
      </c>
      <c r="AG244" s="2703"/>
      <c r="AH244" s="175"/>
      <c r="AI244" s="107"/>
    </row>
    <row r="245" spans="1:35" ht="22.35" customHeight="1" x14ac:dyDescent="0.2">
      <c r="A245" s="845"/>
      <c r="B245" s="2713"/>
      <c r="C245" s="644"/>
      <c r="D245" s="644"/>
      <c r="E245" s="644"/>
      <c r="F245" s="644"/>
      <c r="G245" s="644"/>
      <c r="H245" s="644"/>
      <c r="I245" s="644"/>
      <c r="J245" s="644"/>
      <c r="K245" s="644"/>
      <c r="L245" s="644"/>
      <c r="M245" s="644"/>
      <c r="N245" s="644"/>
      <c r="O245" s="644"/>
      <c r="P245" s="644"/>
      <c r="Q245" s="644"/>
      <c r="R245" s="644"/>
      <c r="S245" s="644"/>
      <c r="T245" s="644"/>
      <c r="U245" s="644"/>
      <c r="V245" s="644"/>
      <c r="W245" s="644"/>
      <c r="X245" s="644"/>
      <c r="Y245" s="644"/>
      <c r="Z245" s="644"/>
      <c r="AA245" s="644"/>
      <c r="AB245" s="644"/>
      <c r="AC245" s="644"/>
      <c r="AD245" s="644"/>
      <c r="AE245" s="644"/>
      <c r="AF245" s="644"/>
      <c r="AG245" s="2698"/>
      <c r="AH245" s="175"/>
      <c r="AI245" s="107"/>
    </row>
    <row r="246" spans="1:35" ht="22.35" customHeight="1" x14ac:dyDescent="0.2">
      <c r="A246" s="845"/>
      <c r="B246" s="933"/>
      <c r="C246" s="644"/>
      <c r="D246" s="644"/>
      <c r="E246" s="644"/>
      <c r="F246" s="644"/>
      <c r="G246" s="644"/>
      <c r="H246" s="644"/>
      <c r="I246" s="644"/>
      <c r="J246" s="644"/>
      <c r="K246" s="644"/>
      <c r="L246" s="644"/>
      <c r="M246" s="644"/>
      <c r="N246" s="848"/>
      <c r="O246" s="848"/>
      <c r="P246" s="848"/>
      <c r="Q246" s="975"/>
      <c r="R246" s="848"/>
      <c r="S246" s="644"/>
      <c r="T246" s="644"/>
      <c r="U246" s="848"/>
      <c r="V246" s="848"/>
      <c r="W246" s="848"/>
      <c r="X246" s="644"/>
      <c r="Y246" s="848"/>
      <c r="Z246" s="644"/>
      <c r="AA246" s="644"/>
      <c r="AB246" s="644"/>
      <c r="AC246" s="644"/>
      <c r="AD246" s="644"/>
      <c r="AE246" s="644"/>
      <c r="AF246" s="848"/>
      <c r="AG246" s="2707"/>
      <c r="AH246" s="175"/>
      <c r="AI246" s="107"/>
    </row>
    <row r="247" spans="1:35" ht="22.35" customHeight="1" x14ac:dyDescent="0.2">
      <c r="A247" s="845"/>
      <c r="B247" s="845"/>
      <c r="C247" s="644"/>
      <c r="D247" s="644"/>
      <c r="E247" s="644"/>
      <c r="F247" s="644"/>
      <c r="G247" s="644"/>
      <c r="H247" s="644"/>
      <c r="I247" s="644"/>
      <c r="J247" s="644"/>
      <c r="K247" s="644"/>
      <c r="L247" s="644"/>
      <c r="M247" s="644"/>
      <c r="N247" s="644"/>
      <c r="O247" s="644"/>
      <c r="P247" s="644"/>
      <c r="Q247" s="644"/>
      <c r="R247" s="644"/>
      <c r="S247" s="644"/>
      <c r="T247" s="644"/>
      <c r="U247" s="644"/>
      <c r="V247" s="644"/>
      <c r="W247" s="644"/>
      <c r="X247" s="644"/>
      <c r="Y247" s="644"/>
      <c r="Z247" s="644"/>
      <c r="AA247" s="644"/>
      <c r="AB247" s="644"/>
      <c r="AC247" s="644"/>
      <c r="AD247" s="644"/>
      <c r="AE247" s="644"/>
      <c r="AF247" s="644"/>
      <c r="AG247" s="2698"/>
      <c r="AH247" s="175"/>
      <c r="AI247" s="107"/>
    </row>
    <row r="248" spans="1:35" ht="22.35" customHeight="1" x14ac:dyDescent="0.2">
      <c r="A248" s="845"/>
      <c r="B248" s="845"/>
      <c r="C248" s="644"/>
      <c r="D248" s="644"/>
      <c r="E248" s="644"/>
      <c r="F248" s="644"/>
      <c r="G248" s="644"/>
      <c r="H248" s="2714"/>
      <c r="I248" s="644"/>
      <c r="J248" s="644"/>
      <c r="K248" s="644"/>
      <c r="L248" s="644"/>
      <c r="M248" s="644"/>
      <c r="N248" s="644"/>
      <c r="O248" s="644"/>
      <c r="P248" s="644"/>
      <c r="Q248" s="644"/>
      <c r="R248" s="644"/>
      <c r="S248" s="644"/>
      <c r="T248" s="644"/>
      <c r="U248" s="644"/>
      <c r="V248" s="644"/>
      <c r="W248" s="644"/>
      <c r="X248" s="644"/>
      <c r="Y248" s="644"/>
      <c r="Z248" s="644"/>
      <c r="AA248" s="644"/>
      <c r="AB248" s="644"/>
      <c r="AC248" s="644"/>
      <c r="AD248" s="644"/>
      <c r="AE248" s="644"/>
      <c r="AF248" s="644"/>
      <c r="AG248" s="2715"/>
      <c r="AH248" s="175"/>
      <c r="AI248" s="107"/>
    </row>
    <row r="249" spans="1:35" ht="22.35" customHeight="1" x14ac:dyDescent="0.2">
      <c r="A249" s="2699"/>
      <c r="B249" s="2716"/>
      <c r="C249" s="644"/>
      <c r="D249" s="644"/>
      <c r="E249" s="644"/>
      <c r="F249" s="644"/>
      <c r="G249" s="644"/>
      <c r="H249" s="644"/>
      <c r="I249" s="644"/>
      <c r="J249" s="644"/>
      <c r="K249" s="644"/>
      <c r="L249" s="644"/>
      <c r="M249" s="644"/>
      <c r="N249" s="644"/>
      <c r="O249" s="644"/>
      <c r="P249" s="644"/>
      <c r="Q249" s="644"/>
      <c r="R249" s="644"/>
      <c r="S249" s="644"/>
      <c r="T249" s="644"/>
      <c r="U249" s="644"/>
      <c r="V249" s="644"/>
      <c r="W249" s="644"/>
      <c r="X249" s="644"/>
      <c r="Y249" s="644"/>
      <c r="Z249" s="644"/>
      <c r="AA249" s="644"/>
      <c r="AB249" s="644"/>
      <c r="AC249" s="644"/>
      <c r="AD249" s="644"/>
      <c r="AE249" s="644"/>
      <c r="AF249" s="644"/>
      <c r="AG249" s="2715"/>
      <c r="AH249" s="175"/>
      <c r="AI249" s="107"/>
    </row>
    <row r="250" spans="1:35" ht="22.35" customHeight="1" x14ac:dyDescent="0.2">
      <c r="A250" s="2699"/>
      <c r="B250" s="2717"/>
      <c r="C250" s="644"/>
      <c r="D250" s="644"/>
      <c r="E250" s="644"/>
      <c r="F250" s="644"/>
      <c r="G250" s="644"/>
      <c r="H250" s="644"/>
      <c r="I250" s="644"/>
      <c r="J250" s="644"/>
      <c r="K250" s="644"/>
      <c r="L250" s="644"/>
      <c r="M250" s="644"/>
      <c r="N250" s="644"/>
      <c r="O250" s="644"/>
      <c r="P250" s="644"/>
      <c r="Q250" s="644"/>
      <c r="R250" s="644"/>
      <c r="S250" s="644"/>
      <c r="T250" s="644"/>
      <c r="U250" s="644"/>
      <c r="V250" s="644"/>
      <c r="W250" s="644"/>
      <c r="X250" s="644"/>
      <c r="Y250" s="644"/>
      <c r="Z250" s="644"/>
      <c r="AA250" s="644"/>
      <c r="AB250" s="644"/>
      <c r="AC250" s="644"/>
      <c r="AD250" s="644"/>
      <c r="AE250" s="644"/>
      <c r="AF250" s="644"/>
      <c r="AG250" s="2715"/>
      <c r="AH250" s="175"/>
      <c r="AI250" s="107"/>
    </row>
    <row r="251" spans="1:35" ht="22.35" customHeight="1" x14ac:dyDescent="0.2">
      <c r="A251" s="108"/>
      <c r="B251" s="121"/>
      <c r="C251" s="106"/>
      <c r="D251" s="106"/>
      <c r="E251" s="106"/>
      <c r="F251" s="106"/>
      <c r="G251" s="106"/>
      <c r="H251" s="106"/>
      <c r="I251" s="106"/>
      <c r="J251" s="106"/>
      <c r="L251" s="106"/>
      <c r="M251" s="106"/>
      <c r="N251" s="106"/>
      <c r="O251" s="106"/>
      <c r="P251" s="72"/>
      <c r="Q251" s="72"/>
      <c r="R251" s="72"/>
      <c r="S251" s="106"/>
      <c r="T251" s="106"/>
      <c r="U251" s="106"/>
      <c r="V251" s="106"/>
      <c r="W251" s="106"/>
      <c r="X251" s="106"/>
      <c r="Y251" s="106"/>
      <c r="Z251" s="106"/>
      <c r="AA251" s="106"/>
      <c r="AB251" s="106"/>
      <c r="AC251" s="106"/>
      <c r="AD251" s="106"/>
      <c r="AE251" s="106"/>
      <c r="AF251" s="106"/>
      <c r="AG251" s="106"/>
      <c r="AH251" s="107"/>
      <c r="AI251" s="107"/>
    </row>
    <row r="255" spans="1:35" ht="21" customHeight="1" thickBot="1" x14ac:dyDescent="0.25">
      <c r="A255" s="158" t="s">
        <v>312</v>
      </c>
    </row>
    <row r="256" spans="1:35" ht="21" customHeight="1" x14ac:dyDescent="0.2">
      <c r="B256" s="2718" t="s">
        <v>281</v>
      </c>
      <c r="C256" s="2525"/>
      <c r="D256" s="2569" t="s">
        <v>107</v>
      </c>
      <c r="E256" s="2426"/>
      <c r="F256" s="2518"/>
      <c r="G256" s="2525"/>
      <c r="H256" s="2569" t="s">
        <v>108</v>
      </c>
      <c r="I256" s="2426"/>
      <c r="J256" s="2518"/>
      <c r="K256" s="2525"/>
      <c r="L256" s="2569" t="s">
        <v>109</v>
      </c>
      <c r="M256" s="2426"/>
      <c r="N256" s="2518"/>
      <c r="O256" s="2525"/>
      <c r="P256" s="2569" t="s">
        <v>110</v>
      </c>
      <c r="Q256" s="2426"/>
      <c r="R256" s="2518"/>
      <c r="S256" s="2525"/>
      <c r="T256" s="2569" t="s">
        <v>111</v>
      </c>
      <c r="U256" s="2426"/>
      <c r="V256" s="2518"/>
      <c r="W256" s="2525"/>
      <c r="X256" s="2569" t="s">
        <v>112</v>
      </c>
      <c r="Y256" s="2426"/>
      <c r="Z256" s="2518"/>
      <c r="AA256" s="2525"/>
      <c r="AB256" s="2569" t="s">
        <v>113</v>
      </c>
      <c r="AC256" s="2426"/>
      <c r="AD256" s="2426"/>
      <c r="AE256" s="2572" t="s">
        <v>114</v>
      </c>
      <c r="AF256" s="2426"/>
      <c r="AG256" s="2426"/>
      <c r="AH256" s="2426"/>
      <c r="AI256" s="2427"/>
    </row>
    <row r="257" spans="1:35" ht="21" customHeight="1" x14ac:dyDescent="0.2">
      <c r="B257" s="3"/>
      <c r="C257" s="287" t="s">
        <v>313</v>
      </c>
      <c r="D257" s="116"/>
      <c r="E257" s="283"/>
      <c r="F257" s="284"/>
      <c r="G257" s="287" t="s">
        <v>313</v>
      </c>
      <c r="H257" s="116"/>
      <c r="I257" s="283"/>
      <c r="J257" s="284"/>
      <c r="K257" s="287" t="s">
        <v>313</v>
      </c>
      <c r="L257" s="116"/>
      <c r="M257" s="283"/>
      <c r="N257" s="284"/>
      <c r="O257" s="287" t="s">
        <v>313</v>
      </c>
      <c r="P257" s="282"/>
      <c r="Q257" s="283"/>
      <c r="R257" s="284"/>
      <c r="S257" s="288" t="s">
        <v>314</v>
      </c>
      <c r="T257" s="116"/>
      <c r="U257" s="283"/>
      <c r="V257" s="284"/>
      <c r="W257" s="154"/>
      <c r="X257" s="116"/>
      <c r="Y257" s="162"/>
      <c r="Z257" s="164"/>
      <c r="AA257" s="154"/>
      <c r="AB257" s="116"/>
      <c r="AC257" s="162"/>
      <c r="AD257" s="162"/>
      <c r="AE257" s="117"/>
      <c r="AF257" s="162"/>
      <c r="AG257" s="14"/>
      <c r="AH257" s="14"/>
      <c r="AI257" s="118"/>
    </row>
    <row r="258" spans="1:35" ht="21" customHeight="1" x14ac:dyDescent="0.2">
      <c r="A258" s="110"/>
      <c r="B258" s="2719"/>
      <c r="C258" s="2624" t="s">
        <v>189</v>
      </c>
      <c r="D258" s="2720"/>
      <c r="E258" s="283"/>
      <c r="F258" s="284"/>
      <c r="G258" s="2624" t="s">
        <v>189</v>
      </c>
      <c r="H258" s="116"/>
      <c r="I258" s="283"/>
      <c r="J258" s="284"/>
      <c r="K258" s="2624" t="s">
        <v>189</v>
      </c>
      <c r="L258" s="116"/>
      <c r="M258" s="283"/>
      <c r="N258" s="284"/>
      <c r="O258" s="2624" t="s">
        <v>189</v>
      </c>
      <c r="P258" s="116"/>
      <c r="Q258" s="283"/>
      <c r="R258" s="284"/>
      <c r="S258" s="287" t="s">
        <v>315</v>
      </c>
      <c r="T258" s="116"/>
      <c r="U258" s="283"/>
      <c r="V258" s="284"/>
      <c r="W258" s="154"/>
      <c r="X258" s="116"/>
      <c r="Y258" s="162"/>
      <c r="Z258" s="164"/>
      <c r="AA258" s="154"/>
      <c r="AB258" s="116"/>
      <c r="AC258" s="162"/>
      <c r="AD258" s="162"/>
      <c r="AE258" s="117"/>
      <c r="AF258" s="162"/>
      <c r="AG258" s="14"/>
      <c r="AH258" s="14"/>
      <c r="AI258" s="118"/>
    </row>
    <row r="259" spans="1:35" ht="21" customHeight="1" x14ac:dyDescent="0.2">
      <c r="B259" s="2719"/>
      <c r="C259" s="2624" t="s">
        <v>192</v>
      </c>
      <c r="D259" s="2720"/>
      <c r="E259" s="283"/>
      <c r="F259" s="284"/>
      <c r="G259" s="2624" t="s">
        <v>192</v>
      </c>
      <c r="H259" s="116"/>
      <c r="I259" s="283"/>
      <c r="J259" s="284"/>
      <c r="K259" s="2624" t="s">
        <v>192</v>
      </c>
      <c r="L259" s="116"/>
      <c r="M259" s="283"/>
      <c r="N259" s="284"/>
      <c r="O259" s="2624" t="s">
        <v>192</v>
      </c>
      <c r="P259" s="116"/>
      <c r="Q259" s="283"/>
      <c r="R259" s="284"/>
      <c r="S259" s="2624" t="s">
        <v>187</v>
      </c>
      <c r="T259" s="116"/>
      <c r="U259" s="283"/>
      <c r="V259" s="284"/>
      <c r="W259" s="154"/>
      <c r="X259" s="116"/>
      <c r="Y259" s="162"/>
      <c r="Z259" s="164"/>
      <c r="AA259" s="154"/>
      <c r="AB259" s="116"/>
      <c r="AC259" s="162"/>
      <c r="AD259" s="162"/>
      <c r="AE259" s="117"/>
      <c r="AF259" s="162"/>
      <c r="AG259" s="14"/>
      <c r="AH259" s="14"/>
      <c r="AI259" s="118"/>
    </row>
    <row r="260" spans="1:35" ht="21" customHeight="1" x14ac:dyDescent="0.2">
      <c r="B260" s="2719"/>
      <c r="C260" s="640"/>
      <c r="D260" s="641"/>
      <c r="E260" s="162"/>
      <c r="F260" s="164"/>
      <c r="G260" s="640"/>
      <c r="H260" s="641"/>
      <c r="I260" s="162"/>
      <c r="J260" s="164"/>
      <c r="K260" s="640"/>
      <c r="L260" s="641"/>
      <c r="M260" s="162"/>
      <c r="N260" s="164"/>
      <c r="O260" s="640"/>
      <c r="P260" s="641"/>
      <c r="Q260" s="162"/>
      <c r="R260" s="164"/>
      <c r="S260" s="640"/>
      <c r="T260" s="641"/>
      <c r="U260" s="162"/>
      <c r="V260" s="164"/>
      <c r="W260" s="154"/>
      <c r="X260" s="116"/>
      <c r="Y260" s="162"/>
      <c r="Z260" s="164"/>
      <c r="AA260" s="154"/>
      <c r="AB260" s="116"/>
      <c r="AC260" s="162"/>
      <c r="AD260" s="162"/>
      <c r="AE260" s="117"/>
      <c r="AF260" s="162"/>
      <c r="AG260" s="14"/>
      <c r="AH260" s="14"/>
      <c r="AI260" s="118"/>
    </row>
    <row r="261" spans="1:35" ht="21" customHeight="1" x14ac:dyDescent="0.2">
      <c r="B261" s="2719"/>
      <c r="C261" s="2575"/>
      <c r="D261" s="641"/>
      <c r="E261" s="162"/>
      <c r="F261" s="164"/>
      <c r="G261" s="116"/>
      <c r="H261" s="116"/>
      <c r="I261" s="162"/>
      <c r="J261" s="164"/>
      <c r="K261" s="116"/>
      <c r="L261" s="116"/>
      <c r="M261" s="162"/>
      <c r="N261" s="164"/>
      <c r="O261" s="116"/>
      <c r="P261" s="116"/>
      <c r="Q261" s="162"/>
      <c r="R261" s="164"/>
      <c r="S261" s="116"/>
      <c r="T261" s="116"/>
      <c r="U261" s="162"/>
      <c r="V261" s="164"/>
      <c r="W261" s="154"/>
      <c r="X261" s="116"/>
      <c r="Y261" s="162"/>
      <c r="Z261" s="164"/>
      <c r="AA261" s="154"/>
      <c r="AB261" s="116"/>
      <c r="AC261" s="162"/>
      <c r="AD261" s="162"/>
      <c r="AE261" s="117"/>
      <c r="AF261" s="162"/>
      <c r="AG261" s="14"/>
      <c r="AH261" s="14"/>
      <c r="AI261" s="118"/>
    </row>
    <row r="262" spans="1:35" ht="21" customHeight="1" x14ac:dyDescent="0.2">
      <c r="B262" s="2719" t="s">
        <v>159</v>
      </c>
      <c r="C262" s="2575" t="s">
        <v>316</v>
      </c>
      <c r="D262" s="2720"/>
      <c r="E262" s="283"/>
      <c r="F262" s="284"/>
      <c r="G262" s="2575" t="s">
        <v>316</v>
      </c>
      <c r="H262" s="2720"/>
      <c r="I262" s="283"/>
      <c r="J262" s="284"/>
      <c r="K262" s="2575" t="s">
        <v>316</v>
      </c>
      <c r="L262" s="2720"/>
      <c r="M262" s="283"/>
      <c r="N262" s="284"/>
      <c r="O262" s="2575" t="s">
        <v>316</v>
      </c>
      <c r="P262" s="2720"/>
      <c r="Q262" s="283"/>
      <c r="R262" s="284"/>
      <c r="S262" s="116" t="s">
        <v>317</v>
      </c>
      <c r="T262" s="116"/>
      <c r="U262" s="283"/>
      <c r="V262" s="284"/>
      <c r="W262" s="154"/>
      <c r="X262" s="116"/>
      <c r="Y262" s="162"/>
      <c r="Z262" s="164"/>
      <c r="AA262" s="154"/>
      <c r="AB262" s="116"/>
      <c r="AC262" s="162"/>
      <c r="AD262" s="162"/>
      <c r="AE262" s="117"/>
      <c r="AF262" s="162"/>
      <c r="AG262" s="14"/>
      <c r="AH262" s="14"/>
      <c r="AI262" s="118"/>
    </row>
    <row r="263" spans="1:35" ht="21" customHeight="1" x14ac:dyDescent="0.2">
      <c r="B263" s="2719" t="s">
        <v>163</v>
      </c>
      <c r="C263" s="2575" t="s">
        <v>318</v>
      </c>
      <c r="D263" s="2720"/>
      <c r="E263" s="283"/>
      <c r="F263" s="284"/>
      <c r="G263" s="2575" t="s">
        <v>318</v>
      </c>
      <c r="H263" s="2720"/>
      <c r="I263" s="283"/>
      <c r="J263" s="284"/>
      <c r="K263" s="2575" t="s">
        <v>318</v>
      </c>
      <c r="L263" s="2720"/>
      <c r="M263" s="283"/>
      <c r="N263" s="284"/>
      <c r="O263" s="2575" t="s">
        <v>318</v>
      </c>
      <c r="P263" s="2720"/>
      <c r="Q263" s="283"/>
      <c r="R263" s="284"/>
      <c r="S263" s="116" t="s">
        <v>319</v>
      </c>
      <c r="T263" s="116"/>
      <c r="U263" s="283"/>
      <c r="V263" s="284"/>
      <c r="W263" s="154"/>
      <c r="X263" s="116"/>
      <c r="Y263" s="162"/>
      <c r="Z263" s="164"/>
      <c r="AA263" s="154"/>
      <c r="AB263" s="116"/>
      <c r="AC263" s="162"/>
      <c r="AD263" s="162"/>
      <c r="AE263" s="117"/>
      <c r="AF263" s="162"/>
      <c r="AG263" s="14"/>
      <c r="AH263" s="14"/>
      <c r="AI263" s="118"/>
    </row>
    <row r="264" spans="1:35" ht="21" customHeight="1" thickBot="1" x14ac:dyDescent="0.25">
      <c r="B264" s="2721" t="s">
        <v>170</v>
      </c>
      <c r="C264" s="2587" t="s">
        <v>320</v>
      </c>
      <c r="D264" s="2722"/>
      <c r="E264" s="285"/>
      <c r="F264" s="286"/>
      <c r="G264" s="2587" t="s">
        <v>320</v>
      </c>
      <c r="H264" s="2722"/>
      <c r="I264" s="285"/>
      <c r="J264" s="286"/>
      <c r="K264" s="2587" t="s">
        <v>320</v>
      </c>
      <c r="L264" s="2722"/>
      <c r="M264" s="285"/>
      <c r="N264" s="286"/>
      <c r="O264" s="2587" t="s">
        <v>320</v>
      </c>
      <c r="P264" s="2722"/>
      <c r="Q264" s="285"/>
      <c r="R264" s="286"/>
      <c r="S264" s="225" t="s">
        <v>321</v>
      </c>
      <c r="T264" s="225"/>
      <c r="U264" s="285"/>
      <c r="V264" s="286"/>
      <c r="W264" s="277"/>
      <c r="X264" s="225"/>
      <c r="Y264" s="278"/>
      <c r="Z264" s="279"/>
      <c r="AA264" s="280"/>
      <c r="AB264" s="225"/>
      <c r="AC264" s="278"/>
      <c r="AD264" s="278"/>
      <c r="AE264" s="281"/>
      <c r="AF264" s="278"/>
      <c r="AG264" s="276"/>
      <c r="AH264" s="276"/>
      <c r="AI264" s="222"/>
    </row>
    <row r="265" spans="1:35" ht="21" customHeight="1" x14ac:dyDescent="0.2">
      <c r="B265" s="59"/>
      <c r="C265" s="64"/>
      <c r="D265" s="18"/>
      <c r="G265" s="64"/>
      <c r="H265" s="18"/>
      <c r="K265" s="64"/>
      <c r="L265" s="18"/>
      <c r="O265" s="64"/>
      <c r="P265" s="18"/>
      <c r="S265" s="64"/>
      <c r="T265" s="64"/>
      <c r="X265" s="64"/>
      <c r="AB265" s="64"/>
      <c r="AE265" s="64"/>
    </row>
    <row r="266" spans="1:35" ht="21" customHeight="1" x14ac:dyDescent="0.2">
      <c r="A266" s="122" t="s">
        <v>322</v>
      </c>
    </row>
    <row r="267" spans="1:35" ht="21" customHeight="1" thickBot="1" x14ac:dyDescent="0.25">
      <c r="A267" s="2564"/>
      <c r="B267" s="2264" t="s">
        <v>29</v>
      </c>
      <c r="C267" s="796">
        <v>1</v>
      </c>
      <c r="D267" s="796">
        <v>2</v>
      </c>
      <c r="E267" s="796">
        <v>3</v>
      </c>
      <c r="F267" s="796">
        <v>4</v>
      </c>
      <c r="G267" s="795">
        <v>5</v>
      </c>
      <c r="H267" s="795">
        <v>6</v>
      </c>
      <c r="I267" s="796">
        <v>7</v>
      </c>
      <c r="J267" s="796">
        <v>8</v>
      </c>
      <c r="K267" s="796">
        <v>9</v>
      </c>
      <c r="L267" s="796">
        <v>10</v>
      </c>
      <c r="M267" s="796">
        <v>11</v>
      </c>
      <c r="N267" s="795">
        <v>12</v>
      </c>
      <c r="O267" s="795">
        <v>13</v>
      </c>
      <c r="P267" s="796">
        <v>14</v>
      </c>
      <c r="Q267" s="796">
        <v>15</v>
      </c>
      <c r="R267" s="796">
        <v>16</v>
      </c>
      <c r="S267" s="796">
        <v>17</v>
      </c>
      <c r="T267" s="796">
        <v>18</v>
      </c>
      <c r="U267" s="795">
        <v>19</v>
      </c>
      <c r="V267" s="795">
        <v>20</v>
      </c>
      <c r="W267" s="796">
        <v>21</v>
      </c>
      <c r="X267" s="796">
        <v>22</v>
      </c>
      <c r="Y267" s="796">
        <v>23</v>
      </c>
      <c r="Z267" s="796">
        <v>24</v>
      </c>
      <c r="AA267" s="796">
        <v>25</v>
      </c>
      <c r="AB267" s="795">
        <v>26</v>
      </c>
      <c r="AC267" s="795">
        <v>27</v>
      </c>
      <c r="AD267" s="796">
        <v>28</v>
      </c>
      <c r="AE267" s="796">
        <v>29</v>
      </c>
      <c r="AF267" s="796">
        <v>30</v>
      </c>
      <c r="AG267" s="797"/>
      <c r="AH267" s="173"/>
      <c r="AI267" s="174"/>
    </row>
    <row r="268" spans="1:35" ht="21" customHeight="1" x14ac:dyDescent="0.2">
      <c r="A268" s="2723">
        <v>3702</v>
      </c>
      <c r="B268" s="172"/>
      <c r="C268" s="644" t="s">
        <v>32</v>
      </c>
      <c r="D268" s="644" t="s">
        <v>32</v>
      </c>
      <c r="E268" s="644" t="s">
        <v>32</v>
      </c>
      <c r="F268" s="644" t="s">
        <v>32</v>
      </c>
      <c r="G268" s="644"/>
      <c r="H268" s="644"/>
      <c r="I268" s="644" t="s">
        <v>32</v>
      </c>
      <c r="J268" s="644" t="s">
        <v>32</v>
      </c>
      <c r="K268" s="644" t="s">
        <v>32</v>
      </c>
      <c r="L268" s="644" t="s">
        <v>32</v>
      </c>
      <c r="M268" s="644" t="s">
        <v>32</v>
      </c>
      <c r="N268" s="644"/>
      <c r="O268" s="644"/>
      <c r="P268" s="644" t="s">
        <v>32</v>
      </c>
      <c r="Q268" s="644" t="s">
        <v>32</v>
      </c>
      <c r="R268" s="644" t="s">
        <v>32</v>
      </c>
      <c r="S268" s="644" t="s">
        <v>32</v>
      </c>
      <c r="T268" s="644" t="s">
        <v>32</v>
      </c>
      <c r="U268" s="644"/>
      <c r="V268" s="644"/>
      <c r="W268" s="644" t="s">
        <v>32</v>
      </c>
      <c r="X268" s="644" t="s">
        <v>32</v>
      </c>
      <c r="Y268" s="644" t="s">
        <v>32</v>
      </c>
      <c r="Z268" s="644" t="s">
        <v>32</v>
      </c>
      <c r="AA268" s="644" t="s">
        <v>32</v>
      </c>
      <c r="AB268" s="644"/>
      <c r="AC268" s="644"/>
      <c r="AD268" s="644" t="s">
        <v>32</v>
      </c>
      <c r="AE268" s="644" t="s">
        <v>32</v>
      </c>
      <c r="AF268" s="644" t="s">
        <v>32</v>
      </c>
      <c r="AG268" s="644"/>
      <c r="AH268" s="178"/>
      <c r="AI268" s="179"/>
    </row>
    <row r="269" spans="1:35" ht="21" customHeight="1" x14ac:dyDescent="0.2">
      <c r="A269" s="808"/>
      <c r="B269" s="2536" t="s">
        <v>323</v>
      </c>
      <c r="C269" s="644" t="s">
        <v>32</v>
      </c>
      <c r="D269" s="644" t="s">
        <v>32</v>
      </c>
      <c r="E269" s="644" t="s">
        <v>32</v>
      </c>
      <c r="F269" s="644" t="s">
        <v>32</v>
      </c>
      <c r="G269" s="644"/>
      <c r="H269" s="644"/>
      <c r="I269" s="644" t="s">
        <v>32</v>
      </c>
      <c r="J269" s="644" t="s">
        <v>32</v>
      </c>
      <c r="K269" s="644" t="s">
        <v>32</v>
      </c>
      <c r="L269" s="644" t="s">
        <v>32</v>
      </c>
      <c r="M269" s="644" t="s">
        <v>32</v>
      </c>
      <c r="N269" s="644"/>
      <c r="O269" s="644"/>
      <c r="P269" s="644" t="s">
        <v>32</v>
      </c>
      <c r="Q269" s="644" t="s">
        <v>32</v>
      </c>
      <c r="R269" s="644" t="s">
        <v>32</v>
      </c>
      <c r="S269" s="644" t="s">
        <v>32</v>
      </c>
      <c r="T269" s="644" t="s">
        <v>32</v>
      </c>
      <c r="U269" s="644"/>
      <c r="V269" s="644"/>
      <c r="W269" s="644" t="s">
        <v>32</v>
      </c>
      <c r="X269" s="644" t="s">
        <v>32</v>
      </c>
      <c r="Y269" s="644" t="s">
        <v>32</v>
      </c>
      <c r="Z269" s="644" t="s">
        <v>32</v>
      </c>
      <c r="AA269" s="644" t="s">
        <v>32</v>
      </c>
      <c r="AB269" s="644"/>
      <c r="AC269" s="644"/>
      <c r="AD269" s="644" t="s">
        <v>32</v>
      </c>
      <c r="AE269" s="644" t="s">
        <v>32</v>
      </c>
      <c r="AF269" s="644" t="s">
        <v>32</v>
      </c>
      <c r="AG269" s="644"/>
      <c r="AH269" s="178"/>
      <c r="AI269" s="179"/>
    </row>
    <row r="270" spans="1:35" ht="21" customHeight="1" x14ac:dyDescent="0.2">
      <c r="A270" s="2724"/>
      <c r="B270" s="2536"/>
      <c r="C270" s="644" t="s">
        <v>32</v>
      </c>
      <c r="D270" s="644" t="s">
        <v>32</v>
      </c>
      <c r="E270" s="644" t="s">
        <v>32</v>
      </c>
      <c r="F270" s="644" t="s">
        <v>32</v>
      </c>
      <c r="G270" s="644"/>
      <c r="H270" s="644"/>
      <c r="I270" s="644" t="s">
        <v>32</v>
      </c>
      <c r="J270" s="644" t="s">
        <v>32</v>
      </c>
      <c r="K270" s="644" t="s">
        <v>32</v>
      </c>
      <c r="L270" s="644" t="s">
        <v>32</v>
      </c>
      <c r="M270" s="644" t="s">
        <v>32</v>
      </c>
      <c r="N270" s="644"/>
      <c r="O270" s="644"/>
      <c r="P270" s="644" t="s">
        <v>32</v>
      </c>
      <c r="Q270" s="644" t="s">
        <v>32</v>
      </c>
      <c r="R270" s="644" t="s">
        <v>32</v>
      </c>
      <c r="S270" s="644" t="s">
        <v>32</v>
      </c>
      <c r="T270" s="644" t="s">
        <v>32</v>
      </c>
      <c r="U270" s="644"/>
      <c r="V270" s="644"/>
      <c r="W270" s="644" t="s">
        <v>32</v>
      </c>
      <c r="X270" s="644" t="s">
        <v>32</v>
      </c>
      <c r="Y270" s="644" t="s">
        <v>32</v>
      </c>
      <c r="Z270" s="644" t="s">
        <v>32</v>
      </c>
      <c r="AA270" s="644" t="s">
        <v>32</v>
      </c>
      <c r="AB270" s="644"/>
      <c r="AC270" s="644"/>
      <c r="AD270" s="644" t="s">
        <v>32</v>
      </c>
      <c r="AE270" s="644" t="s">
        <v>32</v>
      </c>
      <c r="AF270" s="644" t="s">
        <v>32</v>
      </c>
      <c r="AG270" s="644"/>
      <c r="AH270" s="178"/>
      <c r="AI270" s="179"/>
    </row>
    <row r="271" spans="1:35" ht="21" customHeight="1" thickBot="1" x14ac:dyDescent="0.25">
      <c r="A271" s="2725"/>
      <c r="B271" s="2726"/>
      <c r="C271" s="796"/>
      <c r="D271" s="796"/>
      <c r="E271" s="796"/>
      <c r="F271" s="796"/>
      <c r="G271" s="796"/>
      <c r="H271" s="796"/>
      <c r="I271" s="796"/>
      <c r="J271" s="796"/>
      <c r="K271" s="796"/>
      <c r="L271" s="796"/>
      <c r="M271" s="796"/>
      <c r="N271" s="796"/>
      <c r="O271" s="796"/>
      <c r="P271" s="796"/>
      <c r="Q271" s="796"/>
      <c r="R271" s="796"/>
      <c r="S271" s="796"/>
      <c r="T271" s="796"/>
      <c r="U271" s="796"/>
      <c r="V271" s="796"/>
      <c r="W271" s="796"/>
      <c r="X271" s="796"/>
      <c r="Y271" s="796"/>
      <c r="Z271" s="796"/>
      <c r="AA271" s="796"/>
      <c r="AB271" s="796"/>
      <c r="AC271" s="796"/>
      <c r="AD271" s="796"/>
      <c r="AE271" s="796"/>
      <c r="AF271" s="796"/>
      <c r="AG271" s="797"/>
      <c r="AH271" s="178"/>
      <c r="AI271" s="179"/>
    </row>
    <row r="272" spans="1:35" ht="21" customHeight="1" x14ac:dyDescent="0.2">
      <c r="A272" s="214"/>
      <c r="B272" s="667" t="s">
        <v>324</v>
      </c>
      <c r="C272" s="668"/>
      <c r="D272" s="668"/>
      <c r="E272" s="668"/>
      <c r="F272" s="668"/>
      <c r="G272" s="668"/>
      <c r="H272" s="668"/>
      <c r="I272" s="668"/>
      <c r="J272" s="668"/>
      <c r="K272" s="668"/>
      <c r="L272" s="668"/>
      <c r="M272" s="668"/>
      <c r="N272" s="668"/>
      <c r="O272" s="668"/>
      <c r="P272" s="668"/>
      <c r="Q272" s="668"/>
      <c r="R272" s="668"/>
      <c r="S272" s="668"/>
      <c r="T272" s="668"/>
      <c r="U272" s="668"/>
      <c r="V272" s="668"/>
      <c r="W272" s="668"/>
      <c r="X272" s="668"/>
      <c r="Y272" s="668"/>
      <c r="Z272" s="668"/>
      <c r="AA272" s="668"/>
      <c r="AB272" s="668"/>
      <c r="AC272" s="668"/>
      <c r="AD272" s="668"/>
      <c r="AE272" s="668"/>
      <c r="AF272" s="668"/>
      <c r="AG272" s="669"/>
      <c r="AH272" s="176"/>
      <c r="AI272" s="177"/>
    </row>
    <row r="273" spans="1:36" ht="21" customHeight="1" x14ac:dyDescent="0.2">
      <c r="A273" s="2723">
        <v>3702</v>
      </c>
      <c r="B273" s="2727" t="s">
        <v>325</v>
      </c>
      <c r="C273" s="2728" t="s">
        <v>326</v>
      </c>
      <c r="D273" s="2728" t="s">
        <v>326</v>
      </c>
      <c r="E273" s="2728" t="s">
        <v>326</v>
      </c>
      <c r="F273" s="2728" t="s">
        <v>326</v>
      </c>
      <c r="G273" s="2728"/>
      <c r="H273" s="2728"/>
      <c r="I273" s="2728" t="s">
        <v>326</v>
      </c>
      <c r="J273" s="2728" t="s">
        <v>326</v>
      </c>
      <c r="K273" s="2728" t="s">
        <v>326</v>
      </c>
      <c r="L273" s="2728" t="s">
        <v>326</v>
      </c>
      <c r="M273" s="2728" t="s">
        <v>326</v>
      </c>
      <c r="N273" s="2728"/>
      <c r="O273" s="820"/>
      <c r="P273" s="820" t="s">
        <v>326</v>
      </c>
      <c r="Q273" s="2728" t="s">
        <v>326</v>
      </c>
      <c r="R273" s="2728" t="s">
        <v>326</v>
      </c>
      <c r="S273" s="2728" t="s">
        <v>326</v>
      </c>
      <c r="T273" s="2728" t="s">
        <v>326</v>
      </c>
      <c r="U273" s="820"/>
      <c r="V273" s="820"/>
      <c r="W273" s="820" t="s">
        <v>326</v>
      </c>
      <c r="X273" s="820" t="s">
        <v>326</v>
      </c>
      <c r="Y273" s="820" t="s">
        <v>326</v>
      </c>
      <c r="Z273" s="820" t="s">
        <v>326</v>
      </c>
      <c r="AA273" s="820" t="s">
        <v>326</v>
      </c>
      <c r="AB273" s="820"/>
      <c r="AC273" s="820"/>
      <c r="AD273" s="820" t="s">
        <v>326</v>
      </c>
      <c r="AE273" s="820" t="s">
        <v>326</v>
      </c>
      <c r="AF273" s="820" t="s">
        <v>326</v>
      </c>
      <c r="AG273" s="820"/>
      <c r="AH273" s="178"/>
      <c r="AI273" s="179"/>
    </row>
    <row r="274" spans="1:36" ht="21" customHeight="1" x14ac:dyDescent="0.2">
      <c r="A274" s="2723"/>
      <c r="B274" s="2527" t="s">
        <v>327</v>
      </c>
      <c r="C274" s="868" t="s">
        <v>328</v>
      </c>
      <c r="D274" s="868" t="s">
        <v>328</v>
      </c>
      <c r="E274" s="868" t="s">
        <v>328</v>
      </c>
      <c r="F274" s="868" t="s">
        <v>328</v>
      </c>
      <c r="G274" s="868"/>
      <c r="H274" s="868"/>
      <c r="I274" s="868" t="s">
        <v>328</v>
      </c>
      <c r="J274" s="868" t="s">
        <v>328</v>
      </c>
      <c r="K274" s="868" t="s">
        <v>328</v>
      </c>
      <c r="L274" s="868" t="s">
        <v>328</v>
      </c>
      <c r="M274" s="2728" t="s">
        <v>328</v>
      </c>
      <c r="N274" s="2728"/>
      <c r="O274" s="2728"/>
      <c r="P274" s="2728" t="s">
        <v>328</v>
      </c>
      <c r="Q274" s="2728" t="s">
        <v>328</v>
      </c>
      <c r="R274" s="2728" t="s">
        <v>328</v>
      </c>
      <c r="S274" s="2728" t="s">
        <v>386</v>
      </c>
      <c r="T274" s="2729" t="s">
        <v>328</v>
      </c>
      <c r="U274" s="868"/>
      <c r="V274" s="868"/>
      <c r="W274" s="868" t="s">
        <v>328</v>
      </c>
      <c r="X274" s="868" t="s">
        <v>328</v>
      </c>
      <c r="Y274" s="868" t="s">
        <v>328</v>
      </c>
      <c r="Z274" s="868" t="s">
        <v>328</v>
      </c>
      <c r="AA274" s="868" t="s">
        <v>328</v>
      </c>
      <c r="AB274" s="868"/>
      <c r="AC274" s="868"/>
      <c r="AD274" s="868" t="s">
        <v>328</v>
      </c>
      <c r="AE274" s="868" t="s">
        <v>328</v>
      </c>
      <c r="AF274" s="868" t="s">
        <v>328</v>
      </c>
      <c r="AG274" s="815"/>
      <c r="AH274" s="178"/>
      <c r="AI274" s="179"/>
    </row>
    <row r="275" spans="1:36" ht="21" customHeight="1" thickBot="1" x14ac:dyDescent="0.25">
      <c r="A275" s="2730"/>
      <c r="B275" s="2731" t="s">
        <v>329</v>
      </c>
      <c r="C275" s="908" t="s">
        <v>330</v>
      </c>
      <c r="D275" s="908" t="s">
        <v>330</v>
      </c>
      <c r="E275" s="908" t="s">
        <v>330</v>
      </c>
      <c r="F275" s="908" t="s">
        <v>330</v>
      </c>
      <c r="G275" s="908"/>
      <c r="H275" s="907"/>
      <c r="I275" s="911" t="s">
        <v>330</v>
      </c>
      <c r="J275" s="908" t="s">
        <v>330</v>
      </c>
      <c r="K275" s="908" t="s">
        <v>330</v>
      </c>
      <c r="L275" s="908" t="s">
        <v>330</v>
      </c>
      <c r="M275" s="908" t="s">
        <v>330</v>
      </c>
      <c r="N275" s="908"/>
      <c r="O275" s="907"/>
      <c r="P275" s="907" t="s">
        <v>330</v>
      </c>
      <c r="Q275" s="908" t="s">
        <v>330</v>
      </c>
      <c r="R275" s="908" t="s">
        <v>330</v>
      </c>
      <c r="S275" s="908" t="s">
        <v>330</v>
      </c>
      <c r="T275" s="908" t="s">
        <v>330</v>
      </c>
      <c r="U275" s="908"/>
      <c r="V275" s="907"/>
      <c r="W275" s="907" t="s">
        <v>330</v>
      </c>
      <c r="X275" s="908" t="s">
        <v>330</v>
      </c>
      <c r="Y275" s="908" t="s">
        <v>330</v>
      </c>
      <c r="Z275" s="908" t="s">
        <v>330</v>
      </c>
      <c r="AA275" s="908" t="s">
        <v>330</v>
      </c>
      <c r="AB275" s="908"/>
      <c r="AC275" s="907"/>
      <c r="AD275" s="907" t="s">
        <v>330</v>
      </c>
      <c r="AE275" s="908" t="s">
        <v>330</v>
      </c>
      <c r="AF275" s="908" t="s">
        <v>330</v>
      </c>
      <c r="AG275" s="930"/>
      <c r="AH275" s="178"/>
      <c r="AI275" s="179"/>
    </row>
    <row r="276" spans="1:36" ht="21" customHeight="1" x14ac:dyDescent="0.2"/>
    <row r="277" spans="1:36" ht="24" customHeight="1" x14ac:dyDescent="0.2"/>
    <row r="278" spans="1:36" ht="25.5" customHeight="1" thickBot="1" x14ac:dyDescent="0.25">
      <c r="A278" s="158" t="s">
        <v>331</v>
      </c>
    </row>
    <row r="279" spans="1:36" ht="21" customHeight="1" x14ac:dyDescent="0.2">
      <c r="A279" s="1"/>
      <c r="B279" s="2718" t="s">
        <v>281</v>
      </c>
      <c r="C279" s="2525"/>
      <c r="D279" s="2569" t="s">
        <v>107</v>
      </c>
      <c r="E279" s="2426"/>
      <c r="F279" s="2518"/>
      <c r="G279" s="2525"/>
      <c r="H279" s="2569" t="s">
        <v>108</v>
      </c>
      <c r="I279" s="2426"/>
      <c r="J279" s="2518"/>
      <c r="K279" s="2525"/>
      <c r="L279" s="2569" t="s">
        <v>109</v>
      </c>
      <c r="M279" s="2426"/>
      <c r="N279" s="2518"/>
      <c r="O279" s="2525"/>
      <c r="P279" s="2569" t="s">
        <v>110</v>
      </c>
      <c r="Q279" s="2426"/>
      <c r="R279" s="2518"/>
      <c r="S279" s="2525"/>
      <c r="T279" s="2569" t="s">
        <v>111</v>
      </c>
      <c r="U279" s="2426"/>
      <c r="V279" s="2518"/>
      <c r="W279" s="2525"/>
      <c r="X279" s="2569" t="s">
        <v>112</v>
      </c>
      <c r="Y279" s="2426"/>
      <c r="Z279" s="2518"/>
      <c r="AA279" s="2525"/>
      <c r="AB279" s="2569" t="s">
        <v>113</v>
      </c>
      <c r="AC279" s="2426"/>
      <c r="AD279" s="2426"/>
      <c r="AE279" s="2572" t="s">
        <v>114</v>
      </c>
      <c r="AF279" s="2426"/>
      <c r="AG279" s="2426"/>
      <c r="AH279" s="2426"/>
      <c r="AI279" s="2427"/>
    </row>
    <row r="280" spans="1:36" ht="21" customHeight="1" x14ac:dyDescent="0.2">
      <c r="A280" s="1"/>
      <c r="B280" s="3"/>
      <c r="C280" s="8"/>
      <c r="D280" s="116"/>
      <c r="E280" s="14"/>
      <c r="F280" s="115"/>
      <c r="G280" s="8"/>
      <c r="H280" s="116"/>
      <c r="I280" s="14"/>
      <c r="J280" s="115"/>
      <c r="K280" s="8"/>
      <c r="L280" s="116"/>
      <c r="M280" s="14"/>
      <c r="N280" s="115"/>
      <c r="O280" s="8"/>
      <c r="P280" s="116"/>
      <c r="Q280" s="14"/>
      <c r="R280" s="115"/>
      <c r="S280" s="8"/>
      <c r="T280" s="116"/>
      <c r="U280" s="14"/>
      <c r="V280" s="115"/>
      <c r="W280" s="8"/>
      <c r="X280" s="116"/>
      <c r="Y280" s="14"/>
      <c r="Z280" s="115"/>
      <c r="AA280" s="8"/>
      <c r="AB280" s="116"/>
      <c r="AC280" s="14"/>
      <c r="AD280" s="14"/>
      <c r="AE280" s="117"/>
      <c r="AF280" s="14"/>
      <c r="AG280" s="14"/>
      <c r="AH280" s="14"/>
      <c r="AI280" s="118"/>
    </row>
    <row r="281" spans="1:36" ht="21" customHeight="1" x14ac:dyDescent="0.2">
      <c r="A281" s="110"/>
      <c r="B281" s="2719"/>
      <c r="C281" s="640"/>
      <c r="D281" s="425"/>
      <c r="E281" s="425"/>
      <c r="F281" s="2577"/>
      <c r="G281" s="640"/>
      <c r="H281" s="425"/>
      <c r="I281" s="425"/>
      <c r="J281" s="2577"/>
      <c r="K281" s="640"/>
      <c r="L281" s="425"/>
      <c r="M281" s="425"/>
      <c r="N281" s="2577"/>
      <c r="O281" s="640"/>
      <c r="P281" s="425"/>
      <c r="Q281" s="425"/>
      <c r="R281" s="2577"/>
      <c r="S281" s="640"/>
      <c r="T281" s="425"/>
      <c r="U281" s="425"/>
      <c r="V281" s="2577"/>
      <c r="W281" s="640"/>
      <c r="X281" s="425"/>
      <c r="Y281" s="425"/>
      <c r="Z281" s="2577"/>
      <c r="AA281" s="2575"/>
      <c r="AB281" s="425"/>
      <c r="AC281" s="425"/>
      <c r="AD281" s="641"/>
      <c r="AE281" s="2732"/>
      <c r="AF281" s="425"/>
      <c r="AG281" s="425"/>
      <c r="AH281" s="641"/>
      <c r="AI281" s="432"/>
    </row>
    <row r="282" spans="1:36" ht="21" customHeight="1" thickBot="1" x14ac:dyDescent="0.25">
      <c r="A282" s="1"/>
      <c r="B282" s="1056"/>
      <c r="C282" s="2587"/>
      <c r="D282" s="734"/>
      <c r="E282" s="734"/>
      <c r="F282" s="2614"/>
      <c r="G282" s="2587"/>
      <c r="H282" s="734"/>
      <c r="I282" s="734"/>
      <c r="J282" s="2614"/>
      <c r="K282" s="2587"/>
      <c r="L282" s="734"/>
      <c r="M282" s="734"/>
      <c r="N282" s="2614"/>
      <c r="O282" s="2587"/>
      <c r="P282" s="734"/>
      <c r="Q282" s="734"/>
      <c r="R282" s="2614"/>
      <c r="S282" s="2587"/>
      <c r="T282" s="734"/>
      <c r="U282" s="734"/>
      <c r="V282" s="2614"/>
      <c r="W282" s="2612"/>
      <c r="X282" s="734"/>
      <c r="Y282" s="734"/>
      <c r="Z282" s="2614"/>
      <c r="AA282" s="2612"/>
      <c r="AB282" s="734"/>
      <c r="AC282" s="734"/>
      <c r="AD282" s="2594"/>
      <c r="AE282" s="2612"/>
      <c r="AF282" s="734"/>
      <c r="AG282" s="734"/>
      <c r="AH282" s="2594"/>
      <c r="AI282" s="894"/>
    </row>
    <row r="283" spans="1:36" ht="21" customHeight="1" x14ac:dyDescent="0.2">
      <c r="A283" s="1"/>
      <c r="B283" s="18"/>
      <c r="C283" s="64"/>
      <c r="F283" s="69"/>
      <c r="G283" s="64"/>
      <c r="J283" s="69"/>
      <c r="K283" s="64"/>
      <c r="N283" s="69"/>
      <c r="O283" s="64"/>
      <c r="R283" s="69"/>
      <c r="S283" s="64"/>
      <c r="V283" s="69"/>
      <c r="W283" s="69"/>
      <c r="Z283" s="69"/>
      <c r="AA283" s="69"/>
      <c r="AD283" s="69"/>
      <c r="AE283" s="69"/>
      <c r="AH283" s="69"/>
    </row>
    <row r="284" spans="1:36" ht="22.5" customHeight="1" x14ac:dyDescent="0.2">
      <c r="A284" s="158" t="s">
        <v>332</v>
      </c>
      <c r="B284" s="18"/>
      <c r="C284" s="64"/>
      <c r="F284" s="69"/>
      <c r="G284" s="64"/>
      <c r="J284" s="69"/>
      <c r="K284" s="64"/>
      <c r="N284" s="69"/>
      <c r="O284" s="64"/>
      <c r="R284" s="69"/>
      <c r="S284" s="64"/>
      <c r="V284" s="69"/>
      <c r="W284" s="69"/>
      <c r="Z284" s="69"/>
      <c r="AA284" s="69"/>
      <c r="AD284" s="69"/>
      <c r="AE284" s="69"/>
      <c r="AH284" s="294"/>
      <c r="AI284" s="190"/>
      <c r="AJ284" s="190"/>
    </row>
    <row r="285" spans="1:36" ht="21" customHeight="1" thickBot="1" x14ac:dyDescent="0.25">
      <c r="A285" s="2733" t="s">
        <v>28</v>
      </c>
      <c r="B285" s="2734" t="s">
        <v>29</v>
      </c>
      <c r="C285" s="796">
        <v>1</v>
      </c>
      <c r="D285" s="796">
        <v>2</v>
      </c>
      <c r="E285" s="796">
        <v>3</v>
      </c>
      <c r="F285" s="796">
        <v>4</v>
      </c>
      <c r="G285" s="795">
        <v>5</v>
      </c>
      <c r="H285" s="795">
        <v>6</v>
      </c>
      <c r="I285" s="796">
        <v>7</v>
      </c>
      <c r="J285" s="796">
        <v>8</v>
      </c>
      <c r="K285" s="796">
        <v>9</v>
      </c>
      <c r="L285" s="796">
        <v>10</v>
      </c>
      <c r="M285" s="796">
        <v>11</v>
      </c>
      <c r="N285" s="795">
        <v>12</v>
      </c>
      <c r="O285" s="795">
        <v>13</v>
      </c>
      <c r="P285" s="796">
        <v>14</v>
      </c>
      <c r="Q285" s="796">
        <v>15</v>
      </c>
      <c r="R285" s="796">
        <v>16</v>
      </c>
      <c r="S285" s="796">
        <v>17</v>
      </c>
      <c r="T285" s="796">
        <v>18</v>
      </c>
      <c r="U285" s="795">
        <v>19</v>
      </c>
      <c r="V285" s="795">
        <v>20</v>
      </c>
      <c r="W285" s="796">
        <v>21</v>
      </c>
      <c r="X285" s="796">
        <v>22</v>
      </c>
      <c r="Y285" s="796">
        <v>23</v>
      </c>
      <c r="Z285" s="796">
        <v>24</v>
      </c>
      <c r="AA285" s="796">
        <v>25</v>
      </c>
      <c r="AB285" s="795">
        <v>26</v>
      </c>
      <c r="AC285" s="795">
        <v>27</v>
      </c>
      <c r="AD285" s="796">
        <v>28</v>
      </c>
      <c r="AE285" s="796">
        <v>29</v>
      </c>
      <c r="AF285" s="796">
        <v>30</v>
      </c>
      <c r="AG285" s="797"/>
      <c r="AH285" s="295"/>
      <c r="AI285" s="296"/>
      <c r="AJ285" s="190"/>
    </row>
    <row r="286" spans="1:36" ht="21" customHeight="1" x14ac:dyDescent="0.2">
      <c r="A286" s="88"/>
      <c r="B286" s="2735" t="s">
        <v>333</v>
      </c>
      <c r="C286" s="1110" t="s">
        <v>32</v>
      </c>
      <c r="D286" s="1110" t="s">
        <v>32</v>
      </c>
      <c r="E286" s="1110" t="s">
        <v>32</v>
      </c>
      <c r="F286" s="1110" t="s">
        <v>32</v>
      </c>
      <c r="G286" s="644"/>
      <c r="H286" s="848"/>
      <c r="I286" s="964" t="s">
        <v>32</v>
      </c>
      <c r="J286" s="964" t="s">
        <v>32</v>
      </c>
      <c r="K286" s="964" t="s">
        <v>51</v>
      </c>
      <c r="L286" s="644" t="s">
        <v>32</v>
      </c>
      <c r="M286" s="644" t="s">
        <v>32</v>
      </c>
      <c r="N286" s="848"/>
      <c r="O286" s="848"/>
      <c r="P286" s="848" t="s">
        <v>32</v>
      </c>
      <c r="Q286" s="975" t="s">
        <v>32</v>
      </c>
      <c r="R286" s="848" t="s">
        <v>32</v>
      </c>
      <c r="S286" s="644" t="s">
        <v>32</v>
      </c>
      <c r="T286" s="644" t="s">
        <v>32</v>
      </c>
      <c r="U286" s="848"/>
      <c r="V286" s="848"/>
      <c r="W286" s="848" t="s">
        <v>32</v>
      </c>
      <c r="X286" s="644" t="s">
        <v>32</v>
      </c>
      <c r="Y286" s="848" t="s">
        <v>32</v>
      </c>
      <c r="Z286" s="644" t="s">
        <v>32</v>
      </c>
      <c r="AA286" s="644" t="s">
        <v>32</v>
      </c>
      <c r="AB286" s="644"/>
      <c r="AC286" s="644"/>
      <c r="AD286" s="848" t="s">
        <v>32</v>
      </c>
      <c r="AE286" s="848" t="s">
        <v>32</v>
      </c>
      <c r="AF286" s="848" t="s">
        <v>32</v>
      </c>
      <c r="AG286" s="300"/>
      <c r="AH286" s="297"/>
      <c r="AI286" s="298"/>
      <c r="AJ286" s="190"/>
    </row>
    <row r="287" spans="1:36" ht="21" customHeight="1" x14ac:dyDescent="0.2">
      <c r="A287" s="2736"/>
      <c r="B287" s="2737" t="s">
        <v>334</v>
      </c>
      <c r="C287" s="859" t="s">
        <v>32</v>
      </c>
      <c r="D287" s="1110" t="s">
        <v>32</v>
      </c>
      <c r="E287" s="1110" t="s">
        <v>32</v>
      </c>
      <c r="F287" s="1110" t="s">
        <v>32</v>
      </c>
      <c r="G287" s="644"/>
      <c r="H287" s="848"/>
      <c r="I287" s="644" t="s">
        <v>32</v>
      </c>
      <c r="J287" s="644" t="s">
        <v>32</v>
      </c>
      <c r="K287" s="2704" t="s">
        <v>32</v>
      </c>
      <c r="L287" s="2704" t="s">
        <v>32</v>
      </c>
      <c r="M287" s="644" t="s">
        <v>32</v>
      </c>
      <c r="N287" s="848"/>
      <c r="O287" s="848"/>
      <c r="P287" s="848" t="s">
        <v>32</v>
      </c>
      <c r="Q287" s="975" t="s">
        <v>32</v>
      </c>
      <c r="R287" s="848" t="s">
        <v>32</v>
      </c>
      <c r="S287" s="644" t="s">
        <v>32</v>
      </c>
      <c r="T287" s="644" t="s">
        <v>32</v>
      </c>
      <c r="U287" s="848"/>
      <c r="V287" s="848"/>
      <c r="W287" s="848" t="s">
        <v>32</v>
      </c>
      <c r="X287" s="644" t="s">
        <v>32</v>
      </c>
      <c r="Y287" s="848" t="s">
        <v>32</v>
      </c>
      <c r="Z287" s="644" t="s">
        <v>32</v>
      </c>
      <c r="AA287" s="644" t="s">
        <v>32</v>
      </c>
      <c r="AB287" s="644"/>
      <c r="AC287" s="644"/>
      <c r="AD287" s="848" t="s">
        <v>32</v>
      </c>
      <c r="AE287" s="848" t="s">
        <v>32</v>
      </c>
      <c r="AF287" s="848" t="s">
        <v>32</v>
      </c>
      <c r="AG287" s="2738"/>
      <c r="AH287" s="297"/>
      <c r="AI287" s="298"/>
      <c r="AJ287" s="190"/>
    </row>
    <row r="288" spans="1:36" ht="21" customHeight="1" x14ac:dyDescent="0.2">
      <c r="A288" s="632"/>
      <c r="B288" s="2737" t="s">
        <v>335</v>
      </c>
      <c r="C288" s="1110" t="s">
        <v>32</v>
      </c>
      <c r="D288" s="1110" t="s">
        <v>32</v>
      </c>
      <c r="E288" s="1110" t="s">
        <v>32</v>
      </c>
      <c r="F288" s="1110" t="s">
        <v>32</v>
      </c>
      <c r="G288" s="644"/>
      <c r="H288" s="848"/>
      <c r="I288" s="644" t="s">
        <v>32</v>
      </c>
      <c r="J288" s="644" t="s">
        <v>32</v>
      </c>
      <c r="K288" s="644" t="s">
        <v>32</v>
      </c>
      <c r="L288" s="644" t="s">
        <v>32</v>
      </c>
      <c r="M288" s="644" t="s">
        <v>32</v>
      </c>
      <c r="N288" s="848"/>
      <c r="O288" s="848"/>
      <c r="P288" s="848" t="s">
        <v>32</v>
      </c>
      <c r="Q288" s="975" t="s">
        <v>32</v>
      </c>
      <c r="R288" s="848" t="s">
        <v>32</v>
      </c>
      <c r="S288" s="644" t="s">
        <v>32</v>
      </c>
      <c r="T288" s="644" t="s">
        <v>32</v>
      </c>
      <c r="U288" s="848"/>
      <c r="V288" s="848"/>
      <c r="W288" s="848" t="s">
        <v>32</v>
      </c>
      <c r="X288" s="644" t="s">
        <v>32</v>
      </c>
      <c r="Y288" s="848" t="s">
        <v>32</v>
      </c>
      <c r="Z288" s="644" t="s">
        <v>32</v>
      </c>
      <c r="AA288" s="644" t="s">
        <v>32</v>
      </c>
      <c r="AB288" s="644"/>
      <c r="AC288" s="644"/>
      <c r="AD288" s="859" t="s">
        <v>32</v>
      </c>
      <c r="AE288" s="859" t="s">
        <v>32</v>
      </c>
      <c r="AF288" s="859" t="s">
        <v>32</v>
      </c>
      <c r="AG288" s="2739"/>
      <c r="AH288" s="297"/>
      <c r="AI288" s="298"/>
      <c r="AJ288" s="190"/>
    </row>
    <row r="289" spans="1:36" ht="21" customHeight="1" x14ac:dyDescent="0.2">
      <c r="A289" s="2740"/>
      <c r="B289" s="2737" t="s">
        <v>336</v>
      </c>
      <c r="C289" s="1110" t="s">
        <v>32</v>
      </c>
      <c r="D289" s="1110" t="s">
        <v>32</v>
      </c>
      <c r="E289" s="1110" t="s">
        <v>32</v>
      </c>
      <c r="F289" s="1110" t="s">
        <v>32</v>
      </c>
      <c r="G289" s="644"/>
      <c r="H289" s="848"/>
      <c r="I289" s="644" t="s">
        <v>32</v>
      </c>
      <c r="J289" s="644" t="s">
        <v>32</v>
      </c>
      <c r="K289" s="644" t="s">
        <v>32</v>
      </c>
      <c r="L289" s="644" t="s">
        <v>32</v>
      </c>
      <c r="M289" s="644" t="s">
        <v>32</v>
      </c>
      <c r="N289" s="848"/>
      <c r="O289" s="848"/>
      <c r="P289" s="848" t="s">
        <v>32</v>
      </c>
      <c r="Q289" s="975" t="s">
        <v>32</v>
      </c>
      <c r="R289" s="848" t="s">
        <v>32</v>
      </c>
      <c r="S289" s="644" t="s">
        <v>32</v>
      </c>
      <c r="T289" s="644" t="s">
        <v>32</v>
      </c>
      <c r="U289" s="848"/>
      <c r="V289" s="848"/>
      <c r="W289" s="848" t="s">
        <v>32</v>
      </c>
      <c r="X289" s="644" t="s">
        <v>32</v>
      </c>
      <c r="Y289" s="848" t="s">
        <v>32</v>
      </c>
      <c r="Z289" s="644" t="s">
        <v>32</v>
      </c>
      <c r="AA289" s="644" t="s">
        <v>32</v>
      </c>
      <c r="AB289" s="644"/>
      <c r="AC289" s="644"/>
      <c r="AD289" s="2642" t="s">
        <v>32</v>
      </c>
      <c r="AE289" s="2642" t="s">
        <v>32</v>
      </c>
      <c r="AF289" s="2642" t="s">
        <v>32</v>
      </c>
      <c r="AG289" s="2739"/>
      <c r="AH289" s="297"/>
      <c r="AI289" s="298"/>
      <c r="AJ289" s="190"/>
    </row>
    <row r="290" spans="1:36" ht="21" customHeight="1" x14ac:dyDescent="0.2">
      <c r="A290" s="2740"/>
      <c r="B290" s="2737" t="s">
        <v>337</v>
      </c>
      <c r="C290" s="1110" t="s">
        <v>32</v>
      </c>
      <c r="D290" s="1110" t="s">
        <v>32</v>
      </c>
      <c r="E290" s="1110" t="s">
        <v>32</v>
      </c>
      <c r="F290" s="2704" t="s">
        <v>32</v>
      </c>
      <c r="G290" s="644"/>
      <c r="H290" s="848"/>
      <c r="I290" s="644" t="s">
        <v>32</v>
      </c>
      <c r="J290" s="2704" t="s">
        <v>32</v>
      </c>
      <c r="K290" s="644" t="s">
        <v>32</v>
      </c>
      <c r="L290" s="644" t="s">
        <v>32</v>
      </c>
      <c r="M290" s="644" t="s">
        <v>32</v>
      </c>
      <c r="N290" s="848"/>
      <c r="O290" s="848"/>
      <c r="P290" s="848" t="s">
        <v>32</v>
      </c>
      <c r="Q290" s="975" t="s">
        <v>32</v>
      </c>
      <c r="R290" s="848" t="s">
        <v>32</v>
      </c>
      <c r="S290" s="2704" t="s">
        <v>32</v>
      </c>
      <c r="T290" s="859" t="s">
        <v>32</v>
      </c>
      <c r="U290" s="848"/>
      <c r="V290" s="848"/>
      <c r="W290" s="2704" t="s">
        <v>32</v>
      </c>
      <c r="X290" s="644" t="s">
        <v>32</v>
      </c>
      <c r="Y290" s="848" t="s">
        <v>32</v>
      </c>
      <c r="Z290" s="644" t="s">
        <v>32</v>
      </c>
      <c r="AA290" s="644" t="s">
        <v>32</v>
      </c>
      <c r="AB290" s="644"/>
      <c r="AC290" s="644"/>
      <c r="AD290" s="848" t="s">
        <v>32</v>
      </c>
      <c r="AE290" s="2704" t="s">
        <v>32</v>
      </c>
      <c r="AF290" s="848" t="s">
        <v>32</v>
      </c>
      <c r="AG290" s="2601"/>
      <c r="AH290" s="297"/>
      <c r="AI290" s="298"/>
      <c r="AJ290" s="190"/>
    </row>
    <row r="291" spans="1:36" ht="21" customHeight="1" x14ac:dyDescent="0.2">
      <c r="A291" s="2740"/>
      <c r="B291" s="2737" t="s">
        <v>338</v>
      </c>
      <c r="C291" s="1110" t="s">
        <v>32</v>
      </c>
      <c r="D291" s="1110" t="s">
        <v>32</v>
      </c>
      <c r="E291" s="1110" t="s">
        <v>32</v>
      </c>
      <c r="F291" s="2704" t="s">
        <v>32</v>
      </c>
      <c r="G291" s="644"/>
      <c r="H291" s="848"/>
      <c r="I291" s="644" t="s">
        <v>32</v>
      </c>
      <c r="J291" s="644" t="s">
        <v>32</v>
      </c>
      <c r="K291" s="644" t="s">
        <v>32</v>
      </c>
      <c r="L291" s="644" t="s">
        <v>32</v>
      </c>
      <c r="M291" s="644" t="s">
        <v>32</v>
      </c>
      <c r="N291" s="848"/>
      <c r="O291" s="848"/>
      <c r="P291" s="848" t="s">
        <v>32</v>
      </c>
      <c r="Q291" s="975" t="s">
        <v>32</v>
      </c>
      <c r="R291" s="848" t="s">
        <v>32</v>
      </c>
      <c r="S291" s="644" t="s">
        <v>32</v>
      </c>
      <c r="T291" s="644" t="s">
        <v>32</v>
      </c>
      <c r="U291" s="848"/>
      <c r="V291" s="848"/>
      <c r="W291" s="964" t="s">
        <v>32</v>
      </c>
      <c r="X291" s="964" t="s">
        <v>51</v>
      </c>
      <c r="Y291" s="845" t="s">
        <v>32</v>
      </c>
      <c r="Z291" s="964" t="s">
        <v>32</v>
      </c>
      <c r="AA291" s="964" t="s">
        <v>32</v>
      </c>
      <c r="AB291" s="964"/>
      <c r="AC291" s="964"/>
      <c r="AD291" s="964" t="s">
        <v>32</v>
      </c>
      <c r="AE291" s="964" t="s">
        <v>51</v>
      </c>
      <c r="AF291" s="845" t="s">
        <v>32</v>
      </c>
      <c r="AG291" s="2741"/>
      <c r="AH291" s="297"/>
      <c r="AI291" s="298"/>
      <c r="AJ291" s="190"/>
    </row>
    <row r="292" spans="1:36" ht="21" customHeight="1" x14ac:dyDescent="0.2">
      <c r="A292" s="2740"/>
      <c r="B292" s="2737" t="s">
        <v>339</v>
      </c>
      <c r="C292" s="1110" t="s">
        <v>32</v>
      </c>
      <c r="D292" s="1110" t="s">
        <v>32</v>
      </c>
      <c r="E292" s="1110" t="s">
        <v>32</v>
      </c>
      <c r="F292" s="1110" t="s">
        <v>32</v>
      </c>
      <c r="G292" s="644"/>
      <c r="H292" s="848"/>
      <c r="I292" s="644" t="s">
        <v>32</v>
      </c>
      <c r="J292" s="644" t="s">
        <v>32</v>
      </c>
      <c r="K292" s="2645" t="s">
        <v>32</v>
      </c>
      <c r="L292" s="644" t="s">
        <v>32</v>
      </c>
      <c r="M292" s="644" t="s">
        <v>32</v>
      </c>
      <c r="N292" s="848"/>
      <c r="O292" s="848"/>
      <c r="P292" s="848" t="s">
        <v>32</v>
      </c>
      <c r="Q292" s="975" t="s">
        <v>32</v>
      </c>
      <c r="R292" s="848" t="s">
        <v>32</v>
      </c>
      <c r="S292" s="644" t="s">
        <v>32</v>
      </c>
      <c r="T292" s="644" t="s">
        <v>32</v>
      </c>
      <c r="U292" s="848"/>
      <c r="V292" s="848"/>
      <c r="W292" s="848" t="s">
        <v>32</v>
      </c>
      <c r="X292" s="644" t="s">
        <v>32</v>
      </c>
      <c r="Y292" s="848" t="s">
        <v>32</v>
      </c>
      <c r="Z292" s="644" t="s">
        <v>32</v>
      </c>
      <c r="AA292" s="644" t="s">
        <v>32</v>
      </c>
      <c r="AB292" s="644"/>
      <c r="AC292" s="644"/>
      <c r="AD292" s="848" t="s">
        <v>32</v>
      </c>
      <c r="AE292" s="848" t="s">
        <v>32</v>
      </c>
      <c r="AF292" s="848" t="s">
        <v>32</v>
      </c>
      <c r="AG292" s="917"/>
      <c r="AH292" s="297"/>
      <c r="AI292" s="298"/>
      <c r="AJ292" s="190"/>
    </row>
    <row r="293" spans="1:36" ht="21" customHeight="1" x14ac:dyDescent="0.2">
      <c r="A293" s="2740"/>
      <c r="B293" s="2737"/>
      <c r="C293" s="1110" t="s">
        <v>32</v>
      </c>
      <c r="D293" s="1110" t="s">
        <v>32</v>
      </c>
      <c r="E293" s="1110" t="s">
        <v>32</v>
      </c>
      <c r="F293" s="1110" t="s">
        <v>32</v>
      </c>
      <c r="G293" s="644"/>
      <c r="H293" s="848"/>
      <c r="I293" s="644" t="s">
        <v>32</v>
      </c>
      <c r="J293" s="644" t="s">
        <v>32</v>
      </c>
      <c r="K293" s="644" t="s">
        <v>32</v>
      </c>
      <c r="L293" s="644" t="s">
        <v>32</v>
      </c>
      <c r="M293" s="644" t="s">
        <v>32</v>
      </c>
      <c r="N293" s="848"/>
      <c r="O293" s="848"/>
      <c r="P293" s="848" t="s">
        <v>32</v>
      </c>
      <c r="Q293" s="975" t="s">
        <v>32</v>
      </c>
      <c r="R293" s="848" t="s">
        <v>32</v>
      </c>
      <c r="S293" s="644" t="s">
        <v>32</v>
      </c>
      <c r="T293" s="644" t="s">
        <v>32</v>
      </c>
      <c r="U293" s="848"/>
      <c r="V293" s="848"/>
      <c r="W293" s="848" t="s">
        <v>32</v>
      </c>
      <c r="X293" s="644" t="s">
        <v>32</v>
      </c>
      <c r="Y293" s="848" t="s">
        <v>32</v>
      </c>
      <c r="Z293" s="644" t="s">
        <v>32</v>
      </c>
      <c r="AA293" s="644" t="s">
        <v>32</v>
      </c>
      <c r="AB293" s="644"/>
      <c r="AC293" s="644"/>
      <c r="AD293" s="848" t="s">
        <v>32</v>
      </c>
      <c r="AE293" s="848" t="s">
        <v>32</v>
      </c>
      <c r="AF293" s="848" t="s">
        <v>32</v>
      </c>
      <c r="AG293" s="917"/>
      <c r="AH293" s="297"/>
      <c r="AI293" s="298"/>
      <c r="AJ293" s="190"/>
    </row>
    <row r="294" spans="1:36" ht="21" customHeight="1" x14ac:dyDescent="0.2">
      <c r="A294" s="2740"/>
      <c r="B294" s="2737" t="s">
        <v>340</v>
      </c>
      <c r="C294" s="1110" t="s">
        <v>32</v>
      </c>
      <c r="D294" s="1110" t="s">
        <v>32</v>
      </c>
      <c r="E294" s="1110" t="s">
        <v>32</v>
      </c>
      <c r="F294" s="1110" t="s">
        <v>32</v>
      </c>
      <c r="G294" s="644"/>
      <c r="H294" s="848"/>
      <c r="I294" s="644" t="s">
        <v>32</v>
      </c>
      <c r="J294" s="644" t="s">
        <v>32</v>
      </c>
      <c r="K294" s="644" t="s">
        <v>32</v>
      </c>
      <c r="L294" s="644" t="s">
        <v>32</v>
      </c>
      <c r="M294" s="644" t="s">
        <v>32</v>
      </c>
      <c r="N294" s="848"/>
      <c r="O294" s="848"/>
      <c r="P294" s="848" t="s">
        <v>32</v>
      </c>
      <c r="Q294" s="975" t="s">
        <v>32</v>
      </c>
      <c r="R294" s="848" t="s">
        <v>32</v>
      </c>
      <c r="S294" s="644" t="s">
        <v>32</v>
      </c>
      <c r="T294" s="644" t="s">
        <v>32</v>
      </c>
      <c r="U294" s="848"/>
      <c r="V294" s="848"/>
      <c r="W294" s="848" t="s">
        <v>32</v>
      </c>
      <c r="X294" s="644" t="s">
        <v>32</v>
      </c>
      <c r="Y294" s="848" t="s">
        <v>32</v>
      </c>
      <c r="Z294" s="644" t="s">
        <v>32</v>
      </c>
      <c r="AA294" s="644" t="s">
        <v>32</v>
      </c>
      <c r="AB294" s="644"/>
      <c r="AC294" s="644"/>
      <c r="AD294" s="848" t="s">
        <v>32</v>
      </c>
      <c r="AE294" s="848" t="s">
        <v>32</v>
      </c>
      <c r="AF294" s="848" t="s">
        <v>32</v>
      </c>
      <c r="AG294" s="917"/>
      <c r="AH294" s="297"/>
      <c r="AI294" s="298"/>
      <c r="AJ294" s="190"/>
    </row>
    <row r="295" spans="1:36" ht="21" customHeight="1" x14ac:dyDescent="0.2">
      <c r="A295" s="2740"/>
      <c r="B295" s="2737" t="s">
        <v>341</v>
      </c>
      <c r="C295" s="859" t="s">
        <v>32</v>
      </c>
      <c r="D295" s="859" t="s">
        <v>32</v>
      </c>
      <c r="E295" s="859" t="s">
        <v>32</v>
      </c>
      <c r="F295" s="859" t="s">
        <v>32</v>
      </c>
      <c r="G295" s="644"/>
      <c r="H295" s="848"/>
      <c r="I295" s="644" t="s">
        <v>32</v>
      </c>
      <c r="J295" s="644" t="s">
        <v>32</v>
      </c>
      <c r="K295" s="644" t="s">
        <v>32</v>
      </c>
      <c r="L295" s="644" t="s">
        <v>32</v>
      </c>
      <c r="M295" s="644" t="s">
        <v>32</v>
      </c>
      <c r="N295" s="848"/>
      <c r="O295" s="848"/>
      <c r="P295" s="848" t="s">
        <v>32</v>
      </c>
      <c r="Q295" s="975" t="s">
        <v>32</v>
      </c>
      <c r="R295" s="848" t="s">
        <v>32</v>
      </c>
      <c r="S295" s="644" t="s">
        <v>32</v>
      </c>
      <c r="T295" s="644" t="s">
        <v>32</v>
      </c>
      <c r="U295" s="848"/>
      <c r="V295" s="848"/>
      <c r="W295" s="848" t="s">
        <v>32</v>
      </c>
      <c r="X295" s="644" t="s">
        <v>32</v>
      </c>
      <c r="Y295" s="848" t="s">
        <v>32</v>
      </c>
      <c r="Z295" s="644" t="s">
        <v>32</v>
      </c>
      <c r="AA295" s="644" t="s">
        <v>32</v>
      </c>
      <c r="AB295" s="644"/>
      <c r="AC295" s="644"/>
      <c r="AD295" s="848" t="s">
        <v>32</v>
      </c>
      <c r="AE295" s="848" t="s">
        <v>32</v>
      </c>
      <c r="AF295" s="848" t="s">
        <v>32</v>
      </c>
      <c r="AG295" s="917"/>
      <c r="AH295" s="297"/>
      <c r="AI295" s="298"/>
      <c r="AJ295" s="190"/>
    </row>
    <row r="296" spans="1:36" ht="21" customHeight="1" x14ac:dyDescent="0.2">
      <c r="A296" s="2740"/>
      <c r="B296" s="2737" t="s">
        <v>342</v>
      </c>
      <c r="C296" s="1110" t="s">
        <v>32</v>
      </c>
      <c r="D296" s="1110" t="s">
        <v>32</v>
      </c>
      <c r="E296" s="1110" t="s">
        <v>32</v>
      </c>
      <c r="F296" s="1110" t="s">
        <v>32</v>
      </c>
      <c r="G296" s="644"/>
      <c r="H296" s="848"/>
      <c r="I296" s="644" t="s">
        <v>32</v>
      </c>
      <c r="J296" s="644" t="s">
        <v>32</v>
      </c>
      <c r="K296" s="644" t="s">
        <v>32</v>
      </c>
      <c r="L296" s="644" t="s">
        <v>32</v>
      </c>
      <c r="M296" s="644" t="s">
        <v>32</v>
      </c>
      <c r="N296" s="848"/>
      <c r="O296" s="848"/>
      <c r="P296" s="848" t="s">
        <v>32</v>
      </c>
      <c r="Q296" s="975" t="s">
        <v>32</v>
      </c>
      <c r="R296" s="848" t="s">
        <v>32</v>
      </c>
      <c r="S296" s="644" t="s">
        <v>32</v>
      </c>
      <c r="T296" s="644" t="s">
        <v>32</v>
      </c>
      <c r="U296" s="848"/>
      <c r="V296" s="848"/>
      <c r="W296" s="848" t="s">
        <v>32</v>
      </c>
      <c r="X296" s="644" t="s">
        <v>32</v>
      </c>
      <c r="Y296" s="848" t="s">
        <v>32</v>
      </c>
      <c r="Z296" s="644" t="s">
        <v>32</v>
      </c>
      <c r="AA296" s="644" t="s">
        <v>32</v>
      </c>
      <c r="AB296" s="644"/>
      <c r="AC296" s="644"/>
      <c r="AD296" s="848" t="s">
        <v>32</v>
      </c>
      <c r="AE296" s="848" t="s">
        <v>32</v>
      </c>
      <c r="AF296" s="848" t="s">
        <v>32</v>
      </c>
      <c r="AG296" s="917"/>
      <c r="AH296" s="297"/>
      <c r="AI296" s="298"/>
      <c r="AJ296" s="190"/>
    </row>
    <row r="297" spans="1:36" ht="21" customHeight="1" x14ac:dyDescent="0.2">
      <c r="A297" s="2740"/>
      <c r="B297" s="2737"/>
      <c r="C297" s="644"/>
      <c r="D297" s="974"/>
      <c r="E297" s="644"/>
      <c r="F297" s="644"/>
      <c r="G297" s="644"/>
      <c r="H297" s="644"/>
      <c r="I297" s="644"/>
      <c r="J297" s="644"/>
      <c r="K297" s="644"/>
      <c r="L297" s="644"/>
      <c r="M297" s="644"/>
      <c r="N297" s="644"/>
      <c r="O297" s="644"/>
      <c r="P297" s="644"/>
      <c r="Q297" s="644"/>
      <c r="R297" s="644"/>
      <c r="S297" s="644"/>
      <c r="T297" s="644"/>
      <c r="U297" s="644"/>
      <c r="V297" s="644"/>
      <c r="W297" s="644"/>
      <c r="X297" s="644"/>
      <c r="Y297" s="644"/>
      <c r="Z297" s="644"/>
      <c r="AA297" s="644"/>
      <c r="AB297" s="644"/>
      <c r="AC297" s="644"/>
      <c r="AD297" s="644"/>
      <c r="AE297" s="644"/>
      <c r="AF297" s="644"/>
      <c r="AG297" s="917"/>
      <c r="AH297" s="297"/>
      <c r="AI297" s="298"/>
      <c r="AJ297" s="190"/>
    </row>
    <row r="298" spans="1:36" ht="21" customHeight="1" x14ac:dyDescent="0.2">
      <c r="A298" s="845"/>
      <c r="B298" s="2742"/>
      <c r="C298" s="868"/>
      <c r="D298" s="868"/>
      <c r="E298" s="868"/>
      <c r="F298" s="868"/>
      <c r="G298" s="868"/>
      <c r="H298" s="868"/>
      <c r="I298" s="868"/>
      <c r="J298" s="868"/>
      <c r="K298" s="868"/>
      <c r="L298" s="868"/>
      <c r="M298" s="868"/>
      <c r="N298" s="814"/>
      <c r="O298" s="814"/>
      <c r="P298" s="868"/>
      <c r="Q298" s="868"/>
      <c r="R298" s="868"/>
      <c r="S298" s="868"/>
      <c r="T298" s="868"/>
      <c r="U298" s="868"/>
      <c r="V298" s="868"/>
      <c r="W298" s="868"/>
      <c r="X298" s="868"/>
      <c r="Y298" s="868"/>
      <c r="Z298" s="868"/>
      <c r="AA298" s="868"/>
      <c r="AB298" s="814"/>
      <c r="AC298" s="814"/>
      <c r="AD298" s="868"/>
      <c r="AE298" s="868"/>
      <c r="AF298" s="868"/>
      <c r="AG298" s="917"/>
      <c r="AH298" s="297"/>
      <c r="AI298" s="299"/>
      <c r="AJ298" s="190"/>
    </row>
    <row r="299" spans="1:36" ht="21" customHeight="1" thickBot="1" x14ac:dyDescent="0.25">
      <c r="A299" s="2682"/>
      <c r="B299" s="2743"/>
      <c r="C299" s="2744"/>
      <c r="D299" s="2745"/>
      <c r="E299" s="2745"/>
      <c r="F299" s="2745"/>
      <c r="G299" s="2745"/>
      <c r="H299" s="2745"/>
      <c r="I299" s="2745"/>
      <c r="J299" s="2745"/>
      <c r="K299" s="2745"/>
      <c r="L299" s="2745"/>
      <c r="M299" s="2745"/>
      <c r="N299" s="2746"/>
      <c r="O299" s="2746"/>
      <c r="P299" s="2745"/>
      <c r="Q299" s="2745"/>
      <c r="R299" s="2745"/>
      <c r="S299" s="2745"/>
      <c r="T299" s="2745"/>
      <c r="U299" s="2745"/>
      <c r="V299" s="2745"/>
      <c r="W299" s="2745"/>
      <c r="X299" s="2745"/>
      <c r="Y299" s="2745"/>
      <c r="Z299" s="2745"/>
      <c r="AA299" s="2745"/>
      <c r="AB299" s="2746"/>
      <c r="AC299" s="2746"/>
      <c r="AD299" s="2745"/>
      <c r="AE299" s="2745"/>
      <c r="AF299" s="2745"/>
      <c r="AG299" s="2747"/>
      <c r="AH299" s="297"/>
      <c r="AI299" s="299"/>
      <c r="AJ299" s="190"/>
    </row>
    <row r="300" spans="1:36" x14ac:dyDescent="0.2">
      <c r="AH300" s="190"/>
      <c r="AI300" s="190"/>
      <c r="AJ300" s="190"/>
    </row>
    <row r="301" spans="1:36" x14ac:dyDescent="0.2">
      <c r="AH301" s="190"/>
      <c r="AI301" s="190"/>
      <c r="AJ301" s="190"/>
    </row>
    <row r="302" spans="1:36" x14ac:dyDescent="0.2">
      <c r="AH302" s="190"/>
      <c r="AI302" s="190"/>
      <c r="AJ302" s="190"/>
    </row>
    <row r="303" spans="1:36" x14ac:dyDescent="0.2">
      <c r="AH303" s="190"/>
      <c r="AI303" s="190"/>
      <c r="AJ303" s="190"/>
    </row>
  </sheetData>
  <sheetProtection algorithmName="SHA-512" hashValue="GvJzd2voWRPFcS9GfP8LsLFQhLqbLzohjYF42sqk7YEtnnZagccfJ1CmI//z+HSNNQfydOB5QjAC1JKFqkrGgg==" saltValue="C5T7ZUnix3pNfdCZwIc4vw==" spinCount="100000" sheet="1" objects="1" scenarios="1"/>
  <protectedRanges>
    <protectedRange sqref="B137:B138"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39 B141:B142"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39D99-AA1A-4499-8C89-9427BEC1617B}">
  <sheetPr codeName="Ark70"/>
  <dimension ref="A1:AQ309"/>
  <sheetViews>
    <sheetView zoomScale="90" zoomScaleNormal="90" workbookViewId="0">
      <pane xSplit="2" ySplit="3" topLeftCell="C98" activePane="bottomRight" state="frozen"/>
      <selection pane="topRight" activeCell="AE74" sqref="AE74"/>
      <selection pane="bottomLeft" activeCell="AE74" sqref="AE74"/>
      <selection pane="bottomRight" activeCell="AN75" sqref="AN75"/>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2748" t="s">
        <v>2</v>
      </c>
      <c r="C2" s="2749" t="s">
        <v>3</v>
      </c>
      <c r="D2" s="2750"/>
      <c r="E2" s="2751" t="s">
        <v>4</v>
      </c>
      <c r="F2" s="2752"/>
      <c r="G2" s="2753"/>
      <c r="H2" s="2753"/>
      <c r="I2" s="2753"/>
      <c r="J2" s="2753"/>
      <c r="K2" s="2754"/>
      <c r="L2" s="2755" t="s">
        <v>5</v>
      </c>
      <c r="M2" s="2756"/>
      <c r="N2" s="2757"/>
      <c r="O2" s="2758" t="s">
        <v>6</v>
      </c>
      <c r="P2" s="2759"/>
      <c r="Q2" s="2760"/>
      <c r="R2" s="2761"/>
      <c r="S2" s="2762" t="s">
        <v>7</v>
      </c>
      <c r="T2" s="2763"/>
      <c r="U2" s="2764"/>
      <c r="V2" s="2763"/>
      <c r="W2" s="2765" t="s">
        <v>8</v>
      </c>
      <c r="X2" s="2766"/>
      <c r="Y2" s="2767"/>
      <c r="Z2" s="160" t="s">
        <v>9</v>
      </c>
      <c r="AA2" s="2768"/>
      <c r="AB2" s="2769"/>
      <c r="AC2" s="2770"/>
      <c r="AD2" s="2771" t="s">
        <v>10</v>
      </c>
      <c r="AE2" s="2772"/>
      <c r="AF2" s="2772"/>
      <c r="AG2" s="2773"/>
      <c r="AI2">
        <v>9</v>
      </c>
    </row>
    <row r="3" spans="1:38" ht="13.35" customHeight="1" x14ac:dyDescent="0.2">
      <c r="A3" s="1"/>
      <c r="B3" s="2774" t="s">
        <v>11</v>
      </c>
      <c r="C3" s="2775" t="s">
        <v>12</v>
      </c>
      <c r="D3" s="2776"/>
      <c r="E3" s="91"/>
      <c r="F3" s="92"/>
      <c r="G3" s="92"/>
      <c r="H3" s="161" t="s">
        <v>13</v>
      </c>
      <c r="I3" s="93"/>
      <c r="J3" s="93"/>
      <c r="K3" s="94"/>
      <c r="L3" s="2777" t="s">
        <v>14</v>
      </c>
      <c r="M3" s="2778"/>
      <c r="N3" s="2779"/>
      <c r="O3" s="93"/>
      <c r="P3" s="93"/>
      <c r="Q3" s="93"/>
      <c r="R3" s="93"/>
      <c r="S3" s="14"/>
      <c r="T3" s="95" t="s">
        <v>15</v>
      </c>
      <c r="U3" s="96"/>
      <c r="V3" s="97"/>
      <c r="W3" s="98"/>
      <c r="X3" s="99"/>
      <c r="Y3" s="161" t="s">
        <v>16</v>
      </c>
      <c r="Z3" s="2778"/>
      <c r="AA3" s="2778"/>
      <c r="AB3" s="2780"/>
      <c r="AC3" s="2781"/>
      <c r="AD3" s="2782" t="s">
        <v>17</v>
      </c>
      <c r="AE3" s="2783"/>
      <c r="AF3" s="2783"/>
      <c r="AG3" s="2784"/>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2785" t="s">
        <v>20</v>
      </c>
      <c r="B6" s="2778"/>
      <c r="C6" s="2786"/>
      <c r="D6" s="2785" t="s">
        <v>21</v>
      </c>
      <c r="E6" s="2778"/>
      <c r="F6" s="2778"/>
      <c r="G6" s="2778"/>
      <c r="H6" s="2787"/>
      <c r="I6" s="2778"/>
      <c r="J6" s="2778"/>
      <c r="K6" s="2778"/>
      <c r="L6" s="2788" t="s">
        <v>22</v>
      </c>
      <c r="M6" s="2778"/>
      <c r="N6" s="2778"/>
      <c r="O6" s="2778"/>
      <c r="P6" s="2778"/>
      <c r="Q6" s="2778"/>
      <c r="R6" s="2778"/>
      <c r="S6" s="2786"/>
      <c r="T6" s="2789"/>
      <c r="U6" s="2778"/>
      <c r="V6" s="2778"/>
      <c r="W6" s="2778"/>
      <c r="X6" s="2778"/>
      <c r="Y6" s="2778"/>
      <c r="Z6" s="2778"/>
      <c r="AA6" s="2786"/>
      <c r="AB6" s="2790"/>
      <c r="AC6" s="2791"/>
      <c r="AD6" s="2791"/>
      <c r="AE6" s="2791"/>
      <c r="AF6" s="2791"/>
      <c r="AG6" s="2792"/>
    </row>
    <row r="7" spans="1:38" ht="22.35" customHeight="1" x14ac:dyDescent="0.2">
      <c r="A7" s="2785" t="s">
        <v>23</v>
      </c>
      <c r="B7" s="2778"/>
      <c r="C7" s="2778"/>
      <c r="D7" s="2778"/>
      <c r="E7" s="2778"/>
      <c r="F7" s="2778"/>
      <c r="G7" s="2778"/>
      <c r="H7" s="2778"/>
      <c r="I7" s="2778"/>
      <c r="J7" s="2778"/>
      <c r="K7" s="2786"/>
      <c r="L7" s="153" t="s">
        <v>24</v>
      </c>
      <c r="M7" s="14"/>
      <c r="N7" s="14"/>
      <c r="O7" s="14"/>
      <c r="P7" s="14"/>
      <c r="Q7" s="14"/>
      <c r="R7" s="14"/>
      <c r="S7" s="14"/>
      <c r="T7" s="14"/>
      <c r="U7" s="2778"/>
      <c r="V7" s="2778"/>
      <c r="W7" s="2778"/>
      <c r="X7" s="2778"/>
      <c r="Y7" s="2778"/>
      <c r="Z7" s="2778"/>
      <c r="AA7" s="2778"/>
      <c r="AB7" s="2793"/>
      <c r="AC7" s="2778"/>
      <c r="AD7" s="2778"/>
      <c r="AE7" s="2778"/>
      <c r="AF7" s="2778"/>
      <c r="AG7" s="2786"/>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2794" t="s">
        <v>28</v>
      </c>
      <c r="B11" s="2795" t="s">
        <v>29</v>
      </c>
      <c r="C11" s="2796">
        <v>1</v>
      </c>
      <c r="D11" s="2796">
        <v>2</v>
      </c>
      <c r="E11" s="2797">
        <v>3</v>
      </c>
      <c r="F11" s="2797">
        <v>4</v>
      </c>
      <c r="G11" s="2796">
        <v>5</v>
      </c>
      <c r="H11" s="2796">
        <v>6</v>
      </c>
      <c r="I11" s="2796">
        <v>7</v>
      </c>
      <c r="J11" s="2796">
        <v>8</v>
      </c>
      <c r="K11" s="2796">
        <v>9</v>
      </c>
      <c r="L11" s="2797">
        <v>10</v>
      </c>
      <c r="M11" s="2797">
        <v>11</v>
      </c>
      <c r="N11" s="2796">
        <v>12</v>
      </c>
      <c r="O11" s="2796">
        <v>13</v>
      </c>
      <c r="P11" s="2796">
        <v>14</v>
      </c>
      <c r="Q11" s="2796">
        <v>15</v>
      </c>
      <c r="R11" s="2796">
        <v>16</v>
      </c>
      <c r="S11" s="2797">
        <v>17</v>
      </c>
      <c r="T11" s="2797">
        <v>18</v>
      </c>
      <c r="U11" s="2796">
        <v>19</v>
      </c>
      <c r="V11" s="2796">
        <v>20</v>
      </c>
      <c r="W11" s="2796">
        <v>21</v>
      </c>
      <c r="X11" s="2796">
        <v>22</v>
      </c>
      <c r="Y11" s="2796">
        <v>23</v>
      </c>
      <c r="Z11" s="2797">
        <v>24</v>
      </c>
      <c r="AA11" s="2797">
        <v>25</v>
      </c>
      <c r="AB11" s="2797">
        <v>26</v>
      </c>
      <c r="AC11" s="2796">
        <v>27</v>
      </c>
      <c r="AD11" s="2796">
        <v>28</v>
      </c>
      <c r="AE11" s="2796">
        <v>29</v>
      </c>
      <c r="AF11" s="2796">
        <v>30</v>
      </c>
      <c r="AG11" s="2798">
        <v>31</v>
      </c>
      <c r="AH11" s="173"/>
      <c r="AI11" s="174"/>
      <c r="AJ11" s="2799" t="s">
        <v>30</v>
      </c>
    </row>
    <row r="12" spans="1:38" ht="22.35" customHeight="1" x14ac:dyDescent="0.2">
      <c r="A12" s="2800">
        <v>8500</v>
      </c>
      <c r="B12" s="2801" t="s">
        <v>31</v>
      </c>
      <c r="C12" s="2802" t="s">
        <v>32</v>
      </c>
      <c r="D12" s="2802" t="s">
        <v>32</v>
      </c>
      <c r="E12" s="2802"/>
      <c r="F12" s="2803"/>
      <c r="G12" s="2803" t="s">
        <v>32</v>
      </c>
      <c r="H12" s="2802" t="s">
        <v>32</v>
      </c>
      <c r="I12" s="2804" t="s">
        <v>32</v>
      </c>
      <c r="J12" s="2802" t="s">
        <v>32</v>
      </c>
      <c r="K12" s="2802" t="s">
        <v>32</v>
      </c>
      <c r="L12" s="2802"/>
      <c r="M12" s="2803"/>
      <c r="N12" s="2803" t="s">
        <v>32</v>
      </c>
      <c r="O12" s="2802" t="s">
        <v>32</v>
      </c>
      <c r="P12" s="2802" t="s">
        <v>32</v>
      </c>
      <c r="Q12" s="2802" t="s">
        <v>32</v>
      </c>
      <c r="R12" s="2802">
        <v>1</v>
      </c>
      <c r="S12" s="2802"/>
      <c r="T12" s="2803"/>
      <c r="U12" s="2803" t="s">
        <v>32</v>
      </c>
      <c r="V12" s="2805" t="s">
        <v>32</v>
      </c>
      <c r="W12" s="2704" t="s">
        <v>32</v>
      </c>
      <c r="X12" s="2805" t="s">
        <v>32</v>
      </c>
      <c r="Y12" s="2806" t="s">
        <v>32</v>
      </c>
      <c r="Z12" s="2807"/>
      <c r="AA12" s="2803"/>
      <c r="AB12" s="2803"/>
      <c r="AC12" s="2808" t="s">
        <v>32</v>
      </c>
      <c r="AD12" s="2808" t="s">
        <v>32</v>
      </c>
      <c r="AE12" s="2808" t="s">
        <v>32</v>
      </c>
      <c r="AF12" s="2808" t="s">
        <v>32</v>
      </c>
      <c r="AG12" s="2809"/>
      <c r="AH12" s="179"/>
      <c r="AI12" s="179"/>
      <c r="AJ12" s="2799">
        <v>160.33000000000001</v>
      </c>
    </row>
    <row r="13" spans="1:38" ht="22.35" customHeight="1" x14ac:dyDescent="0.2">
      <c r="A13" s="2810" t="s">
        <v>33</v>
      </c>
      <c r="B13" s="2811"/>
      <c r="C13" s="2811"/>
      <c r="D13" s="2811"/>
      <c r="E13" s="2811"/>
      <c r="F13" s="2811"/>
      <c r="G13" s="2811"/>
      <c r="H13" s="2811"/>
      <c r="I13" s="2811"/>
      <c r="J13" s="2811"/>
      <c r="K13" s="2811"/>
      <c r="L13" s="2811"/>
      <c r="M13" s="2811"/>
      <c r="N13" s="2811"/>
      <c r="O13" s="2811"/>
      <c r="P13" s="2811"/>
      <c r="Q13" s="2811"/>
      <c r="R13" s="2811"/>
      <c r="S13" s="2811"/>
      <c r="T13" s="2811"/>
      <c r="U13" s="2811"/>
      <c r="V13" s="2811"/>
      <c r="W13" s="2811"/>
      <c r="X13" s="2811"/>
      <c r="Y13" s="2811"/>
      <c r="Z13" s="2811"/>
      <c r="AA13" s="2811"/>
      <c r="AB13" s="2811"/>
      <c r="AC13" s="2811"/>
      <c r="AD13" s="2811"/>
      <c r="AE13" s="2811"/>
      <c r="AF13" s="2811"/>
      <c r="AG13" s="2812"/>
      <c r="AH13" s="177"/>
      <c r="AI13" s="177"/>
    </row>
    <row r="14" spans="1:38" ht="22.35" customHeight="1" x14ac:dyDescent="0.2">
      <c r="A14" s="2813">
        <v>8546</v>
      </c>
      <c r="B14" s="2801" t="s">
        <v>34</v>
      </c>
      <c r="C14" s="2814" t="s">
        <v>36</v>
      </c>
      <c r="D14" s="2814" t="s">
        <v>36</v>
      </c>
      <c r="E14" s="2814"/>
      <c r="F14" s="2814"/>
      <c r="G14" s="2814">
        <v>1</v>
      </c>
      <c r="H14" s="2815">
        <v>1</v>
      </c>
      <c r="I14" s="2815">
        <v>1</v>
      </c>
      <c r="J14" s="2815">
        <v>1</v>
      </c>
      <c r="K14" s="2816">
        <v>1</v>
      </c>
      <c r="L14" s="2815"/>
      <c r="M14" s="2817"/>
      <c r="N14" s="2814">
        <v>2</v>
      </c>
      <c r="O14" s="2814">
        <v>2</v>
      </c>
      <c r="P14" s="2818">
        <v>2</v>
      </c>
      <c r="Q14" s="2818">
        <v>2</v>
      </c>
      <c r="R14" s="2815">
        <v>2</v>
      </c>
      <c r="S14" s="2819" t="s">
        <v>37</v>
      </c>
      <c r="T14" s="2818" t="s">
        <v>37</v>
      </c>
      <c r="U14" s="2818" t="s">
        <v>36</v>
      </c>
      <c r="V14" s="2815" t="s">
        <v>36</v>
      </c>
      <c r="W14" s="2815" t="s">
        <v>36</v>
      </c>
      <c r="X14" s="2815" t="s">
        <v>36</v>
      </c>
      <c r="Y14" s="2815" t="s">
        <v>36</v>
      </c>
      <c r="Z14" s="2815"/>
      <c r="AA14" s="2815"/>
      <c r="AB14" s="2815">
        <v>4</v>
      </c>
      <c r="AC14" s="2815">
        <v>4</v>
      </c>
      <c r="AD14" s="2815">
        <v>4</v>
      </c>
      <c r="AE14" s="2815">
        <v>4</v>
      </c>
      <c r="AF14" s="2815">
        <v>4</v>
      </c>
      <c r="AG14" s="2820" t="s">
        <v>35</v>
      </c>
      <c r="AH14" s="179"/>
      <c r="AI14" s="179"/>
    </row>
    <row r="15" spans="1:38" ht="22.35" customHeight="1" x14ac:dyDescent="0.2">
      <c r="A15" s="2813">
        <v>8546</v>
      </c>
      <c r="B15" s="2821" t="s">
        <v>38</v>
      </c>
      <c r="C15" s="2816">
        <v>4</v>
      </c>
      <c r="D15" s="2815">
        <v>4</v>
      </c>
      <c r="E15" s="2815" t="s">
        <v>35</v>
      </c>
      <c r="F15" s="2818" t="s">
        <v>35</v>
      </c>
      <c r="G15" s="2818" t="s">
        <v>36</v>
      </c>
      <c r="H15" s="2818" t="s">
        <v>36</v>
      </c>
      <c r="I15" s="2815" t="s">
        <v>36</v>
      </c>
      <c r="J15" s="2816" t="s">
        <v>36</v>
      </c>
      <c r="K15" s="2818" t="s">
        <v>36</v>
      </c>
      <c r="L15" s="2815"/>
      <c r="M15" s="2815"/>
      <c r="N15" s="2822">
        <v>1</v>
      </c>
      <c r="O15" s="2822">
        <v>1</v>
      </c>
      <c r="P15" s="2822">
        <v>1</v>
      </c>
      <c r="Q15" s="2822">
        <v>1</v>
      </c>
      <c r="R15" s="2822">
        <v>1</v>
      </c>
      <c r="S15" s="2815"/>
      <c r="T15" s="2815"/>
      <c r="U15" s="2822">
        <v>2</v>
      </c>
      <c r="V15" s="2822">
        <v>2</v>
      </c>
      <c r="W15" s="2822">
        <v>2</v>
      </c>
      <c r="X15" s="2823">
        <v>2</v>
      </c>
      <c r="Y15" s="2823" t="s">
        <v>455</v>
      </c>
      <c r="Z15" s="2815" t="s">
        <v>37</v>
      </c>
      <c r="AA15" s="2815" t="s">
        <v>37</v>
      </c>
      <c r="AB15" s="2815" t="s">
        <v>36</v>
      </c>
      <c r="AC15" s="2815" t="s">
        <v>36</v>
      </c>
      <c r="AD15" s="2815" t="s">
        <v>36</v>
      </c>
      <c r="AE15" s="2815" t="s">
        <v>36</v>
      </c>
      <c r="AF15" s="2815" t="s">
        <v>36</v>
      </c>
      <c r="AG15" s="2820"/>
      <c r="AH15" s="179"/>
      <c r="AI15" s="179"/>
      <c r="AL15" t="s">
        <v>0</v>
      </c>
    </row>
    <row r="16" spans="1:38" ht="22.35" customHeight="1" x14ac:dyDescent="0.2">
      <c r="A16" s="2813">
        <v>8546</v>
      </c>
      <c r="B16" s="2824" t="s">
        <v>40</v>
      </c>
      <c r="C16" s="2825">
        <v>2</v>
      </c>
      <c r="D16" s="2823">
        <v>2</v>
      </c>
      <c r="E16" s="2823" t="s">
        <v>37</v>
      </c>
      <c r="F16" s="2823" t="s">
        <v>37</v>
      </c>
      <c r="G16" s="2823" t="s">
        <v>36</v>
      </c>
      <c r="H16" s="2823" t="s">
        <v>36</v>
      </c>
      <c r="I16" s="2826" t="s">
        <v>36</v>
      </c>
      <c r="J16" s="2823" t="s">
        <v>36</v>
      </c>
      <c r="K16" s="2823" t="s">
        <v>36</v>
      </c>
      <c r="L16" s="2823"/>
      <c r="M16" s="2823"/>
      <c r="N16" s="2825">
        <v>4</v>
      </c>
      <c r="O16" s="2825">
        <v>4</v>
      </c>
      <c r="P16" s="2825">
        <v>4</v>
      </c>
      <c r="Q16" s="2825">
        <v>4</v>
      </c>
      <c r="R16" s="2825">
        <v>4</v>
      </c>
      <c r="S16" s="2823" t="s">
        <v>35</v>
      </c>
      <c r="T16" s="2823" t="s">
        <v>35</v>
      </c>
      <c r="U16" s="2823" t="s">
        <v>36</v>
      </c>
      <c r="V16" s="2823" t="s">
        <v>36</v>
      </c>
      <c r="W16" s="2827" t="s">
        <v>36</v>
      </c>
      <c r="X16" s="2823" t="s">
        <v>36</v>
      </c>
      <c r="Y16" s="2825" t="s">
        <v>36</v>
      </c>
      <c r="Z16" s="2825"/>
      <c r="AA16" s="2825"/>
      <c r="AB16" s="2825">
        <v>1</v>
      </c>
      <c r="AC16" s="2825">
        <v>1</v>
      </c>
      <c r="AD16" s="2823">
        <v>1</v>
      </c>
      <c r="AE16" s="2823">
        <v>1</v>
      </c>
      <c r="AF16" s="2823">
        <v>1</v>
      </c>
      <c r="AG16" s="2828"/>
      <c r="AH16" s="179"/>
      <c r="AI16" s="179"/>
    </row>
    <row r="17" spans="1:40" ht="22.35" customHeight="1" x14ac:dyDescent="0.2">
      <c r="A17" s="2813">
        <v>8546</v>
      </c>
      <c r="B17" s="2821" t="s">
        <v>41</v>
      </c>
      <c r="C17" s="2815">
        <v>1</v>
      </c>
      <c r="D17" s="2816">
        <v>1</v>
      </c>
      <c r="E17" s="2815"/>
      <c r="F17" s="2818"/>
      <c r="G17" s="2822">
        <v>2</v>
      </c>
      <c r="H17" s="2822">
        <v>2</v>
      </c>
      <c r="I17" s="2829">
        <v>2</v>
      </c>
      <c r="J17" s="2822">
        <v>2</v>
      </c>
      <c r="K17" s="2822">
        <v>2</v>
      </c>
      <c r="L17" s="2822" t="s">
        <v>37</v>
      </c>
      <c r="M17" s="2830" t="s">
        <v>37</v>
      </c>
      <c r="N17" s="2814" t="s">
        <v>36</v>
      </c>
      <c r="O17" s="2814" t="s">
        <v>36</v>
      </c>
      <c r="P17" s="2814" t="s">
        <v>36</v>
      </c>
      <c r="Q17" s="2814" t="s">
        <v>36</v>
      </c>
      <c r="R17" s="2814" t="s">
        <v>36</v>
      </c>
      <c r="S17" s="2814"/>
      <c r="T17" s="2815"/>
      <c r="U17" s="2815">
        <v>4</v>
      </c>
      <c r="V17" s="2815">
        <v>4</v>
      </c>
      <c r="W17" s="2815">
        <v>4</v>
      </c>
      <c r="X17" s="2816">
        <v>4</v>
      </c>
      <c r="Y17" s="2815">
        <v>4</v>
      </c>
      <c r="Z17" s="2815" t="s">
        <v>35</v>
      </c>
      <c r="AA17" s="2831" t="s">
        <v>35</v>
      </c>
      <c r="AB17" s="2831" t="s">
        <v>36</v>
      </c>
      <c r="AC17" s="2831" t="s">
        <v>36</v>
      </c>
      <c r="AD17" s="2831" t="s">
        <v>36</v>
      </c>
      <c r="AE17" s="2831" t="s">
        <v>36</v>
      </c>
      <c r="AF17" s="2831" t="s">
        <v>36</v>
      </c>
      <c r="AG17" s="2820"/>
      <c r="AH17" s="179"/>
      <c r="AI17" s="179"/>
    </row>
    <row r="18" spans="1:40" ht="22.35" customHeight="1" x14ac:dyDescent="0.2">
      <c r="A18" s="2813">
        <v>8546</v>
      </c>
      <c r="B18" s="2824" t="s">
        <v>42</v>
      </c>
      <c r="C18" s="2816" t="s">
        <v>36</v>
      </c>
      <c r="D18" s="2832" t="s">
        <v>36</v>
      </c>
      <c r="E18" s="2832"/>
      <c r="F18" s="2815"/>
      <c r="G18" s="2815">
        <v>4</v>
      </c>
      <c r="H18" s="2815">
        <v>4</v>
      </c>
      <c r="I18" s="2815">
        <v>4</v>
      </c>
      <c r="J18" s="2818">
        <v>4</v>
      </c>
      <c r="K18" s="2818">
        <v>4</v>
      </c>
      <c r="L18" s="2815" t="s">
        <v>35</v>
      </c>
      <c r="M18" s="2818" t="s">
        <v>35</v>
      </c>
      <c r="N18" s="2818" t="s">
        <v>36</v>
      </c>
      <c r="O18" s="2815" t="s">
        <v>36</v>
      </c>
      <c r="P18" s="2818" t="s">
        <v>36</v>
      </c>
      <c r="Q18" s="2818" t="s">
        <v>36</v>
      </c>
      <c r="R18" s="2818" t="s">
        <v>36</v>
      </c>
      <c r="S18" s="2818"/>
      <c r="T18" s="2818"/>
      <c r="U18" s="2817">
        <v>1</v>
      </c>
      <c r="V18" s="2817">
        <v>1</v>
      </c>
      <c r="W18" s="2815">
        <v>1</v>
      </c>
      <c r="X18" s="2815">
        <v>1</v>
      </c>
      <c r="Y18" s="2815">
        <v>1</v>
      </c>
      <c r="Z18" s="2815"/>
      <c r="AA18" s="2815"/>
      <c r="AB18" s="2815">
        <v>2</v>
      </c>
      <c r="AC18" s="2833">
        <v>2</v>
      </c>
      <c r="AD18" s="2815">
        <v>2</v>
      </c>
      <c r="AE18" s="2815">
        <v>2</v>
      </c>
      <c r="AF18" s="2815">
        <v>2</v>
      </c>
      <c r="AG18" s="2820" t="s">
        <v>37</v>
      </c>
      <c r="AH18" s="179"/>
      <c r="AI18" s="179"/>
    </row>
    <row r="19" spans="1:40" ht="22.35" customHeight="1" thickBot="1" x14ac:dyDescent="0.25">
      <c r="A19" s="2834" t="s">
        <v>43</v>
      </c>
      <c r="B19" s="2835"/>
      <c r="C19" s="2836"/>
      <c r="D19" s="2836"/>
      <c r="E19" s="2836"/>
      <c r="F19" s="2836"/>
      <c r="G19" s="2836"/>
      <c r="H19" s="2836"/>
      <c r="I19" s="2836"/>
      <c r="J19" s="2836"/>
      <c r="K19" s="2836"/>
      <c r="L19" s="2836"/>
      <c r="M19" s="2836"/>
      <c r="N19" s="2836"/>
      <c r="O19" s="2836"/>
      <c r="P19" s="2836"/>
      <c r="Q19" s="2836"/>
      <c r="R19" s="2836"/>
      <c r="S19" s="2836"/>
      <c r="T19" s="2836"/>
      <c r="U19" s="2836"/>
      <c r="V19" s="2836"/>
      <c r="W19" s="2836"/>
      <c r="X19" s="2836"/>
      <c r="Y19" s="2836"/>
      <c r="Z19" s="2836"/>
      <c r="AA19" s="2836"/>
      <c r="AB19" s="2836"/>
      <c r="AC19" s="2836"/>
      <c r="AD19" s="2836"/>
      <c r="AE19" s="2836"/>
      <c r="AF19" s="2836"/>
      <c r="AG19" s="2837"/>
      <c r="AH19" s="177"/>
      <c r="AI19" s="177"/>
      <c r="AJ19" s="2799" t="s">
        <v>30</v>
      </c>
      <c r="AK19" s="2799" t="s">
        <v>44</v>
      </c>
      <c r="AL19" s="2799" t="s">
        <v>45</v>
      </c>
      <c r="AM19" s="2799" t="s">
        <v>46</v>
      </c>
      <c r="AN19" s="2799" t="s">
        <v>47</v>
      </c>
    </row>
    <row r="20" spans="1:40" ht="22.35" customHeight="1" x14ac:dyDescent="0.2">
      <c r="A20" s="2838">
        <v>8500</v>
      </c>
      <c r="B20" s="2839" t="s">
        <v>49</v>
      </c>
      <c r="C20" s="2802" t="s">
        <v>32</v>
      </c>
      <c r="D20" s="2840" t="s">
        <v>32</v>
      </c>
      <c r="E20" s="2802"/>
      <c r="F20" s="2841">
        <v>23</v>
      </c>
      <c r="G20" s="2840" t="s">
        <v>32</v>
      </c>
      <c r="H20" s="2840" t="s">
        <v>32</v>
      </c>
      <c r="I20" s="2842" t="s">
        <v>32</v>
      </c>
      <c r="J20" s="2840" t="s">
        <v>32</v>
      </c>
      <c r="K20" s="498" t="s">
        <v>32</v>
      </c>
      <c r="L20" s="2840"/>
      <c r="M20" s="2840"/>
      <c r="N20" s="2840">
        <v>1</v>
      </c>
      <c r="O20" s="2840">
        <v>1</v>
      </c>
      <c r="P20" s="2840">
        <v>1</v>
      </c>
      <c r="Q20" s="2840">
        <v>1</v>
      </c>
      <c r="R20" s="2843" t="s">
        <v>32</v>
      </c>
      <c r="S20" s="2840"/>
      <c r="T20" s="2840"/>
      <c r="U20" s="2840" t="s">
        <v>32</v>
      </c>
      <c r="V20" s="2840" t="s">
        <v>32</v>
      </c>
      <c r="W20" s="2840" t="s">
        <v>32</v>
      </c>
      <c r="X20" s="2841" t="s">
        <v>32</v>
      </c>
      <c r="Y20" s="2841" t="s">
        <v>32</v>
      </c>
      <c r="Z20" s="2840"/>
      <c r="AA20" s="2840"/>
      <c r="AB20" s="2840"/>
      <c r="AC20" s="2840" t="s">
        <v>32</v>
      </c>
      <c r="AD20" s="2840" t="s">
        <v>32</v>
      </c>
      <c r="AE20" s="2840" t="s">
        <v>32</v>
      </c>
      <c r="AF20" s="2840" t="s">
        <v>32</v>
      </c>
      <c r="AG20" s="2844"/>
      <c r="AH20" s="179"/>
      <c r="AI20" s="179"/>
      <c r="AJ20" s="2845">
        <f>$AJ$12</f>
        <v>160.33000000000001</v>
      </c>
      <c r="AK20" s="2845"/>
      <c r="AL20" s="2845">
        <f>IF(AJ20="","",SUM(AJ20:AK20))</f>
        <v>160.33000000000001</v>
      </c>
      <c r="AM20" s="2846">
        <f>IF(AJ20="","",AL20-NormTid)</f>
        <v>0</v>
      </c>
      <c r="AN20" s="2846">
        <f>IF(AM20="","",AM20+'November 2022'!AN20)</f>
        <v>0</v>
      </c>
    </row>
    <row r="21" spans="1:40" ht="22.35" customHeight="1" x14ac:dyDescent="0.2">
      <c r="A21" s="2847">
        <v>8500</v>
      </c>
      <c r="B21" s="2848" t="s">
        <v>52</v>
      </c>
      <c r="C21" s="2802" t="s">
        <v>32</v>
      </c>
      <c r="D21" s="2802" t="s">
        <v>32</v>
      </c>
      <c r="E21" s="2802"/>
      <c r="F21" s="2803"/>
      <c r="G21" s="2814">
        <v>2</v>
      </c>
      <c r="H21" s="2814">
        <v>2</v>
      </c>
      <c r="I21" s="2818">
        <v>2</v>
      </c>
      <c r="J21" s="2818">
        <v>2</v>
      </c>
      <c r="K21" s="2815">
        <v>2</v>
      </c>
      <c r="L21" s="2819" t="s">
        <v>37</v>
      </c>
      <c r="M21" s="2818" t="s">
        <v>37</v>
      </c>
      <c r="N21" s="2815" t="s">
        <v>36</v>
      </c>
      <c r="O21" s="2815" t="s">
        <v>36</v>
      </c>
      <c r="P21" s="2815" t="s">
        <v>36</v>
      </c>
      <c r="Q21" s="2815" t="s">
        <v>36</v>
      </c>
      <c r="R21" s="2815" t="s">
        <v>36</v>
      </c>
      <c r="S21" s="2802"/>
      <c r="T21" s="2803"/>
      <c r="U21" s="2709">
        <v>2</v>
      </c>
      <c r="V21" s="2802">
        <v>2</v>
      </c>
      <c r="W21" s="2802">
        <v>2</v>
      </c>
      <c r="X21" s="2808" t="s">
        <v>32</v>
      </c>
      <c r="Y21" s="2808" t="s">
        <v>32</v>
      </c>
      <c r="Z21" s="2803"/>
      <c r="AA21" s="2803"/>
      <c r="AB21" s="2803"/>
      <c r="AC21" s="2849" t="s">
        <v>32</v>
      </c>
      <c r="AD21" s="2849" t="s">
        <v>32</v>
      </c>
      <c r="AE21" s="2849" t="s">
        <v>32</v>
      </c>
      <c r="AF21" s="2849" t="s">
        <v>32</v>
      </c>
      <c r="AG21" s="2809"/>
      <c r="AH21" s="179"/>
      <c r="AI21" s="179"/>
      <c r="AJ21" s="2845">
        <v>153</v>
      </c>
      <c r="AK21" s="2845">
        <v>6</v>
      </c>
      <c r="AL21" s="2845">
        <f t="shared" ref="AL21:AL23" si="0">IF(AJ21="","",SUM(AJ21:AK21))</f>
        <v>159</v>
      </c>
      <c r="AM21" s="2846">
        <f>IF(AJ21="","",AL21-NormTid)</f>
        <v>-1.3300000000000125</v>
      </c>
      <c r="AN21" s="2846">
        <f>IF(AM21="","",AM21+'November 2022'!AN21)</f>
        <v>37.379999999999939</v>
      </c>
    </row>
    <row r="22" spans="1:40" ht="22.35" customHeight="1" x14ac:dyDescent="0.2">
      <c r="A22" s="2847">
        <v>8500</v>
      </c>
      <c r="B22" s="2801" t="s">
        <v>54</v>
      </c>
      <c r="C22" s="2818">
        <v>2</v>
      </c>
      <c r="D22" s="2815">
        <v>2</v>
      </c>
      <c r="E22" s="2815" t="s">
        <v>37</v>
      </c>
      <c r="F22" s="2815" t="s">
        <v>37</v>
      </c>
      <c r="G22" s="2815" t="s">
        <v>36</v>
      </c>
      <c r="H22" s="2815" t="s">
        <v>36</v>
      </c>
      <c r="I22" s="2814" t="s">
        <v>36</v>
      </c>
      <c r="J22" s="2815" t="s">
        <v>36</v>
      </c>
      <c r="K22" s="2815" t="s">
        <v>36</v>
      </c>
      <c r="L22" s="2815"/>
      <c r="M22" s="2815"/>
      <c r="N22" s="2818">
        <v>4</v>
      </c>
      <c r="O22" s="2818">
        <v>4</v>
      </c>
      <c r="P22" s="2818">
        <v>4</v>
      </c>
      <c r="Q22" s="2818">
        <v>4</v>
      </c>
      <c r="R22" s="2818">
        <v>4</v>
      </c>
      <c r="S22" s="2815" t="s">
        <v>35</v>
      </c>
      <c r="T22" s="2815" t="s">
        <v>35</v>
      </c>
      <c r="U22" s="2815" t="s">
        <v>36</v>
      </c>
      <c r="V22" s="2815" t="s">
        <v>36</v>
      </c>
      <c r="W22" s="2816" t="s">
        <v>36</v>
      </c>
      <c r="X22" s="2815" t="s">
        <v>36</v>
      </c>
      <c r="Y22" s="2818" t="s">
        <v>36</v>
      </c>
      <c r="Z22" s="2818"/>
      <c r="AA22" s="2818"/>
      <c r="AB22" s="2818">
        <v>1</v>
      </c>
      <c r="AC22" s="2818">
        <v>1</v>
      </c>
      <c r="AD22" s="2815">
        <v>1</v>
      </c>
      <c r="AE22" s="2815">
        <v>1</v>
      </c>
      <c r="AF22" s="2815">
        <v>1</v>
      </c>
      <c r="AG22" s="2820"/>
      <c r="AH22" s="179"/>
      <c r="AI22" s="179"/>
      <c r="AJ22" s="2845">
        <v>145.5</v>
      </c>
      <c r="AK22" s="2845">
        <v>8</v>
      </c>
      <c r="AL22" s="2845">
        <f t="shared" si="0"/>
        <v>153.5</v>
      </c>
      <c r="AM22" s="2846">
        <f>IF(AJ22="","",AL22-NormTid)</f>
        <v>-6.8300000000000125</v>
      </c>
      <c r="AN22" s="2846">
        <f>IF(AM22="","",AM22+'November 2022'!AN22)</f>
        <v>46.029999999999937</v>
      </c>
    </row>
    <row r="23" spans="1:40" ht="22.35" customHeight="1" x14ac:dyDescent="0.2">
      <c r="A23" s="2847"/>
      <c r="B23" s="2848"/>
      <c r="C23" s="2804" t="s">
        <v>32</v>
      </c>
      <c r="D23" s="2807" t="s">
        <v>32</v>
      </c>
      <c r="E23" s="2803"/>
      <c r="F23" s="2803"/>
      <c r="G23" s="2803" t="s">
        <v>32</v>
      </c>
      <c r="H23" s="2850" t="s">
        <v>32</v>
      </c>
      <c r="I23" s="2850" t="s">
        <v>32</v>
      </c>
      <c r="J23" s="2850" t="s">
        <v>32</v>
      </c>
      <c r="K23" s="2851" t="s">
        <v>32</v>
      </c>
      <c r="L23" s="2850"/>
      <c r="M23" s="2803"/>
      <c r="N23" s="2802" t="s">
        <v>32</v>
      </c>
      <c r="O23" s="2802" t="s">
        <v>32</v>
      </c>
      <c r="P23" s="2803" t="s">
        <v>32</v>
      </c>
      <c r="Q23" s="2803" t="s">
        <v>32</v>
      </c>
      <c r="R23" s="2852" t="s">
        <v>32</v>
      </c>
      <c r="S23" s="2852"/>
      <c r="T23" s="2803"/>
      <c r="U23" s="2803" t="s">
        <v>32</v>
      </c>
      <c r="V23" s="2850" t="s">
        <v>32</v>
      </c>
      <c r="W23" s="2850" t="s">
        <v>32</v>
      </c>
      <c r="X23" s="2850" t="s">
        <v>32</v>
      </c>
      <c r="Y23" s="2850" t="s">
        <v>32</v>
      </c>
      <c r="Z23" s="2850"/>
      <c r="AA23" s="2850"/>
      <c r="AB23" s="2850"/>
      <c r="AC23" s="2850" t="s">
        <v>32</v>
      </c>
      <c r="AD23" s="2807" t="s">
        <v>32</v>
      </c>
      <c r="AE23" s="2850" t="s">
        <v>32</v>
      </c>
      <c r="AF23" s="2850" t="s">
        <v>32</v>
      </c>
      <c r="AG23" s="2853"/>
      <c r="AJ23" s="2845">
        <f t="shared" ref="AJ23" si="1">$AJ$12</f>
        <v>160.33000000000001</v>
      </c>
      <c r="AK23" s="2845"/>
      <c r="AL23" s="2845">
        <f t="shared" si="0"/>
        <v>160.33000000000001</v>
      </c>
      <c r="AM23" s="2846">
        <f>IF(AJ23="","",AL23-NormTid)</f>
        <v>0</v>
      </c>
      <c r="AN23" s="2846">
        <f>IF(AM23="","",AM23+'November 2022'!AN23)</f>
        <v>0</v>
      </c>
    </row>
    <row r="24" spans="1:40" ht="22.35" customHeight="1" thickBot="1" x14ac:dyDescent="0.25">
      <c r="A24" s="2854"/>
      <c r="B24" s="2855" t="s">
        <v>56</v>
      </c>
      <c r="C24" s="2856" t="s">
        <v>32</v>
      </c>
      <c r="D24" s="2856" t="s">
        <v>32</v>
      </c>
      <c r="E24" s="2856"/>
      <c r="F24" s="2856"/>
      <c r="G24" s="2856" t="s">
        <v>32</v>
      </c>
      <c r="H24" s="2856" t="s">
        <v>32</v>
      </c>
      <c r="I24" s="2856" t="s">
        <v>32</v>
      </c>
      <c r="J24" s="2856" t="s">
        <v>32</v>
      </c>
      <c r="K24" s="2856" t="s">
        <v>32</v>
      </c>
      <c r="L24" s="2856"/>
      <c r="M24" s="2856"/>
      <c r="N24" s="2857" t="s">
        <v>32</v>
      </c>
      <c r="O24" s="2857" t="s">
        <v>32</v>
      </c>
      <c r="P24" s="2857">
        <v>3</v>
      </c>
      <c r="Q24" s="2858" t="s">
        <v>32</v>
      </c>
      <c r="R24" s="2857" t="s">
        <v>32</v>
      </c>
      <c r="S24" s="2856"/>
      <c r="T24" s="2856"/>
      <c r="U24" s="2857" t="s">
        <v>32</v>
      </c>
      <c r="V24" s="2857" t="s">
        <v>32</v>
      </c>
      <c r="W24" s="2857" t="s">
        <v>32</v>
      </c>
      <c r="X24" s="2856" t="s">
        <v>32</v>
      </c>
      <c r="Y24" s="2857" t="s">
        <v>32</v>
      </c>
      <c r="Z24" s="2856"/>
      <c r="AA24" s="2856"/>
      <c r="AB24" s="2856"/>
      <c r="AC24" s="2859" t="s">
        <v>32</v>
      </c>
      <c r="AD24" s="2859" t="s">
        <v>32</v>
      </c>
      <c r="AE24" s="2859" t="s">
        <v>32</v>
      </c>
      <c r="AF24" s="2859" t="s">
        <v>32</v>
      </c>
      <c r="AG24" s="867"/>
    </row>
    <row r="25" spans="1:40" ht="22.35" customHeight="1" x14ac:dyDescent="0.2">
      <c r="A25" s="363"/>
      <c r="B25" s="364"/>
      <c r="C25" s="364"/>
      <c r="D25" s="364"/>
      <c r="E25" s="364" t="s">
        <v>0</v>
      </c>
      <c r="H25" s="199" t="s">
        <v>0</v>
      </c>
      <c r="I25" s="199" t="s">
        <v>0</v>
      </c>
      <c r="J25" s="199" t="s">
        <v>0</v>
      </c>
      <c r="K25" s="446"/>
      <c r="P25" t="s">
        <v>0</v>
      </c>
      <c r="Q25" s="2802" t="s">
        <v>0</v>
      </c>
      <c r="R25" s="2803" t="s">
        <v>0</v>
      </c>
      <c r="T25" s="2802" t="s">
        <v>0</v>
      </c>
      <c r="U25" s="220" t="s">
        <v>0</v>
      </c>
      <c r="W25" s="220" t="s">
        <v>58</v>
      </c>
      <c r="X25" s="359" t="s">
        <v>58</v>
      </c>
      <c r="Y25" s="359" t="s">
        <v>58</v>
      </c>
      <c r="AB25" s="183" t="s">
        <v>0</v>
      </c>
      <c r="AC25" t="s">
        <v>0</v>
      </c>
      <c r="AD25" s="2860" t="s">
        <v>0</v>
      </c>
      <c r="AE25" t="s">
        <v>0</v>
      </c>
      <c r="AF25" t="s">
        <v>0</v>
      </c>
      <c r="AG25" t="s">
        <v>0</v>
      </c>
    </row>
    <row r="26" spans="1:40" ht="22.35" customHeight="1" x14ac:dyDescent="0.2">
      <c r="A26" s="291"/>
      <c r="B26" s="199"/>
      <c r="K26" s="199"/>
      <c r="L26" s="199"/>
      <c r="M26" s="2802" t="s">
        <v>0</v>
      </c>
      <c r="N26" s="199" t="s">
        <v>0</v>
      </c>
      <c r="O26" s="192" t="s">
        <v>0</v>
      </c>
      <c r="P26" s="216" t="s">
        <v>382</v>
      </c>
      <c r="Q26" s="199">
        <v>22</v>
      </c>
      <c r="R26" s="199">
        <v>22</v>
      </c>
      <c r="S26" s="2845" t="s">
        <v>0</v>
      </c>
      <c r="AC26" t="s">
        <v>0</v>
      </c>
      <c r="AD26" t="s">
        <v>0</v>
      </c>
      <c r="AE26" t="s">
        <v>0</v>
      </c>
    </row>
    <row r="27" spans="1:40" ht="22.35" customHeight="1" thickBot="1" x14ac:dyDescent="0.25">
      <c r="A27" s="291"/>
      <c r="B27" s="199"/>
      <c r="AC27" t="s">
        <v>0</v>
      </c>
      <c r="AF27" t="s">
        <v>0</v>
      </c>
      <c r="AG27" s="2861" t="s">
        <v>0</v>
      </c>
    </row>
    <row r="28" spans="1:40" ht="22.35" customHeight="1" x14ac:dyDescent="0.2">
      <c r="A28" s="291"/>
      <c r="B28" s="199"/>
      <c r="K28" s="199" t="s">
        <v>0</v>
      </c>
      <c r="R28" s="199" t="s">
        <v>0</v>
      </c>
      <c r="Y28" s="190"/>
      <c r="AB28" t="s">
        <v>0</v>
      </c>
      <c r="AC28" t="s">
        <v>0</v>
      </c>
      <c r="AD28" t="s">
        <v>0</v>
      </c>
      <c r="AE28" t="s">
        <v>0</v>
      </c>
      <c r="AF28" t="s">
        <v>0</v>
      </c>
    </row>
    <row r="29" spans="1:40" ht="22.35" customHeight="1" x14ac:dyDescent="0.2">
      <c r="A29" s="291"/>
      <c r="B29" s="199"/>
      <c r="Y29" s="190"/>
      <c r="AK29" t="s">
        <v>0</v>
      </c>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2862" t="s">
        <v>62</v>
      </c>
      <c r="B31" s="2863"/>
      <c r="C31" s="2863"/>
      <c r="D31" s="2864" t="s">
        <v>63</v>
      </c>
      <c r="E31" s="2865"/>
      <c r="F31" s="2865"/>
      <c r="G31" s="2865"/>
      <c r="H31" s="2865"/>
      <c r="I31" s="2865"/>
      <c r="J31" s="2865"/>
      <c r="K31" s="2865"/>
      <c r="L31" s="2865"/>
      <c r="M31" s="2866" t="s">
        <v>65</v>
      </c>
      <c r="N31" s="2865"/>
      <c r="O31" s="2865"/>
      <c r="P31" s="2865"/>
      <c r="Q31" s="2865"/>
      <c r="R31" s="2865"/>
      <c r="S31" s="2867"/>
      <c r="T31" s="4945" t="s">
        <v>66</v>
      </c>
      <c r="U31" s="4946"/>
      <c r="V31" s="4946"/>
      <c r="W31" s="4946"/>
      <c r="X31" s="4946"/>
      <c r="Y31" s="4946"/>
      <c r="Z31" s="4947"/>
      <c r="AA31" s="2868" t="s">
        <v>67</v>
      </c>
      <c r="AB31" s="2869"/>
      <c r="AC31" s="2869"/>
      <c r="AD31" s="2869"/>
      <c r="AE31" s="2869"/>
      <c r="AF31" s="2869"/>
      <c r="AG31" s="2870"/>
      <c r="AK31" s="1"/>
    </row>
    <row r="32" spans="1:40" ht="22.35" customHeight="1" x14ac:dyDescent="0.2">
      <c r="A32" s="2871" t="s">
        <v>68</v>
      </c>
      <c r="B32" s="2791"/>
      <c r="C32" s="2791"/>
      <c r="D32" s="2872" t="s">
        <v>69</v>
      </c>
      <c r="E32" s="2873"/>
      <c r="F32" s="2778"/>
      <c r="G32" s="2778"/>
      <c r="H32" s="2778"/>
      <c r="I32" s="2778"/>
      <c r="J32" s="2778"/>
      <c r="K32" s="2778"/>
      <c r="L32" s="2786"/>
      <c r="M32" s="2874" t="s">
        <v>70</v>
      </c>
      <c r="N32" s="2791"/>
      <c r="O32" s="2875"/>
      <c r="P32" s="2791"/>
      <c r="Q32" s="2791"/>
      <c r="R32" s="2791"/>
      <c r="S32" s="2876"/>
      <c r="T32" s="2872" t="s">
        <v>71</v>
      </c>
      <c r="U32" s="2778"/>
      <c r="V32" s="2873"/>
      <c r="W32" s="2778"/>
      <c r="X32" s="2778"/>
      <c r="Y32" s="2778"/>
      <c r="Z32" s="2786"/>
      <c r="AA32" s="159" t="s">
        <v>72</v>
      </c>
      <c r="AD32" s="100"/>
      <c r="AG32" s="103"/>
      <c r="AK32" s="1"/>
    </row>
    <row r="33" spans="1:38" ht="22.35" customHeight="1" x14ac:dyDescent="0.2">
      <c r="A33" s="2877" t="s">
        <v>73</v>
      </c>
      <c r="B33" s="2778"/>
      <c r="C33" s="2778"/>
      <c r="D33" s="2878"/>
      <c r="E33" s="2778"/>
      <c r="F33" s="2778"/>
      <c r="G33" s="2786"/>
      <c r="H33" s="2793" t="s">
        <v>74</v>
      </c>
      <c r="I33" s="2778"/>
      <c r="J33" s="2778"/>
      <c r="K33" s="2778"/>
      <c r="L33" s="2778"/>
      <c r="M33" s="2879"/>
      <c r="N33" s="2778"/>
      <c r="O33" s="2778"/>
      <c r="P33" s="2778"/>
      <c r="Q33" s="2778"/>
      <c r="R33" s="2778"/>
      <c r="S33" s="2778"/>
      <c r="T33" s="2878"/>
      <c r="U33" s="158" t="s">
        <v>75</v>
      </c>
      <c r="AA33" s="2875"/>
      <c r="AB33" s="2791"/>
      <c r="AC33" s="2791"/>
      <c r="AD33" s="2791"/>
      <c r="AE33" s="2791"/>
      <c r="AF33" s="2791"/>
      <c r="AG33" s="2880"/>
      <c r="AK33" s="64"/>
    </row>
    <row r="34" spans="1:38" ht="22.35" customHeight="1" thickBot="1" x14ac:dyDescent="0.25">
      <c r="A34" s="631" t="s">
        <v>76</v>
      </c>
      <c r="B34" s="2881"/>
      <c r="C34" s="2881"/>
      <c r="D34" s="2882"/>
      <c r="E34" s="2881"/>
      <c r="F34" s="2881"/>
      <c r="G34" s="2883"/>
      <c r="H34" s="2884" t="s">
        <v>77</v>
      </c>
      <c r="I34" s="2883"/>
      <c r="J34" s="2881"/>
      <c r="K34" s="2881"/>
      <c r="L34" s="2881"/>
      <c r="M34" s="2885"/>
      <c r="N34" s="2881"/>
      <c r="O34" s="2881"/>
      <c r="P34" s="2881"/>
      <c r="Q34" s="2886"/>
      <c r="R34" s="2886"/>
      <c r="S34" s="2886"/>
      <c r="T34" s="2882"/>
      <c r="U34" s="2887" t="s">
        <v>78</v>
      </c>
      <c r="V34" s="2881"/>
      <c r="W34" s="2881"/>
      <c r="X34" s="2881"/>
      <c r="Y34" s="2881"/>
      <c r="Z34" s="2881"/>
      <c r="AA34" s="2881"/>
      <c r="AB34" s="2881"/>
      <c r="AC34" s="2881"/>
      <c r="AD34" s="2881"/>
      <c r="AE34" s="2881"/>
      <c r="AF34" s="2881"/>
      <c r="AG34" s="2888"/>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2889" t="s">
        <v>28</v>
      </c>
      <c r="B36" s="2890" t="s">
        <v>29</v>
      </c>
      <c r="C36" s="2796">
        <v>1</v>
      </c>
      <c r="D36" s="2796">
        <v>2</v>
      </c>
      <c r="E36" s="2797">
        <v>3</v>
      </c>
      <c r="F36" s="2797">
        <v>4</v>
      </c>
      <c r="G36" s="2796">
        <v>5</v>
      </c>
      <c r="H36" s="2796">
        <v>6</v>
      </c>
      <c r="I36" s="2796">
        <v>7</v>
      </c>
      <c r="J36" s="2796">
        <v>8</v>
      </c>
      <c r="K36" s="2796">
        <v>9</v>
      </c>
      <c r="L36" s="2797">
        <v>10</v>
      </c>
      <c r="M36" s="2797">
        <v>11</v>
      </c>
      <c r="N36" s="2796">
        <v>12</v>
      </c>
      <c r="O36" s="2796">
        <v>13</v>
      </c>
      <c r="P36" s="2796">
        <v>14</v>
      </c>
      <c r="Q36" s="2796">
        <v>15</v>
      </c>
      <c r="R36" s="2796">
        <v>16</v>
      </c>
      <c r="S36" s="2797">
        <v>17</v>
      </c>
      <c r="T36" s="2797">
        <v>18</v>
      </c>
      <c r="U36" s="2796">
        <v>19</v>
      </c>
      <c r="V36" s="2796">
        <v>20</v>
      </c>
      <c r="W36" s="2796">
        <v>21</v>
      </c>
      <c r="X36" s="2796">
        <v>22</v>
      </c>
      <c r="Y36" s="2796">
        <v>23</v>
      </c>
      <c r="Z36" s="2797">
        <v>24</v>
      </c>
      <c r="AA36" s="2797">
        <v>25</v>
      </c>
      <c r="AB36" s="2797">
        <v>26</v>
      </c>
      <c r="AC36" s="2796">
        <v>27</v>
      </c>
      <c r="AD36" s="2796">
        <v>28</v>
      </c>
      <c r="AE36" s="2796">
        <v>29</v>
      </c>
      <c r="AF36" s="2796">
        <v>30</v>
      </c>
      <c r="AG36" s="2798">
        <v>31</v>
      </c>
      <c r="AH36" s="173"/>
      <c r="AI36" s="174"/>
      <c r="AL36" t="s">
        <v>0</v>
      </c>
    </row>
    <row r="37" spans="1:38" ht="22.35" customHeight="1" x14ac:dyDescent="0.2">
      <c r="A37" s="2891">
        <v>1</v>
      </c>
      <c r="B37" s="2892" t="s">
        <v>79</v>
      </c>
      <c r="C37" s="2893">
        <v>9</v>
      </c>
      <c r="D37" s="2894">
        <v>9</v>
      </c>
      <c r="E37" s="2893" t="s">
        <v>80</v>
      </c>
      <c r="F37" s="2893" t="s">
        <v>81</v>
      </c>
      <c r="G37" s="2895" t="s">
        <v>36</v>
      </c>
      <c r="H37" s="2895" t="s">
        <v>36</v>
      </c>
      <c r="I37" s="2895" t="s">
        <v>36</v>
      </c>
      <c r="J37" s="2896" t="s">
        <v>36</v>
      </c>
      <c r="K37" s="2895" t="s">
        <v>36</v>
      </c>
      <c r="L37" s="2895" t="s">
        <v>82</v>
      </c>
      <c r="M37" s="2895" t="s">
        <v>83</v>
      </c>
      <c r="N37" s="2895">
        <v>6</v>
      </c>
      <c r="O37" s="2897">
        <v>6</v>
      </c>
      <c r="P37" s="2898">
        <v>6</v>
      </c>
      <c r="Q37" s="2899">
        <v>6</v>
      </c>
      <c r="R37" s="2897">
        <v>6</v>
      </c>
      <c r="S37" s="2900" t="s">
        <v>101</v>
      </c>
      <c r="T37" s="2895"/>
      <c r="U37" s="2901" t="s">
        <v>36</v>
      </c>
      <c r="V37" s="2901" t="s">
        <v>36</v>
      </c>
      <c r="W37" s="2901" t="s">
        <v>36</v>
      </c>
      <c r="X37" s="2901" t="s">
        <v>36</v>
      </c>
      <c r="Y37" s="2901" t="s">
        <v>36</v>
      </c>
      <c r="Z37" s="2895"/>
      <c r="AA37" s="2895"/>
      <c r="AB37" s="2902"/>
      <c r="AC37" s="2902">
        <v>5</v>
      </c>
      <c r="AD37" s="2903">
        <v>5</v>
      </c>
      <c r="AE37" s="2904">
        <v>5</v>
      </c>
      <c r="AF37" s="2905">
        <v>5</v>
      </c>
      <c r="AG37" s="2906"/>
      <c r="AH37" s="178"/>
      <c r="AI37" s="179"/>
    </row>
    <row r="38" spans="1:38" ht="22.35" customHeight="1" x14ac:dyDescent="0.2">
      <c r="A38" s="2907">
        <v>6</v>
      </c>
      <c r="B38" s="2801" t="s">
        <v>84</v>
      </c>
      <c r="C38" s="2814">
        <v>10</v>
      </c>
      <c r="D38" s="2814">
        <v>10</v>
      </c>
      <c r="E38" s="2814" t="s">
        <v>81</v>
      </c>
      <c r="F38" s="2814" t="s">
        <v>81</v>
      </c>
      <c r="G38" s="2814" t="s">
        <v>36</v>
      </c>
      <c r="H38" s="2908" t="s">
        <v>36</v>
      </c>
      <c r="I38" s="2814" t="s">
        <v>36</v>
      </c>
      <c r="J38" s="2814" t="s">
        <v>36</v>
      </c>
      <c r="K38" s="2814" t="s">
        <v>36</v>
      </c>
      <c r="L38" s="2814" t="s">
        <v>57</v>
      </c>
      <c r="M38" s="2814" t="s">
        <v>57</v>
      </c>
      <c r="N38" s="2909">
        <v>7</v>
      </c>
      <c r="O38" s="2909">
        <v>7</v>
      </c>
      <c r="P38" s="2909">
        <v>7</v>
      </c>
      <c r="Q38" s="2909">
        <v>7</v>
      </c>
      <c r="R38" s="2909">
        <v>7</v>
      </c>
      <c r="S38" s="2814"/>
      <c r="T38" s="2814"/>
      <c r="U38" s="2910">
        <v>4</v>
      </c>
      <c r="V38" s="2910">
        <v>4</v>
      </c>
      <c r="W38" s="2910">
        <v>4</v>
      </c>
      <c r="X38" s="2910">
        <v>4</v>
      </c>
      <c r="Y38" s="2910">
        <v>4</v>
      </c>
      <c r="Z38" s="2814"/>
      <c r="AA38" s="2814"/>
      <c r="AB38" s="2814">
        <v>3</v>
      </c>
      <c r="AC38" s="2814">
        <v>3</v>
      </c>
      <c r="AD38" s="2814">
        <v>3</v>
      </c>
      <c r="AE38" s="2814">
        <v>3</v>
      </c>
      <c r="AF38" s="2814">
        <v>3</v>
      </c>
      <c r="AG38" s="2911"/>
      <c r="AH38" s="178"/>
      <c r="AI38" s="179"/>
    </row>
    <row r="39" spans="1:38" ht="22.35" customHeight="1" thickBot="1" x14ac:dyDescent="0.25">
      <c r="A39" s="673">
        <v>11</v>
      </c>
      <c r="B39" s="2912" t="s">
        <v>85</v>
      </c>
      <c r="C39" s="2913" t="s">
        <v>32</v>
      </c>
      <c r="D39" s="2913" t="s">
        <v>32</v>
      </c>
      <c r="E39" s="2913" t="s">
        <v>0</v>
      </c>
      <c r="F39" s="2913" t="s">
        <v>0</v>
      </c>
      <c r="G39" s="2913" t="s">
        <v>32</v>
      </c>
      <c r="H39" s="2913" t="s">
        <v>32</v>
      </c>
      <c r="I39" s="2914" t="s">
        <v>32</v>
      </c>
      <c r="J39" s="2913" t="s">
        <v>32</v>
      </c>
      <c r="K39" s="2913" t="s">
        <v>32</v>
      </c>
      <c r="L39" s="2913" t="s">
        <v>0</v>
      </c>
      <c r="M39" s="2915" t="s">
        <v>0</v>
      </c>
      <c r="N39" s="2913" t="s">
        <v>32</v>
      </c>
      <c r="O39" s="2913" t="s">
        <v>32</v>
      </c>
      <c r="P39" s="2914" t="s">
        <v>32</v>
      </c>
      <c r="Q39" s="2913" t="s">
        <v>32</v>
      </c>
      <c r="R39" s="2913" t="s">
        <v>32</v>
      </c>
      <c r="S39" s="2913"/>
      <c r="T39" s="2916"/>
      <c r="U39" s="2913" t="s">
        <v>32</v>
      </c>
      <c r="V39" s="2913" t="s">
        <v>32</v>
      </c>
      <c r="W39" s="2914" t="s">
        <v>32</v>
      </c>
      <c r="X39" s="2913" t="s">
        <v>32</v>
      </c>
      <c r="Y39" s="2913" t="s">
        <v>32</v>
      </c>
      <c r="Z39" s="2913"/>
      <c r="AA39" s="2913"/>
      <c r="AB39" s="2913" t="s">
        <v>0</v>
      </c>
      <c r="AC39" s="2913" t="s">
        <v>32</v>
      </c>
      <c r="AD39" s="2914" t="s">
        <v>32</v>
      </c>
      <c r="AE39" s="2913" t="s">
        <v>32</v>
      </c>
      <c r="AF39" s="2913" t="s">
        <v>32</v>
      </c>
      <c r="AG39" s="2861"/>
      <c r="AH39" s="178"/>
      <c r="AI39" s="179"/>
    </row>
    <row r="40" spans="1:38" ht="22.35" customHeight="1" x14ac:dyDescent="0.2">
      <c r="A40" s="2891">
        <v>2</v>
      </c>
      <c r="B40" s="172" t="s">
        <v>88</v>
      </c>
      <c r="C40" s="2917" t="s">
        <v>36</v>
      </c>
      <c r="D40" s="2917" t="s">
        <v>36</v>
      </c>
      <c r="E40" s="2917" t="s">
        <v>82</v>
      </c>
      <c r="F40" s="2917" t="s">
        <v>83</v>
      </c>
      <c r="G40" s="2917">
        <v>6</v>
      </c>
      <c r="H40" s="2895">
        <v>6</v>
      </c>
      <c r="I40" s="2895">
        <v>6</v>
      </c>
      <c r="J40" s="2896">
        <v>6</v>
      </c>
      <c r="K40" s="2896">
        <v>6</v>
      </c>
      <c r="L40" s="2895"/>
      <c r="M40" s="2895"/>
      <c r="N40" s="2895" t="s">
        <v>36</v>
      </c>
      <c r="O40" s="2902" t="s">
        <v>36</v>
      </c>
      <c r="P40" s="2895" t="s">
        <v>36</v>
      </c>
      <c r="Q40" s="2902" t="s">
        <v>36</v>
      </c>
      <c r="R40" s="2902" t="s">
        <v>36</v>
      </c>
      <c r="S40" s="2896"/>
      <c r="T40" s="2902"/>
      <c r="U40" s="2899">
        <v>5</v>
      </c>
      <c r="V40" s="2899">
        <v>5</v>
      </c>
      <c r="W40" s="2899">
        <v>5</v>
      </c>
      <c r="X40" s="2899">
        <v>5</v>
      </c>
      <c r="Y40" s="2898" t="s">
        <v>89</v>
      </c>
      <c r="Z40" s="2895"/>
      <c r="AA40" s="2895"/>
      <c r="AB40" s="2895">
        <v>10</v>
      </c>
      <c r="AC40" s="2902">
        <v>10</v>
      </c>
      <c r="AD40" s="2902">
        <v>10</v>
      </c>
      <c r="AE40" s="2895">
        <v>10</v>
      </c>
      <c r="AF40" s="2895">
        <v>10</v>
      </c>
      <c r="AG40" s="2906" t="s">
        <v>81</v>
      </c>
      <c r="AH40" s="178"/>
      <c r="AI40" s="179"/>
    </row>
    <row r="41" spans="1:38" ht="22.35" customHeight="1" x14ac:dyDescent="0.2">
      <c r="A41" s="2907">
        <v>7</v>
      </c>
      <c r="B41" s="2821" t="s">
        <v>91</v>
      </c>
      <c r="C41" s="2818" t="s">
        <v>36</v>
      </c>
      <c r="D41" s="2818" t="s">
        <v>36</v>
      </c>
      <c r="E41" s="2818" t="s">
        <v>57</v>
      </c>
      <c r="F41" s="2818" t="s">
        <v>57</v>
      </c>
      <c r="G41" s="2918">
        <v>7</v>
      </c>
      <c r="H41" s="2918">
        <v>7</v>
      </c>
      <c r="I41" s="2817">
        <v>7</v>
      </c>
      <c r="J41" s="2832">
        <v>7</v>
      </c>
      <c r="K41" s="2832">
        <v>7</v>
      </c>
      <c r="L41" s="2832"/>
      <c r="M41" s="2832"/>
      <c r="N41" s="2919">
        <v>4</v>
      </c>
      <c r="O41" s="2919">
        <v>4</v>
      </c>
      <c r="P41" s="2910">
        <v>4</v>
      </c>
      <c r="Q41" s="2910">
        <v>4</v>
      </c>
      <c r="R41" s="2910">
        <v>4</v>
      </c>
      <c r="S41" s="2910"/>
      <c r="T41" s="2910"/>
      <c r="U41" s="2920">
        <v>3</v>
      </c>
      <c r="V41" s="2920">
        <v>3</v>
      </c>
      <c r="W41" s="2920">
        <v>3</v>
      </c>
      <c r="X41" s="2921">
        <v>3</v>
      </c>
      <c r="Y41" s="2921">
        <v>3</v>
      </c>
      <c r="Z41" s="2918"/>
      <c r="AA41" s="2918"/>
      <c r="AB41" s="2918">
        <v>11</v>
      </c>
      <c r="AC41" s="2918">
        <v>11</v>
      </c>
      <c r="AD41" s="2918">
        <v>11</v>
      </c>
      <c r="AE41" s="2918">
        <v>11</v>
      </c>
      <c r="AF41" s="2918">
        <v>11</v>
      </c>
      <c r="AG41" s="2922" t="s">
        <v>94</v>
      </c>
      <c r="AH41" s="178"/>
      <c r="AI41" s="179"/>
    </row>
    <row r="42" spans="1:38" ht="22.35" customHeight="1" thickBot="1" x14ac:dyDescent="0.25">
      <c r="A42" s="673">
        <v>12</v>
      </c>
      <c r="B42" s="634" t="s">
        <v>93</v>
      </c>
      <c r="C42" s="2923" t="s">
        <v>36</v>
      </c>
      <c r="D42" s="2923" t="s">
        <v>36</v>
      </c>
      <c r="E42" s="2923" t="s">
        <v>83</v>
      </c>
      <c r="F42" s="2923" t="s">
        <v>83</v>
      </c>
      <c r="G42" s="2923">
        <v>8</v>
      </c>
      <c r="H42" s="2923">
        <v>8</v>
      </c>
      <c r="I42" s="2923">
        <v>8</v>
      </c>
      <c r="J42" s="2923">
        <v>8</v>
      </c>
      <c r="K42" s="2923">
        <v>8</v>
      </c>
      <c r="L42" s="2923"/>
      <c r="M42" s="2923"/>
      <c r="N42" s="2923" t="s">
        <v>36</v>
      </c>
      <c r="O42" s="2923" t="s">
        <v>36</v>
      </c>
      <c r="P42" s="2923" t="s">
        <v>36</v>
      </c>
      <c r="Q42" s="2923" t="s">
        <v>36</v>
      </c>
      <c r="R42" s="2923" t="s">
        <v>36</v>
      </c>
      <c r="S42" s="2923"/>
      <c r="T42" s="2923"/>
      <c r="U42" s="2923">
        <v>1</v>
      </c>
      <c r="V42" s="2923">
        <v>1</v>
      </c>
      <c r="W42" s="2923">
        <v>1</v>
      </c>
      <c r="X42" s="2923">
        <v>1</v>
      </c>
      <c r="Y42" s="2923">
        <v>1</v>
      </c>
      <c r="Z42" s="2923"/>
      <c r="AA42" s="2923"/>
      <c r="AB42" s="2923">
        <v>9</v>
      </c>
      <c r="AC42" s="2923">
        <v>9</v>
      </c>
      <c r="AD42" s="2923">
        <v>9</v>
      </c>
      <c r="AE42" s="2923">
        <v>9</v>
      </c>
      <c r="AF42" s="2923">
        <v>9</v>
      </c>
      <c r="AG42" s="2924" t="s">
        <v>80</v>
      </c>
      <c r="AH42" s="178"/>
      <c r="AI42" s="179"/>
    </row>
    <row r="43" spans="1:38" ht="22.35" customHeight="1" x14ac:dyDescent="0.2">
      <c r="A43" s="2891">
        <v>3</v>
      </c>
      <c r="B43" s="2925" t="s">
        <v>96</v>
      </c>
      <c r="C43" s="2897">
        <v>6</v>
      </c>
      <c r="D43" s="2899">
        <v>6</v>
      </c>
      <c r="E43" s="2898"/>
      <c r="F43" s="2898"/>
      <c r="G43" s="2898" t="s">
        <v>36</v>
      </c>
      <c r="H43" s="2898" t="s">
        <v>36</v>
      </c>
      <c r="I43" s="2898" t="s">
        <v>36</v>
      </c>
      <c r="J43" s="2899" t="s">
        <v>36</v>
      </c>
      <c r="K43" s="2899" t="s">
        <v>36</v>
      </c>
      <c r="L43" s="2899"/>
      <c r="M43" s="2899"/>
      <c r="N43" s="2899">
        <v>5</v>
      </c>
      <c r="O43" s="2899">
        <v>5</v>
      </c>
      <c r="P43" s="2899">
        <v>5</v>
      </c>
      <c r="Q43" s="2899">
        <v>5</v>
      </c>
      <c r="R43" s="2898">
        <v>5</v>
      </c>
      <c r="S43" s="2898"/>
      <c r="T43" s="2898"/>
      <c r="U43" s="2898">
        <v>10</v>
      </c>
      <c r="V43" s="2899">
        <v>10</v>
      </c>
      <c r="W43" s="2899">
        <v>10</v>
      </c>
      <c r="X43" s="2897">
        <v>10</v>
      </c>
      <c r="Y43" s="2898">
        <v>10</v>
      </c>
      <c r="Z43" s="2898" t="s">
        <v>81</v>
      </c>
      <c r="AA43" s="2898" t="s">
        <v>81</v>
      </c>
      <c r="AB43" s="2898" t="s">
        <v>36</v>
      </c>
      <c r="AC43" s="2926" t="s">
        <v>36</v>
      </c>
      <c r="AD43" s="2898" t="s">
        <v>36</v>
      </c>
      <c r="AE43" s="2898" t="s">
        <v>36</v>
      </c>
      <c r="AF43" s="2898" t="s">
        <v>36</v>
      </c>
      <c r="AG43" s="2927" t="s">
        <v>57</v>
      </c>
      <c r="AH43" s="178"/>
      <c r="AI43" s="179"/>
    </row>
    <row r="44" spans="1:38" ht="22.35" customHeight="1" x14ac:dyDescent="0.2">
      <c r="A44" s="2907">
        <v>8</v>
      </c>
      <c r="B44" s="2821" t="s">
        <v>97</v>
      </c>
      <c r="C44" s="2910">
        <v>7</v>
      </c>
      <c r="D44" s="2910">
        <v>7</v>
      </c>
      <c r="E44" s="2910"/>
      <c r="F44" s="2910"/>
      <c r="G44" s="2910">
        <v>4</v>
      </c>
      <c r="H44" s="2910">
        <v>4</v>
      </c>
      <c r="I44" s="2910">
        <v>4</v>
      </c>
      <c r="J44" s="2910">
        <v>4</v>
      </c>
      <c r="K44" s="2910">
        <v>4</v>
      </c>
      <c r="L44" s="2910"/>
      <c r="M44" s="2910"/>
      <c r="N44" s="2818">
        <v>3</v>
      </c>
      <c r="O44" s="2832">
        <v>3</v>
      </c>
      <c r="P44" s="2832">
        <v>3</v>
      </c>
      <c r="Q44" s="2832">
        <v>3</v>
      </c>
      <c r="R44" s="2832">
        <v>3</v>
      </c>
      <c r="S44" s="2832"/>
      <c r="T44" s="2832"/>
      <c r="U44" s="2832">
        <v>11</v>
      </c>
      <c r="V44" s="2918">
        <v>11</v>
      </c>
      <c r="W44" s="2918">
        <v>11</v>
      </c>
      <c r="X44" s="2817">
        <v>11</v>
      </c>
      <c r="Y44" s="2918">
        <v>11</v>
      </c>
      <c r="Z44" s="2918" t="s">
        <v>94</v>
      </c>
      <c r="AA44" s="2918" t="s">
        <v>94</v>
      </c>
      <c r="AB44" s="2918" t="s">
        <v>36</v>
      </c>
      <c r="AC44" s="2918" t="s">
        <v>36</v>
      </c>
      <c r="AD44" s="2818" t="s">
        <v>36</v>
      </c>
      <c r="AE44" s="2818" t="s">
        <v>36</v>
      </c>
      <c r="AF44" s="2819" t="s">
        <v>36</v>
      </c>
      <c r="AG44" s="2922" t="s">
        <v>83</v>
      </c>
      <c r="AH44" s="178"/>
      <c r="AI44" s="179"/>
    </row>
    <row r="45" spans="1:38" ht="22.35" customHeight="1" thickBot="1" x14ac:dyDescent="0.25">
      <c r="A45" s="673">
        <v>13</v>
      </c>
      <c r="B45" s="2912" t="s">
        <v>98</v>
      </c>
      <c r="C45" s="2796">
        <v>8</v>
      </c>
      <c r="D45" s="2796">
        <v>8</v>
      </c>
      <c r="E45" s="2913"/>
      <c r="F45" s="2913"/>
      <c r="G45" s="2913" t="s">
        <v>36</v>
      </c>
      <c r="H45" s="2913" t="s">
        <v>36</v>
      </c>
      <c r="I45" s="2913" t="s">
        <v>36</v>
      </c>
      <c r="J45" s="2796" t="s">
        <v>36</v>
      </c>
      <c r="K45" s="2913" t="s">
        <v>36</v>
      </c>
      <c r="L45" s="2928"/>
      <c r="M45" s="2913"/>
      <c r="N45" s="2929">
        <v>1</v>
      </c>
      <c r="O45" s="2929">
        <v>1</v>
      </c>
      <c r="P45" s="2929">
        <v>1</v>
      </c>
      <c r="Q45" s="2929">
        <v>1</v>
      </c>
      <c r="R45" s="2929" t="s">
        <v>377</v>
      </c>
      <c r="S45" s="2930"/>
      <c r="T45" s="2930"/>
      <c r="U45" s="2931">
        <v>9</v>
      </c>
      <c r="V45" s="2931">
        <v>9</v>
      </c>
      <c r="W45" s="2931">
        <v>9</v>
      </c>
      <c r="X45" s="2931">
        <v>9</v>
      </c>
      <c r="Y45" s="2931">
        <v>9</v>
      </c>
      <c r="Z45" s="2932" t="s">
        <v>80</v>
      </c>
      <c r="AA45" s="2932" t="s">
        <v>81</v>
      </c>
      <c r="AB45" s="2930" t="s">
        <v>36</v>
      </c>
      <c r="AC45" s="2930" t="s">
        <v>36</v>
      </c>
      <c r="AD45" s="2930" t="s">
        <v>36</v>
      </c>
      <c r="AE45" s="2933" t="s">
        <v>36</v>
      </c>
      <c r="AF45" s="2930" t="s">
        <v>36</v>
      </c>
      <c r="AG45" s="2934" t="s">
        <v>82</v>
      </c>
      <c r="AH45" s="178"/>
      <c r="AI45" s="179"/>
    </row>
    <row r="46" spans="1:38" ht="22.35" customHeight="1" x14ac:dyDescent="0.2">
      <c r="A46" s="2891">
        <v>4</v>
      </c>
      <c r="B46" s="2892" t="s">
        <v>442</v>
      </c>
      <c r="C46" s="2901" t="s">
        <v>36</v>
      </c>
      <c r="D46" s="2902" t="s">
        <v>36</v>
      </c>
      <c r="E46" s="2901"/>
      <c r="F46" s="2896"/>
      <c r="G46" s="2894">
        <v>5</v>
      </c>
      <c r="H46" s="2894">
        <v>5</v>
      </c>
      <c r="I46" s="2894">
        <v>5</v>
      </c>
      <c r="J46" s="2894">
        <v>5</v>
      </c>
      <c r="K46" s="2894">
        <v>5</v>
      </c>
      <c r="L46" s="2896"/>
      <c r="M46" s="2935"/>
      <c r="N46" s="2896">
        <v>10</v>
      </c>
      <c r="O46" s="2896">
        <v>10</v>
      </c>
      <c r="P46" s="2896">
        <v>10</v>
      </c>
      <c r="Q46" s="2896">
        <v>10</v>
      </c>
      <c r="R46" s="2896">
        <v>10</v>
      </c>
      <c r="S46" s="2896" t="s">
        <v>81</v>
      </c>
      <c r="T46" s="2895" t="s">
        <v>81</v>
      </c>
      <c r="U46" s="2895" t="s">
        <v>36</v>
      </c>
      <c r="V46" s="2936" t="s">
        <v>36</v>
      </c>
      <c r="W46" s="2895" t="s">
        <v>36</v>
      </c>
      <c r="X46" s="2901" t="s">
        <v>36</v>
      </c>
      <c r="Y46" s="2896" t="s">
        <v>36</v>
      </c>
      <c r="Z46" s="2895" t="s">
        <v>57</v>
      </c>
      <c r="AA46" s="2895" t="s">
        <v>57</v>
      </c>
      <c r="AB46" s="2895">
        <v>7</v>
      </c>
      <c r="AC46" s="2895">
        <v>7</v>
      </c>
      <c r="AD46" s="2895">
        <v>7</v>
      </c>
      <c r="AE46" s="2902">
        <v>7</v>
      </c>
      <c r="AF46" s="2895">
        <v>7</v>
      </c>
      <c r="AG46" s="2906"/>
      <c r="AH46" s="178"/>
      <c r="AI46" s="179"/>
    </row>
    <row r="47" spans="1:38" ht="22.35" customHeight="1" x14ac:dyDescent="0.2">
      <c r="A47" s="2907">
        <v>9</v>
      </c>
      <c r="B47" s="2821" t="s">
        <v>100</v>
      </c>
      <c r="C47" s="2937">
        <v>4</v>
      </c>
      <c r="D47" s="2937">
        <v>4</v>
      </c>
      <c r="E47" s="2918"/>
      <c r="F47" s="2918"/>
      <c r="G47" s="2938">
        <v>3</v>
      </c>
      <c r="H47" s="2938">
        <v>3</v>
      </c>
      <c r="I47" s="2938">
        <v>3</v>
      </c>
      <c r="J47" s="2938">
        <v>3</v>
      </c>
      <c r="K47" s="2938">
        <v>3</v>
      </c>
      <c r="L47" s="2918"/>
      <c r="M47" s="2918"/>
      <c r="N47" s="2918">
        <v>11</v>
      </c>
      <c r="O47" s="2918">
        <v>11</v>
      </c>
      <c r="P47" s="2918">
        <v>11</v>
      </c>
      <c r="Q47" s="2817">
        <v>11</v>
      </c>
      <c r="R47" s="2918">
        <v>11</v>
      </c>
      <c r="S47" s="2918" t="s">
        <v>94</v>
      </c>
      <c r="T47" s="2918" t="s">
        <v>94</v>
      </c>
      <c r="U47" s="2918" t="s">
        <v>36</v>
      </c>
      <c r="V47" s="2918" t="s">
        <v>36</v>
      </c>
      <c r="W47" s="2918" t="s">
        <v>36</v>
      </c>
      <c r="X47" s="2918" t="s">
        <v>36</v>
      </c>
      <c r="Y47" s="2918" t="s">
        <v>36</v>
      </c>
      <c r="Z47" s="2918" t="s">
        <v>83</v>
      </c>
      <c r="AA47" s="2918" t="s">
        <v>83</v>
      </c>
      <c r="AB47" s="2918">
        <v>8</v>
      </c>
      <c r="AC47" s="2918">
        <v>8</v>
      </c>
      <c r="AD47" s="2918">
        <v>8</v>
      </c>
      <c r="AE47" s="2918">
        <v>8</v>
      </c>
      <c r="AF47" s="2918">
        <v>8</v>
      </c>
      <c r="AG47" s="2922"/>
      <c r="AH47" s="178"/>
      <c r="AI47" s="179"/>
    </row>
    <row r="48" spans="1:38" ht="22.35" customHeight="1" thickBot="1" x14ac:dyDescent="0.25">
      <c r="A48" s="673">
        <v>14</v>
      </c>
      <c r="B48" s="2912" t="s">
        <v>102</v>
      </c>
      <c r="C48" s="2796" t="s">
        <v>36</v>
      </c>
      <c r="D48" s="2913" t="s">
        <v>36</v>
      </c>
      <c r="E48" s="2913"/>
      <c r="F48" s="2913"/>
      <c r="G48" s="2928">
        <v>1</v>
      </c>
      <c r="H48" s="2928">
        <v>1</v>
      </c>
      <c r="I48" s="2928">
        <v>1</v>
      </c>
      <c r="J48" s="2913">
        <v>1</v>
      </c>
      <c r="K48" s="2817">
        <v>1</v>
      </c>
      <c r="L48" s="2913"/>
      <c r="M48" s="2913"/>
      <c r="N48" s="2913">
        <v>9</v>
      </c>
      <c r="O48" s="2796">
        <v>9</v>
      </c>
      <c r="P48" s="2913">
        <v>9</v>
      </c>
      <c r="Q48" s="2913">
        <v>9</v>
      </c>
      <c r="R48" s="2796">
        <v>9</v>
      </c>
      <c r="S48" s="2913" t="s">
        <v>80</v>
      </c>
      <c r="T48" s="2913" t="s">
        <v>81</v>
      </c>
      <c r="U48" s="2913" t="s">
        <v>36</v>
      </c>
      <c r="V48" s="2913" t="s">
        <v>36</v>
      </c>
      <c r="W48" s="2913" t="s">
        <v>36</v>
      </c>
      <c r="X48" s="2796" t="s">
        <v>36</v>
      </c>
      <c r="Y48" s="2913" t="s">
        <v>36</v>
      </c>
      <c r="Z48" s="2913" t="s">
        <v>82</v>
      </c>
      <c r="AA48" s="2913" t="s">
        <v>83</v>
      </c>
      <c r="AB48" s="2939" t="s">
        <v>351</v>
      </c>
      <c r="AC48" s="2940">
        <v>6</v>
      </c>
      <c r="AD48" s="2913">
        <v>6</v>
      </c>
      <c r="AE48" s="2939">
        <v>6</v>
      </c>
      <c r="AF48" s="2940">
        <v>6</v>
      </c>
      <c r="AG48" s="2941"/>
      <c r="AH48" s="178"/>
      <c r="AI48" s="179"/>
    </row>
    <row r="49" spans="1:41" ht="22.35" customHeight="1" x14ac:dyDescent="0.2">
      <c r="A49" s="2891">
        <v>5</v>
      </c>
      <c r="B49" s="2821" t="s">
        <v>103</v>
      </c>
      <c r="C49" s="2567">
        <v>5</v>
      </c>
      <c r="D49" s="2567">
        <v>5</v>
      </c>
      <c r="E49" s="2567"/>
      <c r="F49" s="2567"/>
      <c r="G49" s="2902">
        <v>10</v>
      </c>
      <c r="H49" s="2902">
        <v>10</v>
      </c>
      <c r="I49" s="2902">
        <v>10</v>
      </c>
      <c r="J49" s="2902">
        <v>10</v>
      </c>
      <c r="K49" s="2895">
        <v>10</v>
      </c>
      <c r="L49" s="2895" t="s">
        <v>81</v>
      </c>
      <c r="M49" s="2895" t="s">
        <v>81</v>
      </c>
      <c r="N49" s="2942" t="s">
        <v>36</v>
      </c>
      <c r="O49" s="2896" t="s">
        <v>36</v>
      </c>
      <c r="P49" s="2895" t="s">
        <v>36</v>
      </c>
      <c r="Q49" s="2895" t="s">
        <v>36</v>
      </c>
      <c r="R49" s="2896" t="s">
        <v>36</v>
      </c>
      <c r="S49" s="2943" t="s">
        <v>57</v>
      </c>
      <c r="T49" s="2895" t="s">
        <v>57</v>
      </c>
      <c r="U49" s="2902">
        <v>7</v>
      </c>
      <c r="V49" s="2902">
        <v>7</v>
      </c>
      <c r="W49" s="2902">
        <v>7</v>
      </c>
      <c r="X49" s="2902">
        <v>7</v>
      </c>
      <c r="Y49" s="2942">
        <v>7</v>
      </c>
      <c r="Z49" s="2902"/>
      <c r="AA49" s="2902"/>
      <c r="AB49" s="2902">
        <v>4</v>
      </c>
      <c r="AC49" s="2902">
        <v>4</v>
      </c>
      <c r="AD49" s="2895">
        <v>4</v>
      </c>
      <c r="AE49" s="2895">
        <v>4</v>
      </c>
      <c r="AF49" s="2896">
        <v>4</v>
      </c>
      <c r="AG49" s="2495"/>
      <c r="AH49" s="178"/>
      <c r="AI49" s="179"/>
    </row>
    <row r="50" spans="1:41" ht="22.35" customHeight="1" x14ac:dyDescent="0.2">
      <c r="A50" s="2907">
        <v>10</v>
      </c>
      <c r="B50" s="2821" t="s">
        <v>104</v>
      </c>
      <c r="C50" s="2944">
        <v>3</v>
      </c>
      <c r="D50" s="2944" t="s">
        <v>345</v>
      </c>
      <c r="E50" s="2945"/>
      <c r="F50" s="2945"/>
      <c r="G50" s="2814">
        <v>11</v>
      </c>
      <c r="H50" s="2814">
        <v>11</v>
      </c>
      <c r="I50" s="2814">
        <v>11</v>
      </c>
      <c r="J50" s="2814">
        <v>11</v>
      </c>
      <c r="K50" s="2814">
        <v>11</v>
      </c>
      <c r="L50" s="2814" t="s">
        <v>94</v>
      </c>
      <c r="M50" s="2814" t="s">
        <v>94</v>
      </c>
      <c r="N50" s="2814" t="s">
        <v>36</v>
      </c>
      <c r="O50" s="2814" t="s">
        <v>36</v>
      </c>
      <c r="P50" s="2814" t="s">
        <v>36</v>
      </c>
      <c r="Q50" s="2814" t="s">
        <v>36</v>
      </c>
      <c r="R50" s="2814" t="s">
        <v>36</v>
      </c>
      <c r="S50" s="2814" t="s">
        <v>83</v>
      </c>
      <c r="T50" s="2814" t="s">
        <v>83</v>
      </c>
      <c r="U50" s="2814">
        <v>8</v>
      </c>
      <c r="V50" s="2814">
        <v>8</v>
      </c>
      <c r="W50" s="2946">
        <v>8</v>
      </c>
      <c r="X50" s="2944">
        <v>8</v>
      </c>
      <c r="Y50" s="2947">
        <v>8</v>
      </c>
      <c r="Z50" s="2944"/>
      <c r="AA50" s="2944"/>
      <c r="AB50" s="2944" t="s">
        <v>36</v>
      </c>
      <c r="AC50" s="2944" t="s">
        <v>36</v>
      </c>
      <c r="AD50" s="2944" t="s">
        <v>36</v>
      </c>
      <c r="AE50" s="2944" t="s">
        <v>36</v>
      </c>
      <c r="AF50" s="2944" t="s">
        <v>36</v>
      </c>
      <c r="AG50" s="2948"/>
      <c r="AH50" s="178"/>
      <c r="AI50" s="179"/>
    </row>
    <row r="51" spans="1:41" ht="22.35" customHeight="1" thickBot="1" x14ac:dyDescent="0.25">
      <c r="A51" s="673">
        <v>15</v>
      </c>
      <c r="B51" s="2912" t="s">
        <v>105</v>
      </c>
      <c r="C51" s="2913">
        <v>1</v>
      </c>
      <c r="D51" s="2913">
        <v>1</v>
      </c>
      <c r="E51" s="2913"/>
      <c r="F51" s="2928"/>
      <c r="G51" s="2928">
        <v>9</v>
      </c>
      <c r="H51" s="2928">
        <v>9</v>
      </c>
      <c r="I51" s="2928">
        <v>9</v>
      </c>
      <c r="J51" s="2928">
        <v>9</v>
      </c>
      <c r="K51" s="2796">
        <v>9</v>
      </c>
      <c r="L51" s="2913" t="s">
        <v>80</v>
      </c>
      <c r="M51" s="2913" t="s">
        <v>81</v>
      </c>
      <c r="N51" s="2913" t="s">
        <v>36</v>
      </c>
      <c r="O51" s="2915" t="s">
        <v>36</v>
      </c>
      <c r="P51" s="2915" t="s">
        <v>36</v>
      </c>
      <c r="Q51" s="2915" t="s">
        <v>36</v>
      </c>
      <c r="R51" s="2915" t="s">
        <v>36</v>
      </c>
      <c r="S51" s="2915" t="s">
        <v>82</v>
      </c>
      <c r="T51" s="2915" t="s">
        <v>83</v>
      </c>
      <c r="U51" s="2915">
        <v>6</v>
      </c>
      <c r="V51" s="2913">
        <v>6</v>
      </c>
      <c r="W51" s="2913">
        <v>6</v>
      </c>
      <c r="X51" s="2913">
        <v>6</v>
      </c>
      <c r="Y51" s="2796">
        <v>6</v>
      </c>
      <c r="Z51" s="2913"/>
      <c r="AA51" s="2913"/>
      <c r="AB51" s="2913" t="s">
        <v>36</v>
      </c>
      <c r="AC51" s="2913" t="s">
        <v>36</v>
      </c>
      <c r="AD51" s="2913" t="s">
        <v>36</v>
      </c>
      <c r="AE51" s="2796" t="s">
        <v>36</v>
      </c>
      <c r="AF51" s="2928" t="s">
        <v>36</v>
      </c>
      <c r="AG51" s="2949"/>
      <c r="AH51" s="178"/>
      <c r="AI51" s="179"/>
    </row>
    <row r="52" spans="1:41" ht="22.35" customHeight="1" thickBot="1" x14ac:dyDescent="0.25">
      <c r="A52" s="102"/>
      <c r="C52" s="72"/>
      <c r="D52" s="72"/>
      <c r="E52" s="72"/>
      <c r="F52" s="72"/>
      <c r="G52" s="72"/>
      <c r="H52" s="72"/>
      <c r="I52" s="72"/>
      <c r="J52" s="72"/>
      <c r="K52" s="72"/>
      <c r="L52" s="72"/>
      <c r="M52" s="72"/>
      <c r="N52" s="72"/>
      <c r="O52" s="72"/>
      <c r="P52" s="72"/>
      <c r="Q52" s="72"/>
      <c r="R52" s="72"/>
      <c r="S52" s="72"/>
      <c r="T52" s="72"/>
      <c r="U52" s="2913" t="s">
        <v>0</v>
      </c>
      <c r="V52" s="2913" t="s">
        <v>0</v>
      </c>
      <c r="W52" s="2913" t="s">
        <v>0</v>
      </c>
      <c r="X52" s="2913" t="s">
        <v>0</v>
      </c>
      <c r="Y52" s="2796"/>
      <c r="Z52" s="72"/>
      <c r="AA52" s="72"/>
      <c r="AB52" s="72"/>
      <c r="AC52" s="72"/>
      <c r="AD52" s="72"/>
      <c r="AE52" s="72"/>
      <c r="AF52" s="72"/>
      <c r="AG52" s="72"/>
      <c r="AH52" s="1"/>
    </row>
    <row r="53" spans="1:41"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1" ht="22.35" customHeight="1" x14ac:dyDescent="0.2">
      <c r="A54" s="2950" t="s">
        <v>28</v>
      </c>
      <c r="B54" s="2950"/>
      <c r="C54" s="2945"/>
      <c r="D54" s="2950" t="s">
        <v>107</v>
      </c>
      <c r="E54" s="2951"/>
      <c r="F54" s="2945"/>
      <c r="G54" s="2950" t="s">
        <v>108</v>
      </c>
      <c r="H54" s="2951"/>
      <c r="I54" s="2945"/>
      <c r="J54" s="2950" t="s">
        <v>109</v>
      </c>
      <c r="K54" s="2951"/>
      <c r="L54" s="2945"/>
      <c r="M54" s="2950" t="s">
        <v>110</v>
      </c>
      <c r="N54" s="2951"/>
      <c r="O54" s="2945"/>
      <c r="P54" s="2950" t="s">
        <v>111</v>
      </c>
      <c r="Q54" s="2951"/>
      <c r="R54" s="2952"/>
      <c r="S54" s="2953" t="s">
        <v>112</v>
      </c>
      <c r="T54" s="2951"/>
      <c r="U54" s="2945"/>
      <c r="V54" s="2950" t="s">
        <v>113</v>
      </c>
      <c r="W54" s="2951"/>
      <c r="X54" s="2954" t="s">
        <v>114</v>
      </c>
      <c r="Y54" s="2951"/>
      <c r="Z54" s="2951"/>
      <c r="AA54" s="2955"/>
      <c r="AB54" s="2780"/>
      <c r="AC54" s="2780"/>
      <c r="AD54" s="2780"/>
      <c r="AE54" s="2780"/>
      <c r="AF54" s="2780"/>
      <c r="AG54" s="2781"/>
      <c r="AH54" s="1"/>
    </row>
    <row r="55" spans="1:41" ht="22.35" customHeight="1" x14ac:dyDescent="0.2">
      <c r="A55" s="2956">
        <v>8517</v>
      </c>
      <c r="B55" s="2957" t="s">
        <v>115</v>
      </c>
      <c r="C55" s="2958" t="s">
        <v>116</v>
      </c>
      <c r="D55" s="2959"/>
      <c r="E55" s="2779"/>
      <c r="F55" s="2958" t="s">
        <v>116</v>
      </c>
      <c r="G55" s="2959"/>
      <c r="H55" s="2779"/>
      <c r="I55" s="2958" t="s">
        <v>116</v>
      </c>
      <c r="J55" s="2959"/>
      <c r="K55" s="2779"/>
      <c r="L55" s="2958" t="s">
        <v>116</v>
      </c>
      <c r="M55" s="2959"/>
      <c r="N55" s="2779"/>
      <c r="O55" s="2958" t="s">
        <v>117</v>
      </c>
      <c r="P55" s="2959"/>
      <c r="Q55" s="2779"/>
      <c r="R55" s="2958"/>
      <c r="S55" s="2959"/>
      <c r="T55" s="2779"/>
      <c r="U55" s="2958" t="s">
        <v>118</v>
      </c>
      <c r="V55" s="2959"/>
      <c r="W55" s="2779"/>
      <c r="X55" s="2777"/>
      <c r="Y55" s="2780"/>
      <c r="Z55" s="2780"/>
      <c r="AA55" s="2780"/>
      <c r="AB55" s="2780"/>
      <c r="AC55" s="2780"/>
      <c r="AD55" s="2780"/>
      <c r="AE55" s="2780"/>
      <c r="AF55" s="2780"/>
      <c r="AG55" s="2781"/>
      <c r="AH55" s="1"/>
    </row>
    <row r="56" spans="1:41" ht="22.35" customHeight="1" x14ac:dyDescent="0.2">
      <c r="B56" s="2813" t="s">
        <v>119</v>
      </c>
      <c r="C56" s="2960" t="s">
        <v>120</v>
      </c>
      <c r="D56" s="2961"/>
      <c r="E56" s="2962"/>
      <c r="F56" s="2960" t="s">
        <v>120</v>
      </c>
      <c r="G56" s="2963"/>
      <c r="H56" s="2962"/>
      <c r="I56" s="2958" t="s">
        <v>120</v>
      </c>
      <c r="J56" s="2959"/>
      <c r="K56" s="2964"/>
      <c r="L56" s="2958" t="s">
        <v>120</v>
      </c>
      <c r="M56" s="2959"/>
      <c r="N56" s="2964"/>
      <c r="O56" s="2958" t="s">
        <v>121</v>
      </c>
      <c r="P56" s="2959"/>
      <c r="Q56" s="2779"/>
      <c r="R56" s="2965" t="s">
        <v>0</v>
      </c>
      <c r="S56" s="2959"/>
      <c r="T56" s="2964"/>
      <c r="U56" s="2959" t="s">
        <v>0</v>
      </c>
      <c r="V56" s="2959"/>
      <c r="W56" s="2779"/>
      <c r="X56" s="675" t="s">
        <v>0</v>
      </c>
      <c r="Y56" s="72"/>
      <c r="Z56" s="72"/>
      <c r="AA56" s="72"/>
      <c r="AB56" s="72"/>
      <c r="AC56" s="72"/>
      <c r="AD56" s="72"/>
      <c r="AE56" s="72"/>
      <c r="AF56" s="72"/>
      <c r="AG56" s="111"/>
      <c r="AH56" s="1"/>
    </row>
    <row r="57" spans="1:41" ht="22.35" customHeight="1" x14ac:dyDescent="0.2">
      <c r="A57" s="2966"/>
      <c r="B57" s="2957" t="s">
        <v>122</v>
      </c>
      <c r="C57" s="2960" t="s">
        <v>123</v>
      </c>
      <c r="D57" s="2961"/>
      <c r="E57" s="2963"/>
      <c r="F57" s="2960" t="s">
        <v>123</v>
      </c>
      <c r="G57" s="2961"/>
      <c r="H57" s="2963"/>
      <c r="I57" s="2960" t="s">
        <v>123</v>
      </c>
      <c r="J57" s="2961"/>
      <c r="K57" s="2963"/>
      <c r="L57" s="2960" t="s">
        <v>123</v>
      </c>
      <c r="M57" s="2961"/>
      <c r="N57" s="2963"/>
      <c r="O57" s="2960" t="s">
        <v>124</v>
      </c>
      <c r="P57" s="2961"/>
      <c r="Q57" s="2963"/>
      <c r="R57" s="676"/>
      <c r="S57" s="294"/>
      <c r="T57" s="2962"/>
      <c r="U57" s="2961"/>
      <c r="V57" s="2961"/>
      <c r="W57" s="2963"/>
      <c r="X57" s="2777"/>
      <c r="Y57" s="2780"/>
      <c r="Z57" s="2780"/>
      <c r="AA57" s="2780"/>
      <c r="AB57" s="2780"/>
      <c r="AC57" s="2780"/>
      <c r="AD57" s="2780"/>
      <c r="AE57" s="2780"/>
      <c r="AF57" s="2780"/>
      <c r="AG57" s="2781"/>
      <c r="AH57" s="1"/>
    </row>
    <row r="58" spans="1:41" ht="22.35" customHeight="1" x14ac:dyDescent="0.2">
      <c r="A58" s="2950"/>
      <c r="B58" s="2957"/>
      <c r="C58" s="2967"/>
      <c r="D58" s="392"/>
      <c r="E58" s="393"/>
      <c r="F58" s="2967"/>
      <c r="G58" s="392"/>
      <c r="H58" s="393"/>
      <c r="I58" s="2967"/>
      <c r="J58" s="392"/>
      <c r="K58" s="393"/>
      <c r="L58" s="2967"/>
      <c r="M58" s="392"/>
      <c r="N58" s="393"/>
      <c r="O58" s="2967"/>
      <c r="P58" s="392"/>
      <c r="Q58" s="393"/>
      <c r="R58" s="2967"/>
      <c r="S58" s="392"/>
      <c r="T58" s="393"/>
      <c r="U58" s="2967"/>
      <c r="V58" s="392"/>
      <c r="W58" s="393"/>
      <c r="X58" s="2779"/>
      <c r="Y58" s="2780"/>
      <c r="Z58" s="2780"/>
      <c r="AA58" s="2780"/>
      <c r="AB58" s="2780"/>
      <c r="AC58" s="2780"/>
      <c r="AD58" s="2780"/>
      <c r="AE58" s="2780"/>
      <c r="AF58" s="2780"/>
      <c r="AG58" s="2781"/>
      <c r="AH58" s="1"/>
      <c r="AJ58" t="s">
        <v>125</v>
      </c>
    </row>
    <row r="59" spans="1:41"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1" ht="22.35" customHeight="1" thickBot="1" x14ac:dyDescent="0.25">
      <c r="A60" s="2968"/>
      <c r="B60" s="2969" t="s">
        <v>29</v>
      </c>
      <c r="C60" s="2796">
        <v>1</v>
      </c>
      <c r="D60" s="2796">
        <v>2</v>
      </c>
      <c r="E60" s="2797">
        <v>3</v>
      </c>
      <c r="F60" s="2797">
        <v>4</v>
      </c>
      <c r="G60" s="2796">
        <v>5</v>
      </c>
      <c r="H60" s="2796">
        <v>6</v>
      </c>
      <c r="I60" s="2796">
        <v>7</v>
      </c>
      <c r="J60" s="2796">
        <v>8</v>
      </c>
      <c r="K60" s="2796">
        <v>9</v>
      </c>
      <c r="L60" s="2797">
        <v>10</v>
      </c>
      <c r="M60" s="2797">
        <v>11</v>
      </c>
      <c r="N60" s="2796">
        <v>12</v>
      </c>
      <c r="O60" s="2796">
        <v>13</v>
      </c>
      <c r="P60" s="2796">
        <v>14</v>
      </c>
      <c r="Q60" s="2796">
        <v>15</v>
      </c>
      <c r="R60" s="2796">
        <v>16</v>
      </c>
      <c r="S60" s="2797">
        <v>17</v>
      </c>
      <c r="T60" s="2797">
        <v>18</v>
      </c>
      <c r="U60" s="2796">
        <v>19</v>
      </c>
      <c r="V60" s="2796">
        <v>20</v>
      </c>
      <c r="W60" s="2796">
        <v>21</v>
      </c>
      <c r="X60" s="2796">
        <v>22</v>
      </c>
      <c r="Y60" s="2796">
        <v>23</v>
      </c>
      <c r="Z60" s="2797">
        <v>24</v>
      </c>
      <c r="AA60" s="2797">
        <v>25</v>
      </c>
      <c r="AB60" s="2797">
        <v>26</v>
      </c>
      <c r="AC60" s="2796">
        <v>27</v>
      </c>
      <c r="AD60" s="2796">
        <v>28</v>
      </c>
      <c r="AE60" s="2796">
        <v>29</v>
      </c>
      <c r="AF60" s="2796">
        <v>30</v>
      </c>
      <c r="AG60" s="2798">
        <v>31</v>
      </c>
      <c r="AH60" s="1"/>
      <c r="AJ60" s="2799" t="s">
        <v>30</v>
      </c>
      <c r="AK60" s="2799" t="s">
        <v>44</v>
      </c>
      <c r="AL60" s="2799" t="s">
        <v>45</v>
      </c>
      <c r="AM60" s="2799" t="s">
        <v>46</v>
      </c>
      <c r="AN60" s="2799" t="s">
        <v>47</v>
      </c>
    </row>
    <row r="61" spans="1:41" ht="22.35" customHeight="1" x14ac:dyDescent="0.2">
      <c r="A61" s="2970"/>
      <c r="B61" s="2971" t="s">
        <v>126</v>
      </c>
      <c r="C61" s="2840" t="s">
        <v>128</v>
      </c>
      <c r="D61" s="2840" t="s">
        <v>36</v>
      </c>
      <c r="E61" s="2840" t="s">
        <v>127</v>
      </c>
      <c r="F61" s="2840" t="s">
        <v>127</v>
      </c>
      <c r="G61" s="2803" t="s">
        <v>36</v>
      </c>
      <c r="H61" s="2803" t="s">
        <v>36</v>
      </c>
      <c r="I61" s="2803" t="s">
        <v>36</v>
      </c>
      <c r="J61" s="2803" t="s">
        <v>36</v>
      </c>
      <c r="K61" s="2803" t="s">
        <v>36</v>
      </c>
      <c r="L61" s="2840"/>
      <c r="M61" s="2802" t="s">
        <v>0</v>
      </c>
      <c r="N61" s="2972">
        <v>26</v>
      </c>
      <c r="O61" s="2972">
        <v>26</v>
      </c>
      <c r="P61" s="2972">
        <v>26</v>
      </c>
      <c r="Q61" s="2972">
        <v>26</v>
      </c>
      <c r="R61" s="2972">
        <v>25</v>
      </c>
      <c r="S61" s="2814" t="s">
        <v>0</v>
      </c>
      <c r="T61" s="2973"/>
      <c r="U61" s="1112">
        <v>69</v>
      </c>
      <c r="V61" s="2803" t="s">
        <v>36</v>
      </c>
      <c r="W61" s="2803" t="s">
        <v>36</v>
      </c>
      <c r="X61" s="2803">
        <v>69</v>
      </c>
      <c r="Y61" s="2803">
        <v>69</v>
      </c>
      <c r="Z61" s="2972"/>
      <c r="AA61" s="2840"/>
      <c r="AB61" s="2840"/>
      <c r="AC61" s="2803" t="s">
        <v>36</v>
      </c>
      <c r="AD61" s="2803" t="s">
        <v>36</v>
      </c>
      <c r="AE61" s="2803" t="s">
        <v>36</v>
      </c>
      <c r="AF61" s="2803" t="s">
        <v>36</v>
      </c>
      <c r="AG61" s="2974"/>
      <c r="AH61" s="1"/>
      <c r="AJ61" s="2845">
        <v>104</v>
      </c>
      <c r="AK61" s="2845">
        <v>5.5</v>
      </c>
      <c r="AL61" s="2845">
        <f t="shared" ref="AL61:AL72" si="2">IF(AJ61="","",SUM(AJ61:AK61))</f>
        <v>109.5</v>
      </c>
      <c r="AM61" s="2846">
        <f t="shared" ref="AM61:AM75" si="3">IF(AJ61="","",AL61-NormTid)</f>
        <v>-50.830000000000013</v>
      </c>
      <c r="AN61" s="2846">
        <f>IF(AM61="","",AM61+'November 2022'!AN61)</f>
        <v>117.28999999999991</v>
      </c>
      <c r="AO61">
        <v>78</v>
      </c>
    </row>
    <row r="62" spans="1:41" ht="22.35" customHeight="1" x14ac:dyDescent="0.2">
      <c r="A62" s="2801"/>
      <c r="B62" s="2801" t="s">
        <v>129</v>
      </c>
      <c r="C62" s="960">
        <v>25</v>
      </c>
      <c r="D62" s="960">
        <v>25</v>
      </c>
      <c r="E62" s="2803"/>
      <c r="F62" s="960"/>
      <c r="G62" s="960">
        <v>5</v>
      </c>
      <c r="H62" s="960">
        <v>5</v>
      </c>
      <c r="I62" s="960">
        <v>5</v>
      </c>
      <c r="J62" s="2802">
        <v>5</v>
      </c>
      <c r="K62" s="2802">
        <v>5</v>
      </c>
      <c r="L62" s="2802"/>
      <c r="M62" s="851"/>
      <c r="N62" s="960" t="s">
        <v>128</v>
      </c>
      <c r="O62" s="960" t="s">
        <v>128</v>
      </c>
      <c r="P62" s="960" t="s">
        <v>128</v>
      </c>
      <c r="Q62" s="960" t="s">
        <v>128</v>
      </c>
      <c r="R62" s="960" t="s">
        <v>128</v>
      </c>
      <c r="S62" s="2803" t="s">
        <v>127</v>
      </c>
      <c r="T62" s="2803" t="s">
        <v>127</v>
      </c>
      <c r="U62" s="1112" t="s">
        <v>36</v>
      </c>
      <c r="V62" s="1112" t="s">
        <v>36</v>
      </c>
      <c r="W62" s="1112" t="s">
        <v>36</v>
      </c>
      <c r="X62" s="1112" t="s">
        <v>36</v>
      </c>
      <c r="Y62" s="1112" t="s">
        <v>36</v>
      </c>
      <c r="Z62" s="2709"/>
      <c r="AA62" s="2803"/>
      <c r="AB62" s="2803"/>
      <c r="AC62" s="2803" t="s">
        <v>36</v>
      </c>
      <c r="AD62" s="2803" t="s">
        <v>36</v>
      </c>
      <c r="AE62" s="2803" t="s">
        <v>36</v>
      </c>
      <c r="AF62" s="2803" t="s">
        <v>36</v>
      </c>
      <c r="AG62" s="856" t="s">
        <v>53</v>
      </c>
      <c r="AH62" s="1"/>
      <c r="AJ62" s="2845">
        <v>132.75</v>
      </c>
      <c r="AK62" s="2845">
        <v>8.75</v>
      </c>
      <c r="AL62" s="2845">
        <f t="shared" si="2"/>
        <v>141.5</v>
      </c>
      <c r="AM62" s="2846">
        <f t="shared" si="3"/>
        <v>-18.830000000000013</v>
      </c>
      <c r="AN62" s="2846">
        <f>IF(AM62="","",AM62+'November 2022'!AN62)</f>
        <v>29.2899999999999</v>
      </c>
      <c r="AO62">
        <v>20</v>
      </c>
    </row>
    <row r="63" spans="1:41" ht="22.35" customHeight="1" thickBot="1" x14ac:dyDescent="0.25">
      <c r="A63" s="2801"/>
      <c r="B63" s="2801" t="s">
        <v>130</v>
      </c>
      <c r="C63" s="851" t="s">
        <v>400</v>
      </c>
      <c r="D63" s="851" t="s">
        <v>400</v>
      </c>
      <c r="E63" s="2803" t="s">
        <v>409</v>
      </c>
      <c r="F63" s="2803" t="s">
        <v>409</v>
      </c>
      <c r="G63" s="2803" t="s">
        <v>36</v>
      </c>
      <c r="H63" s="2803" t="s">
        <v>36</v>
      </c>
      <c r="I63" s="2803" t="s">
        <v>36</v>
      </c>
      <c r="J63" s="2803" t="s">
        <v>36</v>
      </c>
      <c r="K63" s="2803" t="s">
        <v>36</v>
      </c>
      <c r="L63" s="2803" t="s">
        <v>53</v>
      </c>
      <c r="M63" s="1112" t="s">
        <v>409</v>
      </c>
      <c r="N63" s="647" t="s">
        <v>398</v>
      </c>
      <c r="O63" s="647" t="s">
        <v>398</v>
      </c>
      <c r="P63" s="647" t="s">
        <v>398</v>
      </c>
      <c r="Q63" s="2803" t="s">
        <v>36</v>
      </c>
      <c r="R63" s="2803" t="s">
        <v>36</v>
      </c>
      <c r="S63" s="960"/>
      <c r="T63" s="960"/>
      <c r="U63" s="2803" t="s">
        <v>420</v>
      </c>
      <c r="V63" s="2803" t="s">
        <v>420</v>
      </c>
      <c r="W63" s="2803" t="s">
        <v>420</v>
      </c>
      <c r="X63" s="2803" t="s">
        <v>420</v>
      </c>
      <c r="Y63" s="2803" t="s">
        <v>420</v>
      </c>
      <c r="Z63" s="2803" t="s">
        <v>405</v>
      </c>
      <c r="AA63" s="2803" t="s">
        <v>405</v>
      </c>
      <c r="AB63" s="2803" t="s">
        <v>36</v>
      </c>
      <c r="AC63" s="1112" t="s">
        <v>36</v>
      </c>
      <c r="AD63" s="2803" t="s">
        <v>36</v>
      </c>
      <c r="AE63" s="1230" t="s">
        <v>36</v>
      </c>
      <c r="AF63" s="1230" t="s">
        <v>36</v>
      </c>
      <c r="AG63" s="2803"/>
      <c r="AH63" s="1"/>
      <c r="AJ63" s="2845">
        <v>130.25</v>
      </c>
      <c r="AK63" s="2845">
        <v>7.5</v>
      </c>
      <c r="AL63" s="2845">
        <f t="shared" si="2"/>
        <v>137.75</v>
      </c>
      <c r="AM63" s="2846">
        <f t="shared" si="3"/>
        <v>-22.580000000000013</v>
      </c>
      <c r="AN63" s="2846">
        <f>IF(AM63="","",AM63+'November 2022'!AN63)</f>
        <v>53.539999999999907</v>
      </c>
      <c r="AO63">
        <v>47</v>
      </c>
    </row>
    <row r="64" spans="1:41" ht="22.35" customHeight="1" x14ac:dyDescent="0.2">
      <c r="A64" s="2801"/>
      <c r="B64" s="634" t="s">
        <v>132</v>
      </c>
      <c r="C64" s="961" t="s">
        <v>32</v>
      </c>
      <c r="D64" s="2709" t="s">
        <v>128</v>
      </c>
      <c r="E64" s="960"/>
      <c r="F64" s="2803"/>
      <c r="G64" s="2806" t="s">
        <v>32</v>
      </c>
      <c r="H64" s="2806" t="s">
        <v>32</v>
      </c>
      <c r="I64" s="2806" t="s">
        <v>32</v>
      </c>
      <c r="J64" s="2806" t="s">
        <v>32</v>
      </c>
      <c r="K64" s="2806" t="s">
        <v>32</v>
      </c>
      <c r="L64" s="2806"/>
      <c r="M64" s="2806"/>
      <c r="N64" s="647" t="s">
        <v>32</v>
      </c>
      <c r="O64" s="647" t="s">
        <v>32</v>
      </c>
      <c r="P64" s="647" t="s">
        <v>32</v>
      </c>
      <c r="Q64" s="2975" t="s">
        <v>32</v>
      </c>
      <c r="R64" s="2975" t="s">
        <v>32</v>
      </c>
      <c r="S64" s="647"/>
      <c r="T64" s="647"/>
      <c r="U64" s="851" t="s">
        <v>398</v>
      </c>
      <c r="V64" s="851" t="s">
        <v>398</v>
      </c>
      <c r="W64" s="1112" t="s">
        <v>398</v>
      </c>
      <c r="X64" s="2807" t="s">
        <v>398</v>
      </c>
      <c r="Y64" s="1112" t="s">
        <v>398</v>
      </c>
      <c r="Z64" s="2803"/>
      <c r="AA64" s="2803"/>
      <c r="AB64" s="2803" t="s">
        <v>0</v>
      </c>
      <c r="AC64" s="2803" t="s">
        <v>400</v>
      </c>
      <c r="AD64" s="960" t="s">
        <v>400</v>
      </c>
      <c r="AE64" s="2803" t="s">
        <v>400</v>
      </c>
      <c r="AF64" s="2803" t="s">
        <v>36</v>
      </c>
      <c r="AG64" s="2976"/>
      <c r="AH64" s="1"/>
      <c r="AJ64" s="2845">
        <v>164.5</v>
      </c>
      <c r="AK64" s="2845">
        <v>2.5</v>
      </c>
      <c r="AL64" s="2845">
        <f t="shared" si="2"/>
        <v>167</v>
      </c>
      <c r="AM64" s="2846">
        <f>IF(AJ64="","",AL64-NormTid)</f>
        <v>6.6699999999999875</v>
      </c>
      <c r="AN64" s="2846">
        <f>IF(AM64="","",AM64+'November 2022'!AN64)</f>
        <v>54.539999999999907</v>
      </c>
      <c r="AO64">
        <v>42</v>
      </c>
    </row>
    <row r="65" spans="1:43" ht="22.35" customHeight="1" x14ac:dyDescent="0.2">
      <c r="A65" s="933"/>
      <c r="B65" s="2801" t="s">
        <v>133</v>
      </c>
      <c r="C65" s="964" t="s">
        <v>134</v>
      </c>
      <c r="D65" s="964" t="s">
        <v>134</v>
      </c>
      <c r="E65" s="964"/>
      <c r="F65" s="964"/>
      <c r="G65" s="964" t="s">
        <v>134</v>
      </c>
      <c r="H65" s="964" t="s">
        <v>134</v>
      </c>
      <c r="I65" s="964" t="s">
        <v>134</v>
      </c>
      <c r="J65" s="964" t="s">
        <v>134</v>
      </c>
      <c r="K65" s="964" t="s">
        <v>134</v>
      </c>
      <c r="L65" s="964"/>
      <c r="M65" s="964"/>
      <c r="N65" s="964" t="s">
        <v>134</v>
      </c>
      <c r="O65" s="964" t="s">
        <v>134</v>
      </c>
      <c r="P65" s="964" t="s">
        <v>134</v>
      </c>
      <c r="Q65" s="964" t="s">
        <v>134</v>
      </c>
      <c r="R65" s="964" t="s">
        <v>134</v>
      </c>
      <c r="S65" s="964"/>
      <c r="T65" s="964"/>
      <c r="U65" s="964" t="s">
        <v>134</v>
      </c>
      <c r="V65" s="964" t="s">
        <v>134</v>
      </c>
      <c r="W65" s="964" t="s">
        <v>134</v>
      </c>
      <c r="X65" s="964" t="s">
        <v>134</v>
      </c>
      <c r="Y65" s="964" t="s">
        <v>134</v>
      </c>
      <c r="Z65" s="964"/>
      <c r="AA65" s="964"/>
      <c r="AB65" s="964"/>
      <c r="AC65" s="964" t="s">
        <v>134</v>
      </c>
      <c r="AD65" s="964" t="s">
        <v>134</v>
      </c>
      <c r="AE65" s="964" t="s">
        <v>134</v>
      </c>
      <c r="AF65" s="964" t="s">
        <v>134</v>
      </c>
      <c r="AG65" s="1088"/>
      <c r="AH65" s="1"/>
      <c r="AJ65" s="2845">
        <v>162.75</v>
      </c>
      <c r="AK65" s="2845">
        <v>0.75</v>
      </c>
      <c r="AL65" s="2845">
        <f t="shared" si="2"/>
        <v>163.5</v>
      </c>
      <c r="AM65" s="2846">
        <f t="shared" si="3"/>
        <v>3.1699999999999875</v>
      </c>
      <c r="AN65" s="2846">
        <f>IF(AM65="","",AM65+'November 2022'!AN65)</f>
        <v>8.5399999999998997</v>
      </c>
      <c r="AO65">
        <v>6</v>
      </c>
    </row>
    <row r="66" spans="1:43" ht="22.35" customHeight="1" x14ac:dyDescent="0.2">
      <c r="A66" s="2801"/>
      <c r="B66" s="2801" t="s">
        <v>136</v>
      </c>
      <c r="C66" s="2802" t="s">
        <v>137</v>
      </c>
      <c r="D66" s="2802" t="s">
        <v>137</v>
      </c>
      <c r="E66" s="2802"/>
      <c r="F66" s="2802"/>
      <c r="G66" s="2802" t="s">
        <v>137</v>
      </c>
      <c r="H66" s="2802" t="s">
        <v>137</v>
      </c>
      <c r="I66" s="2802" t="s">
        <v>137</v>
      </c>
      <c r="J66" s="2802" t="s">
        <v>137</v>
      </c>
      <c r="K66" s="2802" t="s">
        <v>137</v>
      </c>
      <c r="L66" s="2803"/>
      <c r="M66" s="2803"/>
      <c r="N66" s="2802" t="s">
        <v>137</v>
      </c>
      <c r="O66" s="2802" t="s">
        <v>137</v>
      </c>
      <c r="P66" s="2802" t="s">
        <v>137</v>
      </c>
      <c r="Q66" s="2802" t="s">
        <v>137</v>
      </c>
      <c r="R66" s="2802" t="s">
        <v>137</v>
      </c>
      <c r="S66" s="2803"/>
      <c r="T66" s="2709"/>
      <c r="U66" s="2808" t="s">
        <v>137</v>
      </c>
      <c r="V66" s="2802" t="s">
        <v>137</v>
      </c>
      <c r="W66" s="2802" t="s">
        <v>137</v>
      </c>
      <c r="X66" s="2802" t="s">
        <v>137</v>
      </c>
      <c r="Y66" s="2802" t="s">
        <v>137</v>
      </c>
      <c r="Z66" s="2803"/>
      <c r="AA66" s="2803"/>
      <c r="AB66" s="2803"/>
      <c r="AC66" s="2808" t="s">
        <v>137</v>
      </c>
      <c r="AD66" s="2808" t="s">
        <v>137</v>
      </c>
      <c r="AE66" s="2808" t="s">
        <v>137</v>
      </c>
      <c r="AF66" s="2808" t="s">
        <v>137</v>
      </c>
      <c r="AG66" s="2809"/>
      <c r="AH66" s="1"/>
      <c r="AJ66" s="2845">
        <v>161.75</v>
      </c>
      <c r="AK66" s="2845">
        <v>0</v>
      </c>
      <c r="AL66" s="2845">
        <f t="shared" si="2"/>
        <v>161.75</v>
      </c>
      <c r="AM66" s="2846">
        <f t="shared" si="3"/>
        <v>1.4199999999999875</v>
      </c>
      <c r="AN66" s="2846">
        <f>IF(AM66="","",AM66+'November 2022'!AN66)</f>
        <v>7.5399999999998499</v>
      </c>
      <c r="AO66">
        <v>6</v>
      </c>
    </row>
    <row r="67" spans="1:43" ht="22.35" customHeight="1" thickBot="1" x14ac:dyDescent="0.25">
      <c r="A67" s="2801"/>
      <c r="B67" s="394" t="s">
        <v>443</v>
      </c>
      <c r="C67" s="2796">
        <v>11</v>
      </c>
      <c r="D67" s="2913">
        <v>11</v>
      </c>
      <c r="E67" s="2913" t="s">
        <v>94</v>
      </c>
      <c r="F67" s="2913" t="s">
        <v>94</v>
      </c>
      <c r="G67" s="2913" t="s">
        <v>36</v>
      </c>
      <c r="H67" s="2913" t="s">
        <v>36</v>
      </c>
      <c r="I67" s="2915" t="s">
        <v>36</v>
      </c>
      <c r="J67" s="2913" t="s">
        <v>36</v>
      </c>
      <c r="K67" s="2913" t="s">
        <v>36</v>
      </c>
      <c r="L67" s="2977" t="s">
        <v>83</v>
      </c>
      <c r="M67" s="2978" t="s">
        <v>83</v>
      </c>
      <c r="N67" s="2978">
        <v>8</v>
      </c>
      <c r="O67" s="2978">
        <v>8</v>
      </c>
      <c r="P67" s="2977">
        <v>8</v>
      </c>
      <c r="Q67" s="2979">
        <v>8</v>
      </c>
      <c r="R67" s="2979">
        <v>8</v>
      </c>
      <c r="S67" s="2913"/>
      <c r="T67" s="2916"/>
      <c r="U67" s="2916" t="s">
        <v>36</v>
      </c>
      <c r="V67" s="2916" t="s">
        <v>36</v>
      </c>
      <c r="W67" s="2916" t="s">
        <v>36</v>
      </c>
      <c r="X67" s="2916" t="s">
        <v>36</v>
      </c>
      <c r="Y67" s="2913" t="s">
        <v>36</v>
      </c>
      <c r="Z67" s="2913"/>
      <c r="AA67" s="2913"/>
      <c r="AB67" s="2928" t="s">
        <v>0</v>
      </c>
      <c r="AC67" s="2980">
        <v>1</v>
      </c>
      <c r="AD67" s="2980">
        <v>1</v>
      </c>
      <c r="AE67" s="2977">
        <v>1</v>
      </c>
      <c r="AF67" s="2977">
        <v>1</v>
      </c>
      <c r="AG67" s="856"/>
      <c r="AH67" s="1"/>
      <c r="AJ67" s="2845">
        <v>164.5</v>
      </c>
      <c r="AK67" s="2845">
        <v>7.25</v>
      </c>
      <c r="AL67" s="2845">
        <f t="shared" si="2"/>
        <v>171.75</v>
      </c>
      <c r="AM67" s="2846">
        <f t="shared" si="3"/>
        <v>11.419999999999987</v>
      </c>
      <c r="AN67" s="2846">
        <f>IF(AM67="","",AM67+'November 2022'!AN67)</f>
        <v>92.539999999999907</v>
      </c>
      <c r="AO67">
        <v>64</v>
      </c>
    </row>
    <row r="68" spans="1:43" ht="22.35" customHeight="1" x14ac:dyDescent="0.2">
      <c r="A68" s="2801"/>
      <c r="B68" s="394" t="s">
        <v>444</v>
      </c>
      <c r="C68" s="961" t="s">
        <v>32</v>
      </c>
      <c r="D68" s="1112" t="s">
        <v>32</v>
      </c>
      <c r="E68" s="2803"/>
      <c r="F68" s="2803" t="s">
        <v>83</v>
      </c>
      <c r="G68" s="1112" t="s">
        <v>32</v>
      </c>
      <c r="H68" s="2803" t="s">
        <v>177</v>
      </c>
      <c r="I68" s="2803">
        <v>3</v>
      </c>
      <c r="J68" s="2803" t="s">
        <v>32</v>
      </c>
      <c r="K68" s="2803" t="s">
        <v>32</v>
      </c>
      <c r="L68" s="2896" t="s">
        <v>127</v>
      </c>
      <c r="M68" s="2896" t="s">
        <v>127</v>
      </c>
      <c r="N68" s="960" t="s">
        <v>264</v>
      </c>
      <c r="O68" s="960" t="s">
        <v>264</v>
      </c>
      <c r="P68" s="960" t="s">
        <v>264</v>
      </c>
      <c r="Q68" s="960" t="s">
        <v>36</v>
      </c>
      <c r="R68" s="2803" t="s">
        <v>243</v>
      </c>
      <c r="S68" s="851" t="s">
        <v>53</v>
      </c>
      <c r="T68" s="2802"/>
      <c r="U68" s="2803" t="s">
        <v>32</v>
      </c>
      <c r="V68" s="960" t="s">
        <v>36</v>
      </c>
      <c r="W68" s="960" t="s">
        <v>36</v>
      </c>
      <c r="X68" s="2803" t="s">
        <v>32</v>
      </c>
      <c r="Y68" s="2803" t="s">
        <v>36</v>
      </c>
      <c r="Z68" s="2803"/>
      <c r="AA68" s="2803"/>
      <c r="AB68" s="2803" t="s">
        <v>127</v>
      </c>
      <c r="AC68" s="2803" t="s">
        <v>32</v>
      </c>
      <c r="AD68" s="2803" t="s">
        <v>32</v>
      </c>
      <c r="AE68" s="2803" t="s">
        <v>32</v>
      </c>
      <c r="AF68" s="2803" t="s">
        <v>32</v>
      </c>
      <c r="AG68" s="856"/>
      <c r="AH68" s="1"/>
      <c r="AJ68" s="2845">
        <v>136.75</v>
      </c>
      <c r="AK68" s="2845">
        <v>5.25</v>
      </c>
      <c r="AL68" s="2845">
        <f t="shared" si="2"/>
        <v>142</v>
      </c>
      <c r="AM68" s="2846">
        <f t="shared" si="3"/>
        <v>-18.330000000000013</v>
      </c>
      <c r="AN68" s="2846">
        <f>IF(AM68="","",AM68+'November 2022'!AN68)</f>
        <v>40.7899999999999</v>
      </c>
      <c r="AO68">
        <v>55</v>
      </c>
    </row>
    <row r="69" spans="1:43" ht="22.35" customHeight="1" thickBot="1" x14ac:dyDescent="0.25">
      <c r="A69" s="2801"/>
      <c r="B69" s="634" t="s">
        <v>445</v>
      </c>
      <c r="C69" s="964" t="s">
        <v>32</v>
      </c>
      <c r="D69" s="964" t="s">
        <v>51</v>
      </c>
      <c r="E69" s="2729" t="s">
        <v>83</v>
      </c>
      <c r="F69" s="2729" t="s">
        <v>0</v>
      </c>
      <c r="G69" s="2803">
        <v>8</v>
      </c>
      <c r="H69" s="2803">
        <v>8</v>
      </c>
      <c r="I69" s="2803">
        <v>8</v>
      </c>
      <c r="J69" s="2803" t="s">
        <v>36</v>
      </c>
      <c r="K69" s="2803" t="s">
        <v>36</v>
      </c>
      <c r="L69" s="2803"/>
      <c r="M69" s="2803"/>
      <c r="N69" s="2981" t="s">
        <v>32</v>
      </c>
      <c r="O69" s="2981" t="s">
        <v>32</v>
      </c>
      <c r="P69" s="2981" t="s">
        <v>32</v>
      </c>
      <c r="Q69" s="2981" t="s">
        <v>32</v>
      </c>
      <c r="R69" s="964" t="s">
        <v>32</v>
      </c>
      <c r="S69" s="964"/>
      <c r="T69" s="964" t="s">
        <v>101</v>
      </c>
      <c r="U69" s="2803" t="s">
        <v>95</v>
      </c>
      <c r="V69" s="2803" t="s">
        <v>36</v>
      </c>
      <c r="W69" s="2803">
        <v>8</v>
      </c>
      <c r="X69" s="2803" t="s">
        <v>36</v>
      </c>
      <c r="Y69" s="960" t="s">
        <v>36</v>
      </c>
      <c r="Z69" s="2803"/>
      <c r="AA69" s="2803"/>
      <c r="AB69" s="2803"/>
      <c r="AC69" s="2796" t="s">
        <v>128</v>
      </c>
      <c r="AD69" s="2803" t="s">
        <v>36</v>
      </c>
      <c r="AE69" s="2803" t="s">
        <v>36</v>
      </c>
      <c r="AF69" s="2803">
        <v>1</v>
      </c>
      <c r="AG69" s="856" t="s">
        <v>82</v>
      </c>
      <c r="AH69" s="1"/>
      <c r="AJ69" s="2845">
        <v>132.5</v>
      </c>
      <c r="AK69" s="2845">
        <v>4.25</v>
      </c>
      <c r="AL69" s="2845">
        <f t="shared" si="2"/>
        <v>136.75</v>
      </c>
      <c r="AM69" s="2846">
        <f t="shared" si="3"/>
        <v>-23.580000000000013</v>
      </c>
      <c r="AN69" s="2846">
        <f>IF(AM69="","",AM69+'November 2022'!AN69)</f>
        <v>30.289999999999907</v>
      </c>
      <c r="AO69">
        <v>4</v>
      </c>
    </row>
    <row r="70" spans="1:43" ht="22.35" customHeight="1" thickBot="1" x14ac:dyDescent="0.25">
      <c r="A70" s="394"/>
      <c r="B70" s="634" t="s">
        <v>143</v>
      </c>
      <c r="C70" s="2803">
        <v>5</v>
      </c>
      <c r="D70" s="2803">
        <v>5</v>
      </c>
      <c r="E70" s="2803"/>
      <c r="F70" s="2803"/>
      <c r="G70" s="2803" t="s">
        <v>36</v>
      </c>
      <c r="H70" s="2803" t="s">
        <v>36</v>
      </c>
      <c r="I70" s="2803" t="s">
        <v>36</v>
      </c>
      <c r="J70" s="2913" t="s">
        <v>134</v>
      </c>
      <c r="K70" s="2913" t="s">
        <v>134</v>
      </c>
      <c r="L70" s="2803"/>
      <c r="M70" s="2803"/>
      <c r="N70" s="2806" t="s">
        <v>32</v>
      </c>
      <c r="O70" s="2806" t="s">
        <v>32</v>
      </c>
      <c r="P70" s="2806" t="s">
        <v>32</v>
      </c>
      <c r="Q70" s="2806" t="s">
        <v>32</v>
      </c>
      <c r="R70" s="2806" t="s">
        <v>32</v>
      </c>
      <c r="S70" s="2806"/>
      <c r="T70" s="2806"/>
      <c r="U70" s="2803" t="s">
        <v>36</v>
      </c>
      <c r="V70" s="2803" t="s">
        <v>36</v>
      </c>
      <c r="W70" s="2803" t="s">
        <v>36</v>
      </c>
      <c r="X70" s="2803">
        <v>8</v>
      </c>
      <c r="Y70" s="2803">
        <v>8</v>
      </c>
      <c r="Z70" s="2803"/>
      <c r="AA70" s="2803"/>
      <c r="AB70" s="2796" t="s">
        <v>0</v>
      </c>
      <c r="AC70" s="2803" t="s">
        <v>36</v>
      </c>
      <c r="AD70" s="2803" t="s">
        <v>128</v>
      </c>
      <c r="AE70" s="2803" t="s">
        <v>128</v>
      </c>
      <c r="AF70" s="2982" t="s">
        <v>128</v>
      </c>
      <c r="AG70" s="2941" t="s">
        <v>127</v>
      </c>
      <c r="AJ70" s="2845">
        <v>123.75</v>
      </c>
      <c r="AK70" s="2845">
        <v>5</v>
      </c>
      <c r="AL70" s="2845">
        <f t="shared" si="2"/>
        <v>128.75</v>
      </c>
      <c r="AM70" s="2846">
        <f t="shared" si="3"/>
        <v>-31.580000000000013</v>
      </c>
      <c r="AN70" s="2846">
        <f>IF(AM70="","",AM70+'November 2022'!AN70)</f>
        <v>18.039999999999907</v>
      </c>
      <c r="AO70">
        <v>17</v>
      </c>
      <c r="AQ70">
        <v>22</v>
      </c>
    </row>
    <row r="71" spans="1:43" ht="22.35" customHeight="1" x14ac:dyDescent="0.2">
      <c r="A71" s="634"/>
      <c r="B71" s="541" t="s">
        <v>144</v>
      </c>
      <c r="C71" s="961" t="s">
        <v>32</v>
      </c>
      <c r="D71" s="2803" t="s">
        <v>32</v>
      </c>
      <c r="E71" s="2803"/>
      <c r="F71" s="2803"/>
      <c r="G71" s="2803" t="s">
        <v>400</v>
      </c>
      <c r="H71" s="2803" t="s">
        <v>400</v>
      </c>
      <c r="I71" s="2803" t="s">
        <v>400</v>
      </c>
      <c r="J71" s="2803" t="s">
        <v>400</v>
      </c>
      <c r="K71" s="964" t="s">
        <v>400</v>
      </c>
      <c r="L71" s="964" t="s">
        <v>409</v>
      </c>
      <c r="M71" s="964" t="s">
        <v>409</v>
      </c>
      <c r="N71" s="964" t="s">
        <v>36</v>
      </c>
      <c r="O71" s="964" t="s">
        <v>36</v>
      </c>
      <c r="P71" s="964" t="s">
        <v>39</v>
      </c>
      <c r="Q71" s="2845" t="s">
        <v>36</v>
      </c>
      <c r="R71" s="1112" t="s">
        <v>36</v>
      </c>
      <c r="S71" s="2845"/>
      <c r="T71" s="2845"/>
      <c r="U71" s="2803" t="s">
        <v>264</v>
      </c>
      <c r="V71" s="2803" t="s">
        <v>235</v>
      </c>
      <c r="W71" s="2803" t="s">
        <v>235</v>
      </c>
      <c r="X71" s="2803" t="s">
        <v>235</v>
      </c>
      <c r="Y71" s="2803" t="s">
        <v>36</v>
      </c>
      <c r="Z71" s="2803"/>
      <c r="AA71" s="2803"/>
      <c r="AB71" s="2803" t="s">
        <v>420</v>
      </c>
      <c r="AC71" s="964" t="s">
        <v>420</v>
      </c>
      <c r="AD71" s="964" t="s">
        <v>420</v>
      </c>
      <c r="AE71" s="964" t="s">
        <v>420</v>
      </c>
      <c r="AF71" s="964" t="s">
        <v>420</v>
      </c>
      <c r="AG71" s="1088" t="s">
        <v>405</v>
      </c>
      <c r="AJ71" s="2845">
        <v>143.25</v>
      </c>
      <c r="AK71" s="2845">
        <v>9</v>
      </c>
      <c r="AL71" s="2845">
        <f t="shared" si="2"/>
        <v>152.25</v>
      </c>
      <c r="AM71" s="2846">
        <f t="shared" si="3"/>
        <v>-8.0800000000000125</v>
      </c>
      <c r="AN71" s="2846">
        <f>IF(AM71="","",AM71+'November 2022'!AN71)</f>
        <v>3.6999999999999034</v>
      </c>
      <c r="AO71">
        <v>15</v>
      </c>
    </row>
    <row r="72" spans="1:43" ht="22.35" customHeight="1" thickBot="1" x14ac:dyDescent="0.25">
      <c r="A72" s="289"/>
      <c r="B72" s="634" t="s">
        <v>354</v>
      </c>
      <c r="C72" s="2803" t="s">
        <v>134</v>
      </c>
      <c r="D72" s="2803" t="s">
        <v>134</v>
      </c>
      <c r="E72" s="2803"/>
      <c r="F72" s="961" t="s">
        <v>0</v>
      </c>
      <c r="G72" s="960" t="s">
        <v>36</v>
      </c>
      <c r="H72" s="2803" t="s">
        <v>36</v>
      </c>
      <c r="I72" s="2803" t="s">
        <v>36</v>
      </c>
      <c r="J72" s="647" t="s">
        <v>32</v>
      </c>
      <c r="K72" s="647" t="s">
        <v>32</v>
      </c>
      <c r="L72" s="2803" t="s">
        <v>53</v>
      </c>
      <c r="M72" s="2803" t="s">
        <v>53</v>
      </c>
      <c r="N72" s="854" t="s">
        <v>36</v>
      </c>
      <c r="O72" s="854" t="s">
        <v>36</v>
      </c>
      <c r="P72" s="854" t="s">
        <v>36</v>
      </c>
      <c r="Q72" s="854" t="s">
        <v>36</v>
      </c>
      <c r="R72" s="1112" t="s">
        <v>36</v>
      </c>
      <c r="S72" s="2814" t="s">
        <v>57</v>
      </c>
      <c r="T72" s="2802"/>
      <c r="U72" s="2803" t="s">
        <v>137</v>
      </c>
      <c r="V72" s="2803" t="s">
        <v>36</v>
      </c>
      <c r="W72" s="2803" t="s">
        <v>36</v>
      </c>
      <c r="X72" s="2803" t="s">
        <v>36</v>
      </c>
      <c r="Y72" s="2803">
        <v>3</v>
      </c>
      <c r="Z72" s="2803" t="s">
        <v>0</v>
      </c>
      <c r="AA72" s="2803"/>
      <c r="AB72" s="2803"/>
      <c r="AC72" s="2803">
        <v>25</v>
      </c>
      <c r="AD72" s="2803">
        <v>25</v>
      </c>
      <c r="AE72" s="2803">
        <v>25</v>
      </c>
      <c r="AF72" s="964">
        <v>25</v>
      </c>
      <c r="AG72" s="856">
        <v>22</v>
      </c>
      <c r="AH72" s="1"/>
      <c r="AJ72" s="2845">
        <v>111.75</v>
      </c>
      <c r="AK72" s="2845">
        <v>4</v>
      </c>
      <c r="AL72" s="2845">
        <f t="shared" si="2"/>
        <v>115.75</v>
      </c>
      <c r="AM72" s="2846">
        <f t="shared" si="3"/>
        <v>-44.580000000000013</v>
      </c>
      <c r="AN72" s="2846">
        <f>IF(AM72="","",AM72+'November 2022'!AN72)</f>
        <v>68.689999999999912</v>
      </c>
      <c r="AO72" s="448">
        <v>0</v>
      </c>
    </row>
    <row r="73" spans="1:43" ht="22.35" customHeight="1" thickBot="1" x14ac:dyDescent="0.25">
      <c r="A73" s="634"/>
      <c r="B73" s="2983" t="s">
        <v>357</v>
      </c>
      <c r="C73" s="2803" t="s">
        <v>32</v>
      </c>
      <c r="D73" s="2803" t="s">
        <v>32</v>
      </c>
      <c r="E73" s="2913" t="s">
        <v>80</v>
      </c>
      <c r="F73" s="2913" t="s">
        <v>81</v>
      </c>
      <c r="G73" s="2803" t="s">
        <v>36</v>
      </c>
      <c r="H73" s="2803" t="s">
        <v>36</v>
      </c>
      <c r="I73" s="2803" t="s">
        <v>32</v>
      </c>
      <c r="J73" s="2803">
        <v>3</v>
      </c>
      <c r="K73" s="2803" t="s">
        <v>36</v>
      </c>
      <c r="L73" s="2918" t="s">
        <v>83</v>
      </c>
      <c r="M73" s="2918" t="s">
        <v>83</v>
      </c>
      <c r="N73" s="2918">
        <v>8</v>
      </c>
      <c r="O73" s="2918">
        <v>8</v>
      </c>
      <c r="P73" s="2909">
        <v>8</v>
      </c>
      <c r="Q73" s="2918">
        <v>8</v>
      </c>
      <c r="R73" s="2918">
        <v>8</v>
      </c>
      <c r="S73" s="960" t="s">
        <v>0</v>
      </c>
      <c r="T73" s="961" t="s">
        <v>0</v>
      </c>
      <c r="U73" s="2817">
        <v>9</v>
      </c>
      <c r="V73" s="2817">
        <v>9</v>
      </c>
      <c r="W73" s="2817">
        <v>9</v>
      </c>
      <c r="X73" s="2817">
        <v>9</v>
      </c>
      <c r="Y73" s="2984">
        <v>9</v>
      </c>
      <c r="Z73" s="2803" t="s">
        <v>80</v>
      </c>
      <c r="AA73" s="2803"/>
      <c r="AB73" s="964">
        <v>1</v>
      </c>
      <c r="AC73" s="964">
        <v>9</v>
      </c>
      <c r="AD73" s="964">
        <v>9</v>
      </c>
      <c r="AE73" s="964">
        <v>9</v>
      </c>
      <c r="AF73" s="1163">
        <v>9</v>
      </c>
      <c r="AG73" s="1684" t="s">
        <v>101</v>
      </c>
      <c r="AH73" s="1"/>
      <c r="AJ73" s="2845">
        <v>191.25</v>
      </c>
      <c r="AK73" s="2845">
        <v>12.25</v>
      </c>
      <c r="AL73" s="2845">
        <f t="shared" ref="AL73:AL75" si="4">IF(AJ73="","",SUM(AJ73:AK73))</f>
        <v>203.5</v>
      </c>
      <c r="AM73" s="2846">
        <f t="shared" si="3"/>
        <v>43.169999999999987</v>
      </c>
      <c r="AN73" s="2846">
        <f>IF(AM73="","",AM73+'November 2022'!AN73)</f>
        <v>-27.910000000000025</v>
      </c>
      <c r="AO73" s="448">
        <v>20</v>
      </c>
    </row>
    <row r="74" spans="1:43" ht="22.35" customHeight="1" thickBot="1" x14ac:dyDescent="0.25">
      <c r="A74" s="634"/>
      <c r="B74" s="2801" t="s">
        <v>380</v>
      </c>
      <c r="C74" s="2803">
        <v>7</v>
      </c>
      <c r="D74" s="2803">
        <v>7</v>
      </c>
      <c r="E74" s="2803"/>
      <c r="F74" s="960">
        <v>26</v>
      </c>
      <c r="G74" s="2896" t="s">
        <v>128</v>
      </c>
      <c r="H74" s="2896" t="s">
        <v>128</v>
      </c>
      <c r="I74" s="2896" t="s">
        <v>128</v>
      </c>
      <c r="J74" s="2896" t="s">
        <v>128</v>
      </c>
      <c r="K74" s="2896" t="s">
        <v>128</v>
      </c>
      <c r="L74" s="2803"/>
      <c r="M74" s="2803">
        <v>26</v>
      </c>
      <c r="N74" s="2803" t="s">
        <v>36</v>
      </c>
      <c r="O74" s="2803" t="s">
        <v>134</v>
      </c>
      <c r="P74" s="2803" t="s">
        <v>36</v>
      </c>
      <c r="Q74" s="1112" t="s">
        <v>36</v>
      </c>
      <c r="R74" s="647">
        <v>69</v>
      </c>
      <c r="S74" s="2845" t="s">
        <v>0</v>
      </c>
      <c r="T74" s="2802" t="s">
        <v>0</v>
      </c>
      <c r="U74" s="2802">
        <v>26</v>
      </c>
      <c r="V74" s="2802">
        <v>26</v>
      </c>
      <c r="W74" s="2802">
        <v>26</v>
      </c>
      <c r="X74" s="2802">
        <v>26</v>
      </c>
      <c r="Y74" s="2802">
        <v>26</v>
      </c>
      <c r="Z74" s="2803"/>
      <c r="AA74" s="2803" t="s">
        <v>81</v>
      </c>
      <c r="AB74" s="2803">
        <v>22</v>
      </c>
      <c r="AC74" s="2803">
        <v>22</v>
      </c>
      <c r="AD74" s="2803">
        <v>22</v>
      </c>
      <c r="AE74" s="2803">
        <v>9</v>
      </c>
      <c r="AF74" s="2803">
        <v>9</v>
      </c>
      <c r="AG74" s="856" t="s">
        <v>0</v>
      </c>
      <c r="AH74" s="1"/>
      <c r="AJ74" s="2845">
        <v>188.5</v>
      </c>
      <c r="AK74" s="2845">
        <v>11.5</v>
      </c>
      <c r="AL74" s="2845">
        <f t="shared" si="4"/>
        <v>200</v>
      </c>
      <c r="AM74" s="2846">
        <f t="shared" si="3"/>
        <v>39.669999999999987</v>
      </c>
      <c r="AN74" s="2846">
        <f>IF(AM74="","",AM74+'November 2022'!AN74)</f>
        <v>4.089999999999975</v>
      </c>
      <c r="AO74">
        <v>22</v>
      </c>
      <c r="AQ74" t="s">
        <v>0</v>
      </c>
    </row>
    <row r="75" spans="1:43" ht="22.35" customHeight="1" x14ac:dyDescent="0.2">
      <c r="A75" s="634"/>
      <c r="B75" s="2801" t="s">
        <v>379</v>
      </c>
      <c r="C75" s="2845">
        <v>26</v>
      </c>
      <c r="D75" s="2845">
        <v>26</v>
      </c>
      <c r="E75" s="2845"/>
      <c r="F75" s="2845"/>
      <c r="G75" s="2896">
        <v>26</v>
      </c>
      <c r="H75" s="2896">
        <v>26</v>
      </c>
      <c r="I75" s="2896">
        <v>26</v>
      </c>
      <c r="J75" s="2896">
        <v>26</v>
      </c>
      <c r="K75" s="2896">
        <v>26</v>
      </c>
      <c r="L75" s="2803" t="s">
        <v>32</v>
      </c>
      <c r="M75" s="2803" t="s">
        <v>32</v>
      </c>
      <c r="N75" s="2709" t="s">
        <v>36</v>
      </c>
      <c r="O75" s="2709" t="s">
        <v>36</v>
      </c>
      <c r="P75" s="2709" t="s">
        <v>36</v>
      </c>
      <c r="Q75" s="2709" t="s">
        <v>36</v>
      </c>
      <c r="R75" s="854">
        <v>69</v>
      </c>
      <c r="S75" s="851"/>
      <c r="T75" s="851"/>
      <c r="U75" s="2802">
        <v>25</v>
      </c>
      <c r="V75" s="2709">
        <v>25</v>
      </c>
      <c r="W75" s="960">
        <v>25</v>
      </c>
      <c r="X75" s="960">
        <v>25</v>
      </c>
      <c r="Y75" s="2803">
        <v>25</v>
      </c>
      <c r="Z75" s="2845"/>
      <c r="AA75" s="2845"/>
      <c r="AB75" s="2845"/>
      <c r="AC75" s="2803">
        <v>26</v>
      </c>
      <c r="AD75" s="2803">
        <v>26</v>
      </c>
      <c r="AE75" s="2803">
        <v>26</v>
      </c>
      <c r="AF75" s="2803">
        <v>26</v>
      </c>
      <c r="AG75" s="1312"/>
      <c r="AH75" s="1"/>
      <c r="AJ75" s="2845">
        <v>153.25</v>
      </c>
      <c r="AK75" s="2845">
        <v>10</v>
      </c>
      <c r="AL75" s="2845">
        <f t="shared" si="4"/>
        <v>163.25</v>
      </c>
      <c r="AM75" s="2846">
        <f t="shared" si="3"/>
        <v>2.9199999999999875</v>
      </c>
      <c r="AN75" s="2846">
        <f>IF(AM75="","",AM75+'November 2022'!AN75)</f>
        <v>-0.16000000000002501</v>
      </c>
      <c r="AO75" s="448">
        <v>4</v>
      </c>
    </row>
    <row r="76" spans="1:43" ht="22.35" customHeight="1" thickBot="1" x14ac:dyDescent="0.25">
      <c r="A76" s="634"/>
      <c r="B76" s="2801" t="s">
        <v>383</v>
      </c>
      <c r="C76" s="2803" t="s">
        <v>257</v>
      </c>
      <c r="D76" s="2803" t="s">
        <v>257</v>
      </c>
      <c r="E76" s="2851"/>
      <c r="F76" s="2851"/>
      <c r="G76" s="2803" t="s">
        <v>257</v>
      </c>
      <c r="H76" s="2803" t="s">
        <v>257</v>
      </c>
      <c r="I76" s="2803" t="s">
        <v>257</v>
      </c>
      <c r="J76" s="2803" t="s">
        <v>257</v>
      </c>
      <c r="K76" s="2803" t="s">
        <v>257</v>
      </c>
      <c r="L76" s="2851"/>
      <c r="M76" s="2851"/>
      <c r="N76" s="2803" t="s">
        <v>257</v>
      </c>
      <c r="O76" s="2803" t="s">
        <v>257</v>
      </c>
      <c r="P76" s="647" t="s">
        <v>257</v>
      </c>
      <c r="Q76" s="964" t="s">
        <v>257</v>
      </c>
      <c r="R76" s="964" t="s">
        <v>257</v>
      </c>
      <c r="S76" s="964"/>
      <c r="T76" s="964"/>
      <c r="U76" s="964" t="s">
        <v>372</v>
      </c>
      <c r="V76" s="2467" t="s">
        <v>257</v>
      </c>
      <c r="W76" s="2467" t="s">
        <v>257</v>
      </c>
      <c r="X76" s="2467" t="s">
        <v>257</v>
      </c>
      <c r="Y76" s="2467" t="s">
        <v>257</v>
      </c>
      <c r="Z76" s="2803"/>
      <c r="AA76" s="2803"/>
      <c r="AB76" s="2803"/>
      <c r="AC76" s="647" t="s">
        <v>257</v>
      </c>
      <c r="AD76" s="647" t="s">
        <v>257</v>
      </c>
      <c r="AE76" s="647" t="s">
        <v>257</v>
      </c>
      <c r="AF76" s="647" t="s">
        <v>257</v>
      </c>
      <c r="AG76" s="2809"/>
      <c r="AH76" s="1"/>
      <c r="AJ76" s="2845">
        <v>162.5</v>
      </c>
      <c r="AK76" s="2845">
        <v>0</v>
      </c>
      <c r="AL76" s="2845">
        <f t="shared" ref="AL76:AL91" si="5">IF(AJ76="","",SUM(AJ76:AK76))</f>
        <v>162.5</v>
      </c>
      <c r="AM76" s="2846">
        <f t="shared" ref="AM76:AM91" si="6">IF(AJ76="","",AL76-NormTid)</f>
        <v>2.1699999999999875</v>
      </c>
      <c r="AN76" s="2846">
        <f>IF(AM76="","",AM76+'November 2022'!AN76)</f>
        <v>2.1699999999999875</v>
      </c>
    </row>
    <row r="77" spans="1:43" ht="22.35" customHeight="1" x14ac:dyDescent="0.2">
      <c r="A77" s="977"/>
      <c r="B77" s="933" t="s">
        <v>446</v>
      </c>
      <c r="C77" s="2803">
        <v>3</v>
      </c>
      <c r="D77" s="2803">
        <v>3</v>
      </c>
      <c r="E77" s="2803"/>
      <c r="F77" s="2803"/>
      <c r="G77" s="2803">
        <v>4</v>
      </c>
      <c r="H77" s="2803" t="s">
        <v>134</v>
      </c>
      <c r="I77" s="2803" t="s">
        <v>134</v>
      </c>
      <c r="J77" s="2803">
        <v>4</v>
      </c>
      <c r="K77" s="2803">
        <v>4</v>
      </c>
      <c r="L77" s="2803"/>
      <c r="M77" s="2709"/>
      <c r="N77" s="364">
        <v>21</v>
      </c>
      <c r="O77" s="364">
        <v>21</v>
      </c>
      <c r="P77" s="364">
        <v>21</v>
      </c>
      <c r="Q77" s="364">
        <v>21</v>
      </c>
      <c r="R77" s="364">
        <v>21</v>
      </c>
      <c r="S77" s="364">
        <v>21</v>
      </c>
      <c r="T77" s="364">
        <v>21</v>
      </c>
      <c r="U77" s="2709" t="s">
        <v>36</v>
      </c>
      <c r="V77" s="2709" t="s">
        <v>36</v>
      </c>
      <c r="W77" s="2709" t="s">
        <v>36</v>
      </c>
      <c r="X77" s="854" t="s">
        <v>36</v>
      </c>
      <c r="Y77" s="2709" t="s">
        <v>36</v>
      </c>
      <c r="Z77" s="2709"/>
      <c r="AA77" s="2709"/>
      <c r="AB77" s="2709"/>
      <c r="AC77" s="2709">
        <v>69</v>
      </c>
      <c r="AD77" s="2709">
        <v>69</v>
      </c>
      <c r="AE77" s="2803" t="s">
        <v>36</v>
      </c>
      <c r="AF77" s="2709">
        <v>22</v>
      </c>
      <c r="AG77" s="1311">
        <v>21</v>
      </c>
      <c r="AH77" s="1"/>
      <c r="AJ77" s="2845">
        <v>154</v>
      </c>
      <c r="AK77" s="2845">
        <v>6.25</v>
      </c>
      <c r="AL77" s="2845">
        <f t="shared" si="5"/>
        <v>160.25</v>
      </c>
      <c r="AM77" s="2846">
        <f t="shared" si="6"/>
        <v>-8.0000000000012506E-2</v>
      </c>
      <c r="AN77" s="2846">
        <f>IF(AM77="","",AM77+'November 2022'!AN77)</f>
        <v>11.839999999999975</v>
      </c>
      <c r="AO77" s="449">
        <v>2</v>
      </c>
    </row>
    <row r="78" spans="1:43" ht="22.35" customHeight="1" x14ac:dyDescent="0.2">
      <c r="A78" s="977"/>
      <c r="B78" s="2801" t="s">
        <v>447</v>
      </c>
      <c r="C78" s="851" t="s">
        <v>448</v>
      </c>
      <c r="D78" s="2807">
        <v>21</v>
      </c>
      <c r="E78" s="851" t="s">
        <v>448</v>
      </c>
      <c r="F78" s="2803">
        <v>21</v>
      </c>
      <c r="G78" s="2803" t="s">
        <v>36</v>
      </c>
      <c r="H78" s="960" t="s">
        <v>36</v>
      </c>
      <c r="I78" s="2803" t="s">
        <v>36</v>
      </c>
      <c r="J78" s="2803" t="s">
        <v>36</v>
      </c>
      <c r="K78" s="2803" t="s">
        <v>36</v>
      </c>
      <c r="L78" s="2803"/>
      <c r="M78" s="2803"/>
      <c r="N78" s="1234">
        <v>6</v>
      </c>
      <c r="O78" s="1234">
        <v>6</v>
      </c>
      <c r="P78" s="2803" t="s">
        <v>32</v>
      </c>
      <c r="Q78" s="2803">
        <v>3</v>
      </c>
      <c r="R78" s="2803">
        <v>3</v>
      </c>
      <c r="S78" s="2803"/>
      <c r="T78" s="1680"/>
      <c r="U78" s="851" t="s">
        <v>86</v>
      </c>
      <c r="V78" s="2851">
        <v>1</v>
      </c>
      <c r="W78" s="851" t="s">
        <v>86</v>
      </c>
      <c r="X78" s="851" t="s">
        <v>86</v>
      </c>
      <c r="Y78" s="2803">
        <v>1</v>
      </c>
      <c r="Z78" s="851"/>
      <c r="AA78" s="851" t="s">
        <v>53</v>
      </c>
      <c r="AB78" s="851" t="s">
        <v>53</v>
      </c>
      <c r="AC78" s="851" t="s">
        <v>36</v>
      </c>
      <c r="AD78" s="851" t="s">
        <v>36</v>
      </c>
      <c r="AE78" s="2803" t="s">
        <v>32</v>
      </c>
      <c r="AF78" s="538" t="s">
        <v>32</v>
      </c>
      <c r="AG78" s="2985"/>
      <c r="AH78" s="1"/>
      <c r="AJ78" s="2845">
        <v>132.5</v>
      </c>
      <c r="AK78" s="2845">
        <v>4</v>
      </c>
      <c r="AL78" s="2845">
        <f t="shared" si="5"/>
        <v>136.5</v>
      </c>
      <c r="AM78" s="2846">
        <f t="shared" si="6"/>
        <v>-23.830000000000013</v>
      </c>
      <c r="AN78" s="2846">
        <f>IF(AM78="","",AM78+'November 2022'!AN78)</f>
        <v>-6.160000000000025</v>
      </c>
      <c r="AO78" s="448">
        <v>12</v>
      </c>
    </row>
    <row r="79" spans="1:43" ht="22.35" customHeight="1" x14ac:dyDescent="0.2">
      <c r="A79" s="977"/>
      <c r="B79" s="2801" t="s">
        <v>217</v>
      </c>
      <c r="C79" s="2803">
        <v>9</v>
      </c>
      <c r="D79" s="2803">
        <v>9</v>
      </c>
      <c r="E79" s="851" t="s">
        <v>53</v>
      </c>
      <c r="F79" s="2803" t="s">
        <v>53</v>
      </c>
      <c r="G79" s="2803">
        <v>89</v>
      </c>
      <c r="H79" s="2803">
        <v>4</v>
      </c>
      <c r="I79" s="2803">
        <v>4</v>
      </c>
      <c r="J79" s="2803">
        <v>8</v>
      </c>
      <c r="K79" s="2803">
        <v>8</v>
      </c>
      <c r="L79" s="2803"/>
      <c r="M79" s="2803"/>
      <c r="N79" s="2803" t="s">
        <v>398</v>
      </c>
      <c r="O79" s="2803" t="s">
        <v>398</v>
      </c>
      <c r="P79" s="2803" t="s">
        <v>398</v>
      </c>
      <c r="Q79" s="2803" t="s">
        <v>398</v>
      </c>
      <c r="R79" s="960" t="s">
        <v>398</v>
      </c>
      <c r="S79" s="2803"/>
      <c r="T79" s="851"/>
      <c r="U79" s="2803">
        <v>3</v>
      </c>
      <c r="V79" s="2803">
        <v>3</v>
      </c>
      <c r="W79" s="2803">
        <v>3</v>
      </c>
      <c r="X79" s="2803">
        <v>3</v>
      </c>
      <c r="Y79" s="2803" t="s">
        <v>36</v>
      </c>
      <c r="Z79" s="851"/>
      <c r="AA79" s="851"/>
      <c r="AB79" s="851"/>
      <c r="AC79" s="647" t="s">
        <v>32</v>
      </c>
      <c r="AD79" s="647" t="s">
        <v>32</v>
      </c>
      <c r="AE79" s="647" t="s">
        <v>32</v>
      </c>
      <c r="AF79" s="647" t="s">
        <v>32</v>
      </c>
      <c r="AG79" s="978"/>
      <c r="AH79" s="1"/>
      <c r="AJ79" s="2845">
        <v>162.25</v>
      </c>
      <c r="AK79" s="2845">
        <v>2.25</v>
      </c>
      <c r="AL79" s="2845">
        <f>IF(AJ79="","",SUM(AJ79:AK79))</f>
        <v>164.5</v>
      </c>
      <c r="AM79" s="2846">
        <f>IF(AJ79="","",AL79-NormTid)</f>
        <v>4.1699999999999875</v>
      </c>
      <c r="AN79" s="2846">
        <f>IF(AM79="","",AM79+'November 2022'!AN79)</f>
        <v>4.1699999999999875</v>
      </c>
      <c r="AO79">
        <v>11</v>
      </c>
    </row>
    <row r="80" spans="1:43" ht="22.35" customHeight="1" x14ac:dyDescent="0.2">
      <c r="A80" s="977"/>
      <c r="B80" s="2473" t="s">
        <v>450</v>
      </c>
      <c r="C80" s="1235" t="s">
        <v>449</v>
      </c>
      <c r="D80" s="1235" t="s">
        <v>449</v>
      </c>
      <c r="E80" s="851"/>
      <c r="F80" s="2803"/>
      <c r="G80" s="2803">
        <v>25</v>
      </c>
      <c r="H80" s="2803">
        <v>25</v>
      </c>
      <c r="I80" s="2803">
        <v>25</v>
      </c>
      <c r="J80" s="2803">
        <v>25</v>
      </c>
      <c r="K80" s="2803">
        <v>25</v>
      </c>
      <c r="L80" s="2803"/>
      <c r="M80" s="2803"/>
      <c r="N80" s="2803" t="s">
        <v>36</v>
      </c>
      <c r="O80" s="2803" t="s">
        <v>36</v>
      </c>
      <c r="P80" s="2803" t="s">
        <v>36</v>
      </c>
      <c r="Q80" s="2803" t="s">
        <v>36</v>
      </c>
      <c r="R80" s="2803" t="s">
        <v>36</v>
      </c>
      <c r="S80" s="2803"/>
      <c r="T80" s="851"/>
      <c r="U80" s="851" t="s">
        <v>92</v>
      </c>
      <c r="V80" s="2851">
        <v>4</v>
      </c>
      <c r="W80" s="851" t="s">
        <v>92</v>
      </c>
      <c r="X80" s="851" t="s">
        <v>92</v>
      </c>
      <c r="Y80" s="2803">
        <v>4</v>
      </c>
      <c r="Z80" s="851"/>
      <c r="AA80" s="851"/>
      <c r="AB80" s="851"/>
      <c r="AC80" s="2803">
        <v>1</v>
      </c>
      <c r="AD80" s="2803" t="s">
        <v>36</v>
      </c>
      <c r="AE80" s="1163" t="s">
        <v>398</v>
      </c>
      <c r="AF80" s="1163" t="s">
        <v>400</v>
      </c>
      <c r="AG80" s="2986"/>
      <c r="AH80" s="1"/>
      <c r="AJ80" s="2845">
        <v>135.75</v>
      </c>
      <c r="AK80" s="2845">
        <v>5.25</v>
      </c>
      <c r="AL80" s="2845">
        <f>IF(AJ80="","",SUM(AJ80:AK80))</f>
        <v>141</v>
      </c>
      <c r="AM80" s="2846">
        <f>IF(AJ80="","",AL80-NormTid)</f>
        <v>-19.330000000000013</v>
      </c>
      <c r="AN80" s="2846">
        <f>IF(AM80="","",AM80+'November 2022'!AN80)</f>
        <v>5.839999999999975</v>
      </c>
      <c r="AO80">
        <v>0</v>
      </c>
    </row>
    <row r="81" spans="1:41" ht="22.35" customHeight="1" thickBot="1" x14ac:dyDescent="0.25">
      <c r="A81" s="977"/>
      <c r="B81" s="2473"/>
      <c r="C81" s="851"/>
      <c r="D81" s="2807"/>
      <c r="E81" s="851"/>
      <c r="F81" s="2803"/>
      <c r="G81" s="2803"/>
      <c r="H81" s="2803"/>
      <c r="I81" s="2803"/>
      <c r="J81" s="2803"/>
      <c r="K81" s="2803"/>
      <c r="L81" s="2803"/>
      <c r="M81" s="2803"/>
      <c r="N81" s="2803"/>
      <c r="O81" s="2803"/>
      <c r="P81" s="2803"/>
      <c r="Q81" s="2803"/>
      <c r="R81" s="2803"/>
      <c r="S81" s="2803"/>
      <c r="T81" s="851"/>
      <c r="U81" s="851"/>
      <c r="V81" s="2851"/>
      <c r="W81" s="851"/>
      <c r="X81" s="851"/>
      <c r="Y81" s="2803"/>
      <c r="Z81" s="851"/>
      <c r="AA81" s="851"/>
      <c r="AB81" s="851"/>
      <c r="AC81" s="851"/>
      <c r="AD81" s="851"/>
      <c r="AE81" s="2807"/>
      <c r="AF81" s="851"/>
      <c r="AG81" s="978"/>
      <c r="AH81" s="1"/>
      <c r="AJ81" s="2845">
        <f>$AJ$12</f>
        <v>160.33000000000001</v>
      </c>
      <c r="AK81" s="2845"/>
      <c r="AL81" s="2845">
        <f t="shared" si="5"/>
        <v>160.33000000000001</v>
      </c>
      <c r="AM81" s="2846">
        <f t="shared" si="6"/>
        <v>0</v>
      </c>
      <c r="AN81" s="2846">
        <f>IF(AM81="","",AM81+'November 2022'!AN80)</f>
        <v>25.169999999999987</v>
      </c>
      <c r="AO81">
        <v>0</v>
      </c>
    </row>
    <row r="82" spans="1:41" ht="22.35" customHeight="1" thickBot="1" x14ac:dyDescent="0.25">
      <c r="A82" s="1685"/>
      <c r="B82" s="2987" t="s">
        <v>147</v>
      </c>
      <c r="C82" s="2988">
        <v>1</v>
      </c>
      <c r="D82" s="2988">
        <v>2</v>
      </c>
      <c r="E82" s="2989">
        <v>3</v>
      </c>
      <c r="F82" s="2989">
        <v>4</v>
      </c>
      <c r="G82" s="2988">
        <v>5</v>
      </c>
      <c r="H82" s="2988">
        <v>6</v>
      </c>
      <c r="I82" s="2988">
        <v>7</v>
      </c>
      <c r="J82" s="2988">
        <v>8</v>
      </c>
      <c r="K82" s="2988">
        <v>9</v>
      </c>
      <c r="L82" s="2989">
        <v>10</v>
      </c>
      <c r="M82" s="2989">
        <v>11</v>
      </c>
      <c r="N82" s="2988">
        <v>12</v>
      </c>
      <c r="O82" s="2988">
        <v>13</v>
      </c>
      <c r="P82" s="2988">
        <v>14</v>
      </c>
      <c r="Q82" s="2988">
        <v>15</v>
      </c>
      <c r="R82" s="2988">
        <v>16</v>
      </c>
      <c r="S82" s="2989">
        <v>17</v>
      </c>
      <c r="T82" s="2989">
        <v>18</v>
      </c>
      <c r="U82" s="2988">
        <v>19</v>
      </c>
      <c r="V82" s="2988">
        <v>20</v>
      </c>
      <c r="W82" s="2988">
        <v>21</v>
      </c>
      <c r="X82" s="2988">
        <v>22</v>
      </c>
      <c r="Y82" s="2988">
        <v>23</v>
      </c>
      <c r="Z82" s="2989">
        <v>24</v>
      </c>
      <c r="AA82" s="2989">
        <v>25</v>
      </c>
      <c r="AB82" s="2989">
        <v>26</v>
      </c>
      <c r="AC82" s="2988">
        <v>27</v>
      </c>
      <c r="AD82" s="2988">
        <v>28</v>
      </c>
      <c r="AE82" s="2988">
        <v>29</v>
      </c>
      <c r="AF82" s="2988">
        <v>30</v>
      </c>
      <c r="AG82" s="2990">
        <v>31</v>
      </c>
      <c r="AH82" s="1"/>
      <c r="AJ82" s="2845">
        <f t="shared" ref="AJ82:AJ91" si="7">$AJ$12</f>
        <v>160.33000000000001</v>
      </c>
      <c r="AK82" s="2845"/>
      <c r="AL82" s="2845">
        <f t="shared" si="5"/>
        <v>160.33000000000001</v>
      </c>
      <c r="AM82" s="2846">
        <f t="shared" si="6"/>
        <v>0</v>
      </c>
      <c r="AN82" s="2846">
        <f>IF(AM82="","",AM82+'November 2022'!AN81)</f>
        <v>0</v>
      </c>
    </row>
    <row r="83" spans="1:41" ht="22.35" customHeight="1" x14ac:dyDescent="0.2">
      <c r="A83" s="2991"/>
      <c r="B83" s="2983" t="s">
        <v>0</v>
      </c>
      <c r="C83" s="2628"/>
      <c r="D83" s="2628"/>
      <c r="E83" s="2628"/>
      <c r="F83" s="2628"/>
      <c r="G83" s="2628"/>
      <c r="H83" s="2628"/>
      <c r="I83" s="2628"/>
      <c r="J83" s="2628"/>
      <c r="K83" s="2628"/>
      <c r="L83" s="2628"/>
      <c r="M83" s="2628"/>
      <c r="N83" s="2628"/>
      <c r="O83" s="2628"/>
      <c r="P83" s="2628"/>
      <c r="Q83" s="2628"/>
      <c r="R83" s="2628"/>
      <c r="S83" s="2628"/>
      <c r="T83" s="2628"/>
      <c r="U83" s="2628"/>
      <c r="V83" s="2628"/>
      <c r="W83" s="2628"/>
      <c r="X83" s="2628"/>
      <c r="Y83" s="2628"/>
      <c r="Z83" s="2628"/>
      <c r="AA83" s="2628"/>
      <c r="AB83" s="2628"/>
      <c r="AC83" s="2628"/>
      <c r="AD83" s="2628"/>
      <c r="AE83" s="2628"/>
      <c r="AF83" s="2628"/>
      <c r="AG83" s="2992"/>
      <c r="AH83" s="1"/>
      <c r="AJ83" s="2845">
        <f t="shared" si="7"/>
        <v>160.33000000000001</v>
      </c>
      <c r="AK83" s="2845"/>
      <c r="AL83" s="2845">
        <f t="shared" si="5"/>
        <v>160.33000000000001</v>
      </c>
      <c r="AM83" s="2846">
        <f t="shared" si="6"/>
        <v>0</v>
      </c>
      <c r="AN83" s="2846">
        <f>IF(AM83="","",AM83+'November 2022'!AN82)</f>
        <v>0</v>
      </c>
    </row>
    <row r="84" spans="1:41" ht="22.35" customHeight="1" thickBot="1" x14ac:dyDescent="0.25">
      <c r="A84" s="977"/>
      <c r="B84" s="2801" t="s">
        <v>0</v>
      </c>
      <c r="C84" s="2845"/>
      <c r="D84" s="2845"/>
      <c r="E84" s="2845"/>
      <c r="F84" s="2845"/>
      <c r="G84" s="2845"/>
      <c r="H84" s="2845"/>
      <c r="I84" s="2845"/>
      <c r="J84" s="2845"/>
      <c r="K84" s="2845"/>
      <c r="L84" s="2845"/>
      <c r="M84" s="2845"/>
      <c r="N84" s="2845"/>
      <c r="O84" s="2845"/>
      <c r="P84" s="2845"/>
      <c r="Q84" s="2845"/>
      <c r="R84" s="2845"/>
      <c r="S84" s="2845"/>
      <c r="T84" s="2845"/>
      <c r="U84" s="2845"/>
      <c r="V84" s="2845"/>
      <c r="W84" s="2845"/>
      <c r="X84" s="2845"/>
      <c r="Y84" s="2845"/>
      <c r="Z84" s="2845"/>
      <c r="AA84" s="2845"/>
      <c r="AB84" s="2845"/>
      <c r="AC84" s="2845"/>
      <c r="AD84" s="2845"/>
      <c r="AE84" s="2845"/>
      <c r="AF84" s="2845"/>
      <c r="AG84" s="1312"/>
      <c r="AH84" s="1"/>
      <c r="AJ84" s="2845">
        <f t="shared" si="7"/>
        <v>160.33000000000001</v>
      </c>
      <c r="AK84" s="2845"/>
      <c r="AL84" s="2845">
        <f t="shared" si="5"/>
        <v>160.33000000000001</v>
      </c>
      <c r="AM84" s="2846">
        <f t="shared" si="6"/>
        <v>0</v>
      </c>
      <c r="AN84" s="2846">
        <f>IF(AM84="","",AM84+'November 2022'!AN83)</f>
        <v>0</v>
      </c>
    </row>
    <row r="85" spans="1:41" ht="22.35" customHeight="1" x14ac:dyDescent="0.2">
      <c r="A85" s="977"/>
      <c r="B85" s="2801" t="s">
        <v>359</v>
      </c>
      <c r="C85" s="2896">
        <v>6</v>
      </c>
      <c r="D85" s="2902">
        <v>6</v>
      </c>
      <c r="E85" s="2895"/>
      <c r="F85" s="2895"/>
      <c r="G85" s="2895" t="s">
        <v>36</v>
      </c>
      <c r="H85" s="2895" t="s">
        <v>36</v>
      </c>
      <c r="I85" s="2895" t="s">
        <v>36</v>
      </c>
      <c r="J85" s="2902" t="s">
        <v>36</v>
      </c>
      <c r="K85" s="2902" t="s">
        <v>36</v>
      </c>
      <c r="L85" s="2902"/>
      <c r="M85" s="2902"/>
      <c r="N85" s="2902">
        <v>5</v>
      </c>
      <c r="O85" s="2902">
        <v>5</v>
      </c>
      <c r="P85" s="2902">
        <v>5</v>
      </c>
      <c r="Q85" s="2902">
        <v>5</v>
      </c>
      <c r="R85" s="2895">
        <v>5</v>
      </c>
      <c r="S85" s="2895"/>
      <c r="T85" s="2895"/>
      <c r="U85" s="2895">
        <v>10</v>
      </c>
      <c r="V85" s="2902">
        <v>10</v>
      </c>
      <c r="W85" s="2902">
        <v>10</v>
      </c>
      <c r="X85" s="2896">
        <v>10</v>
      </c>
      <c r="Y85" s="2895">
        <v>10</v>
      </c>
      <c r="Z85" s="2895" t="s">
        <v>81</v>
      </c>
      <c r="AA85" s="2895" t="s">
        <v>81</v>
      </c>
      <c r="AB85" s="2895" t="s">
        <v>36</v>
      </c>
      <c r="AC85" s="2993" t="s">
        <v>36</v>
      </c>
      <c r="AD85" s="2993" t="s">
        <v>36</v>
      </c>
      <c r="AE85" s="2895" t="s">
        <v>36</v>
      </c>
      <c r="AF85" s="2895" t="s">
        <v>36</v>
      </c>
      <c r="AG85" s="2906" t="s">
        <v>57</v>
      </c>
      <c r="AH85" s="1"/>
      <c r="AJ85" s="2845">
        <f t="shared" si="7"/>
        <v>160.33000000000001</v>
      </c>
      <c r="AK85" s="2845"/>
      <c r="AL85" s="2845">
        <f t="shared" si="5"/>
        <v>160.33000000000001</v>
      </c>
      <c r="AM85" s="2846">
        <f t="shared" si="6"/>
        <v>0</v>
      </c>
      <c r="AN85" s="2846">
        <f>IF(AM85="","",AM85+'November 2022'!AN84)</f>
        <v>12.969999999999999</v>
      </c>
    </row>
    <row r="86" spans="1:41" ht="22.35" customHeight="1" x14ac:dyDescent="0.2">
      <c r="A86" s="977"/>
      <c r="B86" s="2801" t="s">
        <v>381</v>
      </c>
      <c r="C86" s="2803">
        <v>22</v>
      </c>
      <c r="D86" s="2803">
        <v>22</v>
      </c>
      <c r="E86" s="851">
        <v>22</v>
      </c>
      <c r="F86" s="2803">
        <v>22</v>
      </c>
      <c r="G86" s="2803" t="s">
        <v>36</v>
      </c>
      <c r="H86" s="2803" t="s">
        <v>36</v>
      </c>
      <c r="I86" s="2803" t="s">
        <v>36</v>
      </c>
      <c r="J86" s="2803" t="s">
        <v>36</v>
      </c>
      <c r="K86" s="2803" t="s">
        <v>36</v>
      </c>
      <c r="L86" s="2803"/>
      <c r="M86" s="2803"/>
      <c r="N86" s="2803">
        <v>23</v>
      </c>
      <c r="O86" s="2709">
        <v>23</v>
      </c>
      <c r="P86" s="2709">
        <v>23</v>
      </c>
      <c r="Q86" s="2709">
        <v>23</v>
      </c>
      <c r="R86" s="2709">
        <v>23</v>
      </c>
      <c r="S86" s="964">
        <v>23</v>
      </c>
      <c r="T86" s="964">
        <v>23</v>
      </c>
      <c r="U86" s="964" t="s">
        <v>36</v>
      </c>
      <c r="V86" s="964" t="s">
        <v>39</v>
      </c>
      <c r="W86" s="2803" t="s">
        <v>36</v>
      </c>
      <c r="X86" s="2803" t="s">
        <v>36</v>
      </c>
      <c r="Y86" s="2803" t="s">
        <v>36</v>
      </c>
      <c r="Z86" s="2803"/>
      <c r="AA86" s="2803"/>
      <c r="AB86" s="2803">
        <v>21</v>
      </c>
      <c r="AC86" s="2803">
        <v>21</v>
      </c>
      <c r="AD86" s="851">
        <v>21</v>
      </c>
      <c r="AE86" s="2803">
        <v>21</v>
      </c>
      <c r="AF86" s="2803">
        <v>21</v>
      </c>
      <c r="AG86" s="2994">
        <v>21</v>
      </c>
      <c r="AH86" s="1"/>
      <c r="AJ86" s="2845">
        <f t="shared" si="7"/>
        <v>160.33000000000001</v>
      </c>
      <c r="AK86" s="2845"/>
      <c r="AL86" s="2845">
        <f t="shared" si="5"/>
        <v>160.33000000000001</v>
      </c>
      <c r="AM86" s="2846">
        <f t="shared" si="6"/>
        <v>0</v>
      </c>
      <c r="AN86" s="2846">
        <f>IF(AM86="","",AM86+'November 2022'!AN85)</f>
        <v>0</v>
      </c>
    </row>
    <row r="87" spans="1:41" ht="22.35" customHeight="1" x14ac:dyDescent="0.2">
      <c r="A87" s="977"/>
      <c r="B87" s="2289" t="s">
        <v>423</v>
      </c>
      <c r="C87" s="2479" t="s">
        <v>451</v>
      </c>
      <c r="D87" s="2479" t="s">
        <v>451</v>
      </c>
      <c r="E87" s="2479" t="s">
        <v>451</v>
      </c>
      <c r="F87" s="2479" t="s">
        <v>451</v>
      </c>
      <c r="G87" s="2479" t="s">
        <v>451</v>
      </c>
      <c r="H87" s="2479" t="s">
        <v>451</v>
      </c>
      <c r="I87" s="2479" t="s">
        <v>451</v>
      </c>
      <c r="J87" s="2479" t="s">
        <v>451</v>
      </c>
      <c r="K87" s="2845"/>
      <c r="L87" s="2845"/>
      <c r="M87" s="2845"/>
      <c r="N87" s="2845"/>
      <c r="O87" s="2845"/>
      <c r="P87" s="2845"/>
      <c r="Q87" s="2845"/>
      <c r="R87" s="2845"/>
      <c r="S87" s="2845"/>
      <c r="T87" s="2845"/>
      <c r="U87" s="2845"/>
      <c r="V87" s="2845"/>
      <c r="W87" s="2845"/>
      <c r="X87" s="2845"/>
      <c r="Y87" s="2845"/>
      <c r="Z87" s="2845"/>
      <c r="AA87" s="2845"/>
      <c r="AB87" s="2845"/>
      <c r="AC87" s="2845"/>
      <c r="AD87" s="2845"/>
      <c r="AE87" s="2845"/>
      <c r="AF87" s="2845"/>
      <c r="AG87" s="1312"/>
      <c r="AH87" s="1"/>
      <c r="AJ87" s="2845">
        <f t="shared" si="7"/>
        <v>160.33000000000001</v>
      </c>
      <c r="AK87" s="2845"/>
      <c r="AL87" s="2845">
        <f t="shared" si="5"/>
        <v>160.33000000000001</v>
      </c>
      <c r="AM87" s="2846">
        <f t="shared" si="6"/>
        <v>0</v>
      </c>
      <c r="AN87" s="2846">
        <f>IF(AM87="","",AM87+'November 2022'!AN86)</f>
        <v>0</v>
      </c>
    </row>
    <row r="88" spans="1:41" ht="22.35" customHeight="1" x14ac:dyDescent="0.2">
      <c r="A88" s="977"/>
      <c r="B88" s="2801" t="s">
        <v>0</v>
      </c>
      <c r="C88" s="2803"/>
      <c r="D88" s="2803"/>
      <c r="E88" s="2803"/>
      <c r="F88" s="2851"/>
      <c r="G88" s="2851"/>
      <c r="H88" s="2802"/>
      <c r="I88" s="2802"/>
      <c r="J88" s="2802"/>
      <c r="K88" s="2802"/>
      <c r="L88" s="2802"/>
      <c r="M88" s="2802"/>
      <c r="N88" s="2802"/>
      <c r="O88" s="2802"/>
      <c r="P88" s="2802"/>
      <c r="Q88" s="2802"/>
      <c r="R88" s="2802"/>
      <c r="S88" s="2802"/>
      <c r="T88" s="2802"/>
      <c r="U88" s="2802"/>
      <c r="V88" s="2802"/>
      <c r="W88" s="2802"/>
      <c r="X88" s="2802"/>
      <c r="Y88" s="2802"/>
      <c r="Z88" s="2802"/>
      <c r="AA88" s="2802"/>
      <c r="AB88" s="2802"/>
      <c r="AC88" s="2802"/>
      <c r="AD88" s="2802"/>
      <c r="AE88" s="2802"/>
      <c r="AF88" s="2802"/>
      <c r="AG88" s="2809"/>
      <c r="AH88" s="1"/>
      <c r="AJ88" s="2845">
        <f t="shared" si="7"/>
        <v>160.33000000000001</v>
      </c>
      <c r="AK88" s="2845"/>
      <c r="AL88" s="2845">
        <f t="shared" si="5"/>
        <v>160.33000000000001</v>
      </c>
      <c r="AM88" s="2846">
        <f t="shared" si="6"/>
        <v>0</v>
      </c>
      <c r="AN88" s="2846">
        <f>IF(AM88="","",AM88+'November 2022'!AN87)</f>
        <v>0</v>
      </c>
    </row>
    <row r="89" spans="1:41" ht="22.35" customHeight="1" x14ac:dyDescent="0.2">
      <c r="A89" s="1685"/>
      <c r="B89" s="2801" t="s">
        <v>0</v>
      </c>
      <c r="C89" s="2803"/>
      <c r="D89" s="2803"/>
      <c r="E89" s="2803"/>
      <c r="F89" s="2851"/>
      <c r="G89" s="2851"/>
      <c r="H89" s="2802"/>
      <c r="I89" s="2802"/>
      <c r="J89" s="2802"/>
      <c r="K89" s="2802"/>
      <c r="L89" s="2802"/>
      <c r="M89" s="2802"/>
      <c r="N89" s="2802"/>
      <c r="O89" s="2802"/>
      <c r="P89" s="2802"/>
      <c r="Q89" s="2802"/>
      <c r="R89" s="2802"/>
      <c r="S89" s="2802"/>
      <c r="T89" s="2802"/>
      <c r="U89" s="2802"/>
      <c r="V89" s="2802"/>
      <c r="W89" s="2802"/>
      <c r="X89" s="2802"/>
      <c r="Y89" s="2802"/>
      <c r="Z89" s="2802"/>
      <c r="AA89" s="2802"/>
      <c r="AB89" s="2802"/>
      <c r="AC89" s="2802"/>
      <c r="AD89" s="2802"/>
      <c r="AE89" s="2802"/>
      <c r="AF89" s="2802"/>
      <c r="AG89" s="2809"/>
      <c r="AH89" s="1"/>
      <c r="AJ89" s="2845">
        <f t="shared" si="7"/>
        <v>160.33000000000001</v>
      </c>
      <c r="AK89" s="2845"/>
      <c r="AL89" s="2845">
        <f t="shared" si="5"/>
        <v>160.33000000000001</v>
      </c>
      <c r="AM89" s="2846">
        <f t="shared" si="6"/>
        <v>0</v>
      </c>
      <c r="AN89" s="2846">
        <f>IF(AM89="","",AM89+'November 2022'!AN88)</f>
        <v>0</v>
      </c>
    </row>
    <row r="90" spans="1:41" ht="22.35" customHeight="1" x14ac:dyDescent="0.2">
      <c r="A90" s="1685"/>
      <c r="B90" s="2801" t="s">
        <v>0</v>
      </c>
      <c r="C90" s="2803"/>
      <c r="D90" s="2803"/>
      <c r="E90" s="2803"/>
      <c r="F90" s="2851"/>
      <c r="G90" s="2851"/>
      <c r="H90" s="2802"/>
      <c r="I90" s="2802"/>
      <c r="J90" s="2802"/>
      <c r="K90" s="2802"/>
      <c r="L90" s="2802"/>
      <c r="M90" s="2802"/>
      <c r="N90" s="2802"/>
      <c r="O90" s="2802"/>
      <c r="P90" s="2802"/>
      <c r="Q90" s="2802"/>
      <c r="R90" s="2802"/>
      <c r="S90" s="2802"/>
      <c r="T90" s="2802"/>
      <c r="U90" s="2802"/>
      <c r="V90" s="2802"/>
      <c r="W90" s="2802"/>
      <c r="X90" s="2802"/>
      <c r="Y90" s="2802"/>
      <c r="Z90" s="2802"/>
      <c r="AA90" s="2802"/>
      <c r="AB90" s="2802"/>
      <c r="AC90" s="2802"/>
      <c r="AD90" s="2802"/>
      <c r="AE90" s="2802"/>
      <c r="AF90" s="2802"/>
      <c r="AG90" s="2809"/>
      <c r="AH90" s="1"/>
      <c r="AJ90" s="2845">
        <f t="shared" si="7"/>
        <v>160.33000000000001</v>
      </c>
      <c r="AK90" s="2845"/>
      <c r="AL90" s="2845">
        <f t="shared" si="5"/>
        <v>160.33000000000001</v>
      </c>
      <c r="AM90" s="2846">
        <f t="shared" si="6"/>
        <v>0</v>
      </c>
      <c r="AN90" s="2846">
        <f>IF(AM90="","",AM90+'November 2022'!AN89)</f>
        <v>0</v>
      </c>
    </row>
    <row r="91" spans="1:41" ht="22.35" customHeight="1" thickBot="1" x14ac:dyDescent="0.25">
      <c r="A91" s="979"/>
      <c r="B91" s="1091" t="s">
        <v>0</v>
      </c>
      <c r="C91" s="2856"/>
      <c r="D91" s="2856"/>
      <c r="E91" s="2856"/>
      <c r="F91" s="1693"/>
      <c r="G91" s="1693"/>
      <c r="H91" s="1093"/>
      <c r="I91" s="1093"/>
      <c r="J91" s="1093"/>
      <c r="K91" s="1093"/>
      <c r="L91" s="1093"/>
      <c r="M91" s="1093"/>
      <c r="N91" s="1093"/>
      <c r="O91" s="1093"/>
      <c r="P91" s="1093"/>
      <c r="Q91" s="1093"/>
      <c r="R91" s="1093"/>
      <c r="S91" s="1093"/>
      <c r="T91" s="1093"/>
      <c r="U91" s="1093"/>
      <c r="V91" s="1093"/>
      <c r="W91" s="1093"/>
      <c r="X91" s="1093"/>
      <c r="Y91" s="1093"/>
      <c r="Z91" s="1093"/>
      <c r="AA91" s="1093"/>
      <c r="AB91" s="1093"/>
      <c r="AC91" s="1093"/>
      <c r="AD91" s="1093"/>
      <c r="AE91" s="1093"/>
      <c r="AF91" s="1093"/>
      <c r="AG91" s="867"/>
      <c r="AH91" s="1"/>
      <c r="AJ91" s="2845">
        <f t="shared" si="7"/>
        <v>160.33000000000001</v>
      </c>
      <c r="AK91" s="2845"/>
      <c r="AL91" s="2845">
        <f t="shared" si="5"/>
        <v>160.33000000000001</v>
      </c>
      <c r="AM91" s="2846">
        <f t="shared" si="6"/>
        <v>0</v>
      </c>
      <c r="AN91" s="2846">
        <f>IF(AM91="","",AM91+'November 2022'!AN85)</f>
        <v>0</v>
      </c>
    </row>
    <row r="92" spans="1:41" ht="22.35" customHeight="1" thickBot="1" x14ac:dyDescent="0.25">
      <c r="A92" s="64"/>
      <c r="B92" s="2987" t="s">
        <v>150</v>
      </c>
      <c r="C92" s="1372"/>
      <c r="D92" s="1373"/>
      <c r="E92" s="1373"/>
      <c r="F92" s="1373"/>
      <c r="G92" s="1373"/>
      <c r="H92" s="1373"/>
      <c r="I92" s="1372"/>
      <c r="J92" s="1372"/>
      <c r="K92" s="1373"/>
      <c r="L92" s="1373"/>
      <c r="M92" s="1373"/>
      <c r="N92" s="1373"/>
      <c r="O92" s="1373"/>
      <c r="P92" s="1372"/>
      <c r="Q92" s="1372"/>
      <c r="R92" s="1372"/>
      <c r="S92" s="1374"/>
      <c r="T92" s="1374"/>
      <c r="U92" s="1374"/>
      <c r="V92" s="1372"/>
      <c r="W92" s="1372"/>
      <c r="X92" s="1372"/>
      <c r="Y92" s="1372"/>
      <c r="Z92" s="1372"/>
      <c r="AA92" s="1372"/>
      <c r="AB92" s="1372"/>
      <c r="AC92" s="1372"/>
      <c r="AD92" s="1372"/>
      <c r="AE92" s="1372"/>
      <c r="AF92" s="1372"/>
      <c r="AG92" s="1375"/>
      <c r="AH92" s="1"/>
      <c r="AJ92" s="326"/>
      <c r="AK92" s="326"/>
      <c r="AL92" s="326"/>
      <c r="AM92" s="327"/>
      <c r="AN92" s="327"/>
    </row>
    <row r="93" spans="1:41" ht="22.35" customHeight="1" thickBot="1" x14ac:dyDescent="0.25">
      <c r="A93" s="1941"/>
      <c r="B93" s="1942" t="s">
        <v>151</v>
      </c>
      <c r="C93" s="1943" t="s">
        <v>32</v>
      </c>
      <c r="D93" s="1944" t="s">
        <v>32</v>
      </c>
      <c r="E93" s="1943"/>
      <c r="F93" s="1945"/>
      <c r="G93" s="1945" t="s">
        <v>32</v>
      </c>
      <c r="H93" s="1945" t="s">
        <v>32</v>
      </c>
      <c r="I93" s="1945" t="s">
        <v>32</v>
      </c>
      <c r="J93" s="1945" t="s">
        <v>32</v>
      </c>
      <c r="K93" s="1945" t="s">
        <v>32</v>
      </c>
      <c r="L93" s="1945"/>
      <c r="M93" s="1945"/>
      <c r="N93" s="1945" t="s">
        <v>32</v>
      </c>
      <c r="O93" s="1945" t="s">
        <v>32</v>
      </c>
      <c r="P93" s="1945" t="s">
        <v>32</v>
      </c>
      <c r="Q93" s="1945" t="s">
        <v>32</v>
      </c>
      <c r="R93" s="1945" t="s">
        <v>32</v>
      </c>
      <c r="S93" s="1945"/>
      <c r="T93" s="1943"/>
      <c r="U93" s="1943" t="s">
        <v>32</v>
      </c>
      <c r="V93" s="1946" t="s">
        <v>32</v>
      </c>
      <c r="W93" s="1943" t="s">
        <v>32</v>
      </c>
      <c r="X93" s="1943" t="s">
        <v>32</v>
      </c>
      <c r="Y93" s="1945" t="s">
        <v>32</v>
      </c>
      <c r="Z93" s="1943"/>
      <c r="AA93" s="1943"/>
      <c r="AB93" s="1943"/>
      <c r="AC93" s="1943" t="s">
        <v>32</v>
      </c>
      <c r="AD93" s="1943" t="s">
        <v>32</v>
      </c>
      <c r="AE93" s="1944" t="s">
        <v>32</v>
      </c>
      <c r="AF93" s="1943" t="s">
        <v>32</v>
      </c>
      <c r="AG93" s="1947"/>
      <c r="AH93" s="1"/>
      <c r="AJ93" s="190"/>
      <c r="AK93" s="190"/>
      <c r="AL93" s="190"/>
      <c r="AM93" s="328"/>
      <c r="AN93" s="328"/>
    </row>
    <row r="94" spans="1:41" ht="22.35" customHeight="1" x14ac:dyDescent="0.2">
      <c r="A94" s="324"/>
      <c r="AH94" s="1"/>
      <c r="AJ94" s="190"/>
      <c r="AK94" s="190"/>
      <c r="AL94" s="190"/>
      <c r="AM94" s="190"/>
      <c r="AN94" s="190"/>
    </row>
    <row r="95" spans="1:41" ht="22.35" customHeight="1" thickBot="1" x14ac:dyDescent="0.25">
      <c r="A95" s="2995"/>
      <c r="B95" s="2890" t="s">
        <v>29</v>
      </c>
      <c r="C95" s="2796">
        <v>1</v>
      </c>
      <c r="D95" s="2796">
        <v>2</v>
      </c>
      <c r="E95" s="2797">
        <v>3</v>
      </c>
      <c r="F95" s="2797">
        <v>4</v>
      </c>
      <c r="G95" s="2796">
        <v>5</v>
      </c>
      <c r="H95" s="2796">
        <v>6</v>
      </c>
      <c r="I95" s="2796">
        <v>7</v>
      </c>
      <c r="J95" s="2796">
        <v>8</v>
      </c>
      <c r="K95" s="2796">
        <v>9</v>
      </c>
      <c r="L95" s="2797">
        <v>10</v>
      </c>
      <c r="M95" s="2797">
        <v>11</v>
      </c>
      <c r="N95" s="2796">
        <v>12</v>
      </c>
      <c r="O95" s="2796">
        <v>13</v>
      </c>
      <c r="P95" s="2796">
        <v>14</v>
      </c>
      <c r="Q95" s="2796">
        <v>15</v>
      </c>
      <c r="R95" s="2796">
        <v>16</v>
      </c>
      <c r="S95" s="2797">
        <v>17</v>
      </c>
      <c r="T95" s="2797">
        <v>18</v>
      </c>
      <c r="U95" s="2796">
        <v>19</v>
      </c>
      <c r="V95" s="2796">
        <v>20</v>
      </c>
      <c r="W95" s="2796">
        <v>21</v>
      </c>
      <c r="X95" s="2796">
        <v>22</v>
      </c>
      <c r="Y95" s="2796">
        <v>23</v>
      </c>
      <c r="Z95" s="2797">
        <v>24</v>
      </c>
      <c r="AA95" s="2797">
        <v>25</v>
      </c>
      <c r="AB95" s="2797">
        <v>26</v>
      </c>
      <c r="AC95" s="2796">
        <v>27</v>
      </c>
      <c r="AD95" s="2796">
        <v>28</v>
      </c>
      <c r="AE95" s="2796">
        <v>29</v>
      </c>
      <c r="AF95" s="2796">
        <v>30</v>
      </c>
      <c r="AG95" s="2798">
        <v>31</v>
      </c>
      <c r="AH95" s="1"/>
    </row>
    <row r="96" spans="1:41" ht="22.35" customHeight="1" x14ac:dyDescent="0.2">
      <c r="A96" s="2995"/>
      <c r="B96" s="2494" t="s">
        <v>152</v>
      </c>
      <c r="C96" s="2896"/>
      <c r="D96" s="2936"/>
      <c r="E96" s="2896"/>
      <c r="F96" s="2896"/>
      <c r="G96" s="2896"/>
      <c r="H96" s="2896"/>
      <c r="I96" s="2896"/>
      <c r="J96" s="2896"/>
      <c r="K96" s="2896"/>
      <c r="L96" s="2896"/>
      <c r="M96" s="2896"/>
      <c r="N96" s="2896"/>
      <c r="O96" s="2896"/>
      <c r="P96" s="2896"/>
      <c r="Q96" s="2896"/>
      <c r="R96" s="2896"/>
      <c r="S96" s="2896"/>
      <c r="T96" s="2896"/>
      <c r="U96" s="2896"/>
      <c r="V96" s="2896"/>
      <c r="W96" s="2896"/>
      <c r="X96" s="2896"/>
      <c r="Y96" s="2896"/>
      <c r="Z96" s="2896"/>
      <c r="AA96" s="2896"/>
      <c r="AB96" s="2896"/>
      <c r="AC96" s="2896"/>
      <c r="AD96" s="2896"/>
      <c r="AE96" s="2896"/>
      <c r="AF96" s="2896"/>
      <c r="AG96" s="2495"/>
      <c r="AH96" s="1"/>
    </row>
    <row r="97" spans="1:40" ht="22.35" customHeight="1" x14ac:dyDescent="0.2">
      <c r="A97" s="2995"/>
      <c r="B97" s="2821"/>
      <c r="C97" s="2984"/>
      <c r="D97" s="2984"/>
      <c r="E97" s="2984"/>
      <c r="F97" s="2814"/>
      <c r="G97" s="2814"/>
      <c r="H97" s="2984"/>
      <c r="I97" s="2984"/>
      <c r="J97" s="2984"/>
      <c r="K97" s="2984"/>
      <c r="L97" s="2984"/>
      <c r="M97" s="2984"/>
      <c r="N97" s="2984"/>
      <c r="O97" s="2984"/>
      <c r="P97" s="2984"/>
      <c r="Q97" s="2984"/>
      <c r="R97" s="2984"/>
      <c r="S97" s="2984"/>
      <c r="T97" s="2817"/>
      <c r="U97" s="2984"/>
      <c r="V97" s="2984"/>
      <c r="W97" s="2984"/>
      <c r="X97" s="2984"/>
      <c r="Y97" s="2984"/>
      <c r="Z97" s="2984"/>
      <c r="AA97" s="2984"/>
      <c r="AB97" s="2984"/>
      <c r="AC97" s="2984"/>
      <c r="AD97" s="2984"/>
      <c r="AE97" s="2984"/>
      <c r="AF97" s="2984"/>
      <c r="AG97" s="2996"/>
      <c r="AH97" s="1"/>
    </row>
    <row r="98" spans="1:40" ht="22.35" customHeight="1" x14ac:dyDescent="0.2">
      <c r="A98" s="2995"/>
      <c r="B98" s="2821"/>
      <c r="C98" s="2817"/>
      <c r="D98" s="2817"/>
      <c r="E98" s="2817"/>
      <c r="F98" s="2817"/>
      <c r="G98" s="2817"/>
      <c r="H98" s="2817"/>
      <c r="I98" s="2817"/>
      <c r="J98" s="2817"/>
      <c r="K98" s="2817"/>
      <c r="L98" s="2817"/>
      <c r="M98" s="2817"/>
      <c r="N98" s="2817"/>
      <c r="O98" s="2817"/>
      <c r="P98" s="2817"/>
      <c r="Q98" s="2817"/>
      <c r="R98" s="2817"/>
      <c r="S98" s="2817"/>
      <c r="T98" s="2817"/>
      <c r="U98" s="2817"/>
      <c r="V98" s="2817"/>
      <c r="W98" s="2817"/>
      <c r="X98" s="2817"/>
      <c r="Y98" s="2817"/>
      <c r="Z98" s="2817"/>
      <c r="AA98" s="2817"/>
      <c r="AB98" s="2817"/>
      <c r="AC98" s="2817"/>
      <c r="AD98" s="2817"/>
      <c r="AE98" s="2817"/>
      <c r="AF98" s="2817"/>
      <c r="AG98" s="2911"/>
      <c r="AH98" s="1"/>
    </row>
    <row r="99" spans="1:40" ht="22.35" customHeight="1" thickBot="1" x14ac:dyDescent="0.25">
      <c r="A99" s="197"/>
      <c r="B99" s="2912"/>
      <c r="C99" s="2997"/>
      <c r="D99" s="2997"/>
      <c r="E99" s="2997"/>
      <c r="F99" s="2997"/>
      <c r="G99" s="2997"/>
      <c r="H99" s="2997"/>
      <c r="I99" s="2997"/>
      <c r="J99" s="2997"/>
      <c r="K99" s="2997"/>
      <c r="L99" s="2997"/>
      <c r="M99" s="2997"/>
      <c r="N99" s="2997"/>
      <c r="O99" s="2997"/>
      <c r="P99" s="2997"/>
      <c r="Q99" s="2997"/>
      <c r="R99" s="2997"/>
      <c r="S99" s="2997"/>
      <c r="T99" s="2997"/>
      <c r="U99" s="2997"/>
      <c r="V99" s="2997"/>
      <c r="W99" s="2997"/>
      <c r="X99" s="2997"/>
      <c r="Y99" s="2997"/>
      <c r="Z99" s="2997"/>
      <c r="AA99" s="2997"/>
      <c r="AB99" s="2997"/>
      <c r="AC99" s="2997"/>
      <c r="AD99" s="2997"/>
      <c r="AE99" s="2997"/>
      <c r="AF99" s="2997"/>
      <c r="AG99" s="2941"/>
      <c r="AH99" s="1"/>
    </row>
    <row r="100" spans="1:40" ht="22.35" customHeight="1" x14ac:dyDescent="0.2">
      <c r="A100" s="197"/>
      <c r="B100" s="198"/>
      <c r="C100" s="218"/>
      <c r="D100" s="218"/>
      <c r="E100" s="218"/>
      <c r="F100" s="218"/>
      <c r="G100" s="218"/>
      <c r="H100" s="218"/>
      <c r="I100" s="218"/>
      <c r="J100" s="218"/>
      <c r="K100" s="218"/>
      <c r="L100" s="218"/>
      <c r="M100" s="218"/>
      <c r="N100" s="218"/>
      <c r="O100" s="218"/>
      <c r="P100" s="218"/>
      <c r="Q100" s="218"/>
      <c r="R100" s="218"/>
      <c r="S100" s="218"/>
      <c r="T100" s="218"/>
      <c r="U100" s="218"/>
      <c r="V100" s="218"/>
      <c r="W100" s="218"/>
      <c r="X100" s="218"/>
      <c r="Y100" s="218"/>
      <c r="Z100" s="218"/>
      <c r="AA100" s="218"/>
      <c r="AB100" s="218"/>
      <c r="AC100" s="218"/>
      <c r="AD100" s="218"/>
      <c r="AE100" s="218"/>
      <c r="AF100" s="218"/>
      <c r="AG100" s="199"/>
      <c r="AH100" s="1"/>
    </row>
    <row r="101" spans="1:40" ht="22.35" customHeight="1" thickBot="1" x14ac:dyDescent="0.25">
      <c r="A101" s="345" t="s">
        <v>395</v>
      </c>
      <c r="B101" s="198"/>
      <c r="C101" s="218"/>
      <c r="D101" s="218"/>
      <c r="E101" s="218"/>
      <c r="F101" s="218"/>
      <c r="G101" s="218"/>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199"/>
      <c r="AH101" s="1"/>
    </row>
    <row r="102" spans="1:40" ht="22.35" customHeight="1" thickBot="1" x14ac:dyDescent="0.3">
      <c r="A102" s="197"/>
      <c r="B102" s="346" t="s">
        <v>411</v>
      </c>
      <c r="C102" s="347"/>
      <c r="D102" s="347"/>
      <c r="E102" s="348" t="s">
        <v>456</v>
      </c>
      <c r="F102" s="347"/>
      <c r="G102" s="347"/>
      <c r="H102" s="347"/>
      <c r="I102" s="347"/>
      <c r="J102" s="347"/>
      <c r="K102" s="348" t="s">
        <v>457</v>
      </c>
      <c r="L102" s="347"/>
      <c r="M102" s="347"/>
      <c r="N102" s="347"/>
      <c r="O102" s="347"/>
      <c r="P102" s="347"/>
      <c r="Q102" s="348" t="s">
        <v>458</v>
      </c>
      <c r="R102" s="347"/>
      <c r="S102" s="347"/>
      <c r="T102" s="349"/>
      <c r="U102" s="170"/>
      <c r="V102" s="170"/>
      <c r="W102" s="170"/>
      <c r="X102" s="170"/>
      <c r="Y102" s="170"/>
      <c r="Z102" s="170"/>
      <c r="AA102" s="170"/>
      <c r="AB102" s="170"/>
      <c r="AC102" s="170"/>
      <c r="AD102" s="170"/>
      <c r="AE102" s="170"/>
      <c r="AF102" s="170"/>
      <c r="AG102" s="170"/>
      <c r="AH102" s="1"/>
    </row>
    <row r="103" spans="1:40" ht="22.35" customHeight="1" thickBot="1" x14ac:dyDescent="0.3">
      <c r="A103" s="197"/>
      <c r="B103" s="346" t="s">
        <v>415</v>
      </c>
      <c r="C103" s="347"/>
      <c r="D103" s="347"/>
      <c r="E103" s="350" t="s">
        <v>459</v>
      </c>
      <c r="F103" s="347"/>
      <c r="G103" s="347"/>
      <c r="H103" s="347"/>
      <c r="I103" s="347"/>
      <c r="J103" s="347"/>
      <c r="K103" s="347" t="s">
        <v>460</v>
      </c>
      <c r="L103" s="347"/>
      <c r="M103" s="347"/>
      <c r="N103" s="347"/>
      <c r="O103" s="347"/>
      <c r="P103" s="347"/>
      <c r="Q103" s="347"/>
      <c r="R103" s="347"/>
      <c r="S103" s="347"/>
      <c r="T103" s="349"/>
      <c r="U103" s="170"/>
      <c r="V103" s="170"/>
      <c r="W103" s="170"/>
      <c r="X103" s="170"/>
      <c r="Y103" s="170"/>
      <c r="Z103" s="170"/>
      <c r="AA103" s="170"/>
      <c r="AB103" s="170"/>
      <c r="AC103" s="170"/>
      <c r="AD103" s="170"/>
      <c r="AE103" s="170"/>
      <c r="AF103" s="170"/>
      <c r="AG103" s="170"/>
      <c r="AH103" s="1"/>
    </row>
    <row r="104" spans="1:40" ht="22.35" customHeight="1" thickBot="1" x14ac:dyDescent="0.3">
      <c r="A104" s="197"/>
      <c r="B104" s="346"/>
      <c r="C104" s="347"/>
      <c r="D104" s="347"/>
      <c r="E104" s="350" t="s">
        <v>418</v>
      </c>
      <c r="F104" s="347"/>
      <c r="G104" s="347"/>
      <c r="H104" s="347"/>
      <c r="I104" s="347"/>
      <c r="J104" s="347"/>
      <c r="K104" s="369" t="s">
        <v>17</v>
      </c>
      <c r="L104" s="351"/>
      <c r="M104" s="351"/>
      <c r="N104" s="351"/>
      <c r="O104" s="351"/>
      <c r="P104" s="351"/>
      <c r="Q104" s="351"/>
      <c r="R104" s="351"/>
      <c r="S104" s="351"/>
      <c r="T104" s="352"/>
      <c r="U104" s="170"/>
      <c r="V104" s="170"/>
      <c r="W104" s="170"/>
      <c r="X104" s="170"/>
      <c r="Y104" s="170"/>
      <c r="Z104" s="170"/>
      <c r="AA104" s="170"/>
      <c r="AB104" s="170"/>
      <c r="AC104" s="170"/>
      <c r="AD104" s="170"/>
      <c r="AE104" s="170"/>
      <c r="AF104" s="170"/>
      <c r="AG104" s="170"/>
      <c r="AH104" s="1"/>
    </row>
    <row r="105" spans="1:40" ht="22.35" customHeight="1" x14ac:dyDescent="0.25">
      <c r="A105" s="197"/>
      <c r="B105" s="170"/>
      <c r="C105" s="170"/>
      <c r="D105" s="170"/>
      <c r="E105" s="370"/>
      <c r="F105" s="170"/>
      <c r="G105" s="170"/>
      <c r="H105" s="170"/>
      <c r="I105" s="170"/>
      <c r="J105" s="170"/>
      <c r="K105" s="370"/>
      <c r="L105" s="170"/>
      <c r="M105" s="170"/>
      <c r="N105" s="170"/>
      <c r="O105" s="170"/>
      <c r="P105" s="170"/>
      <c r="Q105" s="170"/>
      <c r="R105" s="170"/>
      <c r="S105" s="170"/>
      <c r="T105" s="170"/>
      <c r="U105" s="170"/>
      <c r="V105" s="170"/>
      <c r="W105" s="170"/>
      <c r="X105" s="170"/>
      <c r="Y105" s="170"/>
      <c r="Z105" s="170"/>
      <c r="AA105" s="170"/>
      <c r="AB105" s="170"/>
      <c r="AC105" s="170"/>
      <c r="AD105" s="170"/>
      <c r="AE105" s="170"/>
      <c r="AF105" s="170"/>
      <c r="AG105" s="170"/>
      <c r="AH105" s="1"/>
    </row>
    <row r="106" spans="1:40" ht="22.35" customHeight="1" thickBot="1" x14ac:dyDescent="0.3">
      <c r="A106" s="197"/>
      <c r="B106" s="1949" t="s">
        <v>29</v>
      </c>
      <c r="C106" s="2796">
        <v>1</v>
      </c>
      <c r="D106" s="2796">
        <v>2</v>
      </c>
      <c r="E106" s="2797">
        <v>3</v>
      </c>
      <c r="F106" s="2797">
        <v>4</v>
      </c>
      <c r="G106" s="2796">
        <v>5</v>
      </c>
      <c r="H106" s="2796">
        <v>6</v>
      </c>
      <c r="I106" s="2796">
        <v>7</v>
      </c>
      <c r="J106" s="2796">
        <v>8</v>
      </c>
      <c r="K106" s="2796">
        <v>9</v>
      </c>
      <c r="L106" s="2797">
        <v>10</v>
      </c>
      <c r="M106" s="2797">
        <v>11</v>
      </c>
      <c r="N106" s="2796">
        <v>12</v>
      </c>
      <c r="O106" s="2796">
        <v>13</v>
      </c>
      <c r="P106" s="2796">
        <v>14</v>
      </c>
      <c r="Q106" s="2796">
        <v>15</v>
      </c>
      <c r="R106" s="2796">
        <v>16</v>
      </c>
      <c r="S106" s="2797">
        <v>17</v>
      </c>
      <c r="T106" s="2797">
        <v>18</v>
      </c>
      <c r="U106" s="2796">
        <v>19</v>
      </c>
      <c r="V106" s="2796">
        <v>20</v>
      </c>
      <c r="W106" s="2796">
        <v>21</v>
      </c>
      <c r="X106" s="2796">
        <v>22</v>
      </c>
      <c r="Y106" s="2796">
        <v>23</v>
      </c>
      <c r="Z106" s="2797">
        <v>24</v>
      </c>
      <c r="AA106" s="2797">
        <v>25</v>
      </c>
      <c r="AB106" s="2797">
        <v>26</v>
      </c>
      <c r="AC106" s="2796">
        <v>27</v>
      </c>
      <c r="AD106" s="2796">
        <v>28</v>
      </c>
      <c r="AE106" s="2796">
        <v>29</v>
      </c>
      <c r="AF106" s="2796">
        <v>30</v>
      </c>
      <c r="AG106" s="2798">
        <v>31</v>
      </c>
      <c r="AH106" s="1"/>
      <c r="AJ106" s="2799" t="s">
        <v>30</v>
      </c>
      <c r="AK106" s="2799" t="s">
        <v>44</v>
      </c>
      <c r="AL106" s="2799" t="s">
        <v>45</v>
      </c>
      <c r="AM106" s="2799" t="s">
        <v>46</v>
      </c>
      <c r="AN106" s="2799" t="s">
        <v>47</v>
      </c>
    </row>
    <row r="107" spans="1:40" ht="22.35" customHeight="1" x14ac:dyDescent="0.2">
      <c r="B107" s="2297" t="s">
        <v>419</v>
      </c>
      <c r="C107" s="2803" t="s">
        <v>420</v>
      </c>
      <c r="D107" s="2803" t="s">
        <v>420</v>
      </c>
      <c r="E107" s="2803" t="s">
        <v>405</v>
      </c>
      <c r="F107" s="2803" t="s">
        <v>405</v>
      </c>
      <c r="G107" s="2840" t="s">
        <v>36</v>
      </c>
      <c r="H107" s="2840" t="s">
        <v>36</v>
      </c>
      <c r="I107" s="2840" t="s">
        <v>36</v>
      </c>
      <c r="J107" s="2840" t="s">
        <v>36</v>
      </c>
      <c r="K107" s="2840" t="s">
        <v>36</v>
      </c>
      <c r="L107" s="2840"/>
      <c r="M107" s="2840"/>
      <c r="N107" s="2803" t="s">
        <v>400</v>
      </c>
      <c r="O107" s="2803" t="s">
        <v>400</v>
      </c>
      <c r="P107" s="2803" t="s">
        <v>400</v>
      </c>
      <c r="Q107" s="2803" t="s">
        <v>400</v>
      </c>
      <c r="R107" s="2803" t="s">
        <v>400</v>
      </c>
      <c r="S107" s="2803" t="s">
        <v>409</v>
      </c>
      <c r="T107" s="851" t="s">
        <v>409</v>
      </c>
      <c r="U107" s="851" t="s">
        <v>36</v>
      </c>
      <c r="V107" s="2851" t="s">
        <v>36</v>
      </c>
      <c r="W107" s="851" t="s">
        <v>36</v>
      </c>
      <c r="X107" s="851" t="s">
        <v>36</v>
      </c>
      <c r="Y107" s="2803" t="s">
        <v>36</v>
      </c>
      <c r="Z107" s="2998"/>
      <c r="AA107" s="2998"/>
      <c r="AB107" s="851" t="s">
        <v>398</v>
      </c>
      <c r="AC107" s="2269" t="s">
        <v>398</v>
      </c>
      <c r="AD107" s="2269" t="s">
        <v>398</v>
      </c>
      <c r="AE107" s="2269" t="s">
        <v>398</v>
      </c>
      <c r="AF107" s="2269" t="s">
        <v>398</v>
      </c>
      <c r="AG107" s="2999" t="s">
        <v>0</v>
      </c>
      <c r="AH107" s="1"/>
      <c r="AJ107" s="2845">
        <f>$AJ$12</f>
        <v>160.33000000000001</v>
      </c>
      <c r="AK107" s="2845"/>
      <c r="AL107" s="2845">
        <f>IF(AJ107="","",SUM(AJ107:AK107))</f>
        <v>160.33000000000001</v>
      </c>
      <c r="AM107" s="2846">
        <f t="shared" ref="AM107:AM111" si="8">IF(AJ107="","",AL107-NormTid)</f>
        <v>0</v>
      </c>
      <c r="AN107" s="2846">
        <f>IF(AM107="","",AM107+'November 2022'!AN101)</f>
        <v>0</v>
      </c>
    </row>
    <row r="108" spans="1:40" ht="22.35" customHeight="1" x14ac:dyDescent="0.2">
      <c r="B108" s="2300" t="s">
        <v>397</v>
      </c>
      <c r="C108" s="851" t="s">
        <v>36</v>
      </c>
      <c r="D108" s="2807" t="s">
        <v>36</v>
      </c>
      <c r="E108" s="851"/>
      <c r="F108" s="2803"/>
      <c r="G108" s="2803" t="s">
        <v>398</v>
      </c>
      <c r="H108" s="2803" t="s">
        <v>398</v>
      </c>
      <c r="I108" s="2803" t="s">
        <v>398</v>
      </c>
      <c r="J108" s="2803" t="s">
        <v>398</v>
      </c>
      <c r="K108" s="1112" t="s">
        <v>398</v>
      </c>
      <c r="L108" s="960"/>
      <c r="M108" s="2803"/>
      <c r="N108" s="2803" t="s">
        <v>420</v>
      </c>
      <c r="O108" s="2803" t="s">
        <v>420</v>
      </c>
      <c r="P108" s="2803" t="s">
        <v>420</v>
      </c>
      <c r="Q108" s="2803" t="s">
        <v>420</v>
      </c>
      <c r="R108" s="2803" t="s">
        <v>420</v>
      </c>
      <c r="S108" s="2845" t="s">
        <v>405</v>
      </c>
      <c r="T108" s="964" t="s">
        <v>405</v>
      </c>
      <c r="U108" s="964" t="s">
        <v>36</v>
      </c>
      <c r="V108" s="964" t="s">
        <v>39</v>
      </c>
      <c r="W108" s="2467" t="s">
        <v>36</v>
      </c>
      <c r="X108" s="851" t="s">
        <v>36</v>
      </c>
      <c r="Y108" s="2803" t="s">
        <v>36</v>
      </c>
      <c r="Z108" s="851" t="s">
        <v>0</v>
      </c>
      <c r="AA108" s="851" t="s">
        <v>0</v>
      </c>
      <c r="AB108" s="2803" t="s">
        <v>400</v>
      </c>
      <c r="AC108" s="647" t="s">
        <v>400</v>
      </c>
      <c r="AD108" s="647" t="s">
        <v>400</v>
      </c>
      <c r="AE108" s="647" t="s">
        <v>400</v>
      </c>
      <c r="AF108" s="647" t="s">
        <v>400</v>
      </c>
      <c r="AG108" s="978" t="s">
        <v>409</v>
      </c>
      <c r="AH108" s="1"/>
      <c r="AJ108" s="2845">
        <f t="shared" ref="AJ108:AJ111" si="9">$AJ$12</f>
        <v>160.33000000000001</v>
      </c>
      <c r="AK108" s="2845"/>
      <c r="AL108" s="2845">
        <f t="shared" ref="AL108:AL111" si="10">IF(AJ108="","",SUM(AJ108:AK108))</f>
        <v>160.33000000000001</v>
      </c>
      <c r="AM108" s="2846">
        <f t="shared" si="8"/>
        <v>0</v>
      </c>
      <c r="AN108" s="2846">
        <f>IF(AM108="","",AM108+'November 2022'!AN102)</f>
        <v>0</v>
      </c>
    </row>
    <row r="109" spans="1:40" ht="22.35" customHeight="1" x14ac:dyDescent="0.2">
      <c r="B109" s="2301" t="s">
        <v>0</v>
      </c>
      <c r="C109" s="851" t="s">
        <v>36</v>
      </c>
      <c r="D109" s="2807" t="s">
        <v>36</v>
      </c>
      <c r="E109" s="851"/>
      <c r="F109" s="2803"/>
      <c r="G109" s="2803" t="s">
        <v>400</v>
      </c>
      <c r="H109" s="2803" t="s">
        <v>400</v>
      </c>
      <c r="I109" s="2803" t="s">
        <v>400</v>
      </c>
      <c r="J109" s="2803" t="s">
        <v>400</v>
      </c>
      <c r="K109" s="2803" t="s">
        <v>400</v>
      </c>
      <c r="L109" s="2803" t="s">
        <v>409</v>
      </c>
      <c r="M109" s="2803" t="s">
        <v>409</v>
      </c>
      <c r="N109" s="851" t="s">
        <v>36</v>
      </c>
      <c r="O109" s="2851" t="s">
        <v>36</v>
      </c>
      <c r="P109" s="851" t="s">
        <v>36</v>
      </c>
      <c r="Q109" s="851" t="s">
        <v>36</v>
      </c>
      <c r="R109" s="2803" t="s">
        <v>36</v>
      </c>
      <c r="S109" s="2803" t="s">
        <v>0</v>
      </c>
      <c r="T109" s="851" t="s">
        <v>0</v>
      </c>
      <c r="U109" s="851" t="s">
        <v>398</v>
      </c>
      <c r="V109" s="851" t="s">
        <v>398</v>
      </c>
      <c r="W109" s="851" t="s">
        <v>398</v>
      </c>
      <c r="X109" s="2807" t="s">
        <v>398</v>
      </c>
      <c r="Y109" s="851" t="s">
        <v>398</v>
      </c>
      <c r="Z109" s="851"/>
      <c r="AA109" s="851"/>
      <c r="AB109" s="2803" t="s">
        <v>420</v>
      </c>
      <c r="AC109" s="2803" t="s">
        <v>420</v>
      </c>
      <c r="AD109" s="2803" t="s">
        <v>420</v>
      </c>
      <c r="AE109" s="2803" t="s">
        <v>420</v>
      </c>
      <c r="AF109" s="2803" t="s">
        <v>420</v>
      </c>
      <c r="AG109" s="978" t="s">
        <v>405</v>
      </c>
      <c r="AH109" s="1"/>
      <c r="AJ109" s="2845">
        <f t="shared" si="9"/>
        <v>160.33000000000001</v>
      </c>
      <c r="AK109" s="2845"/>
      <c r="AL109" s="2845">
        <f t="shared" si="10"/>
        <v>160.33000000000001</v>
      </c>
      <c r="AM109" s="2846">
        <f t="shared" si="8"/>
        <v>0</v>
      </c>
      <c r="AN109" s="2846">
        <f>IF(AM109="","",AM109+'November 2022'!AN103)</f>
        <v>0</v>
      </c>
    </row>
    <row r="110" spans="1:40" ht="22.35" customHeight="1" x14ac:dyDescent="0.2">
      <c r="B110" s="2289" t="s">
        <v>435</v>
      </c>
      <c r="C110" s="851" t="s">
        <v>400</v>
      </c>
      <c r="D110" s="851" t="s">
        <v>400</v>
      </c>
      <c r="E110" s="2803" t="s">
        <v>409</v>
      </c>
      <c r="F110" s="2803" t="s">
        <v>409</v>
      </c>
      <c r="G110" s="2803" t="s">
        <v>36</v>
      </c>
      <c r="H110" s="2803" t="s">
        <v>36</v>
      </c>
      <c r="I110" s="2803" t="s">
        <v>36</v>
      </c>
      <c r="J110" s="2803" t="s">
        <v>36</v>
      </c>
      <c r="K110" s="2803" t="s">
        <v>36</v>
      </c>
      <c r="L110" s="2803"/>
      <c r="M110" s="2803"/>
      <c r="N110" s="2803" t="s">
        <v>398</v>
      </c>
      <c r="O110" s="2803" t="s">
        <v>398</v>
      </c>
      <c r="P110" s="2803" t="s">
        <v>398</v>
      </c>
      <c r="Q110" s="2803" t="s">
        <v>398</v>
      </c>
      <c r="R110" s="2803" t="s">
        <v>398</v>
      </c>
      <c r="S110" s="2803"/>
      <c r="T110" s="2803"/>
      <c r="U110" s="2803" t="s">
        <v>420</v>
      </c>
      <c r="V110" s="2803" t="s">
        <v>420</v>
      </c>
      <c r="W110" s="2803" t="s">
        <v>420</v>
      </c>
      <c r="X110" s="2803" t="s">
        <v>420</v>
      </c>
      <c r="Y110" s="2803" t="s">
        <v>420</v>
      </c>
      <c r="Z110" s="2803" t="s">
        <v>405</v>
      </c>
      <c r="AA110" s="2803" t="s">
        <v>405</v>
      </c>
      <c r="AB110" s="2803" t="s">
        <v>36</v>
      </c>
      <c r="AC110" s="2803" t="s">
        <v>36</v>
      </c>
      <c r="AD110" s="2803" t="s">
        <v>36</v>
      </c>
      <c r="AE110" s="2803" t="s">
        <v>36</v>
      </c>
      <c r="AF110" s="2803" t="s">
        <v>36</v>
      </c>
      <c r="AG110" s="2803"/>
      <c r="AH110" s="1"/>
      <c r="AJ110" s="2845">
        <f t="shared" si="9"/>
        <v>160.33000000000001</v>
      </c>
      <c r="AK110" s="2845"/>
      <c r="AL110" s="2845">
        <f t="shared" si="10"/>
        <v>160.33000000000001</v>
      </c>
      <c r="AM110" s="2846">
        <f t="shared" si="8"/>
        <v>0</v>
      </c>
      <c r="AN110" s="2846">
        <f>IF(AM110="","",AM110+'November 2022'!AN104)</f>
        <v>0</v>
      </c>
    </row>
    <row r="111" spans="1:40" ht="22.35" customHeight="1" x14ac:dyDescent="0.2">
      <c r="B111" s="353" t="s">
        <v>424</v>
      </c>
      <c r="C111" s="2803" t="s">
        <v>398</v>
      </c>
      <c r="D111" s="2803" t="s">
        <v>398</v>
      </c>
      <c r="E111" s="2803"/>
      <c r="F111" s="2803"/>
      <c r="G111" s="2803" t="s">
        <v>420</v>
      </c>
      <c r="H111" s="2803" t="s">
        <v>420</v>
      </c>
      <c r="I111" s="2803" t="s">
        <v>420</v>
      </c>
      <c r="J111" s="2803" t="s">
        <v>420</v>
      </c>
      <c r="K111" s="2803" t="s">
        <v>420</v>
      </c>
      <c r="L111" s="2803" t="s">
        <v>405</v>
      </c>
      <c r="M111" s="2803" t="s">
        <v>405</v>
      </c>
      <c r="N111" s="851" t="s">
        <v>36</v>
      </c>
      <c r="O111" s="2851" t="s">
        <v>36</v>
      </c>
      <c r="P111" s="1112" t="s">
        <v>257</v>
      </c>
      <c r="Q111" s="329" t="s">
        <v>36</v>
      </c>
      <c r="R111" s="1112" t="s">
        <v>235</v>
      </c>
      <c r="S111" s="2803" t="s">
        <v>0</v>
      </c>
      <c r="T111" s="1112" t="s">
        <v>405</v>
      </c>
      <c r="U111" s="960" t="s">
        <v>400</v>
      </c>
      <c r="V111" s="2803" t="s">
        <v>400</v>
      </c>
      <c r="W111" s="2803" t="s">
        <v>400</v>
      </c>
      <c r="X111" s="2803" t="s">
        <v>400</v>
      </c>
      <c r="Y111" s="2803" t="s">
        <v>400</v>
      </c>
      <c r="Z111" s="2803" t="s">
        <v>409</v>
      </c>
      <c r="AA111" s="2803" t="s">
        <v>409</v>
      </c>
      <c r="AB111" s="2803" t="s">
        <v>36</v>
      </c>
      <c r="AC111" s="2803" t="s">
        <v>36</v>
      </c>
      <c r="AD111" s="2803" t="s">
        <v>36</v>
      </c>
      <c r="AE111" s="2803" t="s">
        <v>36</v>
      </c>
      <c r="AF111" s="960" t="s">
        <v>36</v>
      </c>
      <c r="AG111" s="2803" t="s">
        <v>131</v>
      </c>
      <c r="AH111" s="1"/>
      <c r="AJ111" s="2845">
        <f t="shared" si="9"/>
        <v>160.33000000000001</v>
      </c>
      <c r="AK111" s="2845"/>
      <c r="AL111" s="2845">
        <f t="shared" si="10"/>
        <v>160.33000000000001</v>
      </c>
      <c r="AM111" s="2846">
        <f t="shared" si="8"/>
        <v>0</v>
      </c>
      <c r="AN111" s="2846">
        <f>IF(AM111="","",AM111+'November 2022'!AN105)</f>
        <v>0</v>
      </c>
    </row>
    <row r="112" spans="1:40" ht="22.35" customHeight="1" thickBot="1" x14ac:dyDescent="0.25">
      <c r="B112" s="355"/>
      <c r="C112" s="356"/>
      <c r="D112" s="356"/>
      <c r="E112" s="356"/>
      <c r="F112" s="356"/>
      <c r="G112" s="356"/>
      <c r="H112" s="356"/>
      <c r="I112" s="356"/>
      <c r="J112" s="356"/>
      <c r="K112" s="356"/>
      <c r="L112" s="356"/>
      <c r="M112" s="356"/>
      <c r="N112" s="356"/>
      <c r="O112" s="356"/>
      <c r="P112" s="356"/>
      <c r="Q112" s="356"/>
      <c r="R112" s="356"/>
      <c r="S112" s="356"/>
      <c r="T112" s="356"/>
      <c r="U112" s="356"/>
      <c r="V112" s="356"/>
      <c r="W112" s="356"/>
      <c r="X112" s="356"/>
      <c r="Y112" s="356"/>
      <c r="Z112" s="356"/>
      <c r="AA112" s="356"/>
      <c r="AB112" s="356"/>
      <c r="AC112" s="356"/>
      <c r="AD112" s="356"/>
      <c r="AE112" s="356"/>
      <c r="AF112" s="356"/>
      <c r="AG112" s="356"/>
      <c r="AH112" s="1"/>
      <c r="AJ112" s="2845"/>
      <c r="AK112" s="2845"/>
      <c r="AL112" s="2845"/>
      <c r="AM112" s="2846"/>
      <c r="AN112" s="2846"/>
    </row>
    <row r="113" spans="1:35" ht="22.35" customHeight="1" x14ac:dyDescent="0.2">
      <c r="B113" s="198"/>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c r="AA113" s="199"/>
      <c r="AB113" s="199"/>
      <c r="AC113" s="199"/>
      <c r="AD113" s="199"/>
      <c r="AE113" s="199"/>
      <c r="AF113" s="199"/>
      <c r="AG113" s="199"/>
      <c r="AH113" s="1"/>
    </row>
    <row r="114" spans="1:35" ht="22.35" customHeight="1" thickBot="1" x14ac:dyDescent="0.25">
      <c r="A114" s="169" t="s">
        <v>156</v>
      </c>
    </row>
    <row r="115" spans="1:35" ht="22.35" customHeight="1" thickBot="1" x14ac:dyDescent="0.25">
      <c r="B115" s="2512" t="s">
        <v>157</v>
      </c>
      <c r="C115" s="2513"/>
      <c r="D115" s="2865" t="s">
        <v>107</v>
      </c>
      <c r="E115" s="2865"/>
      <c r="F115" s="2514"/>
      <c r="G115" s="2513"/>
      <c r="H115" s="2865" t="s">
        <v>108</v>
      </c>
      <c r="I115" s="2865"/>
      <c r="J115" s="2514"/>
      <c r="K115" s="2513"/>
      <c r="L115" s="2865" t="s">
        <v>109</v>
      </c>
      <c r="M115" s="2865"/>
      <c r="N115" s="2514"/>
      <c r="O115" s="2513"/>
      <c r="P115" s="2865" t="s">
        <v>110</v>
      </c>
      <c r="Q115" s="2865"/>
      <c r="R115" s="2514"/>
      <c r="S115" s="2513"/>
      <c r="T115" s="2865" t="s">
        <v>111</v>
      </c>
      <c r="U115" s="2865"/>
      <c r="V115" s="2514"/>
      <c r="W115" s="2513"/>
      <c r="X115" s="2865" t="s">
        <v>112</v>
      </c>
      <c r="Y115" s="2865"/>
      <c r="Z115" s="2514"/>
      <c r="AA115" s="2513"/>
      <c r="AB115" s="2865" t="s">
        <v>113</v>
      </c>
      <c r="AC115" s="2865"/>
      <c r="AD115" s="2865"/>
      <c r="AE115" s="2865" t="s">
        <v>158</v>
      </c>
      <c r="AF115" s="2865"/>
      <c r="AG115" s="2865"/>
      <c r="AH115" s="2865"/>
      <c r="AI115" s="2515"/>
    </row>
    <row r="116" spans="1:35" ht="22.35" customHeight="1" x14ac:dyDescent="0.2">
      <c r="B116" s="2516" t="s">
        <v>159</v>
      </c>
      <c r="C116" s="2517" t="s">
        <v>160</v>
      </c>
      <c r="D116" s="2865"/>
      <c r="E116" s="2869"/>
      <c r="F116" s="2518"/>
      <c r="G116" s="2517" t="s">
        <v>160</v>
      </c>
      <c r="H116" s="2519"/>
      <c r="I116" s="2869"/>
      <c r="J116" s="2518"/>
      <c r="K116" s="2520" t="s">
        <v>160</v>
      </c>
      <c r="L116" s="2865"/>
      <c r="M116" s="2865"/>
      <c r="N116" s="2514"/>
      <c r="O116" s="2520" t="s">
        <v>161</v>
      </c>
      <c r="P116" s="2521"/>
      <c r="Q116" s="2869"/>
      <c r="R116" s="2518"/>
      <c r="S116" s="2517" t="s">
        <v>162</v>
      </c>
      <c r="T116" s="2869"/>
      <c r="U116" s="2869"/>
      <c r="V116" s="2869"/>
      <c r="W116" s="3000"/>
      <c r="X116" s="3001"/>
      <c r="Y116" s="3001"/>
      <c r="Z116" s="3002"/>
      <c r="AA116" s="2869"/>
      <c r="AB116" s="2869"/>
      <c r="AC116" s="2869"/>
      <c r="AD116" s="2869"/>
      <c r="AE116" s="3003">
        <v>37</v>
      </c>
      <c r="AF116" s="2865"/>
      <c r="AG116" s="2869"/>
      <c r="AH116" s="2869"/>
      <c r="AI116" s="2870"/>
    </row>
    <row r="117" spans="1:35" ht="22.35" customHeight="1" x14ac:dyDescent="0.2">
      <c r="B117" s="3004" t="s">
        <v>163</v>
      </c>
      <c r="C117" s="3005" t="s">
        <v>164</v>
      </c>
      <c r="D117" s="2778"/>
      <c r="E117" s="2778"/>
      <c r="F117" s="2786"/>
      <c r="G117" s="3005" t="s">
        <v>165</v>
      </c>
      <c r="H117" s="2879"/>
      <c r="I117" s="2778"/>
      <c r="J117" s="2786"/>
      <c r="K117" s="3005" t="s">
        <v>166</v>
      </c>
      <c r="L117" s="2778" t="s">
        <v>167</v>
      </c>
      <c r="M117" s="2778"/>
      <c r="N117" s="2786"/>
      <c r="O117" s="3005" t="s">
        <v>166</v>
      </c>
      <c r="P117" s="2879" t="s">
        <v>167</v>
      </c>
      <c r="Q117" s="2778"/>
      <c r="R117" s="2786"/>
      <c r="S117" s="3005" t="s">
        <v>165</v>
      </c>
      <c r="T117" s="2778" t="s">
        <v>168</v>
      </c>
      <c r="U117" s="2778"/>
      <c r="V117" s="2786"/>
      <c r="W117" s="8" t="s">
        <v>127</v>
      </c>
      <c r="X117" s="14" t="s">
        <v>169</v>
      </c>
      <c r="Y117" s="14"/>
      <c r="Z117" s="14"/>
      <c r="AA117" s="3006" t="s">
        <v>127</v>
      </c>
      <c r="AB117" s="2778" t="s">
        <v>169</v>
      </c>
      <c r="AC117" s="3006"/>
      <c r="AD117" s="3006"/>
      <c r="AE117" s="3006">
        <v>68</v>
      </c>
      <c r="AF117" s="2778"/>
      <c r="AG117" s="2778"/>
      <c r="AH117" s="2778"/>
      <c r="AI117" s="2787"/>
    </row>
    <row r="118" spans="1:35" ht="22.35" customHeight="1" x14ac:dyDescent="0.2">
      <c r="B118" s="3004" t="s">
        <v>170</v>
      </c>
      <c r="C118" s="3007" t="s">
        <v>171</v>
      </c>
      <c r="D118" s="2778"/>
      <c r="E118" s="2778"/>
      <c r="F118" s="2786"/>
      <c r="G118" s="2879" t="s">
        <v>171</v>
      </c>
      <c r="H118" s="2879"/>
      <c r="I118" s="2778"/>
      <c r="J118" s="2786"/>
      <c r="K118" s="2879" t="s">
        <v>171</v>
      </c>
      <c r="L118" s="2778"/>
      <c r="M118" s="2778"/>
      <c r="N118" s="2786"/>
      <c r="O118" s="2879" t="s">
        <v>171</v>
      </c>
      <c r="P118" s="2879"/>
      <c r="Q118" s="2778"/>
      <c r="R118" s="2786"/>
      <c r="S118" s="2879" t="s">
        <v>171</v>
      </c>
      <c r="T118" s="2778"/>
      <c r="U118" s="2778"/>
      <c r="V118" s="2786"/>
      <c r="W118" s="3006"/>
      <c r="X118" s="2778"/>
      <c r="Y118" s="2778"/>
      <c r="Z118" s="2786"/>
      <c r="AA118" s="3006"/>
      <c r="AB118" s="2778"/>
      <c r="AC118" s="2778"/>
      <c r="AD118" s="2778"/>
      <c r="AE118" s="3006">
        <v>0</v>
      </c>
      <c r="AF118" s="2778"/>
      <c r="AG118" s="2778"/>
      <c r="AH118" s="2778"/>
      <c r="AI118" s="2787"/>
    </row>
    <row r="119" spans="1:35" ht="22.35" customHeight="1" thickBot="1" x14ac:dyDescent="0.25">
      <c r="B119" s="1003" t="s">
        <v>172</v>
      </c>
      <c r="C119" s="3008" t="s">
        <v>160</v>
      </c>
      <c r="D119" s="276"/>
      <c r="E119" s="2881"/>
      <c r="F119" s="2883"/>
      <c r="G119" s="3008" t="s">
        <v>160</v>
      </c>
      <c r="H119" s="278"/>
      <c r="I119" s="2881"/>
      <c r="J119" s="2883"/>
      <c r="K119" s="3008" t="s">
        <v>160</v>
      </c>
      <c r="L119" s="276"/>
      <c r="M119" s="2881"/>
      <c r="N119" s="2883"/>
      <c r="O119" s="3008" t="s">
        <v>161</v>
      </c>
      <c r="P119" s="2885"/>
      <c r="Q119" s="2881"/>
      <c r="R119" s="2883"/>
      <c r="S119" s="3008" t="s">
        <v>162</v>
      </c>
      <c r="T119" s="2881"/>
      <c r="U119" s="2881"/>
      <c r="V119" s="2881"/>
      <c r="W119" s="1005"/>
      <c r="X119" s="2881"/>
      <c r="Y119" s="2881"/>
      <c r="Z119" s="3009"/>
      <c r="AA119" s="2881"/>
      <c r="AB119" s="2881"/>
      <c r="AC119" s="2881"/>
      <c r="AD119" s="2881"/>
      <c r="AE119" s="3010">
        <v>37</v>
      </c>
      <c r="AF119" s="2881"/>
      <c r="AG119" s="2881"/>
      <c r="AH119" s="2881"/>
      <c r="AI119" s="2888"/>
    </row>
    <row r="120" spans="1:35" ht="22.35" customHeight="1" x14ac:dyDescent="0.2">
      <c r="D120" s="14"/>
    </row>
    <row r="121" spans="1:35" ht="22.35" customHeight="1" thickBot="1" x14ac:dyDescent="0.25">
      <c r="A121" s="2952"/>
      <c r="B121" s="2952" t="s">
        <v>29</v>
      </c>
      <c r="C121" s="2796">
        <v>1</v>
      </c>
      <c r="D121" s="2796">
        <v>2</v>
      </c>
      <c r="E121" s="2797">
        <v>3</v>
      </c>
      <c r="F121" s="2797">
        <v>4</v>
      </c>
      <c r="G121" s="2796">
        <v>5</v>
      </c>
      <c r="H121" s="2796">
        <v>6</v>
      </c>
      <c r="I121" s="2796">
        <v>7</v>
      </c>
      <c r="J121" s="2796">
        <v>8</v>
      </c>
      <c r="K121" s="2796">
        <v>9</v>
      </c>
      <c r="L121" s="2797">
        <v>10</v>
      </c>
      <c r="M121" s="2797">
        <v>11</v>
      </c>
      <c r="N121" s="2796">
        <v>12</v>
      </c>
      <c r="O121" s="2796">
        <v>13</v>
      </c>
      <c r="P121" s="2796">
        <v>14</v>
      </c>
      <c r="Q121" s="2796">
        <v>15</v>
      </c>
      <c r="R121" s="2796">
        <v>16</v>
      </c>
      <c r="S121" s="2797">
        <v>17</v>
      </c>
      <c r="T121" s="2797">
        <v>18</v>
      </c>
      <c r="U121" s="2796">
        <v>19</v>
      </c>
      <c r="V121" s="2796">
        <v>20</v>
      </c>
      <c r="W121" s="2796">
        <v>21</v>
      </c>
      <c r="X121" s="2796">
        <v>22</v>
      </c>
      <c r="Y121" s="2796">
        <v>23</v>
      </c>
      <c r="Z121" s="2797">
        <v>24</v>
      </c>
      <c r="AA121" s="2797">
        <v>25</v>
      </c>
      <c r="AB121" s="2797">
        <v>26</v>
      </c>
      <c r="AC121" s="2796">
        <v>27</v>
      </c>
      <c r="AD121" s="2796">
        <v>28</v>
      </c>
      <c r="AE121" s="2796">
        <v>29</v>
      </c>
      <c r="AF121" s="2796">
        <v>30</v>
      </c>
      <c r="AG121" s="2798">
        <v>31</v>
      </c>
      <c r="AH121" s="173"/>
      <c r="AI121" s="174"/>
    </row>
    <row r="122" spans="1:35" ht="22.35" customHeight="1" x14ac:dyDescent="0.2">
      <c r="A122" s="3011">
        <v>1</v>
      </c>
      <c r="B122" s="3012" t="s">
        <v>173</v>
      </c>
      <c r="C122" s="2896" t="s">
        <v>174</v>
      </c>
      <c r="D122" s="2896" t="s">
        <v>174</v>
      </c>
      <c r="E122" s="2896"/>
      <c r="F122" s="2896"/>
      <c r="G122" s="2896" t="s">
        <v>128</v>
      </c>
      <c r="H122" s="2896" t="s">
        <v>128</v>
      </c>
      <c r="I122" s="2917" t="s">
        <v>128</v>
      </c>
      <c r="J122" s="2896" t="s">
        <v>128</v>
      </c>
      <c r="K122" s="2896" t="s">
        <v>128</v>
      </c>
      <c r="L122" s="2896" t="s">
        <v>127</v>
      </c>
      <c r="M122" s="2896" t="s">
        <v>127</v>
      </c>
      <c r="N122" s="2896" t="s">
        <v>36</v>
      </c>
      <c r="O122" s="2896" t="s">
        <v>36</v>
      </c>
      <c r="P122" s="2896" t="s">
        <v>36</v>
      </c>
      <c r="Q122" s="3013" t="s">
        <v>36</v>
      </c>
      <c r="R122" s="3013" t="s">
        <v>36</v>
      </c>
      <c r="S122" s="3013"/>
      <c r="T122" s="3013"/>
      <c r="U122" s="2896" t="s">
        <v>174</v>
      </c>
      <c r="V122" s="2896" t="s">
        <v>174</v>
      </c>
      <c r="W122" s="2896" t="s">
        <v>174</v>
      </c>
      <c r="X122" s="2896" t="s">
        <v>174</v>
      </c>
      <c r="Y122" s="2896" t="s">
        <v>174</v>
      </c>
      <c r="Z122" s="2896"/>
      <c r="AA122" s="2896"/>
      <c r="AB122" s="2896"/>
      <c r="AC122" s="2896" t="s">
        <v>174</v>
      </c>
      <c r="AD122" s="2896" t="s">
        <v>174</v>
      </c>
      <c r="AE122" s="2896" t="s">
        <v>174</v>
      </c>
      <c r="AF122" s="2896" t="s">
        <v>174</v>
      </c>
      <c r="AG122" s="2896"/>
      <c r="AH122" s="178"/>
      <c r="AI122" s="179"/>
    </row>
    <row r="123" spans="1:35" ht="22.35" customHeight="1" x14ac:dyDescent="0.2">
      <c r="A123" s="3014">
        <v>2</v>
      </c>
      <c r="B123" s="3015" t="s">
        <v>175</v>
      </c>
      <c r="C123" s="3016">
        <v>4</v>
      </c>
      <c r="D123" s="3016">
        <v>4</v>
      </c>
      <c r="E123" s="3016"/>
      <c r="F123" s="2817"/>
      <c r="G123" s="2921" t="s">
        <v>174</v>
      </c>
      <c r="H123" s="2921" t="s">
        <v>174</v>
      </c>
      <c r="I123" s="2921" t="s">
        <v>174</v>
      </c>
      <c r="J123" s="2921" t="s">
        <v>174</v>
      </c>
      <c r="K123" s="2921" t="s">
        <v>174</v>
      </c>
      <c r="L123" s="2910"/>
      <c r="M123" s="2910"/>
      <c r="N123" s="2910" t="s">
        <v>128</v>
      </c>
      <c r="O123" s="2910" t="s">
        <v>128</v>
      </c>
      <c r="P123" s="2910" t="s">
        <v>128</v>
      </c>
      <c r="Q123" s="2910" t="s">
        <v>128</v>
      </c>
      <c r="R123" s="2910" t="s">
        <v>128</v>
      </c>
      <c r="S123" s="2910" t="s">
        <v>127</v>
      </c>
      <c r="T123" s="2910" t="s">
        <v>127</v>
      </c>
      <c r="U123" s="2817" t="s">
        <v>36</v>
      </c>
      <c r="V123" s="3017" t="s">
        <v>36</v>
      </c>
      <c r="W123" s="3017" t="s">
        <v>36</v>
      </c>
      <c r="X123" s="3016" t="s">
        <v>36</v>
      </c>
      <c r="Y123" s="960" t="s">
        <v>36</v>
      </c>
      <c r="Z123" s="2817"/>
      <c r="AA123" s="2817"/>
      <c r="AB123" s="2817"/>
      <c r="AC123" s="2817">
        <v>99</v>
      </c>
      <c r="AD123" s="2670">
        <v>99</v>
      </c>
      <c r="AE123" s="2728" t="s">
        <v>402</v>
      </c>
      <c r="AF123" s="2909">
        <v>69</v>
      </c>
      <c r="AG123" s="2817"/>
      <c r="AH123" s="178"/>
      <c r="AI123" s="179"/>
    </row>
    <row r="124" spans="1:35" ht="22.35" customHeight="1" x14ac:dyDescent="0.2">
      <c r="A124" s="3014">
        <v>3</v>
      </c>
      <c r="B124" s="3015" t="s">
        <v>178</v>
      </c>
      <c r="C124" s="3017" t="s">
        <v>36</v>
      </c>
      <c r="D124" s="3017" t="s">
        <v>36</v>
      </c>
      <c r="E124" s="3017" t="s">
        <v>36</v>
      </c>
      <c r="F124" s="3017" t="s">
        <v>36</v>
      </c>
      <c r="G124" s="2817">
        <v>3</v>
      </c>
      <c r="H124" s="2803" t="s">
        <v>32</v>
      </c>
      <c r="I124" s="2803" t="s">
        <v>32</v>
      </c>
      <c r="J124" s="2817" t="s">
        <v>32</v>
      </c>
      <c r="K124" s="2817">
        <v>3</v>
      </c>
      <c r="L124" s="2817"/>
      <c r="M124" s="2817"/>
      <c r="N124" s="2817">
        <v>4</v>
      </c>
      <c r="O124" s="2817">
        <v>4</v>
      </c>
      <c r="P124" s="2817">
        <v>4</v>
      </c>
      <c r="Q124" s="2817" t="s">
        <v>257</v>
      </c>
      <c r="R124" s="2817">
        <v>4</v>
      </c>
      <c r="S124" s="2817"/>
      <c r="T124" s="2511" t="s">
        <v>32</v>
      </c>
      <c r="U124" s="2909" t="s">
        <v>128</v>
      </c>
      <c r="V124" s="2817" t="s">
        <v>128</v>
      </c>
      <c r="W124" s="2817" t="s">
        <v>128</v>
      </c>
      <c r="X124" s="2817" t="s">
        <v>128</v>
      </c>
      <c r="Y124" s="2817" t="s">
        <v>128</v>
      </c>
      <c r="Z124" s="2817" t="s">
        <v>127</v>
      </c>
      <c r="AA124" s="2817" t="s">
        <v>127</v>
      </c>
      <c r="AB124" s="2817" t="s">
        <v>36</v>
      </c>
      <c r="AC124" s="2817" t="s">
        <v>36</v>
      </c>
      <c r="AD124" s="2817" t="s">
        <v>36</v>
      </c>
      <c r="AE124" s="2817" t="s">
        <v>36</v>
      </c>
      <c r="AF124" s="2817" t="s">
        <v>36</v>
      </c>
      <c r="AG124" s="2817"/>
      <c r="AH124" s="178"/>
      <c r="AI124" s="179"/>
    </row>
    <row r="125" spans="1:35" ht="22.35" customHeight="1" thickBot="1" x14ac:dyDescent="0.25">
      <c r="A125" s="3018">
        <v>4</v>
      </c>
      <c r="B125" s="3019" t="s">
        <v>173</v>
      </c>
      <c r="C125" s="2982" t="s">
        <v>128</v>
      </c>
      <c r="D125" s="2982" t="s">
        <v>128</v>
      </c>
      <c r="E125" s="2982" t="s">
        <v>127</v>
      </c>
      <c r="F125" s="2982" t="s">
        <v>127</v>
      </c>
      <c r="G125" s="2982" t="s">
        <v>36</v>
      </c>
      <c r="H125" s="2982" t="s">
        <v>36</v>
      </c>
      <c r="I125" s="2982" t="s">
        <v>36</v>
      </c>
      <c r="J125" s="2982" t="s">
        <v>36</v>
      </c>
      <c r="K125" s="2982" t="s">
        <v>36</v>
      </c>
      <c r="L125" s="2982"/>
      <c r="M125" s="2982"/>
      <c r="N125" s="2982" t="s">
        <v>174</v>
      </c>
      <c r="O125" s="2982" t="s">
        <v>174</v>
      </c>
      <c r="P125" s="2982" t="s">
        <v>174</v>
      </c>
      <c r="Q125" s="2982" t="s">
        <v>174</v>
      </c>
      <c r="R125" s="2982" t="s">
        <v>174</v>
      </c>
      <c r="S125" s="2982"/>
      <c r="T125" s="2796"/>
      <c r="U125" s="2796" t="s">
        <v>174</v>
      </c>
      <c r="V125" s="2796" t="s">
        <v>174</v>
      </c>
      <c r="W125" s="2796" t="s">
        <v>174</v>
      </c>
      <c r="X125" s="2982" t="s">
        <v>174</v>
      </c>
      <c r="Y125" s="2982" t="s">
        <v>174</v>
      </c>
      <c r="Z125" s="2796" t="s">
        <v>0</v>
      </c>
      <c r="AA125" s="2982" t="s">
        <v>0</v>
      </c>
      <c r="AB125" s="2796" t="s">
        <v>128</v>
      </c>
      <c r="AC125" s="2796" t="s">
        <v>128</v>
      </c>
      <c r="AD125" s="2982" t="s">
        <v>128</v>
      </c>
      <c r="AE125" s="2796" t="s">
        <v>128</v>
      </c>
      <c r="AF125" s="2982" t="s">
        <v>128</v>
      </c>
      <c r="AG125" s="2941" t="s">
        <v>127</v>
      </c>
      <c r="AH125" s="178"/>
      <c r="AI125" s="179"/>
    </row>
    <row r="126" spans="1:35" ht="22.35" customHeight="1" thickBot="1" x14ac:dyDescent="0.25">
      <c r="A126" s="200"/>
      <c r="B126" s="190"/>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c r="AA126" s="201"/>
      <c r="AB126" s="201"/>
      <c r="AC126" s="201"/>
      <c r="AD126" s="201"/>
      <c r="AE126" s="201"/>
      <c r="AF126" s="201"/>
      <c r="AG126" s="202"/>
      <c r="AH126" s="203"/>
      <c r="AI126" s="179"/>
    </row>
    <row r="127" spans="1:35" ht="22.35" customHeight="1" x14ac:dyDescent="0.2">
      <c r="A127" s="72"/>
      <c r="B127" s="2545" t="s">
        <v>180</v>
      </c>
      <c r="C127" s="3003"/>
      <c r="D127" s="3020" t="s">
        <v>107</v>
      </c>
      <c r="E127" s="3021"/>
      <c r="F127" s="3003"/>
      <c r="G127" s="3022" t="s">
        <v>108</v>
      </c>
      <c r="H127" s="2518"/>
      <c r="I127" s="3023"/>
      <c r="J127" s="3022" t="s">
        <v>109</v>
      </c>
      <c r="K127" s="3024"/>
      <c r="L127" s="3023"/>
      <c r="M127" s="3025" t="s">
        <v>110</v>
      </c>
      <c r="N127" s="3024"/>
      <c r="O127" s="3023"/>
      <c r="P127" s="3022" t="s">
        <v>111</v>
      </c>
      <c r="Q127" s="3026"/>
      <c r="R127" s="3023"/>
      <c r="S127" s="3022" t="s">
        <v>112</v>
      </c>
      <c r="T127" s="3027"/>
      <c r="U127" s="3023"/>
      <c r="V127" s="3022" t="s">
        <v>113</v>
      </c>
      <c r="W127" s="3026"/>
      <c r="X127" s="3028" t="s">
        <v>158</v>
      </c>
      <c r="Y127" s="3029"/>
      <c r="Z127" s="3029"/>
      <c r="AA127" s="3030"/>
      <c r="AB127" s="2520" t="s">
        <v>114</v>
      </c>
      <c r="AC127" s="2557"/>
      <c r="AD127" s="2557"/>
      <c r="AE127" s="2558"/>
      <c r="AF127" s="2558"/>
      <c r="AG127" s="2559"/>
      <c r="AH127" s="203"/>
      <c r="AI127" s="179"/>
    </row>
    <row r="128" spans="1:35" ht="22.35" customHeight="1" x14ac:dyDescent="0.2">
      <c r="A128" s="72"/>
      <c r="B128" s="3031" t="s">
        <v>181</v>
      </c>
      <c r="C128" s="3032" t="s">
        <v>182</v>
      </c>
      <c r="D128" s="2780"/>
      <c r="E128" s="2781"/>
      <c r="F128" s="3032" t="s">
        <v>182</v>
      </c>
      <c r="G128" s="2780"/>
      <c r="H128" s="2781"/>
      <c r="I128" s="3032" t="s">
        <v>182</v>
      </c>
      <c r="J128" s="2780"/>
      <c r="K128" s="2781"/>
      <c r="L128" s="3032" t="s">
        <v>182</v>
      </c>
      <c r="M128" s="2780"/>
      <c r="N128" s="2781"/>
      <c r="O128" s="3032" t="s">
        <v>183</v>
      </c>
      <c r="P128" s="2780"/>
      <c r="Q128" s="2781"/>
      <c r="R128" s="3032"/>
      <c r="S128" s="2780"/>
      <c r="T128" s="2781"/>
      <c r="U128" s="3032"/>
      <c r="V128" s="2780"/>
      <c r="W128" s="2781"/>
      <c r="X128" s="3032"/>
      <c r="Y128" s="3033"/>
      <c r="Z128" s="3033"/>
      <c r="AA128" s="3033"/>
      <c r="AB128" s="2777"/>
      <c r="AC128" s="3033"/>
      <c r="AD128" s="3033"/>
      <c r="AE128" s="3033"/>
      <c r="AF128" s="3033"/>
      <c r="AG128" s="3034"/>
      <c r="AH128" s="203"/>
      <c r="AI128" s="179"/>
    </row>
    <row r="129" spans="1:35" ht="22.35" customHeight="1" x14ac:dyDescent="0.2">
      <c r="A129" s="72"/>
      <c r="B129" s="17"/>
      <c r="C129" s="72"/>
      <c r="D129" s="72"/>
      <c r="E129" s="72"/>
      <c r="F129" s="72"/>
      <c r="G129" s="72"/>
      <c r="H129" s="72"/>
      <c r="I129" s="72"/>
      <c r="J129" s="72"/>
      <c r="K129" s="72"/>
      <c r="L129" s="72"/>
      <c r="M129" s="72"/>
      <c r="N129" s="72"/>
      <c r="O129" s="72"/>
      <c r="P129" s="72"/>
      <c r="Q129" s="72"/>
      <c r="R129" s="72"/>
      <c r="S129" s="72"/>
      <c r="T129" s="72"/>
      <c r="U129" s="72"/>
      <c r="V129" s="72"/>
      <c r="W129" s="72"/>
      <c r="X129" s="72"/>
      <c r="Y129" s="72"/>
      <c r="Z129" s="72"/>
      <c r="AA129" s="72"/>
      <c r="AB129" s="72"/>
      <c r="AC129" s="72"/>
      <c r="AD129" s="72"/>
      <c r="AE129" s="72"/>
      <c r="AF129" s="72"/>
      <c r="AG129" s="72"/>
      <c r="AH129" s="203"/>
      <c r="AI129" s="179"/>
    </row>
    <row r="130" spans="1:35" ht="22.35" customHeight="1" thickBot="1" x14ac:dyDescent="0.25">
      <c r="A130" s="3035" t="s">
        <v>28</v>
      </c>
      <c r="B130" s="2890" t="s">
        <v>29</v>
      </c>
      <c r="C130" s="2796">
        <v>1</v>
      </c>
      <c r="D130" s="2796">
        <v>2</v>
      </c>
      <c r="E130" s="2797">
        <v>3</v>
      </c>
      <c r="F130" s="2797">
        <v>4</v>
      </c>
      <c r="G130" s="2796">
        <v>5</v>
      </c>
      <c r="H130" s="2796">
        <v>6</v>
      </c>
      <c r="I130" s="2796">
        <v>7</v>
      </c>
      <c r="J130" s="2796">
        <v>8</v>
      </c>
      <c r="K130" s="2796">
        <v>9</v>
      </c>
      <c r="L130" s="2797">
        <v>10</v>
      </c>
      <c r="M130" s="2797">
        <v>11</v>
      </c>
      <c r="N130" s="2796">
        <v>12</v>
      </c>
      <c r="O130" s="2796">
        <v>13</v>
      </c>
      <c r="P130" s="2796">
        <v>14</v>
      </c>
      <c r="Q130" s="2796">
        <v>15</v>
      </c>
      <c r="R130" s="2796">
        <v>16</v>
      </c>
      <c r="S130" s="2797">
        <v>17</v>
      </c>
      <c r="T130" s="2797">
        <v>18</v>
      </c>
      <c r="U130" s="2796">
        <v>19</v>
      </c>
      <c r="V130" s="2796">
        <v>20</v>
      </c>
      <c r="W130" s="2796">
        <v>21</v>
      </c>
      <c r="X130" s="2796">
        <v>22</v>
      </c>
      <c r="Y130" s="2796">
        <v>23</v>
      </c>
      <c r="Z130" s="2797">
        <v>24</v>
      </c>
      <c r="AA130" s="2797">
        <v>25</v>
      </c>
      <c r="AB130" s="2797">
        <v>26</v>
      </c>
      <c r="AC130" s="2796">
        <v>27</v>
      </c>
      <c r="AD130" s="2796">
        <v>28</v>
      </c>
      <c r="AE130" s="2796">
        <v>29</v>
      </c>
      <c r="AF130" s="2796">
        <v>30</v>
      </c>
      <c r="AG130" s="2798">
        <v>31</v>
      </c>
      <c r="AH130" s="203"/>
      <c r="AI130" s="179"/>
    </row>
    <row r="131" spans="1:35" ht="22.35" customHeight="1" x14ac:dyDescent="0.2">
      <c r="A131" s="3036">
        <v>8520</v>
      </c>
      <c r="B131" s="3037" t="s">
        <v>184</v>
      </c>
      <c r="C131" s="2896" t="s">
        <v>358</v>
      </c>
      <c r="D131" s="2896" t="s">
        <v>358</v>
      </c>
      <c r="E131" s="2896"/>
      <c r="F131" s="2896"/>
      <c r="G131" s="2896" t="s">
        <v>358</v>
      </c>
      <c r="H131" s="2896" t="s">
        <v>358</v>
      </c>
      <c r="I131" s="2896" t="s">
        <v>358</v>
      </c>
      <c r="J131" s="2896" t="s">
        <v>358</v>
      </c>
      <c r="K131" s="2896" t="s">
        <v>358</v>
      </c>
      <c r="L131" s="2896"/>
      <c r="M131" s="2896"/>
      <c r="N131" s="2896" t="s">
        <v>358</v>
      </c>
      <c r="O131" s="2896" t="s">
        <v>358</v>
      </c>
      <c r="P131" s="2896" t="s">
        <v>358</v>
      </c>
      <c r="Q131" s="2896" t="s">
        <v>358</v>
      </c>
      <c r="R131" s="2896" t="s">
        <v>358</v>
      </c>
      <c r="S131" s="2896"/>
      <c r="T131" s="2896"/>
      <c r="U131" s="2896" t="s">
        <v>358</v>
      </c>
      <c r="V131" s="2896" t="s">
        <v>358</v>
      </c>
      <c r="W131" s="3038" t="s">
        <v>358</v>
      </c>
      <c r="X131" s="3038" t="s">
        <v>358</v>
      </c>
      <c r="Y131" s="3038" t="s">
        <v>358</v>
      </c>
      <c r="Z131" s="2896"/>
      <c r="AA131" s="2896"/>
      <c r="AB131" s="2896" t="s">
        <v>358</v>
      </c>
      <c r="AC131" s="2894" t="s">
        <v>358</v>
      </c>
      <c r="AD131" s="2894" t="s">
        <v>358</v>
      </c>
      <c r="AE131" s="2896" t="s">
        <v>358</v>
      </c>
      <c r="AF131" s="2896" t="s">
        <v>358</v>
      </c>
      <c r="AG131" s="2495"/>
      <c r="AH131" s="203"/>
      <c r="AI131" s="179"/>
    </row>
    <row r="132" spans="1:35" ht="22.35" customHeight="1" x14ac:dyDescent="0.2">
      <c r="A132" s="209"/>
      <c r="B132" s="208"/>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c r="AA132" s="199"/>
      <c r="AB132" s="199"/>
      <c r="AC132" s="199"/>
      <c r="AD132" s="199"/>
      <c r="AE132" s="199"/>
      <c r="AF132" s="199"/>
      <c r="AG132" s="199"/>
      <c r="AH132" s="203"/>
      <c r="AI132" s="179"/>
    </row>
    <row r="133" spans="1:35" ht="22.35" customHeight="1" x14ac:dyDescent="0.2">
      <c r="AH133" s="107"/>
      <c r="AI133" s="107"/>
    </row>
    <row r="134" spans="1:35" ht="22.35" customHeight="1" thickBot="1" x14ac:dyDescent="0.25">
      <c r="A134" s="169" t="s">
        <v>185</v>
      </c>
      <c r="B134" s="170"/>
      <c r="C134" s="170"/>
      <c r="D134" s="171"/>
      <c r="E134" s="171"/>
      <c r="F134" s="171"/>
      <c r="G134" s="105"/>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x14ac:dyDescent="0.2">
      <c r="A135" s="169"/>
      <c r="B135" s="2545" t="s">
        <v>186</v>
      </c>
      <c r="C135" s="3039"/>
      <c r="D135" s="3040" t="s">
        <v>107</v>
      </c>
      <c r="E135" s="3041"/>
      <c r="F135" s="3042"/>
      <c r="G135" s="3039"/>
      <c r="H135" s="3040" t="s">
        <v>108</v>
      </c>
      <c r="I135" s="3041"/>
      <c r="J135" s="3042"/>
      <c r="K135" s="3039"/>
      <c r="L135" s="3040" t="s">
        <v>109</v>
      </c>
      <c r="M135" s="3041"/>
      <c r="N135" s="3042"/>
      <c r="O135" s="3039"/>
      <c r="P135" s="3040" t="s">
        <v>110</v>
      </c>
      <c r="Q135" s="3041"/>
      <c r="R135" s="3042"/>
      <c r="S135" s="3039"/>
      <c r="T135" s="3040" t="s">
        <v>111</v>
      </c>
      <c r="U135" s="3041"/>
      <c r="V135" s="3042"/>
      <c r="W135" s="3039"/>
      <c r="X135" s="3040" t="s">
        <v>112</v>
      </c>
      <c r="Y135" s="3041"/>
      <c r="Z135" s="3042"/>
      <c r="AA135" s="3039"/>
      <c r="AB135" s="3040" t="s">
        <v>113</v>
      </c>
      <c r="AC135" s="3041"/>
      <c r="AD135" s="3041"/>
      <c r="AE135" s="3043" t="s">
        <v>114</v>
      </c>
      <c r="AF135" s="3041"/>
      <c r="AG135" s="3041"/>
      <c r="AH135" s="3041"/>
      <c r="AI135" s="3044"/>
    </row>
    <row r="136" spans="1:35" ht="22.35" customHeight="1" x14ac:dyDescent="0.2">
      <c r="A136" s="169"/>
      <c r="B136" s="3045" t="s">
        <v>159</v>
      </c>
      <c r="C136" s="3046">
        <v>69</v>
      </c>
      <c r="D136" s="3047" t="s">
        <v>187</v>
      </c>
      <c r="E136" s="3047"/>
      <c r="F136" s="3048"/>
      <c r="G136" s="3046">
        <v>69</v>
      </c>
      <c r="H136" s="3047" t="s">
        <v>187</v>
      </c>
      <c r="I136" s="3047"/>
      <c r="J136" s="3048"/>
      <c r="K136" s="3046">
        <v>69</v>
      </c>
      <c r="L136" s="3047" t="s">
        <v>187</v>
      </c>
      <c r="M136" s="3047"/>
      <c r="N136" s="3048"/>
      <c r="O136" s="3046">
        <v>69</v>
      </c>
      <c r="P136" s="3047" t="s">
        <v>187</v>
      </c>
      <c r="Q136" s="3047"/>
      <c r="R136" s="3048"/>
      <c r="S136" s="3046">
        <v>69</v>
      </c>
      <c r="T136" s="3047" t="s">
        <v>187</v>
      </c>
      <c r="U136" s="3047"/>
      <c r="V136" s="3048"/>
      <c r="W136" s="3046"/>
      <c r="X136" s="3049"/>
      <c r="Y136" s="3049"/>
      <c r="Z136" s="3050"/>
      <c r="AA136" s="3046"/>
      <c r="AB136" s="3047"/>
      <c r="AC136" s="3047"/>
      <c r="AD136" s="2959"/>
      <c r="AE136" s="3051">
        <v>35</v>
      </c>
      <c r="AF136" s="3047"/>
      <c r="AG136" s="3047"/>
      <c r="AH136" s="2959"/>
      <c r="AI136" s="3052"/>
    </row>
    <row r="137" spans="1:35" ht="22.35" customHeight="1" x14ac:dyDescent="0.2">
      <c r="A137" s="169"/>
      <c r="B137" s="3045" t="s">
        <v>163</v>
      </c>
      <c r="C137" s="3046">
        <v>79</v>
      </c>
      <c r="D137" s="3047" t="s">
        <v>188</v>
      </c>
      <c r="E137" s="3047"/>
      <c r="F137" s="3048"/>
      <c r="G137" s="3046">
        <v>79</v>
      </c>
      <c r="H137" s="3047" t="s">
        <v>188</v>
      </c>
      <c r="I137" s="3047"/>
      <c r="J137" s="3048"/>
      <c r="K137" s="3046">
        <v>79</v>
      </c>
      <c r="L137" s="3047" t="s">
        <v>188</v>
      </c>
      <c r="M137" s="3047"/>
      <c r="N137" s="3048"/>
      <c r="O137" s="3046">
        <v>79</v>
      </c>
      <c r="P137" s="3047" t="s">
        <v>188</v>
      </c>
      <c r="Q137" s="3047"/>
      <c r="R137" s="3048"/>
      <c r="S137" s="3046">
        <v>79</v>
      </c>
      <c r="T137" s="3047" t="s">
        <v>188</v>
      </c>
      <c r="U137" s="3047"/>
      <c r="V137" s="3048"/>
      <c r="W137" s="3046"/>
      <c r="X137" s="3047"/>
      <c r="Y137" s="3047"/>
      <c r="Z137" s="3048"/>
      <c r="AA137" s="3047"/>
      <c r="AB137" s="3047"/>
      <c r="AC137" s="3047"/>
      <c r="AD137" s="2959"/>
      <c r="AE137" s="3051">
        <v>40</v>
      </c>
      <c r="AF137" s="3047"/>
      <c r="AG137" s="3047"/>
      <c r="AH137" s="2959"/>
      <c r="AI137" s="3052"/>
    </row>
    <row r="138" spans="1:35" ht="22.35" customHeight="1" x14ac:dyDescent="0.2">
      <c r="A138" s="169"/>
      <c r="B138" s="3045" t="s">
        <v>170</v>
      </c>
      <c r="C138" s="3046">
        <v>89</v>
      </c>
      <c r="D138" s="3047" t="s">
        <v>189</v>
      </c>
      <c r="E138" s="3047"/>
      <c r="F138" s="3048"/>
      <c r="G138" s="3046">
        <v>89</v>
      </c>
      <c r="H138" s="3047" t="s">
        <v>189</v>
      </c>
      <c r="I138" s="3047"/>
      <c r="J138" s="3048"/>
      <c r="K138" s="3046">
        <v>89</v>
      </c>
      <c r="L138" s="3047" t="s">
        <v>189</v>
      </c>
      <c r="M138" s="3047"/>
      <c r="N138" s="3048"/>
      <c r="O138" s="3046">
        <v>89</v>
      </c>
      <c r="P138" s="3047" t="s">
        <v>189</v>
      </c>
      <c r="Q138" s="3047"/>
      <c r="R138" s="3048"/>
      <c r="S138" s="3046">
        <v>89</v>
      </c>
      <c r="T138" s="3047" t="s">
        <v>190</v>
      </c>
      <c r="U138" s="3047"/>
      <c r="V138" s="3048"/>
      <c r="W138" s="3053"/>
      <c r="X138" s="3054" t="s">
        <v>191</v>
      </c>
      <c r="Y138" s="3054"/>
      <c r="Z138" s="3055"/>
      <c r="AA138" s="3053"/>
      <c r="AB138" s="3054"/>
      <c r="AC138" s="3054"/>
      <c r="AD138" s="2961"/>
      <c r="AE138" s="3051">
        <v>44</v>
      </c>
      <c r="AF138" s="3047"/>
      <c r="AG138" s="3047"/>
      <c r="AH138" s="2959"/>
      <c r="AI138" s="3052"/>
    </row>
    <row r="139" spans="1:35" ht="22.35" customHeight="1" x14ac:dyDescent="0.2">
      <c r="A139" s="169"/>
      <c r="B139" s="38" t="s">
        <v>172</v>
      </c>
      <c r="C139" s="3053">
        <v>99</v>
      </c>
      <c r="D139" s="3054" t="s">
        <v>192</v>
      </c>
      <c r="E139" s="3054"/>
      <c r="F139" s="3055"/>
      <c r="G139" s="3053">
        <v>99</v>
      </c>
      <c r="H139" s="3054" t="s">
        <v>192</v>
      </c>
      <c r="I139" s="3054"/>
      <c r="J139" s="3055"/>
      <c r="K139" s="3053">
        <v>99</v>
      </c>
      <c r="L139" s="3054" t="s">
        <v>192</v>
      </c>
      <c r="M139" s="3054"/>
      <c r="N139" s="3055"/>
      <c r="O139" s="3053">
        <v>99</v>
      </c>
      <c r="P139" s="3054" t="s">
        <v>192</v>
      </c>
      <c r="Q139" s="3054"/>
      <c r="R139" s="3055"/>
      <c r="S139" s="3053">
        <v>99</v>
      </c>
      <c r="T139" s="3054" t="s">
        <v>171</v>
      </c>
      <c r="U139" s="3054"/>
      <c r="V139" s="2961"/>
      <c r="W139" s="2960"/>
      <c r="X139" s="2961"/>
      <c r="Y139" s="3054"/>
      <c r="Z139" s="3055"/>
      <c r="AA139" s="2960"/>
      <c r="AB139" s="2961"/>
      <c r="AC139" s="3054"/>
      <c r="AD139" s="3055"/>
      <c r="AE139" s="3056">
        <v>28</v>
      </c>
      <c r="AF139" s="3054"/>
      <c r="AG139" s="3054"/>
      <c r="AH139" s="2961"/>
      <c r="AI139" s="3057"/>
    </row>
    <row r="140" spans="1:35" ht="22.35" customHeight="1" thickBot="1" x14ac:dyDescent="0.25">
      <c r="A140" s="169"/>
      <c r="B140" s="1056" t="s">
        <v>193</v>
      </c>
      <c r="C140" s="3058" t="s">
        <v>58</v>
      </c>
      <c r="D140" s="3059" t="s">
        <v>194</v>
      </c>
      <c r="E140" s="3060"/>
      <c r="F140" s="2883"/>
      <c r="G140" s="3058" t="s">
        <v>58</v>
      </c>
      <c r="H140" s="3059" t="s">
        <v>194</v>
      </c>
      <c r="I140" s="2881"/>
      <c r="J140" s="3060"/>
      <c r="K140" s="3058" t="s">
        <v>58</v>
      </c>
      <c r="L140" s="3059" t="s">
        <v>194</v>
      </c>
      <c r="M140" s="3060"/>
      <c r="N140" s="3061"/>
      <c r="O140" s="3058" t="s">
        <v>58</v>
      </c>
      <c r="P140" s="3059" t="s">
        <v>194</v>
      </c>
      <c r="Q140" s="3060"/>
      <c r="R140" s="3059"/>
      <c r="S140" s="3058" t="s">
        <v>58</v>
      </c>
      <c r="T140" s="2885" t="s">
        <v>195</v>
      </c>
      <c r="U140" s="3059"/>
      <c r="V140" s="3061"/>
      <c r="W140" s="3060"/>
      <c r="X140" s="3059"/>
      <c r="Y140" s="3059"/>
      <c r="Z140" s="3059"/>
      <c r="AA140" s="3062"/>
      <c r="AB140" s="3063"/>
      <c r="AC140" s="3059"/>
      <c r="AD140" s="3064"/>
      <c r="AE140" s="3059"/>
      <c r="AF140" s="3059"/>
      <c r="AG140" s="3059"/>
      <c r="AH140" s="3065"/>
      <c r="AI140" s="3066"/>
    </row>
    <row r="141" spans="1:35" ht="22.35" customHeight="1" x14ac:dyDescent="0.2">
      <c r="A141" s="108"/>
      <c r="B141" s="169"/>
      <c r="C141" s="171"/>
      <c r="D141" s="171"/>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0"/>
      <c r="AI141" s="170"/>
    </row>
    <row r="142" spans="1:35" ht="22.35" customHeight="1" thickBot="1" x14ac:dyDescent="0.25">
      <c r="A142" s="3035"/>
      <c r="B142" s="2890" t="s">
        <v>29</v>
      </c>
      <c r="C142" s="2796">
        <v>1</v>
      </c>
      <c r="D142" s="2796">
        <v>2</v>
      </c>
      <c r="E142" s="2797">
        <v>3</v>
      </c>
      <c r="F142" s="2797">
        <v>4</v>
      </c>
      <c r="G142" s="2796">
        <v>5</v>
      </c>
      <c r="H142" s="2796">
        <v>6</v>
      </c>
      <c r="I142" s="2796">
        <v>7</v>
      </c>
      <c r="J142" s="2796">
        <v>8</v>
      </c>
      <c r="K142" s="2796">
        <v>9</v>
      </c>
      <c r="L142" s="2797">
        <v>10</v>
      </c>
      <c r="M142" s="2797">
        <v>11</v>
      </c>
      <c r="N142" s="2796">
        <v>12</v>
      </c>
      <c r="O142" s="2796">
        <v>13</v>
      </c>
      <c r="P142" s="2796">
        <v>14</v>
      </c>
      <c r="Q142" s="2796">
        <v>15</v>
      </c>
      <c r="R142" s="2796">
        <v>16</v>
      </c>
      <c r="S142" s="2797">
        <v>17</v>
      </c>
      <c r="T142" s="2797">
        <v>18</v>
      </c>
      <c r="U142" s="2796">
        <v>19</v>
      </c>
      <c r="V142" s="2796">
        <v>20</v>
      </c>
      <c r="W142" s="2796">
        <v>21</v>
      </c>
      <c r="X142" s="2796">
        <v>22</v>
      </c>
      <c r="Y142" s="2796">
        <v>23</v>
      </c>
      <c r="Z142" s="2797">
        <v>24</v>
      </c>
      <c r="AA142" s="2797">
        <v>25</v>
      </c>
      <c r="AB142" s="2797">
        <v>26</v>
      </c>
      <c r="AC142" s="2796">
        <v>27</v>
      </c>
      <c r="AD142" s="2796">
        <v>28</v>
      </c>
      <c r="AE142" s="2796">
        <v>29</v>
      </c>
      <c r="AF142" s="2796">
        <v>30</v>
      </c>
      <c r="AG142" s="2798">
        <v>31</v>
      </c>
      <c r="AH142" s="173"/>
      <c r="AI142" s="174"/>
    </row>
    <row r="143" spans="1:35" ht="22.35" customHeight="1" x14ac:dyDescent="0.2">
      <c r="A143" s="3011">
        <v>1</v>
      </c>
      <c r="B143" s="3067" t="s">
        <v>196</v>
      </c>
      <c r="C143" s="2895" t="s">
        <v>58</v>
      </c>
      <c r="D143" s="2895" t="s">
        <v>58</v>
      </c>
      <c r="E143" s="2896"/>
      <c r="F143" s="2896"/>
      <c r="G143" s="2902">
        <v>69</v>
      </c>
      <c r="H143" s="2895">
        <v>69</v>
      </c>
      <c r="I143" s="2902">
        <v>69</v>
      </c>
      <c r="J143" s="2902">
        <v>69</v>
      </c>
      <c r="K143" s="2895">
        <v>69</v>
      </c>
      <c r="L143" s="2902"/>
      <c r="M143" s="2896"/>
      <c r="N143" s="2895">
        <v>79</v>
      </c>
      <c r="O143" s="2895">
        <v>79</v>
      </c>
      <c r="P143" s="2895">
        <v>79</v>
      </c>
      <c r="Q143" s="2895">
        <v>79</v>
      </c>
      <c r="R143" s="2895">
        <v>79</v>
      </c>
      <c r="S143" s="2896"/>
      <c r="T143" s="2896"/>
      <c r="U143" s="2895">
        <v>89</v>
      </c>
      <c r="V143" s="2895">
        <v>89</v>
      </c>
      <c r="W143" s="2895">
        <v>89</v>
      </c>
      <c r="X143" s="2895">
        <v>89</v>
      </c>
      <c r="Y143" s="2895">
        <v>89</v>
      </c>
      <c r="Z143" s="3068">
        <v>89</v>
      </c>
      <c r="AA143" s="2902"/>
      <c r="AB143" s="2895"/>
      <c r="AC143" s="3068">
        <v>99</v>
      </c>
      <c r="AD143" s="3068">
        <v>99</v>
      </c>
      <c r="AE143" s="3068">
        <v>99</v>
      </c>
      <c r="AF143" s="2902" t="s">
        <v>36</v>
      </c>
      <c r="AG143" s="2906"/>
      <c r="AH143" s="191"/>
      <c r="AI143" s="107"/>
    </row>
    <row r="144" spans="1:35" ht="22.35" customHeight="1" x14ac:dyDescent="0.2">
      <c r="A144" s="3014">
        <v>2</v>
      </c>
      <c r="B144" s="3069" t="s">
        <v>197</v>
      </c>
      <c r="C144" s="2814">
        <v>69</v>
      </c>
      <c r="D144" s="2814">
        <v>69</v>
      </c>
      <c r="E144" s="2814"/>
      <c r="F144" s="2814"/>
      <c r="G144" s="2814">
        <v>79</v>
      </c>
      <c r="H144" s="2918">
        <v>79</v>
      </c>
      <c r="I144" s="2918">
        <v>79</v>
      </c>
      <c r="J144" s="2918">
        <v>79</v>
      </c>
      <c r="K144" s="2918">
        <v>79</v>
      </c>
      <c r="L144" s="2817"/>
      <c r="M144" s="2817"/>
      <c r="N144" s="2918">
        <v>89</v>
      </c>
      <c r="O144" s="2918">
        <v>89</v>
      </c>
      <c r="P144" s="2918">
        <v>89</v>
      </c>
      <c r="Q144" s="2918">
        <v>89</v>
      </c>
      <c r="R144" s="3070">
        <v>89</v>
      </c>
      <c r="S144" s="2918">
        <v>89</v>
      </c>
      <c r="T144" s="2817"/>
      <c r="U144" s="3071">
        <v>99</v>
      </c>
      <c r="V144" s="2918">
        <v>99</v>
      </c>
      <c r="W144" s="2918">
        <v>99</v>
      </c>
      <c r="X144" s="2918">
        <v>99</v>
      </c>
      <c r="Y144" s="2918" t="s">
        <v>36</v>
      </c>
      <c r="Z144" s="2918"/>
      <c r="AA144" s="2817"/>
      <c r="AB144" s="2818"/>
      <c r="AC144" s="3072" t="s">
        <v>58</v>
      </c>
      <c r="AD144" s="2832">
        <v>1</v>
      </c>
      <c r="AE144" s="2832">
        <v>1</v>
      </c>
      <c r="AF144" s="3072" t="s">
        <v>58</v>
      </c>
      <c r="AG144" s="3073"/>
      <c r="AH144" s="192"/>
      <c r="AI144" s="168"/>
    </row>
    <row r="145" spans="1:35" ht="22.35" customHeight="1" x14ac:dyDescent="0.2">
      <c r="A145" s="3014">
        <v>3</v>
      </c>
      <c r="B145" s="3069" t="s">
        <v>360</v>
      </c>
      <c r="C145" s="3074">
        <v>79</v>
      </c>
      <c r="D145" s="3074">
        <v>79</v>
      </c>
      <c r="E145" s="3074"/>
      <c r="F145" s="3074"/>
      <c r="G145" s="3075">
        <v>89</v>
      </c>
      <c r="H145" s="3074">
        <v>89</v>
      </c>
      <c r="I145" s="3074">
        <v>89</v>
      </c>
      <c r="J145" s="3074">
        <v>89</v>
      </c>
      <c r="K145" s="3074">
        <v>89</v>
      </c>
      <c r="L145" s="3074">
        <v>89</v>
      </c>
      <c r="M145" s="3074"/>
      <c r="N145" s="3074">
        <v>99</v>
      </c>
      <c r="O145" s="3017">
        <v>99</v>
      </c>
      <c r="P145" s="2832">
        <v>99</v>
      </c>
      <c r="Q145" s="2832">
        <v>99</v>
      </c>
      <c r="R145" s="2832" t="s">
        <v>36</v>
      </c>
      <c r="S145" s="2832"/>
      <c r="T145" s="2832"/>
      <c r="U145" s="2728" t="s">
        <v>58</v>
      </c>
      <c r="V145" s="2728" t="s">
        <v>58</v>
      </c>
      <c r="W145" s="2728" t="s">
        <v>60</v>
      </c>
      <c r="X145" s="2728" t="s">
        <v>461</v>
      </c>
      <c r="Y145" s="2729" t="s">
        <v>60</v>
      </c>
      <c r="Z145" s="3074"/>
      <c r="AA145" s="3074"/>
      <c r="AB145" s="3074"/>
      <c r="AC145" s="3074" t="s">
        <v>60</v>
      </c>
      <c r="AD145" s="3074" t="s">
        <v>60</v>
      </c>
      <c r="AE145" s="3074">
        <v>69</v>
      </c>
      <c r="AF145" s="3076">
        <v>69</v>
      </c>
      <c r="AG145" s="3077"/>
      <c r="AH145" s="191"/>
      <c r="AI145" s="107"/>
    </row>
    <row r="146" spans="1:35" ht="22.35" customHeight="1" x14ac:dyDescent="0.2">
      <c r="A146" s="3014">
        <v>4</v>
      </c>
      <c r="B146" s="394" t="s">
        <v>199</v>
      </c>
      <c r="C146" s="2817">
        <v>89</v>
      </c>
      <c r="D146" s="2817">
        <v>89</v>
      </c>
      <c r="E146" s="2817">
        <v>89</v>
      </c>
      <c r="F146" s="2817"/>
      <c r="G146" s="2817">
        <v>99</v>
      </c>
      <c r="H146" s="2817">
        <v>99</v>
      </c>
      <c r="I146" s="2817">
        <v>99</v>
      </c>
      <c r="J146" s="2817">
        <v>99</v>
      </c>
      <c r="K146" s="2817" t="s">
        <v>36</v>
      </c>
      <c r="L146" s="2817"/>
      <c r="M146" s="2817"/>
      <c r="N146" s="2817" t="s">
        <v>58</v>
      </c>
      <c r="O146" s="2817" t="s">
        <v>58</v>
      </c>
      <c r="P146" s="3017" t="s">
        <v>58</v>
      </c>
      <c r="Q146" s="2984" t="s">
        <v>201</v>
      </c>
      <c r="R146" s="2984" t="s">
        <v>201</v>
      </c>
      <c r="S146" s="2817"/>
      <c r="T146" s="2817"/>
      <c r="U146" s="2910">
        <v>69</v>
      </c>
      <c r="V146" s="2910">
        <v>69</v>
      </c>
      <c r="W146" s="2910">
        <v>69</v>
      </c>
      <c r="X146" s="2910">
        <v>69</v>
      </c>
      <c r="Y146" s="2910">
        <v>69</v>
      </c>
      <c r="Z146" s="2984"/>
      <c r="AA146" s="2817"/>
      <c r="AB146" s="2817"/>
      <c r="AC146" s="2817">
        <v>79</v>
      </c>
      <c r="AD146" s="2817">
        <v>79</v>
      </c>
      <c r="AE146" s="2817">
        <v>79</v>
      </c>
      <c r="AF146" s="2984">
        <v>79</v>
      </c>
      <c r="AG146" s="3073"/>
      <c r="AH146" s="191"/>
      <c r="AI146" s="107"/>
    </row>
    <row r="147" spans="1:35" ht="22.35" customHeight="1" thickBot="1" x14ac:dyDescent="0.25">
      <c r="A147" s="3018">
        <v>5</v>
      </c>
      <c r="B147" s="3078" t="s">
        <v>202</v>
      </c>
      <c r="C147" s="2997">
        <v>99</v>
      </c>
      <c r="D147" s="2997" t="s">
        <v>36</v>
      </c>
      <c r="E147" s="2997"/>
      <c r="F147" s="2796"/>
      <c r="G147" s="2796" t="s">
        <v>58</v>
      </c>
      <c r="H147" s="2913" t="s">
        <v>58</v>
      </c>
      <c r="I147" s="2913" t="s">
        <v>58</v>
      </c>
      <c r="J147" s="2913" t="s">
        <v>58</v>
      </c>
      <c r="K147" s="2913" t="s">
        <v>58</v>
      </c>
      <c r="L147" s="2796"/>
      <c r="M147" s="2796"/>
      <c r="N147" s="2997">
        <v>69</v>
      </c>
      <c r="O147" s="2997">
        <v>69</v>
      </c>
      <c r="P147" s="2997">
        <v>69</v>
      </c>
      <c r="Q147" s="2997">
        <v>69</v>
      </c>
      <c r="R147" s="2997">
        <v>69</v>
      </c>
      <c r="S147" s="2940"/>
      <c r="T147" s="2940"/>
      <c r="U147" s="2997">
        <v>79</v>
      </c>
      <c r="V147" s="2997">
        <v>79</v>
      </c>
      <c r="W147" s="2997">
        <v>79</v>
      </c>
      <c r="X147" s="2997">
        <v>79</v>
      </c>
      <c r="Y147" s="2997">
        <v>79</v>
      </c>
      <c r="Z147" s="2997"/>
      <c r="AA147" s="2915"/>
      <c r="AB147" s="2997"/>
      <c r="AC147" s="2940">
        <v>89</v>
      </c>
      <c r="AD147" s="2940">
        <v>89</v>
      </c>
      <c r="AE147" s="2940">
        <v>89</v>
      </c>
      <c r="AF147" s="2940">
        <v>89</v>
      </c>
      <c r="AG147" s="3079">
        <v>89</v>
      </c>
      <c r="AH147" s="191"/>
      <c r="AI147" s="107"/>
    </row>
    <row r="148" spans="1:35" ht="22.35" customHeight="1" x14ac:dyDescent="0.2">
      <c r="A148" s="200"/>
      <c r="B148" s="217"/>
      <c r="C148" s="218"/>
      <c r="D148" s="218"/>
      <c r="E148" s="218"/>
      <c r="F148" s="199"/>
      <c r="G148" s="216"/>
      <c r="H148" s="216"/>
      <c r="I148" s="216"/>
      <c r="J148" s="216"/>
      <c r="K148" s="216"/>
      <c r="L148" s="199"/>
      <c r="M148" s="199"/>
      <c r="N148" s="218"/>
      <c r="O148" s="218"/>
      <c r="P148" s="218"/>
      <c r="Q148" s="218"/>
      <c r="R148" s="218"/>
      <c r="S148" s="199"/>
      <c r="T148" s="219"/>
      <c r="U148" s="218"/>
      <c r="V148" s="218"/>
      <c r="W148" s="218"/>
      <c r="X148" s="218"/>
      <c r="Y148" s="218"/>
      <c r="Z148" s="220"/>
      <c r="AA148" s="220"/>
      <c r="AB148" s="218"/>
      <c r="AC148" s="218"/>
      <c r="AD148" s="218"/>
      <c r="AE148" s="218"/>
      <c r="AF148" s="218"/>
      <c r="AG148" s="220"/>
      <c r="AH148" s="191"/>
      <c r="AI148" s="107"/>
    </row>
    <row r="149" spans="1:35" ht="22.35" customHeight="1" x14ac:dyDescent="0.2">
      <c r="A149" s="109"/>
      <c r="B149" s="110"/>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7"/>
      <c r="AI149" s="107"/>
    </row>
    <row r="150" spans="1:35" ht="22.35" customHeight="1" thickBot="1" x14ac:dyDescent="0.25">
      <c r="A150" s="169" t="s">
        <v>204</v>
      </c>
      <c r="B150" s="170"/>
      <c r="C150" s="170"/>
      <c r="D150" s="171"/>
      <c r="E150" s="171"/>
      <c r="F150" s="171"/>
      <c r="G150" s="105"/>
      <c r="H150" s="171"/>
      <c r="I150" s="171"/>
      <c r="J150" s="171"/>
      <c r="K150" s="171"/>
      <c r="L150" s="171"/>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0"/>
      <c r="AI150" s="170"/>
    </row>
    <row r="151" spans="1:35" ht="22.35" customHeight="1" x14ac:dyDescent="0.2">
      <c r="A151" s="169"/>
      <c r="B151" s="2545" t="s">
        <v>186</v>
      </c>
      <c r="C151" s="3039"/>
      <c r="D151" s="3040" t="s">
        <v>107</v>
      </c>
      <c r="E151" s="3041"/>
      <c r="F151" s="3042"/>
      <c r="G151" s="3039"/>
      <c r="H151" s="3040" t="s">
        <v>108</v>
      </c>
      <c r="I151" s="3041"/>
      <c r="J151" s="3042"/>
      <c r="K151" s="3039"/>
      <c r="L151" s="3040" t="s">
        <v>109</v>
      </c>
      <c r="M151" s="3041"/>
      <c r="N151" s="3042"/>
      <c r="O151" s="3039"/>
      <c r="P151" s="3040" t="s">
        <v>110</v>
      </c>
      <c r="Q151" s="3041"/>
      <c r="R151" s="3042"/>
      <c r="S151" s="3039"/>
      <c r="T151" s="3040" t="s">
        <v>111</v>
      </c>
      <c r="U151" s="3041"/>
      <c r="V151" s="3042"/>
      <c r="W151" s="3039"/>
      <c r="X151" s="3040" t="s">
        <v>112</v>
      </c>
      <c r="Y151" s="3041"/>
      <c r="Z151" s="3042"/>
      <c r="AA151" s="3039"/>
      <c r="AB151" s="3040" t="s">
        <v>113</v>
      </c>
      <c r="AC151" s="3041"/>
      <c r="AD151" s="3041"/>
      <c r="AE151" s="3043" t="s">
        <v>114</v>
      </c>
      <c r="AF151" s="3041"/>
      <c r="AG151" s="3041"/>
      <c r="AH151" s="3041"/>
      <c r="AI151" s="3044"/>
    </row>
    <row r="152" spans="1:35" ht="22.35" customHeight="1" x14ac:dyDescent="0.2">
      <c r="A152" s="169"/>
      <c r="B152" s="3045" t="s">
        <v>205</v>
      </c>
      <c r="C152" s="2958" t="s">
        <v>206</v>
      </c>
      <c r="D152" s="3047"/>
      <c r="E152" s="3047"/>
      <c r="F152" s="3048"/>
      <c r="G152" s="2958" t="s">
        <v>206</v>
      </c>
      <c r="H152" s="3047"/>
      <c r="I152" s="3047"/>
      <c r="J152" s="3048"/>
      <c r="K152" s="2958" t="s">
        <v>206</v>
      </c>
      <c r="L152" s="3047"/>
      <c r="M152" s="3047"/>
      <c r="N152" s="3048"/>
      <c r="O152" s="2958" t="s">
        <v>206</v>
      </c>
      <c r="P152" s="3047"/>
      <c r="Q152" s="3047"/>
      <c r="R152" s="3048"/>
      <c r="S152" s="2958" t="s">
        <v>206</v>
      </c>
      <c r="T152" s="3047"/>
      <c r="U152" s="3047"/>
      <c r="V152" s="3048"/>
      <c r="W152" s="2958" t="s">
        <v>207</v>
      </c>
      <c r="X152" s="3049"/>
      <c r="Y152" s="3049"/>
      <c r="Z152" s="3050"/>
      <c r="AA152" s="2958" t="s">
        <v>207</v>
      </c>
      <c r="AB152" s="3047"/>
      <c r="AC152" s="3047"/>
      <c r="AD152" s="2959"/>
      <c r="AE152" s="3051">
        <v>69</v>
      </c>
      <c r="AF152" s="185"/>
      <c r="AG152" s="185"/>
      <c r="AH152" s="185"/>
      <c r="AI152" s="186"/>
    </row>
    <row r="153" spans="1:35" ht="22.35" customHeight="1" x14ac:dyDescent="0.2">
      <c r="A153" s="169"/>
      <c r="B153" s="3045" t="s">
        <v>163</v>
      </c>
      <c r="C153" s="2958" t="s">
        <v>171</v>
      </c>
      <c r="D153" s="3047"/>
      <c r="E153" s="3047"/>
      <c r="F153" s="3048"/>
      <c r="G153" s="2958" t="s">
        <v>171</v>
      </c>
      <c r="H153" s="3047"/>
      <c r="I153" s="3047"/>
      <c r="J153" s="3048"/>
      <c r="K153" s="2958" t="s">
        <v>171</v>
      </c>
      <c r="L153" s="3047"/>
      <c r="M153" s="3047"/>
      <c r="N153" s="3048"/>
      <c r="O153" s="2958" t="s">
        <v>171</v>
      </c>
      <c r="P153" s="3047"/>
      <c r="Q153" s="3047"/>
      <c r="R153" s="3048"/>
      <c r="S153" s="2958" t="s">
        <v>171</v>
      </c>
      <c r="T153" s="3047"/>
      <c r="U153" s="3047"/>
      <c r="V153" s="3048"/>
      <c r="W153" s="2958" t="s">
        <v>171</v>
      </c>
      <c r="X153" s="3047"/>
      <c r="Y153" s="3047"/>
      <c r="Z153" s="3048"/>
      <c r="AA153" s="3047" t="s">
        <v>171</v>
      </c>
      <c r="AB153" s="3047"/>
      <c r="AC153" s="3047"/>
      <c r="AD153" s="2959"/>
      <c r="AE153" s="3051">
        <v>0</v>
      </c>
      <c r="AF153" s="185"/>
      <c r="AG153" s="185"/>
      <c r="AH153" s="185"/>
      <c r="AI153" s="186"/>
    </row>
    <row r="154" spans="1:35" ht="22.35" customHeight="1" x14ac:dyDescent="0.2">
      <c r="A154" s="169"/>
      <c r="B154" s="3045" t="s">
        <v>208</v>
      </c>
      <c r="C154" s="2958" t="s">
        <v>206</v>
      </c>
      <c r="D154" s="3047"/>
      <c r="E154" s="3047"/>
      <c r="F154" s="3048"/>
      <c r="G154" s="2958" t="s">
        <v>206</v>
      </c>
      <c r="H154" s="3047"/>
      <c r="I154" s="3047"/>
      <c r="J154" s="3048"/>
      <c r="K154" s="2958" t="s">
        <v>206</v>
      </c>
      <c r="L154" s="3047"/>
      <c r="M154" s="3047"/>
      <c r="N154" s="3048"/>
      <c r="O154" s="2958" t="s">
        <v>206</v>
      </c>
      <c r="P154" s="3047"/>
      <c r="Q154" s="3047"/>
      <c r="R154" s="3048"/>
      <c r="S154" s="2958" t="s">
        <v>206</v>
      </c>
      <c r="T154" s="3047"/>
      <c r="U154" s="3047"/>
      <c r="V154" s="3048"/>
      <c r="W154" s="2958" t="s">
        <v>207</v>
      </c>
      <c r="X154" s="3049"/>
      <c r="Y154" s="3049"/>
      <c r="Z154" s="3050"/>
      <c r="AA154" s="2958" t="s">
        <v>207</v>
      </c>
      <c r="AB154" s="3047"/>
      <c r="AC154" s="3047"/>
      <c r="AD154" s="2959"/>
      <c r="AE154" s="3051">
        <v>69</v>
      </c>
      <c r="AF154" s="3047"/>
      <c r="AG154" s="3047" t="s">
        <v>0</v>
      </c>
      <c r="AH154" s="2959"/>
      <c r="AI154" s="3052"/>
    </row>
    <row r="155" spans="1:35" ht="22.35" customHeight="1" x14ac:dyDescent="0.2">
      <c r="A155" s="169"/>
      <c r="B155" s="3045" t="s">
        <v>172</v>
      </c>
      <c r="C155" s="2958" t="s">
        <v>171</v>
      </c>
      <c r="D155" s="3047"/>
      <c r="E155" s="3047"/>
      <c r="F155" s="3048"/>
      <c r="G155" s="2958" t="s">
        <v>171</v>
      </c>
      <c r="H155" s="3047"/>
      <c r="I155" s="3047"/>
      <c r="J155" s="3048"/>
      <c r="K155" s="2958" t="s">
        <v>171</v>
      </c>
      <c r="L155" s="3047"/>
      <c r="M155" s="3047"/>
      <c r="N155" s="3048"/>
      <c r="O155" s="2958" t="s">
        <v>171</v>
      </c>
      <c r="P155" s="3047"/>
      <c r="Q155" s="3047"/>
      <c r="R155" s="3048"/>
      <c r="S155" s="2958" t="s">
        <v>171</v>
      </c>
      <c r="T155" s="3047"/>
      <c r="U155" s="3047"/>
      <c r="V155" s="3048"/>
      <c r="W155" s="2958" t="s">
        <v>171</v>
      </c>
      <c r="X155" s="3047"/>
      <c r="Y155" s="3047"/>
      <c r="Z155" s="3048"/>
      <c r="AA155" s="3047" t="s">
        <v>171</v>
      </c>
      <c r="AB155" s="3047"/>
      <c r="AC155" s="3047"/>
      <c r="AD155" s="2959"/>
      <c r="AE155" s="3051">
        <v>0</v>
      </c>
      <c r="AF155" s="3047"/>
      <c r="AG155" s="3047"/>
      <c r="AH155" s="2959"/>
      <c r="AI155" s="3052"/>
    </row>
    <row r="156" spans="1:35" ht="22.35" customHeight="1" x14ac:dyDescent="0.2">
      <c r="A156" s="169"/>
      <c r="B156" s="3045" t="s">
        <v>209</v>
      </c>
      <c r="C156" s="2958" t="s">
        <v>206</v>
      </c>
      <c r="D156" s="3047"/>
      <c r="E156" s="3047"/>
      <c r="F156" s="3048"/>
      <c r="G156" s="2958" t="s">
        <v>206</v>
      </c>
      <c r="H156" s="3047"/>
      <c r="I156" s="3047"/>
      <c r="J156" s="3048"/>
      <c r="K156" s="2958" t="s">
        <v>206</v>
      </c>
      <c r="L156" s="3047"/>
      <c r="M156" s="3047"/>
      <c r="N156" s="3048"/>
      <c r="O156" s="2958" t="s">
        <v>206</v>
      </c>
      <c r="P156" s="3047"/>
      <c r="Q156" s="3047"/>
      <c r="R156" s="3048"/>
      <c r="S156" s="2958" t="s">
        <v>206</v>
      </c>
      <c r="T156" s="3047"/>
      <c r="U156" s="3047"/>
      <c r="V156" s="3048"/>
      <c r="W156" s="2958" t="s">
        <v>210</v>
      </c>
      <c r="X156" s="3054"/>
      <c r="Y156" s="3054"/>
      <c r="Z156" s="3055"/>
      <c r="AA156" s="2958" t="s">
        <v>210</v>
      </c>
      <c r="AB156" s="3054"/>
      <c r="AC156" s="3054"/>
      <c r="AD156" s="2961"/>
      <c r="AE156" s="3051">
        <v>66</v>
      </c>
      <c r="AF156" s="3047"/>
      <c r="AG156" s="3047"/>
      <c r="AH156" s="2959"/>
      <c r="AI156" s="3052"/>
    </row>
    <row r="157" spans="1:35" ht="22.35" customHeight="1" thickBot="1" x14ac:dyDescent="0.25">
      <c r="A157" s="169"/>
      <c r="B157" s="3045" t="s">
        <v>211</v>
      </c>
      <c r="C157" s="3080" t="s">
        <v>171</v>
      </c>
      <c r="D157" s="3081"/>
      <c r="E157" s="3081"/>
      <c r="F157" s="3082"/>
      <c r="G157" s="3080" t="s">
        <v>171</v>
      </c>
      <c r="H157" s="3081"/>
      <c r="I157" s="3081"/>
      <c r="J157" s="3082"/>
      <c r="K157" s="3080" t="s">
        <v>171</v>
      </c>
      <c r="L157" s="3081"/>
      <c r="M157" s="3081"/>
      <c r="N157" s="3082"/>
      <c r="O157" s="3080" t="s">
        <v>171</v>
      </c>
      <c r="P157" s="3081"/>
      <c r="Q157" s="3081"/>
      <c r="R157" s="3082"/>
      <c r="S157" s="3080" t="s">
        <v>171</v>
      </c>
      <c r="T157" s="3081"/>
      <c r="U157" s="3081"/>
      <c r="V157" s="3065"/>
      <c r="W157" s="3080" t="s">
        <v>171</v>
      </c>
      <c r="X157" s="3065"/>
      <c r="Y157" s="3081"/>
      <c r="Z157" s="3082"/>
      <c r="AA157" s="3080" t="s">
        <v>171</v>
      </c>
      <c r="AB157" s="3065"/>
      <c r="AC157" s="3081"/>
      <c r="AD157" s="3082"/>
      <c r="AE157" s="3083" t="s">
        <v>212</v>
      </c>
      <c r="AF157" s="3081"/>
      <c r="AG157" s="3081"/>
      <c r="AH157" s="3065"/>
      <c r="AI157" s="3066"/>
    </row>
    <row r="158" spans="1:35" ht="22.35" customHeight="1" x14ac:dyDescent="0.2">
      <c r="A158" s="108" t="s">
        <v>462</v>
      </c>
      <c r="B158" s="169"/>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0"/>
      <c r="AI158" s="170"/>
    </row>
    <row r="159" spans="1:35" ht="22.35" customHeight="1" thickBot="1" x14ac:dyDescent="0.25">
      <c r="A159" s="3035"/>
      <c r="B159" s="2969" t="s">
        <v>29</v>
      </c>
      <c r="C159" s="2796">
        <v>1</v>
      </c>
      <c r="D159" s="2796">
        <v>2</v>
      </c>
      <c r="E159" s="2797">
        <v>3</v>
      </c>
      <c r="F159" s="2797">
        <v>4</v>
      </c>
      <c r="G159" s="2796">
        <v>5</v>
      </c>
      <c r="H159" s="2796">
        <v>6</v>
      </c>
      <c r="I159" s="2796">
        <v>7</v>
      </c>
      <c r="J159" s="2796">
        <v>8</v>
      </c>
      <c r="K159" s="2796">
        <v>9</v>
      </c>
      <c r="L159" s="2797">
        <v>10</v>
      </c>
      <c r="M159" s="2797">
        <v>11</v>
      </c>
      <c r="N159" s="2796">
        <v>12</v>
      </c>
      <c r="O159" s="2796">
        <v>13</v>
      </c>
      <c r="P159" s="2796">
        <v>14</v>
      </c>
      <c r="Q159" s="2796">
        <v>15</v>
      </c>
      <c r="R159" s="2796">
        <v>16</v>
      </c>
      <c r="S159" s="2797">
        <v>17</v>
      </c>
      <c r="T159" s="2797">
        <v>18</v>
      </c>
      <c r="U159" s="2796">
        <v>19</v>
      </c>
      <c r="V159" s="2796">
        <v>20</v>
      </c>
      <c r="W159" s="2796">
        <v>21</v>
      </c>
      <c r="X159" s="2796">
        <v>22</v>
      </c>
      <c r="Y159" s="2796">
        <v>23</v>
      </c>
      <c r="Z159" s="2797">
        <v>24</v>
      </c>
      <c r="AA159" s="2797">
        <v>25</v>
      </c>
      <c r="AB159" s="2797">
        <v>26</v>
      </c>
      <c r="AC159" s="2796">
        <v>27</v>
      </c>
      <c r="AD159" s="2796">
        <v>28</v>
      </c>
      <c r="AE159" s="2796">
        <v>29</v>
      </c>
      <c r="AF159" s="2796">
        <v>30</v>
      </c>
      <c r="AG159" s="2798">
        <v>31</v>
      </c>
      <c r="AH159" s="173"/>
      <c r="AI159" s="174"/>
    </row>
    <row r="160" spans="1:35" ht="22.35" customHeight="1" x14ac:dyDescent="0.2">
      <c r="A160" s="2616">
        <v>1</v>
      </c>
      <c r="B160" s="215" t="s">
        <v>213</v>
      </c>
      <c r="C160" s="2617" t="s">
        <v>36</v>
      </c>
      <c r="D160" s="2617" t="s">
        <v>36</v>
      </c>
      <c r="E160" s="2617"/>
      <c r="F160" s="2617"/>
      <c r="G160" s="3084">
        <v>23</v>
      </c>
      <c r="H160" s="3084">
        <v>23</v>
      </c>
      <c r="I160" s="3084" t="s">
        <v>363</v>
      </c>
      <c r="J160" s="2628">
        <v>23</v>
      </c>
      <c r="K160" s="2628">
        <v>23</v>
      </c>
      <c r="L160" s="2628">
        <v>23</v>
      </c>
      <c r="M160" s="2628">
        <v>23</v>
      </c>
      <c r="N160" s="3085" t="s">
        <v>36</v>
      </c>
      <c r="O160" s="3085" t="s">
        <v>36</v>
      </c>
      <c r="P160" s="2617" t="s">
        <v>36</v>
      </c>
      <c r="Q160" s="2617" t="s">
        <v>36</v>
      </c>
      <c r="R160" s="2617" t="s">
        <v>36</v>
      </c>
      <c r="S160" s="2617"/>
      <c r="T160" s="2617"/>
      <c r="U160" s="2617">
        <v>21</v>
      </c>
      <c r="V160" s="2617">
        <v>21</v>
      </c>
      <c r="W160" s="2619">
        <v>21</v>
      </c>
      <c r="X160" s="2617">
        <v>21</v>
      </c>
      <c r="Y160" s="2617">
        <v>21</v>
      </c>
      <c r="Z160" s="2619">
        <v>21</v>
      </c>
      <c r="AA160" s="2617">
        <v>21</v>
      </c>
      <c r="AB160" s="2617" t="s">
        <v>36</v>
      </c>
      <c r="AC160" s="2617" t="s">
        <v>36</v>
      </c>
      <c r="AD160" s="2617" t="s">
        <v>36</v>
      </c>
      <c r="AE160" s="2617" t="s">
        <v>36</v>
      </c>
      <c r="AF160" s="2617" t="s">
        <v>36</v>
      </c>
      <c r="AG160" s="2621"/>
      <c r="AH160" s="107"/>
      <c r="AI160" s="107"/>
    </row>
    <row r="161" spans="1:35" ht="22.35" customHeight="1" thickBot="1" x14ac:dyDescent="0.25">
      <c r="A161" s="1086">
        <v>2</v>
      </c>
      <c r="B161" s="2801" t="s">
        <v>214</v>
      </c>
      <c r="C161" s="2803" t="s">
        <v>36</v>
      </c>
      <c r="D161" s="2803" t="s">
        <v>36</v>
      </c>
      <c r="E161" s="2803"/>
      <c r="F161" s="2803"/>
      <c r="G161" s="2803">
        <v>21</v>
      </c>
      <c r="H161" s="2803">
        <v>21</v>
      </c>
      <c r="I161" s="851">
        <v>21</v>
      </c>
      <c r="J161" s="2803">
        <v>21</v>
      </c>
      <c r="K161" s="2803">
        <v>21</v>
      </c>
      <c r="L161" s="851">
        <v>21</v>
      </c>
      <c r="M161" s="2807">
        <v>21</v>
      </c>
      <c r="N161" s="2807" t="s">
        <v>36</v>
      </c>
      <c r="O161" s="2807" t="s">
        <v>36</v>
      </c>
      <c r="P161" s="2807" t="s">
        <v>36</v>
      </c>
      <c r="Q161" s="2807" t="s">
        <v>36</v>
      </c>
      <c r="R161" s="2807" t="s">
        <v>36</v>
      </c>
      <c r="S161" s="2807"/>
      <c r="T161" s="2807"/>
      <c r="U161" s="2807">
        <v>22</v>
      </c>
      <c r="V161" s="2807">
        <v>22</v>
      </c>
      <c r="W161" s="851">
        <v>22</v>
      </c>
      <c r="X161" s="2803">
        <v>22</v>
      </c>
      <c r="Y161" s="2803">
        <v>22</v>
      </c>
      <c r="Z161" s="851">
        <v>22</v>
      </c>
      <c r="AA161" s="2807">
        <v>22</v>
      </c>
      <c r="AB161" s="2807" t="s">
        <v>36</v>
      </c>
      <c r="AC161" s="2807" t="s">
        <v>36</v>
      </c>
      <c r="AD161" s="2807" t="s">
        <v>36</v>
      </c>
      <c r="AE161" s="2807" t="s">
        <v>36</v>
      </c>
      <c r="AF161" s="2807" t="s">
        <v>36</v>
      </c>
      <c r="AG161" s="2809"/>
      <c r="AH161" s="107"/>
      <c r="AI161" s="107"/>
    </row>
    <row r="162" spans="1:35" ht="22.35" customHeight="1" x14ac:dyDescent="0.2">
      <c r="A162" s="1086">
        <v>3</v>
      </c>
      <c r="B162" s="2801" t="s">
        <v>362</v>
      </c>
      <c r="C162" s="960">
        <v>23</v>
      </c>
      <c r="D162" s="960">
        <v>23</v>
      </c>
      <c r="E162" s="2841">
        <v>23</v>
      </c>
      <c r="F162" s="2803"/>
      <c r="G162" s="2807">
        <v>22</v>
      </c>
      <c r="H162" s="2807">
        <v>22</v>
      </c>
      <c r="I162" s="2709">
        <v>22</v>
      </c>
      <c r="J162" s="2709">
        <v>22</v>
      </c>
      <c r="K162" s="2709">
        <v>22</v>
      </c>
      <c r="L162" s="2709">
        <v>22</v>
      </c>
      <c r="M162" s="2709">
        <v>22</v>
      </c>
      <c r="N162" s="2709" t="s">
        <v>36</v>
      </c>
      <c r="O162" s="2709" t="s">
        <v>36</v>
      </c>
      <c r="P162" s="2803" t="s">
        <v>36</v>
      </c>
      <c r="Q162" s="2803" t="s">
        <v>36</v>
      </c>
      <c r="R162" s="2852" t="s">
        <v>36</v>
      </c>
      <c r="S162" s="2852"/>
      <c r="T162" s="2803"/>
      <c r="U162" s="964">
        <v>23</v>
      </c>
      <c r="V162" s="964" t="s">
        <v>363</v>
      </c>
      <c r="W162" s="2845">
        <v>23</v>
      </c>
      <c r="X162" s="2845">
        <v>23</v>
      </c>
      <c r="Y162" s="2845">
        <v>23</v>
      </c>
      <c r="Z162" s="2845">
        <v>23</v>
      </c>
      <c r="AA162" s="2845">
        <v>23</v>
      </c>
      <c r="AB162" s="2803" t="s">
        <v>36</v>
      </c>
      <c r="AC162" s="2803" t="s">
        <v>36</v>
      </c>
      <c r="AD162" s="2803" t="s">
        <v>36</v>
      </c>
      <c r="AE162" s="2803" t="s">
        <v>36</v>
      </c>
      <c r="AF162" s="2803" t="s">
        <v>36</v>
      </c>
      <c r="AG162" s="2809"/>
      <c r="AH162" s="107"/>
      <c r="AI162" s="107"/>
    </row>
    <row r="163" spans="1:35" ht="22.35" customHeight="1" x14ac:dyDescent="0.2">
      <c r="A163" s="1086">
        <v>4</v>
      </c>
      <c r="B163" s="2801" t="s">
        <v>0</v>
      </c>
      <c r="C163" s="2803">
        <v>22</v>
      </c>
      <c r="D163" s="2803">
        <v>22</v>
      </c>
      <c r="E163" s="851">
        <v>22</v>
      </c>
      <c r="F163" s="2803">
        <v>22</v>
      </c>
      <c r="G163" s="2803" t="s">
        <v>36</v>
      </c>
      <c r="H163" s="2803" t="s">
        <v>36</v>
      </c>
      <c r="I163" s="2803" t="s">
        <v>36</v>
      </c>
      <c r="J163" s="2803" t="s">
        <v>36</v>
      </c>
      <c r="K163" s="2803" t="s">
        <v>36</v>
      </c>
      <c r="L163" s="2803"/>
      <c r="M163" s="2803"/>
      <c r="N163" s="2803">
        <v>23</v>
      </c>
      <c r="O163" s="2709">
        <v>23</v>
      </c>
      <c r="P163" s="2709">
        <v>23</v>
      </c>
      <c r="Q163" s="2709">
        <v>23</v>
      </c>
      <c r="R163" s="2709">
        <v>23</v>
      </c>
      <c r="S163" s="2709">
        <v>23</v>
      </c>
      <c r="T163" s="2709">
        <v>23</v>
      </c>
      <c r="U163" s="2709" t="s">
        <v>36</v>
      </c>
      <c r="V163" s="2709" t="s">
        <v>36</v>
      </c>
      <c r="W163" s="2803" t="s">
        <v>36</v>
      </c>
      <c r="X163" s="2803" t="s">
        <v>36</v>
      </c>
      <c r="Y163" s="2803" t="s">
        <v>36</v>
      </c>
      <c r="Z163" s="2803"/>
      <c r="AA163" s="2803"/>
      <c r="AB163" s="2803">
        <v>21</v>
      </c>
      <c r="AC163" s="2803">
        <v>21</v>
      </c>
      <c r="AD163" s="851">
        <v>21</v>
      </c>
      <c r="AE163" s="2803">
        <v>21</v>
      </c>
      <c r="AF163" s="2803">
        <v>21</v>
      </c>
      <c r="AG163" s="978">
        <v>21</v>
      </c>
      <c r="AH163" s="107"/>
      <c r="AI163" s="107"/>
    </row>
    <row r="164" spans="1:35" ht="22.35" customHeight="1" x14ac:dyDescent="0.2">
      <c r="A164" s="1086">
        <v>5</v>
      </c>
      <c r="B164" s="2801" t="s">
        <v>0</v>
      </c>
      <c r="C164" s="2803">
        <v>23</v>
      </c>
      <c r="D164" s="2803">
        <v>23</v>
      </c>
      <c r="E164" s="851">
        <v>23</v>
      </c>
      <c r="F164" s="2807">
        <v>23</v>
      </c>
      <c r="G164" s="2803" t="s">
        <v>36</v>
      </c>
      <c r="H164" s="2803" t="s">
        <v>36</v>
      </c>
      <c r="I164" s="2803" t="s">
        <v>36</v>
      </c>
      <c r="J164" s="2803" t="s">
        <v>36</v>
      </c>
      <c r="K164" s="2803" t="s">
        <v>36</v>
      </c>
      <c r="L164" s="2803"/>
      <c r="M164" s="2803"/>
      <c r="N164" s="2803">
        <v>21</v>
      </c>
      <c r="O164" s="2803">
        <v>21</v>
      </c>
      <c r="P164" s="851">
        <v>21</v>
      </c>
      <c r="Q164" s="2803">
        <v>21</v>
      </c>
      <c r="R164" s="2803">
        <v>21</v>
      </c>
      <c r="S164" s="851">
        <v>21</v>
      </c>
      <c r="T164" s="2803">
        <v>21</v>
      </c>
      <c r="U164" s="2803" t="s">
        <v>36</v>
      </c>
      <c r="V164" s="2803" t="s">
        <v>36</v>
      </c>
      <c r="W164" s="2803" t="s">
        <v>36</v>
      </c>
      <c r="X164" s="2803" t="s">
        <v>36</v>
      </c>
      <c r="Y164" s="2803" t="s">
        <v>36</v>
      </c>
      <c r="Z164" s="2803"/>
      <c r="AA164" s="2803"/>
      <c r="AB164" s="2803">
        <v>22</v>
      </c>
      <c r="AC164" s="2807">
        <v>22</v>
      </c>
      <c r="AD164" s="2807">
        <v>22</v>
      </c>
      <c r="AE164" s="2807">
        <v>22</v>
      </c>
      <c r="AF164" s="2803">
        <v>22</v>
      </c>
      <c r="AG164" s="978">
        <v>22</v>
      </c>
      <c r="AH164" s="107"/>
      <c r="AI164" s="107"/>
    </row>
    <row r="165" spans="1:35" ht="22.35" customHeight="1" thickBot="1" x14ac:dyDescent="0.25">
      <c r="A165" s="1090">
        <v>6</v>
      </c>
      <c r="B165" s="1091" t="s">
        <v>218</v>
      </c>
      <c r="C165" s="866">
        <v>21</v>
      </c>
      <c r="D165" s="866">
        <v>21</v>
      </c>
      <c r="E165" s="2623">
        <v>21</v>
      </c>
      <c r="F165" s="866">
        <v>21</v>
      </c>
      <c r="G165" s="2856" t="s">
        <v>36</v>
      </c>
      <c r="H165" s="1093" t="s">
        <v>36</v>
      </c>
      <c r="I165" s="1093" t="s">
        <v>36</v>
      </c>
      <c r="J165" s="1093" t="s">
        <v>36</v>
      </c>
      <c r="K165" s="1093" t="s">
        <v>36</v>
      </c>
      <c r="L165" s="1093"/>
      <c r="M165" s="1093"/>
      <c r="N165" s="3086">
        <v>22</v>
      </c>
      <c r="O165" s="3086">
        <v>22</v>
      </c>
      <c r="P165" s="3086">
        <v>22</v>
      </c>
      <c r="Q165" s="1273">
        <v>22</v>
      </c>
      <c r="R165" s="1273">
        <v>22</v>
      </c>
      <c r="S165" s="1273">
        <v>22</v>
      </c>
      <c r="T165" s="1273">
        <v>22</v>
      </c>
      <c r="U165" s="2856" t="s">
        <v>36</v>
      </c>
      <c r="V165" s="2856" t="s">
        <v>36</v>
      </c>
      <c r="W165" s="2856" t="s">
        <v>36</v>
      </c>
      <c r="X165" s="2856" t="s">
        <v>36</v>
      </c>
      <c r="Y165" s="2856" t="s">
        <v>36</v>
      </c>
      <c r="Z165" s="2856"/>
      <c r="AA165" s="2856"/>
      <c r="AB165" s="2858">
        <v>23</v>
      </c>
      <c r="AC165" s="2858">
        <v>23</v>
      </c>
      <c r="AD165" s="1092">
        <v>23</v>
      </c>
      <c r="AE165" s="2856">
        <v>23</v>
      </c>
      <c r="AF165" s="2856">
        <v>23</v>
      </c>
      <c r="AG165" s="1094">
        <v>23</v>
      </c>
      <c r="AH165" s="107"/>
      <c r="AI165" s="107"/>
    </row>
    <row r="166" spans="1:35" ht="22.35" customHeight="1" x14ac:dyDescent="0.2">
      <c r="A166" s="200"/>
      <c r="B166" s="198"/>
      <c r="C166" s="199"/>
      <c r="D166" s="199"/>
      <c r="E166" s="216"/>
      <c r="F166" s="199"/>
      <c r="G166" s="199"/>
      <c r="H166" s="221"/>
      <c r="I166" s="221"/>
      <c r="J166" s="221"/>
      <c r="K166" s="221"/>
      <c r="L166" s="221"/>
      <c r="M166" s="221"/>
      <c r="N166" s="192"/>
      <c r="O166" s="192"/>
      <c r="P166" s="216"/>
      <c r="Q166" s="199"/>
      <c r="R166" s="199"/>
      <c r="S166" s="216"/>
      <c r="T166" s="199"/>
      <c r="U166" s="199"/>
      <c r="V166" s="199"/>
      <c r="W166" s="199"/>
      <c r="X166" s="199"/>
      <c r="Y166" s="199"/>
      <c r="Z166" s="199"/>
      <c r="AA166" s="199"/>
      <c r="AB166" s="192"/>
      <c r="AC166" s="192"/>
      <c r="AD166" s="216"/>
      <c r="AE166" s="199"/>
      <c r="AF166" s="199"/>
      <c r="AG166" s="216"/>
      <c r="AH166" s="107"/>
      <c r="AI166" s="107"/>
    </row>
    <row r="167" spans="1:35" ht="22.35" customHeight="1" x14ac:dyDescent="0.2">
      <c r="A167" s="109"/>
      <c r="B167" s="110"/>
      <c r="C167" s="183"/>
      <c r="D167" s="183"/>
      <c r="E167" s="168"/>
      <c r="F167" s="183"/>
      <c r="G167" s="183"/>
      <c r="H167" s="183"/>
      <c r="I167" s="183"/>
      <c r="J167" s="183"/>
      <c r="K167" s="183"/>
      <c r="L167" s="183"/>
      <c r="M167" s="183"/>
      <c r="N167" s="183"/>
      <c r="O167" s="183"/>
      <c r="P167" s="168"/>
      <c r="Q167" s="183"/>
      <c r="R167" s="183"/>
      <c r="S167" s="168"/>
      <c r="T167" s="183"/>
      <c r="U167" s="183"/>
      <c r="V167" s="183"/>
      <c r="W167" s="183"/>
      <c r="X167" s="183"/>
      <c r="Y167" s="183"/>
      <c r="Z167" s="183"/>
      <c r="AA167" s="183"/>
      <c r="AB167" s="183"/>
      <c r="AC167" s="184"/>
      <c r="AD167" s="184"/>
      <c r="AE167" s="184"/>
      <c r="AF167" s="183"/>
      <c r="AG167" s="168"/>
      <c r="AH167" s="107"/>
      <c r="AI167" s="107"/>
    </row>
    <row r="168" spans="1:35" ht="22.35" customHeight="1" thickBot="1" x14ac:dyDescent="0.25">
      <c r="A168" s="158" t="s">
        <v>219</v>
      </c>
      <c r="D168" s="72"/>
      <c r="E168" s="72"/>
      <c r="F168" s="72"/>
      <c r="G168" s="105"/>
      <c r="H168" s="72"/>
      <c r="I168" s="72"/>
      <c r="J168" s="72"/>
      <c r="K168" s="72"/>
      <c r="L168" s="72"/>
      <c r="M168" s="72"/>
      <c r="N168" s="72"/>
      <c r="O168" s="72"/>
      <c r="P168" s="72"/>
      <c r="Q168" s="72"/>
      <c r="R168" s="72"/>
      <c r="S168" s="72"/>
      <c r="T168" s="72"/>
      <c r="U168" s="72"/>
      <c r="V168" s="72"/>
      <c r="W168" s="72"/>
      <c r="X168" s="72"/>
      <c r="Y168" s="72"/>
      <c r="Z168" s="72"/>
      <c r="AA168" s="72"/>
      <c r="AB168" s="72"/>
      <c r="AC168" s="72"/>
      <c r="AD168" s="72"/>
      <c r="AE168" s="72"/>
      <c r="AF168" s="72"/>
      <c r="AG168" s="72"/>
    </row>
    <row r="169" spans="1:35" ht="22.35" customHeight="1" x14ac:dyDescent="0.2">
      <c r="A169" s="1"/>
      <c r="B169" s="2545" t="s">
        <v>186</v>
      </c>
      <c r="C169" s="3003"/>
      <c r="D169" s="3040" t="s">
        <v>107</v>
      </c>
      <c r="E169" s="2869"/>
      <c r="F169" s="2518"/>
      <c r="G169" s="3003"/>
      <c r="H169" s="3040" t="s">
        <v>108</v>
      </c>
      <c r="I169" s="2869"/>
      <c r="J169" s="2518"/>
      <c r="K169" s="3003"/>
      <c r="L169" s="3040" t="s">
        <v>109</v>
      </c>
      <c r="M169" s="2869"/>
      <c r="N169" s="2518"/>
      <c r="O169" s="3003"/>
      <c r="P169" s="3040" t="s">
        <v>110</v>
      </c>
      <c r="Q169" s="2869"/>
      <c r="R169" s="2518"/>
      <c r="S169" s="3003"/>
      <c r="T169" s="3040" t="s">
        <v>111</v>
      </c>
      <c r="U169" s="2869"/>
      <c r="V169" s="2518"/>
      <c r="W169" s="3003"/>
      <c r="X169" s="3040" t="s">
        <v>112</v>
      </c>
      <c r="Y169" s="2869"/>
      <c r="Z169" s="2518"/>
      <c r="AA169" s="3003"/>
      <c r="AB169" s="3040" t="s">
        <v>113</v>
      </c>
      <c r="AC169" s="2869"/>
      <c r="AD169" s="2869"/>
      <c r="AE169" s="3043" t="s">
        <v>114</v>
      </c>
      <c r="AF169" s="2869"/>
      <c r="AG169" s="2869"/>
      <c r="AH169" s="2869"/>
      <c r="AI169" s="2870"/>
    </row>
    <row r="170" spans="1:35" ht="22.35" customHeight="1" x14ac:dyDescent="0.2">
      <c r="A170" s="1"/>
      <c r="B170" s="3045" t="s">
        <v>159</v>
      </c>
      <c r="C170" s="2958" t="s">
        <v>187</v>
      </c>
      <c r="D170" s="2778"/>
      <c r="E170" s="2778"/>
      <c r="F170" s="3048"/>
      <c r="G170" s="2958" t="s">
        <v>187</v>
      </c>
      <c r="H170" s="2778"/>
      <c r="I170" s="2778"/>
      <c r="J170" s="3048"/>
      <c r="K170" s="2958" t="s">
        <v>187</v>
      </c>
      <c r="L170" s="2778"/>
      <c r="M170" s="2778"/>
      <c r="N170" s="3048"/>
      <c r="O170" s="2958" t="s">
        <v>220</v>
      </c>
      <c r="P170" s="2778"/>
      <c r="Q170" s="2778"/>
      <c r="R170" s="3048"/>
      <c r="S170" s="2958" t="s">
        <v>171</v>
      </c>
      <c r="T170" s="2778"/>
      <c r="U170" s="2778"/>
      <c r="V170" s="3048"/>
      <c r="W170" s="3087"/>
      <c r="X170" s="3088"/>
      <c r="Y170" s="3088"/>
      <c r="Z170" s="3050"/>
      <c r="AA170" s="3046"/>
      <c r="AB170" s="2778"/>
      <c r="AC170" s="2778"/>
      <c r="AD170" s="2959"/>
      <c r="AE170" s="3051">
        <v>27</v>
      </c>
      <c r="AF170" s="2778"/>
      <c r="AG170" s="2778"/>
      <c r="AH170" s="2959"/>
      <c r="AI170" s="2787"/>
    </row>
    <row r="171" spans="1:35" ht="22.35" customHeight="1" x14ac:dyDescent="0.2">
      <c r="A171" s="1"/>
      <c r="B171" s="3045" t="s">
        <v>163</v>
      </c>
      <c r="C171" s="2958" t="s">
        <v>221</v>
      </c>
      <c r="D171" s="2778"/>
      <c r="E171" s="2778"/>
      <c r="F171" s="3048"/>
      <c r="G171" s="2958" t="s">
        <v>221</v>
      </c>
      <c r="H171" s="2778"/>
      <c r="I171" s="2778"/>
      <c r="J171" s="3048"/>
      <c r="K171" s="2958" t="s">
        <v>221</v>
      </c>
      <c r="L171" s="2778"/>
      <c r="M171" s="2778"/>
      <c r="N171" s="3048"/>
      <c r="O171" s="2958" t="s">
        <v>221</v>
      </c>
      <c r="P171" s="2778"/>
      <c r="Q171" s="2778"/>
      <c r="R171" s="3048"/>
      <c r="S171" s="2958" t="s">
        <v>187</v>
      </c>
      <c r="T171" s="2778"/>
      <c r="U171" s="2778"/>
      <c r="V171" s="3048"/>
      <c r="W171" s="2958"/>
      <c r="X171" s="2778"/>
      <c r="Y171" s="2778"/>
      <c r="Z171" s="3048"/>
      <c r="AA171" s="2778"/>
      <c r="AB171" s="2778"/>
      <c r="AC171" s="2778"/>
      <c r="AD171" s="2959"/>
      <c r="AE171" s="3051">
        <v>39</v>
      </c>
      <c r="AF171" s="2778"/>
      <c r="AG171" s="2778"/>
      <c r="AH171" s="2959"/>
      <c r="AI171" s="2787"/>
    </row>
    <row r="172" spans="1:35" ht="22.35" customHeight="1" x14ac:dyDescent="0.2">
      <c r="A172" s="1"/>
      <c r="B172" s="3045" t="s">
        <v>170</v>
      </c>
      <c r="C172" s="2958" t="s">
        <v>221</v>
      </c>
      <c r="D172" s="2778"/>
      <c r="E172" s="2778"/>
      <c r="F172" s="3048"/>
      <c r="G172" s="2958" t="s">
        <v>221</v>
      </c>
      <c r="H172" s="2778"/>
      <c r="I172" s="2778"/>
      <c r="J172" s="3048"/>
      <c r="K172" s="2958" t="s">
        <v>221</v>
      </c>
      <c r="L172" s="2778"/>
      <c r="M172" s="2778"/>
      <c r="N172" s="3048"/>
      <c r="O172" s="2958" t="s">
        <v>221</v>
      </c>
      <c r="P172" s="2778"/>
      <c r="Q172" s="2778"/>
      <c r="R172" s="3048"/>
      <c r="S172" s="2958" t="s">
        <v>221</v>
      </c>
      <c r="T172" s="2778"/>
      <c r="U172" s="2778"/>
      <c r="V172" s="3048"/>
      <c r="W172" s="2960" t="s">
        <v>222</v>
      </c>
      <c r="X172" s="2791"/>
      <c r="Y172" s="2791"/>
      <c r="Z172" s="3055"/>
      <c r="AA172" s="3053"/>
      <c r="AB172" s="2791"/>
      <c r="AC172" s="2791"/>
      <c r="AD172" s="2961"/>
      <c r="AE172" s="3051">
        <v>45</v>
      </c>
      <c r="AF172" s="2778"/>
      <c r="AG172" s="2778"/>
      <c r="AH172" s="2959"/>
      <c r="AI172" s="2787"/>
    </row>
    <row r="173" spans="1:35" ht="22.35" customHeight="1" thickBot="1" x14ac:dyDescent="0.25">
      <c r="A173" s="1"/>
      <c r="B173" s="223" t="s">
        <v>172</v>
      </c>
      <c r="C173" s="3080"/>
      <c r="D173" s="2881"/>
      <c r="E173" s="2881"/>
      <c r="F173" s="3082"/>
      <c r="G173" s="3080"/>
      <c r="H173" s="2881"/>
      <c r="I173" s="2881"/>
      <c r="J173" s="3082"/>
      <c r="K173" s="3080"/>
      <c r="L173" s="2881"/>
      <c r="M173" s="2881"/>
      <c r="N173" s="3082"/>
      <c r="O173" s="3080"/>
      <c r="P173" s="2881"/>
      <c r="Q173" s="2881"/>
      <c r="R173" s="3082"/>
      <c r="S173" s="3080"/>
      <c r="T173" s="2881"/>
      <c r="U173" s="2881"/>
      <c r="V173" s="3065"/>
      <c r="W173" s="3080"/>
      <c r="X173" s="3065"/>
      <c r="Y173" s="2881"/>
      <c r="Z173" s="3082"/>
      <c r="AA173" s="3080"/>
      <c r="AB173" s="3065"/>
      <c r="AC173" s="2881"/>
      <c r="AD173" s="3082"/>
      <c r="AE173" s="3089"/>
      <c r="AF173" s="2881"/>
      <c r="AG173" s="2881"/>
      <c r="AH173" s="3065"/>
      <c r="AI173" s="2888"/>
    </row>
    <row r="174" spans="1:35" ht="22.35" customHeight="1" x14ac:dyDescent="0.2">
      <c r="A174" s="108"/>
      <c r="B174" s="1"/>
      <c r="C174" s="72"/>
      <c r="D174" s="72"/>
      <c r="E174" s="72"/>
      <c r="F174" s="72"/>
      <c r="G174" s="72"/>
      <c r="H174" s="72"/>
      <c r="I174" s="72"/>
      <c r="J174" s="72"/>
      <c r="K174" s="72"/>
      <c r="L174" s="72"/>
      <c r="M174" s="72"/>
      <c r="N174" s="72"/>
      <c r="O174" s="72"/>
      <c r="P174" s="72"/>
      <c r="Q174" s="72"/>
      <c r="R174" s="72"/>
      <c r="S174" s="72"/>
      <c r="T174" s="72"/>
      <c r="U174" s="72"/>
      <c r="V174" s="72"/>
      <c r="W174" s="72"/>
      <c r="X174" s="72"/>
      <c r="Y174" s="72"/>
      <c r="Z174" s="72"/>
      <c r="AA174" s="72"/>
      <c r="AB174" s="72"/>
      <c r="AC174" s="72"/>
      <c r="AD174" s="72"/>
      <c r="AE174" s="72"/>
      <c r="AF174" s="72"/>
      <c r="AG174" s="72"/>
    </row>
    <row r="175" spans="1:35" ht="22.35" customHeight="1" thickBot="1" x14ac:dyDescent="0.25">
      <c r="A175" s="3035"/>
      <c r="B175" s="2890" t="s">
        <v>29</v>
      </c>
      <c r="C175" s="2988">
        <v>1</v>
      </c>
      <c r="D175" s="2988">
        <v>2</v>
      </c>
      <c r="E175" s="2989">
        <v>3</v>
      </c>
      <c r="F175" s="2989">
        <v>4</v>
      </c>
      <c r="G175" s="2988">
        <v>5</v>
      </c>
      <c r="H175" s="2988">
        <v>6</v>
      </c>
      <c r="I175" s="2988">
        <v>7</v>
      </c>
      <c r="J175" s="2988">
        <v>8</v>
      </c>
      <c r="K175" s="2988">
        <v>9</v>
      </c>
      <c r="L175" s="2989">
        <v>10</v>
      </c>
      <c r="M175" s="2989">
        <v>11</v>
      </c>
      <c r="N175" s="2988">
        <v>12</v>
      </c>
      <c r="O175" s="2988">
        <v>13</v>
      </c>
      <c r="P175" s="2988">
        <v>14</v>
      </c>
      <c r="Q175" s="2988">
        <v>15</v>
      </c>
      <c r="R175" s="2988">
        <v>16</v>
      </c>
      <c r="S175" s="2989">
        <v>17</v>
      </c>
      <c r="T175" s="2989">
        <v>18</v>
      </c>
      <c r="U175" s="2988">
        <v>19</v>
      </c>
      <c r="V175" s="2988">
        <v>20</v>
      </c>
      <c r="W175" s="2988">
        <v>21</v>
      </c>
      <c r="X175" s="2988">
        <v>22</v>
      </c>
      <c r="Y175" s="2988">
        <v>23</v>
      </c>
      <c r="Z175" s="2989">
        <v>24</v>
      </c>
      <c r="AA175" s="2989">
        <v>25</v>
      </c>
      <c r="AB175" s="2989">
        <v>26</v>
      </c>
      <c r="AC175" s="2988">
        <v>27</v>
      </c>
      <c r="AD175" s="2988">
        <v>28</v>
      </c>
      <c r="AE175" s="2988">
        <v>29</v>
      </c>
      <c r="AF175" s="2988">
        <v>30</v>
      </c>
      <c r="AG175" s="2990">
        <v>31</v>
      </c>
      <c r="AH175" s="173"/>
      <c r="AI175" s="174"/>
    </row>
    <row r="176" spans="1:35" ht="22.35" customHeight="1" thickBot="1" x14ac:dyDescent="0.25">
      <c r="A176" s="3011">
        <v>1</v>
      </c>
      <c r="B176" s="3090" t="s">
        <v>223</v>
      </c>
      <c r="C176" s="2618" t="s">
        <v>32</v>
      </c>
      <c r="D176" s="2617" t="s">
        <v>32</v>
      </c>
      <c r="E176" s="2617"/>
      <c r="F176" s="2617"/>
      <c r="G176" s="2617" t="s">
        <v>32</v>
      </c>
      <c r="H176" s="2617" t="s">
        <v>32</v>
      </c>
      <c r="I176" s="2630" t="s">
        <v>32</v>
      </c>
      <c r="J176" s="2617" t="s">
        <v>32</v>
      </c>
      <c r="K176" s="2617" t="s">
        <v>32</v>
      </c>
      <c r="L176" s="2617"/>
      <c r="M176" s="2617"/>
      <c r="N176" s="2617" t="s">
        <v>32</v>
      </c>
      <c r="O176" s="2617" t="s">
        <v>32</v>
      </c>
      <c r="P176" s="2617" t="s">
        <v>32</v>
      </c>
      <c r="Q176" s="2617" t="s">
        <v>32</v>
      </c>
      <c r="R176" s="2617" t="s">
        <v>32</v>
      </c>
      <c r="S176" s="2617"/>
      <c r="T176" s="2618"/>
      <c r="U176" s="2628" t="s">
        <v>32</v>
      </c>
      <c r="V176" s="2618" t="s">
        <v>32</v>
      </c>
      <c r="W176" s="2631" t="s">
        <v>32</v>
      </c>
      <c r="X176" s="2631" t="s">
        <v>32</v>
      </c>
      <c r="Y176" s="2631" t="s">
        <v>32</v>
      </c>
      <c r="Z176" s="2618"/>
      <c r="AA176" s="3091"/>
      <c r="AB176" s="2618"/>
      <c r="AC176" s="3092" t="s">
        <v>32</v>
      </c>
      <c r="AD176" s="3092" t="s">
        <v>32</v>
      </c>
      <c r="AE176" s="3092" t="s">
        <v>32</v>
      </c>
      <c r="AF176" s="3092" t="s">
        <v>32</v>
      </c>
      <c r="AG176" s="2621"/>
      <c r="AH176" s="203"/>
      <c r="AI176" s="179"/>
    </row>
    <row r="177" spans="1:35" ht="22.35" customHeight="1" x14ac:dyDescent="0.2">
      <c r="A177" s="3014">
        <v>2</v>
      </c>
      <c r="B177" s="3093" t="s">
        <v>224</v>
      </c>
      <c r="C177" s="2506" t="s">
        <v>225</v>
      </c>
      <c r="D177" s="2506" t="s">
        <v>225</v>
      </c>
      <c r="E177" s="2506"/>
      <c r="F177" s="2506"/>
      <c r="G177" s="2506" t="s">
        <v>154</v>
      </c>
      <c r="H177" s="2506" t="s">
        <v>154</v>
      </c>
      <c r="I177" s="2506" t="s">
        <v>154</v>
      </c>
      <c r="J177" s="2506" t="s">
        <v>154</v>
      </c>
      <c r="K177" s="2506" t="s">
        <v>154</v>
      </c>
      <c r="L177" s="2506" t="s">
        <v>154</v>
      </c>
      <c r="M177" s="2935"/>
      <c r="N177" s="2506" t="s">
        <v>226</v>
      </c>
      <c r="O177" s="2506" t="s">
        <v>226</v>
      </c>
      <c r="P177" s="2506" t="s">
        <v>226</v>
      </c>
      <c r="Q177" s="2506" t="s">
        <v>226</v>
      </c>
      <c r="R177" s="2506" t="s">
        <v>36</v>
      </c>
      <c r="S177" s="314"/>
      <c r="T177" s="2634"/>
      <c r="U177" s="2506" t="s">
        <v>225</v>
      </c>
      <c r="V177" s="2506" t="s">
        <v>225</v>
      </c>
      <c r="W177" s="2506" t="s">
        <v>225</v>
      </c>
      <c r="X177" s="2506" t="s">
        <v>225</v>
      </c>
      <c r="Y177" s="2506" t="s">
        <v>225</v>
      </c>
      <c r="Z177" s="2506"/>
      <c r="AA177" s="2506"/>
      <c r="AB177" s="2506"/>
      <c r="AC177" s="2506" t="s">
        <v>154</v>
      </c>
      <c r="AD177" s="2506" t="s">
        <v>154</v>
      </c>
      <c r="AE177" s="2506" t="s">
        <v>154</v>
      </c>
      <c r="AF177" s="2506" t="s">
        <v>154</v>
      </c>
      <c r="AG177" s="3094" t="s">
        <v>154</v>
      </c>
      <c r="AH177" s="203"/>
      <c r="AI177" s="179"/>
    </row>
    <row r="178" spans="1:35" ht="22.35" customHeight="1" x14ac:dyDescent="0.2">
      <c r="A178" s="3014">
        <v>3</v>
      </c>
      <c r="B178" s="3095" t="s">
        <v>365</v>
      </c>
      <c r="C178" s="2638" t="s">
        <v>154</v>
      </c>
      <c r="D178" s="2638" t="s">
        <v>154</v>
      </c>
      <c r="E178" s="2638" t="s">
        <v>154</v>
      </c>
      <c r="F178" s="2506"/>
      <c r="G178" s="2506" t="s">
        <v>226</v>
      </c>
      <c r="H178" s="2506" t="s">
        <v>226</v>
      </c>
      <c r="I178" s="2506" t="s">
        <v>226</v>
      </c>
      <c r="J178" s="2506" t="s">
        <v>226</v>
      </c>
      <c r="K178" s="2506" t="s">
        <v>36</v>
      </c>
      <c r="L178" s="2506"/>
      <c r="M178" s="2634"/>
      <c r="N178" s="2642" t="s">
        <v>225</v>
      </c>
      <c r="O178" s="2642" t="s">
        <v>225</v>
      </c>
      <c r="P178" s="2642" t="s">
        <v>225</v>
      </c>
      <c r="Q178" s="2642" t="s">
        <v>225</v>
      </c>
      <c r="R178" s="2642" t="s">
        <v>225</v>
      </c>
      <c r="S178" s="2642"/>
      <c r="T178" s="2642"/>
      <c r="U178" s="2642" t="s">
        <v>154</v>
      </c>
      <c r="V178" s="2642" t="s">
        <v>154</v>
      </c>
      <c r="W178" s="2642" t="s">
        <v>154</v>
      </c>
      <c r="X178" s="2642" t="s">
        <v>154</v>
      </c>
      <c r="Y178" s="2642" t="s">
        <v>154</v>
      </c>
      <c r="Z178" s="2642" t="s">
        <v>154</v>
      </c>
      <c r="AA178" s="2642"/>
      <c r="AB178" s="2634"/>
      <c r="AC178" s="2506" t="s">
        <v>226</v>
      </c>
      <c r="AD178" s="2506" t="s">
        <v>226</v>
      </c>
      <c r="AE178" s="2506" t="s">
        <v>226</v>
      </c>
      <c r="AF178" s="2506" t="s">
        <v>36</v>
      </c>
      <c r="AG178" s="3094"/>
      <c r="AH178" s="203"/>
      <c r="AI178" s="179"/>
    </row>
    <row r="179" spans="1:35" ht="22.35" customHeight="1" x14ac:dyDescent="0.2">
      <c r="A179" s="3014">
        <v>4</v>
      </c>
      <c r="B179" s="3095" t="s">
        <v>228</v>
      </c>
      <c r="C179" s="2503"/>
      <c r="D179" s="2641" t="s">
        <v>32</v>
      </c>
      <c r="E179" s="2503"/>
      <c r="F179" s="2503"/>
      <c r="G179" s="2503"/>
      <c r="H179" s="2503" t="s">
        <v>229</v>
      </c>
      <c r="I179" s="2503" t="s">
        <v>32</v>
      </c>
      <c r="J179" s="2503"/>
      <c r="K179" s="2641" t="s">
        <v>32</v>
      </c>
      <c r="L179" s="2641"/>
      <c r="M179" s="2641"/>
      <c r="N179" s="2503"/>
      <c r="O179" s="2503" t="s">
        <v>229</v>
      </c>
      <c r="P179" s="2503"/>
      <c r="Q179" s="2503"/>
      <c r="R179" s="2642" t="s">
        <v>32</v>
      </c>
      <c r="S179" s="2642" t="s">
        <v>154</v>
      </c>
      <c r="T179" s="2503"/>
      <c r="U179" s="2509"/>
      <c r="V179" s="2645" t="s">
        <v>229</v>
      </c>
      <c r="W179" s="2645" t="s">
        <v>32</v>
      </c>
      <c r="X179" s="2645"/>
      <c r="Y179" s="2645" t="s">
        <v>32</v>
      </c>
      <c r="Z179" s="2509"/>
      <c r="AA179" s="2509"/>
      <c r="AB179" s="2509"/>
      <c r="AC179" s="2645" t="s">
        <v>229</v>
      </c>
      <c r="AD179" s="3096" t="s">
        <v>229</v>
      </c>
      <c r="AE179" s="2509"/>
      <c r="AF179" s="3096" t="s">
        <v>32</v>
      </c>
      <c r="AG179" s="3097"/>
      <c r="AH179" s="203"/>
      <c r="AI179" s="179"/>
    </row>
    <row r="180" spans="1:35" ht="22.35" customHeight="1" x14ac:dyDescent="0.2">
      <c r="A180" s="3014">
        <v>5</v>
      </c>
      <c r="B180" s="3095" t="s">
        <v>230</v>
      </c>
      <c r="C180" s="2640" t="s">
        <v>32</v>
      </c>
      <c r="D180" s="2506"/>
      <c r="E180" s="2506"/>
      <c r="F180" s="2506"/>
      <c r="G180" s="2506" t="s">
        <v>229</v>
      </c>
      <c r="H180" s="2506"/>
      <c r="I180" s="2506"/>
      <c r="J180" s="2640" t="s">
        <v>32</v>
      </c>
      <c r="K180" s="2506"/>
      <c r="L180" s="2506"/>
      <c r="M180" s="2506"/>
      <c r="N180" s="2506" t="s">
        <v>229</v>
      </c>
      <c r="O180" s="2506"/>
      <c r="P180" s="2506"/>
      <c r="Q180" s="2640" t="s">
        <v>32</v>
      </c>
      <c r="R180" s="2506"/>
      <c r="S180" s="2506"/>
      <c r="T180" s="2506"/>
      <c r="U180" s="2506" t="s">
        <v>229</v>
      </c>
      <c r="V180" s="2506"/>
      <c r="W180" s="2506"/>
      <c r="X180" s="2640" t="s">
        <v>32</v>
      </c>
      <c r="Y180" s="2506"/>
      <c r="Z180" s="2506"/>
      <c r="AA180" s="2506"/>
      <c r="AB180" s="2506" t="s">
        <v>229</v>
      </c>
      <c r="AC180" s="2506"/>
      <c r="AD180" s="2506"/>
      <c r="AE180" s="2640" t="s">
        <v>32</v>
      </c>
      <c r="AF180" s="2506"/>
      <c r="AG180" s="3094"/>
      <c r="AH180" s="203"/>
      <c r="AI180" s="179"/>
    </row>
    <row r="181" spans="1:35" ht="22.35" customHeight="1" x14ac:dyDescent="0.2">
      <c r="A181" s="3014">
        <v>6</v>
      </c>
      <c r="B181" s="3005" t="s">
        <v>231</v>
      </c>
      <c r="C181" s="2506" t="s">
        <v>32</v>
      </c>
      <c r="D181" s="2506" t="s">
        <v>32</v>
      </c>
      <c r="E181" s="2643"/>
      <c r="F181" s="2506"/>
      <c r="G181" s="2637" t="s">
        <v>32</v>
      </c>
      <c r="H181" s="2506" t="s">
        <v>32</v>
      </c>
      <c r="I181" s="2506" t="s">
        <v>32</v>
      </c>
      <c r="J181" s="2643" t="s">
        <v>32</v>
      </c>
      <c r="K181" s="2506" t="s">
        <v>32</v>
      </c>
      <c r="L181" s="2506"/>
      <c r="M181" s="2506"/>
      <c r="N181" s="2506" t="s">
        <v>32</v>
      </c>
      <c r="O181" s="2506" t="s">
        <v>32</v>
      </c>
      <c r="P181" s="2506" t="s">
        <v>32</v>
      </c>
      <c r="Q181" s="2506" t="s">
        <v>32</v>
      </c>
      <c r="R181" s="2506" t="s">
        <v>32</v>
      </c>
      <c r="S181" s="2506"/>
      <c r="T181" s="2640"/>
      <c r="U181" s="2640" t="s">
        <v>32</v>
      </c>
      <c r="V181" s="2640" t="s">
        <v>32</v>
      </c>
      <c r="W181" s="2640" t="s">
        <v>32</v>
      </c>
      <c r="X181" s="2640" t="s">
        <v>32</v>
      </c>
      <c r="Y181" s="2506" t="s">
        <v>32</v>
      </c>
      <c r="Z181" s="2506"/>
      <c r="AA181" s="2506"/>
      <c r="AB181" s="2506"/>
      <c r="AC181" s="2645" t="s">
        <v>32</v>
      </c>
      <c r="AD181" s="2634" t="s">
        <v>32</v>
      </c>
      <c r="AE181" s="2645" t="s">
        <v>32</v>
      </c>
      <c r="AF181" s="2645" t="s">
        <v>32</v>
      </c>
      <c r="AG181" s="3098"/>
      <c r="AH181" s="191"/>
      <c r="AI181" s="107"/>
    </row>
    <row r="182" spans="1:35" ht="22.35" customHeight="1" thickBot="1" x14ac:dyDescent="0.25">
      <c r="A182" s="3018"/>
      <c r="B182" s="3008"/>
      <c r="C182" s="3099"/>
      <c r="D182" s="3099"/>
      <c r="E182" s="3099"/>
      <c r="F182" s="3099"/>
      <c r="G182" s="3099"/>
      <c r="H182" s="3099"/>
      <c r="I182" s="3099"/>
      <c r="J182" s="3099"/>
      <c r="K182" s="3099"/>
      <c r="L182" s="3099"/>
      <c r="M182" s="3099"/>
      <c r="N182" s="3099"/>
      <c r="O182" s="3099"/>
      <c r="P182" s="3099"/>
      <c r="Q182" s="3099"/>
      <c r="R182" s="3099"/>
      <c r="S182" s="3099"/>
      <c r="T182" s="3099"/>
      <c r="U182" s="3099"/>
      <c r="V182" s="3099"/>
      <c r="W182" s="3099"/>
      <c r="X182" s="3099"/>
      <c r="Y182" s="3099"/>
      <c r="Z182" s="3099"/>
      <c r="AA182" s="3099"/>
      <c r="AB182" s="3099"/>
      <c r="AC182" s="3099"/>
      <c r="AD182" s="3099"/>
      <c r="AE182" s="3099"/>
      <c r="AF182" s="3099"/>
      <c r="AG182" s="3100"/>
      <c r="AH182" s="107"/>
      <c r="AI182" s="107"/>
    </row>
    <row r="183" spans="1:35" ht="22.35" customHeight="1" x14ac:dyDescent="0.2">
      <c r="A183" s="200"/>
      <c r="B183" s="198"/>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07"/>
      <c r="AI183" s="107"/>
    </row>
    <row r="184" spans="1:35" ht="22.35" customHeight="1" x14ac:dyDescent="0.2">
      <c r="A184" s="200"/>
      <c r="B184" s="198"/>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c r="AA184" s="199"/>
      <c r="AB184" s="199"/>
      <c r="AC184" s="199"/>
      <c r="AD184" s="199"/>
      <c r="AE184" s="199"/>
      <c r="AF184" s="199"/>
      <c r="AG184" s="199"/>
      <c r="AH184" s="107"/>
      <c r="AI184" s="107"/>
    </row>
    <row r="185" spans="1:35" ht="22.35" customHeight="1" thickBot="1" x14ac:dyDescent="0.25">
      <c r="A185" s="148" t="s">
        <v>232</v>
      </c>
      <c r="B185" s="72"/>
      <c r="C185" s="106"/>
      <c r="D185" s="72"/>
      <c r="E185" s="72"/>
      <c r="F185" s="106"/>
      <c r="G185" s="72"/>
      <c r="H185" s="72"/>
      <c r="I185" s="106"/>
      <c r="J185" s="106"/>
      <c r="K185" s="72"/>
      <c r="L185" s="106"/>
      <c r="M185" s="72"/>
      <c r="N185" s="72"/>
      <c r="O185" s="106"/>
      <c r="P185" s="72"/>
      <c r="Q185" s="106"/>
      <c r="R185" s="106"/>
      <c r="S185" s="72"/>
      <c r="T185" s="72"/>
      <c r="U185" s="106"/>
      <c r="V185" s="72"/>
      <c r="W185" s="106"/>
      <c r="X185" s="106"/>
      <c r="Y185" s="72"/>
      <c r="Z185" s="72"/>
      <c r="AA185" s="72"/>
      <c r="AB185" s="72"/>
      <c r="AC185" s="72"/>
      <c r="AD185" s="72"/>
      <c r="AE185" s="106"/>
      <c r="AF185" s="72"/>
      <c r="AG185" s="72"/>
      <c r="AH185" s="107"/>
      <c r="AI185" s="107"/>
    </row>
    <row r="186" spans="1:35" ht="22.35" customHeight="1" x14ac:dyDescent="0.2">
      <c r="A186" s="109"/>
      <c r="B186" s="3101" t="s">
        <v>233</v>
      </c>
      <c r="C186" s="3102"/>
      <c r="D186" s="361" t="s">
        <v>107</v>
      </c>
      <c r="E186" s="362"/>
      <c r="F186" s="3103"/>
      <c r="G186" s="3104"/>
      <c r="H186" s="361" t="s">
        <v>108</v>
      </c>
      <c r="I186" s="362"/>
      <c r="J186" s="3103"/>
      <c r="K186" s="3104"/>
      <c r="L186" s="361" t="s">
        <v>109</v>
      </c>
      <c r="M186" s="362"/>
      <c r="N186" s="3103"/>
      <c r="O186" s="3104"/>
      <c r="P186" s="361" t="s">
        <v>110</v>
      </c>
      <c r="Q186" s="362"/>
      <c r="R186" s="3103"/>
      <c r="S186" s="3104"/>
      <c r="T186" s="361" t="s">
        <v>111</v>
      </c>
      <c r="U186" s="362"/>
      <c r="V186" s="3103"/>
      <c r="W186" s="3104"/>
      <c r="X186" s="361" t="s">
        <v>112</v>
      </c>
      <c r="Y186" s="362"/>
      <c r="Z186" s="3103"/>
      <c r="AA186" s="3104"/>
      <c r="AB186" s="361" t="s">
        <v>113</v>
      </c>
      <c r="AC186" s="362"/>
      <c r="AD186" s="362"/>
      <c r="AE186" s="3105" t="s">
        <v>114</v>
      </c>
      <c r="AF186" s="362"/>
      <c r="AG186" s="362"/>
      <c r="AH186" s="362"/>
      <c r="AI186" s="3106"/>
    </row>
    <row r="187" spans="1:35" ht="22.35" customHeight="1" x14ac:dyDescent="0.2">
      <c r="A187" s="109"/>
      <c r="B187" s="3107" t="s">
        <v>234</v>
      </c>
      <c r="C187" s="3108" t="s">
        <v>235</v>
      </c>
      <c r="D187" s="379" t="s">
        <v>236</v>
      </c>
      <c r="E187" s="380"/>
      <c r="F187" s="381"/>
      <c r="G187" s="2648"/>
      <c r="H187" s="379" t="s">
        <v>236</v>
      </c>
      <c r="I187" s="380"/>
      <c r="J187" s="381"/>
      <c r="K187" s="2648"/>
      <c r="L187" s="379" t="s">
        <v>236</v>
      </c>
      <c r="M187" s="380"/>
      <c r="N187" s="381"/>
      <c r="O187" s="2648"/>
      <c r="P187" s="379" t="s">
        <v>237</v>
      </c>
      <c r="Q187" s="380"/>
      <c r="R187" s="381"/>
      <c r="S187" s="2648"/>
      <c r="T187" s="379" t="s">
        <v>238</v>
      </c>
      <c r="U187" s="381"/>
      <c r="V187" s="381"/>
      <c r="W187" s="2649"/>
      <c r="X187" s="382"/>
      <c r="Y187" s="382"/>
      <c r="Z187" s="383"/>
      <c r="AA187" s="2649"/>
      <c r="AB187" s="382"/>
      <c r="AC187" s="382"/>
      <c r="AD187" s="382"/>
      <c r="AE187" s="2649"/>
      <c r="AF187" s="382"/>
      <c r="AG187" s="382"/>
      <c r="AH187" s="384"/>
      <c r="AI187" s="2650"/>
    </row>
    <row r="188" spans="1:35" ht="22.35" customHeight="1" x14ac:dyDescent="0.2">
      <c r="A188" s="109"/>
      <c r="B188" s="3107" t="s">
        <v>234</v>
      </c>
      <c r="C188" s="3108" t="s">
        <v>239</v>
      </c>
      <c r="D188" s="379" t="s">
        <v>236</v>
      </c>
      <c r="E188" s="380"/>
      <c r="F188" s="381"/>
      <c r="G188" s="2648"/>
      <c r="H188" s="379" t="s">
        <v>236</v>
      </c>
      <c r="I188" s="380"/>
      <c r="J188" s="381"/>
      <c r="K188" s="2648"/>
      <c r="L188" s="379" t="s">
        <v>236</v>
      </c>
      <c r="M188" s="380"/>
      <c r="N188" s="381"/>
      <c r="O188" s="2648"/>
      <c r="P188" s="379" t="s">
        <v>237</v>
      </c>
      <c r="Q188" s="380"/>
      <c r="R188" s="381"/>
      <c r="S188" s="2648"/>
      <c r="T188" s="379" t="s">
        <v>238</v>
      </c>
      <c r="U188" s="381"/>
      <c r="V188" s="381"/>
      <c r="W188" s="2649"/>
      <c r="X188" s="382"/>
      <c r="Y188" s="382"/>
      <c r="Z188" s="383"/>
      <c r="AA188" s="2649"/>
      <c r="AB188" s="382"/>
      <c r="AC188" s="382"/>
      <c r="AD188" s="382"/>
      <c r="AE188" s="2649"/>
      <c r="AF188" s="382"/>
      <c r="AG188" s="382"/>
      <c r="AH188" s="384"/>
      <c r="AI188" s="2650"/>
    </row>
    <row r="189" spans="1:35" ht="22.35" customHeight="1" x14ac:dyDescent="0.2">
      <c r="A189" s="109"/>
      <c r="B189" s="3107" t="s">
        <v>240</v>
      </c>
      <c r="C189" s="3108" t="s">
        <v>50</v>
      </c>
      <c r="D189" s="379" t="s">
        <v>236</v>
      </c>
      <c r="E189" s="380"/>
      <c r="F189" s="381"/>
      <c r="G189" s="2648"/>
      <c r="H189" s="379" t="s">
        <v>236</v>
      </c>
      <c r="I189" s="380"/>
      <c r="J189" s="381"/>
      <c r="K189" s="2648"/>
      <c r="L189" s="379" t="s">
        <v>236</v>
      </c>
      <c r="M189" s="380"/>
      <c r="N189" s="381"/>
      <c r="O189" s="2648"/>
      <c r="P189" s="379" t="s">
        <v>453</v>
      </c>
      <c r="Q189" s="380"/>
      <c r="R189" s="381"/>
      <c r="S189" s="2648"/>
      <c r="T189" s="379" t="s">
        <v>238</v>
      </c>
      <c r="U189" s="381"/>
      <c r="V189" s="381"/>
      <c r="W189" s="2649"/>
      <c r="X189" s="382"/>
      <c r="Y189" s="382"/>
      <c r="Z189" s="383"/>
      <c r="AA189" s="2649"/>
      <c r="AB189" s="382"/>
      <c r="AC189" s="382"/>
      <c r="AD189" s="382"/>
      <c r="AE189" s="2649"/>
      <c r="AF189" s="382"/>
      <c r="AG189" s="382"/>
      <c r="AH189" s="384"/>
      <c r="AI189" s="2650"/>
    </row>
    <row r="190" spans="1:35" ht="22.35" customHeight="1" x14ac:dyDescent="0.2">
      <c r="A190" s="109"/>
      <c r="B190" s="3107" t="s">
        <v>242</v>
      </c>
      <c r="C190" s="3108" t="s">
        <v>243</v>
      </c>
      <c r="D190" s="379" t="s">
        <v>315</v>
      </c>
      <c r="E190" s="380"/>
      <c r="F190" s="381"/>
      <c r="G190" s="2648"/>
      <c r="H190" s="379" t="s">
        <v>315</v>
      </c>
      <c r="I190" s="380"/>
      <c r="J190" s="381"/>
      <c r="K190" s="2648"/>
      <c r="L190" s="379" t="s">
        <v>315</v>
      </c>
      <c r="M190" s="380"/>
      <c r="N190" s="381"/>
      <c r="O190" s="2648"/>
      <c r="P190" s="379" t="s">
        <v>437</v>
      </c>
      <c r="Q190" s="380"/>
      <c r="R190" s="381"/>
      <c r="S190" s="2648"/>
      <c r="T190" s="379" t="s">
        <v>438</v>
      </c>
      <c r="U190" s="381"/>
      <c r="V190" s="381"/>
      <c r="W190" s="2649"/>
      <c r="X190" s="382"/>
      <c r="Y190" s="382"/>
      <c r="Z190" s="383"/>
      <c r="AA190" s="2649"/>
      <c r="AB190" s="382"/>
      <c r="AC190" s="382"/>
      <c r="AD190" s="382"/>
      <c r="AE190" s="2649"/>
      <c r="AF190" s="382"/>
      <c r="AG190" s="382"/>
      <c r="AH190" s="384"/>
      <c r="AI190" s="2650"/>
    </row>
    <row r="191" spans="1:35" ht="22.35" customHeight="1" x14ac:dyDescent="0.2">
      <c r="A191" s="109"/>
      <c r="B191" s="3107" t="s">
        <v>248</v>
      </c>
      <c r="C191" s="3108" t="s">
        <v>249</v>
      </c>
      <c r="D191" s="379" t="s">
        <v>250</v>
      </c>
      <c r="E191" s="380"/>
      <c r="F191" s="381"/>
      <c r="G191" s="2648"/>
      <c r="H191" s="379" t="s">
        <v>250</v>
      </c>
      <c r="I191" s="380"/>
      <c r="J191" s="381"/>
      <c r="K191" s="2648"/>
      <c r="L191" s="379" t="s">
        <v>251</v>
      </c>
      <c r="M191" s="380"/>
      <c r="N191" s="381"/>
      <c r="O191" s="2648"/>
      <c r="P191" s="379" t="s">
        <v>252</v>
      </c>
      <c r="Q191" s="380"/>
      <c r="R191" s="381"/>
      <c r="S191" s="2648"/>
      <c r="T191" s="379" t="s">
        <v>253</v>
      </c>
      <c r="U191" s="381"/>
      <c r="V191" s="381"/>
      <c r="W191" s="2649"/>
      <c r="X191" s="382"/>
      <c r="Y191" s="382"/>
      <c r="Z191" s="383"/>
      <c r="AA191" s="2649"/>
      <c r="AB191" s="382"/>
      <c r="AC191" s="382"/>
      <c r="AD191" s="382"/>
      <c r="AE191" s="2649"/>
      <c r="AF191" s="382"/>
      <c r="AG191" s="382"/>
      <c r="AH191" s="384"/>
      <c r="AI191" s="2650"/>
    </row>
    <row r="192" spans="1:35" ht="22.35" customHeight="1" x14ac:dyDescent="0.2">
      <c r="A192" s="109"/>
      <c r="B192" s="3107" t="s">
        <v>254</v>
      </c>
      <c r="C192" s="3108" t="s">
        <v>142</v>
      </c>
      <c r="D192" s="379" t="s">
        <v>236</v>
      </c>
      <c r="E192" s="380"/>
      <c r="F192" s="381"/>
      <c r="G192" s="2648"/>
      <c r="H192" s="379" t="s">
        <v>236</v>
      </c>
      <c r="I192" s="380"/>
      <c r="J192" s="381"/>
      <c r="K192" s="2648"/>
      <c r="L192" s="379" t="s">
        <v>236</v>
      </c>
      <c r="M192" s="380"/>
      <c r="N192" s="381"/>
      <c r="O192" s="2648"/>
      <c r="P192" s="379" t="s">
        <v>236</v>
      </c>
      <c r="Q192" s="380"/>
      <c r="R192" s="381"/>
      <c r="S192" s="2648"/>
      <c r="T192" s="379" t="s">
        <v>250</v>
      </c>
      <c r="U192" s="381"/>
      <c r="V192" s="381"/>
      <c r="W192" s="2649"/>
      <c r="X192" s="382"/>
      <c r="Y192" s="382"/>
      <c r="Z192" s="383"/>
      <c r="AA192" s="2649"/>
      <c r="AB192" s="382"/>
      <c r="AC192" s="382"/>
      <c r="AD192" s="382"/>
      <c r="AE192" s="2649"/>
      <c r="AF192" s="382"/>
      <c r="AG192" s="382"/>
      <c r="AH192" s="384"/>
      <c r="AI192" s="2650"/>
    </row>
    <row r="193" spans="1:36" ht="22.35" customHeight="1" x14ac:dyDescent="0.2">
      <c r="A193" s="109"/>
      <c r="B193" s="3107" t="s">
        <v>255</v>
      </c>
      <c r="C193" s="3108" t="s">
        <v>134</v>
      </c>
      <c r="D193" s="379" t="s">
        <v>236</v>
      </c>
      <c r="E193" s="380"/>
      <c r="F193" s="381"/>
      <c r="G193" s="2648"/>
      <c r="H193" s="379" t="s">
        <v>236</v>
      </c>
      <c r="I193" s="380"/>
      <c r="J193" s="381"/>
      <c r="K193" s="2648"/>
      <c r="L193" s="379" t="s">
        <v>236</v>
      </c>
      <c r="M193" s="380"/>
      <c r="N193" s="381"/>
      <c r="O193" s="2648"/>
      <c r="P193" s="379" t="s">
        <v>237</v>
      </c>
      <c r="Q193" s="380"/>
      <c r="R193" s="381"/>
      <c r="S193" s="2648"/>
      <c r="T193" s="379" t="s">
        <v>238</v>
      </c>
      <c r="U193" s="381"/>
      <c r="V193" s="381"/>
      <c r="W193" s="2649"/>
      <c r="X193" s="382"/>
      <c r="Y193" s="382"/>
      <c r="Z193" s="383"/>
      <c r="AA193" s="2649"/>
      <c r="AB193" s="382"/>
      <c r="AC193" s="382"/>
      <c r="AD193" s="382"/>
      <c r="AE193" s="2649"/>
      <c r="AF193" s="382"/>
      <c r="AG193" s="382"/>
      <c r="AH193" s="384"/>
      <c r="AI193" s="2650"/>
    </row>
    <row r="194" spans="1:36" ht="22.35" customHeight="1" x14ac:dyDescent="0.2">
      <c r="A194" s="109"/>
      <c r="B194" s="3107" t="s">
        <v>255</v>
      </c>
      <c r="C194" s="3108" t="s">
        <v>176</v>
      </c>
      <c r="D194" s="379" t="s">
        <v>236</v>
      </c>
      <c r="E194" s="380"/>
      <c r="F194" s="381"/>
      <c r="G194" s="2648"/>
      <c r="H194" s="379" t="s">
        <v>236</v>
      </c>
      <c r="I194" s="380"/>
      <c r="J194" s="381"/>
      <c r="K194" s="2648"/>
      <c r="L194" s="379" t="s">
        <v>236</v>
      </c>
      <c r="M194" s="380"/>
      <c r="N194" s="381"/>
      <c r="O194" s="2648"/>
      <c r="P194" s="379" t="s">
        <v>237</v>
      </c>
      <c r="Q194" s="380"/>
      <c r="R194" s="381"/>
      <c r="S194" s="2648"/>
      <c r="T194" s="379" t="s">
        <v>238</v>
      </c>
      <c r="U194" s="381"/>
      <c r="V194" s="381"/>
      <c r="W194" s="2649"/>
      <c r="X194" s="382"/>
      <c r="Y194" s="382"/>
      <c r="Z194" s="383"/>
      <c r="AA194" s="2649"/>
      <c r="AB194" s="382"/>
      <c r="AC194" s="382"/>
      <c r="AD194" s="382"/>
      <c r="AE194" s="2649"/>
      <c r="AF194" s="382"/>
      <c r="AG194" s="382"/>
      <c r="AH194" s="384"/>
      <c r="AI194" s="2650"/>
    </row>
    <row r="195" spans="1:36" ht="22.35" customHeight="1" x14ac:dyDescent="0.2">
      <c r="A195" s="109"/>
      <c r="B195" s="3107" t="s">
        <v>256</v>
      </c>
      <c r="C195" s="3108" t="s">
        <v>257</v>
      </c>
      <c r="D195" s="379" t="s">
        <v>236</v>
      </c>
      <c r="E195" s="380"/>
      <c r="F195" s="381"/>
      <c r="G195" s="2648"/>
      <c r="H195" s="379" t="s">
        <v>236</v>
      </c>
      <c r="I195" s="380"/>
      <c r="J195" s="381"/>
      <c r="K195" s="2648"/>
      <c r="L195" s="379" t="s">
        <v>236</v>
      </c>
      <c r="M195" s="380"/>
      <c r="N195" s="381"/>
      <c r="O195" s="2648"/>
      <c r="P195" s="379" t="s">
        <v>258</v>
      </c>
      <c r="Q195" s="380"/>
      <c r="R195" s="381"/>
      <c r="S195" s="2648"/>
      <c r="T195" s="379" t="s">
        <v>253</v>
      </c>
      <c r="U195" s="381"/>
      <c r="V195" s="381"/>
      <c r="W195" s="2649"/>
      <c r="X195" s="382"/>
      <c r="Y195" s="382"/>
      <c r="Z195" s="383"/>
      <c r="AA195" s="2649"/>
      <c r="AB195" s="382"/>
      <c r="AC195" s="382"/>
      <c r="AD195" s="382"/>
      <c r="AE195" s="2649"/>
      <c r="AF195" s="382"/>
      <c r="AG195" s="382"/>
      <c r="AH195" s="384"/>
      <c r="AI195" s="2650"/>
    </row>
    <row r="196" spans="1:36" ht="22.35" customHeight="1" x14ac:dyDescent="0.2">
      <c r="A196" s="109"/>
      <c r="B196" s="2030" t="s">
        <v>259</v>
      </c>
      <c r="C196" s="2651" t="s">
        <v>95</v>
      </c>
      <c r="D196" s="385" t="s">
        <v>236</v>
      </c>
      <c r="E196" s="386"/>
      <c r="F196" s="387"/>
      <c r="G196" s="2651"/>
      <c r="H196" s="385" t="s">
        <v>236</v>
      </c>
      <c r="I196" s="386"/>
      <c r="J196" s="387"/>
      <c r="K196" s="2651"/>
      <c r="L196" s="385" t="s">
        <v>236</v>
      </c>
      <c r="M196" s="386"/>
      <c r="N196" s="387"/>
      <c r="O196" s="2651"/>
      <c r="P196" s="385" t="s">
        <v>237</v>
      </c>
      <c r="Q196" s="386"/>
      <c r="R196" s="387"/>
      <c r="S196" s="2651"/>
      <c r="T196" s="385" t="s">
        <v>238</v>
      </c>
      <c r="U196" s="387"/>
      <c r="V196" s="388"/>
      <c r="W196" s="2031"/>
      <c r="X196" s="188"/>
      <c r="Y196" s="188"/>
      <c r="Z196" s="388"/>
      <c r="AA196" s="2031"/>
      <c r="AB196" s="188"/>
      <c r="AC196" s="188"/>
      <c r="AD196" s="188"/>
      <c r="AE196" s="2031"/>
      <c r="AF196" s="188"/>
      <c r="AG196" s="188"/>
      <c r="AH196" s="189"/>
      <c r="AI196" s="2032"/>
      <c r="AJ196" s="190"/>
    </row>
    <row r="197" spans="1:36" ht="22.35" customHeight="1" x14ac:dyDescent="0.2">
      <c r="A197" s="109"/>
      <c r="B197" s="3107" t="s">
        <v>260</v>
      </c>
      <c r="C197" s="3108" t="s">
        <v>177</v>
      </c>
      <c r="D197" s="379" t="s">
        <v>236</v>
      </c>
      <c r="E197" s="380"/>
      <c r="F197" s="381"/>
      <c r="G197" s="2648"/>
      <c r="H197" s="379" t="s">
        <v>236</v>
      </c>
      <c r="I197" s="380"/>
      <c r="J197" s="381"/>
      <c r="K197" s="2648"/>
      <c r="L197" s="379" t="s">
        <v>236</v>
      </c>
      <c r="M197" s="380"/>
      <c r="N197" s="381"/>
      <c r="O197" s="2648"/>
      <c r="P197" s="379" t="s">
        <v>237</v>
      </c>
      <c r="Q197" s="380"/>
      <c r="R197" s="381"/>
      <c r="S197" s="2648"/>
      <c r="T197" s="379" t="s">
        <v>238</v>
      </c>
      <c r="U197" s="381"/>
      <c r="V197" s="380"/>
      <c r="W197" s="2649"/>
      <c r="X197" s="382"/>
      <c r="Y197" s="382"/>
      <c r="Z197" s="382"/>
      <c r="AA197" s="2649"/>
      <c r="AB197" s="382"/>
      <c r="AC197" s="382"/>
      <c r="AD197" s="382"/>
      <c r="AE197" s="2649"/>
      <c r="AF197" s="382"/>
      <c r="AG197" s="382"/>
      <c r="AH197" s="384"/>
      <c r="AI197" s="2650"/>
      <c r="AJ197" s="190"/>
    </row>
    <row r="198" spans="1:36" ht="22.35" customHeight="1" x14ac:dyDescent="0.2">
      <c r="A198" s="109"/>
      <c r="B198" s="3107" t="s">
        <v>261</v>
      </c>
      <c r="C198" s="3108" t="s">
        <v>137</v>
      </c>
      <c r="D198" s="379" t="s">
        <v>262</v>
      </c>
      <c r="E198" s="380"/>
      <c r="F198" s="381"/>
      <c r="G198" s="2648"/>
      <c r="H198" s="379" t="s">
        <v>262</v>
      </c>
      <c r="I198" s="380"/>
      <c r="J198" s="381"/>
      <c r="K198" s="2648"/>
      <c r="L198" s="379" t="s">
        <v>262</v>
      </c>
      <c r="M198" s="380"/>
      <c r="N198" s="380"/>
      <c r="O198" s="2648"/>
      <c r="P198" s="379" t="s">
        <v>262</v>
      </c>
      <c r="Q198" s="380"/>
      <c r="R198" s="380"/>
      <c r="S198" s="2648"/>
      <c r="T198" s="379" t="s">
        <v>253</v>
      </c>
      <c r="U198" s="381"/>
      <c r="V198" s="380"/>
      <c r="W198" s="2652"/>
      <c r="X198" s="382"/>
      <c r="Y198" s="382"/>
      <c r="Z198" s="382"/>
      <c r="AA198" s="2649"/>
      <c r="AB198" s="382"/>
      <c r="AC198" s="382"/>
      <c r="AD198" s="382"/>
      <c r="AE198" s="2649"/>
      <c r="AF198" s="382"/>
      <c r="AG198" s="382"/>
      <c r="AH198" s="384"/>
      <c r="AI198" s="2650"/>
      <c r="AJ198" s="190"/>
    </row>
    <row r="199" spans="1:36" ht="22.35" customHeight="1" x14ac:dyDescent="0.2">
      <c r="A199" s="109"/>
      <c r="B199" s="3107" t="s">
        <v>263</v>
      </c>
      <c r="C199" s="3108" t="s">
        <v>264</v>
      </c>
      <c r="D199" s="379" t="s">
        <v>262</v>
      </c>
      <c r="E199" s="380"/>
      <c r="F199" s="381"/>
      <c r="G199" s="2648"/>
      <c r="H199" s="379" t="s">
        <v>262</v>
      </c>
      <c r="I199" s="380"/>
      <c r="J199" s="381"/>
      <c r="K199" s="2648"/>
      <c r="L199" s="379" t="s">
        <v>262</v>
      </c>
      <c r="M199" s="380"/>
      <c r="N199" s="380"/>
      <c r="O199" s="2648"/>
      <c r="P199" s="379" t="s">
        <v>262</v>
      </c>
      <c r="Q199" s="380"/>
      <c r="R199" s="380"/>
      <c r="S199" s="2648"/>
      <c r="T199" s="379" t="s">
        <v>253</v>
      </c>
      <c r="U199" s="381"/>
      <c r="V199" s="380"/>
      <c r="W199" s="2652"/>
      <c r="X199" s="382"/>
      <c r="Y199" s="382"/>
      <c r="Z199" s="383"/>
      <c r="AA199" s="389"/>
      <c r="AB199" s="382"/>
      <c r="AC199" s="382"/>
      <c r="AD199" s="382"/>
      <c r="AE199" s="2649"/>
      <c r="AF199" s="382"/>
      <c r="AG199" s="382"/>
      <c r="AH199" s="384"/>
      <c r="AI199" s="2650"/>
      <c r="AJ199" s="190"/>
    </row>
    <row r="200" spans="1:36" ht="22.35" customHeight="1" thickBot="1" x14ac:dyDescent="0.25">
      <c r="A200" s="109"/>
      <c r="B200" s="3109" t="s">
        <v>265</v>
      </c>
      <c r="C200" s="3110" t="s">
        <v>266</v>
      </c>
      <c r="D200" s="2653" t="s">
        <v>262</v>
      </c>
      <c r="E200" s="2654"/>
      <c r="F200" s="3111"/>
      <c r="G200" s="3112"/>
      <c r="H200" s="2653" t="s">
        <v>262</v>
      </c>
      <c r="I200" s="2654"/>
      <c r="J200" s="3111"/>
      <c r="K200" s="3112"/>
      <c r="L200" s="2653" t="s">
        <v>262</v>
      </c>
      <c r="M200" s="2654"/>
      <c r="N200" s="2654"/>
      <c r="O200" s="3112"/>
      <c r="P200" s="2653" t="s">
        <v>262</v>
      </c>
      <c r="Q200" s="2654"/>
      <c r="R200" s="2654"/>
      <c r="S200" s="3112"/>
      <c r="T200" s="2653" t="s">
        <v>253</v>
      </c>
      <c r="U200" s="3111"/>
      <c r="V200" s="2654"/>
      <c r="W200" s="3113"/>
      <c r="X200" s="2658"/>
      <c r="Y200" s="2658"/>
      <c r="Z200" s="3114"/>
      <c r="AA200" s="2660"/>
      <c r="AB200" s="2658"/>
      <c r="AC200" s="2658"/>
      <c r="AD200" s="2658"/>
      <c r="AE200" s="3115"/>
      <c r="AF200" s="2658"/>
      <c r="AG200" s="2658"/>
      <c r="AH200" s="2662"/>
      <c r="AI200" s="3116"/>
      <c r="AJ200" s="190"/>
    </row>
    <row r="201" spans="1:36" ht="22.35" customHeight="1" x14ac:dyDescent="0.2">
      <c r="A201" s="109"/>
      <c r="B201" s="206"/>
      <c r="C201" s="207"/>
      <c r="D201" s="208"/>
      <c r="E201" s="209"/>
      <c r="F201" s="209"/>
      <c r="G201" s="210"/>
      <c r="H201" s="208"/>
      <c r="I201" s="209"/>
      <c r="J201" s="209"/>
      <c r="K201" s="210"/>
      <c r="L201" s="208"/>
      <c r="M201" s="209"/>
      <c r="N201" s="209"/>
      <c r="O201" s="210"/>
      <c r="P201" s="198"/>
      <c r="Q201" s="209"/>
      <c r="R201" s="209"/>
      <c r="S201" s="210"/>
      <c r="T201" s="198"/>
      <c r="U201" s="209"/>
      <c r="V201" s="209"/>
      <c r="W201" s="209"/>
      <c r="X201" s="209"/>
      <c r="Y201" s="209"/>
      <c r="Z201" s="209"/>
      <c r="AA201" s="210"/>
      <c r="AB201" s="209"/>
      <c r="AC201" s="209"/>
      <c r="AD201" s="209"/>
      <c r="AE201" s="210"/>
      <c r="AF201" s="209"/>
      <c r="AG201" s="209"/>
      <c r="AH201" s="191"/>
      <c r="AI201" s="191"/>
      <c r="AJ201" s="190"/>
    </row>
    <row r="202" spans="1:36" ht="22.35" customHeight="1" thickBot="1" x14ac:dyDescent="0.25">
      <c r="A202" s="147"/>
      <c r="B202" s="390" t="s">
        <v>29</v>
      </c>
      <c r="C202" s="2796">
        <v>1</v>
      </c>
      <c r="D202" s="2796">
        <v>2</v>
      </c>
      <c r="E202" s="2797">
        <v>3</v>
      </c>
      <c r="F202" s="2797">
        <v>4</v>
      </c>
      <c r="G202" s="2796">
        <v>5</v>
      </c>
      <c r="H202" s="2796">
        <v>6</v>
      </c>
      <c r="I202" s="2796">
        <v>7</v>
      </c>
      <c r="J202" s="2796">
        <v>8</v>
      </c>
      <c r="K202" s="2796">
        <v>9</v>
      </c>
      <c r="L202" s="2797">
        <v>10</v>
      </c>
      <c r="M202" s="2797">
        <v>11</v>
      </c>
      <c r="N202" s="2796">
        <v>12</v>
      </c>
      <c r="O202" s="2796">
        <v>13</v>
      </c>
      <c r="P202" s="2796">
        <v>14</v>
      </c>
      <c r="Q202" s="2796">
        <v>15</v>
      </c>
      <c r="R202" s="2796">
        <v>16</v>
      </c>
      <c r="S202" s="2797">
        <v>17</v>
      </c>
      <c r="T202" s="2797">
        <v>18</v>
      </c>
      <c r="U202" s="2796">
        <v>19</v>
      </c>
      <c r="V202" s="2796">
        <v>20</v>
      </c>
      <c r="W202" s="2796">
        <v>21</v>
      </c>
      <c r="X202" s="2796">
        <v>22</v>
      </c>
      <c r="Y202" s="2796">
        <v>23</v>
      </c>
      <c r="Z202" s="2797">
        <v>24</v>
      </c>
      <c r="AA202" s="2797">
        <v>25</v>
      </c>
      <c r="AB202" s="2797">
        <v>26</v>
      </c>
      <c r="AC202" s="2796">
        <v>27</v>
      </c>
      <c r="AD202" s="2796">
        <v>28</v>
      </c>
      <c r="AE202" s="2796">
        <v>29</v>
      </c>
      <c r="AF202" s="2796">
        <v>30</v>
      </c>
      <c r="AG202" s="2798">
        <v>31</v>
      </c>
      <c r="AH202" s="180"/>
      <c r="AI202" s="174"/>
    </row>
    <row r="203" spans="1:36" ht="22.35" customHeight="1" x14ac:dyDescent="0.2">
      <c r="A203" s="109"/>
      <c r="B203" s="3117" t="s">
        <v>267</v>
      </c>
      <c r="C203" s="3118" t="s">
        <v>235</v>
      </c>
      <c r="D203" s="3118" t="s">
        <v>235</v>
      </c>
      <c r="E203" s="3118"/>
      <c r="F203" s="3118"/>
      <c r="G203" s="3119" t="s">
        <v>235</v>
      </c>
      <c r="H203" s="3119" t="s">
        <v>235</v>
      </c>
      <c r="I203" s="3119" t="s">
        <v>235</v>
      </c>
      <c r="J203" s="3119" t="s">
        <v>235</v>
      </c>
      <c r="K203" s="3119" t="s">
        <v>235</v>
      </c>
      <c r="L203" s="3118"/>
      <c r="M203" s="3118"/>
      <c r="N203" s="3118" t="s">
        <v>235</v>
      </c>
      <c r="O203" s="3118" t="s">
        <v>235</v>
      </c>
      <c r="P203" s="3118" t="s">
        <v>235</v>
      </c>
      <c r="Q203" s="3118" t="s">
        <v>235</v>
      </c>
      <c r="R203" s="3118" t="s">
        <v>235</v>
      </c>
      <c r="S203" s="3118"/>
      <c r="T203" s="3118"/>
      <c r="U203" s="3118" t="s">
        <v>235</v>
      </c>
      <c r="V203" s="3118" t="s">
        <v>235</v>
      </c>
      <c r="W203" s="3118" t="s">
        <v>235</v>
      </c>
      <c r="X203" s="3118" t="s">
        <v>235</v>
      </c>
      <c r="Y203" s="3118" t="s">
        <v>235</v>
      </c>
      <c r="Z203" s="3118"/>
      <c r="AA203" s="3118"/>
      <c r="AB203" s="3118"/>
      <c r="AC203" s="3118" t="s">
        <v>235</v>
      </c>
      <c r="AD203" s="3118" t="s">
        <v>235</v>
      </c>
      <c r="AE203" s="3118" t="s">
        <v>235</v>
      </c>
      <c r="AF203" s="3118" t="s">
        <v>235</v>
      </c>
      <c r="AG203" s="3118"/>
      <c r="AH203" s="179"/>
      <c r="AI203" s="179"/>
    </row>
    <row r="204" spans="1:36" ht="22.35" customHeight="1" x14ac:dyDescent="0.2">
      <c r="A204" s="109"/>
      <c r="B204" s="2666" t="s">
        <v>268</v>
      </c>
      <c r="C204" s="3119" t="s">
        <v>235</v>
      </c>
      <c r="D204" s="3119" t="s">
        <v>235</v>
      </c>
      <c r="E204" s="3119"/>
      <c r="F204" s="3119"/>
      <c r="G204" s="3119" t="s">
        <v>235</v>
      </c>
      <c r="H204" s="3119" t="s">
        <v>235</v>
      </c>
      <c r="I204" s="3119" t="s">
        <v>235</v>
      </c>
      <c r="J204" s="3119" t="s">
        <v>235</v>
      </c>
      <c r="K204" s="3119" t="s">
        <v>235</v>
      </c>
      <c r="L204" s="3119"/>
      <c r="M204" s="3119"/>
      <c r="N204" s="3120" t="s">
        <v>235</v>
      </c>
      <c r="O204" s="3120" t="s">
        <v>235</v>
      </c>
      <c r="P204" s="3120" t="s">
        <v>235</v>
      </c>
      <c r="Q204" s="3121" t="s">
        <v>235</v>
      </c>
      <c r="R204" s="3121" t="s">
        <v>235</v>
      </c>
      <c r="S204" s="3121"/>
      <c r="T204" s="3121"/>
      <c r="U204" s="3121" t="s">
        <v>235</v>
      </c>
      <c r="V204" s="3121" t="s">
        <v>235</v>
      </c>
      <c r="W204" s="3119" t="s">
        <v>235</v>
      </c>
      <c r="X204" s="3119" t="s">
        <v>235</v>
      </c>
      <c r="Y204" s="3119" t="s">
        <v>235</v>
      </c>
      <c r="Z204" s="3119"/>
      <c r="AA204" s="3119"/>
      <c r="AB204" s="3119"/>
      <c r="AC204" s="3119" t="s">
        <v>235</v>
      </c>
      <c r="AD204" s="3122" t="s">
        <v>239</v>
      </c>
      <c r="AE204" s="3119" t="s">
        <v>235</v>
      </c>
      <c r="AF204" s="3119" t="s">
        <v>235</v>
      </c>
      <c r="AG204" s="3119"/>
      <c r="AH204" s="179"/>
      <c r="AI204" s="179"/>
    </row>
    <row r="205" spans="1:36" ht="22.35" customHeight="1" x14ac:dyDescent="0.2">
      <c r="A205" s="109"/>
      <c r="B205" s="2666" t="s">
        <v>270</v>
      </c>
      <c r="C205" s="3121" t="s">
        <v>239</v>
      </c>
      <c r="D205" s="3121" t="s">
        <v>239</v>
      </c>
      <c r="E205" s="3119"/>
      <c r="F205" s="3119"/>
      <c r="G205" s="3123" t="s">
        <v>239</v>
      </c>
      <c r="H205" s="3123" t="s">
        <v>463</v>
      </c>
      <c r="I205" s="3124" t="s">
        <v>235</v>
      </c>
      <c r="J205" s="3124" t="s">
        <v>239</v>
      </c>
      <c r="K205" s="3124" t="s">
        <v>239</v>
      </c>
      <c r="L205" s="3119"/>
      <c r="M205" s="3119"/>
      <c r="N205" s="3119" t="s">
        <v>239</v>
      </c>
      <c r="O205" s="3119" t="s">
        <v>239</v>
      </c>
      <c r="P205" s="3119" t="s">
        <v>235</v>
      </c>
      <c r="Q205" s="3119" t="s">
        <v>239</v>
      </c>
      <c r="R205" s="3121" t="s">
        <v>239</v>
      </c>
      <c r="S205" s="3119"/>
      <c r="T205" s="3119"/>
      <c r="U205" s="3123" t="s">
        <v>239</v>
      </c>
      <c r="V205" s="3123" t="s">
        <v>239</v>
      </c>
      <c r="W205" s="3123" t="s">
        <v>235</v>
      </c>
      <c r="X205" s="3123" t="s">
        <v>239</v>
      </c>
      <c r="Y205" s="3123" t="s">
        <v>463</v>
      </c>
      <c r="Z205" s="3119"/>
      <c r="AA205" s="3119"/>
      <c r="AB205" s="3119"/>
      <c r="AC205" s="3122" t="s">
        <v>239</v>
      </c>
      <c r="AD205" s="3119" t="s">
        <v>235</v>
      </c>
      <c r="AE205" s="3119" t="s">
        <v>239</v>
      </c>
      <c r="AF205" s="3119" t="s">
        <v>239</v>
      </c>
      <c r="AG205" s="3119"/>
      <c r="AH205" s="179"/>
      <c r="AI205" s="179"/>
    </row>
    <row r="206" spans="1:36" ht="22.35" customHeight="1" x14ac:dyDescent="0.2">
      <c r="A206" s="109"/>
      <c r="B206" s="2666" t="s">
        <v>271</v>
      </c>
      <c r="C206" s="3119" t="s">
        <v>50</v>
      </c>
      <c r="D206" s="3119" t="s">
        <v>50</v>
      </c>
      <c r="E206" s="3119"/>
      <c r="F206" s="3119"/>
      <c r="G206" s="3119" t="s">
        <v>50</v>
      </c>
      <c r="H206" s="3119" t="s">
        <v>50</v>
      </c>
      <c r="I206" s="3119" t="s">
        <v>50</v>
      </c>
      <c r="J206" s="3119" t="s">
        <v>50</v>
      </c>
      <c r="K206" s="3119" t="s">
        <v>50</v>
      </c>
      <c r="L206" s="3119"/>
      <c r="M206" s="3119"/>
      <c r="N206" s="3119" t="s">
        <v>50</v>
      </c>
      <c r="O206" s="3119" t="s">
        <v>50</v>
      </c>
      <c r="P206" s="3119" t="s">
        <v>50</v>
      </c>
      <c r="Q206" s="3119" t="s">
        <v>50</v>
      </c>
      <c r="R206" s="3119" t="s">
        <v>50</v>
      </c>
      <c r="S206" s="3119"/>
      <c r="T206" s="3119"/>
      <c r="U206" s="3119" t="s">
        <v>50</v>
      </c>
      <c r="V206" s="3119" t="s">
        <v>50</v>
      </c>
      <c r="W206" s="3119" t="s">
        <v>50</v>
      </c>
      <c r="X206" s="3119" t="s">
        <v>50</v>
      </c>
      <c r="Y206" s="3119" t="s">
        <v>50</v>
      </c>
      <c r="Z206" s="3119"/>
      <c r="AA206" s="3119"/>
      <c r="AB206" s="3119"/>
      <c r="AC206" s="3121" t="s">
        <v>50</v>
      </c>
      <c r="AD206" s="3121" t="s">
        <v>50</v>
      </c>
      <c r="AE206" s="3121" t="s">
        <v>50</v>
      </c>
      <c r="AF206" s="3121" t="s">
        <v>50</v>
      </c>
      <c r="AG206" s="3119"/>
      <c r="AH206" s="179"/>
      <c r="AI206" s="179"/>
    </row>
    <row r="207" spans="1:36" ht="22.35" customHeight="1" x14ac:dyDescent="0.2">
      <c r="A207" s="109"/>
      <c r="B207" s="933" t="s">
        <v>272</v>
      </c>
      <c r="C207" s="3119" t="s">
        <v>243</v>
      </c>
      <c r="D207" s="3119" t="s">
        <v>243</v>
      </c>
      <c r="E207" s="3119"/>
      <c r="F207" s="3119"/>
      <c r="G207" s="3119" t="s">
        <v>243</v>
      </c>
      <c r="H207" s="3119" t="s">
        <v>243</v>
      </c>
      <c r="I207" s="3119" t="s">
        <v>243</v>
      </c>
      <c r="J207" s="3119" t="s">
        <v>243</v>
      </c>
      <c r="K207" s="3119" t="s">
        <v>243</v>
      </c>
      <c r="L207" s="3119"/>
      <c r="M207" s="3119"/>
      <c r="N207" s="3119" t="s">
        <v>243</v>
      </c>
      <c r="O207" s="3125" t="s">
        <v>243</v>
      </c>
      <c r="P207" s="3125" t="s">
        <v>243</v>
      </c>
      <c r="Q207" s="3125" t="s">
        <v>243</v>
      </c>
      <c r="R207" s="3125" t="s">
        <v>243</v>
      </c>
      <c r="S207" s="3125"/>
      <c r="T207" s="3125"/>
      <c r="U207" s="3126" t="s">
        <v>243</v>
      </c>
      <c r="V207" s="3119" t="s">
        <v>243</v>
      </c>
      <c r="W207" s="3119" t="s">
        <v>243</v>
      </c>
      <c r="X207" s="3119" t="s">
        <v>243</v>
      </c>
      <c r="Y207" s="3119" t="s">
        <v>243</v>
      </c>
      <c r="Z207" s="3119"/>
      <c r="AA207" s="3119"/>
      <c r="AB207" s="3119"/>
      <c r="AF207" s="3121" t="s">
        <v>243</v>
      </c>
      <c r="AG207" s="3119"/>
      <c r="AH207" s="179"/>
      <c r="AI207" s="179"/>
    </row>
    <row r="208" spans="1:36" ht="22.35" customHeight="1" x14ac:dyDescent="0.2">
      <c r="A208" s="109"/>
      <c r="B208" s="2801"/>
      <c r="C208" s="3119" t="s">
        <v>249</v>
      </c>
      <c r="D208" s="3119" t="s">
        <v>249</v>
      </c>
      <c r="E208" s="3119"/>
      <c r="F208" s="3119"/>
      <c r="G208" s="3119" t="s">
        <v>249</v>
      </c>
      <c r="H208" s="3119" t="s">
        <v>249</v>
      </c>
      <c r="I208" s="3119" t="s">
        <v>249</v>
      </c>
      <c r="J208" s="3119" t="s">
        <v>249</v>
      </c>
      <c r="K208" s="3119" t="s">
        <v>249</v>
      </c>
      <c r="L208" s="3119"/>
      <c r="M208" s="3119"/>
      <c r="N208" s="3119" t="s">
        <v>249</v>
      </c>
      <c r="O208" s="3119" t="s">
        <v>249</v>
      </c>
      <c r="P208" s="3119" t="s">
        <v>249</v>
      </c>
      <c r="Q208" s="3119" t="s">
        <v>249</v>
      </c>
      <c r="R208" s="3119" t="s">
        <v>249</v>
      </c>
      <c r="S208" s="3119"/>
      <c r="T208" s="3119"/>
      <c r="U208" s="3119" t="s">
        <v>249</v>
      </c>
      <c r="V208" s="3119" t="s">
        <v>249</v>
      </c>
      <c r="W208" s="3119" t="s">
        <v>249</v>
      </c>
      <c r="X208" s="3119" t="s">
        <v>249</v>
      </c>
      <c r="Y208" s="3119" t="s">
        <v>249</v>
      </c>
      <c r="Z208" s="3119"/>
      <c r="AA208" s="3119"/>
      <c r="AB208" s="3119"/>
      <c r="AC208" s="3119" t="s">
        <v>249</v>
      </c>
      <c r="AD208" s="3119" t="s">
        <v>249</v>
      </c>
      <c r="AE208" s="3119" t="s">
        <v>249</v>
      </c>
      <c r="AF208" s="3119" t="s">
        <v>249</v>
      </c>
      <c r="AG208" s="3119"/>
      <c r="AH208" s="179"/>
      <c r="AI208" s="179"/>
    </row>
    <row r="209" spans="1:35" ht="22.35" customHeight="1" x14ac:dyDescent="0.2">
      <c r="A209" s="109"/>
      <c r="B209" s="2666" t="s">
        <v>273</v>
      </c>
      <c r="C209" s="3127" t="s">
        <v>142</v>
      </c>
      <c r="D209" s="3127" t="s">
        <v>142</v>
      </c>
      <c r="E209" s="3127"/>
      <c r="F209" s="3127"/>
      <c r="G209" s="3127" t="s">
        <v>142</v>
      </c>
      <c r="H209" s="3127" t="s">
        <v>142</v>
      </c>
      <c r="I209" s="3127" t="s">
        <v>142</v>
      </c>
      <c r="J209" s="3127" t="s">
        <v>142</v>
      </c>
      <c r="K209" s="3127" t="s">
        <v>142</v>
      </c>
      <c r="L209" s="3127"/>
      <c r="M209" s="3127"/>
      <c r="N209" s="3127" t="s">
        <v>142</v>
      </c>
      <c r="O209" s="3127" t="s">
        <v>142</v>
      </c>
      <c r="P209" s="3127" t="s">
        <v>142</v>
      </c>
      <c r="Q209" s="3127" t="s">
        <v>142</v>
      </c>
      <c r="R209" s="3127" t="s">
        <v>142</v>
      </c>
      <c r="S209" s="3127"/>
      <c r="T209" s="3127"/>
      <c r="U209" s="3127" t="s">
        <v>142</v>
      </c>
      <c r="V209" s="3127" t="s">
        <v>142</v>
      </c>
      <c r="W209" s="3127" t="s">
        <v>142</v>
      </c>
      <c r="X209" s="3128" t="s">
        <v>142</v>
      </c>
      <c r="Y209" s="3127" t="s">
        <v>142</v>
      </c>
      <c r="Z209" s="3127"/>
      <c r="AA209" s="3127"/>
      <c r="AB209" s="3127"/>
      <c r="AC209" s="3129" t="s">
        <v>142</v>
      </c>
      <c r="AD209" s="3129" t="s">
        <v>142</v>
      </c>
      <c r="AE209" s="3129" t="s">
        <v>142</v>
      </c>
      <c r="AF209" s="3129" t="s">
        <v>142</v>
      </c>
      <c r="AG209" s="3127"/>
      <c r="AH209" s="179"/>
      <c r="AI209" s="179"/>
    </row>
    <row r="210" spans="1:35" ht="22.35" customHeight="1" x14ac:dyDescent="0.2">
      <c r="A210" s="109"/>
      <c r="B210" s="634" t="s">
        <v>0</v>
      </c>
      <c r="C210" s="3119" t="s">
        <v>134</v>
      </c>
      <c r="D210" s="3119" t="s">
        <v>134</v>
      </c>
      <c r="E210" s="3119"/>
      <c r="F210" s="3119"/>
      <c r="G210" s="3119" t="s">
        <v>134</v>
      </c>
      <c r="H210" s="3119" t="s">
        <v>134</v>
      </c>
      <c r="I210" s="3119" t="s">
        <v>134</v>
      </c>
      <c r="J210" s="3119" t="s">
        <v>134</v>
      </c>
      <c r="K210" s="3119" t="s">
        <v>134</v>
      </c>
      <c r="L210" s="3119"/>
      <c r="M210" s="3119"/>
      <c r="N210" s="3119" t="s">
        <v>134</v>
      </c>
      <c r="O210" s="3119" t="s">
        <v>134</v>
      </c>
      <c r="P210" s="3119" t="s">
        <v>134</v>
      </c>
      <c r="Q210" s="3119" t="s">
        <v>134</v>
      </c>
      <c r="R210" s="3119" t="s">
        <v>134</v>
      </c>
      <c r="S210" s="3119"/>
      <c r="T210" s="3119"/>
      <c r="U210" s="3119" t="s">
        <v>134</v>
      </c>
      <c r="V210" s="3119" t="s">
        <v>134</v>
      </c>
      <c r="W210" s="3119" t="s">
        <v>134</v>
      </c>
      <c r="X210" s="3119" t="s">
        <v>134</v>
      </c>
      <c r="Y210" s="3119" t="s">
        <v>134</v>
      </c>
      <c r="Z210" s="3119"/>
      <c r="AA210" s="3119"/>
      <c r="AB210" s="3119"/>
      <c r="AC210" s="3119" t="s">
        <v>134</v>
      </c>
      <c r="AD210" s="3119" t="s">
        <v>134</v>
      </c>
      <c r="AE210" s="3119" t="s">
        <v>134</v>
      </c>
      <c r="AF210" s="3119" t="s">
        <v>134</v>
      </c>
      <c r="AG210" s="3119"/>
      <c r="AH210" s="179"/>
      <c r="AI210" s="179"/>
    </row>
    <row r="211" spans="1:35" ht="22.35" customHeight="1" x14ac:dyDescent="0.2">
      <c r="A211" s="109"/>
      <c r="B211" s="2666" t="s">
        <v>274</v>
      </c>
      <c r="C211" s="292" t="s">
        <v>176</v>
      </c>
      <c r="D211" s="292" t="s">
        <v>176</v>
      </c>
      <c r="E211" s="292"/>
      <c r="F211" s="292"/>
      <c r="G211" s="292" t="s">
        <v>176</v>
      </c>
      <c r="H211" s="292" t="s">
        <v>176</v>
      </c>
      <c r="I211" s="292" t="s">
        <v>176</v>
      </c>
      <c r="J211" s="292" t="s">
        <v>176</v>
      </c>
      <c r="K211" s="292" t="s">
        <v>176</v>
      </c>
      <c r="L211" s="292"/>
      <c r="M211" s="292"/>
      <c r="N211" s="292" t="s">
        <v>176</v>
      </c>
      <c r="O211" s="292" t="s">
        <v>176</v>
      </c>
      <c r="P211" s="292" t="s">
        <v>176</v>
      </c>
      <c r="Q211" s="292" t="s">
        <v>176</v>
      </c>
      <c r="R211" s="292" t="s">
        <v>176</v>
      </c>
      <c r="S211" s="292"/>
      <c r="T211" s="292"/>
      <c r="U211" s="292" t="s">
        <v>176</v>
      </c>
      <c r="V211" s="292" t="s">
        <v>176</v>
      </c>
      <c r="W211" s="292" t="s">
        <v>176</v>
      </c>
      <c r="X211" s="292" t="s">
        <v>176</v>
      </c>
      <c r="Y211" s="292" t="s">
        <v>176</v>
      </c>
      <c r="Z211" s="292"/>
      <c r="AA211" s="292"/>
      <c r="AB211" s="292"/>
      <c r="AC211" s="292" t="s">
        <v>176</v>
      </c>
      <c r="AD211" s="292" t="s">
        <v>176</v>
      </c>
      <c r="AE211" s="292" t="s">
        <v>176</v>
      </c>
      <c r="AF211" s="292" t="s">
        <v>176</v>
      </c>
      <c r="AG211" s="292"/>
      <c r="AH211" s="179"/>
      <c r="AI211" s="179"/>
    </row>
    <row r="212" spans="1:35" ht="22.35" customHeight="1" x14ac:dyDescent="0.2">
      <c r="A212" s="109"/>
      <c r="B212" s="2666" t="s">
        <v>0</v>
      </c>
      <c r="C212" s="851" t="s">
        <v>257</v>
      </c>
      <c r="D212" s="851" t="s">
        <v>257</v>
      </c>
      <c r="E212" s="851"/>
      <c r="F212" s="851"/>
      <c r="G212" s="851" t="s">
        <v>257</v>
      </c>
      <c r="H212" s="851" t="s">
        <v>257</v>
      </c>
      <c r="I212" s="851" t="s">
        <v>257</v>
      </c>
      <c r="J212" s="851" t="s">
        <v>257</v>
      </c>
      <c r="K212" s="851" t="s">
        <v>257</v>
      </c>
      <c r="L212" s="851"/>
      <c r="M212" s="851"/>
      <c r="N212" s="851" t="s">
        <v>257</v>
      </c>
      <c r="O212" s="851" t="s">
        <v>257</v>
      </c>
      <c r="P212" s="851" t="s">
        <v>257</v>
      </c>
      <c r="Q212" s="851" t="s">
        <v>257</v>
      </c>
      <c r="R212" s="851" t="s">
        <v>257</v>
      </c>
      <c r="S212" s="851"/>
      <c r="T212" s="851"/>
      <c r="U212" s="851" t="s">
        <v>257</v>
      </c>
      <c r="V212" s="851" t="s">
        <v>257</v>
      </c>
      <c r="W212" s="851" t="s">
        <v>257</v>
      </c>
      <c r="X212" s="851" t="s">
        <v>257</v>
      </c>
      <c r="Y212" s="851" t="s">
        <v>257</v>
      </c>
      <c r="Z212" s="851"/>
      <c r="AA212" s="851"/>
      <c r="AB212" s="851"/>
      <c r="AC212" s="851" t="s">
        <v>257</v>
      </c>
      <c r="AD212" s="851" t="s">
        <v>257</v>
      </c>
      <c r="AE212" s="851" t="s">
        <v>257</v>
      </c>
      <c r="AF212" s="851" t="s">
        <v>257</v>
      </c>
      <c r="AG212" s="851"/>
      <c r="AH212" s="179"/>
      <c r="AI212" s="179"/>
    </row>
    <row r="213" spans="1:35" ht="22.35" customHeight="1" x14ac:dyDescent="0.2">
      <c r="A213" s="109"/>
      <c r="B213" s="634" t="s">
        <v>276</v>
      </c>
      <c r="C213" s="851" t="s">
        <v>95</v>
      </c>
      <c r="D213" s="851" t="s">
        <v>95</v>
      </c>
      <c r="E213" s="851"/>
      <c r="F213" s="851"/>
      <c r="G213" s="851" t="s">
        <v>95</v>
      </c>
      <c r="H213" s="851" t="s">
        <v>95</v>
      </c>
      <c r="I213" s="851" t="s">
        <v>95</v>
      </c>
      <c r="J213" s="851" t="s">
        <v>95</v>
      </c>
      <c r="K213" s="851" t="s">
        <v>95</v>
      </c>
      <c r="L213" s="851"/>
      <c r="M213" s="851"/>
      <c r="N213" s="851" t="s">
        <v>95</v>
      </c>
      <c r="O213" s="851" t="s">
        <v>95</v>
      </c>
      <c r="P213" s="851" t="s">
        <v>95</v>
      </c>
      <c r="Q213" s="851" t="s">
        <v>95</v>
      </c>
      <c r="R213" s="851" t="s">
        <v>95</v>
      </c>
      <c r="S213" s="851"/>
      <c r="T213" s="851"/>
      <c r="U213" s="3130" t="s">
        <v>95</v>
      </c>
      <c r="V213" s="851" t="s">
        <v>95</v>
      </c>
      <c r="W213" s="851" t="s">
        <v>95</v>
      </c>
      <c r="X213" s="3131" t="s">
        <v>404</v>
      </c>
      <c r="Y213" s="2845" t="s">
        <v>95</v>
      </c>
      <c r="Z213" s="851"/>
      <c r="AA213" s="851"/>
      <c r="AB213" s="851"/>
      <c r="AC213" s="3132" t="s">
        <v>95</v>
      </c>
      <c r="AD213" s="3132" t="s">
        <v>95</v>
      </c>
      <c r="AE213" s="3132" t="s">
        <v>95</v>
      </c>
      <c r="AF213" s="3132" t="s">
        <v>95</v>
      </c>
      <c r="AG213" s="3133"/>
      <c r="AH213" s="179"/>
      <c r="AI213" s="179"/>
    </row>
    <row r="214" spans="1:35" ht="22.35" customHeight="1" x14ac:dyDescent="0.2">
      <c r="A214" s="109"/>
      <c r="B214" s="2666" t="s">
        <v>277</v>
      </c>
      <c r="C214" s="851" t="s">
        <v>177</v>
      </c>
      <c r="D214" s="851" t="s">
        <v>177</v>
      </c>
      <c r="E214" s="851"/>
      <c r="F214" s="851"/>
      <c r="G214" s="964" t="s">
        <v>177</v>
      </c>
      <c r="H214" s="964" t="s">
        <v>179</v>
      </c>
      <c r="I214" s="2845" t="s">
        <v>177</v>
      </c>
      <c r="J214" s="2845" t="s">
        <v>177</v>
      </c>
      <c r="K214" s="2845" t="s">
        <v>177</v>
      </c>
      <c r="L214" s="851"/>
      <c r="M214" s="851"/>
      <c r="N214" s="851" t="s">
        <v>177</v>
      </c>
      <c r="O214" s="851" t="s">
        <v>177</v>
      </c>
      <c r="P214" s="851" t="s">
        <v>177</v>
      </c>
      <c r="Q214" s="851" t="s">
        <v>177</v>
      </c>
      <c r="R214" s="851" t="s">
        <v>177</v>
      </c>
      <c r="S214" s="851"/>
      <c r="T214" s="851"/>
      <c r="U214" s="851" t="s">
        <v>177</v>
      </c>
      <c r="V214" s="851" t="s">
        <v>177</v>
      </c>
      <c r="W214" s="851" t="s">
        <v>177</v>
      </c>
      <c r="X214" s="851" t="s">
        <v>177</v>
      </c>
      <c r="Y214" s="851" t="s">
        <v>177</v>
      </c>
      <c r="Z214" s="851"/>
      <c r="AA214" s="851"/>
      <c r="AB214" s="851"/>
      <c r="AC214" s="2642" t="s">
        <v>177</v>
      </c>
      <c r="AD214" s="2642" t="s">
        <v>177</v>
      </c>
      <c r="AE214" s="2642" t="s">
        <v>177</v>
      </c>
      <c r="AF214" s="2642" t="s">
        <v>177</v>
      </c>
      <c r="AG214" s="851"/>
      <c r="AH214" s="179"/>
      <c r="AI214" s="179"/>
    </row>
    <row r="215" spans="1:35" ht="22.35" customHeight="1" x14ac:dyDescent="0.2">
      <c r="A215" s="109"/>
      <c r="B215" s="634"/>
      <c r="C215" s="851" t="s">
        <v>137</v>
      </c>
      <c r="D215" s="851" t="s">
        <v>137</v>
      </c>
      <c r="E215" s="851"/>
      <c r="F215" s="851"/>
      <c r="G215" s="851" t="s">
        <v>137</v>
      </c>
      <c r="H215" s="851" t="s">
        <v>137</v>
      </c>
      <c r="I215" s="851" t="s">
        <v>137</v>
      </c>
      <c r="J215" s="851" t="s">
        <v>137</v>
      </c>
      <c r="K215" s="851" t="s">
        <v>137</v>
      </c>
      <c r="L215" s="851"/>
      <c r="M215" s="851"/>
      <c r="N215" s="851" t="s">
        <v>137</v>
      </c>
      <c r="O215" s="851" t="s">
        <v>137</v>
      </c>
      <c r="P215" s="851" t="s">
        <v>137</v>
      </c>
      <c r="Q215" s="851" t="s">
        <v>137</v>
      </c>
      <c r="R215" s="851" t="s">
        <v>137</v>
      </c>
      <c r="S215" s="851"/>
      <c r="T215" s="851"/>
      <c r="U215" s="851" t="s">
        <v>137</v>
      </c>
      <c r="V215" s="851" t="s">
        <v>137</v>
      </c>
      <c r="W215" s="851" t="s">
        <v>137</v>
      </c>
      <c r="X215" s="851" t="s">
        <v>137</v>
      </c>
      <c r="Y215" s="851" t="s">
        <v>137</v>
      </c>
      <c r="Z215" s="851"/>
      <c r="AA215" s="851"/>
      <c r="AB215" s="851"/>
      <c r="AC215" s="851" t="s">
        <v>137</v>
      </c>
      <c r="AD215" s="851" t="s">
        <v>137</v>
      </c>
      <c r="AE215" s="851" t="s">
        <v>137</v>
      </c>
      <c r="AF215" s="851" t="s">
        <v>137</v>
      </c>
      <c r="AG215" s="851"/>
      <c r="AH215" s="179"/>
      <c r="AI215" s="179"/>
    </row>
    <row r="216" spans="1:35" ht="22.35" customHeight="1" x14ac:dyDescent="0.2">
      <c r="A216" s="109"/>
      <c r="B216" s="634" t="s">
        <v>278</v>
      </c>
      <c r="C216" s="851" t="s">
        <v>264</v>
      </c>
      <c r="D216" s="851" t="s">
        <v>264</v>
      </c>
      <c r="E216" s="851"/>
      <c r="F216" s="851"/>
      <c r="G216" s="851" t="s">
        <v>264</v>
      </c>
      <c r="H216" s="851" t="s">
        <v>264</v>
      </c>
      <c r="I216" s="851" t="s">
        <v>264</v>
      </c>
      <c r="J216" s="851" t="s">
        <v>264</v>
      </c>
      <c r="K216" s="851" t="s">
        <v>264</v>
      </c>
      <c r="L216" s="851"/>
      <c r="M216" s="851"/>
      <c r="N216" s="964" t="s">
        <v>264</v>
      </c>
      <c r="O216" s="964" t="s">
        <v>264</v>
      </c>
      <c r="P216" s="964" t="s">
        <v>367</v>
      </c>
      <c r="Q216" s="2467" t="s">
        <v>264</v>
      </c>
      <c r="R216" s="2467" t="s">
        <v>264</v>
      </c>
      <c r="S216" s="851"/>
      <c r="T216" s="851"/>
      <c r="U216" s="3134" t="s">
        <v>264</v>
      </c>
      <c r="V216" s="851" t="s">
        <v>264</v>
      </c>
      <c r="W216" s="851" t="s">
        <v>264</v>
      </c>
      <c r="X216" s="851" t="s">
        <v>264</v>
      </c>
      <c r="Y216" s="851" t="s">
        <v>264</v>
      </c>
      <c r="Z216" s="851"/>
      <c r="AA216" s="851"/>
      <c r="AB216" s="851"/>
      <c r="AC216" s="3134" t="s">
        <v>264</v>
      </c>
      <c r="AD216" s="3134" t="s">
        <v>264</v>
      </c>
      <c r="AE216" s="3134" t="s">
        <v>264</v>
      </c>
      <c r="AF216" s="3134" t="s">
        <v>264</v>
      </c>
      <c r="AG216" s="851"/>
      <c r="AH216" s="107"/>
      <c r="AI216" s="107"/>
    </row>
    <row r="217" spans="1:35" ht="21" customHeight="1" thickBot="1" x14ac:dyDescent="0.25">
      <c r="A217" s="147"/>
      <c r="B217" s="2680" t="s">
        <v>279</v>
      </c>
      <c r="C217" s="1092" t="s">
        <v>266</v>
      </c>
      <c r="D217" s="1092" t="s">
        <v>266</v>
      </c>
      <c r="E217" s="1092"/>
      <c r="F217" s="1092"/>
      <c r="G217" s="1092" t="s">
        <v>266</v>
      </c>
      <c r="H217" s="1092" t="s">
        <v>266</v>
      </c>
      <c r="I217" s="1092" t="s">
        <v>266</v>
      </c>
      <c r="J217" s="1092" t="s">
        <v>266</v>
      </c>
      <c r="K217" s="1092" t="s">
        <v>266</v>
      </c>
      <c r="L217" s="1092"/>
      <c r="M217" s="1092"/>
      <c r="N217" s="1092" t="s">
        <v>266</v>
      </c>
      <c r="O217" s="1092" t="s">
        <v>266</v>
      </c>
      <c r="P217" s="1092" t="s">
        <v>266</v>
      </c>
      <c r="Q217" s="1092" t="s">
        <v>266</v>
      </c>
      <c r="R217" s="3135" t="s">
        <v>266</v>
      </c>
      <c r="S217" s="1092"/>
      <c r="T217" s="1092"/>
      <c r="U217" s="1092" t="s">
        <v>266</v>
      </c>
      <c r="V217" s="1092" t="s">
        <v>266</v>
      </c>
      <c r="W217" s="1092" t="s">
        <v>266</v>
      </c>
      <c r="X217" s="3136" t="s">
        <v>266</v>
      </c>
      <c r="Y217" s="1092" t="s">
        <v>266</v>
      </c>
      <c r="Z217" s="1092"/>
      <c r="AA217" s="1092"/>
      <c r="AB217" s="1092"/>
      <c r="AC217" s="3137" t="s">
        <v>266</v>
      </c>
      <c r="AD217" s="3138" t="s">
        <v>266</v>
      </c>
      <c r="AE217" s="2858" t="s">
        <v>266</v>
      </c>
      <c r="AF217" s="1273" t="s">
        <v>266</v>
      </c>
      <c r="AG217" s="1092"/>
      <c r="AH217" s="114"/>
    </row>
    <row r="218" spans="1:35" ht="21" customHeight="1" x14ac:dyDescent="0.2">
      <c r="A218" s="147"/>
      <c r="B218" s="217"/>
      <c r="C218" s="216"/>
      <c r="D218" s="216"/>
      <c r="E218" s="216"/>
      <c r="F218" s="216"/>
      <c r="G218" s="216"/>
      <c r="H218" s="216"/>
      <c r="I218" s="216"/>
      <c r="J218" s="216"/>
      <c r="K218" s="216"/>
      <c r="L218" s="216"/>
      <c r="M218" s="216"/>
      <c r="N218" s="216"/>
      <c r="O218" s="216"/>
      <c r="P218" s="216"/>
      <c r="Q218" s="216"/>
      <c r="R218" s="216"/>
      <c r="S218" s="216"/>
      <c r="T218" s="216"/>
      <c r="U218" s="216"/>
      <c r="V218" s="216"/>
      <c r="W218" s="216"/>
      <c r="X218" s="216"/>
      <c r="Y218" s="216"/>
      <c r="Z218" s="216"/>
      <c r="AA218" s="216"/>
      <c r="AB218" s="216"/>
      <c r="AC218" s="216"/>
      <c r="AD218" s="216"/>
      <c r="AE218" s="216"/>
      <c r="AF218" s="216"/>
      <c r="AG218" s="216"/>
      <c r="AH218" s="114"/>
    </row>
    <row r="219" spans="1:35" ht="22.35" customHeight="1" x14ac:dyDescent="0.2">
      <c r="C219" s="37"/>
      <c r="D219" s="37"/>
      <c r="E219" s="37"/>
      <c r="F219" s="37"/>
      <c r="G219" s="37"/>
      <c r="H219" s="37"/>
      <c r="I219" s="37"/>
      <c r="J219" s="37"/>
      <c r="K219" s="37"/>
      <c r="L219" s="37"/>
      <c r="M219" s="37"/>
      <c r="N219" s="37"/>
      <c r="O219" s="37"/>
      <c r="P219" s="37"/>
      <c r="Q219" s="37"/>
      <c r="R219" s="37"/>
      <c r="S219" s="37"/>
      <c r="T219" s="37"/>
      <c r="U219" s="37"/>
      <c r="V219" s="37"/>
      <c r="W219" s="37"/>
      <c r="X219" s="37"/>
      <c r="Y219" s="37"/>
      <c r="Z219" s="37"/>
      <c r="AA219" s="37"/>
      <c r="AB219" s="37"/>
      <c r="AC219" s="37"/>
      <c r="AD219" s="37"/>
      <c r="AE219" s="37"/>
      <c r="AF219" s="37"/>
      <c r="AG219" s="37"/>
    </row>
    <row r="220" spans="1:35" ht="22.35" customHeight="1" thickBot="1" x14ac:dyDescent="0.25">
      <c r="A220" s="1" t="s">
        <v>280</v>
      </c>
      <c r="B220" s="59"/>
    </row>
    <row r="221" spans="1:35" ht="22.35" customHeight="1" x14ac:dyDescent="0.2">
      <c r="A221" s="1"/>
      <c r="B221" s="3139" t="s">
        <v>281</v>
      </c>
      <c r="C221" s="3140" t="s">
        <v>107</v>
      </c>
      <c r="D221" s="2519"/>
      <c r="E221" s="2519"/>
      <c r="F221" s="2519"/>
      <c r="G221" s="3140" t="s">
        <v>108</v>
      </c>
      <c r="H221" s="2519"/>
      <c r="I221" s="2519"/>
      <c r="J221" s="2519"/>
      <c r="K221" s="3140" t="s">
        <v>109</v>
      </c>
      <c r="L221" s="2519"/>
      <c r="M221" s="2519"/>
      <c r="N221" s="2519"/>
      <c r="O221" s="3140" t="s">
        <v>110</v>
      </c>
      <c r="P221" s="2519"/>
      <c r="Q221" s="2519"/>
      <c r="R221" s="2519"/>
      <c r="S221" s="3140" t="s">
        <v>111</v>
      </c>
      <c r="T221" s="2519"/>
      <c r="U221" s="2519"/>
      <c r="V221" s="2519"/>
      <c r="W221" s="3140" t="s">
        <v>112</v>
      </c>
      <c r="X221" s="2869"/>
      <c r="Y221" s="2519"/>
      <c r="Z221" s="3141"/>
      <c r="AA221" s="3140" t="s">
        <v>113</v>
      </c>
      <c r="AB221" s="2869"/>
      <c r="AC221" s="2519"/>
      <c r="AD221" s="3141"/>
      <c r="AE221" s="3142" t="s">
        <v>114</v>
      </c>
      <c r="AF221" s="2519"/>
      <c r="AG221" s="2519"/>
      <c r="AH221" s="2519"/>
      <c r="AI221" s="2870"/>
    </row>
    <row r="222" spans="1:35" ht="22.35" customHeight="1" x14ac:dyDescent="0.2">
      <c r="A222" s="1"/>
      <c r="B222" s="391">
        <v>3701</v>
      </c>
      <c r="C222" s="110" t="s">
        <v>282</v>
      </c>
      <c r="D222" s="110"/>
      <c r="E222" s="110"/>
      <c r="F222" s="110"/>
      <c r="G222" s="534" t="s">
        <v>283</v>
      </c>
      <c r="H222" s="110"/>
      <c r="I222" s="110"/>
      <c r="J222" s="110"/>
      <c r="K222" s="534" t="s">
        <v>283</v>
      </c>
      <c r="L222" s="110"/>
      <c r="M222" s="110"/>
      <c r="N222" s="110"/>
      <c r="O222" s="534" t="s">
        <v>283</v>
      </c>
      <c r="P222" s="110"/>
      <c r="Q222" s="110"/>
      <c r="R222" s="110"/>
      <c r="S222" s="534" t="s">
        <v>284</v>
      </c>
      <c r="T222" s="110"/>
      <c r="U222" s="110"/>
      <c r="V222" s="110"/>
      <c r="W222" s="3005"/>
      <c r="X222" s="3143"/>
      <c r="Y222" s="2879"/>
      <c r="Z222" s="3144"/>
      <c r="AA222" s="3005"/>
      <c r="AB222" s="3143"/>
      <c r="AC222" s="2879"/>
      <c r="AD222" s="3144"/>
      <c r="AE222" s="3046"/>
      <c r="AF222" s="2879"/>
      <c r="AG222" s="2879"/>
      <c r="AH222" s="2879"/>
      <c r="AI222" s="2787"/>
    </row>
    <row r="223" spans="1:35" ht="22.35" customHeight="1" x14ac:dyDescent="0.2">
      <c r="B223" s="3139">
        <v>3700</v>
      </c>
      <c r="C223" s="2879" t="s">
        <v>182</v>
      </c>
      <c r="D223" s="2879"/>
      <c r="E223" s="2879"/>
      <c r="F223" s="2879"/>
      <c r="G223" s="3007" t="s">
        <v>182</v>
      </c>
      <c r="H223" s="2879"/>
      <c r="I223" s="2879"/>
      <c r="J223" s="2879"/>
      <c r="K223" s="3007" t="s">
        <v>182</v>
      </c>
      <c r="L223" s="2879"/>
      <c r="M223" s="2879"/>
      <c r="N223" s="2879"/>
      <c r="O223" s="3007" t="s">
        <v>182</v>
      </c>
      <c r="P223" s="2879"/>
      <c r="Q223" s="2879"/>
      <c r="R223" s="2879"/>
      <c r="S223" s="3007" t="s">
        <v>183</v>
      </c>
      <c r="T223" s="2879"/>
      <c r="U223" s="2879"/>
      <c r="V223" s="2879"/>
      <c r="W223" s="3005"/>
      <c r="X223" s="2879"/>
      <c r="Y223" s="2879"/>
      <c r="Z223" s="3048"/>
      <c r="AA223" s="3046"/>
      <c r="AB223" s="2879"/>
      <c r="AC223" s="2879"/>
      <c r="AD223" s="2959"/>
      <c r="AE223" s="3145"/>
      <c r="AF223" s="2879"/>
      <c r="AG223" s="2879"/>
      <c r="AH223" s="2959"/>
      <c r="AI223" s="2787"/>
    </row>
    <row r="224" spans="1:35" ht="22.35" customHeight="1" x14ac:dyDescent="0.2">
      <c r="A224" s="1"/>
      <c r="B224" s="3139">
        <v>8514</v>
      </c>
      <c r="C224" s="2879" t="s">
        <v>283</v>
      </c>
      <c r="D224" s="2879"/>
      <c r="E224" s="2879"/>
      <c r="F224" s="2879"/>
      <c r="G224" s="3007" t="s">
        <v>283</v>
      </c>
      <c r="H224" s="2879"/>
      <c r="I224" s="2879"/>
      <c r="J224" s="2879"/>
      <c r="K224" s="3007" t="s">
        <v>283</v>
      </c>
      <c r="L224" s="2879"/>
      <c r="M224" s="2879"/>
      <c r="N224" s="2879"/>
      <c r="O224" s="3007" t="s">
        <v>283</v>
      </c>
      <c r="P224" s="2879"/>
      <c r="Q224" s="2879"/>
      <c r="R224" s="2879"/>
      <c r="S224" s="3007" t="s">
        <v>285</v>
      </c>
      <c r="T224" s="2879"/>
      <c r="U224" s="2879"/>
      <c r="V224" s="2879"/>
      <c r="W224" s="3005"/>
      <c r="X224" s="2879"/>
      <c r="Y224" s="2879"/>
      <c r="Z224" s="3048"/>
      <c r="AA224" s="2958"/>
      <c r="AB224" s="2879"/>
      <c r="AC224" s="2879"/>
      <c r="AD224" s="2959"/>
      <c r="AE224" s="2958"/>
      <c r="AF224" s="2879"/>
      <c r="AG224" s="2879"/>
      <c r="AH224" s="2959"/>
      <c r="AI224" s="2787"/>
    </row>
    <row r="225" spans="1:35" ht="22.35" customHeight="1" x14ac:dyDescent="0.2">
      <c r="A225" s="1"/>
      <c r="B225" s="3139">
        <v>8500</v>
      </c>
      <c r="C225" s="162" t="s">
        <v>286</v>
      </c>
      <c r="D225" s="162"/>
      <c r="E225" s="162"/>
      <c r="F225" s="162"/>
      <c r="G225" s="163" t="s">
        <v>286</v>
      </c>
      <c r="H225" s="162"/>
      <c r="I225" s="162"/>
      <c r="J225" s="162"/>
      <c r="K225" s="163" t="s">
        <v>286</v>
      </c>
      <c r="L225" s="162"/>
      <c r="M225" s="162"/>
      <c r="N225" s="162"/>
      <c r="O225" s="163" t="s">
        <v>286</v>
      </c>
      <c r="P225" s="162"/>
      <c r="Q225" s="162"/>
      <c r="R225" s="162"/>
      <c r="S225" s="163" t="s">
        <v>287</v>
      </c>
      <c r="T225" s="162"/>
      <c r="U225" s="162"/>
      <c r="V225" s="162"/>
      <c r="W225" s="3005"/>
      <c r="X225" s="162"/>
      <c r="Y225" s="162"/>
      <c r="Z225" s="120"/>
      <c r="AA225" s="119"/>
      <c r="AB225" s="162"/>
      <c r="AC225" s="162"/>
      <c r="AD225" s="120"/>
      <c r="AE225" s="119"/>
      <c r="AF225" s="162"/>
      <c r="AG225" s="162"/>
      <c r="AH225" s="112"/>
      <c r="AI225" s="118"/>
    </row>
    <row r="226" spans="1:35" ht="22.35" customHeight="1" x14ac:dyDescent="0.2">
      <c r="A226" s="1"/>
      <c r="B226" s="3139">
        <v>8514</v>
      </c>
      <c r="C226" s="165" t="s">
        <v>283</v>
      </c>
      <c r="D226" s="165"/>
      <c r="E226" s="165"/>
      <c r="F226" s="165"/>
      <c r="G226" s="166" t="s">
        <v>283</v>
      </c>
      <c r="H226" s="165"/>
      <c r="I226" s="165"/>
      <c r="J226" s="165"/>
      <c r="K226" s="166" t="s">
        <v>283</v>
      </c>
      <c r="L226" s="165"/>
      <c r="M226" s="165"/>
      <c r="N226" s="165"/>
      <c r="O226" s="166" t="s">
        <v>283</v>
      </c>
      <c r="P226" s="165"/>
      <c r="Q226" s="165"/>
      <c r="R226" s="165"/>
      <c r="S226" s="166" t="s">
        <v>285</v>
      </c>
      <c r="T226" s="165"/>
      <c r="U226" s="165"/>
      <c r="V226" s="165"/>
      <c r="W226" s="3146"/>
      <c r="X226" s="116"/>
      <c r="Y226" s="162"/>
      <c r="Z226" s="164"/>
      <c r="AA226" s="154"/>
      <c r="AB226" s="116"/>
      <c r="AC226" s="162"/>
      <c r="AD226" s="162"/>
      <c r="AE226" s="117"/>
      <c r="AF226" s="162"/>
      <c r="AG226" s="162"/>
      <c r="AH226" s="162"/>
      <c r="AI226" s="118"/>
    </row>
    <row r="227" spans="1:35" ht="22.35" customHeight="1" thickBot="1" x14ac:dyDescent="0.25">
      <c r="A227" s="1"/>
      <c r="B227" s="3147" t="s">
        <v>288</v>
      </c>
      <c r="C227" s="2885" t="s">
        <v>289</v>
      </c>
      <c r="D227" s="2885"/>
      <c r="E227" s="2885"/>
      <c r="F227" s="2885"/>
      <c r="G227" s="3148" t="s">
        <v>289</v>
      </c>
      <c r="H227" s="2885"/>
      <c r="I227" s="2885"/>
      <c r="J227" s="2885"/>
      <c r="K227" s="3008" t="s">
        <v>289</v>
      </c>
      <c r="L227" s="2885"/>
      <c r="M227" s="2885"/>
      <c r="N227" s="2885"/>
      <c r="O227" s="3148" t="s">
        <v>289</v>
      </c>
      <c r="P227" s="2885"/>
      <c r="Q227" s="2885"/>
      <c r="R227" s="2885"/>
      <c r="S227" s="3148" t="s">
        <v>290</v>
      </c>
      <c r="T227" s="2885"/>
      <c r="U227" s="2885"/>
      <c r="V227" s="2885"/>
      <c r="W227" s="3008"/>
      <c r="X227" s="2885"/>
      <c r="Y227" s="2885"/>
      <c r="Z227" s="3082"/>
      <c r="AA227" s="3058"/>
      <c r="AB227" s="2885"/>
      <c r="AC227" s="2885"/>
      <c r="AD227" s="3065"/>
      <c r="AE227" s="3149"/>
      <c r="AF227" s="2885"/>
      <c r="AG227" s="2885"/>
      <c r="AH227" s="3065"/>
      <c r="AI227" s="2888"/>
    </row>
    <row r="228" spans="1:35" ht="22.35" customHeight="1" x14ac:dyDescent="0.2">
      <c r="A228" s="1"/>
      <c r="B228" s="18"/>
      <c r="C228" s="64"/>
      <c r="D228" s="110"/>
      <c r="E228" s="110"/>
      <c r="F228" s="69"/>
      <c r="G228" s="64"/>
      <c r="H228" s="110"/>
      <c r="I228" s="110"/>
      <c r="J228" s="69"/>
      <c r="K228" s="64"/>
      <c r="L228" s="110"/>
      <c r="M228" s="110"/>
      <c r="N228" s="69"/>
      <c r="O228" s="64"/>
      <c r="P228" s="110"/>
      <c r="Q228" s="110"/>
      <c r="R228" s="69"/>
      <c r="S228" s="64"/>
      <c r="T228" s="110"/>
      <c r="U228" s="110"/>
      <c r="V228" s="69"/>
      <c r="W228" s="69"/>
      <c r="Z228" s="69"/>
      <c r="AA228" s="69"/>
      <c r="AD228" s="69"/>
      <c r="AE228" s="69"/>
      <c r="AH228" s="69"/>
    </row>
    <row r="229" spans="1:35" ht="22.35" customHeight="1" x14ac:dyDescent="0.2">
      <c r="A229" s="1" t="s">
        <v>291</v>
      </c>
      <c r="B229" s="18"/>
      <c r="C229" s="64"/>
      <c r="D229" s="110"/>
      <c r="E229" s="110"/>
      <c r="F229" s="69"/>
      <c r="G229" s="64"/>
      <c r="H229" s="110"/>
      <c r="I229" s="110"/>
      <c r="J229" s="69"/>
      <c r="K229" s="64"/>
      <c r="L229" s="110"/>
      <c r="M229" s="110"/>
      <c r="N229" s="69"/>
      <c r="O229" s="64"/>
      <c r="P229" s="110"/>
      <c r="Q229" s="110"/>
      <c r="R229" s="69"/>
      <c r="S229" s="64"/>
      <c r="T229" s="110"/>
      <c r="U229" s="110"/>
      <c r="V229" s="69"/>
      <c r="W229" s="69"/>
      <c r="Z229" s="69"/>
      <c r="AA229" s="69"/>
      <c r="AD229" s="69"/>
      <c r="AE229" s="69"/>
      <c r="AH229" s="69"/>
    </row>
    <row r="230" spans="1:35" ht="22.35" customHeight="1" thickBot="1" x14ac:dyDescent="0.25">
      <c r="A230" s="3035"/>
      <c r="B230" s="2890" t="s">
        <v>29</v>
      </c>
      <c r="C230" s="2796">
        <v>1</v>
      </c>
      <c r="D230" s="2796">
        <v>2</v>
      </c>
      <c r="E230" s="2797">
        <v>3</v>
      </c>
      <c r="F230" s="2797">
        <v>4</v>
      </c>
      <c r="G230" s="2796">
        <v>5</v>
      </c>
      <c r="H230" s="2796">
        <v>6</v>
      </c>
      <c r="I230" s="2796">
        <v>7</v>
      </c>
      <c r="J230" s="2796">
        <v>8</v>
      </c>
      <c r="K230" s="2796">
        <v>9</v>
      </c>
      <c r="L230" s="2797">
        <v>10</v>
      </c>
      <c r="M230" s="2797">
        <v>11</v>
      </c>
      <c r="N230" s="2796">
        <v>12</v>
      </c>
      <c r="O230" s="2796">
        <v>13</v>
      </c>
      <c r="P230" s="2796">
        <v>14</v>
      </c>
      <c r="Q230" s="2796">
        <v>15</v>
      </c>
      <c r="R230" s="2796">
        <v>16</v>
      </c>
      <c r="S230" s="2797">
        <v>17</v>
      </c>
      <c r="T230" s="2797">
        <v>18</v>
      </c>
      <c r="U230" s="2796">
        <v>19</v>
      </c>
      <c r="V230" s="2796">
        <v>20</v>
      </c>
      <c r="W230" s="2796">
        <v>21</v>
      </c>
      <c r="X230" s="2796">
        <v>22</v>
      </c>
      <c r="Y230" s="2796">
        <v>23</v>
      </c>
      <c r="Z230" s="2797">
        <v>24</v>
      </c>
      <c r="AA230" s="2797">
        <v>25</v>
      </c>
      <c r="AB230" s="2797">
        <v>26</v>
      </c>
      <c r="AC230" s="2796">
        <v>27</v>
      </c>
      <c r="AD230" s="2796">
        <v>28</v>
      </c>
      <c r="AE230" s="2796">
        <v>29</v>
      </c>
      <c r="AF230" s="2796">
        <v>30</v>
      </c>
      <c r="AG230" s="2798">
        <v>31</v>
      </c>
      <c r="AH230" s="173"/>
      <c r="AI230" s="174"/>
    </row>
    <row r="231" spans="1:35" ht="22.35" customHeight="1" x14ac:dyDescent="0.2">
      <c r="A231" s="3150"/>
      <c r="B231" s="3151" t="s">
        <v>292</v>
      </c>
      <c r="C231" s="2802" t="s">
        <v>32</v>
      </c>
      <c r="D231" s="2802" t="s">
        <v>32</v>
      </c>
      <c r="E231" s="2802"/>
      <c r="F231" s="2803"/>
      <c r="G231" s="2803" t="s">
        <v>32</v>
      </c>
      <c r="H231" s="2802" t="s">
        <v>32</v>
      </c>
      <c r="I231" s="2804" t="s">
        <v>32</v>
      </c>
      <c r="J231" s="2802" t="s">
        <v>32</v>
      </c>
      <c r="K231" s="2802" t="s">
        <v>32</v>
      </c>
      <c r="L231" s="2802"/>
      <c r="M231" s="2803"/>
      <c r="N231" s="2803" t="s">
        <v>32</v>
      </c>
      <c r="O231" s="2802" t="s">
        <v>32</v>
      </c>
      <c r="P231" s="2802" t="s">
        <v>32</v>
      </c>
      <c r="Q231" s="2802" t="s">
        <v>32</v>
      </c>
      <c r="R231" s="2802" t="s">
        <v>32</v>
      </c>
      <c r="S231" s="2802"/>
      <c r="T231" s="2803"/>
      <c r="U231" s="2803" t="s">
        <v>32</v>
      </c>
      <c r="V231" s="2803" t="s">
        <v>32</v>
      </c>
      <c r="W231" s="2803" t="s">
        <v>32</v>
      </c>
      <c r="X231" s="2803" t="s">
        <v>32</v>
      </c>
      <c r="Y231" s="2807" t="s">
        <v>32</v>
      </c>
      <c r="Z231" s="2807"/>
      <c r="AA231" s="2803"/>
      <c r="AB231" s="2803"/>
      <c r="AC231" s="2802" t="s">
        <v>32</v>
      </c>
      <c r="AD231" s="2802" t="s">
        <v>32</v>
      </c>
      <c r="AE231" s="2802" t="s">
        <v>32</v>
      </c>
      <c r="AF231" s="2802" t="s">
        <v>32</v>
      </c>
      <c r="AG231" s="2809"/>
      <c r="AH231" s="173"/>
      <c r="AI231" s="174"/>
    </row>
    <row r="232" spans="1:35" ht="22.35" customHeight="1" x14ac:dyDescent="0.2">
      <c r="A232" s="3152"/>
      <c r="B232" s="3153" t="s">
        <v>293</v>
      </c>
      <c r="C232" s="2802"/>
      <c r="D232" s="2802"/>
      <c r="E232" s="2802"/>
      <c r="F232" s="2803"/>
      <c r="G232" s="2803"/>
      <c r="H232" s="2802"/>
      <c r="I232" s="2804"/>
      <c r="J232" s="2802"/>
      <c r="K232" s="2802"/>
      <c r="L232" s="2802"/>
      <c r="M232" s="2803"/>
      <c r="N232" s="2803"/>
      <c r="O232" s="2802"/>
      <c r="P232" s="2802"/>
      <c r="Q232" s="2802"/>
      <c r="R232" s="2802"/>
      <c r="S232" s="2802"/>
      <c r="T232" s="2803"/>
      <c r="U232" s="2803"/>
      <c r="V232" s="2803"/>
      <c r="W232" s="2803"/>
      <c r="X232" s="2803"/>
      <c r="Y232" s="2807"/>
      <c r="Z232" s="2807"/>
      <c r="AA232" s="2803"/>
      <c r="AB232" s="2803"/>
      <c r="AC232" s="2802"/>
      <c r="AD232" s="2802"/>
      <c r="AE232" s="2802"/>
      <c r="AF232" s="2802"/>
      <c r="AG232" s="2809"/>
      <c r="AH232" s="173"/>
      <c r="AI232" s="174"/>
    </row>
    <row r="233" spans="1:35" ht="22.35" customHeight="1" x14ac:dyDescent="0.2">
      <c r="A233" s="3154">
        <v>8514</v>
      </c>
      <c r="B233" s="3155" t="s">
        <v>294</v>
      </c>
      <c r="C233" s="2802" t="s">
        <v>32</v>
      </c>
      <c r="D233" s="3156" t="s">
        <v>32</v>
      </c>
      <c r="E233" s="2802"/>
      <c r="F233" s="2803"/>
      <c r="G233" s="2803" t="s">
        <v>32</v>
      </c>
      <c r="H233" s="2802" t="s">
        <v>32</v>
      </c>
      <c r="I233" s="2804" t="s">
        <v>32</v>
      </c>
      <c r="J233" s="2802" t="s">
        <v>32</v>
      </c>
      <c r="K233" s="2802" t="s">
        <v>32</v>
      </c>
      <c r="L233" s="2802"/>
      <c r="M233" s="2803"/>
      <c r="N233" s="2803" t="s">
        <v>32</v>
      </c>
      <c r="O233" s="2802" t="s">
        <v>32</v>
      </c>
      <c r="P233" s="2802" t="s">
        <v>32</v>
      </c>
      <c r="Q233" s="2802" t="s">
        <v>32</v>
      </c>
      <c r="R233" s="2802" t="s">
        <v>32</v>
      </c>
      <c r="S233" s="2802"/>
      <c r="T233" s="2803"/>
      <c r="U233" s="2803" t="s">
        <v>32</v>
      </c>
      <c r="V233" s="2803" t="s">
        <v>32</v>
      </c>
      <c r="W233" s="2803" t="s">
        <v>32</v>
      </c>
      <c r="X233" s="2803" t="s">
        <v>32</v>
      </c>
      <c r="Y233" s="2807" t="s">
        <v>32</v>
      </c>
      <c r="Z233" s="2807"/>
      <c r="AA233" s="2803"/>
      <c r="AB233" s="2803"/>
      <c r="AC233" s="2806" t="s">
        <v>32</v>
      </c>
      <c r="AD233" s="2806" t="s">
        <v>32</v>
      </c>
      <c r="AE233" s="3156" t="s">
        <v>32</v>
      </c>
      <c r="AF233" s="3156" t="s">
        <v>32</v>
      </c>
      <c r="AG233" s="2809"/>
      <c r="AH233" s="178"/>
      <c r="AI233" s="179"/>
    </row>
    <row r="234" spans="1:35" ht="21" customHeight="1" x14ac:dyDescent="0.2">
      <c r="A234" s="3154">
        <v>3701</v>
      </c>
      <c r="B234" s="3157" t="s">
        <v>295</v>
      </c>
      <c r="C234" s="2802"/>
      <c r="D234" s="2802"/>
      <c r="E234" s="2802"/>
      <c r="F234" s="2803"/>
      <c r="G234" s="2803"/>
      <c r="H234" s="2802"/>
      <c r="I234" s="2804"/>
      <c r="J234" s="2802"/>
      <c r="K234" s="2802"/>
      <c r="L234" s="2802"/>
      <c r="M234" s="2803"/>
      <c r="N234" s="2803"/>
      <c r="O234" s="2802"/>
      <c r="P234" s="2802"/>
      <c r="Q234" s="2802"/>
      <c r="R234" s="2802"/>
      <c r="S234" s="2802"/>
      <c r="T234" s="2803"/>
      <c r="U234" s="2803"/>
      <c r="V234" s="2803"/>
      <c r="W234" s="2803"/>
      <c r="X234" s="2803"/>
      <c r="Y234" s="2807"/>
      <c r="Z234" s="2807"/>
      <c r="AA234" s="2803"/>
      <c r="AB234" s="2803"/>
      <c r="AC234" s="2802"/>
      <c r="AD234" s="2802"/>
      <c r="AE234" s="2802"/>
      <c r="AF234" s="2802"/>
      <c r="AG234" s="2809"/>
      <c r="AH234" s="178"/>
      <c r="AI234" s="179"/>
    </row>
    <row r="235" spans="1:35" ht="21" customHeight="1" x14ac:dyDescent="0.2">
      <c r="A235" s="3154">
        <v>3701</v>
      </c>
      <c r="B235" s="933" t="s">
        <v>296</v>
      </c>
      <c r="C235" s="2802" t="s">
        <v>32</v>
      </c>
      <c r="D235" s="2802" t="s">
        <v>32</v>
      </c>
      <c r="E235" s="2802"/>
      <c r="F235" s="2803"/>
      <c r="G235" s="2803" t="s">
        <v>32</v>
      </c>
      <c r="H235" s="2802" t="s">
        <v>32</v>
      </c>
      <c r="I235" s="2804" t="s">
        <v>32</v>
      </c>
      <c r="J235" s="2806" t="s">
        <v>32</v>
      </c>
      <c r="K235" s="2806" t="s">
        <v>32</v>
      </c>
      <c r="L235" s="2802"/>
      <c r="M235" s="2803"/>
      <c r="N235" s="2803" t="s">
        <v>32</v>
      </c>
      <c r="O235" s="2802" t="s">
        <v>32</v>
      </c>
      <c r="P235" s="2802" t="s">
        <v>32</v>
      </c>
      <c r="Q235" s="2802" t="s">
        <v>32</v>
      </c>
      <c r="R235" s="2802" t="s">
        <v>32</v>
      </c>
      <c r="S235" s="2802"/>
      <c r="T235" s="2803"/>
      <c r="U235" s="2803" t="s">
        <v>32</v>
      </c>
      <c r="V235" s="2803" t="s">
        <v>32</v>
      </c>
      <c r="W235" s="2803" t="s">
        <v>32</v>
      </c>
      <c r="X235" s="2803" t="s">
        <v>32</v>
      </c>
      <c r="Y235" s="2806" t="s">
        <v>32</v>
      </c>
      <c r="Z235" s="2807"/>
      <c r="AA235" s="2803"/>
      <c r="AB235" s="2803"/>
      <c r="AC235" s="2806" t="s">
        <v>32</v>
      </c>
      <c r="AD235" s="2806" t="s">
        <v>51</v>
      </c>
      <c r="AE235" s="3156" t="s">
        <v>32</v>
      </c>
      <c r="AF235" s="3156" t="s">
        <v>32</v>
      </c>
      <c r="AG235" s="2809"/>
      <c r="AH235" s="178"/>
      <c r="AI235" s="179"/>
    </row>
    <row r="236" spans="1:35" ht="21" customHeight="1" x14ac:dyDescent="0.2">
      <c r="A236" s="3154">
        <v>3701</v>
      </c>
      <c r="B236" s="933" t="s">
        <v>297</v>
      </c>
      <c r="C236" s="964" t="s">
        <v>32</v>
      </c>
      <c r="D236" s="964" t="s">
        <v>32</v>
      </c>
      <c r="E236" s="964"/>
      <c r="F236" s="964"/>
      <c r="G236" s="964" t="s">
        <v>32</v>
      </c>
      <c r="H236" s="964" t="s">
        <v>32</v>
      </c>
      <c r="I236" s="964" t="s">
        <v>32</v>
      </c>
      <c r="J236" s="964" t="s">
        <v>32</v>
      </c>
      <c r="K236" s="964" t="s">
        <v>32</v>
      </c>
      <c r="L236" s="964"/>
      <c r="M236" s="964"/>
      <c r="N236" s="964" t="s">
        <v>32</v>
      </c>
      <c r="O236" s="964" t="s">
        <v>32</v>
      </c>
      <c r="P236" s="964" t="s">
        <v>32</v>
      </c>
      <c r="Q236" s="964" t="s">
        <v>32</v>
      </c>
      <c r="R236" s="964" t="s">
        <v>32</v>
      </c>
      <c r="S236" s="964"/>
      <c r="T236" s="964"/>
      <c r="U236" s="964" t="s">
        <v>32</v>
      </c>
      <c r="V236" s="964" t="s">
        <v>32</v>
      </c>
      <c r="W236" s="964" t="s">
        <v>32</v>
      </c>
      <c r="X236" s="964" t="s">
        <v>32</v>
      </c>
      <c r="Y236" s="964" t="s">
        <v>32</v>
      </c>
      <c r="Z236" s="964"/>
      <c r="AA236" s="964"/>
      <c r="AB236" s="964"/>
      <c r="AC236" s="964" t="s">
        <v>32</v>
      </c>
      <c r="AD236" s="964" t="s">
        <v>32</v>
      </c>
      <c r="AE236" s="964" t="s">
        <v>32</v>
      </c>
      <c r="AF236" s="964" t="s">
        <v>32</v>
      </c>
      <c r="AG236" s="1088"/>
      <c r="AH236" s="178"/>
      <c r="AI236" s="179"/>
    </row>
    <row r="237" spans="1:35" ht="21" customHeight="1" x14ac:dyDescent="0.2">
      <c r="A237" s="3154">
        <v>3701</v>
      </c>
      <c r="B237" s="933" t="s">
        <v>298</v>
      </c>
      <c r="C237" s="2802" t="s">
        <v>32</v>
      </c>
      <c r="D237" s="2802" t="s">
        <v>32</v>
      </c>
      <c r="E237" s="2802"/>
      <c r="F237" s="2803"/>
      <c r="G237" s="2803" t="s">
        <v>32</v>
      </c>
      <c r="H237" s="2802" t="s">
        <v>32</v>
      </c>
      <c r="I237" s="2804" t="s">
        <v>32</v>
      </c>
      <c r="J237" s="2802" t="s">
        <v>32</v>
      </c>
      <c r="K237" s="2802" t="s">
        <v>32</v>
      </c>
      <c r="L237" s="2802"/>
      <c r="M237" s="2803"/>
      <c r="N237" s="2803" t="s">
        <v>32</v>
      </c>
      <c r="O237" s="2802" t="s">
        <v>32</v>
      </c>
      <c r="P237" s="2802" t="s">
        <v>32</v>
      </c>
      <c r="Q237" s="2802" t="s">
        <v>32</v>
      </c>
      <c r="R237" s="2802" t="s">
        <v>32</v>
      </c>
      <c r="S237" s="2802"/>
      <c r="T237" s="2803"/>
      <c r="U237" s="2803" t="s">
        <v>32</v>
      </c>
      <c r="V237" s="2803" t="s">
        <v>32</v>
      </c>
      <c r="W237" s="2803" t="s">
        <v>32</v>
      </c>
      <c r="X237" s="2803" t="s">
        <v>32</v>
      </c>
      <c r="Y237" s="2704" t="s">
        <v>32</v>
      </c>
      <c r="Z237" s="2807"/>
      <c r="AA237" s="2803"/>
      <c r="AB237" s="2803"/>
      <c r="AC237" s="2704" t="s">
        <v>32</v>
      </c>
      <c r="AD237" s="2704" t="s">
        <v>32</v>
      </c>
      <c r="AE237" s="2704" t="s">
        <v>32</v>
      </c>
      <c r="AF237" s="2704" t="s">
        <v>32</v>
      </c>
      <c r="AG237" s="2809"/>
      <c r="AH237" s="178"/>
      <c r="AI237" s="179"/>
    </row>
    <row r="238" spans="1:35" ht="22.35" customHeight="1" x14ac:dyDescent="0.2">
      <c r="A238" s="3154">
        <v>3701</v>
      </c>
      <c r="B238" s="3157" t="s">
        <v>299</v>
      </c>
      <c r="C238" s="2802"/>
      <c r="D238" s="2802"/>
      <c r="E238" s="2802"/>
      <c r="F238" s="2803"/>
      <c r="G238" s="2803"/>
      <c r="H238" s="2802"/>
      <c r="I238" s="2804"/>
      <c r="J238" s="2802"/>
      <c r="K238" s="2802"/>
      <c r="L238" s="2802"/>
      <c r="M238" s="2803"/>
      <c r="N238" s="2803"/>
      <c r="O238" s="2802"/>
      <c r="P238" s="2802"/>
      <c r="Q238" s="2802"/>
      <c r="R238" s="2802"/>
      <c r="S238" s="2802"/>
      <c r="T238" s="2803"/>
      <c r="U238" s="2803"/>
      <c r="V238" s="2803"/>
      <c r="W238" s="2803"/>
      <c r="X238" s="2803"/>
      <c r="Y238" s="2807"/>
      <c r="Z238" s="2807"/>
      <c r="AA238" s="2803"/>
      <c r="AB238" s="2803"/>
      <c r="AC238" s="2802"/>
      <c r="AD238" s="2802"/>
      <c r="AE238" s="2802"/>
      <c r="AF238" s="2802"/>
      <c r="AG238" s="2809"/>
      <c r="AH238" s="178"/>
      <c r="AI238" s="179"/>
    </row>
    <row r="239" spans="1:35" ht="22.35" customHeight="1" x14ac:dyDescent="0.2">
      <c r="A239" s="3154">
        <v>3701</v>
      </c>
      <c r="B239" s="933" t="s">
        <v>300</v>
      </c>
      <c r="C239" s="2802" t="s">
        <v>32</v>
      </c>
      <c r="D239" s="2802" t="s">
        <v>32</v>
      </c>
      <c r="E239" s="2802"/>
      <c r="F239" s="2803"/>
      <c r="G239" s="2803" t="s">
        <v>32</v>
      </c>
      <c r="H239" s="2802" t="s">
        <v>32</v>
      </c>
      <c r="I239" s="2804" t="s">
        <v>32</v>
      </c>
      <c r="J239" s="2802" t="s">
        <v>32</v>
      </c>
      <c r="K239" s="2802" t="s">
        <v>32</v>
      </c>
      <c r="L239" s="2802"/>
      <c r="M239" s="2803"/>
      <c r="N239" s="2803" t="s">
        <v>32</v>
      </c>
      <c r="O239" s="2802" t="s">
        <v>32</v>
      </c>
      <c r="P239" s="2802" t="s">
        <v>32</v>
      </c>
      <c r="Q239" s="2802" t="s">
        <v>32</v>
      </c>
      <c r="R239" s="2802" t="s">
        <v>32</v>
      </c>
      <c r="S239" s="2802"/>
      <c r="T239" s="2803"/>
      <c r="U239" s="2803" t="s">
        <v>32</v>
      </c>
      <c r="V239" s="2803" t="s">
        <v>32</v>
      </c>
      <c r="W239" s="2803" t="s">
        <v>32</v>
      </c>
      <c r="X239" s="2803" t="s">
        <v>32</v>
      </c>
      <c r="Y239" s="2806" t="s">
        <v>32</v>
      </c>
      <c r="Z239" s="2807"/>
      <c r="AA239" s="2803"/>
      <c r="AB239" s="2803"/>
      <c r="AC239" s="2704" t="s">
        <v>32</v>
      </c>
      <c r="AD239" s="2704" t="s">
        <v>32</v>
      </c>
      <c r="AE239" s="2704" t="s">
        <v>32</v>
      </c>
      <c r="AF239" s="2806" t="s">
        <v>32</v>
      </c>
      <c r="AG239" s="2809"/>
      <c r="AH239" s="178"/>
      <c r="AI239" s="179"/>
    </row>
    <row r="240" spans="1:35" ht="22.35" customHeight="1" x14ac:dyDescent="0.2">
      <c r="A240" s="3154">
        <v>3701</v>
      </c>
      <c r="B240" s="933" t="s">
        <v>301</v>
      </c>
      <c r="C240" s="2802" t="s">
        <v>32</v>
      </c>
      <c r="D240" s="2802" t="s">
        <v>32</v>
      </c>
      <c r="E240" s="2802"/>
      <c r="F240" s="2803"/>
      <c r="G240" s="2803" t="s">
        <v>32</v>
      </c>
      <c r="H240" s="2802" t="s">
        <v>32</v>
      </c>
      <c r="I240" s="2804" t="s">
        <v>32</v>
      </c>
      <c r="J240" s="2802" t="s">
        <v>32</v>
      </c>
      <c r="K240" s="2802" t="s">
        <v>32</v>
      </c>
      <c r="L240" s="2802"/>
      <c r="M240" s="2803"/>
      <c r="N240" s="2803" t="s">
        <v>32</v>
      </c>
      <c r="O240" s="2802" t="s">
        <v>32</v>
      </c>
      <c r="P240" s="2802" t="s">
        <v>32</v>
      </c>
      <c r="Q240" s="2802" t="s">
        <v>32</v>
      </c>
      <c r="R240" s="2802" t="s">
        <v>32</v>
      </c>
      <c r="S240" s="2802"/>
      <c r="T240" s="2803"/>
      <c r="U240" s="2803" t="s">
        <v>32</v>
      </c>
      <c r="V240" s="2803" t="s">
        <v>32</v>
      </c>
      <c r="W240" s="2803" t="s">
        <v>32</v>
      </c>
      <c r="X240" s="2803" t="s">
        <v>32</v>
      </c>
      <c r="Y240" s="2807" t="s">
        <v>32</v>
      </c>
      <c r="Z240" s="2807"/>
      <c r="AA240" s="2803"/>
      <c r="AB240" s="2803"/>
      <c r="AC240" s="2806" t="s">
        <v>32</v>
      </c>
      <c r="AD240" s="2806" t="s">
        <v>32</v>
      </c>
      <c r="AE240" s="2806" t="s">
        <v>32</v>
      </c>
      <c r="AF240" s="2806" t="s">
        <v>32</v>
      </c>
      <c r="AG240" s="2809"/>
      <c r="AH240" s="178"/>
      <c r="AI240" s="179"/>
    </row>
    <row r="241" spans="1:35" ht="22.35" customHeight="1" x14ac:dyDescent="0.2">
      <c r="A241" s="3158">
        <v>3701</v>
      </c>
      <c r="B241" s="933" t="s">
        <v>302</v>
      </c>
      <c r="C241" s="2802" t="s">
        <v>32</v>
      </c>
      <c r="D241" s="2802" t="s">
        <v>32</v>
      </c>
      <c r="E241" s="2802"/>
      <c r="F241" s="2803"/>
      <c r="G241" s="2803" t="s">
        <v>32</v>
      </c>
      <c r="H241" s="2704" t="s">
        <v>32</v>
      </c>
      <c r="I241" s="2804" t="s">
        <v>32</v>
      </c>
      <c r="J241" s="2802" t="s">
        <v>32</v>
      </c>
      <c r="K241" s="2802" t="s">
        <v>32</v>
      </c>
      <c r="L241" s="2802"/>
      <c r="M241" s="2803"/>
      <c r="N241" s="2803" t="s">
        <v>32</v>
      </c>
      <c r="O241" s="2802" t="s">
        <v>32</v>
      </c>
      <c r="P241" s="2802" t="s">
        <v>32</v>
      </c>
      <c r="Q241" s="2802" t="s">
        <v>32</v>
      </c>
      <c r="R241" s="2802" t="s">
        <v>32</v>
      </c>
      <c r="S241" s="2802"/>
      <c r="T241" s="2803"/>
      <c r="U241" s="2803" t="s">
        <v>32</v>
      </c>
      <c r="V241" s="2803" t="s">
        <v>32</v>
      </c>
      <c r="W241" s="2806" t="s">
        <v>32</v>
      </c>
      <c r="X241" s="2704" t="s">
        <v>32</v>
      </c>
      <c r="Y241" s="3130" t="s">
        <v>32</v>
      </c>
      <c r="Z241" s="2807"/>
      <c r="AA241" s="2803"/>
      <c r="AB241" s="2803"/>
      <c r="AC241" s="2806" t="s">
        <v>32</v>
      </c>
      <c r="AD241" s="2806" t="s">
        <v>32</v>
      </c>
      <c r="AE241" s="2806" t="s">
        <v>32</v>
      </c>
      <c r="AF241" s="2806" t="s">
        <v>32</v>
      </c>
      <c r="AG241" s="2809"/>
      <c r="AH241" s="178"/>
      <c r="AI241" s="179"/>
    </row>
    <row r="242" spans="1:35" ht="22.35" customHeight="1" x14ac:dyDescent="0.2">
      <c r="A242" s="3154">
        <v>3701</v>
      </c>
      <c r="B242" s="933"/>
      <c r="C242" s="2802" t="s">
        <v>32</v>
      </c>
      <c r="D242" s="2802" t="s">
        <v>32</v>
      </c>
      <c r="E242" s="2802"/>
      <c r="F242" s="2803"/>
      <c r="G242" s="2803" t="s">
        <v>32</v>
      </c>
      <c r="H242" s="2802" t="s">
        <v>32</v>
      </c>
      <c r="I242" s="2804" t="s">
        <v>32</v>
      </c>
      <c r="J242" s="2802" t="s">
        <v>32</v>
      </c>
      <c r="K242" s="2802" t="s">
        <v>32</v>
      </c>
      <c r="L242" s="2802"/>
      <c r="M242" s="2803"/>
      <c r="N242" s="2803" t="s">
        <v>32</v>
      </c>
      <c r="O242" s="2802" t="s">
        <v>32</v>
      </c>
      <c r="P242" s="2802" t="s">
        <v>32</v>
      </c>
      <c r="Q242" s="2802" t="s">
        <v>32</v>
      </c>
      <c r="R242" s="2802" t="s">
        <v>32</v>
      </c>
      <c r="S242" s="2802"/>
      <c r="T242" s="2803"/>
      <c r="U242" s="2803" t="s">
        <v>32</v>
      </c>
      <c r="V242" s="2803" t="s">
        <v>32</v>
      </c>
      <c r="W242" s="2803" t="s">
        <v>32</v>
      </c>
      <c r="X242" s="2803" t="s">
        <v>32</v>
      </c>
      <c r="Y242" s="2807" t="s">
        <v>32</v>
      </c>
      <c r="Z242" s="2807"/>
      <c r="AA242" s="2803"/>
      <c r="AB242" s="2803"/>
      <c r="AC242" s="2802" t="s">
        <v>32</v>
      </c>
      <c r="AD242" s="2802" t="s">
        <v>32</v>
      </c>
      <c r="AE242" s="2802" t="s">
        <v>32</v>
      </c>
      <c r="AF242" s="2802" t="s">
        <v>32</v>
      </c>
      <c r="AG242" s="2809"/>
      <c r="AH242" s="178"/>
      <c r="AI242" s="179"/>
    </row>
    <row r="243" spans="1:35" ht="22.35" customHeight="1" x14ac:dyDescent="0.2">
      <c r="A243" s="3154">
        <v>3701</v>
      </c>
      <c r="B243" s="933" t="s">
        <v>304</v>
      </c>
      <c r="C243" s="2802" t="s">
        <v>32</v>
      </c>
      <c r="D243" s="2802" t="s">
        <v>32</v>
      </c>
      <c r="E243" s="2802"/>
      <c r="F243" s="2803"/>
      <c r="G243" s="2803" t="s">
        <v>32</v>
      </c>
      <c r="H243" s="2802" t="s">
        <v>32</v>
      </c>
      <c r="I243" s="2804" t="s">
        <v>32</v>
      </c>
      <c r="J243" s="2802" t="s">
        <v>32</v>
      </c>
      <c r="K243" s="2802" t="s">
        <v>32</v>
      </c>
      <c r="L243" s="2802"/>
      <c r="M243" s="2803"/>
      <c r="N243" s="2803" t="s">
        <v>32</v>
      </c>
      <c r="O243" s="2802" t="s">
        <v>32</v>
      </c>
      <c r="P243" s="2802" t="s">
        <v>32</v>
      </c>
      <c r="Q243" s="2802" t="s">
        <v>32</v>
      </c>
      <c r="R243" s="2802" t="s">
        <v>32</v>
      </c>
      <c r="S243" s="2802"/>
      <c r="T243" s="2803"/>
      <c r="U243" s="2803" t="s">
        <v>32</v>
      </c>
      <c r="V243" s="2803" t="s">
        <v>32</v>
      </c>
      <c r="W243" s="2803" t="s">
        <v>32</v>
      </c>
      <c r="X243" s="3156" t="s">
        <v>32</v>
      </c>
      <c r="Y243" s="3156" t="s">
        <v>32</v>
      </c>
      <c r="Z243" s="2807"/>
      <c r="AA243" s="2803"/>
      <c r="AB243" s="2803"/>
      <c r="AC243" s="3159" t="s">
        <v>32</v>
      </c>
      <c r="AD243" s="3159" t="s">
        <v>32</v>
      </c>
      <c r="AE243" s="2806" t="s">
        <v>32</v>
      </c>
      <c r="AF243" s="2806" t="s">
        <v>32</v>
      </c>
      <c r="AG243" s="2809"/>
      <c r="AH243" s="178"/>
      <c r="AI243" s="179"/>
    </row>
    <row r="244" spans="1:35" ht="22.35" customHeight="1" x14ac:dyDescent="0.2">
      <c r="A244" s="3154"/>
      <c r="B244" s="933"/>
      <c r="C244" s="2802" t="s">
        <v>32</v>
      </c>
      <c r="D244" s="2802" t="s">
        <v>32</v>
      </c>
      <c r="E244" s="2802"/>
      <c r="F244" s="2803"/>
      <c r="G244" s="2803" t="s">
        <v>32</v>
      </c>
      <c r="H244" s="2802" t="s">
        <v>32</v>
      </c>
      <c r="I244" s="2804" t="s">
        <v>32</v>
      </c>
      <c r="J244" s="2802" t="s">
        <v>32</v>
      </c>
      <c r="K244" s="2802" t="s">
        <v>32</v>
      </c>
      <c r="L244" s="2802"/>
      <c r="M244" s="2803"/>
      <c r="N244" s="2803" t="s">
        <v>32</v>
      </c>
      <c r="O244" s="2802" t="s">
        <v>32</v>
      </c>
      <c r="P244" s="2802" t="s">
        <v>32</v>
      </c>
      <c r="Q244" s="2802" t="s">
        <v>32</v>
      </c>
      <c r="R244" s="2802" t="s">
        <v>32</v>
      </c>
      <c r="S244" s="2802"/>
      <c r="T244" s="2803"/>
      <c r="U244" s="2803" t="s">
        <v>32</v>
      </c>
      <c r="V244" s="2803" t="s">
        <v>32</v>
      </c>
      <c r="W244" s="2803" t="s">
        <v>32</v>
      </c>
      <c r="X244" s="2803" t="s">
        <v>32</v>
      </c>
      <c r="Y244" s="2807" t="s">
        <v>32</v>
      </c>
      <c r="Z244" s="2807"/>
      <c r="AA244" s="2803"/>
      <c r="AB244" s="2803"/>
      <c r="AC244" s="2802" t="s">
        <v>32</v>
      </c>
      <c r="AD244" s="2802" t="s">
        <v>32</v>
      </c>
      <c r="AE244" s="2802" t="s">
        <v>32</v>
      </c>
      <c r="AF244" s="2802" t="s">
        <v>32</v>
      </c>
      <c r="AG244" s="2809"/>
      <c r="AH244" s="178"/>
      <c r="AI244" s="179"/>
    </row>
    <row r="245" spans="1:35" ht="22.35" customHeight="1" x14ac:dyDescent="0.2">
      <c r="A245" s="3154"/>
      <c r="B245" s="933" t="s">
        <v>306</v>
      </c>
      <c r="C245" s="2802" t="s">
        <v>32</v>
      </c>
      <c r="D245" s="2802" t="s">
        <v>32</v>
      </c>
      <c r="E245" s="2802"/>
      <c r="F245" s="2803"/>
      <c r="G245" s="2803" t="s">
        <v>32</v>
      </c>
      <c r="H245" s="2802" t="s">
        <v>32</v>
      </c>
      <c r="I245" s="2804" t="s">
        <v>32</v>
      </c>
      <c r="J245" s="2802" t="s">
        <v>32</v>
      </c>
      <c r="K245" s="2802" t="s">
        <v>32</v>
      </c>
      <c r="L245" s="2802"/>
      <c r="M245" s="2803"/>
      <c r="N245" s="2803" t="s">
        <v>32</v>
      </c>
      <c r="O245" s="2802" t="s">
        <v>32</v>
      </c>
      <c r="P245" s="2802" t="s">
        <v>32</v>
      </c>
      <c r="Q245" s="2802" t="s">
        <v>32</v>
      </c>
      <c r="R245" s="2802" t="s">
        <v>32</v>
      </c>
      <c r="S245" s="2802"/>
      <c r="T245" s="2803"/>
      <c r="U245" s="2803" t="s">
        <v>32</v>
      </c>
      <c r="V245" s="2803" t="s">
        <v>32</v>
      </c>
      <c r="W245" s="2803" t="s">
        <v>32</v>
      </c>
      <c r="X245" s="2803" t="s">
        <v>32</v>
      </c>
      <c r="Y245" s="2807" t="s">
        <v>32</v>
      </c>
      <c r="Z245" s="2807"/>
      <c r="AA245" s="2803"/>
      <c r="AB245" s="2803"/>
      <c r="AC245" s="2806" t="s">
        <v>32</v>
      </c>
      <c r="AD245" s="2806" t="s">
        <v>32</v>
      </c>
      <c r="AE245" s="2806" t="s">
        <v>32</v>
      </c>
      <c r="AF245" s="2806" t="s">
        <v>32</v>
      </c>
      <c r="AG245" s="2809"/>
      <c r="AH245" s="178"/>
      <c r="AI245" s="179"/>
    </row>
    <row r="246" spans="1:35" ht="22.35" customHeight="1" x14ac:dyDescent="0.2">
      <c r="A246" s="3154"/>
      <c r="B246" s="3157" t="s">
        <v>307</v>
      </c>
      <c r="C246" s="2802"/>
      <c r="D246" s="2802"/>
      <c r="E246" s="2802"/>
      <c r="F246" s="2803"/>
      <c r="G246" s="2803"/>
      <c r="H246" s="2802"/>
      <c r="I246" s="2804"/>
      <c r="J246" s="2802"/>
      <c r="K246" s="2802"/>
      <c r="L246" s="2802"/>
      <c r="M246" s="2803"/>
      <c r="N246" s="2803"/>
      <c r="O246" s="2802"/>
      <c r="P246" s="2802"/>
      <c r="Q246" s="2802"/>
      <c r="R246" s="2802"/>
      <c r="S246" s="2802"/>
      <c r="T246" s="2803"/>
      <c r="U246" s="2803"/>
      <c r="V246" s="2803"/>
      <c r="W246" s="2803"/>
      <c r="X246" s="2803"/>
      <c r="Y246" s="2807"/>
      <c r="Z246" s="2807"/>
      <c r="AA246" s="2803"/>
      <c r="AB246" s="2803"/>
      <c r="AC246" s="2802"/>
      <c r="AD246" s="2802"/>
      <c r="AE246" s="2802"/>
      <c r="AF246" s="2802"/>
      <c r="AG246" s="2809"/>
      <c r="AH246" s="178"/>
      <c r="AI246" s="179"/>
    </row>
    <row r="247" spans="1:35" ht="22.35" customHeight="1" x14ac:dyDescent="0.2">
      <c r="A247" s="3154"/>
      <c r="B247" s="933" t="s">
        <v>308</v>
      </c>
      <c r="C247" s="2802" t="s">
        <v>32</v>
      </c>
      <c r="D247" s="2802" t="s">
        <v>32</v>
      </c>
      <c r="E247" s="2802"/>
      <c r="F247" s="2803"/>
      <c r="G247" s="964" t="s">
        <v>32</v>
      </c>
      <c r="H247" s="964" t="s">
        <v>51</v>
      </c>
      <c r="I247" s="2845" t="s">
        <v>32</v>
      </c>
      <c r="J247" s="2806" t="s">
        <v>32</v>
      </c>
      <c r="K247" s="2806" t="s">
        <v>32</v>
      </c>
      <c r="L247" s="2845"/>
      <c r="M247" s="2845"/>
      <c r="N247" s="2803" t="s">
        <v>32</v>
      </c>
      <c r="O247" s="2802" t="s">
        <v>32</v>
      </c>
      <c r="P247" s="2802" t="s">
        <v>32</v>
      </c>
      <c r="Q247" s="2802" t="s">
        <v>32</v>
      </c>
      <c r="R247" s="2802" t="s">
        <v>32</v>
      </c>
      <c r="S247" s="2802"/>
      <c r="T247" s="2803"/>
      <c r="U247" s="2803" t="s">
        <v>32</v>
      </c>
      <c r="V247" s="2803" t="s">
        <v>32</v>
      </c>
      <c r="W247" s="2803" t="s">
        <v>32</v>
      </c>
      <c r="X247" s="2803" t="s">
        <v>32</v>
      </c>
      <c r="Y247" s="2806" t="s">
        <v>32</v>
      </c>
      <c r="Z247" s="2806"/>
      <c r="AA247" s="2806"/>
      <c r="AB247" s="2806"/>
      <c r="AC247" s="2806" t="s">
        <v>32</v>
      </c>
      <c r="AD247" s="2806" t="s">
        <v>32</v>
      </c>
      <c r="AE247" s="2806" t="s">
        <v>32</v>
      </c>
      <c r="AF247" s="2806" t="s">
        <v>32</v>
      </c>
      <c r="AG247" s="3160"/>
      <c r="AH247" s="178"/>
      <c r="AI247" s="179"/>
    </row>
    <row r="248" spans="1:35" ht="22.35" customHeight="1" x14ac:dyDescent="0.2">
      <c r="A248" s="3154"/>
      <c r="B248" s="933" t="s">
        <v>309</v>
      </c>
      <c r="C248" s="2802" t="s">
        <v>32</v>
      </c>
      <c r="D248" s="2802" t="s">
        <v>32</v>
      </c>
      <c r="E248" s="2802"/>
      <c r="F248" s="2803"/>
      <c r="G248" s="2803" t="s">
        <v>32</v>
      </c>
      <c r="H248" s="2802" t="s">
        <v>32</v>
      </c>
      <c r="I248" s="2804" t="s">
        <v>32</v>
      </c>
      <c r="J248" s="2802" t="s">
        <v>32</v>
      </c>
      <c r="K248" s="2802" t="s">
        <v>32</v>
      </c>
      <c r="L248" s="2802"/>
      <c r="M248" s="2803"/>
      <c r="N248" s="2803" t="s">
        <v>32</v>
      </c>
      <c r="O248" s="964" t="s">
        <v>32</v>
      </c>
      <c r="P248" s="964" t="s">
        <v>32</v>
      </c>
      <c r="Q248" s="964" t="s">
        <v>32</v>
      </c>
      <c r="R248" s="964" t="s">
        <v>51</v>
      </c>
      <c r="S248" s="2802"/>
      <c r="T248" s="2803"/>
      <c r="U248" s="2803" t="s">
        <v>32</v>
      </c>
      <c r="V248" s="2803" t="s">
        <v>32</v>
      </c>
      <c r="W248" s="2803" t="s">
        <v>32</v>
      </c>
      <c r="X248" s="2803" t="s">
        <v>32</v>
      </c>
      <c r="Y248" s="2807" t="s">
        <v>32</v>
      </c>
      <c r="Z248" s="2807"/>
      <c r="AA248" s="2803"/>
      <c r="AB248" s="2803"/>
      <c r="AC248" s="2806" t="s">
        <v>32</v>
      </c>
      <c r="AD248" s="2806" t="s">
        <v>32</v>
      </c>
      <c r="AE248" s="2806" t="s">
        <v>32</v>
      </c>
      <c r="AF248" s="2806" t="s">
        <v>32</v>
      </c>
      <c r="AG248" s="3160"/>
      <c r="AH248" s="178"/>
      <c r="AI248" s="179"/>
    </row>
    <row r="249" spans="1:35" ht="22.35" customHeight="1" x14ac:dyDescent="0.2">
      <c r="A249" s="3154"/>
      <c r="B249" s="933"/>
      <c r="C249" s="2802" t="s">
        <v>32</v>
      </c>
      <c r="D249" s="2802" t="s">
        <v>32</v>
      </c>
      <c r="E249" s="2802"/>
      <c r="F249" s="2803"/>
      <c r="G249" s="2803" t="s">
        <v>32</v>
      </c>
      <c r="H249" s="2802" t="s">
        <v>32</v>
      </c>
      <c r="I249" s="2804" t="s">
        <v>32</v>
      </c>
      <c r="J249" s="2802" t="s">
        <v>32</v>
      </c>
      <c r="K249" s="2802" t="s">
        <v>32</v>
      </c>
      <c r="L249" s="2802"/>
      <c r="M249" s="2803"/>
      <c r="N249" s="2803" t="s">
        <v>32</v>
      </c>
      <c r="O249" s="2802" t="s">
        <v>32</v>
      </c>
      <c r="P249" s="2802" t="s">
        <v>32</v>
      </c>
      <c r="Q249" s="2802" t="s">
        <v>32</v>
      </c>
      <c r="R249" s="2802" t="s">
        <v>32</v>
      </c>
      <c r="S249" s="2802"/>
      <c r="T249" s="2803"/>
      <c r="U249" s="2803" t="s">
        <v>32</v>
      </c>
      <c r="V249" s="2803" t="s">
        <v>32</v>
      </c>
      <c r="W249" s="2803" t="s">
        <v>32</v>
      </c>
      <c r="X249" s="2803" t="s">
        <v>32</v>
      </c>
      <c r="Y249" s="2807" t="s">
        <v>32</v>
      </c>
      <c r="Z249" s="2807"/>
      <c r="AA249" s="2803"/>
      <c r="AB249" s="2803"/>
      <c r="AC249" s="2802" t="s">
        <v>32</v>
      </c>
      <c r="AD249" s="2802" t="s">
        <v>32</v>
      </c>
      <c r="AE249" s="2802" t="s">
        <v>32</v>
      </c>
      <c r="AF249" s="2802" t="s">
        <v>32</v>
      </c>
      <c r="AG249" s="2809"/>
      <c r="AH249" s="175"/>
      <c r="AI249" s="107"/>
    </row>
    <row r="250" spans="1:35" ht="22.35" customHeight="1" x14ac:dyDescent="0.2">
      <c r="A250" s="3154"/>
      <c r="B250" s="933" t="s">
        <v>311</v>
      </c>
      <c r="C250" s="964" t="s">
        <v>32</v>
      </c>
      <c r="D250" s="964" t="s">
        <v>32</v>
      </c>
      <c r="E250" s="964"/>
      <c r="F250" s="964"/>
      <c r="G250" s="964" t="s">
        <v>32</v>
      </c>
      <c r="H250" s="964" t="s">
        <v>51</v>
      </c>
      <c r="I250" s="2804" t="s">
        <v>32</v>
      </c>
      <c r="J250" s="2802" t="s">
        <v>32</v>
      </c>
      <c r="K250" s="964" t="s">
        <v>32</v>
      </c>
      <c r="L250" s="964"/>
      <c r="M250" s="964"/>
      <c r="N250" s="964" t="s">
        <v>32</v>
      </c>
      <c r="O250" s="964" t="s">
        <v>51</v>
      </c>
      <c r="P250" s="2802" t="s">
        <v>32</v>
      </c>
      <c r="Q250" s="2802" t="s">
        <v>32</v>
      </c>
      <c r="R250" s="2802" t="s">
        <v>32</v>
      </c>
      <c r="S250" s="2802"/>
      <c r="T250" s="2803"/>
      <c r="U250" s="2803" t="s">
        <v>32</v>
      </c>
      <c r="V250" s="2803" t="s">
        <v>32</v>
      </c>
      <c r="W250" s="2803" t="s">
        <v>32</v>
      </c>
      <c r="X250" s="2803" t="s">
        <v>32</v>
      </c>
      <c r="Y250" s="2807" t="s">
        <v>32</v>
      </c>
      <c r="Z250" s="2807"/>
      <c r="AA250" s="2803"/>
      <c r="AB250" s="2803"/>
      <c r="AC250" s="2806" t="s">
        <v>32</v>
      </c>
      <c r="AD250" s="2806" t="s">
        <v>32</v>
      </c>
      <c r="AE250" s="2806" t="s">
        <v>32</v>
      </c>
      <c r="AF250" s="2806" t="s">
        <v>32</v>
      </c>
      <c r="AG250" s="2809"/>
      <c r="AH250" s="175"/>
      <c r="AI250" s="107"/>
    </row>
    <row r="251" spans="1:35" ht="22.35" customHeight="1" x14ac:dyDescent="0.2">
      <c r="A251" s="2845"/>
      <c r="B251" s="3161"/>
      <c r="C251" s="2803"/>
      <c r="D251" s="2803"/>
      <c r="E251" s="2803"/>
      <c r="F251" s="2803"/>
      <c r="G251" s="2803"/>
      <c r="H251" s="2803"/>
      <c r="I251" s="2803"/>
      <c r="J251" s="2803"/>
      <c r="K251" s="2803"/>
      <c r="L251" s="2803"/>
      <c r="M251" s="2803"/>
      <c r="N251" s="2803"/>
      <c r="O251" s="2803"/>
      <c r="P251" s="2803"/>
      <c r="Q251" s="2803"/>
      <c r="R251" s="2803"/>
      <c r="S251" s="2803"/>
      <c r="T251" s="2803"/>
      <c r="U251" s="2803"/>
      <c r="V251" s="2803"/>
      <c r="W251" s="2803"/>
      <c r="X251" s="2803"/>
      <c r="Y251" s="2803"/>
      <c r="Z251" s="2803"/>
      <c r="AA251" s="2803"/>
      <c r="AB251" s="2803"/>
      <c r="AC251" s="2803"/>
      <c r="AD251" s="2803"/>
      <c r="AE251" s="2803"/>
      <c r="AF251" s="2803"/>
      <c r="AG251" s="3162"/>
      <c r="AH251" s="175"/>
      <c r="AI251" s="107"/>
    </row>
    <row r="252" spans="1:35" ht="22.35" customHeight="1" x14ac:dyDescent="0.2">
      <c r="A252" s="2845"/>
      <c r="B252" s="933"/>
      <c r="C252" s="2803"/>
      <c r="D252" s="2803"/>
      <c r="E252" s="2803"/>
      <c r="F252" s="2803"/>
      <c r="G252" s="2803"/>
      <c r="H252" s="2803"/>
      <c r="I252" s="2803"/>
      <c r="J252" s="2803"/>
      <c r="K252" s="2803"/>
      <c r="L252" s="2803"/>
      <c r="M252" s="2803"/>
      <c r="N252" s="2709"/>
      <c r="O252" s="2709"/>
      <c r="P252" s="2709"/>
      <c r="Q252" s="2807"/>
      <c r="R252" s="2709"/>
      <c r="S252" s="2803"/>
      <c r="T252" s="2803"/>
      <c r="U252" s="2709"/>
      <c r="V252" s="2709"/>
      <c r="W252" s="2709"/>
      <c r="X252" s="2803"/>
      <c r="Y252" s="2709"/>
      <c r="Z252" s="2803"/>
      <c r="AA252" s="2803"/>
      <c r="AB252" s="2803"/>
      <c r="AC252" s="2803"/>
      <c r="AD252" s="2803"/>
      <c r="AE252" s="2803"/>
      <c r="AF252" s="2709"/>
      <c r="AG252" s="3163"/>
      <c r="AH252" s="175"/>
      <c r="AI252" s="107"/>
    </row>
    <row r="253" spans="1:35" ht="22.35" customHeight="1" x14ac:dyDescent="0.2">
      <c r="A253" s="2845"/>
      <c r="B253" s="2845"/>
      <c r="C253" s="2803"/>
      <c r="D253" s="2803"/>
      <c r="E253" s="2803"/>
      <c r="F253" s="2803"/>
      <c r="G253" s="2803"/>
      <c r="H253" s="2803"/>
      <c r="I253" s="2803"/>
      <c r="J253" s="2803"/>
      <c r="K253" s="2803"/>
      <c r="L253" s="2803"/>
      <c r="M253" s="2803"/>
      <c r="N253" s="2803"/>
      <c r="O253" s="2803"/>
      <c r="P253" s="2803"/>
      <c r="Q253" s="2803"/>
      <c r="R253" s="2803"/>
      <c r="S253" s="2803"/>
      <c r="T253" s="2803"/>
      <c r="U253" s="2803"/>
      <c r="V253" s="2803"/>
      <c r="W253" s="2803"/>
      <c r="X253" s="2803"/>
      <c r="Y253" s="2803"/>
      <c r="Z253" s="2803"/>
      <c r="AA253" s="2803"/>
      <c r="AB253" s="2803"/>
      <c r="AC253" s="2803"/>
      <c r="AD253" s="2803"/>
      <c r="AE253" s="2803"/>
      <c r="AF253" s="2803"/>
      <c r="AG253" s="3162"/>
      <c r="AH253" s="175"/>
      <c r="AI253" s="107"/>
    </row>
    <row r="254" spans="1:35" ht="22.35" customHeight="1" x14ac:dyDescent="0.2">
      <c r="A254" s="2845"/>
      <c r="B254" s="2845"/>
      <c r="C254" s="2803"/>
      <c r="D254" s="2803"/>
      <c r="E254" s="2803"/>
      <c r="F254" s="2803"/>
      <c r="G254" s="2803"/>
      <c r="H254" s="3164"/>
      <c r="I254" s="2803"/>
      <c r="J254" s="2803"/>
      <c r="K254" s="2803"/>
      <c r="L254" s="2803"/>
      <c r="M254" s="2803"/>
      <c r="N254" s="2803"/>
      <c r="O254" s="2803"/>
      <c r="P254" s="2803"/>
      <c r="Q254" s="2803"/>
      <c r="R254" s="2803"/>
      <c r="S254" s="2803"/>
      <c r="T254" s="2803"/>
      <c r="U254" s="2803"/>
      <c r="V254" s="2803"/>
      <c r="W254" s="2803"/>
      <c r="X254" s="2803"/>
      <c r="Y254" s="2803"/>
      <c r="Z254" s="2803"/>
      <c r="AA254" s="2803"/>
      <c r="AB254" s="2803"/>
      <c r="AC254" s="2803"/>
      <c r="AD254" s="2803"/>
      <c r="AE254" s="2803"/>
      <c r="AF254" s="2803"/>
      <c r="AG254" s="3165"/>
      <c r="AH254" s="175"/>
      <c r="AI254" s="107"/>
    </row>
    <row r="255" spans="1:35" ht="22.35" customHeight="1" x14ac:dyDescent="0.2">
      <c r="A255" s="3154"/>
      <c r="B255" s="3166"/>
      <c r="C255" s="2803"/>
      <c r="D255" s="2803"/>
      <c r="E255" s="2803"/>
      <c r="F255" s="2803"/>
      <c r="G255" s="2803"/>
      <c r="H255" s="2803"/>
      <c r="I255" s="2803"/>
      <c r="J255" s="2803"/>
      <c r="K255" s="2803"/>
      <c r="L255" s="2803"/>
      <c r="M255" s="2803"/>
      <c r="N255" s="2803"/>
      <c r="O255" s="2803"/>
      <c r="P255" s="2803"/>
      <c r="Q255" s="2803"/>
      <c r="R255" s="2803"/>
      <c r="S255" s="2803"/>
      <c r="T255" s="2803"/>
      <c r="U255" s="2803"/>
      <c r="V255" s="2803"/>
      <c r="W255" s="2803"/>
      <c r="X255" s="2803"/>
      <c r="Y255" s="2803"/>
      <c r="Z255" s="2803"/>
      <c r="AA255" s="2803"/>
      <c r="AB255" s="2803"/>
      <c r="AC255" s="2803"/>
      <c r="AD255" s="2803"/>
      <c r="AE255" s="2803"/>
      <c r="AF255" s="2803"/>
      <c r="AG255" s="3165"/>
      <c r="AH255" s="175"/>
      <c r="AI255" s="107"/>
    </row>
    <row r="256" spans="1:35" ht="22.35" customHeight="1" x14ac:dyDescent="0.2">
      <c r="A256" s="3154"/>
      <c r="B256" s="3167"/>
      <c r="C256" s="2803"/>
      <c r="D256" s="2803"/>
      <c r="E256" s="2803"/>
      <c r="F256" s="2803"/>
      <c r="G256" s="2803"/>
      <c r="H256" s="2803"/>
      <c r="I256" s="2803"/>
      <c r="J256" s="2803"/>
      <c r="K256" s="2803"/>
      <c r="L256" s="2803"/>
      <c r="M256" s="2803"/>
      <c r="N256" s="2803"/>
      <c r="O256" s="2803"/>
      <c r="P256" s="2803"/>
      <c r="Q256" s="2803"/>
      <c r="R256" s="2803"/>
      <c r="S256" s="2803"/>
      <c r="T256" s="2803"/>
      <c r="U256" s="2803"/>
      <c r="V256" s="2803"/>
      <c r="W256" s="2803"/>
      <c r="X256" s="2803"/>
      <c r="Y256" s="2803"/>
      <c r="Z256" s="2803"/>
      <c r="AA256" s="2803"/>
      <c r="AB256" s="2803"/>
      <c r="AC256" s="2803"/>
      <c r="AD256" s="2803"/>
      <c r="AE256" s="2803"/>
      <c r="AF256" s="2803"/>
      <c r="AG256" s="3165"/>
      <c r="AH256" s="175"/>
      <c r="AI256" s="107"/>
    </row>
    <row r="257" spans="1:35" ht="22.35" customHeight="1" x14ac:dyDescent="0.2">
      <c r="A257" s="108"/>
      <c r="B257" s="121"/>
      <c r="C257" s="106"/>
      <c r="D257" s="106"/>
      <c r="E257" s="106"/>
      <c r="F257" s="106"/>
      <c r="G257" s="106"/>
      <c r="H257" s="106"/>
      <c r="I257" s="106"/>
      <c r="J257" s="106"/>
      <c r="L257" s="106"/>
      <c r="M257" s="106"/>
      <c r="N257" s="106"/>
      <c r="O257" s="106"/>
      <c r="P257" s="72"/>
      <c r="Q257" s="72"/>
      <c r="R257" s="72"/>
      <c r="S257" s="106"/>
      <c r="T257" s="106"/>
      <c r="U257" s="106"/>
      <c r="V257" s="106"/>
      <c r="W257" s="106"/>
      <c r="X257" s="106"/>
      <c r="Y257" s="106"/>
      <c r="Z257" s="106"/>
      <c r="AA257" s="106"/>
      <c r="AB257" s="106"/>
      <c r="AC257" s="106"/>
      <c r="AD257" s="106"/>
      <c r="AE257" s="106"/>
      <c r="AF257" s="106"/>
      <c r="AG257" s="106"/>
      <c r="AH257" s="107"/>
      <c r="AI257" s="107"/>
    </row>
    <row r="261" spans="1:35" ht="21" customHeight="1" thickBot="1" x14ac:dyDescent="0.25">
      <c r="A261" s="158" t="s">
        <v>312</v>
      </c>
    </row>
    <row r="262" spans="1:35" ht="21" customHeight="1" x14ac:dyDescent="0.2">
      <c r="B262" s="3168" t="s">
        <v>281</v>
      </c>
      <c r="C262" s="3003"/>
      <c r="D262" s="3040" t="s">
        <v>107</v>
      </c>
      <c r="E262" s="2869"/>
      <c r="F262" s="2518"/>
      <c r="G262" s="3003"/>
      <c r="H262" s="3040" t="s">
        <v>108</v>
      </c>
      <c r="I262" s="2869"/>
      <c r="J262" s="2518"/>
      <c r="K262" s="3003"/>
      <c r="L262" s="3040" t="s">
        <v>109</v>
      </c>
      <c r="M262" s="2869"/>
      <c r="N262" s="2518"/>
      <c r="O262" s="3003"/>
      <c r="P262" s="3040" t="s">
        <v>110</v>
      </c>
      <c r="Q262" s="2869"/>
      <c r="R262" s="2518"/>
      <c r="S262" s="3003"/>
      <c r="T262" s="3040" t="s">
        <v>111</v>
      </c>
      <c r="U262" s="2869"/>
      <c r="V262" s="2518"/>
      <c r="W262" s="3003"/>
      <c r="X262" s="3040" t="s">
        <v>112</v>
      </c>
      <c r="Y262" s="2869"/>
      <c r="Z262" s="2518"/>
      <c r="AA262" s="3003"/>
      <c r="AB262" s="3040" t="s">
        <v>113</v>
      </c>
      <c r="AC262" s="2869"/>
      <c r="AD262" s="2869"/>
      <c r="AE262" s="3043" t="s">
        <v>114</v>
      </c>
      <c r="AF262" s="2869"/>
      <c r="AG262" s="2869"/>
      <c r="AH262" s="2869"/>
      <c r="AI262" s="2870"/>
    </row>
    <row r="263" spans="1:35" ht="21" customHeight="1" x14ac:dyDescent="0.2">
      <c r="B263" s="3"/>
      <c r="C263" s="287" t="s">
        <v>313</v>
      </c>
      <c r="D263" s="116"/>
      <c r="E263" s="283"/>
      <c r="F263" s="284"/>
      <c r="G263" s="287" t="s">
        <v>313</v>
      </c>
      <c r="H263" s="116"/>
      <c r="I263" s="283"/>
      <c r="J263" s="284"/>
      <c r="K263" s="287" t="s">
        <v>313</v>
      </c>
      <c r="L263" s="116"/>
      <c r="M263" s="283"/>
      <c r="N263" s="284"/>
      <c r="O263" s="287" t="s">
        <v>313</v>
      </c>
      <c r="P263" s="282"/>
      <c r="Q263" s="283"/>
      <c r="R263" s="284"/>
      <c r="S263" s="288" t="s">
        <v>314</v>
      </c>
      <c r="T263" s="116"/>
      <c r="U263" s="283"/>
      <c r="V263" s="284"/>
      <c r="W263" s="154"/>
      <c r="X263" s="116"/>
      <c r="Y263" s="162"/>
      <c r="Z263" s="164"/>
      <c r="AA263" s="154"/>
      <c r="AB263" s="116"/>
      <c r="AC263" s="162"/>
      <c r="AD263" s="162"/>
      <c r="AE263" s="117"/>
      <c r="AF263" s="162"/>
      <c r="AG263" s="14"/>
      <c r="AH263" s="14"/>
      <c r="AI263" s="118"/>
    </row>
    <row r="264" spans="1:35" ht="21" customHeight="1" x14ac:dyDescent="0.2">
      <c r="A264" s="110"/>
      <c r="B264" s="3169"/>
      <c r="C264" s="3087" t="s">
        <v>189</v>
      </c>
      <c r="D264" s="3170"/>
      <c r="E264" s="283"/>
      <c r="F264" s="284"/>
      <c r="G264" s="3087" t="s">
        <v>189</v>
      </c>
      <c r="H264" s="116"/>
      <c r="I264" s="283"/>
      <c r="J264" s="284"/>
      <c r="K264" s="3087" t="s">
        <v>189</v>
      </c>
      <c r="L264" s="116"/>
      <c r="M264" s="283"/>
      <c r="N264" s="284"/>
      <c r="O264" s="3087" t="s">
        <v>189</v>
      </c>
      <c r="P264" s="116"/>
      <c r="Q264" s="283"/>
      <c r="R264" s="284"/>
      <c r="S264" s="287" t="s">
        <v>315</v>
      </c>
      <c r="T264" s="116"/>
      <c r="U264" s="283"/>
      <c r="V264" s="284"/>
      <c r="W264" s="154"/>
      <c r="X264" s="116"/>
      <c r="Y264" s="162"/>
      <c r="Z264" s="164"/>
      <c r="AA264" s="154"/>
      <c r="AB264" s="116"/>
      <c r="AC264" s="162"/>
      <c r="AD264" s="162"/>
      <c r="AE264" s="117"/>
      <c r="AF264" s="162"/>
      <c r="AG264" s="14"/>
      <c r="AH264" s="14"/>
      <c r="AI264" s="118"/>
    </row>
    <row r="265" spans="1:35" ht="21" customHeight="1" x14ac:dyDescent="0.2">
      <c r="B265" s="3169"/>
      <c r="C265" s="3087" t="s">
        <v>192</v>
      </c>
      <c r="D265" s="3170"/>
      <c r="E265" s="283"/>
      <c r="F265" s="284"/>
      <c r="G265" s="3087" t="s">
        <v>192</v>
      </c>
      <c r="H265" s="116"/>
      <c r="I265" s="283"/>
      <c r="J265" s="284"/>
      <c r="K265" s="3087" t="s">
        <v>192</v>
      </c>
      <c r="L265" s="116"/>
      <c r="M265" s="283"/>
      <c r="N265" s="284"/>
      <c r="O265" s="3087" t="s">
        <v>192</v>
      </c>
      <c r="P265" s="116"/>
      <c r="Q265" s="283"/>
      <c r="R265" s="284"/>
      <c r="S265" s="3087" t="s">
        <v>187</v>
      </c>
      <c r="T265" s="116"/>
      <c r="U265" s="283"/>
      <c r="V265" s="284"/>
      <c r="W265" s="154"/>
      <c r="X265" s="116"/>
      <c r="Y265" s="162"/>
      <c r="Z265" s="164"/>
      <c r="AA265" s="154"/>
      <c r="AB265" s="116"/>
      <c r="AC265" s="162"/>
      <c r="AD265" s="162"/>
      <c r="AE265" s="117"/>
      <c r="AF265" s="162"/>
      <c r="AG265" s="14"/>
      <c r="AH265" s="14"/>
      <c r="AI265" s="118"/>
    </row>
    <row r="266" spans="1:35" ht="21" customHeight="1" x14ac:dyDescent="0.2">
      <c r="B266" s="3169"/>
      <c r="C266" s="2958"/>
      <c r="D266" s="2959"/>
      <c r="E266" s="162"/>
      <c r="F266" s="164"/>
      <c r="G266" s="2958"/>
      <c r="H266" s="2959"/>
      <c r="I266" s="162"/>
      <c r="J266" s="164"/>
      <c r="K266" s="2958"/>
      <c r="L266" s="2959"/>
      <c r="M266" s="162"/>
      <c r="N266" s="164"/>
      <c r="O266" s="2958"/>
      <c r="P266" s="2959"/>
      <c r="Q266" s="162"/>
      <c r="R266" s="164"/>
      <c r="S266" s="2958"/>
      <c r="T266" s="2959"/>
      <c r="U266" s="162"/>
      <c r="V266" s="164"/>
      <c r="W266" s="154"/>
      <c r="X266" s="116"/>
      <c r="Y266" s="162"/>
      <c r="Z266" s="164"/>
      <c r="AA266" s="154"/>
      <c r="AB266" s="116"/>
      <c r="AC266" s="162"/>
      <c r="AD266" s="162"/>
      <c r="AE266" s="117"/>
      <c r="AF266" s="162"/>
      <c r="AG266" s="14"/>
      <c r="AH266" s="14"/>
      <c r="AI266" s="118"/>
    </row>
    <row r="267" spans="1:35" ht="21" customHeight="1" x14ac:dyDescent="0.2">
      <c r="B267" s="3169"/>
      <c r="C267" s="3046"/>
      <c r="D267" s="2959"/>
      <c r="E267" s="162"/>
      <c r="F267" s="164"/>
      <c r="G267" s="116"/>
      <c r="H267" s="116"/>
      <c r="I267" s="162"/>
      <c r="J267" s="164"/>
      <c r="K267" s="116"/>
      <c r="L267" s="116"/>
      <c r="M267" s="162"/>
      <c r="N267" s="164"/>
      <c r="O267" s="116"/>
      <c r="P267" s="116"/>
      <c r="Q267" s="162"/>
      <c r="R267" s="164"/>
      <c r="S267" s="116"/>
      <c r="T267" s="116"/>
      <c r="U267" s="162"/>
      <c r="V267" s="164"/>
      <c r="W267" s="154"/>
      <c r="X267" s="116"/>
      <c r="Y267" s="162"/>
      <c r="Z267" s="164"/>
      <c r="AA267" s="154"/>
      <c r="AB267" s="116"/>
      <c r="AC267" s="162"/>
      <c r="AD267" s="162"/>
      <c r="AE267" s="117"/>
      <c r="AF267" s="162"/>
      <c r="AG267" s="14"/>
      <c r="AH267" s="14"/>
      <c r="AI267" s="118"/>
    </row>
    <row r="268" spans="1:35" ht="21" customHeight="1" x14ac:dyDescent="0.2">
      <c r="B268" s="3169" t="s">
        <v>159</v>
      </c>
      <c r="C268" s="3046" t="s">
        <v>316</v>
      </c>
      <c r="D268" s="3170"/>
      <c r="E268" s="283"/>
      <c r="F268" s="284"/>
      <c r="G268" s="3046" t="s">
        <v>316</v>
      </c>
      <c r="H268" s="3170"/>
      <c r="I268" s="283"/>
      <c r="J268" s="284"/>
      <c r="K268" s="3046" t="s">
        <v>316</v>
      </c>
      <c r="L268" s="3170"/>
      <c r="M268" s="283"/>
      <c r="N268" s="284"/>
      <c r="O268" s="3046" t="s">
        <v>316</v>
      </c>
      <c r="P268" s="3170"/>
      <c r="Q268" s="283"/>
      <c r="R268" s="284"/>
      <c r="S268" s="116" t="s">
        <v>317</v>
      </c>
      <c r="T268" s="116"/>
      <c r="U268" s="283"/>
      <c r="V268" s="284"/>
      <c r="W268" s="154"/>
      <c r="X268" s="116"/>
      <c r="Y268" s="162"/>
      <c r="Z268" s="164"/>
      <c r="AA268" s="154"/>
      <c r="AB268" s="116"/>
      <c r="AC268" s="162"/>
      <c r="AD268" s="162"/>
      <c r="AE268" s="117"/>
      <c r="AF268" s="162"/>
      <c r="AG268" s="14"/>
      <c r="AH268" s="14"/>
      <c r="AI268" s="118"/>
    </row>
    <row r="269" spans="1:35" ht="21" customHeight="1" x14ac:dyDescent="0.2">
      <c r="B269" s="3169" t="s">
        <v>163</v>
      </c>
      <c r="C269" s="3046" t="s">
        <v>318</v>
      </c>
      <c r="D269" s="3170"/>
      <c r="E269" s="283"/>
      <c r="F269" s="284"/>
      <c r="G269" s="3046" t="s">
        <v>318</v>
      </c>
      <c r="H269" s="3170"/>
      <c r="I269" s="283"/>
      <c r="J269" s="284"/>
      <c r="K269" s="3046" t="s">
        <v>318</v>
      </c>
      <c r="L269" s="3170"/>
      <c r="M269" s="283"/>
      <c r="N269" s="284"/>
      <c r="O269" s="3046" t="s">
        <v>318</v>
      </c>
      <c r="P269" s="3170"/>
      <c r="Q269" s="283"/>
      <c r="R269" s="284"/>
      <c r="S269" s="116" t="s">
        <v>319</v>
      </c>
      <c r="T269" s="116"/>
      <c r="U269" s="283"/>
      <c r="V269" s="284"/>
      <c r="W269" s="154"/>
      <c r="X269" s="116"/>
      <c r="Y269" s="162"/>
      <c r="Z269" s="164"/>
      <c r="AA269" s="154"/>
      <c r="AB269" s="116"/>
      <c r="AC269" s="162"/>
      <c r="AD269" s="162"/>
      <c r="AE269" s="117"/>
      <c r="AF269" s="162"/>
      <c r="AG269" s="14"/>
      <c r="AH269" s="14"/>
      <c r="AI269" s="118"/>
    </row>
    <row r="270" spans="1:35" ht="21" customHeight="1" thickBot="1" x14ac:dyDescent="0.25">
      <c r="B270" s="3171" t="s">
        <v>170</v>
      </c>
      <c r="C270" s="3058" t="s">
        <v>320</v>
      </c>
      <c r="D270" s="3172"/>
      <c r="E270" s="285"/>
      <c r="F270" s="286"/>
      <c r="G270" s="3058" t="s">
        <v>320</v>
      </c>
      <c r="H270" s="3172"/>
      <c r="I270" s="285"/>
      <c r="J270" s="286"/>
      <c r="K270" s="3058" t="s">
        <v>320</v>
      </c>
      <c r="L270" s="3172"/>
      <c r="M270" s="285"/>
      <c r="N270" s="286"/>
      <c r="O270" s="3058" t="s">
        <v>320</v>
      </c>
      <c r="P270" s="3172"/>
      <c r="Q270" s="285"/>
      <c r="R270" s="286"/>
      <c r="S270" s="225" t="s">
        <v>321</v>
      </c>
      <c r="T270" s="225"/>
      <c r="U270" s="285"/>
      <c r="V270" s="286"/>
      <c r="W270" s="277"/>
      <c r="X270" s="225"/>
      <c r="Y270" s="278"/>
      <c r="Z270" s="279"/>
      <c r="AA270" s="280"/>
      <c r="AB270" s="225"/>
      <c r="AC270" s="278"/>
      <c r="AD270" s="278"/>
      <c r="AE270" s="281"/>
      <c r="AF270" s="278"/>
      <c r="AG270" s="276"/>
      <c r="AH270" s="276"/>
      <c r="AI270" s="222"/>
    </row>
    <row r="271" spans="1:35" ht="21" customHeight="1" x14ac:dyDescent="0.2">
      <c r="B271" s="59"/>
      <c r="C271" s="64"/>
      <c r="D271" s="18"/>
      <c r="G271" s="64"/>
      <c r="H271" s="18"/>
      <c r="K271" s="64"/>
      <c r="L271" s="18"/>
      <c r="O271" s="64"/>
      <c r="P271" s="18"/>
      <c r="S271" s="64"/>
      <c r="T271" s="64"/>
      <c r="X271" s="64"/>
      <c r="AB271" s="64"/>
      <c r="AE271" s="64"/>
    </row>
    <row r="272" spans="1:35" ht="21" customHeight="1" x14ac:dyDescent="0.2">
      <c r="A272" s="122" t="s">
        <v>322</v>
      </c>
    </row>
    <row r="273" spans="1:35" ht="21" customHeight="1" thickBot="1" x14ac:dyDescent="0.25">
      <c r="A273" s="3035"/>
      <c r="B273" s="2969" t="s">
        <v>29</v>
      </c>
      <c r="C273" s="2796">
        <v>1</v>
      </c>
      <c r="D273" s="2796">
        <v>2</v>
      </c>
      <c r="E273" s="2797">
        <v>3</v>
      </c>
      <c r="F273" s="2797">
        <v>4</v>
      </c>
      <c r="G273" s="2796">
        <v>5</v>
      </c>
      <c r="H273" s="2796">
        <v>6</v>
      </c>
      <c r="I273" s="2796">
        <v>7</v>
      </c>
      <c r="J273" s="2796">
        <v>8</v>
      </c>
      <c r="K273" s="2796">
        <v>9</v>
      </c>
      <c r="L273" s="2797">
        <v>10</v>
      </c>
      <c r="M273" s="2797">
        <v>11</v>
      </c>
      <c r="N273" s="2796">
        <v>12</v>
      </c>
      <c r="O273" s="2796">
        <v>13</v>
      </c>
      <c r="P273" s="2796">
        <v>14</v>
      </c>
      <c r="Q273" s="2796">
        <v>15</v>
      </c>
      <c r="R273" s="2796">
        <v>16</v>
      </c>
      <c r="S273" s="2797">
        <v>17</v>
      </c>
      <c r="T273" s="2797">
        <v>18</v>
      </c>
      <c r="U273" s="2796">
        <v>19</v>
      </c>
      <c r="V273" s="2796">
        <v>20</v>
      </c>
      <c r="W273" s="2796">
        <v>21</v>
      </c>
      <c r="X273" s="2796">
        <v>22</v>
      </c>
      <c r="Y273" s="2796">
        <v>23</v>
      </c>
      <c r="Z273" s="2797">
        <v>24</v>
      </c>
      <c r="AA273" s="2797">
        <v>25</v>
      </c>
      <c r="AB273" s="2797">
        <v>26</v>
      </c>
      <c r="AC273" s="2796">
        <v>27</v>
      </c>
      <c r="AD273" s="2796">
        <v>28</v>
      </c>
      <c r="AE273" s="2796">
        <v>29</v>
      </c>
      <c r="AF273" s="2796">
        <v>30</v>
      </c>
      <c r="AG273" s="2798">
        <v>31</v>
      </c>
      <c r="AH273" s="173"/>
      <c r="AI273" s="174"/>
    </row>
    <row r="274" spans="1:35" ht="21" customHeight="1" x14ac:dyDescent="0.2">
      <c r="A274" s="3173">
        <v>3702</v>
      </c>
      <c r="B274" s="172"/>
      <c r="C274" s="2803" t="s">
        <v>32</v>
      </c>
      <c r="D274" s="2803" t="s">
        <v>32</v>
      </c>
      <c r="E274" s="2803"/>
      <c r="F274" s="2803"/>
      <c r="G274" s="2803" t="s">
        <v>32</v>
      </c>
      <c r="H274" s="2803" t="s">
        <v>32</v>
      </c>
      <c r="I274" s="2803" t="s">
        <v>32</v>
      </c>
      <c r="J274" s="2803" t="s">
        <v>32</v>
      </c>
      <c r="K274" s="2803" t="s">
        <v>32</v>
      </c>
      <c r="L274" s="2803"/>
      <c r="M274" s="2803"/>
      <c r="N274" s="2803" t="s">
        <v>32</v>
      </c>
      <c r="O274" s="2803" t="s">
        <v>32</v>
      </c>
      <c r="P274" s="2803" t="s">
        <v>32</v>
      </c>
      <c r="Q274" s="2803" t="s">
        <v>32</v>
      </c>
      <c r="R274" s="2803" t="s">
        <v>32</v>
      </c>
      <c r="S274" s="2803"/>
      <c r="T274" s="2803"/>
      <c r="U274" s="2803" t="s">
        <v>32</v>
      </c>
      <c r="V274" s="2803" t="s">
        <v>32</v>
      </c>
      <c r="W274" s="2803" t="s">
        <v>32</v>
      </c>
      <c r="X274" s="2803" t="s">
        <v>32</v>
      </c>
      <c r="Y274" s="2803" t="s">
        <v>32</v>
      </c>
      <c r="Z274" s="2803"/>
      <c r="AA274" s="2803"/>
      <c r="AB274" s="2803"/>
      <c r="AC274" s="2803" t="s">
        <v>32</v>
      </c>
      <c r="AD274" s="2803" t="s">
        <v>32</v>
      </c>
      <c r="AE274" s="2803" t="s">
        <v>32</v>
      </c>
      <c r="AF274" s="2803" t="s">
        <v>32</v>
      </c>
      <c r="AG274" s="2803"/>
      <c r="AH274" s="178"/>
      <c r="AI274" s="179"/>
    </row>
    <row r="275" spans="1:35" ht="21" customHeight="1" x14ac:dyDescent="0.2">
      <c r="A275" s="2813"/>
      <c r="B275" s="3015" t="s">
        <v>323</v>
      </c>
      <c r="C275" s="2803" t="s">
        <v>32</v>
      </c>
      <c r="D275" s="2803" t="s">
        <v>32</v>
      </c>
      <c r="E275" s="2803"/>
      <c r="F275" s="2803"/>
      <c r="G275" s="2803" t="s">
        <v>32</v>
      </c>
      <c r="H275" s="2803" t="s">
        <v>32</v>
      </c>
      <c r="I275" s="2803" t="s">
        <v>32</v>
      </c>
      <c r="J275" s="2803" t="s">
        <v>32</v>
      </c>
      <c r="K275" s="2803" t="s">
        <v>32</v>
      </c>
      <c r="L275" s="2803"/>
      <c r="M275" s="2803"/>
      <c r="N275" s="2803" t="s">
        <v>32</v>
      </c>
      <c r="O275" s="2803" t="s">
        <v>32</v>
      </c>
      <c r="P275" s="2803" t="s">
        <v>32</v>
      </c>
      <c r="Q275" s="2803" t="s">
        <v>32</v>
      </c>
      <c r="R275" s="2803" t="s">
        <v>32</v>
      </c>
      <c r="S275" s="2803"/>
      <c r="T275" s="2803"/>
      <c r="U275" s="2803" t="s">
        <v>32</v>
      </c>
      <c r="V275" s="2803" t="s">
        <v>32</v>
      </c>
      <c r="W275" s="2803" t="s">
        <v>32</v>
      </c>
      <c r="X275" s="2803" t="s">
        <v>32</v>
      </c>
      <c r="Y275" s="2803" t="s">
        <v>32</v>
      </c>
      <c r="Z275" s="2803"/>
      <c r="AA275" s="2803"/>
      <c r="AB275" s="2803"/>
      <c r="AC275" s="2806" t="s">
        <v>32</v>
      </c>
      <c r="AD275" s="2806" t="s">
        <v>32</v>
      </c>
      <c r="AE275" s="2806" t="s">
        <v>32</v>
      </c>
      <c r="AF275" s="2806" t="s">
        <v>32</v>
      </c>
      <c r="AG275" s="2803"/>
      <c r="AH275" s="178"/>
      <c r="AI275" s="179"/>
    </row>
    <row r="276" spans="1:35" ht="21" customHeight="1" x14ac:dyDescent="0.2">
      <c r="A276" s="3174"/>
      <c r="B276" s="3015"/>
      <c r="C276" s="2803" t="s">
        <v>32</v>
      </c>
      <c r="D276" s="2803" t="s">
        <v>32</v>
      </c>
      <c r="E276" s="2803"/>
      <c r="F276" s="2803"/>
      <c r="G276" s="2803" t="s">
        <v>32</v>
      </c>
      <c r="H276" s="2803" t="s">
        <v>32</v>
      </c>
      <c r="I276" s="2803" t="s">
        <v>32</v>
      </c>
      <c r="J276" s="2803" t="s">
        <v>32</v>
      </c>
      <c r="K276" s="2803" t="s">
        <v>32</v>
      </c>
      <c r="L276" s="2803"/>
      <c r="M276" s="2803"/>
      <c r="N276" s="2803" t="s">
        <v>32</v>
      </c>
      <c r="O276" s="2803" t="s">
        <v>32</v>
      </c>
      <c r="P276" s="2803" t="s">
        <v>32</v>
      </c>
      <c r="Q276" s="2803" t="s">
        <v>32</v>
      </c>
      <c r="R276" s="2803" t="s">
        <v>32</v>
      </c>
      <c r="S276" s="2803"/>
      <c r="T276" s="2803"/>
      <c r="U276" s="2803" t="s">
        <v>32</v>
      </c>
      <c r="V276" s="2803" t="s">
        <v>32</v>
      </c>
      <c r="W276" s="2803" t="s">
        <v>32</v>
      </c>
      <c r="X276" s="2803" t="s">
        <v>32</v>
      </c>
      <c r="Y276" s="2803" t="s">
        <v>32</v>
      </c>
      <c r="Z276" s="2803"/>
      <c r="AA276" s="2803"/>
      <c r="AB276" s="2803"/>
      <c r="AC276" s="2803" t="s">
        <v>32</v>
      </c>
      <c r="AD276" s="2803" t="s">
        <v>32</v>
      </c>
      <c r="AE276" s="2803" t="s">
        <v>32</v>
      </c>
      <c r="AF276" s="2803" t="s">
        <v>32</v>
      </c>
      <c r="AG276" s="2803"/>
      <c r="AH276" s="178"/>
      <c r="AI276" s="179"/>
    </row>
    <row r="277" spans="1:35" ht="21" customHeight="1" thickBot="1" x14ac:dyDescent="0.25">
      <c r="A277" s="3175"/>
      <c r="B277" s="3176"/>
      <c r="C277" s="2796"/>
      <c r="D277" s="2796"/>
      <c r="E277" s="2796"/>
      <c r="F277" s="2796"/>
      <c r="G277" s="2796"/>
      <c r="H277" s="2796"/>
      <c r="I277" s="2796"/>
      <c r="J277" s="2796"/>
      <c r="K277" s="2796"/>
      <c r="L277" s="2796"/>
      <c r="M277" s="2796"/>
      <c r="N277" s="2796"/>
      <c r="O277" s="2796"/>
      <c r="P277" s="2796"/>
      <c r="Q277" s="2796"/>
      <c r="R277" s="2796"/>
      <c r="S277" s="2796"/>
      <c r="T277" s="2796"/>
      <c r="U277" s="2796"/>
      <c r="V277" s="2796"/>
      <c r="W277" s="2796"/>
      <c r="X277" s="2796"/>
      <c r="Y277" s="2796"/>
      <c r="Z277" s="2796"/>
      <c r="AA277" s="2796"/>
      <c r="AB277" s="2796"/>
      <c r="AC277" s="2796"/>
      <c r="AD277" s="2796"/>
      <c r="AE277" s="2796"/>
      <c r="AF277" s="2796"/>
      <c r="AG277" s="2941"/>
      <c r="AH277" s="178"/>
      <c r="AI277" s="179"/>
    </row>
    <row r="278" spans="1:35" ht="21" customHeight="1" x14ac:dyDescent="0.2">
      <c r="A278" s="214"/>
      <c r="B278" s="667" t="s">
        <v>324</v>
      </c>
      <c r="C278" s="668"/>
      <c r="D278" s="668"/>
      <c r="E278" s="668"/>
      <c r="F278" s="668"/>
      <c r="G278" s="668"/>
      <c r="H278" s="668"/>
      <c r="I278" s="668"/>
      <c r="J278" s="668"/>
      <c r="K278" s="668"/>
      <c r="L278" s="668"/>
      <c r="M278" s="668"/>
      <c r="N278" s="668"/>
      <c r="O278" s="668"/>
      <c r="P278" s="668"/>
      <c r="Q278" s="668"/>
      <c r="R278" s="668"/>
      <c r="S278" s="668"/>
      <c r="T278" s="668"/>
      <c r="U278" s="668"/>
      <c r="V278" s="668"/>
      <c r="W278" s="668"/>
      <c r="X278" s="668"/>
      <c r="Y278" s="668"/>
      <c r="Z278" s="668"/>
      <c r="AA278" s="668"/>
      <c r="AB278" s="668"/>
      <c r="AC278" s="668"/>
      <c r="AD278" s="668"/>
      <c r="AE278" s="668"/>
      <c r="AF278" s="668"/>
      <c r="AG278" s="669"/>
      <c r="AH278" s="176"/>
      <c r="AI278" s="177"/>
    </row>
    <row r="279" spans="1:35" ht="21" customHeight="1" x14ac:dyDescent="0.2">
      <c r="A279" s="3173">
        <v>3702</v>
      </c>
      <c r="B279" s="3177" t="s">
        <v>325</v>
      </c>
      <c r="C279" s="2728" t="s">
        <v>326</v>
      </c>
      <c r="D279" s="2728" t="s">
        <v>326</v>
      </c>
      <c r="E279" s="2728"/>
      <c r="F279" s="2728"/>
      <c r="G279" s="2728" t="s">
        <v>326</v>
      </c>
      <c r="H279" s="2728" t="s">
        <v>326</v>
      </c>
      <c r="I279" s="2728" t="s">
        <v>326</v>
      </c>
      <c r="J279" s="2728" t="s">
        <v>326</v>
      </c>
      <c r="K279" s="2728" t="s">
        <v>369</v>
      </c>
      <c r="L279" s="2945"/>
      <c r="M279" s="2945"/>
      <c r="N279" s="2945" t="s">
        <v>326</v>
      </c>
      <c r="O279" s="2945" t="s">
        <v>326</v>
      </c>
      <c r="P279" s="2945" t="s">
        <v>326</v>
      </c>
      <c r="Q279" s="2945" t="s">
        <v>326</v>
      </c>
      <c r="R279" s="2945" t="s">
        <v>326</v>
      </c>
      <c r="S279" s="2918"/>
      <c r="T279" s="2832"/>
      <c r="U279" s="2832" t="s">
        <v>326</v>
      </c>
      <c r="V279" s="2918" t="s">
        <v>326</v>
      </c>
      <c r="W279" s="2918" t="s">
        <v>326</v>
      </c>
      <c r="X279" s="2918" t="s">
        <v>326</v>
      </c>
      <c r="Y279" s="2918" t="s">
        <v>326</v>
      </c>
      <c r="Z279" s="2918"/>
      <c r="AA279" s="2832"/>
      <c r="AB279" s="2832"/>
      <c r="AC279" s="2910" t="s">
        <v>326</v>
      </c>
      <c r="AD279" s="2910" t="s">
        <v>326</v>
      </c>
      <c r="AE279" s="2910" t="s">
        <v>326</v>
      </c>
      <c r="AF279" s="2910" t="s">
        <v>326</v>
      </c>
      <c r="AG279" s="2832"/>
      <c r="AH279" s="178"/>
      <c r="AI279" s="179"/>
    </row>
    <row r="280" spans="1:35" ht="21" customHeight="1" x14ac:dyDescent="0.2">
      <c r="A280" s="3173"/>
      <c r="B280" s="3005" t="s">
        <v>327</v>
      </c>
      <c r="C280" s="2918" t="s">
        <v>328</v>
      </c>
      <c r="D280" s="2918" t="s">
        <v>328</v>
      </c>
      <c r="E280" s="2918"/>
      <c r="F280" s="2918"/>
      <c r="G280" s="2918" t="s">
        <v>328</v>
      </c>
      <c r="H280" s="2918" t="s">
        <v>328</v>
      </c>
      <c r="I280" s="2918" t="s">
        <v>328</v>
      </c>
      <c r="J280" s="2918" t="s">
        <v>328</v>
      </c>
      <c r="K280" s="2918" t="s">
        <v>328</v>
      </c>
      <c r="L280" s="2918"/>
      <c r="M280" s="2918"/>
      <c r="N280" s="2918" t="s">
        <v>328</v>
      </c>
      <c r="O280" s="2918" t="s">
        <v>328</v>
      </c>
      <c r="P280" s="2918" t="s">
        <v>328</v>
      </c>
      <c r="Q280" s="2918" t="s">
        <v>328</v>
      </c>
      <c r="R280" s="2918" t="s">
        <v>328</v>
      </c>
      <c r="S280" s="2918"/>
      <c r="T280" s="2918"/>
      <c r="U280" s="2918" t="s">
        <v>328</v>
      </c>
      <c r="V280" s="2918" t="s">
        <v>328</v>
      </c>
      <c r="W280" s="2918" t="s">
        <v>328</v>
      </c>
      <c r="X280" s="2918" t="s">
        <v>328</v>
      </c>
      <c r="Y280" s="2918" t="s">
        <v>328</v>
      </c>
      <c r="Z280" s="2918"/>
      <c r="AA280" s="2918"/>
      <c r="AB280" s="2918"/>
      <c r="AC280" s="2910" t="s">
        <v>328</v>
      </c>
      <c r="AD280" s="2910" t="s">
        <v>328</v>
      </c>
      <c r="AE280" s="2910" t="s">
        <v>328</v>
      </c>
      <c r="AF280" s="2910" t="s">
        <v>328</v>
      </c>
      <c r="AG280" s="2818"/>
      <c r="AH280" s="178"/>
      <c r="AI280" s="179"/>
    </row>
    <row r="281" spans="1:35" ht="21" customHeight="1" thickBot="1" x14ac:dyDescent="0.25">
      <c r="A281" s="3178"/>
      <c r="B281" s="3179" t="s">
        <v>329</v>
      </c>
      <c r="C281" s="2913" t="s">
        <v>330</v>
      </c>
      <c r="D281" s="2913" t="s">
        <v>330</v>
      </c>
      <c r="E281" s="2913"/>
      <c r="F281" s="2915"/>
      <c r="G281" s="2915" t="s">
        <v>330</v>
      </c>
      <c r="H281" s="2913" t="s">
        <v>330</v>
      </c>
      <c r="I281" s="2913" t="s">
        <v>330</v>
      </c>
      <c r="J281" s="2913" t="s">
        <v>330</v>
      </c>
      <c r="K281" s="2913" t="s">
        <v>330</v>
      </c>
      <c r="L281" s="2913"/>
      <c r="M281" s="2915"/>
      <c r="N281" s="2915" t="s">
        <v>330</v>
      </c>
      <c r="O281" s="2913" t="s">
        <v>330</v>
      </c>
      <c r="P281" s="2913" t="s">
        <v>330</v>
      </c>
      <c r="Q281" s="2913" t="s">
        <v>330</v>
      </c>
      <c r="R281" s="2913" t="s">
        <v>330</v>
      </c>
      <c r="S281" s="2913"/>
      <c r="T281" s="2915"/>
      <c r="U281" s="2915" t="s">
        <v>330</v>
      </c>
      <c r="V281" s="2913" t="s">
        <v>330</v>
      </c>
      <c r="W281" s="2913" t="s">
        <v>330</v>
      </c>
      <c r="X281" s="2913" t="s">
        <v>330</v>
      </c>
      <c r="Y281" s="2913" t="s">
        <v>330</v>
      </c>
      <c r="Z281" s="2913"/>
      <c r="AA281" s="2915"/>
      <c r="AB281" s="2915"/>
      <c r="AC281" s="2923" t="s">
        <v>330</v>
      </c>
      <c r="AD281" s="2923" t="s">
        <v>330</v>
      </c>
      <c r="AE281" s="2923" t="s">
        <v>330</v>
      </c>
      <c r="AF281" s="2923" t="s">
        <v>330</v>
      </c>
      <c r="AG281" s="2928"/>
      <c r="AH281" s="178"/>
      <c r="AI281" s="179"/>
    </row>
    <row r="282" spans="1:35" ht="21" customHeight="1" x14ac:dyDescent="0.2"/>
    <row r="283" spans="1:35" ht="24" customHeight="1" x14ac:dyDescent="0.2"/>
    <row r="284" spans="1:35" ht="25.5" customHeight="1" thickBot="1" x14ac:dyDescent="0.25">
      <c r="A284" s="158" t="s">
        <v>331</v>
      </c>
    </row>
    <row r="285" spans="1:35" ht="21" customHeight="1" x14ac:dyDescent="0.2">
      <c r="A285" s="1"/>
      <c r="B285" s="3168" t="s">
        <v>281</v>
      </c>
      <c r="C285" s="3003"/>
      <c r="D285" s="3040" t="s">
        <v>107</v>
      </c>
      <c r="E285" s="2869"/>
      <c r="F285" s="2518"/>
      <c r="G285" s="3003"/>
      <c r="H285" s="3040" t="s">
        <v>108</v>
      </c>
      <c r="I285" s="2869"/>
      <c r="J285" s="2518"/>
      <c r="K285" s="3003"/>
      <c r="L285" s="3040" t="s">
        <v>109</v>
      </c>
      <c r="M285" s="2869"/>
      <c r="N285" s="2518"/>
      <c r="O285" s="3003"/>
      <c r="P285" s="3040" t="s">
        <v>110</v>
      </c>
      <c r="Q285" s="2869"/>
      <c r="R285" s="2518"/>
      <c r="S285" s="3003"/>
      <c r="T285" s="3040" t="s">
        <v>111</v>
      </c>
      <c r="U285" s="2869"/>
      <c r="V285" s="2518"/>
      <c r="W285" s="3003"/>
      <c r="X285" s="3040" t="s">
        <v>112</v>
      </c>
      <c r="Y285" s="2869"/>
      <c r="Z285" s="2518"/>
      <c r="AA285" s="3003"/>
      <c r="AB285" s="3040" t="s">
        <v>113</v>
      </c>
      <c r="AC285" s="2869"/>
      <c r="AD285" s="2869"/>
      <c r="AE285" s="3043" t="s">
        <v>114</v>
      </c>
      <c r="AF285" s="2869"/>
      <c r="AG285" s="2869"/>
      <c r="AH285" s="2869"/>
      <c r="AI285" s="2870"/>
    </row>
    <row r="286" spans="1:35" ht="21" customHeight="1" x14ac:dyDescent="0.2">
      <c r="A286" s="1"/>
      <c r="B286" s="3"/>
      <c r="C286" s="8"/>
      <c r="D286" s="116"/>
      <c r="E286" s="14"/>
      <c r="F286" s="115"/>
      <c r="G286" s="8"/>
      <c r="H286" s="116"/>
      <c r="I286" s="14"/>
      <c r="J286" s="115"/>
      <c r="K286" s="8"/>
      <c r="L286" s="116"/>
      <c r="M286" s="14"/>
      <c r="N286" s="115"/>
      <c r="O286" s="8"/>
      <c r="P286" s="116"/>
      <c r="Q286" s="14"/>
      <c r="R286" s="115"/>
      <c r="S286" s="8"/>
      <c r="T286" s="116"/>
      <c r="U286" s="14"/>
      <c r="V286" s="115"/>
      <c r="W286" s="8"/>
      <c r="X286" s="116"/>
      <c r="Y286" s="14"/>
      <c r="Z286" s="115"/>
      <c r="AA286" s="8"/>
      <c r="AB286" s="116"/>
      <c r="AC286" s="14"/>
      <c r="AD286" s="14"/>
      <c r="AE286" s="117"/>
      <c r="AF286" s="14"/>
      <c r="AG286" s="14"/>
      <c r="AH286" s="14"/>
      <c r="AI286" s="118"/>
    </row>
    <row r="287" spans="1:35" ht="21" customHeight="1" x14ac:dyDescent="0.2">
      <c r="A287" s="110"/>
      <c r="B287" s="3169"/>
      <c r="C287" s="2958"/>
      <c r="D287" s="2778"/>
      <c r="E287" s="2778"/>
      <c r="F287" s="3048"/>
      <c r="G287" s="2958"/>
      <c r="H287" s="2778"/>
      <c r="I287" s="2778"/>
      <c r="J287" s="3048"/>
      <c r="K287" s="2958"/>
      <c r="L287" s="2778"/>
      <c r="M287" s="2778"/>
      <c r="N287" s="3048"/>
      <c r="O287" s="2958"/>
      <c r="P287" s="2778"/>
      <c r="Q287" s="2778"/>
      <c r="R287" s="3048"/>
      <c r="S287" s="2958"/>
      <c r="T287" s="2778"/>
      <c r="U287" s="2778"/>
      <c r="V287" s="3048"/>
      <c r="W287" s="2958"/>
      <c r="X287" s="2778"/>
      <c r="Y287" s="2778"/>
      <c r="Z287" s="3048"/>
      <c r="AA287" s="3046"/>
      <c r="AB287" s="2778"/>
      <c r="AC287" s="2778"/>
      <c r="AD287" s="2959"/>
      <c r="AE287" s="3180"/>
      <c r="AF287" s="2778"/>
      <c r="AG287" s="2778"/>
      <c r="AH287" s="2959"/>
      <c r="AI287" s="2787"/>
    </row>
    <row r="288" spans="1:35" ht="21" customHeight="1" thickBot="1" x14ac:dyDescent="0.25">
      <c r="A288" s="1"/>
      <c r="B288" s="1056"/>
      <c r="C288" s="3058"/>
      <c r="D288" s="2881"/>
      <c r="E288" s="2881"/>
      <c r="F288" s="3082"/>
      <c r="G288" s="3058"/>
      <c r="H288" s="2881"/>
      <c r="I288" s="2881"/>
      <c r="J288" s="3082"/>
      <c r="K288" s="3058"/>
      <c r="L288" s="2881"/>
      <c r="M288" s="2881"/>
      <c r="N288" s="3082"/>
      <c r="O288" s="3058"/>
      <c r="P288" s="2881"/>
      <c r="Q288" s="2881"/>
      <c r="R288" s="3082"/>
      <c r="S288" s="3058"/>
      <c r="T288" s="2881"/>
      <c r="U288" s="2881"/>
      <c r="V288" s="3082"/>
      <c r="W288" s="3080"/>
      <c r="X288" s="2881"/>
      <c r="Y288" s="2881"/>
      <c r="Z288" s="3082"/>
      <c r="AA288" s="3080"/>
      <c r="AB288" s="2881"/>
      <c r="AC288" s="2881"/>
      <c r="AD288" s="3065"/>
      <c r="AE288" s="3080"/>
      <c r="AF288" s="2881"/>
      <c r="AG288" s="2881"/>
      <c r="AH288" s="3065"/>
      <c r="AI288" s="2888"/>
    </row>
    <row r="289" spans="1:36" ht="21" customHeight="1" x14ac:dyDescent="0.2">
      <c r="A289" s="1"/>
      <c r="B289" s="18"/>
      <c r="C289" s="64"/>
      <c r="F289" s="69"/>
      <c r="G289" s="64"/>
      <c r="J289" s="69"/>
      <c r="K289" s="64"/>
      <c r="N289" s="69"/>
      <c r="O289" s="64"/>
      <c r="R289" s="69"/>
      <c r="S289" s="64"/>
      <c r="V289" s="69"/>
      <c r="W289" s="69"/>
      <c r="Z289" s="69"/>
      <c r="AA289" s="69"/>
      <c r="AD289" s="69"/>
      <c r="AE289" s="69"/>
      <c r="AH289" s="69"/>
    </row>
    <row r="290" spans="1:36" ht="33" customHeight="1" x14ac:dyDescent="0.2">
      <c r="A290" s="158" t="s">
        <v>332</v>
      </c>
      <c r="B290" s="18"/>
      <c r="C290" s="64"/>
      <c r="F290" s="69"/>
      <c r="G290" s="64"/>
      <c r="J290" s="69"/>
      <c r="K290" s="64"/>
      <c r="N290" s="69"/>
      <c r="O290" s="64"/>
      <c r="R290" s="69"/>
      <c r="S290" s="64"/>
      <c r="V290" s="69"/>
      <c r="W290" s="69"/>
      <c r="Z290" s="69"/>
      <c r="AA290" s="69"/>
      <c r="AD290" s="69"/>
      <c r="AE290" s="69"/>
      <c r="AH290" s="294"/>
      <c r="AI290" s="190"/>
      <c r="AJ290" s="190"/>
    </row>
    <row r="291" spans="1:36" ht="21" customHeight="1" thickBot="1" x14ac:dyDescent="0.25">
      <c r="A291" s="3181" t="s">
        <v>28</v>
      </c>
      <c r="B291" s="3182" t="s">
        <v>29</v>
      </c>
      <c r="C291" s="2796">
        <v>1</v>
      </c>
      <c r="D291" s="2796">
        <v>2</v>
      </c>
      <c r="E291" s="2797">
        <v>3</v>
      </c>
      <c r="F291" s="2797">
        <v>4</v>
      </c>
      <c r="G291" s="2796">
        <v>5</v>
      </c>
      <c r="H291" s="2796">
        <v>6</v>
      </c>
      <c r="I291" s="2796">
        <v>7</v>
      </c>
      <c r="J291" s="2796">
        <v>8</v>
      </c>
      <c r="K291" s="2796">
        <v>9</v>
      </c>
      <c r="L291" s="2797">
        <v>10</v>
      </c>
      <c r="M291" s="2797">
        <v>11</v>
      </c>
      <c r="N291" s="2796">
        <v>12</v>
      </c>
      <c r="O291" s="2796">
        <v>13</v>
      </c>
      <c r="P291" s="2796">
        <v>14</v>
      </c>
      <c r="Q291" s="2796">
        <v>15</v>
      </c>
      <c r="R291" s="2796">
        <v>16</v>
      </c>
      <c r="S291" s="2797">
        <v>17</v>
      </c>
      <c r="T291" s="2797">
        <v>18</v>
      </c>
      <c r="U291" s="2796">
        <v>19</v>
      </c>
      <c r="V291" s="2796">
        <v>20</v>
      </c>
      <c r="W291" s="2796">
        <v>21</v>
      </c>
      <c r="X291" s="2796">
        <v>22</v>
      </c>
      <c r="Y291" s="2796">
        <v>23</v>
      </c>
      <c r="Z291" s="2797">
        <v>24</v>
      </c>
      <c r="AA291" s="2797">
        <v>25</v>
      </c>
      <c r="AB291" s="2797">
        <v>26</v>
      </c>
      <c r="AC291" s="2796">
        <v>27</v>
      </c>
      <c r="AD291" s="2796">
        <v>28</v>
      </c>
      <c r="AE291" s="2796">
        <v>29</v>
      </c>
      <c r="AF291" s="2796">
        <v>30</v>
      </c>
      <c r="AG291" s="2798">
        <v>31</v>
      </c>
      <c r="AH291" s="295"/>
      <c r="AI291" s="296"/>
      <c r="AJ291" s="190"/>
    </row>
    <row r="292" spans="1:36" ht="21" customHeight="1" x14ac:dyDescent="0.2">
      <c r="A292" s="88"/>
      <c r="B292" s="3183" t="s">
        <v>333</v>
      </c>
      <c r="C292" s="2803" t="s">
        <v>32</v>
      </c>
      <c r="D292" s="2803" t="s">
        <v>32</v>
      </c>
      <c r="E292" s="2803"/>
      <c r="F292" s="2803"/>
      <c r="G292" s="2803" t="s">
        <v>32</v>
      </c>
      <c r="H292" s="2803" t="s">
        <v>32</v>
      </c>
      <c r="I292" s="2803" t="s">
        <v>32</v>
      </c>
      <c r="J292" s="2803" t="s">
        <v>32</v>
      </c>
      <c r="K292" s="2806" t="s">
        <v>32</v>
      </c>
      <c r="L292" s="2803"/>
      <c r="M292" s="2803"/>
      <c r="N292" s="2803" t="s">
        <v>32</v>
      </c>
      <c r="O292" s="2803" t="s">
        <v>32</v>
      </c>
      <c r="P292" s="2803" t="s">
        <v>32</v>
      </c>
      <c r="Q292" s="2803" t="s">
        <v>32</v>
      </c>
      <c r="R292" s="2803" t="s">
        <v>32</v>
      </c>
      <c r="S292" s="2803"/>
      <c r="T292" s="2803"/>
      <c r="U292" s="2806" t="s">
        <v>32</v>
      </c>
      <c r="V292" s="2803" t="s">
        <v>32</v>
      </c>
      <c r="W292" s="2803" t="s">
        <v>32</v>
      </c>
      <c r="X292" s="2803" t="s">
        <v>32</v>
      </c>
      <c r="Y292" s="2803" t="s">
        <v>32</v>
      </c>
      <c r="Z292" s="2803"/>
      <c r="AA292" s="2803"/>
      <c r="AB292" s="2803"/>
      <c r="AC292" s="2803" t="s">
        <v>32</v>
      </c>
      <c r="AD292" s="2806" t="s">
        <v>32</v>
      </c>
      <c r="AE292" s="2806" t="s">
        <v>32</v>
      </c>
      <c r="AF292" s="2806" t="s">
        <v>32</v>
      </c>
      <c r="AG292" s="377"/>
      <c r="AH292" s="297"/>
      <c r="AI292" s="298"/>
      <c r="AJ292" s="190"/>
    </row>
    <row r="293" spans="1:36" ht="21" customHeight="1" x14ac:dyDescent="0.2">
      <c r="A293" s="3184"/>
      <c r="B293" s="3177" t="s">
        <v>334</v>
      </c>
      <c r="C293" s="2803" t="s">
        <v>32</v>
      </c>
      <c r="D293" s="2803" t="s">
        <v>32</v>
      </c>
      <c r="E293" s="2803"/>
      <c r="F293" s="2803"/>
      <c r="G293" s="2803" t="s">
        <v>32</v>
      </c>
      <c r="H293" s="2803" t="s">
        <v>32</v>
      </c>
      <c r="I293" s="2803" t="s">
        <v>32</v>
      </c>
      <c r="J293" s="2803" t="s">
        <v>32</v>
      </c>
      <c r="K293" s="2803" t="s">
        <v>32</v>
      </c>
      <c r="L293" s="2803"/>
      <c r="M293" s="2803"/>
      <c r="N293" s="2803" t="s">
        <v>32</v>
      </c>
      <c r="O293" s="2803" t="s">
        <v>32</v>
      </c>
      <c r="P293" s="2803" t="s">
        <v>32</v>
      </c>
      <c r="Q293" s="2803" t="s">
        <v>32</v>
      </c>
      <c r="R293" s="2704" t="s">
        <v>32</v>
      </c>
      <c r="S293" s="2803"/>
      <c r="T293" s="2803"/>
      <c r="U293" s="2803" t="s">
        <v>32</v>
      </c>
      <c r="V293" s="2803" t="s">
        <v>32</v>
      </c>
      <c r="W293" s="2803" t="s">
        <v>32</v>
      </c>
      <c r="X293" s="2803" t="s">
        <v>32</v>
      </c>
      <c r="Y293" s="2803" t="s">
        <v>32</v>
      </c>
      <c r="Z293" s="2803"/>
      <c r="AA293" s="2803"/>
      <c r="AB293" s="2803"/>
      <c r="AC293" s="2803" t="s">
        <v>32</v>
      </c>
      <c r="AD293" s="2806" t="s">
        <v>32</v>
      </c>
      <c r="AE293" s="2806" t="s">
        <v>32</v>
      </c>
      <c r="AF293" s="2806" t="s">
        <v>32</v>
      </c>
      <c r="AG293" s="3185"/>
      <c r="AH293" s="297"/>
      <c r="AI293" s="298"/>
      <c r="AJ293" s="190"/>
    </row>
    <row r="294" spans="1:36" ht="21" customHeight="1" x14ac:dyDescent="0.2">
      <c r="A294" s="2889"/>
      <c r="B294" s="3177" t="s">
        <v>335</v>
      </c>
      <c r="C294" s="2803" t="s">
        <v>32</v>
      </c>
      <c r="D294" s="2803" t="s">
        <v>32</v>
      </c>
      <c r="E294" s="2803"/>
      <c r="F294" s="2803"/>
      <c r="G294" s="2803" t="s">
        <v>32</v>
      </c>
      <c r="H294" s="2803" t="s">
        <v>32</v>
      </c>
      <c r="I294" s="2803" t="s">
        <v>32</v>
      </c>
      <c r="J294" s="2803" t="s">
        <v>32</v>
      </c>
      <c r="K294" s="2803" t="s">
        <v>32</v>
      </c>
      <c r="L294" s="2803"/>
      <c r="M294" s="2803"/>
      <c r="N294" s="2803" t="s">
        <v>32</v>
      </c>
      <c r="O294" s="2803" t="s">
        <v>32</v>
      </c>
      <c r="P294" s="2803" t="s">
        <v>32</v>
      </c>
      <c r="Q294" s="2803" t="s">
        <v>32</v>
      </c>
      <c r="R294" s="2803" t="s">
        <v>32</v>
      </c>
      <c r="S294" s="2803"/>
      <c r="T294" s="2803"/>
      <c r="U294" s="2803" t="s">
        <v>32</v>
      </c>
      <c r="V294" s="2803" t="s">
        <v>32</v>
      </c>
      <c r="W294" s="2803" t="s">
        <v>32</v>
      </c>
      <c r="X294" s="2806" t="s">
        <v>32</v>
      </c>
      <c r="Y294" s="2803" t="s">
        <v>32</v>
      </c>
      <c r="Z294" s="2803"/>
      <c r="AA294" s="2803"/>
      <c r="AB294" s="2803"/>
      <c r="AC294" s="2803" t="s">
        <v>32</v>
      </c>
      <c r="AD294" s="2803" t="s">
        <v>32</v>
      </c>
      <c r="AE294" s="2803" t="s">
        <v>32</v>
      </c>
      <c r="AF294" s="2803" t="s">
        <v>32</v>
      </c>
      <c r="AG294" s="3186"/>
      <c r="AH294" s="297"/>
      <c r="AI294" s="298"/>
      <c r="AJ294" s="190"/>
    </row>
    <row r="295" spans="1:36" ht="21" customHeight="1" x14ac:dyDescent="0.2">
      <c r="A295" s="2740"/>
      <c r="B295" s="3177" t="s">
        <v>336</v>
      </c>
      <c r="C295" s="2642" t="s">
        <v>32</v>
      </c>
      <c r="D295" s="2642" t="s">
        <v>32</v>
      </c>
      <c r="E295" s="2803"/>
      <c r="F295" s="2803"/>
      <c r="G295" s="2803" t="s">
        <v>32</v>
      </c>
      <c r="H295" s="2803" t="s">
        <v>32</v>
      </c>
      <c r="I295" s="2803" t="s">
        <v>32</v>
      </c>
      <c r="J295" s="2803" t="s">
        <v>32</v>
      </c>
      <c r="K295" s="2803" t="s">
        <v>32</v>
      </c>
      <c r="L295" s="2803"/>
      <c r="M295" s="2803"/>
      <c r="N295" s="2806" t="s">
        <v>32</v>
      </c>
      <c r="O295" s="2806" t="s">
        <v>32</v>
      </c>
      <c r="P295" s="2806" t="s">
        <v>32</v>
      </c>
      <c r="Q295" s="2803" t="s">
        <v>32</v>
      </c>
      <c r="R295" s="2803" t="s">
        <v>32</v>
      </c>
      <c r="S295" s="2803"/>
      <c r="T295" s="2803"/>
      <c r="U295" s="2803" t="s">
        <v>32</v>
      </c>
      <c r="V295" s="2803" t="s">
        <v>32</v>
      </c>
      <c r="W295" s="2803" t="s">
        <v>32</v>
      </c>
      <c r="X295" s="2803" t="s">
        <v>32</v>
      </c>
      <c r="Y295" s="2803" t="s">
        <v>32</v>
      </c>
      <c r="Z295" s="2803"/>
      <c r="AA295" s="2803"/>
      <c r="AB295" s="2803"/>
      <c r="AC295" s="2803" t="s">
        <v>32</v>
      </c>
      <c r="AD295" s="3130" t="s">
        <v>32</v>
      </c>
      <c r="AE295" s="3130" t="s">
        <v>32</v>
      </c>
      <c r="AF295" s="2806" t="s">
        <v>32</v>
      </c>
      <c r="AG295" s="3186"/>
      <c r="AH295" s="297"/>
      <c r="AI295" s="298"/>
      <c r="AJ295" s="190"/>
    </row>
    <row r="296" spans="1:36" ht="21" customHeight="1" x14ac:dyDescent="0.2">
      <c r="A296" s="2740"/>
      <c r="B296" s="3177" t="s">
        <v>337</v>
      </c>
      <c r="C296" s="2803" t="s">
        <v>32</v>
      </c>
      <c r="D296" s="2803" t="s">
        <v>32</v>
      </c>
      <c r="E296" s="2803"/>
      <c r="F296" s="2803"/>
      <c r="G296" s="2803" t="s">
        <v>32</v>
      </c>
      <c r="H296" s="2803" t="s">
        <v>32</v>
      </c>
      <c r="I296" s="2803" t="s">
        <v>32</v>
      </c>
      <c r="J296" s="2803" t="s">
        <v>32</v>
      </c>
      <c r="K296" s="2803" t="s">
        <v>32</v>
      </c>
      <c r="L296" s="2803"/>
      <c r="M296" s="2803"/>
      <c r="N296" s="2803" t="s">
        <v>32</v>
      </c>
      <c r="O296" s="2803" t="s">
        <v>32</v>
      </c>
      <c r="P296" s="2803" t="s">
        <v>32</v>
      </c>
      <c r="Q296" s="2803" t="s">
        <v>32</v>
      </c>
      <c r="R296" s="2806" t="s">
        <v>32</v>
      </c>
      <c r="S296" s="2806"/>
      <c r="T296" s="2806"/>
      <c r="U296" s="2806" t="s">
        <v>32</v>
      </c>
      <c r="V296" s="2806" t="s">
        <v>32</v>
      </c>
      <c r="W296" s="2806" t="s">
        <v>32</v>
      </c>
      <c r="X296" s="3156" t="s">
        <v>32</v>
      </c>
      <c r="Y296" s="3156" t="s">
        <v>32</v>
      </c>
      <c r="Z296" s="3156"/>
      <c r="AA296" s="3096"/>
      <c r="AB296" s="3096"/>
      <c r="AC296" s="3156" t="s">
        <v>32</v>
      </c>
      <c r="AD296" s="3156" t="s">
        <v>32</v>
      </c>
      <c r="AE296" s="3156" t="s">
        <v>32</v>
      </c>
      <c r="AF296" s="3156" t="s">
        <v>32</v>
      </c>
      <c r="AG296" s="3187"/>
      <c r="AH296" s="297"/>
      <c r="AI296" s="298"/>
      <c r="AJ296" s="190"/>
    </row>
    <row r="297" spans="1:36" ht="21" customHeight="1" x14ac:dyDescent="0.2">
      <c r="A297" s="2740"/>
      <c r="B297" s="3177" t="s">
        <v>338</v>
      </c>
      <c r="C297" s="2803" t="s">
        <v>32</v>
      </c>
      <c r="D297" s="2803" t="s">
        <v>32</v>
      </c>
      <c r="E297" s="2803"/>
      <c r="F297" s="2803"/>
      <c r="G297" s="2806" t="s">
        <v>32</v>
      </c>
      <c r="H297" s="2806" t="s">
        <v>32</v>
      </c>
      <c r="I297" s="2803" t="s">
        <v>32</v>
      </c>
      <c r="J297" s="2803" t="s">
        <v>32</v>
      </c>
      <c r="K297" s="2704" t="s">
        <v>32</v>
      </c>
      <c r="L297" s="2803"/>
      <c r="M297" s="2803"/>
      <c r="N297" s="2806" t="s">
        <v>32</v>
      </c>
      <c r="O297" s="2806" t="s">
        <v>32</v>
      </c>
      <c r="P297" s="2803" t="s">
        <v>32</v>
      </c>
      <c r="Q297" s="2803" t="s">
        <v>32</v>
      </c>
      <c r="R297" s="2803" t="s">
        <v>32</v>
      </c>
      <c r="S297" s="2803"/>
      <c r="T297" s="2803"/>
      <c r="U297" s="2803" t="s">
        <v>32</v>
      </c>
      <c r="V297" s="2803" t="s">
        <v>32</v>
      </c>
      <c r="W297" s="2803" t="s">
        <v>32</v>
      </c>
      <c r="X297" s="2803" t="s">
        <v>32</v>
      </c>
      <c r="Y297" s="2637" t="s">
        <v>32</v>
      </c>
      <c r="Z297" s="2803"/>
      <c r="AA297" s="2803"/>
      <c r="AB297" s="2803"/>
      <c r="AC297" s="2803" t="s">
        <v>32</v>
      </c>
      <c r="AD297" s="2806" t="s">
        <v>32</v>
      </c>
      <c r="AE297" s="2806" t="s">
        <v>32</v>
      </c>
      <c r="AF297" s="2806" t="s">
        <v>32</v>
      </c>
      <c r="AG297" s="2922"/>
      <c r="AH297" s="297"/>
      <c r="AI297" s="298"/>
      <c r="AJ297" s="190"/>
    </row>
    <row r="298" spans="1:36" ht="21" customHeight="1" x14ac:dyDescent="0.2">
      <c r="A298" s="2740"/>
      <c r="B298" s="3177" t="s">
        <v>339</v>
      </c>
      <c r="C298" s="2803" t="s">
        <v>32</v>
      </c>
      <c r="D298" s="2803" t="s">
        <v>32</v>
      </c>
      <c r="E298" s="2803"/>
      <c r="F298" s="2803"/>
      <c r="G298" s="2803" t="s">
        <v>32</v>
      </c>
      <c r="H298" s="2803" t="s">
        <v>32</v>
      </c>
      <c r="I298" s="2803" t="s">
        <v>32</v>
      </c>
      <c r="J298" s="2803" t="s">
        <v>32</v>
      </c>
      <c r="K298" s="2803" t="s">
        <v>32</v>
      </c>
      <c r="L298" s="2803"/>
      <c r="M298" s="2803"/>
      <c r="N298" s="2803" t="s">
        <v>32</v>
      </c>
      <c r="O298" s="2803" t="s">
        <v>32</v>
      </c>
      <c r="P298" s="2803" t="s">
        <v>32</v>
      </c>
      <c r="Q298" s="2803" t="s">
        <v>32</v>
      </c>
      <c r="R298" s="2704" t="s">
        <v>32</v>
      </c>
      <c r="S298" s="2803"/>
      <c r="T298" s="2803"/>
      <c r="U298" s="2803" t="s">
        <v>32</v>
      </c>
      <c r="V298" s="2803" t="s">
        <v>32</v>
      </c>
      <c r="W298" s="2803" t="s">
        <v>32</v>
      </c>
      <c r="X298" s="2803" t="s">
        <v>32</v>
      </c>
      <c r="Y298" s="2803" t="s">
        <v>32</v>
      </c>
      <c r="Z298" s="2803"/>
      <c r="AA298" s="2803"/>
      <c r="AB298" s="2803"/>
      <c r="AC298" s="2803" t="s">
        <v>32</v>
      </c>
      <c r="AD298" s="3130" t="s">
        <v>32</v>
      </c>
      <c r="AE298" s="3130" t="s">
        <v>32</v>
      </c>
      <c r="AF298" s="2806" t="s">
        <v>32</v>
      </c>
      <c r="AG298" s="2922"/>
      <c r="AH298" s="297"/>
      <c r="AI298" s="298"/>
      <c r="AJ298" s="190"/>
    </row>
    <row r="299" spans="1:36" ht="21" customHeight="1" x14ac:dyDescent="0.2">
      <c r="A299" s="2740"/>
      <c r="B299" s="3177"/>
      <c r="C299" s="2803" t="s">
        <v>32</v>
      </c>
      <c r="D299" s="2803" t="s">
        <v>32</v>
      </c>
      <c r="E299" s="2803"/>
      <c r="F299" s="2803"/>
      <c r="G299" s="2803" t="s">
        <v>32</v>
      </c>
      <c r="H299" s="2803" t="s">
        <v>32</v>
      </c>
      <c r="I299" s="2803" t="s">
        <v>32</v>
      </c>
      <c r="J299" s="2803" t="s">
        <v>32</v>
      </c>
      <c r="K299" s="2803" t="s">
        <v>32</v>
      </c>
      <c r="L299" s="2803"/>
      <c r="M299" s="2803"/>
      <c r="N299" s="2803" t="s">
        <v>32</v>
      </c>
      <c r="O299" s="2803" t="s">
        <v>32</v>
      </c>
      <c r="P299" s="2803" t="s">
        <v>32</v>
      </c>
      <c r="Q299" s="2803" t="s">
        <v>32</v>
      </c>
      <c r="R299" s="2803" t="s">
        <v>32</v>
      </c>
      <c r="S299" s="2803"/>
      <c r="T299" s="2803"/>
      <c r="U299" s="2803" t="s">
        <v>32</v>
      </c>
      <c r="V299" s="2803" t="s">
        <v>32</v>
      </c>
      <c r="W299" s="2803" t="s">
        <v>32</v>
      </c>
      <c r="X299" s="2803" t="s">
        <v>32</v>
      </c>
      <c r="Y299" s="2803" t="s">
        <v>32</v>
      </c>
      <c r="Z299" s="2803"/>
      <c r="AA299" s="2803"/>
      <c r="AB299" s="2803"/>
      <c r="AC299" s="2803" t="s">
        <v>32</v>
      </c>
      <c r="AD299" s="2803" t="s">
        <v>32</v>
      </c>
      <c r="AE299" s="2803" t="s">
        <v>32</v>
      </c>
      <c r="AF299" s="2803" t="s">
        <v>32</v>
      </c>
      <c r="AG299" s="2922"/>
      <c r="AH299" s="297"/>
      <c r="AI299" s="298"/>
      <c r="AJ299" s="190"/>
    </row>
    <row r="300" spans="1:36" ht="21" customHeight="1" x14ac:dyDescent="0.2">
      <c r="A300" s="2740"/>
      <c r="B300" s="3177" t="s">
        <v>340</v>
      </c>
      <c r="C300" s="2803" t="s">
        <v>32</v>
      </c>
      <c r="D300" s="2803" t="s">
        <v>32</v>
      </c>
      <c r="E300" s="2803"/>
      <c r="F300" s="2803"/>
      <c r="G300" s="2803" t="s">
        <v>32</v>
      </c>
      <c r="H300" s="2803" t="s">
        <v>32</v>
      </c>
      <c r="I300" s="2803" t="s">
        <v>32</v>
      </c>
      <c r="J300" s="2803" t="s">
        <v>32</v>
      </c>
      <c r="K300" s="2704" t="s">
        <v>32</v>
      </c>
      <c r="L300" s="2803"/>
      <c r="M300" s="2803"/>
      <c r="N300" s="2803" t="s">
        <v>32</v>
      </c>
      <c r="O300" s="2803" t="s">
        <v>32</v>
      </c>
      <c r="P300" s="2803" t="s">
        <v>32</v>
      </c>
      <c r="Q300" s="2803" t="s">
        <v>32</v>
      </c>
      <c r="R300" s="2803" t="s">
        <v>32</v>
      </c>
      <c r="S300" s="2803"/>
      <c r="T300" s="2803"/>
      <c r="U300" s="2803" t="s">
        <v>32</v>
      </c>
      <c r="V300" s="2803" t="s">
        <v>32</v>
      </c>
      <c r="W300" s="2803" t="s">
        <v>32</v>
      </c>
      <c r="X300" s="2637" t="s">
        <v>32</v>
      </c>
      <c r="Y300" s="2806" t="s">
        <v>32</v>
      </c>
      <c r="Z300" s="2803"/>
      <c r="AA300" s="2803"/>
      <c r="AB300" s="2803"/>
      <c r="AC300" s="2803" t="s">
        <v>32</v>
      </c>
      <c r="AD300" s="2806" t="s">
        <v>32</v>
      </c>
      <c r="AE300" s="2806" t="s">
        <v>32</v>
      </c>
      <c r="AF300" s="2806" t="s">
        <v>32</v>
      </c>
      <c r="AG300" s="2922"/>
      <c r="AH300" s="297"/>
      <c r="AI300" s="298"/>
      <c r="AJ300" s="190"/>
    </row>
    <row r="301" spans="1:36" ht="21" customHeight="1" x14ac:dyDescent="0.2">
      <c r="A301" s="2740"/>
      <c r="B301" s="3177" t="s">
        <v>341</v>
      </c>
      <c r="C301" s="2803" t="s">
        <v>32</v>
      </c>
      <c r="D301" s="2803" t="s">
        <v>32</v>
      </c>
      <c r="E301" s="2803"/>
      <c r="F301" s="2803"/>
      <c r="G301" s="2803" t="s">
        <v>32</v>
      </c>
      <c r="H301" s="2803" t="s">
        <v>32</v>
      </c>
      <c r="I301" s="2645" t="s">
        <v>32</v>
      </c>
      <c r="J301" s="3156" t="s">
        <v>32</v>
      </c>
      <c r="K301" s="2803" t="s">
        <v>32</v>
      </c>
      <c r="L301" s="2803"/>
      <c r="M301" s="2803"/>
      <c r="N301" s="2803" t="s">
        <v>32</v>
      </c>
      <c r="O301" s="2803" t="s">
        <v>32</v>
      </c>
      <c r="P301" s="2803" t="s">
        <v>32</v>
      </c>
      <c r="Q301" s="2803" t="s">
        <v>32</v>
      </c>
      <c r="R301" s="2803" t="s">
        <v>32</v>
      </c>
      <c r="S301" s="2803"/>
      <c r="T301" s="2803"/>
      <c r="U301" s="2803" t="s">
        <v>32</v>
      </c>
      <c r="V301" s="2803" t="s">
        <v>32</v>
      </c>
      <c r="W301" s="2803" t="s">
        <v>32</v>
      </c>
      <c r="X301" s="2803" t="s">
        <v>32</v>
      </c>
      <c r="Y301" s="2803" t="s">
        <v>32</v>
      </c>
      <c r="Z301" s="2803"/>
      <c r="AA301" s="2803"/>
      <c r="AB301" s="2803"/>
      <c r="AC301" s="2803" t="s">
        <v>32</v>
      </c>
      <c r="AD301" s="2645" t="s">
        <v>32</v>
      </c>
      <c r="AE301" s="2645" t="s">
        <v>32</v>
      </c>
      <c r="AF301" s="2645" t="s">
        <v>32</v>
      </c>
      <c r="AG301" s="2922"/>
      <c r="AH301" s="297"/>
      <c r="AI301" s="298"/>
      <c r="AJ301" s="190"/>
    </row>
    <row r="302" spans="1:36" ht="21" customHeight="1" x14ac:dyDescent="0.2">
      <c r="A302" s="2740"/>
      <c r="B302" s="3177" t="s">
        <v>342</v>
      </c>
      <c r="C302" s="2803" t="s">
        <v>32</v>
      </c>
      <c r="D302" s="2803" t="s">
        <v>32</v>
      </c>
      <c r="E302" s="2803"/>
      <c r="F302" s="2803"/>
      <c r="G302" s="2803" t="s">
        <v>32</v>
      </c>
      <c r="H302" s="2803" t="s">
        <v>32</v>
      </c>
      <c r="I302" s="964" t="s">
        <v>32</v>
      </c>
      <c r="J302" s="964" t="s">
        <v>32</v>
      </c>
      <c r="K302" s="964" t="s">
        <v>32</v>
      </c>
      <c r="L302" s="964"/>
      <c r="M302" s="964"/>
      <c r="N302" s="964" t="s">
        <v>51</v>
      </c>
      <c r="O302" s="2845" t="s">
        <v>32</v>
      </c>
      <c r="P302" s="2803" t="s">
        <v>32</v>
      </c>
      <c r="Q302" s="2803" t="s">
        <v>32</v>
      </c>
      <c r="R302" s="2803" t="s">
        <v>32</v>
      </c>
      <c r="S302" s="2803"/>
      <c r="T302" s="2803"/>
      <c r="U302" s="2803" t="s">
        <v>32</v>
      </c>
      <c r="V302" s="2803" t="s">
        <v>32</v>
      </c>
      <c r="W302" s="2803" t="s">
        <v>32</v>
      </c>
      <c r="X302" s="2803" t="s">
        <v>32</v>
      </c>
      <c r="Y302" s="2806" t="s">
        <v>32</v>
      </c>
      <c r="Z302" s="2806"/>
      <c r="AA302" s="2806"/>
      <c r="AB302" s="2806"/>
      <c r="AC302" s="2806" t="s">
        <v>32</v>
      </c>
      <c r="AD302" s="2806" t="s">
        <v>32</v>
      </c>
      <c r="AE302" s="2806" t="s">
        <v>32</v>
      </c>
      <c r="AF302" s="2806" t="s">
        <v>32</v>
      </c>
      <c r="AG302" s="2922"/>
      <c r="AH302" s="297"/>
      <c r="AI302" s="298"/>
      <c r="AJ302" s="190"/>
    </row>
    <row r="303" spans="1:36" ht="21" customHeight="1" x14ac:dyDescent="0.2">
      <c r="A303" s="2740"/>
      <c r="B303" s="3177"/>
      <c r="C303" s="2803"/>
      <c r="D303" s="2851"/>
      <c r="E303" s="2803"/>
      <c r="F303" s="2803"/>
      <c r="G303" s="2803"/>
      <c r="H303" s="2803"/>
      <c r="I303" s="2803"/>
      <c r="J303" s="2803"/>
      <c r="K303" s="2803"/>
      <c r="L303" s="2803"/>
      <c r="M303" s="2803"/>
      <c r="N303" s="2803"/>
      <c r="O303" s="2803"/>
      <c r="P303" s="2803"/>
      <c r="Q303" s="2803"/>
      <c r="R303" s="2803"/>
      <c r="S303" s="2803"/>
      <c r="T303" s="2803"/>
      <c r="U303" s="2803"/>
      <c r="V303" s="2803"/>
      <c r="W303" s="2803"/>
      <c r="X303" s="2803"/>
      <c r="Y303" s="2803"/>
      <c r="Z303" s="2803"/>
      <c r="AA303" s="2803"/>
      <c r="AB303" s="2803"/>
      <c r="AC303" s="2803"/>
      <c r="AD303" s="2803"/>
      <c r="AE303" s="2803"/>
      <c r="AF303" s="2803"/>
      <c r="AG303" s="2922"/>
      <c r="AH303" s="297"/>
      <c r="AI303" s="298"/>
      <c r="AJ303" s="190"/>
    </row>
    <row r="304" spans="1:36" ht="21" customHeight="1" x14ac:dyDescent="0.2">
      <c r="A304" s="2845"/>
      <c r="B304" s="2742"/>
      <c r="C304" s="2918"/>
      <c r="D304" s="2918"/>
      <c r="E304" s="2918"/>
      <c r="F304" s="2918"/>
      <c r="G304" s="2918"/>
      <c r="H304" s="2918"/>
      <c r="I304" s="2918"/>
      <c r="J304" s="2918"/>
      <c r="K304" s="2918"/>
      <c r="L304" s="2918"/>
      <c r="M304" s="2918"/>
      <c r="N304" s="2817"/>
      <c r="O304" s="2817"/>
      <c r="P304" s="2918"/>
      <c r="Q304" s="2918"/>
      <c r="R304" s="2918"/>
      <c r="S304" s="2918"/>
      <c r="T304" s="2918"/>
      <c r="U304" s="2918"/>
      <c r="V304" s="2918"/>
      <c r="W304" s="2918"/>
      <c r="X304" s="2918"/>
      <c r="Y304" s="2918"/>
      <c r="Z304" s="2918"/>
      <c r="AA304" s="2918"/>
      <c r="AB304" s="2817"/>
      <c r="AC304" s="2817"/>
      <c r="AD304" s="2918"/>
      <c r="AE304" s="2918"/>
      <c r="AF304" s="2918"/>
      <c r="AG304" s="2922"/>
      <c r="AH304" s="297"/>
      <c r="AI304" s="299"/>
      <c r="AJ304" s="190"/>
    </row>
    <row r="305" spans="1:36" ht="21" customHeight="1" thickBot="1" x14ac:dyDescent="0.25">
      <c r="A305" s="3188"/>
      <c r="B305" s="3189"/>
      <c r="C305" s="3190"/>
      <c r="D305" s="3191"/>
      <c r="E305" s="3191"/>
      <c r="F305" s="3191"/>
      <c r="G305" s="3191"/>
      <c r="H305" s="3191"/>
      <c r="I305" s="3191"/>
      <c r="J305" s="3191"/>
      <c r="K305" s="3191"/>
      <c r="L305" s="3191"/>
      <c r="M305" s="3191"/>
      <c r="N305" s="3192"/>
      <c r="O305" s="3192"/>
      <c r="P305" s="3191"/>
      <c r="Q305" s="3191"/>
      <c r="R305" s="3191"/>
      <c r="S305" s="3191"/>
      <c r="T305" s="3191"/>
      <c r="U305" s="3191"/>
      <c r="V305" s="3191"/>
      <c r="W305" s="3191"/>
      <c r="X305" s="3191"/>
      <c r="Y305" s="3191"/>
      <c r="Z305" s="3191"/>
      <c r="AA305" s="3191"/>
      <c r="AB305" s="3192"/>
      <c r="AC305" s="3192"/>
      <c r="AD305" s="3191"/>
      <c r="AE305" s="3191"/>
      <c r="AF305" s="3191"/>
      <c r="AG305" s="3193"/>
      <c r="AH305" s="297"/>
      <c r="AI305" s="299"/>
      <c r="AJ305" s="190"/>
    </row>
    <row r="306" spans="1:36" x14ac:dyDescent="0.2">
      <c r="AH306" s="190"/>
      <c r="AI306" s="190"/>
      <c r="AJ306" s="190"/>
    </row>
    <row r="307" spans="1:36" x14ac:dyDescent="0.2">
      <c r="AH307" s="190"/>
      <c r="AI307" s="190"/>
      <c r="AJ307" s="190"/>
    </row>
    <row r="308" spans="1:36" x14ac:dyDescent="0.2">
      <c r="AH308" s="190"/>
      <c r="AI308" s="190"/>
      <c r="AJ308" s="190"/>
    </row>
    <row r="309" spans="1:36" x14ac:dyDescent="0.2">
      <c r="AH309" s="190"/>
      <c r="AI309" s="190"/>
      <c r="AJ309" s="190"/>
    </row>
  </sheetData>
  <sheetProtection algorithmName="SHA-512" hashValue="AKi1ONu3SdmkrIVM7PaSVJenXSM2nG0JOKoFa7QvqpzO2n61YGC/OGMzSIgV68BnIKwhtnym1N/Ok6T+LeFo1Q==" saltValue="5AndslSEsMjwD8SbrDZ7vQ==" spinCount="100000" sheet="1" objects="1" scenarios="1"/>
  <protectedRanges>
    <protectedRange sqref="B143:B144"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5 B147:B148"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25762-1A36-4DE7-B603-8AD80490C10F}">
  <sheetPr codeName="Ark81"/>
  <dimension ref="A1:AN306"/>
  <sheetViews>
    <sheetView zoomScaleNormal="100" workbookViewId="0">
      <pane xSplit="2" ySplit="3" topLeftCell="C85" activePane="bottomRight" state="frozen"/>
      <selection pane="topRight" activeCell="AE74" sqref="AE74"/>
      <selection pane="bottomLeft" activeCell="AE74" sqref="AE74"/>
      <selection pane="bottomRight" activeCell="AL21" sqref="AL21"/>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3194" t="s">
        <v>2</v>
      </c>
      <c r="C2" s="3195" t="s">
        <v>3</v>
      </c>
      <c r="D2" s="3196"/>
      <c r="E2" s="3197" t="s">
        <v>4</v>
      </c>
      <c r="F2" s="3198"/>
      <c r="G2" s="3199"/>
      <c r="H2" s="3199"/>
      <c r="I2" s="3199"/>
      <c r="J2" s="3199"/>
      <c r="K2" s="3200"/>
      <c r="L2" s="3201" t="s">
        <v>5</v>
      </c>
      <c r="M2" s="3202"/>
      <c r="N2" s="3203"/>
      <c r="O2" s="3204" t="s">
        <v>6</v>
      </c>
      <c r="P2" s="3205"/>
      <c r="Q2" s="3206"/>
      <c r="R2" s="3207"/>
      <c r="S2" s="3208" t="s">
        <v>7</v>
      </c>
      <c r="T2" s="3209"/>
      <c r="U2" s="3210"/>
      <c r="V2" s="3209"/>
      <c r="W2" s="3211" t="s">
        <v>8</v>
      </c>
      <c r="X2" s="3212"/>
      <c r="Y2" s="3213"/>
      <c r="Z2" s="160" t="s">
        <v>9</v>
      </c>
      <c r="AA2" s="3214"/>
      <c r="AB2" s="3215"/>
      <c r="AC2" s="3216"/>
      <c r="AD2" s="3217" t="s">
        <v>10</v>
      </c>
      <c r="AE2" s="3218"/>
      <c r="AF2" s="3218"/>
      <c r="AG2" s="3219"/>
    </row>
    <row r="3" spans="1:38" ht="13.35" customHeight="1" x14ac:dyDescent="0.2">
      <c r="A3" s="1"/>
      <c r="B3" s="3220" t="s">
        <v>11</v>
      </c>
      <c r="C3" s="3221" t="s">
        <v>12</v>
      </c>
      <c r="D3" s="3222"/>
      <c r="E3" s="91"/>
      <c r="F3" s="92"/>
      <c r="G3" s="92"/>
      <c r="H3" s="161" t="s">
        <v>13</v>
      </c>
      <c r="I3" s="93"/>
      <c r="J3" s="93"/>
      <c r="K3" s="94"/>
      <c r="L3" s="3223" t="s">
        <v>14</v>
      </c>
      <c r="M3" s="3224"/>
      <c r="N3" s="3225"/>
      <c r="O3" s="93"/>
      <c r="P3" s="93"/>
      <c r="Q3" s="93"/>
      <c r="R3" s="93"/>
      <c r="S3" s="14"/>
      <c r="T3" s="95" t="s">
        <v>15</v>
      </c>
      <c r="U3" s="96"/>
      <c r="V3" s="97"/>
      <c r="W3" s="98"/>
      <c r="X3" s="99"/>
      <c r="Y3" s="161" t="s">
        <v>16</v>
      </c>
      <c r="Z3" s="3224"/>
      <c r="AA3" s="3224"/>
      <c r="AB3" s="3226"/>
      <c r="AC3" s="3227"/>
      <c r="AD3" s="3228" t="s">
        <v>17</v>
      </c>
      <c r="AE3" s="3229"/>
      <c r="AF3" s="3229"/>
      <c r="AG3" s="3230"/>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3231" t="s">
        <v>20</v>
      </c>
      <c r="B6" s="3224"/>
      <c r="C6" s="3232"/>
      <c r="D6" s="3231" t="s">
        <v>21</v>
      </c>
      <c r="E6" s="3224"/>
      <c r="F6" s="3224"/>
      <c r="G6" s="3224"/>
      <c r="H6" s="3233"/>
      <c r="I6" s="3224"/>
      <c r="J6" s="3224"/>
      <c r="K6" s="3224"/>
      <c r="L6" s="3234" t="s">
        <v>22</v>
      </c>
      <c r="M6" s="3224"/>
      <c r="N6" s="3224"/>
      <c r="O6" s="3224"/>
      <c r="P6" s="3224"/>
      <c r="Q6" s="3224"/>
      <c r="R6" s="3224"/>
      <c r="S6" s="3232"/>
      <c r="T6" s="3235"/>
      <c r="U6" s="3224"/>
      <c r="V6" s="3224"/>
      <c r="W6" s="3224"/>
      <c r="X6" s="3224"/>
      <c r="Y6" s="3224"/>
      <c r="Z6" s="3224"/>
      <c r="AA6" s="3232"/>
      <c r="AB6" s="3236"/>
      <c r="AC6" s="3237"/>
      <c r="AD6" s="3237"/>
      <c r="AE6" s="3237"/>
      <c r="AF6" s="3237"/>
      <c r="AG6" s="3238"/>
    </row>
    <row r="7" spans="1:38" ht="22.35" customHeight="1" x14ac:dyDescent="0.2">
      <c r="A7" s="3231" t="s">
        <v>23</v>
      </c>
      <c r="B7" s="3224"/>
      <c r="C7" s="3224"/>
      <c r="D7" s="3224"/>
      <c r="E7" s="3224"/>
      <c r="F7" s="3224"/>
      <c r="G7" s="3224"/>
      <c r="H7" s="3224"/>
      <c r="I7" s="3224"/>
      <c r="J7" s="3224"/>
      <c r="K7" s="3232"/>
      <c r="L7" s="153" t="s">
        <v>24</v>
      </c>
      <c r="M7" s="14"/>
      <c r="N7" s="14"/>
      <c r="O7" s="14"/>
      <c r="P7" s="14"/>
      <c r="Q7" s="14"/>
      <c r="R7" s="14"/>
      <c r="S7" s="14"/>
      <c r="T7" s="14"/>
      <c r="U7" s="3224"/>
      <c r="V7" s="3224"/>
      <c r="W7" s="3224"/>
      <c r="X7" s="3224"/>
      <c r="Y7" s="3224"/>
      <c r="Z7" s="3224"/>
      <c r="AA7" s="3224"/>
      <c r="AB7" s="3239"/>
      <c r="AC7" s="3224"/>
      <c r="AD7" s="3224"/>
      <c r="AE7" s="3224"/>
      <c r="AF7" s="3224"/>
      <c r="AG7" s="3232"/>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3240" t="s">
        <v>28</v>
      </c>
      <c r="B11" s="3241" t="s">
        <v>29</v>
      </c>
      <c r="C11" s="3242">
        <v>1</v>
      </c>
      <c r="D11" s="3243">
        <v>2</v>
      </c>
      <c r="E11" s="3243">
        <v>3</v>
      </c>
      <c r="F11" s="3243">
        <v>4</v>
      </c>
      <c r="G11" s="3243">
        <v>5</v>
      </c>
      <c r="H11" s="3243">
        <v>6</v>
      </c>
      <c r="I11" s="3242">
        <v>7</v>
      </c>
      <c r="J11" s="3242">
        <v>8</v>
      </c>
      <c r="K11" s="3243">
        <v>9</v>
      </c>
      <c r="L11" s="3243">
        <v>10</v>
      </c>
      <c r="M11" s="3243">
        <v>11</v>
      </c>
      <c r="N11" s="3243">
        <v>12</v>
      </c>
      <c r="O11" s="3243">
        <v>13</v>
      </c>
      <c r="P11" s="3242">
        <v>14</v>
      </c>
      <c r="Q11" s="3242">
        <v>15</v>
      </c>
      <c r="R11" s="3243">
        <v>16</v>
      </c>
      <c r="S11" s="3243">
        <v>17</v>
      </c>
      <c r="T11" s="3243">
        <v>18</v>
      </c>
      <c r="U11" s="3243">
        <v>19</v>
      </c>
      <c r="V11" s="3243">
        <v>20</v>
      </c>
      <c r="W11" s="3242">
        <v>21</v>
      </c>
      <c r="X11" s="3242">
        <v>22</v>
      </c>
      <c r="Y11" s="3243">
        <v>23</v>
      </c>
      <c r="Z11" s="3243">
        <v>24</v>
      </c>
      <c r="AA11" s="3243">
        <v>25</v>
      </c>
      <c r="AB11" s="3243">
        <v>26</v>
      </c>
      <c r="AC11" s="3243">
        <v>27</v>
      </c>
      <c r="AD11" s="3242">
        <v>28</v>
      </c>
      <c r="AE11" s="3242">
        <v>29</v>
      </c>
      <c r="AF11" s="3243">
        <v>30</v>
      </c>
      <c r="AG11" s="3244">
        <v>31</v>
      </c>
      <c r="AH11" s="173"/>
      <c r="AI11" s="174"/>
      <c r="AJ11" s="3245" t="s">
        <v>30</v>
      </c>
    </row>
    <row r="12" spans="1:38" ht="22.35" customHeight="1" x14ac:dyDescent="0.2">
      <c r="A12" s="3246">
        <v>8500</v>
      </c>
      <c r="B12" s="3247" t="s">
        <v>31</v>
      </c>
      <c r="C12" s="3248"/>
      <c r="D12" s="3248" t="s">
        <v>32</v>
      </c>
      <c r="E12" s="3248" t="s">
        <v>32</v>
      </c>
      <c r="F12" s="3249" t="s">
        <v>32</v>
      </c>
      <c r="G12" s="3249" t="s">
        <v>32</v>
      </c>
      <c r="H12" s="3248" t="s">
        <v>32</v>
      </c>
      <c r="I12" s="3250"/>
      <c r="J12" s="3248"/>
      <c r="K12" s="3248" t="s">
        <v>32</v>
      </c>
      <c r="L12" s="3251" t="s">
        <v>32</v>
      </c>
      <c r="M12" s="3249" t="s">
        <v>32</v>
      </c>
      <c r="N12" s="3249" t="s">
        <v>32</v>
      </c>
      <c r="O12" s="3248" t="s">
        <v>32</v>
      </c>
      <c r="P12" s="3248"/>
      <c r="Q12" s="3248"/>
      <c r="R12" s="3248" t="s">
        <v>32</v>
      </c>
      <c r="S12" s="3248" t="s">
        <v>32</v>
      </c>
      <c r="T12" s="3249" t="s">
        <v>32</v>
      </c>
      <c r="U12" s="3249" t="s">
        <v>32</v>
      </c>
      <c r="V12" s="3249" t="s">
        <v>32</v>
      </c>
      <c r="W12" s="3249"/>
      <c r="X12" s="3249"/>
      <c r="Y12" s="3252" t="s">
        <v>32</v>
      </c>
      <c r="Z12" s="3252" t="s">
        <v>32</v>
      </c>
      <c r="AA12" s="3249" t="s">
        <v>32</v>
      </c>
      <c r="AB12" s="3249" t="s">
        <v>32</v>
      </c>
      <c r="AC12" s="3248" t="s">
        <v>32</v>
      </c>
      <c r="AD12" s="3248"/>
      <c r="AE12" s="3248"/>
      <c r="AF12" s="3248" t="s">
        <v>32</v>
      </c>
      <c r="AG12" s="3253" t="s">
        <v>32</v>
      </c>
      <c r="AH12" s="179"/>
      <c r="AI12" s="179"/>
      <c r="AJ12" s="3245">
        <v>160.33000000000001</v>
      </c>
    </row>
    <row r="13" spans="1:38" ht="22.35" customHeight="1" x14ac:dyDescent="0.2">
      <c r="A13" s="3254" t="s">
        <v>33</v>
      </c>
      <c r="B13" s="3255"/>
      <c r="C13" s="3255"/>
      <c r="D13" s="3255"/>
      <c r="E13" s="3255"/>
      <c r="F13" s="3255"/>
      <c r="G13" s="3255"/>
      <c r="H13" s="3255"/>
      <c r="I13" s="3255"/>
      <c r="J13" s="3255"/>
      <c r="K13" s="3255"/>
      <c r="L13" s="3255"/>
      <c r="M13" s="3255"/>
      <c r="N13" s="3255"/>
      <c r="O13" s="3255"/>
      <c r="P13" s="3255"/>
      <c r="Q13" s="3255"/>
      <c r="R13" s="3255"/>
      <c r="S13" s="3255"/>
      <c r="T13" s="3255"/>
      <c r="U13" s="3255"/>
      <c r="V13" s="3255"/>
      <c r="W13" s="3255"/>
      <c r="X13" s="3255"/>
      <c r="Y13" s="3255"/>
      <c r="Z13" s="3255"/>
      <c r="AA13" s="3255"/>
      <c r="AB13" s="3255"/>
      <c r="AC13" s="3255"/>
      <c r="AD13" s="3255"/>
      <c r="AE13" s="3255"/>
      <c r="AF13" s="3255"/>
      <c r="AG13" s="3256"/>
      <c r="AH13" s="177"/>
      <c r="AI13" s="177"/>
    </row>
    <row r="14" spans="1:38" ht="22.35" customHeight="1" x14ac:dyDescent="0.2">
      <c r="A14" s="3257">
        <v>8546</v>
      </c>
      <c r="B14" s="3247" t="s">
        <v>34</v>
      </c>
      <c r="C14" s="3258" t="s">
        <v>35</v>
      </c>
      <c r="D14" s="3258" t="s">
        <v>36</v>
      </c>
      <c r="E14" s="3258" t="s">
        <v>36</v>
      </c>
      <c r="F14" s="3258" t="s">
        <v>36</v>
      </c>
      <c r="G14" s="3258" t="s">
        <v>36</v>
      </c>
      <c r="H14" s="3259" t="s">
        <v>36</v>
      </c>
      <c r="I14" s="3259"/>
      <c r="J14" s="3259"/>
      <c r="K14" s="3260">
        <v>1</v>
      </c>
      <c r="L14" s="3259" t="s">
        <v>32</v>
      </c>
      <c r="M14" s="3249" t="s">
        <v>32</v>
      </c>
      <c r="N14" s="3258">
        <v>1</v>
      </c>
      <c r="O14" s="3258">
        <v>1</v>
      </c>
      <c r="P14" s="3261"/>
      <c r="Q14" s="3261"/>
      <c r="R14" s="3259">
        <v>2</v>
      </c>
      <c r="S14" s="3262">
        <v>2</v>
      </c>
      <c r="T14" s="3261">
        <v>2</v>
      </c>
      <c r="U14" s="3261">
        <v>2</v>
      </c>
      <c r="V14" s="3259">
        <v>2</v>
      </c>
      <c r="W14" s="3259" t="s">
        <v>37</v>
      </c>
      <c r="X14" s="3259" t="s">
        <v>37</v>
      </c>
      <c r="Y14" s="3259" t="s">
        <v>36</v>
      </c>
      <c r="Z14" s="3259" t="s">
        <v>36</v>
      </c>
      <c r="AA14" s="3263" t="s">
        <v>36</v>
      </c>
      <c r="AB14" s="3259" t="s">
        <v>36</v>
      </c>
      <c r="AC14" s="3259" t="s">
        <v>36</v>
      </c>
      <c r="AD14" s="3261"/>
      <c r="AE14" s="3259"/>
      <c r="AF14" s="3259">
        <v>4</v>
      </c>
      <c r="AG14" s="3264">
        <v>4</v>
      </c>
      <c r="AH14" s="179"/>
      <c r="AI14" s="179"/>
    </row>
    <row r="15" spans="1:38" ht="22.35" customHeight="1" x14ac:dyDescent="0.2">
      <c r="A15" s="3257">
        <v>8546</v>
      </c>
      <c r="B15" s="3265" t="s">
        <v>38</v>
      </c>
      <c r="C15" s="3260"/>
      <c r="D15" s="3266">
        <v>4</v>
      </c>
      <c r="E15" s="3259">
        <v>4</v>
      </c>
      <c r="F15" s="3261">
        <v>4</v>
      </c>
      <c r="G15" s="3261">
        <v>4</v>
      </c>
      <c r="H15" s="3261">
        <v>4</v>
      </c>
      <c r="I15" s="3259" t="s">
        <v>35</v>
      </c>
      <c r="J15" s="3260" t="s">
        <v>35</v>
      </c>
      <c r="K15" s="3261" t="s">
        <v>36</v>
      </c>
      <c r="L15" s="3259" t="s">
        <v>36</v>
      </c>
      <c r="M15" s="3259" t="s">
        <v>36</v>
      </c>
      <c r="N15" s="3259" t="s">
        <v>36</v>
      </c>
      <c r="O15" s="3259" t="s">
        <v>36</v>
      </c>
      <c r="P15" s="3259"/>
      <c r="Q15" s="3259"/>
      <c r="R15" s="3259">
        <v>1</v>
      </c>
      <c r="S15" s="3259">
        <v>1</v>
      </c>
      <c r="T15" s="3259">
        <v>1</v>
      </c>
      <c r="U15" s="3259">
        <v>1</v>
      </c>
      <c r="V15" s="3259">
        <v>1</v>
      </c>
      <c r="W15" s="3259"/>
      <c r="X15" s="3259"/>
      <c r="Y15" s="3267">
        <v>2</v>
      </c>
      <c r="Z15" s="3259">
        <v>2</v>
      </c>
      <c r="AA15" s="3263">
        <v>2</v>
      </c>
      <c r="AB15" s="3259">
        <v>2</v>
      </c>
      <c r="AC15" s="3259">
        <v>2</v>
      </c>
      <c r="AD15" s="3259" t="s">
        <v>37</v>
      </c>
      <c r="AE15" s="3259" t="s">
        <v>37</v>
      </c>
      <c r="AF15" s="3259" t="s">
        <v>36</v>
      </c>
      <c r="AG15" s="3264" t="s">
        <v>36</v>
      </c>
      <c r="AH15" s="179"/>
      <c r="AI15" s="179"/>
      <c r="AL15" t="s">
        <v>0</v>
      </c>
    </row>
    <row r="16" spans="1:38" ht="22.35" customHeight="1" x14ac:dyDescent="0.2">
      <c r="A16" s="3257">
        <v>8546</v>
      </c>
      <c r="B16" s="3268" t="s">
        <v>40</v>
      </c>
      <c r="C16" s="3269"/>
      <c r="D16" s="3270">
        <v>2</v>
      </c>
      <c r="E16" s="3270">
        <v>2</v>
      </c>
      <c r="F16" s="3270">
        <v>2</v>
      </c>
      <c r="G16" s="3270">
        <v>2</v>
      </c>
      <c r="H16" s="3270">
        <v>2</v>
      </c>
      <c r="I16" s="3271" t="s">
        <v>37</v>
      </c>
      <c r="J16" s="3270" t="s">
        <v>37</v>
      </c>
      <c r="K16" s="3270" t="s">
        <v>36</v>
      </c>
      <c r="L16" s="3270" t="s">
        <v>36</v>
      </c>
      <c r="M16" s="3270" t="s">
        <v>36</v>
      </c>
      <c r="N16" s="3269" t="s">
        <v>36</v>
      </c>
      <c r="O16" s="3269" t="s">
        <v>36</v>
      </c>
      <c r="P16" s="3269"/>
      <c r="Q16" s="3269"/>
      <c r="R16" s="3269">
        <v>4</v>
      </c>
      <c r="S16" s="3270">
        <v>4</v>
      </c>
      <c r="T16" s="3270">
        <v>4</v>
      </c>
      <c r="U16" s="3270">
        <v>4</v>
      </c>
      <c r="V16" s="3270">
        <v>4</v>
      </c>
      <c r="W16" s="3272" t="s">
        <v>35</v>
      </c>
      <c r="X16" s="3270" t="s">
        <v>35</v>
      </c>
      <c r="Y16" s="3269" t="s">
        <v>36</v>
      </c>
      <c r="Z16" s="3269" t="s">
        <v>36</v>
      </c>
      <c r="AA16" s="3269" t="s">
        <v>36</v>
      </c>
      <c r="AB16" s="3269" t="s">
        <v>36</v>
      </c>
      <c r="AC16" s="3269" t="s">
        <v>36</v>
      </c>
      <c r="AD16" s="3270"/>
      <c r="AE16" s="3270"/>
      <c r="AF16" s="3270">
        <v>1</v>
      </c>
      <c r="AG16" s="3273">
        <v>1</v>
      </c>
      <c r="AH16" s="179"/>
      <c r="AI16" s="179"/>
    </row>
    <row r="17" spans="1:40" ht="22.35" customHeight="1" x14ac:dyDescent="0.2">
      <c r="A17" s="3257">
        <v>8546</v>
      </c>
      <c r="B17" s="3265" t="s">
        <v>41</v>
      </c>
      <c r="C17" s="3259"/>
      <c r="D17" s="3260">
        <v>1</v>
      </c>
      <c r="E17" s="3259">
        <v>1</v>
      </c>
      <c r="F17" s="3261">
        <v>1</v>
      </c>
      <c r="G17" s="3259">
        <v>1</v>
      </c>
      <c r="H17" s="3259">
        <v>1</v>
      </c>
      <c r="I17" s="3260"/>
      <c r="J17" s="3259"/>
      <c r="K17" s="3259">
        <v>2</v>
      </c>
      <c r="L17" s="3259">
        <v>2</v>
      </c>
      <c r="M17" s="3258">
        <v>2</v>
      </c>
      <c r="N17" s="3258" t="s">
        <v>32</v>
      </c>
      <c r="O17" s="3258">
        <v>2</v>
      </c>
      <c r="P17" s="3258" t="s">
        <v>37</v>
      </c>
      <c r="Q17" s="3258" t="s">
        <v>37</v>
      </c>
      <c r="R17" s="3258" t="s">
        <v>36</v>
      </c>
      <c r="S17" s="3258" t="s">
        <v>36</v>
      </c>
      <c r="T17" s="3259" t="s">
        <v>36</v>
      </c>
      <c r="U17" s="3259" t="s">
        <v>36</v>
      </c>
      <c r="V17" s="3259" t="s">
        <v>36</v>
      </c>
      <c r="W17" s="3259"/>
      <c r="X17" s="3260"/>
      <c r="Y17" s="3259">
        <v>4</v>
      </c>
      <c r="Z17" s="3259">
        <v>4</v>
      </c>
      <c r="AA17" s="3274">
        <v>4</v>
      </c>
      <c r="AB17" s="3275">
        <v>4</v>
      </c>
      <c r="AC17" s="3275">
        <v>4</v>
      </c>
      <c r="AD17" s="3275" t="s">
        <v>35</v>
      </c>
      <c r="AE17" s="3275" t="s">
        <v>35</v>
      </c>
      <c r="AF17" s="3275" t="s">
        <v>36</v>
      </c>
      <c r="AG17" s="3264" t="s">
        <v>36</v>
      </c>
      <c r="AH17" s="179"/>
      <c r="AI17" s="179"/>
    </row>
    <row r="18" spans="1:40" ht="22.35" customHeight="1" x14ac:dyDescent="0.2">
      <c r="A18" s="3257">
        <v>8546</v>
      </c>
      <c r="B18" s="3268" t="s">
        <v>42</v>
      </c>
      <c r="C18" s="3260" t="s">
        <v>37</v>
      </c>
      <c r="D18" s="3276" t="s">
        <v>36</v>
      </c>
      <c r="E18" s="3276" t="s">
        <v>36</v>
      </c>
      <c r="F18" s="3259" t="s">
        <v>36</v>
      </c>
      <c r="G18" s="3259" t="s">
        <v>36</v>
      </c>
      <c r="H18" s="3259" t="s">
        <v>36</v>
      </c>
      <c r="I18" s="3259"/>
      <c r="J18" s="3261"/>
      <c r="K18" s="3261">
        <v>4</v>
      </c>
      <c r="L18" s="3259">
        <v>4</v>
      </c>
      <c r="M18" s="3261">
        <v>4</v>
      </c>
      <c r="N18" s="3261">
        <v>4</v>
      </c>
      <c r="O18" s="3259">
        <v>4</v>
      </c>
      <c r="P18" s="3261" t="s">
        <v>35</v>
      </c>
      <c r="Q18" s="3261" t="s">
        <v>35</v>
      </c>
      <c r="R18" s="3261" t="s">
        <v>36</v>
      </c>
      <c r="S18" s="3261" t="s">
        <v>36</v>
      </c>
      <c r="T18" s="3261" t="s">
        <v>36</v>
      </c>
      <c r="U18" s="3277" t="s">
        <v>36</v>
      </c>
      <c r="V18" s="3277" t="s">
        <v>36</v>
      </c>
      <c r="W18" s="3259"/>
      <c r="X18" s="3259"/>
      <c r="Y18" s="3259">
        <v>1</v>
      </c>
      <c r="Z18" s="3259">
        <v>1</v>
      </c>
      <c r="AA18" s="3263">
        <v>1</v>
      </c>
      <c r="AB18" s="3278">
        <v>1</v>
      </c>
      <c r="AC18" s="3279">
        <v>1</v>
      </c>
      <c r="AD18" s="3259"/>
      <c r="AE18" s="3259"/>
      <c r="AF18" s="3259">
        <v>2</v>
      </c>
      <c r="AG18" s="3264">
        <v>2</v>
      </c>
      <c r="AH18" s="179"/>
      <c r="AI18" s="179"/>
    </row>
    <row r="19" spans="1:40" ht="22.35" customHeight="1" thickBot="1" x14ac:dyDescent="0.25">
      <c r="A19" s="3280" t="s">
        <v>43</v>
      </c>
      <c r="B19" s="3281"/>
      <c r="C19" s="3282"/>
      <c r="D19" s="3282"/>
      <c r="E19" s="3282"/>
      <c r="F19" s="3282"/>
      <c r="G19" s="3282"/>
      <c r="H19" s="3282"/>
      <c r="I19" s="3282"/>
      <c r="J19" s="3282"/>
      <c r="K19" s="3282"/>
      <c r="L19" s="3282"/>
      <c r="M19" s="3282"/>
      <c r="N19" s="3282"/>
      <c r="O19" s="3282"/>
      <c r="P19" s="3282"/>
      <c r="Q19" s="3282"/>
      <c r="R19" s="3282"/>
      <c r="S19" s="3282"/>
      <c r="T19" s="3282"/>
      <c r="U19" s="3282"/>
      <c r="V19" s="3282"/>
      <c r="W19" s="3282"/>
      <c r="X19" s="3282"/>
      <c r="Y19" s="3282"/>
      <c r="Z19" s="3282"/>
      <c r="AA19" s="3283"/>
      <c r="AB19" s="3282"/>
      <c r="AC19" s="3282"/>
      <c r="AD19" s="3282"/>
      <c r="AE19" s="3282"/>
      <c r="AF19" s="3282"/>
      <c r="AG19" s="3284"/>
      <c r="AH19" s="177"/>
      <c r="AI19" s="177"/>
      <c r="AJ19" s="3245" t="s">
        <v>30</v>
      </c>
      <c r="AK19" s="3245" t="s">
        <v>44</v>
      </c>
      <c r="AL19" s="3245" t="s">
        <v>45</v>
      </c>
      <c r="AM19" s="3245" t="s">
        <v>46</v>
      </c>
      <c r="AN19" s="3245" t="s">
        <v>47</v>
      </c>
    </row>
    <row r="20" spans="1:40" ht="22.35" customHeight="1" thickBot="1" x14ac:dyDescent="0.25">
      <c r="A20" s="3285">
        <v>8500</v>
      </c>
      <c r="B20" s="3286" t="s">
        <v>49</v>
      </c>
      <c r="C20" s="3287"/>
      <c r="D20" s="3287" t="s">
        <v>32</v>
      </c>
      <c r="E20" s="3287" t="s">
        <v>32</v>
      </c>
      <c r="F20" s="3287" t="s">
        <v>32</v>
      </c>
      <c r="G20" s="3288" t="s">
        <v>32</v>
      </c>
      <c r="H20" s="3287" t="s">
        <v>32</v>
      </c>
      <c r="I20" s="3289"/>
      <c r="J20" s="3290" t="s">
        <v>37</v>
      </c>
      <c r="K20" s="3287" t="s">
        <v>32</v>
      </c>
      <c r="L20" s="3287" t="s">
        <v>32</v>
      </c>
      <c r="M20" s="3287" t="s">
        <v>32</v>
      </c>
      <c r="N20" s="3287" t="s">
        <v>32</v>
      </c>
      <c r="O20" s="3287" t="s">
        <v>32</v>
      </c>
      <c r="P20" s="3287"/>
      <c r="Q20" s="3287"/>
      <c r="R20" s="3287" t="s">
        <v>32</v>
      </c>
      <c r="S20" s="3287" t="s">
        <v>32</v>
      </c>
      <c r="T20" s="3287" t="s">
        <v>32</v>
      </c>
      <c r="U20" s="3287" t="s">
        <v>32</v>
      </c>
      <c r="V20" s="3287" t="s">
        <v>32</v>
      </c>
      <c r="W20" s="3287"/>
      <c r="X20" s="3287"/>
      <c r="Y20" s="3287" t="s">
        <v>32</v>
      </c>
      <c r="Z20" s="3287" t="s">
        <v>32</v>
      </c>
      <c r="AA20" s="3291" t="s">
        <v>32</v>
      </c>
      <c r="AB20" s="3287" t="s">
        <v>32</v>
      </c>
      <c r="AC20" s="3287" t="s">
        <v>32</v>
      </c>
      <c r="AD20" s="3287"/>
      <c r="AE20" s="3287"/>
      <c r="AF20" s="3287" t="s">
        <v>32</v>
      </c>
      <c r="AG20" s="3292" t="s">
        <v>32</v>
      </c>
      <c r="AH20" s="179"/>
      <c r="AI20" s="179"/>
      <c r="AJ20" s="3293">
        <f>$AJ$12</f>
        <v>160.33000000000001</v>
      </c>
      <c r="AK20" s="3293"/>
      <c r="AL20" s="3293">
        <f>IF(AJ20="","",SUM(AJ20:AK20))</f>
        <v>160.33000000000001</v>
      </c>
      <c r="AM20" s="3294">
        <f>IF(AJ20="","",AL20-NormTid)</f>
        <v>0</v>
      </c>
      <c r="AN20" s="3294">
        <f>IF(AM20="","",AM20)</f>
        <v>0</v>
      </c>
    </row>
    <row r="21" spans="1:40" ht="22.35" customHeight="1" thickBot="1" x14ac:dyDescent="0.25">
      <c r="A21" s="3295">
        <v>8500</v>
      </c>
      <c r="B21" s="3296" t="s">
        <v>52</v>
      </c>
      <c r="C21" s="3248"/>
      <c r="D21" s="3297" t="s">
        <v>32</v>
      </c>
      <c r="E21" s="3248">
        <v>2</v>
      </c>
      <c r="F21" s="3248">
        <v>2</v>
      </c>
      <c r="G21" s="3248">
        <v>2</v>
      </c>
      <c r="H21" s="3248">
        <v>2</v>
      </c>
      <c r="I21" s="3298" t="s">
        <v>37</v>
      </c>
      <c r="J21" s="3248"/>
      <c r="K21" s="3248" t="s">
        <v>32</v>
      </c>
      <c r="L21" s="3260">
        <v>1</v>
      </c>
      <c r="M21" s="3249">
        <v>1</v>
      </c>
      <c r="N21" s="3299">
        <v>2</v>
      </c>
      <c r="O21" s="3248" t="s">
        <v>134</v>
      </c>
      <c r="P21" s="3248"/>
      <c r="Q21" s="3248"/>
      <c r="R21" s="3287" t="s">
        <v>58</v>
      </c>
      <c r="S21" s="3287" t="s">
        <v>32</v>
      </c>
      <c r="T21" s="3287" t="s">
        <v>32</v>
      </c>
      <c r="U21" s="3300" t="s">
        <v>36</v>
      </c>
      <c r="V21" s="3287" t="s">
        <v>32</v>
      </c>
      <c r="W21" s="3248"/>
      <c r="X21" s="3248"/>
      <c r="Y21" s="3248">
        <v>2</v>
      </c>
      <c r="Z21" s="3301" t="s">
        <v>235</v>
      </c>
      <c r="AA21" s="3291" t="s">
        <v>32</v>
      </c>
      <c r="AB21" s="3249">
        <v>1</v>
      </c>
      <c r="AC21" s="3302">
        <v>1</v>
      </c>
      <c r="AD21" s="3302"/>
      <c r="AE21" s="3302"/>
      <c r="AF21" s="3302" t="s">
        <v>32</v>
      </c>
      <c r="AG21" s="3253" t="s">
        <v>32</v>
      </c>
      <c r="AH21" s="179"/>
      <c r="AI21" s="179"/>
      <c r="AJ21" s="3293">
        <v>160.25</v>
      </c>
      <c r="AK21" s="3293">
        <v>3</v>
      </c>
      <c r="AL21" s="3293">
        <f t="shared" ref="AL21:AL23" si="0">IF(AJ21="","",SUM(AJ21:AK21))</f>
        <v>163.25</v>
      </c>
      <c r="AM21" s="3294">
        <f>IF(AJ21="","",AL21-NormTid)</f>
        <v>2.9199999999999875</v>
      </c>
      <c r="AN21" s="3294">
        <f t="shared" ref="AN21:AN23" si="1">IF(AM21="","",AM21)</f>
        <v>2.9199999999999875</v>
      </c>
    </row>
    <row r="22" spans="1:40" ht="22.35" customHeight="1" x14ac:dyDescent="0.2">
      <c r="A22" s="3295">
        <v>8500</v>
      </c>
      <c r="B22" s="3247" t="s">
        <v>54</v>
      </c>
      <c r="C22" s="3261"/>
      <c r="D22" s="3303">
        <v>2</v>
      </c>
      <c r="E22" s="3303">
        <v>2</v>
      </c>
      <c r="F22" s="3303">
        <v>2</v>
      </c>
      <c r="G22" s="3303">
        <v>2</v>
      </c>
      <c r="H22" s="3303">
        <v>2</v>
      </c>
      <c r="I22" s="3303" t="s">
        <v>37</v>
      </c>
      <c r="J22" s="3303" t="s">
        <v>371</v>
      </c>
      <c r="K22" s="3259" t="s">
        <v>36</v>
      </c>
      <c r="L22" s="3259" t="s">
        <v>36</v>
      </c>
      <c r="M22" s="3259" t="s">
        <v>36</v>
      </c>
      <c r="N22" s="3261" t="s">
        <v>36</v>
      </c>
      <c r="O22" s="3261" t="s">
        <v>36</v>
      </c>
      <c r="P22" s="3261"/>
      <c r="Q22" s="3261"/>
      <c r="R22" s="3261">
        <v>4</v>
      </c>
      <c r="S22" s="3259">
        <v>4</v>
      </c>
      <c r="T22" s="3259">
        <v>4</v>
      </c>
      <c r="U22" s="3259">
        <v>4</v>
      </c>
      <c r="V22" s="3259">
        <v>4</v>
      </c>
      <c r="W22" s="3260" t="s">
        <v>35</v>
      </c>
      <c r="X22" s="3259" t="s">
        <v>35</v>
      </c>
      <c r="Y22" s="3261" t="s">
        <v>36</v>
      </c>
      <c r="Z22" s="3261" t="s">
        <v>36</v>
      </c>
      <c r="AA22" s="3263" t="s">
        <v>36</v>
      </c>
      <c r="AB22" s="3261" t="s">
        <v>36</v>
      </c>
      <c r="AC22" s="3261" t="s">
        <v>36</v>
      </c>
      <c r="AD22" s="3259"/>
      <c r="AE22" s="3259"/>
      <c r="AF22" s="3259">
        <v>1</v>
      </c>
      <c r="AG22" s="3264">
        <v>1</v>
      </c>
      <c r="AH22" s="179"/>
      <c r="AI22" s="179"/>
      <c r="AJ22" s="3293">
        <v>146.75</v>
      </c>
      <c r="AK22" s="3293">
        <v>9.25</v>
      </c>
      <c r="AL22" s="3293">
        <f t="shared" si="0"/>
        <v>156</v>
      </c>
      <c r="AM22" s="3294">
        <f>IF(AJ22="","",AL22-NormTid)</f>
        <v>-4.3300000000000125</v>
      </c>
      <c r="AN22" s="3294">
        <f t="shared" si="1"/>
        <v>-4.3300000000000125</v>
      </c>
    </row>
    <row r="23" spans="1:40" ht="22.35" customHeight="1" x14ac:dyDescent="0.2">
      <c r="A23" s="3295"/>
      <c r="B23" s="3296"/>
      <c r="C23" s="3250"/>
      <c r="D23" s="3252" t="s">
        <v>32</v>
      </c>
      <c r="E23" s="3249" t="s">
        <v>32</v>
      </c>
      <c r="F23" s="3249" t="s">
        <v>32</v>
      </c>
      <c r="G23" s="3249" t="s">
        <v>32</v>
      </c>
      <c r="H23" s="3302" t="s">
        <v>32</v>
      </c>
      <c r="I23" s="3302"/>
      <c r="J23" s="3302"/>
      <c r="K23" s="3304" t="s">
        <v>32</v>
      </c>
      <c r="L23" s="3302" t="s">
        <v>32</v>
      </c>
      <c r="M23" s="3249" t="s">
        <v>32</v>
      </c>
      <c r="N23" s="3248" t="s">
        <v>32</v>
      </c>
      <c r="O23" s="3248" t="s">
        <v>32</v>
      </c>
      <c r="P23" s="3249"/>
      <c r="Q23" s="3249"/>
      <c r="R23" s="3305" t="s">
        <v>32</v>
      </c>
      <c r="S23" s="3305" t="s">
        <v>32</v>
      </c>
      <c r="T23" s="3249" t="s">
        <v>32</v>
      </c>
      <c r="U23" s="3249" t="s">
        <v>32</v>
      </c>
      <c r="V23" s="3302" t="s">
        <v>32</v>
      </c>
      <c r="W23" s="3302"/>
      <c r="X23" s="3302"/>
      <c r="Y23" s="3302" t="s">
        <v>32</v>
      </c>
      <c r="Z23" s="3302" t="s">
        <v>32</v>
      </c>
      <c r="AA23" s="3302" t="s">
        <v>32</v>
      </c>
      <c r="AB23" s="3302" t="s">
        <v>32</v>
      </c>
      <c r="AC23" s="3302" t="s">
        <v>32</v>
      </c>
      <c r="AD23" s="3252"/>
      <c r="AE23" s="3302"/>
      <c r="AF23" s="3302" t="s">
        <v>32</v>
      </c>
      <c r="AG23" s="3306" t="s">
        <v>32</v>
      </c>
      <c r="AJ23" s="3293">
        <f t="shared" ref="AJ23" si="2">$AJ$12</f>
        <v>160.33000000000001</v>
      </c>
      <c r="AK23" s="3293"/>
      <c r="AL23" s="3293">
        <f t="shared" si="0"/>
        <v>160.33000000000001</v>
      </c>
      <c r="AM23" s="3294">
        <f>IF(AJ23="","",AL23-NormTid)</f>
        <v>0</v>
      </c>
      <c r="AN23" s="3294">
        <f t="shared" si="1"/>
        <v>0</v>
      </c>
    </row>
    <row r="24" spans="1:40" ht="22.35" customHeight="1" thickBot="1" x14ac:dyDescent="0.25">
      <c r="A24" s="3307"/>
      <c r="B24" s="2743" t="s">
        <v>56</v>
      </c>
      <c r="C24" s="3099"/>
      <c r="D24" s="3099" t="s">
        <v>32</v>
      </c>
      <c r="E24" s="3099" t="s">
        <v>32</v>
      </c>
      <c r="F24" s="3099" t="s">
        <v>32</v>
      </c>
      <c r="G24" s="3099" t="s">
        <v>32</v>
      </c>
      <c r="H24" s="3099" t="s">
        <v>32</v>
      </c>
      <c r="I24" s="3099"/>
      <c r="J24" s="3099"/>
      <c r="K24" s="3099" t="s">
        <v>32</v>
      </c>
      <c r="L24" s="3099" t="s">
        <v>32</v>
      </c>
      <c r="M24" s="3099" t="s">
        <v>32</v>
      </c>
      <c r="N24" s="3308" t="s">
        <v>32</v>
      </c>
      <c r="O24" s="3308" t="s">
        <v>32</v>
      </c>
      <c r="P24" s="3308"/>
      <c r="Q24" s="3309"/>
      <c r="R24" s="3308" t="s">
        <v>32</v>
      </c>
      <c r="S24" s="3099" t="s">
        <v>32</v>
      </c>
      <c r="T24" s="3099" t="s">
        <v>32</v>
      </c>
      <c r="U24" s="3308" t="s">
        <v>32</v>
      </c>
      <c r="V24" s="3308" t="s">
        <v>32</v>
      </c>
      <c r="W24" s="3308"/>
      <c r="X24" s="3099"/>
      <c r="Y24" s="3308" t="s">
        <v>32</v>
      </c>
      <c r="Z24" s="3099" t="s">
        <v>32</v>
      </c>
      <c r="AA24" s="3099" t="s">
        <v>32</v>
      </c>
      <c r="AB24" s="3099" t="s">
        <v>32</v>
      </c>
      <c r="AC24" s="3099" t="s">
        <v>32</v>
      </c>
      <c r="AD24" s="3099"/>
      <c r="AE24" s="3099"/>
      <c r="AF24" s="3099" t="s">
        <v>32</v>
      </c>
      <c r="AG24" s="3100" t="s">
        <v>32</v>
      </c>
    </row>
    <row r="25" spans="1:40" ht="22.35" customHeight="1" thickBot="1" x14ac:dyDescent="0.25">
      <c r="A25" s="363"/>
      <c r="B25" s="364"/>
      <c r="C25" s="3243"/>
      <c r="D25" s="364"/>
      <c r="E25" s="364"/>
      <c r="F25" s="364"/>
      <c r="G25" s="364" t="s">
        <v>59</v>
      </c>
      <c r="H25" s="364"/>
      <c r="I25" s="364">
        <v>21</v>
      </c>
      <c r="J25" s="364">
        <v>21</v>
      </c>
      <c r="K25" s="364"/>
      <c r="L25" s="364"/>
      <c r="M25" s="364"/>
      <c r="N25" s="364"/>
      <c r="O25" s="364"/>
      <c r="P25" s="364"/>
      <c r="Q25" s="364"/>
      <c r="R25" s="364"/>
      <c r="S25" s="364" t="s">
        <v>0</v>
      </c>
      <c r="T25" s="364"/>
      <c r="U25" s="199"/>
      <c r="V25" s="364"/>
      <c r="W25" s="364"/>
      <c r="AB25" s="183"/>
      <c r="AC25">
        <v>3</v>
      </c>
      <c r="AG25" s="199" t="s">
        <v>0</v>
      </c>
    </row>
    <row r="26" spans="1:40" ht="22.35" customHeight="1" x14ac:dyDescent="0.2">
      <c r="A26" s="291"/>
      <c r="B26" s="199"/>
      <c r="C26" s="199" t="s">
        <v>0</v>
      </c>
      <c r="D26" s="199"/>
      <c r="E26" s="199"/>
      <c r="F26" s="199"/>
      <c r="G26" s="199"/>
      <c r="H26" s="199"/>
      <c r="I26" s="2817"/>
      <c r="J26" s="2817"/>
      <c r="R26">
        <v>23</v>
      </c>
      <c r="S26">
        <v>23</v>
      </c>
      <c r="T26">
        <v>23</v>
      </c>
      <c r="U26">
        <v>23</v>
      </c>
      <c r="V26">
        <v>23</v>
      </c>
      <c r="AA26">
        <v>22</v>
      </c>
      <c r="AB26">
        <v>22</v>
      </c>
      <c r="AC26">
        <v>22</v>
      </c>
      <c r="AD26">
        <v>22</v>
      </c>
      <c r="AE26">
        <v>22</v>
      </c>
    </row>
    <row r="27" spans="1:40" ht="22.35" customHeight="1" x14ac:dyDescent="0.2">
      <c r="A27" s="291"/>
      <c r="B27" s="199"/>
      <c r="C27" s="199" t="s">
        <v>0</v>
      </c>
      <c r="D27" s="199"/>
      <c r="E27" s="199"/>
      <c r="F27" s="199"/>
      <c r="G27" s="199"/>
      <c r="H27" s="199"/>
      <c r="I27" s="199"/>
      <c r="J27" s="199"/>
      <c r="K27" s="199"/>
      <c r="L27" s="199"/>
      <c r="M27" s="199"/>
      <c r="N27" s="199"/>
      <c r="O27" s="199"/>
      <c r="P27" s="199"/>
      <c r="Q27" s="199"/>
      <c r="R27" s="199"/>
      <c r="S27" s="199"/>
      <c r="T27" s="199"/>
      <c r="U27" s="199" t="s">
        <v>0</v>
      </c>
      <c r="V27" s="199"/>
      <c r="W27" s="199"/>
      <c r="X27" s="199"/>
      <c r="Y27" s="2832" t="s">
        <v>0</v>
      </c>
      <c r="Z27" s="2832" t="s">
        <v>0</v>
      </c>
      <c r="AA27" s="2832" t="s">
        <v>0</v>
      </c>
      <c r="AB27" s="2817" t="s">
        <v>0</v>
      </c>
      <c r="AC27" s="2817">
        <v>21</v>
      </c>
    </row>
    <row r="28" spans="1:40" ht="22.35" customHeight="1" x14ac:dyDescent="0.2">
      <c r="A28" s="291"/>
      <c r="B28" s="199"/>
      <c r="C28" s="199" t="s">
        <v>0</v>
      </c>
      <c r="D28" s="199"/>
      <c r="E28" s="199"/>
      <c r="F28" s="199"/>
      <c r="G28" s="199"/>
      <c r="H28" s="199"/>
      <c r="I28" s="199"/>
      <c r="J28" s="199"/>
      <c r="K28" s="199"/>
      <c r="L28" s="199"/>
      <c r="M28" s="199"/>
      <c r="N28" s="199"/>
      <c r="O28" s="199"/>
      <c r="P28" s="199"/>
      <c r="Q28" s="199"/>
      <c r="R28" s="199"/>
      <c r="S28" s="199" t="s">
        <v>0</v>
      </c>
      <c r="T28" s="199" t="s">
        <v>0</v>
      </c>
      <c r="U28" s="199" t="s">
        <v>0</v>
      </c>
      <c r="V28" s="199" t="s">
        <v>0</v>
      </c>
      <c r="W28" s="199"/>
      <c r="X28" s="199"/>
      <c r="Y28" s="190"/>
    </row>
    <row r="29" spans="1:40" ht="22.35" customHeight="1" x14ac:dyDescent="0.2">
      <c r="A29" s="291"/>
      <c r="B29" s="199"/>
      <c r="C29" s="199"/>
      <c r="D29" s="199"/>
      <c r="E29" s="199"/>
      <c r="F29" s="199"/>
      <c r="G29" s="199"/>
      <c r="H29" s="199"/>
      <c r="I29" s="199"/>
      <c r="J29" s="199"/>
      <c r="K29" s="199"/>
      <c r="L29" s="199"/>
      <c r="M29" s="199"/>
      <c r="N29" s="199"/>
      <c r="O29" s="199"/>
      <c r="P29" s="199"/>
      <c r="Q29" s="199"/>
      <c r="R29" s="199"/>
      <c r="S29" s="199"/>
      <c r="T29" s="199"/>
      <c r="U29" s="199"/>
      <c r="V29" s="199"/>
      <c r="W29" s="199"/>
      <c r="X29" s="199"/>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2862" t="s">
        <v>62</v>
      </c>
      <c r="B31" s="2863"/>
      <c r="C31" s="2863"/>
      <c r="D31" s="3310" t="s">
        <v>63</v>
      </c>
      <c r="E31" s="2865"/>
      <c r="F31" s="2865"/>
      <c r="G31" s="2865"/>
      <c r="H31" s="2865"/>
      <c r="I31" s="2865"/>
      <c r="J31" s="2865"/>
      <c r="K31" s="2865"/>
      <c r="L31" s="2865"/>
      <c r="M31" s="2866" t="s">
        <v>65</v>
      </c>
      <c r="N31" s="2865"/>
      <c r="O31" s="2865"/>
      <c r="P31" s="2865"/>
      <c r="Q31" s="2865"/>
      <c r="R31" s="2865"/>
      <c r="S31" s="2867"/>
      <c r="T31" s="4948" t="s">
        <v>66</v>
      </c>
      <c r="U31" s="4949"/>
      <c r="V31" s="4949"/>
      <c r="W31" s="4949"/>
      <c r="X31" s="4949"/>
      <c r="Y31" s="4949"/>
      <c r="Z31" s="4950"/>
      <c r="AA31" s="3311" t="s">
        <v>67</v>
      </c>
      <c r="AB31" s="3312"/>
      <c r="AC31" s="3312"/>
      <c r="AD31" s="3312"/>
      <c r="AE31" s="3312"/>
      <c r="AF31" s="3312"/>
      <c r="AG31" s="3313"/>
      <c r="AK31" s="1"/>
    </row>
    <row r="32" spans="1:40" ht="22.35" customHeight="1" x14ac:dyDescent="0.2">
      <c r="A32" s="2871" t="s">
        <v>68</v>
      </c>
      <c r="B32" s="3237"/>
      <c r="C32" s="3237"/>
      <c r="D32" s="2872" t="s">
        <v>69</v>
      </c>
      <c r="E32" s="2873"/>
      <c r="F32" s="3224"/>
      <c r="G32" s="3224"/>
      <c r="H32" s="3224"/>
      <c r="I32" s="3224"/>
      <c r="J32" s="3224"/>
      <c r="K32" s="3224"/>
      <c r="L32" s="3232"/>
      <c r="M32" s="2874" t="s">
        <v>70</v>
      </c>
      <c r="N32" s="3237"/>
      <c r="O32" s="2875"/>
      <c r="P32" s="3237"/>
      <c r="Q32" s="3237"/>
      <c r="R32" s="3237"/>
      <c r="S32" s="2876"/>
      <c r="T32" s="2872" t="s">
        <v>71</v>
      </c>
      <c r="U32" s="3224"/>
      <c r="V32" s="2873"/>
      <c r="W32" s="3224"/>
      <c r="X32" s="3224"/>
      <c r="Y32" s="3224"/>
      <c r="Z32" s="3232"/>
      <c r="AA32" s="159" t="s">
        <v>72</v>
      </c>
      <c r="AD32" s="100"/>
      <c r="AG32" s="103"/>
      <c r="AK32" s="1"/>
    </row>
    <row r="33" spans="1:38" ht="22.35" customHeight="1" x14ac:dyDescent="0.2">
      <c r="A33" s="2877" t="s">
        <v>73</v>
      </c>
      <c r="B33" s="3224"/>
      <c r="C33" s="3224"/>
      <c r="D33" s="2878"/>
      <c r="E33" s="3224"/>
      <c r="F33" s="3224"/>
      <c r="G33" s="3232"/>
      <c r="H33" s="3239" t="s">
        <v>74</v>
      </c>
      <c r="I33" s="3224"/>
      <c r="J33" s="3224"/>
      <c r="K33" s="3224"/>
      <c r="L33" s="3224"/>
      <c r="M33" s="2879"/>
      <c r="N33" s="3224"/>
      <c r="O33" s="3224"/>
      <c r="P33" s="3224"/>
      <c r="Q33" s="3224"/>
      <c r="R33" s="3224"/>
      <c r="S33" s="3224"/>
      <c r="T33" s="2878"/>
      <c r="U33" s="158" t="s">
        <v>75</v>
      </c>
      <c r="AA33" s="2875"/>
      <c r="AB33" s="3237"/>
      <c r="AC33" s="3237"/>
      <c r="AD33" s="3237"/>
      <c r="AE33" s="3237"/>
      <c r="AF33" s="3237"/>
      <c r="AG33" s="2880"/>
      <c r="AK33" s="64"/>
    </row>
    <row r="34" spans="1:38" ht="22.35" customHeight="1" thickBot="1" x14ac:dyDescent="0.25">
      <c r="A34" s="631" t="s">
        <v>76</v>
      </c>
      <c r="B34" s="2881"/>
      <c r="C34" s="2881"/>
      <c r="D34" s="2882"/>
      <c r="E34" s="2881"/>
      <c r="F34" s="2881"/>
      <c r="G34" s="2883"/>
      <c r="H34" s="2884" t="s">
        <v>77</v>
      </c>
      <c r="I34" s="2883"/>
      <c r="J34" s="2881"/>
      <c r="K34" s="2881"/>
      <c r="L34" s="2881"/>
      <c r="M34" s="2885"/>
      <c r="N34" s="2881"/>
      <c r="O34" s="2881"/>
      <c r="P34" s="2881"/>
      <c r="Q34" s="2886"/>
      <c r="R34" s="2886"/>
      <c r="S34" s="2886"/>
      <c r="T34" s="2882"/>
      <c r="U34" s="2887" t="s">
        <v>78</v>
      </c>
      <c r="V34" s="2881"/>
      <c r="W34" s="2881"/>
      <c r="X34" s="2881"/>
      <c r="Y34" s="2881"/>
      <c r="Z34" s="2881"/>
      <c r="AA34" s="2881"/>
      <c r="AB34" s="2881"/>
      <c r="AC34" s="2881"/>
      <c r="AD34" s="2881"/>
      <c r="AE34" s="2881"/>
      <c r="AF34" s="2881"/>
      <c r="AG34" s="2888"/>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2889" t="s">
        <v>28</v>
      </c>
      <c r="B36" s="2890" t="s">
        <v>29</v>
      </c>
      <c r="C36" s="3242">
        <v>1</v>
      </c>
      <c r="D36" s="3243">
        <v>2</v>
      </c>
      <c r="E36" s="3243">
        <v>3</v>
      </c>
      <c r="F36" s="3243">
        <v>4</v>
      </c>
      <c r="G36" s="3243">
        <v>5</v>
      </c>
      <c r="H36" s="3243">
        <v>6</v>
      </c>
      <c r="I36" s="3242">
        <v>7</v>
      </c>
      <c r="J36" s="3242">
        <v>8</v>
      </c>
      <c r="K36" s="3243">
        <v>9</v>
      </c>
      <c r="L36" s="3243">
        <v>10</v>
      </c>
      <c r="M36" s="3243">
        <v>11</v>
      </c>
      <c r="N36" s="3243">
        <v>12</v>
      </c>
      <c r="O36" s="3243">
        <v>13</v>
      </c>
      <c r="P36" s="3242">
        <v>14</v>
      </c>
      <c r="Q36" s="3242">
        <v>15</v>
      </c>
      <c r="R36" s="3243">
        <v>16</v>
      </c>
      <c r="S36" s="3243">
        <v>17</v>
      </c>
      <c r="T36" s="3243">
        <v>18</v>
      </c>
      <c r="U36" s="3243">
        <v>19</v>
      </c>
      <c r="V36" s="3243">
        <v>20</v>
      </c>
      <c r="W36" s="3242">
        <v>21</v>
      </c>
      <c r="X36" s="3242">
        <v>22</v>
      </c>
      <c r="Y36" s="3243">
        <v>23</v>
      </c>
      <c r="Z36" s="3243">
        <v>24</v>
      </c>
      <c r="AA36" s="3243">
        <v>25</v>
      </c>
      <c r="AB36" s="3243">
        <v>26</v>
      </c>
      <c r="AC36" s="3243">
        <v>27</v>
      </c>
      <c r="AD36" s="3242">
        <v>28</v>
      </c>
      <c r="AE36" s="3242">
        <v>29</v>
      </c>
      <c r="AF36" s="3243">
        <v>30</v>
      </c>
      <c r="AG36" s="3244">
        <v>31</v>
      </c>
      <c r="AH36" s="173"/>
      <c r="AI36" s="174"/>
      <c r="AL36" t="s">
        <v>0</v>
      </c>
    </row>
    <row r="37" spans="1:38" ht="22.35" customHeight="1" x14ac:dyDescent="0.2">
      <c r="A37" s="3314">
        <v>1</v>
      </c>
      <c r="B37" s="3315" t="s">
        <v>79</v>
      </c>
      <c r="C37" s="3316"/>
      <c r="D37" s="3317">
        <v>10</v>
      </c>
      <c r="E37" s="3316">
        <v>10</v>
      </c>
      <c r="F37" s="3316">
        <v>10</v>
      </c>
      <c r="G37" s="3316">
        <v>10</v>
      </c>
      <c r="H37" s="3316">
        <v>10</v>
      </c>
      <c r="I37" s="3316" t="s">
        <v>81</v>
      </c>
      <c r="J37" s="3317" t="s">
        <v>81</v>
      </c>
      <c r="K37" s="3316" t="s">
        <v>36</v>
      </c>
      <c r="L37" s="3316" t="s">
        <v>36</v>
      </c>
      <c r="M37" s="3316" t="s">
        <v>36</v>
      </c>
      <c r="N37" s="3316" t="s">
        <v>36</v>
      </c>
      <c r="O37" s="3317" t="s">
        <v>36</v>
      </c>
      <c r="P37" s="3316" t="s">
        <v>57</v>
      </c>
      <c r="Q37" s="3318" t="s">
        <v>57</v>
      </c>
      <c r="R37" s="3317">
        <v>7</v>
      </c>
      <c r="S37" s="3316">
        <v>7</v>
      </c>
      <c r="T37" s="3316">
        <v>7</v>
      </c>
      <c r="U37" s="3316">
        <v>7</v>
      </c>
      <c r="V37" s="3316">
        <v>7</v>
      </c>
      <c r="W37" s="3316"/>
      <c r="X37" s="3319">
        <v>26</v>
      </c>
      <c r="Y37" s="3318">
        <v>4</v>
      </c>
      <c r="Z37" s="3316">
        <v>4</v>
      </c>
      <c r="AA37" s="3316">
        <v>4</v>
      </c>
      <c r="AB37" s="3318">
        <v>4</v>
      </c>
      <c r="AC37" s="3318">
        <v>4</v>
      </c>
      <c r="AD37" s="3318"/>
      <c r="AE37" s="3316"/>
      <c r="AF37" s="3316">
        <v>3</v>
      </c>
      <c r="AG37" s="3316">
        <v>3</v>
      </c>
      <c r="AH37" s="178"/>
      <c r="AI37" s="179"/>
    </row>
    <row r="38" spans="1:38" ht="22.35" customHeight="1" x14ac:dyDescent="0.2">
      <c r="A38" s="2907">
        <v>6</v>
      </c>
      <c r="B38" s="3247" t="s">
        <v>84</v>
      </c>
      <c r="C38" s="3258"/>
      <c r="D38" s="3258">
        <v>11</v>
      </c>
      <c r="E38" s="3258">
        <v>11</v>
      </c>
      <c r="F38" s="3258">
        <v>11</v>
      </c>
      <c r="G38" s="3258">
        <v>11</v>
      </c>
      <c r="H38" s="3266">
        <v>11</v>
      </c>
      <c r="I38" s="3258" t="s">
        <v>94</v>
      </c>
      <c r="J38" s="3258" t="s">
        <v>94</v>
      </c>
      <c r="K38" s="3258" t="s">
        <v>36</v>
      </c>
      <c r="L38" s="3258" t="s">
        <v>36</v>
      </c>
      <c r="M38" s="3258" t="s">
        <v>36</v>
      </c>
      <c r="N38" s="3258" t="s">
        <v>36</v>
      </c>
      <c r="O38" s="3258" t="s">
        <v>36</v>
      </c>
      <c r="P38" s="3258" t="s">
        <v>83</v>
      </c>
      <c r="Q38" s="3258" t="s">
        <v>83</v>
      </c>
      <c r="R38" s="3258">
        <v>8</v>
      </c>
      <c r="S38" s="3258">
        <v>8</v>
      </c>
      <c r="T38" s="3258">
        <v>8</v>
      </c>
      <c r="U38" s="3258">
        <v>8</v>
      </c>
      <c r="V38" s="3258">
        <v>8</v>
      </c>
      <c r="W38" s="3258"/>
      <c r="X38" s="3258"/>
      <c r="Y38" s="3258" t="s">
        <v>36</v>
      </c>
      <c r="Z38" s="3258" t="s">
        <v>36</v>
      </c>
      <c r="AA38" s="3258" t="s">
        <v>36</v>
      </c>
      <c r="AB38" s="3258" t="s">
        <v>36</v>
      </c>
      <c r="AC38" s="3258" t="s">
        <v>36</v>
      </c>
      <c r="AD38" s="3258"/>
      <c r="AE38" s="3258"/>
      <c r="AF38" s="3258">
        <v>1</v>
      </c>
      <c r="AG38" s="2911">
        <v>1</v>
      </c>
      <c r="AH38" s="178"/>
      <c r="AI38" s="179"/>
    </row>
    <row r="39" spans="1:38" ht="22.35" customHeight="1" thickBot="1" x14ac:dyDescent="0.25">
      <c r="A39" s="673">
        <v>11</v>
      </c>
      <c r="B39" s="2912" t="s">
        <v>464</v>
      </c>
      <c r="C39" s="3243"/>
      <c r="D39" s="2913" t="s">
        <v>32</v>
      </c>
      <c r="E39" s="2913" t="s">
        <v>32</v>
      </c>
      <c r="F39" s="2914" t="s">
        <v>32</v>
      </c>
      <c r="G39" s="2913" t="s">
        <v>32</v>
      </c>
      <c r="H39" s="2913" t="s">
        <v>32</v>
      </c>
      <c r="I39" s="2915" t="s">
        <v>0</v>
      </c>
      <c r="J39" s="2913" t="s">
        <v>0</v>
      </c>
      <c r="K39" s="2913" t="s">
        <v>32</v>
      </c>
      <c r="L39" s="2913" t="s">
        <v>32</v>
      </c>
      <c r="M39" s="2914" t="s">
        <v>32</v>
      </c>
      <c r="N39" s="2913" t="s">
        <v>32</v>
      </c>
      <c r="O39" s="2913" t="s">
        <v>32</v>
      </c>
      <c r="P39" s="2913" t="s">
        <v>0</v>
      </c>
      <c r="Q39" s="3243" t="s">
        <v>0</v>
      </c>
      <c r="R39" s="2913" t="s">
        <v>32</v>
      </c>
      <c r="S39" s="2913" t="s">
        <v>32</v>
      </c>
      <c r="T39" s="2914" t="s">
        <v>32</v>
      </c>
      <c r="U39" s="2913" t="s">
        <v>32</v>
      </c>
      <c r="V39" s="2913" t="s">
        <v>32</v>
      </c>
      <c r="W39" s="2916"/>
      <c r="X39" s="2916"/>
      <c r="Y39" s="2913" t="s">
        <v>32</v>
      </c>
      <c r="Z39" s="2913" t="s">
        <v>32</v>
      </c>
      <c r="AA39" s="2914" t="s">
        <v>32</v>
      </c>
      <c r="AB39" s="2913" t="s">
        <v>32</v>
      </c>
      <c r="AC39" s="2913" t="s">
        <v>32</v>
      </c>
      <c r="AD39" s="2928"/>
      <c r="AE39" s="2913"/>
      <c r="AF39" s="2913" t="s">
        <v>32</v>
      </c>
      <c r="AG39" s="2913" t="s">
        <v>32</v>
      </c>
      <c r="AH39" s="178"/>
      <c r="AI39" s="179"/>
    </row>
    <row r="40" spans="1:38" ht="22.35" customHeight="1" x14ac:dyDescent="0.2">
      <c r="A40" s="3314">
        <v>2</v>
      </c>
      <c r="B40" s="172" t="s">
        <v>88</v>
      </c>
      <c r="C40" s="3320" t="s">
        <v>81</v>
      </c>
      <c r="D40" s="3320" t="s">
        <v>36</v>
      </c>
      <c r="E40" s="3320" t="s">
        <v>36</v>
      </c>
      <c r="F40" s="3320" t="s">
        <v>36</v>
      </c>
      <c r="G40" s="3320" t="s">
        <v>36</v>
      </c>
      <c r="H40" s="3316" t="s">
        <v>36</v>
      </c>
      <c r="I40" s="3316" t="s">
        <v>57</v>
      </c>
      <c r="J40" s="3317" t="s">
        <v>57</v>
      </c>
      <c r="K40" s="3317">
        <v>7</v>
      </c>
      <c r="L40" s="3316">
        <v>7</v>
      </c>
      <c r="M40" s="3316">
        <v>7</v>
      </c>
      <c r="N40" s="3316">
        <v>7</v>
      </c>
      <c r="O40" s="3318">
        <v>7</v>
      </c>
      <c r="P40" s="3316"/>
      <c r="Q40" s="3318"/>
      <c r="R40" s="3321">
        <v>4</v>
      </c>
      <c r="S40" s="3321">
        <v>4</v>
      </c>
      <c r="T40" s="3321">
        <v>4</v>
      </c>
      <c r="U40" s="3321">
        <v>4</v>
      </c>
      <c r="V40" s="3321">
        <v>4</v>
      </c>
      <c r="W40" s="3321"/>
      <c r="X40" s="3321"/>
      <c r="Y40" s="3321">
        <v>3</v>
      </c>
      <c r="Z40" s="3321">
        <v>3</v>
      </c>
      <c r="AA40" s="3321">
        <v>3</v>
      </c>
      <c r="AB40" s="3321">
        <v>3</v>
      </c>
      <c r="AC40" s="3321">
        <v>3</v>
      </c>
      <c r="AD40" s="3321"/>
      <c r="AE40" s="3321"/>
      <c r="AF40" s="3316">
        <v>11</v>
      </c>
      <c r="AG40" s="3322">
        <v>11</v>
      </c>
      <c r="AH40" s="178"/>
      <c r="AI40" s="179"/>
    </row>
    <row r="41" spans="1:38" ht="22.35" customHeight="1" x14ac:dyDescent="0.2">
      <c r="A41" s="2907">
        <v>7</v>
      </c>
      <c r="B41" s="3265" t="s">
        <v>91</v>
      </c>
      <c r="C41" s="3261" t="s">
        <v>94</v>
      </c>
      <c r="D41" s="3261" t="s">
        <v>36</v>
      </c>
      <c r="E41" s="3261" t="s">
        <v>36</v>
      </c>
      <c r="F41" s="3261" t="s">
        <v>36</v>
      </c>
      <c r="G41" s="2918" t="s">
        <v>36</v>
      </c>
      <c r="H41" s="2918" t="s">
        <v>36</v>
      </c>
      <c r="I41" s="3277" t="s">
        <v>83</v>
      </c>
      <c r="J41" s="3276" t="s">
        <v>83</v>
      </c>
      <c r="K41" s="3276">
        <v>8</v>
      </c>
      <c r="L41" s="3276">
        <v>8</v>
      </c>
      <c r="M41" s="3276">
        <v>8</v>
      </c>
      <c r="N41" s="3276">
        <v>8</v>
      </c>
      <c r="O41" s="3276">
        <v>8</v>
      </c>
      <c r="P41" s="3261"/>
      <c r="Q41" s="3261"/>
      <c r="R41" s="3261" t="s">
        <v>36</v>
      </c>
      <c r="S41" s="3261" t="s">
        <v>36</v>
      </c>
      <c r="T41" s="3261" t="s">
        <v>36</v>
      </c>
      <c r="U41" s="3323" t="s">
        <v>36</v>
      </c>
      <c r="V41" s="3323" t="s">
        <v>36</v>
      </c>
      <c r="W41" s="3323"/>
      <c r="X41" s="2918"/>
      <c r="Y41" s="3324">
        <v>1</v>
      </c>
      <c r="Z41" s="2918">
        <v>1</v>
      </c>
      <c r="AA41" s="2918">
        <v>1</v>
      </c>
      <c r="AB41" s="2918">
        <v>1</v>
      </c>
      <c r="AC41" s="2918">
        <v>1</v>
      </c>
      <c r="AD41" s="2918"/>
      <c r="AE41" s="2918"/>
      <c r="AF41" s="2918">
        <v>9</v>
      </c>
      <c r="AG41" s="2922">
        <v>9</v>
      </c>
      <c r="AH41" s="178"/>
      <c r="AI41" s="179"/>
    </row>
    <row r="42" spans="1:38" ht="22.35" customHeight="1" thickBot="1" x14ac:dyDescent="0.25">
      <c r="A42" s="673">
        <v>12</v>
      </c>
      <c r="B42" s="3325" t="s">
        <v>93</v>
      </c>
      <c r="C42" s="3326" t="s">
        <v>81</v>
      </c>
      <c r="D42" s="2915" t="s">
        <v>36</v>
      </c>
      <c r="E42" s="2915" t="s">
        <v>36</v>
      </c>
      <c r="F42" s="2915" t="s">
        <v>36</v>
      </c>
      <c r="G42" s="2915" t="s">
        <v>36</v>
      </c>
      <c r="H42" s="2915" t="s">
        <v>36</v>
      </c>
      <c r="I42" s="2913" t="s">
        <v>82</v>
      </c>
      <c r="J42" s="2913" t="s">
        <v>83</v>
      </c>
      <c r="K42" s="3243">
        <v>6</v>
      </c>
      <c r="L42" s="2913">
        <v>6</v>
      </c>
      <c r="M42" s="2913">
        <v>6</v>
      </c>
      <c r="N42" s="2913">
        <v>6</v>
      </c>
      <c r="O42" s="2913">
        <v>6</v>
      </c>
      <c r="P42" s="2913"/>
      <c r="Q42" s="2913"/>
      <c r="R42" s="2913" t="s">
        <v>36</v>
      </c>
      <c r="S42" s="2913" t="s">
        <v>36</v>
      </c>
      <c r="T42" s="2913" t="s">
        <v>36</v>
      </c>
      <c r="U42" s="2928" t="s">
        <v>36</v>
      </c>
      <c r="V42" s="2928" t="s">
        <v>36</v>
      </c>
      <c r="W42" s="2928"/>
      <c r="X42" s="2913"/>
      <c r="Y42" s="2913">
        <v>5</v>
      </c>
      <c r="Z42" s="2913">
        <v>5</v>
      </c>
      <c r="AA42" s="2913">
        <v>5</v>
      </c>
      <c r="AB42" s="2913">
        <v>5</v>
      </c>
      <c r="AC42" s="2939">
        <v>5</v>
      </c>
      <c r="AD42" s="3243"/>
      <c r="AE42" s="3243"/>
      <c r="AF42" s="3243">
        <v>10</v>
      </c>
      <c r="AG42" s="3244">
        <v>10</v>
      </c>
      <c r="AH42" s="178"/>
      <c r="AI42" s="179"/>
    </row>
    <row r="43" spans="1:38" ht="22.35" customHeight="1" x14ac:dyDescent="0.2">
      <c r="A43" s="3314">
        <v>3</v>
      </c>
      <c r="B43" s="3327" t="s">
        <v>96</v>
      </c>
      <c r="C43" s="3328" t="s">
        <v>57</v>
      </c>
      <c r="D43" s="3329">
        <v>7</v>
      </c>
      <c r="E43" s="3330">
        <v>7</v>
      </c>
      <c r="F43" s="3330">
        <v>7</v>
      </c>
      <c r="G43" s="3330">
        <v>7</v>
      </c>
      <c r="H43" s="3330">
        <v>7</v>
      </c>
      <c r="I43" s="3330"/>
      <c r="J43" s="3329"/>
      <c r="K43" s="3318" t="s">
        <v>32</v>
      </c>
      <c r="L43" s="3329">
        <v>4</v>
      </c>
      <c r="M43" s="3318" t="s">
        <v>32</v>
      </c>
      <c r="N43" s="3329">
        <v>4</v>
      </c>
      <c r="O43" s="3318" t="s">
        <v>32</v>
      </c>
      <c r="P43" s="3329"/>
      <c r="Q43" s="3329"/>
      <c r="R43" s="3316" t="s">
        <v>32</v>
      </c>
      <c r="S43" s="3330">
        <v>3</v>
      </c>
      <c r="T43" s="3316" t="s">
        <v>32</v>
      </c>
      <c r="U43" s="3330" t="s">
        <v>353</v>
      </c>
      <c r="V43" s="3316" t="s">
        <v>235</v>
      </c>
      <c r="W43" s="3329"/>
      <c r="X43" s="3328"/>
      <c r="Y43" s="3316" t="s">
        <v>32</v>
      </c>
      <c r="Z43" s="3316" t="s">
        <v>32</v>
      </c>
      <c r="AA43" s="3330">
        <v>11</v>
      </c>
      <c r="AB43" s="3321" t="s">
        <v>32</v>
      </c>
      <c r="AC43" s="3316" t="s">
        <v>32</v>
      </c>
      <c r="AD43" s="3330" t="s">
        <v>94</v>
      </c>
      <c r="AE43" s="3330" t="s">
        <v>94</v>
      </c>
      <c r="AF43" s="3331" t="s">
        <v>32</v>
      </c>
      <c r="AG43" s="3332" t="s">
        <v>32</v>
      </c>
      <c r="AH43" s="178"/>
      <c r="AI43" s="179"/>
    </row>
    <row r="44" spans="1:38" ht="22.35" customHeight="1" x14ac:dyDescent="0.2">
      <c r="A44" s="2907">
        <v>8</v>
      </c>
      <c r="B44" s="3265" t="s">
        <v>97</v>
      </c>
      <c r="C44" s="3262" t="s">
        <v>83</v>
      </c>
      <c r="D44" s="3262">
        <v>8</v>
      </c>
      <c r="E44" s="3262">
        <v>8</v>
      </c>
      <c r="F44" s="3262">
        <v>8</v>
      </c>
      <c r="G44" s="3261">
        <v>8</v>
      </c>
      <c r="H44" s="3261">
        <v>8</v>
      </c>
      <c r="I44" s="2918"/>
      <c r="J44" s="3277"/>
      <c r="K44" s="3258" t="s">
        <v>36</v>
      </c>
      <c r="L44" s="3258" t="s">
        <v>36</v>
      </c>
      <c r="M44" s="3258" t="s">
        <v>36</v>
      </c>
      <c r="N44" s="3261" t="s">
        <v>36</v>
      </c>
      <c r="O44" s="3276" t="s">
        <v>36</v>
      </c>
      <c r="P44" s="3276"/>
      <c r="Q44" s="3276"/>
      <c r="R44" s="3276">
        <v>1</v>
      </c>
      <c r="S44" s="3276">
        <v>1</v>
      </c>
      <c r="T44" s="3276">
        <v>1</v>
      </c>
      <c r="U44" s="3276">
        <v>1</v>
      </c>
      <c r="V44" s="2918">
        <v>1</v>
      </c>
      <c r="W44" s="2918"/>
      <c r="X44" s="3277"/>
      <c r="Y44" s="2918">
        <v>9</v>
      </c>
      <c r="Z44" s="2918">
        <v>9</v>
      </c>
      <c r="AA44" s="2918">
        <v>9</v>
      </c>
      <c r="AB44" s="2918">
        <v>9</v>
      </c>
      <c r="AC44" s="2918">
        <v>9</v>
      </c>
      <c r="AD44" s="3261" t="s">
        <v>80</v>
      </c>
      <c r="AE44" s="3261" t="s">
        <v>81</v>
      </c>
      <c r="AF44" s="3262" t="s">
        <v>36</v>
      </c>
      <c r="AG44" s="2922" t="s">
        <v>36</v>
      </c>
      <c r="AH44" s="178"/>
      <c r="AI44" s="179"/>
    </row>
    <row r="45" spans="1:38" ht="22.35" customHeight="1" thickBot="1" x14ac:dyDescent="0.25">
      <c r="A45" s="673">
        <v>13</v>
      </c>
      <c r="B45" s="2912" t="s">
        <v>98</v>
      </c>
      <c r="C45" s="2923" t="s">
        <v>83</v>
      </c>
      <c r="D45" s="3243">
        <v>6</v>
      </c>
      <c r="E45" s="2977">
        <v>6</v>
      </c>
      <c r="F45" s="2977">
        <v>6</v>
      </c>
      <c r="G45" s="2977">
        <v>6</v>
      </c>
      <c r="H45" s="2977">
        <v>6</v>
      </c>
      <c r="I45" s="3333"/>
      <c r="J45" s="3334"/>
      <c r="K45" s="3333"/>
      <c r="L45" s="3335" t="s">
        <v>36</v>
      </c>
      <c r="M45" s="3333" t="s">
        <v>36</v>
      </c>
      <c r="N45" s="3335" t="s">
        <v>36</v>
      </c>
      <c r="O45" s="3335" t="s">
        <v>36</v>
      </c>
      <c r="P45" s="3335"/>
      <c r="Q45" s="3333"/>
      <c r="R45" s="3336">
        <v>5</v>
      </c>
      <c r="S45" s="3336">
        <v>5</v>
      </c>
      <c r="T45" s="3336">
        <v>5</v>
      </c>
      <c r="U45" s="3336">
        <v>5</v>
      </c>
      <c r="V45" s="3336">
        <v>5</v>
      </c>
      <c r="W45" s="3336"/>
      <c r="X45" s="3336"/>
      <c r="Y45" s="3334">
        <v>10</v>
      </c>
      <c r="Z45" s="3333">
        <v>10</v>
      </c>
      <c r="AA45" s="3333">
        <v>10</v>
      </c>
      <c r="AB45" s="3333">
        <v>10</v>
      </c>
      <c r="AC45" s="3333">
        <v>10</v>
      </c>
      <c r="AD45" s="3333" t="s">
        <v>81</v>
      </c>
      <c r="AE45" s="3334" t="s">
        <v>81</v>
      </c>
      <c r="AF45" s="3333" t="s">
        <v>36</v>
      </c>
      <c r="AG45" s="3337" t="s">
        <v>36</v>
      </c>
      <c r="AH45" s="178"/>
      <c r="AI45" s="179"/>
    </row>
    <row r="46" spans="1:38" ht="22.35" customHeight="1" x14ac:dyDescent="0.2">
      <c r="A46" s="3314">
        <v>4</v>
      </c>
      <c r="B46" s="3315" t="s">
        <v>465</v>
      </c>
      <c r="C46" s="3316"/>
      <c r="D46" s="3338">
        <v>4</v>
      </c>
      <c r="E46" s="3338">
        <v>4</v>
      </c>
      <c r="F46" s="3338">
        <v>4</v>
      </c>
      <c r="G46" s="3338">
        <v>4</v>
      </c>
      <c r="H46" s="3338">
        <v>4</v>
      </c>
      <c r="I46" s="3321"/>
      <c r="J46" s="3321"/>
      <c r="K46" s="3321">
        <v>3</v>
      </c>
      <c r="L46" s="3321">
        <v>3</v>
      </c>
      <c r="M46" s="3321">
        <v>3</v>
      </c>
      <c r="N46" s="3321">
        <v>3</v>
      </c>
      <c r="O46" s="3321">
        <v>3</v>
      </c>
      <c r="P46" s="3321"/>
      <c r="Q46" s="3321"/>
      <c r="R46" s="3317">
        <v>11</v>
      </c>
      <c r="S46" s="3317">
        <v>11</v>
      </c>
      <c r="T46" s="3316">
        <v>11</v>
      </c>
      <c r="U46" s="3316">
        <v>11</v>
      </c>
      <c r="V46" s="3339">
        <v>11</v>
      </c>
      <c r="W46" s="3316" t="s">
        <v>94</v>
      </c>
      <c r="X46" s="3316" t="s">
        <v>94</v>
      </c>
      <c r="Y46" s="3319" t="s">
        <v>36</v>
      </c>
      <c r="Z46" s="3319" t="s">
        <v>36</v>
      </c>
      <c r="AA46" s="3319" t="s">
        <v>36</v>
      </c>
      <c r="AB46" s="3319" t="s">
        <v>36</v>
      </c>
      <c r="AC46" s="3316" t="s">
        <v>36</v>
      </c>
      <c r="AD46" s="3316" t="s">
        <v>83</v>
      </c>
      <c r="AE46" s="3318" t="s">
        <v>83</v>
      </c>
      <c r="AF46" s="3316">
        <v>8</v>
      </c>
      <c r="AG46" s="3322">
        <v>8</v>
      </c>
      <c r="AH46" s="178"/>
      <c r="AI46" s="179"/>
    </row>
    <row r="47" spans="1:38" ht="22.35" customHeight="1" x14ac:dyDescent="0.2">
      <c r="A47" s="2907">
        <v>9</v>
      </c>
      <c r="B47" s="3265" t="s">
        <v>100</v>
      </c>
      <c r="C47" s="2918"/>
      <c r="D47" s="2918" t="s">
        <v>36</v>
      </c>
      <c r="E47" s="2918" t="s">
        <v>36</v>
      </c>
      <c r="F47" s="2918" t="s">
        <v>36</v>
      </c>
      <c r="G47" s="2918" t="s">
        <v>36</v>
      </c>
      <c r="H47" s="2918" t="s">
        <v>36</v>
      </c>
      <c r="I47" s="2918"/>
      <c r="J47" s="2918"/>
      <c r="K47" s="2918">
        <v>1</v>
      </c>
      <c r="L47" s="2918">
        <v>1</v>
      </c>
      <c r="M47" s="2918">
        <v>1</v>
      </c>
      <c r="N47" s="2918">
        <v>1</v>
      </c>
      <c r="O47" s="2918">
        <v>1</v>
      </c>
      <c r="P47" s="2918"/>
      <c r="Q47" s="3277"/>
      <c r="R47" s="2918">
        <v>9</v>
      </c>
      <c r="S47" s="2918">
        <v>9</v>
      </c>
      <c r="T47" s="2918">
        <v>9</v>
      </c>
      <c r="U47" s="2918">
        <v>9</v>
      </c>
      <c r="V47" s="2918">
        <v>9</v>
      </c>
      <c r="W47" s="2918" t="s">
        <v>80</v>
      </c>
      <c r="X47" s="2918" t="s">
        <v>81</v>
      </c>
      <c r="Y47" s="2918" t="s">
        <v>36</v>
      </c>
      <c r="Z47" s="2918" t="s">
        <v>36</v>
      </c>
      <c r="AA47" s="2918" t="s">
        <v>36</v>
      </c>
      <c r="AB47" s="2918" t="s">
        <v>36</v>
      </c>
      <c r="AC47" s="2918" t="s">
        <v>36</v>
      </c>
      <c r="AD47" s="2918" t="s">
        <v>82</v>
      </c>
      <c r="AE47" s="2918" t="s">
        <v>83</v>
      </c>
      <c r="AF47" s="2918">
        <v>6</v>
      </c>
      <c r="AG47" s="2922">
        <v>6</v>
      </c>
      <c r="AH47" s="178"/>
      <c r="AI47" s="179"/>
    </row>
    <row r="48" spans="1:38" ht="22.35" customHeight="1" thickBot="1" x14ac:dyDescent="0.25">
      <c r="A48" s="673">
        <v>14</v>
      </c>
      <c r="B48" s="2912" t="s">
        <v>102</v>
      </c>
      <c r="C48" s="3243"/>
      <c r="D48" s="2913" t="s">
        <v>36</v>
      </c>
      <c r="E48" s="2913" t="s">
        <v>36</v>
      </c>
      <c r="F48" s="2913" t="s">
        <v>36</v>
      </c>
      <c r="G48" s="2928" t="s">
        <v>36</v>
      </c>
      <c r="H48" s="2928" t="s">
        <v>36</v>
      </c>
      <c r="I48" s="2928"/>
      <c r="J48" s="2913"/>
      <c r="K48" s="2913">
        <v>5</v>
      </c>
      <c r="L48" s="2913">
        <v>5</v>
      </c>
      <c r="M48" s="2913">
        <v>5</v>
      </c>
      <c r="N48" s="2913">
        <v>5</v>
      </c>
      <c r="O48" s="3243">
        <v>5</v>
      </c>
      <c r="P48" s="2913"/>
      <c r="Q48" s="2913"/>
      <c r="R48" s="3243">
        <v>10</v>
      </c>
      <c r="S48" s="2913">
        <v>10</v>
      </c>
      <c r="T48" s="2913">
        <v>10</v>
      </c>
      <c r="U48" s="2913">
        <v>10</v>
      </c>
      <c r="V48" s="2913">
        <v>10</v>
      </c>
      <c r="W48" s="2913" t="s">
        <v>81</v>
      </c>
      <c r="X48" s="3243" t="s">
        <v>81</v>
      </c>
      <c r="Y48" s="2913" t="s">
        <v>36</v>
      </c>
      <c r="Z48" s="2913" t="s">
        <v>36</v>
      </c>
      <c r="AA48" s="2913" t="s">
        <v>36</v>
      </c>
      <c r="AB48" s="2913" t="s">
        <v>36</v>
      </c>
      <c r="AC48" s="3243" t="s">
        <v>36</v>
      </c>
      <c r="AD48" s="2913" t="s">
        <v>57</v>
      </c>
      <c r="AE48" s="2913" t="s">
        <v>57</v>
      </c>
      <c r="AF48" s="3243">
        <v>7</v>
      </c>
      <c r="AG48" s="3244">
        <v>7</v>
      </c>
      <c r="AH48" s="178"/>
      <c r="AI48" s="179"/>
    </row>
    <row r="49" spans="1:40" ht="22.35" customHeight="1" x14ac:dyDescent="0.2">
      <c r="A49" s="3314">
        <v>5</v>
      </c>
      <c r="B49" s="3265" t="s">
        <v>103</v>
      </c>
      <c r="C49" s="3318"/>
      <c r="D49" s="3340">
        <v>3</v>
      </c>
      <c r="E49" s="3340">
        <v>3</v>
      </c>
      <c r="F49" s="3341">
        <v>3</v>
      </c>
      <c r="G49" s="3341">
        <v>3</v>
      </c>
      <c r="H49" s="3341">
        <v>3</v>
      </c>
      <c r="I49" s="3318"/>
      <c r="J49" s="3318"/>
      <c r="K49" s="3316">
        <v>11</v>
      </c>
      <c r="L49" s="3316">
        <v>11</v>
      </c>
      <c r="M49" s="3316">
        <v>11</v>
      </c>
      <c r="N49" s="3342">
        <v>11</v>
      </c>
      <c r="O49" s="3317">
        <v>11</v>
      </c>
      <c r="P49" s="3316" t="s">
        <v>94</v>
      </c>
      <c r="Q49" s="3316" t="s">
        <v>94</v>
      </c>
      <c r="R49" s="3317" t="s">
        <v>36</v>
      </c>
      <c r="S49" s="3316" t="s">
        <v>36</v>
      </c>
      <c r="T49" s="3316" t="s">
        <v>36</v>
      </c>
      <c r="U49" s="3318" t="s">
        <v>36</v>
      </c>
      <c r="V49" s="3318" t="s">
        <v>36</v>
      </c>
      <c r="W49" s="3318" t="s">
        <v>83</v>
      </c>
      <c r="X49" s="3318" t="s">
        <v>83</v>
      </c>
      <c r="Y49" s="3342">
        <v>8</v>
      </c>
      <c r="Z49" s="3318">
        <v>8</v>
      </c>
      <c r="AA49" s="3318">
        <v>8</v>
      </c>
      <c r="AB49" s="3318">
        <v>8</v>
      </c>
      <c r="AC49" s="3318">
        <v>8</v>
      </c>
      <c r="AD49" s="3316"/>
      <c r="AE49" s="3316"/>
      <c r="AF49" s="3317" t="s">
        <v>36</v>
      </c>
      <c r="AG49" s="3343" t="s">
        <v>36</v>
      </c>
      <c r="AH49" s="178"/>
      <c r="AI49" s="179"/>
    </row>
    <row r="50" spans="1:40" ht="22.35" customHeight="1" x14ac:dyDescent="0.2">
      <c r="A50" s="2907">
        <v>10</v>
      </c>
      <c r="B50" s="3265" t="s">
        <v>104</v>
      </c>
      <c r="C50" s="2944"/>
      <c r="D50" s="2944">
        <v>1</v>
      </c>
      <c r="E50" s="2944">
        <v>1</v>
      </c>
      <c r="F50" s="3269">
        <v>1</v>
      </c>
      <c r="G50" s="3271">
        <v>1</v>
      </c>
      <c r="H50" s="3271" t="s">
        <v>377</v>
      </c>
      <c r="I50" s="3258"/>
      <c r="J50" s="3258"/>
      <c r="K50" s="3258">
        <v>9</v>
      </c>
      <c r="L50" s="3258">
        <v>9</v>
      </c>
      <c r="M50" s="3258">
        <v>9</v>
      </c>
      <c r="N50" s="3258">
        <v>9</v>
      </c>
      <c r="O50" s="3258">
        <v>9</v>
      </c>
      <c r="P50" s="3258" t="s">
        <v>80</v>
      </c>
      <c r="Q50" s="3258" t="s">
        <v>81</v>
      </c>
      <c r="R50" s="3258" t="s">
        <v>36</v>
      </c>
      <c r="S50" s="3258" t="s">
        <v>36</v>
      </c>
      <c r="T50" s="3258" t="s">
        <v>36</v>
      </c>
      <c r="U50" s="3258" t="s">
        <v>36</v>
      </c>
      <c r="V50" s="3258" t="s">
        <v>36</v>
      </c>
      <c r="W50" s="3261" t="s">
        <v>82</v>
      </c>
      <c r="X50" s="2918" t="s">
        <v>83</v>
      </c>
      <c r="Y50" s="3277">
        <v>6</v>
      </c>
      <c r="Z50" s="2918">
        <v>6</v>
      </c>
      <c r="AA50" s="2918">
        <v>6</v>
      </c>
      <c r="AB50" s="2918">
        <v>6</v>
      </c>
      <c r="AC50" s="2918">
        <v>6</v>
      </c>
      <c r="AD50" s="2918"/>
      <c r="AE50" s="2918"/>
      <c r="AF50" s="2918" t="s">
        <v>36</v>
      </c>
      <c r="AG50" s="2922" t="s">
        <v>36</v>
      </c>
      <c r="AH50" s="178"/>
      <c r="AI50" s="179"/>
    </row>
    <row r="51" spans="1:40" ht="22.35" customHeight="1" thickBot="1" x14ac:dyDescent="0.25">
      <c r="A51" s="673">
        <v>15</v>
      </c>
      <c r="B51" s="2912" t="s">
        <v>105</v>
      </c>
      <c r="C51" s="2913"/>
      <c r="D51" s="2913">
        <v>5</v>
      </c>
      <c r="E51" s="2913">
        <v>5</v>
      </c>
      <c r="F51" s="2928">
        <v>5</v>
      </c>
      <c r="G51" s="2928">
        <v>5</v>
      </c>
      <c r="H51" s="2928">
        <v>5</v>
      </c>
      <c r="I51" s="2928"/>
      <c r="J51" s="2928"/>
      <c r="K51" s="2929">
        <v>10</v>
      </c>
      <c r="L51" s="2929">
        <v>10</v>
      </c>
      <c r="M51" s="2929" t="s">
        <v>466</v>
      </c>
      <c r="N51" s="2933">
        <v>10</v>
      </c>
      <c r="O51" s="2933">
        <v>10</v>
      </c>
      <c r="P51" s="2933" t="s">
        <v>81</v>
      </c>
      <c r="Q51" s="2933" t="s">
        <v>81</v>
      </c>
      <c r="R51" s="2915" t="s">
        <v>36</v>
      </c>
      <c r="S51" s="2915" t="s">
        <v>36</v>
      </c>
      <c r="T51" s="2915" t="s">
        <v>36</v>
      </c>
      <c r="U51" s="2915" t="s">
        <v>36</v>
      </c>
      <c r="V51" s="2913" t="s">
        <v>36</v>
      </c>
      <c r="W51" s="2913" t="s">
        <v>57</v>
      </c>
      <c r="X51" s="2913" t="s">
        <v>57</v>
      </c>
      <c r="Y51" s="3243">
        <v>7</v>
      </c>
      <c r="Z51" s="2913">
        <v>7</v>
      </c>
      <c r="AA51" s="2913">
        <v>7</v>
      </c>
      <c r="AB51" s="2913">
        <v>7</v>
      </c>
      <c r="AC51" s="2913">
        <v>7</v>
      </c>
      <c r="AD51" s="2913"/>
      <c r="AE51" s="3243"/>
      <c r="AF51" s="2928">
        <v>4</v>
      </c>
      <c r="AG51" s="635">
        <v>4</v>
      </c>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2950" t="s">
        <v>28</v>
      </c>
      <c r="B54" s="2950"/>
      <c r="C54" s="2945"/>
      <c r="D54" s="2950" t="s">
        <v>107</v>
      </c>
      <c r="E54" s="2951"/>
      <c r="F54" s="2945"/>
      <c r="G54" s="2950" t="s">
        <v>108</v>
      </c>
      <c r="H54" s="2951"/>
      <c r="I54" s="2945"/>
      <c r="J54" s="2950" t="s">
        <v>109</v>
      </c>
      <c r="K54" s="2951"/>
      <c r="L54" s="2945"/>
      <c r="M54" s="2950" t="s">
        <v>110</v>
      </c>
      <c r="N54" s="2951"/>
      <c r="O54" s="2945"/>
      <c r="P54" s="2950" t="s">
        <v>111</v>
      </c>
      <c r="Q54" s="2951"/>
      <c r="R54" s="2952"/>
      <c r="S54" s="2953" t="s">
        <v>112</v>
      </c>
      <c r="T54" s="2951"/>
      <c r="U54" s="2945"/>
      <c r="V54" s="2950" t="s">
        <v>113</v>
      </c>
      <c r="W54" s="2951"/>
      <c r="X54" s="2954" t="s">
        <v>114</v>
      </c>
      <c r="Y54" s="2951"/>
      <c r="Z54" s="2951"/>
      <c r="AA54" s="2955"/>
      <c r="AB54" s="3226"/>
      <c r="AC54" s="3226"/>
      <c r="AD54" s="3226"/>
      <c r="AE54" s="3226"/>
      <c r="AF54" s="3226"/>
      <c r="AG54" s="3227"/>
      <c r="AH54" s="1"/>
    </row>
    <row r="55" spans="1:40" ht="22.35" customHeight="1" x14ac:dyDescent="0.2">
      <c r="A55" s="2956">
        <v>8517</v>
      </c>
      <c r="B55" s="2957" t="s">
        <v>115</v>
      </c>
      <c r="C55" s="2958" t="s">
        <v>116</v>
      </c>
      <c r="D55" s="2959"/>
      <c r="E55" s="3225"/>
      <c r="F55" s="2958" t="s">
        <v>116</v>
      </c>
      <c r="G55" s="2959"/>
      <c r="H55" s="3225"/>
      <c r="I55" s="2958" t="s">
        <v>116</v>
      </c>
      <c r="J55" s="2959"/>
      <c r="K55" s="3225"/>
      <c r="L55" s="2958" t="s">
        <v>116</v>
      </c>
      <c r="M55" s="2959"/>
      <c r="N55" s="3225"/>
      <c r="O55" s="2958" t="s">
        <v>117</v>
      </c>
      <c r="P55" s="2959"/>
      <c r="Q55" s="3225"/>
      <c r="R55" s="2958"/>
      <c r="S55" s="2959"/>
      <c r="T55" s="3225"/>
      <c r="U55" s="2958" t="s">
        <v>118</v>
      </c>
      <c r="V55" s="2959"/>
      <c r="W55" s="3225"/>
      <c r="X55" s="3223"/>
      <c r="Y55" s="3226"/>
      <c r="Z55" s="3226"/>
      <c r="AA55" s="3226"/>
      <c r="AB55" s="3226"/>
      <c r="AC55" s="3226"/>
      <c r="AD55" s="3226"/>
      <c r="AE55" s="3226"/>
      <c r="AF55" s="3226"/>
      <c r="AG55" s="3227"/>
      <c r="AH55" s="1"/>
    </row>
    <row r="56" spans="1:40" ht="22.35" customHeight="1" x14ac:dyDescent="0.2">
      <c r="B56" s="3257" t="s">
        <v>119</v>
      </c>
      <c r="C56" s="3344" t="s">
        <v>120</v>
      </c>
      <c r="D56" s="3345"/>
      <c r="E56" s="3346"/>
      <c r="F56" s="3344" t="s">
        <v>120</v>
      </c>
      <c r="G56" s="3347"/>
      <c r="H56" s="3346"/>
      <c r="I56" s="2958" t="s">
        <v>120</v>
      </c>
      <c r="J56" s="2959"/>
      <c r="K56" s="2964"/>
      <c r="L56" s="2958" t="s">
        <v>120</v>
      </c>
      <c r="M56" s="2959"/>
      <c r="N56" s="2964"/>
      <c r="O56" s="2958" t="s">
        <v>121</v>
      </c>
      <c r="P56" s="2959"/>
      <c r="Q56" s="3225"/>
      <c r="R56" s="2965" t="s">
        <v>0</v>
      </c>
      <c r="S56" s="2959"/>
      <c r="T56" s="2964"/>
      <c r="U56" s="2959" t="s">
        <v>0</v>
      </c>
      <c r="V56" s="2959"/>
      <c r="W56" s="3225"/>
      <c r="X56" s="675" t="s">
        <v>0</v>
      </c>
      <c r="Y56" s="72"/>
      <c r="Z56" s="72"/>
      <c r="AA56" s="72"/>
      <c r="AB56" s="72"/>
      <c r="AC56" s="72"/>
      <c r="AD56" s="72"/>
      <c r="AE56" s="72"/>
      <c r="AF56" s="72"/>
      <c r="AG56" s="111"/>
      <c r="AH56" s="1"/>
    </row>
    <row r="57" spans="1:40" ht="22.35" customHeight="1" x14ac:dyDescent="0.2">
      <c r="A57" s="2966"/>
      <c r="B57" s="2957" t="s">
        <v>122</v>
      </c>
      <c r="C57" s="3344" t="s">
        <v>123</v>
      </c>
      <c r="D57" s="3345"/>
      <c r="E57" s="3347"/>
      <c r="F57" s="3344" t="s">
        <v>123</v>
      </c>
      <c r="G57" s="3345"/>
      <c r="H57" s="3347"/>
      <c r="I57" s="3344" t="s">
        <v>123</v>
      </c>
      <c r="J57" s="3345"/>
      <c r="K57" s="3347"/>
      <c r="L57" s="3344" t="s">
        <v>123</v>
      </c>
      <c r="M57" s="3345"/>
      <c r="N57" s="3347"/>
      <c r="O57" s="3344" t="s">
        <v>124</v>
      </c>
      <c r="P57" s="3345"/>
      <c r="Q57" s="3347"/>
      <c r="R57" s="676"/>
      <c r="S57" s="294"/>
      <c r="T57" s="3346"/>
      <c r="U57" s="3345"/>
      <c r="V57" s="3345"/>
      <c r="W57" s="3347"/>
      <c r="X57" s="3223"/>
      <c r="Y57" s="3226"/>
      <c r="Z57" s="3226"/>
      <c r="AA57" s="3226"/>
      <c r="AB57" s="3226"/>
      <c r="AC57" s="3226"/>
      <c r="AD57" s="3226"/>
      <c r="AE57" s="3226"/>
      <c r="AF57" s="3226"/>
      <c r="AG57" s="3227"/>
      <c r="AH57" s="1"/>
    </row>
    <row r="58" spans="1:40" ht="22.35" customHeight="1" x14ac:dyDescent="0.2">
      <c r="A58" s="2950"/>
      <c r="B58" s="2957"/>
      <c r="C58" s="952"/>
      <c r="D58" s="392"/>
      <c r="E58" s="393"/>
      <c r="F58" s="952"/>
      <c r="G58" s="392"/>
      <c r="H58" s="393"/>
      <c r="I58" s="952"/>
      <c r="J58" s="392"/>
      <c r="K58" s="393"/>
      <c r="L58" s="952"/>
      <c r="M58" s="392"/>
      <c r="N58" s="393"/>
      <c r="O58" s="952"/>
      <c r="P58" s="392"/>
      <c r="Q58" s="393"/>
      <c r="R58" s="952"/>
      <c r="S58" s="392"/>
      <c r="T58" s="393"/>
      <c r="U58" s="952"/>
      <c r="V58" s="392"/>
      <c r="W58" s="393"/>
      <c r="X58" s="3225"/>
      <c r="Y58" s="3226"/>
      <c r="Z58" s="3226"/>
      <c r="AA58" s="3226"/>
      <c r="AB58" s="3226"/>
      <c r="AC58" s="3226"/>
      <c r="AD58" s="3226"/>
      <c r="AE58" s="3226"/>
      <c r="AF58" s="3226"/>
      <c r="AG58" s="3227"/>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2968"/>
      <c r="B60" s="2969" t="s">
        <v>29</v>
      </c>
      <c r="C60" s="3242">
        <v>1</v>
      </c>
      <c r="D60" s="3243">
        <v>2</v>
      </c>
      <c r="E60" s="3243">
        <v>3</v>
      </c>
      <c r="F60" s="3243">
        <v>4</v>
      </c>
      <c r="G60" s="3243">
        <v>5</v>
      </c>
      <c r="H60" s="3243">
        <v>6</v>
      </c>
      <c r="I60" s="3242">
        <v>7</v>
      </c>
      <c r="J60" s="3242">
        <v>8</v>
      </c>
      <c r="K60" s="3243">
        <v>9</v>
      </c>
      <c r="L60" s="3243">
        <v>10</v>
      </c>
      <c r="M60" s="3243">
        <v>11</v>
      </c>
      <c r="N60" s="3243">
        <v>12</v>
      </c>
      <c r="O60" s="3243">
        <v>13</v>
      </c>
      <c r="P60" s="3242">
        <v>14</v>
      </c>
      <c r="Q60" s="3242">
        <v>15</v>
      </c>
      <c r="R60" s="3243">
        <v>16</v>
      </c>
      <c r="S60" s="3243">
        <v>17</v>
      </c>
      <c r="T60" s="3243">
        <v>18</v>
      </c>
      <c r="U60" s="3243">
        <v>19</v>
      </c>
      <c r="V60" s="3243">
        <v>20</v>
      </c>
      <c r="W60" s="3242">
        <v>21</v>
      </c>
      <c r="X60" s="3242">
        <v>22</v>
      </c>
      <c r="Y60" s="3243">
        <v>23</v>
      </c>
      <c r="Z60" s="3243">
        <v>24</v>
      </c>
      <c r="AA60" s="3243">
        <v>25</v>
      </c>
      <c r="AB60" s="3243">
        <v>26</v>
      </c>
      <c r="AC60" s="3243">
        <v>27</v>
      </c>
      <c r="AD60" s="3242">
        <v>28</v>
      </c>
      <c r="AE60" s="3242">
        <v>29</v>
      </c>
      <c r="AF60" s="3243">
        <v>30</v>
      </c>
      <c r="AG60" s="3244">
        <v>31</v>
      </c>
      <c r="AH60" s="1"/>
      <c r="AJ60" s="3245" t="s">
        <v>30</v>
      </c>
      <c r="AK60" s="3245" t="s">
        <v>44</v>
      </c>
      <c r="AL60" s="3245" t="s">
        <v>45</v>
      </c>
      <c r="AM60" s="3245" t="s">
        <v>46</v>
      </c>
      <c r="AN60" s="3245" t="s">
        <v>47</v>
      </c>
    </row>
    <row r="61" spans="1:40" ht="22.35" customHeight="1" x14ac:dyDescent="0.2">
      <c r="A61" s="3348"/>
      <c r="B61" s="3349" t="s">
        <v>126</v>
      </c>
      <c r="C61" s="3317"/>
      <c r="D61" s="3321" t="s">
        <v>32</v>
      </c>
      <c r="E61" s="3321" t="s">
        <v>32</v>
      </c>
      <c r="F61" s="3321" t="s">
        <v>32</v>
      </c>
      <c r="G61" s="3321" t="s">
        <v>32</v>
      </c>
      <c r="H61" s="3321" t="s">
        <v>32</v>
      </c>
      <c r="I61" s="3321"/>
      <c r="J61" s="3321"/>
      <c r="K61" s="3317">
        <v>25</v>
      </c>
      <c r="L61" s="3317">
        <v>25</v>
      </c>
      <c r="M61" s="3317">
        <v>25</v>
      </c>
      <c r="N61" s="3317">
        <v>25</v>
      </c>
      <c r="O61" s="3317">
        <v>25</v>
      </c>
      <c r="P61" s="3320"/>
      <c r="Q61" s="3320"/>
      <c r="R61" s="3317" t="s">
        <v>128</v>
      </c>
      <c r="S61" s="3317" t="s">
        <v>128</v>
      </c>
      <c r="T61" s="3317" t="s">
        <v>128</v>
      </c>
      <c r="U61" s="3317" t="s">
        <v>128</v>
      </c>
      <c r="V61" s="3317" t="s">
        <v>128</v>
      </c>
      <c r="W61" s="3317" t="s">
        <v>127</v>
      </c>
      <c r="X61" s="3317" t="s">
        <v>127</v>
      </c>
      <c r="Y61" s="3320" t="s">
        <v>36</v>
      </c>
      <c r="Z61" s="3320" t="s">
        <v>36</v>
      </c>
      <c r="AA61" s="3320" t="s">
        <v>36</v>
      </c>
      <c r="AB61" s="3320" t="s">
        <v>36</v>
      </c>
      <c r="AC61" s="3320" t="s">
        <v>36</v>
      </c>
      <c r="AD61" s="3317"/>
      <c r="AE61" s="3317"/>
      <c r="AF61" s="2817">
        <v>25</v>
      </c>
      <c r="AG61" s="2817">
        <v>25</v>
      </c>
      <c r="AH61" s="1"/>
      <c r="AJ61" s="3293">
        <v>172</v>
      </c>
      <c r="AK61" s="3293">
        <v>9.25</v>
      </c>
      <c r="AL61" s="3293">
        <f>IF(AJ61="","",SUM(AJ61:AK61))</f>
        <v>181.25</v>
      </c>
      <c r="AM61" s="3294">
        <f t="shared" ref="AM61:AM74" si="3">IF(AJ61="","",AL61-NormTid)</f>
        <v>20.919999999999987</v>
      </c>
      <c r="AN61" s="3294">
        <f>IF(AM61="","",AM61)</f>
        <v>20.919999999999987</v>
      </c>
    </row>
    <row r="62" spans="1:40" ht="22.35" customHeight="1" x14ac:dyDescent="0.2">
      <c r="A62" s="1175"/>
      <c r="B62" s="2821" t="s">
        <v>129</v>
      </c>
      <c r="C62" s="2817" t="s">
        <v>53</v>
      </c>
      <c r="D62" s="3017">
        <v>99</v>
      </c>
      <c r="E62" s="3017">
        <v>4</v>
      </c>
      <c r="F62" s="2909">
        <v>4</v>
      </c>
      <c r="G62" s="2909">
        <v>4</v>
      </c>
      <c r="H62" s="2830" t="s">
        <v>32</v>
      </c>
      <c r="I62" s="2814" t="s">
        <v>53</v>
      </c>
      <c r="J62" s="2814" t="s">
        <v>53</v>
      </c>
      <c r="K62" s="2817" t="s">
        <v>400</v>
      </c>
      <c r="L62" s="2817" t="s">
        <v>400</v>
      </c>
      <c r="M62" s="2817" t="s">
        <v>400</v>
      </c>
      <c r="N62" s="2817" t="s">
        <v>400</v>
      </c>
      <c r="O62" s="2817" t="s">
        <v>400</v>
      </c>
      <c r="P62" s="2817" t="s">
        <v>409</v>
      </c>
      <c r="Q62" s="2817" t="s">
        <v>409</v>
      </c>
      <c r="R62" s="2832" t="s">
        <v>36</v>
      </c>
      <c r="S62" s="2832" t="s">
        <v>36</v>
      </c>
      <c r="T62" s="2832" t="s">
        <v>36</v>
      </c>
      <c r="U62" s="2832" t="s">
        <v>36</v>
      </c>
      <c r="V62" s="2832" t="s">
        <v>36</v>
      </c>
      <c r="W62" s="2817"/>
      <c r="X62" s="2817"/>
      <c r="Y62" s="2817" t="s">
        <v>32</v>
      </c>
      <c r="Z62" s="2817" t="s">
        <v>32</v>
      </c>
      <c r="AA62" s="2817" t="s">
        <v>32</v>
      </c>
      <c r="AB62" s="2817" t="s">
        <v>32</v>
      </c>
      <c r="AC62" s="2817" t="s">
        <v>32</v>
      </c>
      <c r="AD62" s="3017" t="s">
        <v>32</v>
      </c>
      <c r="AE62" s="2817" t="s">
        <v>32</v>
      </c>
      <c r="AF62" s="2832" t="s">
        <v>36</v>
      </c>
      <c r="AG62" s="3073" t="s">
        <v>36</v>
      </c>
      <c r="AH62" s="1"/>
      <c r="AJ62" s="3293">
        <v>150</v>
      </c>
      <c r="AK62" s="3293">
        <v>7.5</v>
      </c>
      <c r="AL62" s="3293">
        <f t="shared" ref="AL62:AL65" si="4">IF(AJ62="","",SUM(AJ62:AK62))</f>
        <v>157.5</v>
      </c>
      <c r="AM62" s="3294">
        <f t="shared" si="3"/>
        <v>-2.8300000000000125</v>
      </c>
      <c r="AN62" s="3294">
        <f t="shared" ref="AN62:AN74" si="5">IF(AM62="","",AM62)</f>
        <v>-2.8300000000000125</v>
      </c>
    </row>
    <row r="63" spans="1:40" ht="22.35" customHeight="1" x14ac:dyDescent="0.2">
      <c r="A63" s="1175"/>
      <c r="B63" s="2821" t="s">
        <v>130</v>
      </c>
      <c r="C63" s="2814"/>
      <c r="D63" s="2910" t="s">
        <v>32</v>
      </c>
      <c r="E63" s="2910" t="s">
        <v>32</v>
      </c>
      <c r="F63" s="2910" t="s">
        <v>32</v>
      </c>
      <c r="G63" s="2910" t="s">
        <v>32</v>
      </c>
      <c r="H63" s="2910" t="s">
        <v>32</v>
      </c>
      <c r="I63" s="2910"/>
      <c r="J63" s="2910"/>
      <c r="K63" s="2910" t="s">
        <v>32</v>
      </c>
      <c r="L63" s="2910" t="s">
        <v>32</v>
      </c>
      <c r="M63" s="2910" t="s">
        <v>32</v>
      </c>
      <c r="N63" s="2910" t="s">
        <v>32</v>
      </c>
      <c r="O63" s="2910" t="s">
        <v>32</v>
      </c>
      <c r="P63" s="2910"/>
      <c r="Q63" s="2910"/>
      <c r="R63" s="2817" t="s">
        <v>398</v>
      </c>
      <c r="S63" s="2945" t="s">
        <v>398</v>
      </c>
      <c r="T63" s="2945" t="s">
        <v>398</v>
      </c>
      <c r="U63" s="2945" t="s">
        <v>398</v>
      </c>
      <c r="V63" s="2945" t="s">
        <v>398</v>
      </c>
      <c r="W63" s="2945" t="s">
        <v>0</v>
      </c>
      <c r="X63" s="2817" t="s">
        <v>0</v>
      </c>
      <c r="Y63" s="3350" t="s">
        <v>398</v>
      </c>
      <c r="Z63" s="2817" t="s">
        <v>398</v>
      </c>
      <c r="AA63" s="2817" t="s">
        <v>398</v>
      </c>
      <c r="AB63" s="2817" t="s">
        <v>398</v>
      </c>
      <c r="AC63" s="2817" t="s">
        <v>398</v>
      </c>
      <c r="AD63" s="2814"/>
      <c r="AE63" s="2814"/>
      <c r="AF63" s="2826">
        <v>21</v>
      </c>
      <c r="AG63" s="3351">
        <v>21</v>
      </c>
      <c r="AH63" s="1"/>
      <c r="AJ63" s="3293">
        <v>174.75</v>
      </c>
      <c r="AK63" s="3293">
        <v>1.5</v>
      </c>
      <c r="AL63" s="3293">
        <f t="shared" si="4"/>
        <v>176.25</v>
      </c>
      <c r="AM63" s="3294">
        <f>IF(AJ63="","",AL63-NormTid)</f>
        <v>15.919999999999987</v>
      </c>
      <c r="AN63" s="3294">
        <f t="shared" si="5"/>
        <v>15.919999999999987</v>
      </c>
    </row>
    <row r="64" spans="1:40" ht="22.35" customHeight="1" x14ac:dyDescent="0.2">
      <c r="A64" s="1175"/>
      <c r="B64" s="3069" t="s">
        <v>132</v>
      </c>
      <c r="C64" s="2832" t="s">
        <v>409</v>
      </c>
      <c r="D64" s="2832">
        <v>21</v>
      </c>
      <c r="E64" s="2832">
        <v>21</v>
      </c>
      <c r="F64" s="2832">
        <v>21</v>
      </c>
      <c r="G64" s="2832">
        <v>21</v>
      </c>
      <c r="H64" s="2832">
        <v>21</v>
      </c>
      <c r="I64" s="2817"/>
      <c r="J64" s="2832" t="s">
        <v>0</v>
      </c>
      <c r="K64" s="2817">
        <v>23</v>
      </c>
      <c r="L64" s="2817">
        <v>23</v>
      </c>
      <c r="M64" s="2817">
        <v>23</v>
      </c>
      <c r="N64" s="2817">
        <v>23</v>
      </c>
      <c r="O64" s="2817">
        <v>23</v>
      </c>
      <c r="P64" s="2817"/>
      <c r="Q64" s="2984"/>
      <c r="R64" s="2910" t="s">
        <v>32</v>
      </c>
      <c r="S64" s="2910" t="s">
        <v>32</v>
      </c>
      <c r="T64" s="2910" t="s">
        <v>32</v>
      </c>
      <c r="U64" s="2910" t="s">
        <v>32</v>
      </c>
      <c r="V64" s="2910" t="s">
        <v>32</v>
      </c>
      <c r="W64" s="2910"/>
      <c r="X64" s="2910"/>
      <c r="Y64" s="2817" t="s">
        <v>420</v>
      </c>
      <c r="Z64" s="2817" t="s">
        <v>420</v>
      </c>
      <c r="AA64" s="2817" t="s">
        <v>420</v>
      </c>
      <c r="AB64" s="2817" t="s">
        <v>420</v>
      </c>
      <c r="AC64" s="2817" t="s">
        <v>420</v>
      </c>
      <c r="AD64" s="2817" t="s">
        <v>405</v>
      </c>
      <c r="AE64" s="2817" t="s">
        <v>405</v>
      </c>
      <c r="AF64" s="2832" t="s">
        <v>36</v>
      </c>
      <c r="AG64" s="2832" t="s">
        <v>36</v>
      </c>
      <c r="AH64" s="1"/>
      <c r="AJ64" s="3293">
        <v>213.75</v>
      </c>
      <c r="AK64" s="3293">
        <v>12.75</v>
      </c>
      <c r="AL64" s="3293">
        <f t="shared" si="4"/>
        <v>226.5</v>
      </c>
      <c r="AM64" s="3294">
        <f t="shared" si="3"/>
        <v>66.169999999999987</v>
      </c>
      <c r="AN64" s="3294">
        <f t="shared" si="5"/>
        <v>66.169999999999987</v>
      </c>
    </row>
    <row r="65" spans="1:40" ht="22.35" customHeight="1" x14ac:dyDescent="0.2">
      <c r="A65" s="677"/>
      <c r="B65" s="2821" t="s">
        <v>133</v>
      </c>
      <c r="C65" s="2826"/>
      <c r="D65" s="2826" t="s">
        <v>32</v>
      </c>
      <c r="E65" s="2826" t="s">
        <v>32</v>
      </c>
      <c r="F65" s="3352" t="s">
        <v>32</v>
      </c>
      <c r="G65" s="3352" t="s">
        <v>32</v>
      </c>
      <c r="H65" s="3352" t="s">
        <v>32</v>
      </c>
      <c r="I65" s="3352"/>
      <c r="J65" s="3352"/>
      <c r="K65" s="3074" t="s">
        <v>134</v>
      </c>
      <c r="L65" s="3352" t="s">
        <v>32</v>
      </c>
      <c r="M65" s="3074" t="s">
        <v>134</v>
      </c>
      <c r="N65" s="2947" t="s">
        <v>32</v>
      </c>
      <c r="O65" s="2826" t="s">
        <v>32</v>
      </c>
      <c r="P65" s="2814"/>
      <c r="Q65" s="2814"/>
      <c r="R65" s="3074" t="s">
        <v>134</v>
      </c>
      <c r="S65" s="3352" t="s">
        <v>32</v>
      </c>
      <c r="T65" s="3074" t="s">
        <v>134</v>
      </c>
      <c r="U65" s="2947" t="s">
        <v>32</v>
      </c>
      <c r="V65" s="2826" t="s">
        <v>32</v>
      </c>
      <c r="W65" s="2832"/>
      <c r="X65" s="2832"/>
      <c r="Y65" s="3074" t="s">
        <v>134</v>
      </c>
      <c r="Z65" s="3352" t="s">
        <v>32</v>
      </c>
      <c r="AA65" s="3074" t="s">
        <v>134</v>
      </c>
      <c r="AB65" s="2947" t="s">
        <v>32</v>
      </c>
      <c r="AC65" s="2814" t="s">
        <v>134</v>
      </c>
      <c r="AD65" s="2814"/>
      <c r="AE65" s="2814"/>
      <c r="AF65" s="2814" t="s">
        <v>134</v>
      </c>
      <c r="AG65" s="3353" t="s">
        <v>134</v>
      </c>
      <c r="AH65" s="1"/>
      <c r="AJ65" s="3293">
        <v>163.5</v>
      </c>
      <c r="AK65" s="3293">
        <v>0</v>
      </c>
      <c r="AL65" s="3293">
        <f t="shared" si="4"/>
        <v>163.5</v>
      </c>
      <c r="AM65" s="3294">
        <f t="shared" si="3"/>
        <v>3.1699999999999875</v>
      </c>
      <c r="AN65" s="3294">
        <f t="shared" si="5"/>
        <v>3.1699999999999875</v>
      </c>
    </row>
    <row r="66" spans="1:40" ht="22.35" customHeight="1" x14ac:dyDescent="0.2">
      <c r="A66" s="1175"/>
      <c r="B66" s="2821" t="s">
        <v>136</v>
      </c>
      <c r="C66" s="2814"/>
      <c r="D66" s="2814" t="s">
        <v>137</v>
      </c>
      <c r="E66" s="2814" t="s">
        <v>137</v>
      </c>
      <c r="F66" s="2814" t="s">
        <v>137</v>
      </c>
      <c r="G66" s="2814" t="s">
        <v>137</v>
      </c>
      <c r="H66" s="2814" t="s">
        <v>137</v>
      </c>
      <c r="I66" s="2817"/>
      <c r="J66" s="2817"/>
      <c r="K66" s="2814" t="s">
        <v>137</v>
      </c>
      <c r="L66" s="2814" t="s">
        <v>137</v>
      </c>
      <c r="M66" s="2814" t="s">
        <v>137</v>
      </c>
      <c r="N66" s="2814" t="s">
        <v>137</v>
      </c>
      <c r="O66" s="2814" t="s">
        <v>137</v>
      </c>
      <c r="P66" s="2817"/>
      <c r="Q66" s="2817"/>
      <c r="R66" s="2814" t="s">
        <v>137</v>
      </c>
      <c r="S66" s="2814" t="s">
        <v>137</v>
      </c>
      <c r="T66" s="2814" t="s">
        <v>137</v>
      </c>
      <c r="U66" s="2814" t="s">
        <v>137</v>
      </c>
      <c r="V66" s="2814" t="s">
        <v>137</v>
      </c>
      <c r="W66" s="2817"/>
      <c r="X66" s="2817"/>
      <c r="Y66" s="2814" t="s">
        <v>137</v>
      </c>
      <c r="Z66" s="2814" t="s">
        <v>137</v>
      </c>
      <c r="AA66" s="2814" t="s">
        <v>137</v>
      </c>
      <c r="AB66" s="2814" t="s">
        <v>137</v>
      </c>
      <c r="AC66" s="2814" t="s">
        <v>137</v>
      </c>
      <c r="AD66" s="2817"/>
      <c r="AE66" s="2817"/>
      <c r="AF66" s="2814" t="s">
        <v>137</v>
      </c>
      <c r="AG66" s="3353" t="s">
        <v>137</v>
      </c>
      <c r="AH66" s="1"/>
      <c r="AJ66" s="3293">
        <v>163.5</v>
      </c>
      <c r="AK66" s="3293">
        <v>0</v>
      </c>
      <c r="AL66" s="3293">
        <f t="shared" ref="AL66:AL74" si="6">IF(AJ66="","",SUM(AJ66:AK66))</f>
        <v>163.5</v>
      </c>
      <c r="AM66" s="3294">
        <f t="shared" si="3"/>
        <v>3.1699999999999875</v>
      </c>
      <c r="AN66" s="3294">
        <f t="shared" si="5"/>
        <v>3.1699999999999875</v>
      </c>
    </row>
    <row r="67" spans="1:40" ht="22.35" customHeight="1" x14ac:dyDescent="0.2">
      <c r="A67" s="1175"/>
      <c r="B67" s="3069" t="s">
        <v>443</v>
      </c>
      <c r="C67" s="3017">
        <v>22</v>
      </c>
      <c r="D67" s="2918">
        <v>9</v>
      </c>
      <c r="E67" s="2918">
        <v>9</v>
      </c>
      <c r="F67" s="2918">
        <v>9</v>
      </c>
      <c r="G67" s="2918">
        <v>9</v>
      </c>
      <c r="H67" s="2918">
        <v>9</v>
      </c>
      <c r="I67" s="2832" t="s">
        <v>80</v>
      </c>
      <c r="J67" s="2918" t="s">
        <v>81</v>
      </c>
      <c r="K67" s="2832" t="s">
        <v>36</v>
      </c>
      <c r="L67" s="2918" t="s">
        <v>36</v>
      </c>
      <c r="M67" s="2832" t="s">
        <v>36</v>
      </c>
      <c r="N67" s="2832" t="s">
        <v>36</v>
      </c>
      <c r="O67" s="2832" t="s">
        <v>36</v>
      </c>
      <c r="P67" s="2918" t="s">
        <v>82</v>
      </c>
      <c r="Q67" s="2817" t="s">
        <v>83</v>
      </c>
      <c r="R67" s="2817">
        <v>6</v>
      </c>
      <c r="S67" s="2918">
        <v>6</v>
      </c>
      <c r="T67" s="2814">
        <v>6</v>
      </c>
      <c r="U67" s="2814">
        <v>6</v>
      </c>
      <c r="V67" s="2814">
        <v>6</v>
      </c>
      <c r="W67" s="2814"/>
      <c r="X67" s="2814"/>
      <c r="Y67" s="2918" t="s">
        <v>36</v>
      </c>
      <c r="Z67" s="2918" t="s">
        <v>36</v>
      </c>
      <c r="AA67" s="2918" t="s">
        <v>36</v>
      </c>
      <c r="AB67" s="2818" t="s">
        <v>36</v>
      </c>
      <c r="AC67" s="2818" t="s">
        <v>36</v>
      </c>
      <c r="AD67" s="2818"/>
      <c r="AE67" s="2918"/>
      <c r="AF67" s="2918">
        <v>5</v>
      </c>
      <c r="AG67" s="2922">
        <v>5</v>
      </c>
      <c r="AH67" s="1"/>
      <c r="AJ67" s="3293">
        <v>128</v>
      </c>
      <c r="AK67" s="3293">
        <v>10</v>
      </c>
      <c r="AL67" s="3293">
        <f t="shared" si="6"/>
        <v>138</v>
      </c>
      <c r="AM67" s="3294">
        <f t="shared" si="3"/>
        <v>-22.330000000000013</v>
      </c>
      <c r="AN67" s="3294">
        <f t="shared" si="5"/>
        <v>-22.330000000000013</v>
      </c>
    </row>
    <row r="68" spans="1:40" ht="22.35" customHeight="1" x14ac:dyDescent="0.2">
      <c r="A68" s="1175"/>
      <c r="B68" s="3069" t="s">
        <v>444</v>
      </c>
      <c r="C68" s="2817"/>
      <c r="D68" s="2817" t="s">
        <v>128</v>
      </c>
      <c r="E68" s="2817" t="s">
        <v>128</v>
      </c>
      <c r="F68" s="2817" t="s">
        <v>128</v>
      </c>
      <c r="G68" s="2817" t="s">
        <v>128</v>
      </c>
      <c r="H68" s="2817" t="s">
        <v>128</v>
      </c>
      <c r="I68" s="2909" t="s">
        <v>127</v>
      </c>
      <c r="J68" s="2817" t="s">
        <v>127</v>
      </c>
      <c r="K68" s="2817" t="s">
        <v>36</v>
      </c>
      <c r="L68" s="2817" t="s">
        <v>36</v>
      </c>
      <c r="M68" s="2817" t="s">
        <v>36</v>
      </c>
      <c r="N68" s="2817" t="s">
        <v>36</v>
      </c>
      <c r="O68" s="2817" t="s">
        <v>36</v>
      </c>
      <c r="P68" s="2817" t="s">
        <v>32</v>
      </c>
      <c r="Q68" s="2817" t="s">
        <v>32</v>
      </c>
      <c r="R68" s="2817" t="s">
        <v>32</v>
      </c>
      <c r="S68" s="2817" t="s">
        <v>32</v>
      </c>
      <c r="T68" s="2817" t="s">
        <v>32</v>
      </c>
      <c r="U68" s="2817" t="s">
        <v>32</v>
      </c>
      <c r="V68" s="2817" t="s">
        <v>32</v>
      </c>
      <c r="W68" s="2817"/>
      <c r="X68" s="2817"/>
      <c r="Y68" s="2817">
        <v>26</v>
      </c>
      <c r="Z68" s="2817">
        <v>26</v>
      </c>
      <c r="AA68" s="2817">
        <v>26</v>
      </c>
      <c r="AB68" s="2909">
        <v>26</v>
      </c>
      <c r="AC68" s="2909">
        <v>26</v>
      </c>
      <c r="AD68" s="2817"/>
      <c r="AE68" s="2817" t="s">
        <v>0</v>
      </c>
      <c r="AF68" s="3017" t="s">
        <v>32</v>
      </c>
      <c r="AG68" s="3017" t="s">
        <v>32</v>
      </c>
      <c r="AH68" s="1"/>
      <c r="AJ68" s="3293">
        <v>159.25</v>
      </c>
      <c r="AK68" s="3293">
        <v>10.5</v>
      </c>
      <c r="AL68" s="3293">
        <f t="shared" si="6"/>
        <v>169.75</v>
      </c>
      <c r="AM68" s="3294">
        <f t="shared" si="3"/>
        <v>9.4199999999999875</v>
      </c>
      <c r="AN68" s="3294">
        <f t="shared" si="5"/>
        <v>9.4199999999999875</v>
      </c>
    </row>
    <row r="69" spans="1:40" ht="22.35" customHeight="1" x14ac:dyDescent="0.2">
      <c r="A69" s="1175"/>
      <c r="B69" s="3069" t="s">
        <v>445</v>
      </c>
      <c r="C69" s="2817"/>
      <c r="D69" s="2817">
        <v>25</v>
      </c>
      <c r="E69" s="2945">
        <v>25</v>
      </c>
      <c r="F69" s="2945">
        <v>25</v>
      </c>
      <c r="G69" s="2945">
        <v>25</v>
      </c>
      <c r="H69" s="2945">
        <v>25</v>
      </c>
      <c r="I69" s="2817"/>
      <c r="J69" s="2817">
        <v>26</v>
      </c>
      <c r="K69" s="2817">
        <v>26</v>
      </c>
      <c r="L69" s="3354" t="s">
        <v>257</v>
      </c>
      <c r="M69" s="3354" t="s">
        <v>257</v>
      </c>
      <c r="N69" s="3355" t="s">
        <v>257</v>
      </c>
      <c r="O69" s="3355" t="s">
        <v>257</v>
      </c>
      <c r="P69" s="2944"/>
      <c r="Q69" s="2947"/>
      <c r="R69" s="2728" t="s">
        <v>375</v>
      </c>
      <c r="S69" s="2945">
        <v>26</v>
      </c>
      <c r="T69" s="2945">
        <v>26</v>
      </c>
      <c r="U69" s="2945">
        <v>26</v>
      </c>
      <c r="V69" s="2945">
        <v>26</v>
      </c>
      <c r="W69" s="2817"/>
      <c r="X69" s="3070">
        <v>26</v>
      </c>
      <c r="Y69" s="2945" t="s">
        <v>32</v>
      </c>
      <c r="Z69" s="2945" t="s">
        <v>32</v>
      </c>
      <c r="AA69" s="2945" t="s">
        <v>32</v>
      </c>
      <c r="AB69" s="2945" t="s">
        <v>32</v>
      </c>
      <c r="AC69" s="2945" t="s">
        <v>32</v>
      </c>
      <c r="AD69" s="3017" t="s">
        <v>0</v>
      </c>
      <c r="AE69" s="2817"/>
      <c r="AF69" s="2945" t="s">
        <v>32</v>
      </c>
      <c r="AG69" s="2945" t="s">
        <v>32</v>
      </c>
      <c r="AH69" s="1"/>
      <c r="AJ69" s="3293">
        <v>175.75</v>
      </c>
      <c r="AK69" s="3293">
        <v>8.5</v>
      </c>
      <c r="AL69" s="3293">
        <f t="shared" si="6"/>
        <v>184.25</v>
      </c>
      <c r="AM69" s="3294">
        <f t="shared" si="3"/>
        <v>23.919999999999987</v>
      </c>
      <c r="AN69" s="3294">
        <f t="shared" si="5"/>
        <v>23.919999999999987</v>
      </c>
    </row>
    <row r="70" spans="1:40" ht="22.35" customHeight="1" x14ac:dyDescent="0.2">
      <c r="A70" s="646"/>
      <c r="B70" s="3069" t="s">
        <v>143</v>
      </c>
      <c r="C70" s="2817" t="s">
        <v>127</v>
      </c>
      <c r="D70" s="2817" t="s">
        <v>36</v>
      </c>
      <c r="E70" s="2817" t="s">
        <v>36</v>
      </c>
      <c r="F70" s="2817" t="s">
        <v>36</v>
      </c>
      <c r="G70" s="2817" t="s">
        <v>36</v>
      </c>
      <c r="H70" s="2817" t="s">
        <v>36</v>
      </c>
      <c r="I70" s="2817"/>
      <c r="J70" s="2814" t="s">
        <v>0</v>
      </c>
      <c r="K70" s="2817"/>
      <c r="L70" s="2817" t="s">
        <v>32</v>
      </c>
      <c r="M70" s="2817" t="s">
        <v>32</v>
      </c>
      <c r="N70" s="2817" t="s">
        <v>32</v>
      </c>
      <c r="O70" s="2817" t="s">
        <v>32</v>
      </c>
      <c r="P70" s="2817" t="s">
        <v>0</v>
      </c>
      <c r="Q70" s="2814" t="s">
        <v>0</v>
      </c>
      <c r="R70" s="2817">
        <v>5</v>
      </c>
      <c r="S70" s="2817">
        <v>5</v>
      </c>
      <c r="T70" s="2817">
        <v>5</v>
      </c>
      <c r="U70" s="2817">
        <v>5</v>
      </c>
      <c r="V70" s="2817">
        <v>5</v>
      </c>
      <c r="W70" s="2817"/>
      <c r="X70" s="2817"/>
      <c r="Y70" s="3249">
        <v>23</v>
      </c>
      <c r="Z70" s="3249">
        <v>23</v>
      </c>
      <c r="AA70" s="3249">
        <v>23</v>
      </c>
      <c r="AB70" s="3249">
        <v>23</v>
      </c>
      <c r="AC70" s="3249">
        <v>23</v>
      </c>
      <c r="AD70" s="851">
        <v>23</v>
      </c>
      <c r="AE70" s="3249">
        <v>23</v>
      </c>
      <c r="AF70" s="2832" t="s">
        <v>36</v>
      </c>
      <c r="AG70" s="2832" t="s">
        <v>36</v>
      </c>
      <c r="AJ70" s="3293">
        <v>144.75</v>
      </c>
      <c r="AK70" s="3293">
        <v>10.5</v>
      </c>
      <c r="AL70" s="3293">
        <f t="shared" si="6"/>
        <v>155.25</v>
      </c>
      <c r="AM70" s="3294">
        <f t="shared" si="3"/>
        <v>-5.0800000000000125</v>
      </c>
      <c r="AN70" s="3294">
        <f t="shared" si="5"/>
        <v>-5.0800000000000125</v>
      </c>
    </row>
    <row r="71" spans="1:40" ht="22.35" customHeight="1" x14ac:dyDescent="0.2">
      <c r="A71" s="3356"/>
      <c r="B71" s="3069" t="s">
        <v>144</v>
      </c>
      <c r="C71" s="2728" t="s">
        <v>434</v>
      </c>
      <c r="D71" s="2945" t="s">
        <v>36</v>
      </c>
      <c r="E71" s="2945" t="s">
        <v>36</v>
      </c>
      <c r="F71" s="2945" t="s">
        <v>36</v>
      </c>
      <c r="G71" s="2945" t="s">
        <v>39</v>
      </c>
      <c r="H71" s="2945" t="s">
        <v>36</v>
      </c>
      <c r="I71" s="2817"/>
      <c r="J71" s="2817"/>
      <c r="K71" s="2817">
        <v>22</v>
      </c>
      <c r="L71" s="2817">
        <v>22</v>
      </c>
      <c r="M71" s="2947">
        <v>22</v>
      </c>
      <c r="N71" s="2947">
        <v>22</v>
      </c>
      <c r="O71" s="2947">
        <v>22</v>
      </c>
      <c r="P71" s="2947">
        <v>22</v>
      </c>
      <c r="Q71" s="2947">
        <v>22</v>
      </c>
      <c r="R71" s="2947" t="s">
        <v>36</v>
      </c>
      <c r="S71" s="2947" t="s">
        <v>36</v>
      </c>
      <c r="T71" s="2947" t="s">
        <v>36</v>
      </c>
      <c r="U71" s="2947" t="s">
        <v>36</v>
      </c>
      <c r="V71" s="2947" t="s">
        <v>36</v>
      </c>
      <c r="W71" s="2947"/>
      <c r="X71" s="2947"/>
      <c r="Y71" s="2947" t="s">
        <v>398</v>
      </c>
      <c r="Z71" s="2947" t="s">
        <v>433</v>
      </c>
      <c r="AA71" s="2817" t="s">
        <v>32</v>
      </c>
      <c r="AB71" s="2817">
        <v>3</v>
      </c>
      <c r="AC71" s="2817" t="s">
        <v>36</v>
      </c>
      <c r="AD71" s="2817"/>
      <c r="AE71" s="2814" t="s">
        <v>0</v>
      </c>
      <c r="AF71" s="2817" t="s">
        <v>420</v>
      </c>
      <c r="AG71" s="2817" t="s">
        <v>36</v>
      </c>
      <c r="AJ71" s="3293">
        <v>109.25</v>
      </c>
      <c r="AK71" s="3293">
        <v>6.75</v>
      </c>
      <c r="AL71" s="3293">
        <f t="shared" si="6"/>
        <v>116</v>
      </c>
      <c r="AM71" s="3294">
        <f t="shared" si="3"/>
        <v>-44.330000000000013</v>
      </c>
      <c r="AN71" s="3294">
        <f t="shared" si="5"/>
        <v>-44.330000000000013</v>
      </c>
    </row>
    <row r="72" spans="1:40" ht="22.35" customHeight="1" x14ac:dyDescent="0.2">
      <c r="A72" s="453"/>
      <c r="B72" s="3069" t="s">
        <v>354</v>
      </c>
      <c r="C72" s="2817"/>
      <c r="D72" s="2910" t="s">
        <v>32</v>
      </c>
      <c r="E72" s="2728" t="s">
        <v>32</v>
      </c>
      <c r="F72" s="2728" t="s">
        <v>32</v>
      </c>
      <c r="G72" s="2728" t="s">
        <v>32</v>
      </c>
      <c r="H72" s="2728" t="s">
        <v>51</v>
      </c>
      <c r="I72" s="2817" t="s">
        <v>53</v>
      </c>
      <c r="J72" s="2817" t="s">
        <v>53</v>
      </c>
      <c r="K72" s="3350" t="s">
        <v>32</v>
      </c>
      <c r="L72" s="3350" t="s">
        <v>32</v>
      </c>
      <c r="M72" s="3350" t="s">
        <v>32</v>
      </c>
      <c r="N72" s="3357" t="s">
        <v>32</v>
      </c>
      <c r="O72" s="3357" t="s">
        <v>32</v>
      </c>
      <c r="P72" s="2918"/>
      <c r="Q72" s="2817"/>
      <c r="R72" s="2817">
        <v>25</v>
      </c>
      <c r="S72" s="2817">
        <v>25</v>
      </c>
      <c r="T72" s="2817">
        <v>25</v>
      </c>
      <c r="U72" s="2817">
        <v>25</v>
      </c>
      <c r="V72" s="2817">
        <v>25</v>
      </c>
      <c r="W72" s="2817" t="s">
        <v>32</v>
      </c>
      <c r="X72" s="2817" t="s">
        <v>32</v>
      </c>
      <c r="Y72" s="2817" t="s">
        <v>36</v>
      </c>
      <c r="Z72" s="2817" t="s">
        <v>36</v>
      </c>
      <c r="AA72" s="2817" t="s">
        <v>36</v>
      </c>
      <c r="AB72" s="2817" t="s">
        <v>36</v>
      </c>
      <c r="AC72" s="2817" t="s">
        <v>36</v>
      </c>
      <c r="AD72" s="2728" t="s">
        <v>0</v>
      </c>
      <c r="AE72" s="2728" t="s">
        <v>215</v>
      </c>
      <c r="AF72" s="2832" t="s">
        <v>36</v>
      </c>
      <c r="AG72" s="2832" t="s">
        <v>36</v>
      </c>
      <c r="AH72" s="1"/>
      <c r="AJ72" s="3293">
        <v>138.75</v>
      </c>
      <c r="AK72" s="3293">
        <v>6</v>
      </c>
      <c r="AL72" s="3293">
        <f t="shared" si="6"/>
        <v>144.75</v>
      </c>
      <c r="AM72" s="3294">
        <f t="shared" si="3"/>
        <v>-15.580000000000013</v>
      </c>
      <c r="AN72" s="3294">
        <f t="shared" si="5"/>
        <v>-15.580000000000013</v>
      </c>
    </row>
    <row r="73" spans="1:40" ht="22.35" customHeight="1" x14ac:dyDescent="0.2">
      <c r="A73" s="3356"/>
      <c r="B73" s="3358" t="s">
        <v>357</v>
      </c>
      <c r="C73" s="323" t="s">
        <v>83</v>
      </c>
      <c r="D73" s="2918" t="s">
        <v>92</v>
      </c>
      <c r="E73" s="2817" t="s">
        <v>36</v>
      </c>
      <c r="F73" s="2817" t="s">
        <v>36</v>
      </c>
      <c r="G73" s="2918" t="s">
        <v>36</v>
      </c>
      <c r="H73" s="2918" t="s">
        <v>92</v>
      </c>
      <c r="I73" s="2817" t="s">
        <v>32</v>
      </c>
      <c r="J73" s="2817" t="s">
        <v>32</v>
      </c>
      <c r="K73" s="3017" t="s">
        <v>36</v>
      </c>
      <c r="L73" s="3017" t="s">
        <v>36</v>
      </c>
      <c r="M73" s="3017" t="s">
        <v>36</v>
      </c>
      <c r="N73" s="3017" t="s">
        <v>36</v>
      </c>
      <c r="O73" s="3017" t="s">
        <v>36</v>
      </c>
      <c r="P73" s="2918" t="s">
        <v>467</v>
      </c>
      <c r="Q73" s="2817">
        <v>23</v>
      </c>
      <c r="R73" s="2817" t="s">
        <v>36</v>
      </c>
      <c r="S73" s="3017" t="s">
        <v>36</v>
      </c>
      <c r="T73" s="3017" t="s">
        <v>36</v>
      </c>
      <c r="U73" s="2817" t="s">
        <v>32</v>
      </c>
      <c r="V73" s="2728" t="s">
        <v>32</v>
      </c>
      <c r="W73" s="2728" t="s">
        <v>32</v>
      </c>
      <c r="X73" s="2728" t="s">
        <v>101</v>
      </c>
      <c r="Y73" s="2945">
        <v>10</v>
      </c>
      <c r="Z73" s="2945">
        <v>10</v>
      </c>
      <c r="AA73" s="2945">
        <v>10</v>
      </c>
      <c r="AB73" s="2832">
        <v>10</v>
      </c>
      <c r="AC73" s="2832">
        <v>10</v>
      </c>
      <c r="AD73" s="2817" t="s">
        <v>81</v>
      </c>
      <c r="AE73" s="2817" t="s">
        <v>81</v>
      </c>
      <c r="AF73" s="2817" t="s">
        <v>36</v>
      </c>
      <c r="AG73" s="3073" t="s">
        <v>36</v>
      </c>
      <c r="AH73" s="1"/>
      <c r="AJ73" s="3293">
        <v>134.5</v>
      </c>
      <c r="AK73" s="3293">
        <v>8.75</v>
      </c>
      <c r="AL73" s="3293">
        <f t="shared" si="6"/>
        <v>143.25</v>
      </c>
      <c r="AM73" s="3294">
        <f t="shared" si="3"/>
        <v>-17.080000000000013</v>
      </c>
      <c r="AN73" s="3294">
        <f t="shared" si="5"/>
        <v>-17.080000000000013</v>
      </c>
    </row>
    <row r="74" spans="1:40" ht="22.35" customHeight="1" x14ac:dyDescent="0.2">
      <c r="A74" s="3356"/>
      <c r="B74" s="2821" t="s">
        <v>380</v>
      </c>
      <c r="C74" s="2817"/>
      <c r="D74" s="2817">
        <v>26</v>
      </c>
      <c r="E74" s="2817">
        <v>26</v>
      </c>
      <c r="F74" s="3359">
        <v>26</v>
      </c>
      <c r="G74" s="3359">
        <v>26</v>
      </c>
      <c r="H74" s="3359" t="s">
        <v>375</v>
      </c>
      <c r="I74" s="2945"/>
      <c r="J74" s="2945" t="s">
        <v>101</v>
      </c>
      <c r="K74" s="3360" t="s">
        <v>36</v>
      </c>
      <c r="L74" s="2832">
        <v>26</v>
      </c>
      <c r="M74" s="2832">
        <v>26</v>
      </c>
      <c r="N74" s="2832">
        <v>26</v>
      </c>
      <c r="O74" s="2832">
        <v>26</v>
      </c>
      <c r="P74" s="2817"/>
      <c r="Q74" s="2728">
        <v>26</v>
      </c>
      <c r="R74" s="2728" t="s">
        <v>257</v>
      </c>
      <c r="S74" s="2728" t="s">
        <v>372</v>
      </c>
      <c r="T74" s="2945" t="s">
        <v>257</v>
      </c>
      <c r="U74" s="2945" t="s">
        <v>257</v>
      </c>
      <c r="V74" s="2945" t="s">
        <v>257</v>
      </c>
      <c r="W74" s="2817"/>
      <c r="X74" s="2817"/>
      <c r="Y74" s="3354" t="s">
        <v>257</v>
      </c>
      <c r="Z74" s="3354" t="s">
        <v>257</v>
      </c>
      <c r="AA74" s="3354" t="s">
        <v>257</v>
      </c>
      <c r="AB74" s="3361" t="s">
        <v>257</v>
      </c>
      <c r="AC74" s="3354" t="s">
        <v>257</v>
      </c>
      <c r="AD74" s="2817"/>
      <c r="AE74" s="2817">
        <v>26</v>
      </c>
      <c r="AF74" s="2817" t="s">
        <v>36</v>
      </c>
      <c r="AG74" s="2817" t="s">
        <v>36</v>
      </c>
      <c r="AH74" s="1"/>
      <c r="AJ74" s="3293">
        <v>157.75</v>
      </c>
      <c r="AK74" s="3293">
        <v>6.5</v>
      </c>
      <c r="AL74" s="3293">
        <f t="shared" si="6"/>
        <v>164.25</v>
      </c>
      <c r="AM74" s="3294">
        <f t="shared" si="3"/>
        <v>3.9199999999999875</v>
      </c>
      <c r="AN74" s="3294">
        <f t="shared" si="5"/>
        <v>3.9199999999999875</v>
      </c>
    </row>
    <row r="75" spans="1:40" ht="22.35" customHeight="1" x14ac:dyDescent="0.2">
      <c r="A75" s="3356"/>
      <c r="B75" s="2821" t="s">
        <v>379</v>
      </c>
      <c r="C75" s="2945"/>
      <c r="D75" s="2817" t="s">
        <v>400</v>
      </c>
      <c r="E75" s="2817" t="s">
        <v>400</v>
      </c>
      <c r="F75" s="2817" t="s">
        <v>400</v>
      </c>
      <c r="G75" s="2817" t="s">
        <v>400</v>
      </c>
      <c r="H75" s="2817" t="s">
        <v>400</v>
      </c>
      <c r="I75" s="2817" t="s">
        <v>409</v>
      </c>
      <c r="J75" s="2918" t="s">
        <v>409</v>
      </c>
      <c r="K75" s="2918" t="s">
        <v>36</v>
      </c>
      <c r="L75" s="2918" t="s">
        <v>36</v>
      </c>
      <c r="M75" s="2918" t="s">
        <v>36</v>
      </c>
      <c r="N75" s="2918" t="s">
        <v>36</v>
      </c>
      <c r="O75" s="2918" t="s">
        <v>36</v>
      </c>
      <c r="P75" s="2945"/>
      <c r="Q75" s="2945"/>
      <c r="R75" s="2909">
        <v>4</v>
      </c>
      <c r="S75" s="2945">
        <v>4</v>
      </c>
      <c r="T75" s="2945">
        <v>4</v>
      </c>
      <c r="U75" s="2945">
        <v>4</v>
      </c>
      <c r="V75" s="2945">
        <v>4</v>
      </c>
      <c r="W75" s="2945"/>
      <c r="X75" s="2945"/>
      <c r="Y75" s="2817">
        <v>3</v>
      </c>
      <c r="Z75" s="2817">
        <v>3</v>
      </c>
      <c r="AA75" s="3017" t="s">
        <v>36</v>
      </c>
      <c r="AB75" s="2817" t="s">
        <v>257</v>
      </c>
      <c r="AC75" s="2817" t="s">
        <v>235</v>
      </c>
      <c r="AD75" s="2945"/>
      <c r="AE75" s="2814" t="s">
        <v>0</v>
      </c>
      <c r="AF75" s="2945" t="s">
        <v>36</v>
      </c>
      <c r="AG75" s="2741" t="s">
        <v>36</v>
      </c>
      <c r="AH75" s="1"/>
      <c r="AJ75" s="3293">
        <v>140.25</v>
      </c>
      <c r="AK75" s="3293">
        <v>5.5</v>
      </c>
      <c r="AL75" s="3293">
        <f t="shared" ref="AL75:AL91" si="7">IF(AJ75="","",SUM(AJ75:AK75))</f>
        <v>145.75</v>
      </c>
      <c r="AM75" s="3294">
        <f t="shared" ref="AM75:AM91" si="8">IF(AJ75="","",AL75-NormTid)</f>
        <v>-14.580000000000013</v>
      </c>
      <c r="AN75" s="3294">
        <f t="shared" ref="AN75:AN91" si="9">IF(AM75="","",AM75)</f>
        <v>-14.580000000000013</v>
      </c>
    </row>
    <row r="76" spans="1:40" ht="22.35" customHeight="1" x14ac:dyDescent="0.2">
      <c r="A76" s="3362"/>
      <c r="B76" s="3015" t="s">
        <v>446</v>
      </c>
      <c r="C76" s="2817"/>
      <c r="D76" s="2918">
        <v>79</v>
      </c>
      <c r="E76" s="2817">
        <v>79</v>
      </c>
      <c r="F76" s="2817">
        <v>79</v>
      </c>
      <c r="G76" s="2918">
        <v>79</v>
      </c>
      <c r="H76" s="2918">
        <v>79</v>
      </c>
      <c r="I76" s="2817"/>
      <c r="J76" s="2817"/>
      <c r="K76" s="2817" t="s">
        <v>257</v>
      </c>
      <c r="L76" s="2817">
        <v>3</v>
      </c>
      <c r="M76" s="2817" t="s">
        <v>36</v>
      </c>
      <c r="N76" s="2817" t="s">
        <v>257</v>
      </c>
      <c r="O76" s="2817">
        <v>3</v>
      </c>
      <c r="P76" s="2817"/>
      <c r="Q76" s="3363" t="s">
        <v>0</v>
      </c>
      <c r="R76" s="2817" t="s">
        <v>257</v>
      </c>
      <c r="S76" s="2817" t="s">
        <v>134</v>
      </c>
      <c r="T76" s="2817" t="s">
        <v>36</v>
      </c>
      <c r="U76" s="2817" t="s">
        <v>134</v>
      </c>
      <c r="V76" s="2909" t="s">
        <v>134</v>
      </c>
      <c r="W76" s="2832"/>
      <c r="X76" s="2814" t="s">
        <v>0</v>
      </c>
      <c r="Y76" s="3364">
        <v>26</v>
      </c>
      <c r="Z76" s="3364">
        <v>26</v>
      </c>
      <c r="AA76" s="3364">
        <v>26</v>
      </c>
      <c r="AB76" s="3364">
        <v>26</v>
      </c>
      <c r="AC76" s="3364">
        <v>26</v>
      </c>
      <c r="AD76" s="2832"/>
      <c r="AE76" s="3364">
        <v>26</v>
      </c>
      <c r="AF76" s="2817">
        <v>26</v>
      </c>
      <c r="AG76" s="2817">
        <v>26</v>
      </c>
      <c r="AH76" s="1"/>
      <c r="AJ76" s="3293">
        <v>169.5</v>
      </c>
      <c r="AK76" s="3293">
        <v>5.5</v>
      </c>
      <c r="AL76" s="3293">
        <f t="shared" si="7"/>
        <v>175</v>
      </c>
      <c r="AM76" s="3294">
        <f t="shared" si="8"/>
        <v>14.669999999999987</v>
      </c>
      <c r="AN76" s="3294">
        <f t="shared" si="9"/>
        <v>14.669999999999987</v>
      </c>
    </row>
    <row r="77" spans="1:40" ht="22.35" customHeight="1" x14ac:dyDescent="0.2">
      <c r="A77" s="3362"/>
      <c r="B77" s="2821" t="s">
        <v>447</v>
      </c>
      <c r="C77" s="2918"/>
      <c r="D77" s="2818">
        <v>3</v>
      </c>
      <c r="E77" s="2918" t="s">
        <v>353</v>
      </c>
      <c r="F77" s="2909">
        <v>3</v>
      </c>
      <c r="G77" s="3360">
        <v>3</v>
      </c>
      <c r="H77" s="2728">
        <v>3</v>
      </c>
      <c r="I77" s="2728"/>
      <c r="J77" s="2728"/>
      <c r="K77" s="2728" t="s">
        <v>32</v>
      </c>
      <c r="L77" s="2728" t="s">
        <v>32</v>
      </c>
      <c r="M77" s="3359" t="s">
        <v>51</v>
      </c>
      <c r="N77" s="2910" t="s">
        <v>32</v>
      </c>
      <c r="O77" s="2910" t="s">
        <v>32</v>
      </c>
      <c r="P77" s="2910"/>
      <c r="Q77" s="2817"/>
      <c r="R77" s="3365" t="s">
        <v>128</v>
      </c>
      <c r="S77" s="3017" t="s">
        <v>128</v>
      </c>
      <c r="T77" s="3365" t="s">
        <v>128</v>
      </c>
      <c r="U77" s="3365" t="s">
        <v>128</v>
      </c>
      <c r="V77" s="3365" t="s">
        <v>128</v>
      </c>
      <c r="W77" s="3017" t="s">
        <v>127</v>
      </c>
      <c r="X77" s="3365" t="s">
        <v>127</v>
      </c>
      <c r="Y77" s="2918" t="s">
        <v>36</v>
      </c>
      <c r="Z77" s="2918" t="s">
        <v>36</v>
      </c>
      <c r="AA77" s="2918" t="s">
        <v>36</v>
      </c>
      <c r="AB77" s="2918" t="s">
        <v>36</v>
      </c>
      <c r="AC77" s="2945" t="s">
        <v>36</v>
      </c>
      <c r="AD77" s="2918"/>
      <c r="AE77" s="2818"/>
      <c r="AF77" s="3074" t="s">
        <v>128</v>
      </c>
      <c r="AG77" s="3074" t="s">
        <v>128</v>
      </c>
      <c r="AH77" s="1"/>
      <c r="AJ77" s="3293">
        <v>163.75</v>
      </c>
      <c r="AK77" s="3293">
        <v>6.25</v>
      </c>
      <c r="AL77" s="3293">
        <f t="shared" si="7"/>
        <v>170</v>
      </c>
      <c r="AM77" s="3294">
        <f t="shared" si="8"/>
        <v>9.6699999999999875</v>
      </c>
      <c r="AN77" s="3294">
        <f t="shared" si="9"/>
        <v>9.6699999999999875</v>
      </c>
    </row>
    <row r="78" spans="1:40" ht="22.35" customHeight="1" thickBot="1" x14ac:dyDescent="0.25">
      <c r="A78" s="3362"/>
      <c r="B78" s="2821" t="s">
        <v>450</v>
      </c>
      <c r="C78" s="2944" t="s">
        <v>468</v>
      </c>
      <c r="D78" s="2818" t="s">
        <v>36</v>
      </c>
      <c r="E78" s="2918" t="s">
        <v>36</v>
      </c>
      <c r="F78" s="2918" t="s">
        <v>36</v>
      </c>
      <c r="G78" s="2918" t="s">
        <v>36</v>
      </c>
      <c r="H78" s="2918" t="s">
        <v>36</v>
      </c>
      <c r="I78" s="2817"/>
      <c r="J78" s="2817"/>
      <c r="K78" s="2817">
        <v>10</v>
      </c>
      <c r="L78" s="2817">
        <v>10</v>
      </c>
      <c r="M78" s="2817">
        <v>10</v>
      </c>
      <c r="N78" s="3366">
        <v>22</v>
      </c>
      <c r="O78" s="3366">
        <v>22</v>
      </c>
      <c r="P78" s="2817" t="s">
        <v>469</v>
      </c>
      <c r="Q78" s="2817" t="s">
        <v>53</v>
      </c>
      <c r="R78" s="2913" t="s">
        <v>470</v>
      </c>
      <c r="S78" s="2913" t="s">
        <v>58</v>
      </c>
      <c r="T78" s="2913" t="s">
        <v>58</v>
      </c>
      <c r="U78" s="2913" t="s">
        <v>58</v>
      </c>
      <c r="V78" s="2913" t="s">
        <v>58</v>
      </c>
      <c r="W78" s="2918"/>
      <c r="X78" s="2918"/>
      <c r="Y78" s="2817">
        <v>25</v>
      </c>
      <c r="Z78" s="2817">
        <v>25</v>
      </c>
      <c r="AA78" s="2817">
        <v>25</v>
      </c>
      <c r="AB78" s="2817">
        <v>25</v>
      </c>
      <c r="AC78" s="2817">
        <v>25</v>
      </c>
      <c r="AD78" s="2918"/>
      <c r="AE78" s="2818"/>
      <c r="AF78" s="3365" t="s">
        <v>398</v>
      </c>
      <c r="AG78" s="2817" t="s">
        <v>420</v>
      </c>
      <c r="AH78" s="1"/>
      <c r="AJ78" s="3293">
        <v>157.75</v>
      </c>
      <c r="AK78" s="3293">
        <v>7.75</v>
      </c>
      <c r="AL78" s="3293">
        <f t="shared" si="7"/>
        <v>165.5</v>
      </c>
      <c r="AM78" s="3294">
        <f t="shared" si="8"/>
        <v>5.1699999999999875</v>
      </c>
      <c r="AN78" s="3294">
        <f t="shared" si="9"/>
        <v>5.1699999999999875</v>
      </c>
    </row>
    <row r="79" spans="1:40" ht="22.35" customHeight="1" thickBot="1" x14ac:dyDescent="0.25">
      <c r="A79" s="3362"/>
      <c r="B79" s="2912" t="s">
        <v>217</v>
      </c>
      <c r="C79" s="2913"/>
      <c r="D79" s="2928" t="s">
        <v>58</v>
      </c>
      <c r="E79" s="2817">
        <v>1</v>
      </c>
      <c r="F79" s="2817" t="s">
        <v>58</v>
      </c>
      <c r="G79" s="2817">
        <v>6</v>
      </c>
      <c r="H79" s="2909">
        <v>6</v>
      </c>
      <c r="I79" s="2796"/>
      <c r="J79" s="2796"/>
      <c r="K79" s="3367" t="s">
        <v>128</v>
      </c>
      <c r="L79" s="3367" t="s">
        <v>128</v>
      </c>
      <c r="M79" s="1234" t="s">
        <v>128</v>
      </c>
      <c r="N79" s="2817">
        <v>3</v>
      </c>
      <c r="O79" s="2918" t="s">
        <v>36</v>
      </c>
      <c r="P79" s="3365" t="s">
        <v>127</v>
      </c>
      <c r="Q79" s="3365" t="s">
        <v>127</v>
      </c>
      <c r="R79" s="2817" t="s">
        <v>36</v>
      </c>
      <c r="S79" s="2817" t="s">
        <v>36</v>
      </c>
      <c r="T79" s="2817" t="s">
        <v>36</v>
      </c>
      <c r="U79" s="2817" t="s">
        <v>36</v>
      </c>
      <c r="V79" s="2817" t="s">
        <v>36</v>
      </c>
      <c r="W79" s="2913"/>
      <c r="X79" s="2913"/>
      <c r="Y79" s="3074" t="s">
        <v>128</v>
      </c>
      <c r="Z79" s="3074" t="s">
        <v>128</v>
      </c>
      <c r="AA79" s="2817" t="s">
        <v>128</v>
      </c>
      <c r="AB79" s="2817" t="s">
        <v>128</v>
      </c>
      <c r="AC79" s="2817" t="s">
        <v>128</v>
      </c>
      <c r="AD79" s="2817" t="s">
        <v>127</v>
      </c>
      <c r="AE79" s="2817" t="s">
        <v>127</v>
      </c>
      <c r="AF79" s="2913" t="s">
        <v>36</v>
      </c>
      <c r="AG79" s="2913" t="s">
        <v>36</v>
      </c>
      <c r="AH79" s="1"/>
      <c r="AJ79" s="3293">
        <v>162</v>
      </c>
      <c r="AK79" s="3293">
        <v>9.5</v>
      </c>
      <c r="AL79" s="3293">
        <f t="shared" si="7"/>
        <v>171.5</v>
      </c>
      <c r="AM79" s="3294">
        <f t="shared" si="8"/>
        <v>11.169999999999987</v>
      </c>
      <c r="AN79" s="3294">
        <f t="shared" si="9"/>
        <v>11.169999999999987</v>
      </c>
    </row>
    <row r="80" spans="1:40" ht="22.35" customHeight="1" thickBot="1" x14ac:dyDescent="0.25">
      <c r="A80" s="3362"/>
      <c r="B80" s="3358" t="s">
        <v>471</v>
      </c>
      <c r="C80" s="2918"/>
      <c r="D80" s="2818" t="s">
        <v>36</v>
      </c>
      <c r="E80" s="2918" t="s">
        <v>32</v>
      </c>
      <c r="F80" s="3365" t="s">
        <v>58</v>
      </c>
      <c r="G80" s="3365">
        <v>99</v>
      </c>
      <c r="H80" s="3365">
        <v>3</v>
      </c>
      <c r="I80" s="2817"/>
      <c r="J80" s="2817"/>
      <c r="K80" s="1110" t="s">
        <v>32</v>
      </c>
      <c r="L80" s="3363">
        <v>8</v>
      </c>
      <c r="M80" s="3363">
        <v>8</v>
      </c>
      <c r="N80" s="3363">
        <v>8</v>
      </c>
      <c r="O80" s="3363">
        <v>8</v>
      </c>
      <c r="P80" s="2817"/>
      <c r="Q80" s="2817"/>
      <c r="R80" s="2817">
        <v>3</v>
      </c>
      <c r="S80" s="2918" t="s">
        <v>353</v>
      </c>
      <c r="T80" s="2814">
        <v>3</v>
      </c>
      <c r="U80" s="2814">
        <v>3</v>
      </c>
      <c r="V80" s="2832">
        <v>3</v>
      </c>
      <c r="W80" s="2918"/>
      <c r="X80" s="2918"/>
      <c r="Y80" s="3368">
        <v>9</v>
      </c>
      <c r="Z80" s="3368">
        <v>9</v>
      </c>
      <c r="AA80" s="3368">
        <v>9</v>
      </c>
      <c r="AB80" s="3368">
        <v>9</v>
      </c>
      <c r="AC80" s="3368">
        <v>9</v>
      </c>
      <c r="AD80" s="3369" t="s">
        <v>80</v>
      </c>
      <c r="AE80" s="3369" t="s">
        <v>81</v>
      </c>
      <c r="AF80" s="2913" t="s">
        <v>36</v>
      </c>
      <c r="AG80" s="2913" t="s">
        <v>36</v>
      </c>
      <c r="AH80" s="1"/>
      <c r="AJ80" s="2509">
        <v>162.25</v>
      </c>
      <c r="AK80" s="2509">
        <v>7</v>
      </c>
      <c r="AL80" s="2509">
        <f>IF(AJ80="","",SUM(AJ80:AK80))</f>
        <v>169.25</v>
      </c>
      <c r="AM80" s="3370">
        <f>IF(AJ80="","",AL80-NormTid)</f>
        <v>8.9199999999999875</v>
      </c>
      <c r="AN80" s="3370">
        <f>IF(AM80="","",AM80)</f>
        <v>8.9199999999999875</v>
      </c>
    </row>
    <row r="81" spans="1:40" ht="22.35" customHeight="1" thickBot="1" x14ac:dyDescent="0.25">
      <c r="A81" s="3362"/>
      <c r="B81" s="2912" t="s">
        <v>0</v>
      </c>
      <c r="C81" s="2913"/>
      <c r="D81" s="2928" t="s">
        <v>0</v>
      </c>
      <c r="E81" s="2913"/>
      <c r="F81" s="2796"/>
      <c r="G81" s="2796"/>
      <c r="H81" s="2796"/>
      <c r="I81" s="2796"/>
      <c r="J81" s="2796"/>
      <c r="K81" s="2796"/>
      <c r="L81" s="2796"/>
      <c r="M81" s="2796"/>
      <c r="N81" s="2796"/>
      <c r="O81" s="2796"/>
      <c r="P81" s="2796"/>
      <c r="Q81" s="2796"/>
      <c r="R81" s="2796"/>
      <c r="S81" s="2796"/>
      <c r="T81" s="2913"/>
      <c r="U81" s="2913"/>
      <c r="V81" s="3371"/>
      <c r="W81" s="2913"/>
      <c r="X81" s="2913"/>
      <c r="Y81" s="2796"/>
      <c r="Z81" s="2913"/>
      <c r="AA81" s="2913"/>
      <c r="AB81" s="2913"/>
      <c r="AC81" s="2913"/>
      <c r="AD81" s="2913"/>
      <c r="AE81" s="2928"/>
      <c r="AF81" s="2913"/>
      <c r="AG81" s="645"/>
      <c r="AH81" s="1"/>
      <c r="AJ81" s="3293">
        <f t="shared" ref="AJ81:AJ91" si="10">$AJ$12</f>
        <v>160.33000000000001</v>
      </c>
      <c r="AK81" s="3293"/>
      <c r="AL81" s="3293">
        <f t="shared" si="7"/>
        <v>160.33000000000001</v>
      </c>
      <c r="AM81" s="3294">
        <f t="shared" si="8"/>
        <v>0</v>
      </c>
      <c r="AN81" s="3294">
        <f>IF(AM81="","",AM81)</f>
        <v>0</v>
      </c>
    </row>
    <row r="82" spans="1:40" ht="22.35" customHeight="1" thickBot="1" x14ac:dyDescent="0.25">
      <c r="A82" s="1685"/>
      <c r="B82" s="576" t="s">
        <v>147</v>
      </c>
      <c r="C82" s="679">
        <v>1</v>
      </c>
      <c r="D82" s="680">
        <v>2</v>
      </c>
      <c r="E82" s="680">
        <v>3</v>
      </c>
      <c r="F82" s="680">
        <v>4</v>
      </c>
      <c r="G82" s="680">
        <v>5</v>
      </c>
      <c r="H82" s="680">
        <v>6</v>
      </c>
      <c r="I82" s="679">
        <v>7</v>
      </c>
      <c r="J82" s="679">
        <v>8</v>
      </c>
      <c r="K82" s="680">
        <v>9</v>
      </c>
      <c r="L82" s="680">
        <v>10</v>
      </c>
      <c r="M82" s="680">
        <v>11</v>
      </c>
      <c r="N82" s="680">
        <v>12</v>
      </c>
      <c r="O82" s="680">
        <v>13</v>
      </c>
      <c r="P82" s="679">
        <v>14</v>
      </c>
      <c r="Q82" s="679">
        <v>15</v>
      </c>
      <c r="R82" s="680">
        <v>16</v>
      </c>
      <c r="S82" s="680">
        <v>17</v>
      </c>
      <c r="T82" s="680">
        <v>18</v>
      </c>
      <c r="U82" s="680">
        <v>19</v>
      </c>
      <c r="V82" s="680">
        <v>20</v>
      </c>
      <c r="W82" s="679">
        <v>21</v>
      </c>
      <c r="X82" s="679">
        <v>22</v>
      </c>
      <c r="Y82" s="680">
        <v>23</v>
      </c>
      <c r="Z82" s="680">
        <v>24</v>
      </c>
      <c r="AA82" s="680">
        <v>25</v>
      </c>
      <c r="AB82" s="680">
        <v>26</v>
      </c>
      <c r="AC82" s="680">
        <v>27</v>
      </c>
      <c r="AD82" s="679">
        <v>28</v>
      </c>
      <c r="AE82" s="679">
        <v>29</v>
      </c>
      <c r="AF82" s="680">
        <v>30</v>
      </c>
      <c r="AG82" s="681">
        <v>31</v>
      </c>
      <c r="AH82" s="1"/>
      <c r="AJ82" s="3293">
        <f t="shared" si="10"/>
        <v>160.33000000000001</v>
      </c>
      <c r="AK82" s="3293"/>
      <c r="AL82" s="3293">
        <f t="shared" si="7"/>
        <v>160.33000000000001</v>
      </c>
      <c r="AM82" s="3294">
        <f t="shared" si="8"/>
        <v>0</v>
      </c>
      <c r="AN82" s="3294">
        <f t="shared" si="9"/>
        <v>0</v>
      </c>
    </row>
    <row r="83" spans="1:40" ht="22.35" customHeight="1" thickBot="1" x14ac:dyDescent="0.25">
      <c r="A83" s="2991"/>
      <c r="B83" s="3247" t="s">
        <v>359</v>
      </c>
      <c r="C83" s="3317" t="s">
        <v>57</v>
      </c>
      <c r="D83" s="3318">
        <v>7</v>
      </c>
      <c r="E83" s="3316">
        <v>7</v>
      </c>
      <c r="F83" s="3316">
        <v>7</v>
      </c>
      <c r="G83" s="3316">
        <v>7</v>
      </c>
      <c r="H83" s="3316">
        <v>7</v>
      </c>
      <c r="I83" s="3316"/>
      <c r="J83" s="3318"/>
      <c r="K83" s="3318">
        <v>4</v>
      </c>
      <c r="L83" s="3318">
        <v>4</v>
      </c>
      <c r="M83" s="3318">
        <v>4</v>
      </c>
      <c r="N83" s="3318">
        <v>4</v>
      </c>
      <c r="O83" s="3318">
        <v>4</v>
      </c>
      <c r="P83" s="3318"/>
      <c r="Q83" s="3318"/>
      <c r="R83" s="3372">
        <v>3</v>
      </c>
      <c r="S83" s="3372">
        <v>3</v>
      </c>
      <c r="T83" s="3372">
        <v>3</v>
      </c>
      <c r="U83" s="3372">
        <v>3</v>
      </c>
      <c r="V83" s="3373">
        <v>3</v>
      </c>
      <c r="W83" s="3318"/>
      <c r="X83" s="3317"/>
      <c r="Y83" s="3316">
        <v>11</v>
      </c>
      <c r="Z83" s="3316">
        <v>11</v>
      </c>
      <c r="AA83" s="3316">
        <v>11</v>
      </c>
      <c r="AB83" s="3316">
        <v>11</v>
      </c>
      <c r="AC83" s="3339">
        <v>11</v>
      </c>
      <c r="AD83" s="3316" t="s">
        <v>94</v>
      </c>
      <c r="AE83" s="3316" t="s">
        <v>94</v>
      </c>
      <c r="AF83" s="3316" t="s">
        <v>36</v>
      </c>
      <c r="AG83" s="3322" t="s">
        <v>36</v>
      </c>
      <c r="AH83" s="1"/>
      <c r="AJ83" s="3293">
        <v>190</v>
      </c>
      <c r="AK83" s="3293">
        <v>8.75</v>
      </c>
      <c r="AL83" s="3293">
        <f t="shared" si="7"/>
        <v>198.75</v>
      </c>
      <c r="AM83" s="3294">
        <f t="shared" si="8"/>
        <v>38.419999999999987</v>
      </c>
      <c r="AN83" s="3294">
        <f t="shared" si="9"/>
        <v>38.419999999999987</v>
      </c>
    </row>
    <row r="84" spans="1:40" ht="22.35" customHeight="1" x14ac:dyDescent="0.2">
      <c r="A84" s="977"/>
      <c r="B84" s="3247" t="s">
        <v>472</v>
      </c>
      <c r="C84" s="3293"/>
      <c r="D84" s="3293"/>
      <c r="E84" s="3293"/>
      <c r="F84" s="3293"/>
      <c r="G84" s="3293"/>
      <c r="H84" s="3293"/>
      <c r="I84" s="3293"/>
      <c r="J84" s="3293"/>
      <c r="K84" s="3293"/>
      <c r="L84" s="3293"/>
      <c r="M84" s="3293"/>
      <c r="N84" s="3293"/>
      <c r="O84" s="3293"/>
      <c r="P84" s="3293"/>
      <c r="Q84" s="3293"/>
      <c r="R84" s="3293"/>
      <c r="S84" s="3293"/>
      <c r="T84" s="3293"/>
      <c r="U84" s="1234" t="s">
        <v>58</v>
      </c>
      <c r="V84" s="1234">
        <v>3</v>
      </c>
      <c r="W84" s="3293"/>
      <c r="X84" s="3293"/>
      <c r="Y84" s="1234" t="s">
        <v>58</v>
      </c>
      <c r="Z84" s="1234" t="s">
        <v>398</v>
      </c>
      <c r="AA84" s="1234" t="s">
        <v>398</v>
      </c>
      <c r="AB84" s="1234" t="s">
        <v>420</v>
      </c>
      <c r="AC84" s="1234" t="s">
        <v>420</v>
      </c>
      <c r="AD84" s="1234" t="s">
        <v>405</v>
      </c>
      <c r="AE84" s="1234" t="s">
        <v>409</v>
      </c>
      <c r="AF84" s="3316" t="s">
        <v>36</v>
      </c>
      <c r="AG84" s="3316" t="s">
        <v>36</v>
      </c>
      <c r="AH84" s="1"/>
      <c r="AJ84" s="3293">
        <v>86.5</v>
      </c>
      <c r="AK84" s="3293"/>
      <c r="AL84" s="3293">
        <f t="shared" si="7"/>
        <v>86.5</v>
      </c>
      <c r="AM84" s="3294">
        <f t="shared" si="8"/>
        <v>-73.830000000000013</v>
      </c>
      <c r="AN84" s="3294">
        <f t="shared" si="9"/>
        <v>-73.830000000000013</v>
      </c>
    </row>
    <row r="85" spans="1:40" ht="22.35" customHeight="1" x14ac:dyDescent="0.2">
      <c r="A85" s="977"/>
      <c r="B85" s="3247" t="s">
        <v>0</v>
      </c>
      <c r="C85" s="3293"/>
      <c r="D85" s="3293"/>
      <c r="E85" s="3293"/>
      <c r="F85" s="3293"/>
      <c r="G85" s="3293"/>
      <c r="H85" s="3293"/>
      <c r="I85" s="3293"/>
      <c r="J85" s="3293"/>
      <c r="K85" s="3293"/>
      <c r="L85" s="3293"/>
      <c r="M85" s="3293"/>
      <c r="N85" s="3293"/>
      <c r="O85" s="3293"/>
      <c r="P85" s="3293"/>
      <c r="Q85" s="3293"/>
      <c r="R85" s="3293"/>
      <c r="S85" s="3293"/>
      <c r="T85" s="3293"/>
      <c r="U85" s="3293"/>
      <c r="V85" s="3293"/>
      <c r="W85" s="3293"/>
      <c r="X85" s="3293"/>
      <c r="Y85" s="3293"/>
      <c r="Z85" s="3293"/>
      <c r="AA85" s="3293"/>
      <c r="AB85" s="3293"/>
      <c r="AC85" s="3293"/>
      <c r="AD85" s="3293"/>
      <c r="AE85" s="3293"/>
      <c r="AF85" s="3293"/>
      <c r="AG85" s="3293"/>
      <c r="AH85" s="1"/>
      <c r="AJ85" s="3293">
        <f t="shared" si="10"/>
        <v>160.33000000000001</v>
      </c>
      <c r="AK85" s="3293"/>
      <c r="AL85" s="3293">
        <f t="shared" si="7"/>
        <v>160.33000000000001</v>
      </c>
      <c r="AM85" s="3294">
        <f t="shared" si="8"/>
        <v>0</v>
      </c>
      <c r="AN85" s="3294">
        <f t="shared" si="9"/>
        <v>0</v>
      </c>
    </row>
    <row r="86" spans="1:40" ht="22.35" customHeight="1" x14ac:dyDescent="0.2">
      <c r="A86" s="977"/>
      <c r="B86" s="3247" t="s">
        <v>0</v>
      </c>
      <c r="C86" s="3293"/>
      <c r="D86" s="3293"/>
      <c r="E86" s="3293"/>
      <c r="F86" s="3293"/>
      <c r="G86" s="3293"/>
      <c r="H86" s="3293"/>
      <c r="I86" s="3293"/>
      <c r="J86" s="3293"/>
      <c r="K86" s="3293"/>
      <c r="L86" s="3293"/>
      <c r="M86" s="3293"/>
      <c r="N86" s="3293"/>
      <c r="O86" s="3293"/>
      <c r="P86" s="3293"/>
      <c r="Q86" s="3293"/>
      <c r="R86" s="3293"/>
      <c r="S86" s="3293"/>
      <c r="T86" s="3293"/>
      <c r="U86" s="3293"/>
      <c r="V86" s="3293"/>
      <c r="W86" s="3293"/>
      <c r="X86" s="3293"/>
      <c r="Y86" s="3293"/>
      <c r="Z86" s="3293"/>
      <c r="AA86" s="3293"/>
      <c r="AB86" s="3293"/>
      <c r="AC86" s="3293"/>
      <c r="AD86" s="3293"/>
      <c r="AE86" s="3293"/>
      <c r="AF86" s="3293"/>
      <c r="AG86" s="1312"/>
      <c r="AH86" s="1"/>
      <c r="AJ86" s="3293">
        <f t="shared" si="10"/>
        <v>160.33000000000001</v>
      </c>
      <c r="AK86" s="3293"/>
      <c r="AL86" s="3293">
        <f t="shared" si="7"/>
        <v>160.33000000000001</v>
      </c>
      <c r="AM86" s="3294">
        <f t="shared" si="8"/>
        <v>0</v>
      </c>
      <c r="AN86" s="3294">
        <f t="shared" si="9"/>
        <v>0</v>
      </c>
    </row>
    <row r="87" spans="1:40" ht="22.35" customHeight="1" x14ac:dyDescent="0.2">
      <c r="A87" s="977"/>
      <c r="B87" s="3247" t="s">
        <v>0</v>
      </c>
      <c r="C87" s="3293"/>
      <c r="D87" s="3293"/>
      <c r="E87" s="3293"/>
      <c r="F87" s="3293"/>
      <c r="G87" s="3293"/>
      <c r="H87" s="3293"/>
      <c r="I87" s="3293"/>
      <c r="J87" s="3293"/>
      <c r="K87" s="3293"/>
      <c r="L87" s="3293"/>
      <c r="M87" s="3293"/>
      <c r="N87" s="3293"/>
      <c r="O87" s="3293"/>
      <c r="P87" s="3293"/>
      <c r="Q87" s="3293"/>
      <c r="R87" s="3293"/>
      <c r="S87" s="3293"/>
      <c r="T87" s="3293"/>
      <c r="U87" s="3293"/>
      <c r="V87" s="3293"/>
      <c r="W87" s="3293"/>
      <c r="X87" s="3293"/>
      <c r="Y87" s="3293"/>
      <c r="Z87" s="3293"/>
      <c r="AA87" s="3293"/>
      <c r="AB87" s="3293"/>
      <c r="AC87" s="3293"/>
      <c r="AD87" s="3293"/>
      <c r="AE87" s="3293"/>
      <c r="AF87" s="3293"/>
      <c r="AG87" s="1312"/>
      <c r="AH87" s="1"/>
      <c r="AJ87" s="3293">
        <f t="shared" si="10"/>
        <v>160.33000000000001</v>
      </c>
      <c r="AK87" s="3293"/>
      <c r="AL87" s="3293">
        <f t="shared" si="7"/>
        <v>160.33000000000001</v>
      </c>
      <c r="AM87" s="3294">
        <f t="shared" si="8"/>
        <v>0</v>
      </c>
      <c r="AN87" s="3294">
        <f t="shared" si="9"/>
        <v>0</v>
      </c>
    </row>
    <row r="88" spans="1:40" ht="22.35" customHeight="1" x14ac:dyDescent="0.2">
      <c r="A88" s="977"/>
      <c r="B88" s="3247" t="s">
        <v>0</v>
      </c>
      <c r="C88" s="3249"/>
      <c r="D88" s="3249"/>
      <c r="E88" s="3249"/>
      <c r="F88" s="3304"/>
      <c r="G88" s="3304"/>
      <c r="H88" s="3248"/>
      <c r="I88" s="3248"/>
      <c r="J88" s="3248"/>
      <c r="K88" s="3248"/>
      <c r="L88" s="3248"/>
      <c r="M88" s="3248"/>
      <c r="N88" s="3248"/>
      <c r="O88" s="3248"/>
      <c r="P88" s="3248"/>
      <c r="Q88" s="3248"/>
      <c r="R88" s="3248"/>
      <c r="S88" s="3248"/>
      <c r="T88" s="3248"/>
      <c r="U88" s="3248"/>
      <c r="V88" s="3248"/>
      <c r="W88" s="3248"/>
      <c r="X88" s="3248"/>
      <c r="Y88" s="3248"/>
      <c r="Z88" s="3248"/>
      <c r="AA88" s="3248"/>
      <c r="AB88" s="3248"/>
      <c r="AC88" s="3248"/>
      <c r="AD88" s="3248"/>
      <c r="AE88" s="3248"/>
      <c r="AF88" s="3248"/>
      <c r="AG88" s="3253"/>
      <c r="AH88" s="1"/>
      <c r="AJ88" s="3293">
        <f t="shared" si="10"/>
        <v>160.33000000000001</v>
      </c>
      <c r="AK88" s="3293"/>
      <c r="AL88" s="3293">
        <f t="shared" si="7"/>
        <v>160.33000000000001</v>
      </c>
      <c r="AM88" s="3294">
        <f t="shared" si="8"/>
        <v>0</v>
      </c>
      <c r="AN88" s="3294">
        <f t="shared" si="9"/>
        <v>0</v>
      </c>
    </row>
    <row r="89" spans="1:40" ht="22.35" customHeight="1" x14ac:dyDescent="0.2">
      <c r="A89" s="1685"/>
      <c r="B89" s="3247" t="s">
        <v>0</v>
      </c>
      <c r="C89" s="3249"/>
      <c r="D89" s="3249"/>
      <c r="E89" s="3249"/>
      <c r="F89" s="3304"/>
      <c r="G89" s="3304"/>
      <c r="H89" s="3248"/>
      <c r="I89" s="3248"/>
      <c r="J89" s="3248"/>
      <c r="K89" s="3248"/>
      <c r="L89" s="3248"/>
      <c r="M89" s="3248"/>
      <c r="N89" s="3248"/>
      <c r="O89" s="3248"/>
      <c r="P89" s="3248"/>
      <c r="Q89" s="3248"/>
      <c r="R89" s="3248"/>
      <c r="S89" s="3248"/>
      <c r="T89" s="3248"/>
      <c r="U89" s="3248"/>
      <c r="V89" s="3248"/>
      <c r="W89" s="3248"/>
      <c r="X89" s="3248"/>
      <c r="Y89" s="3248"/>
      <c r="Z89" s="3248"/>
      <c r="AA89" s="3248"/>
      <c r="AB89" s="3248"/>
      <c r="AC89" s="3248"/>
      <c r="AD89" s="3248"/>
      <c r="AE89" s="3248"/>
      <c r="AF89" s="3248"/>
      <c r="AG89" s="3253"/>
      <c r="AH89" s="1"/>
      <c r="AJ89" s="3293">
        <f t="shared" si="10"/>
        <v>160.33000000000001</v>
      </c>
      <c r="AK89" s="3293"/>
      <c r="AL89" s="3293">
        <f t="shared" si="7"/>
        <v>160.33000000000001</v>
      </c>
      <c r="AM89" s="3294">
        <f t="shared" si="8"/>
        <v>0</v>
      </c>
      <c r="AN89" s="3294">
        <f t="shared" si="9"/>
        <v>0</v>
      </c>
    </row>
    <row r="90" spans="1:40" ht="22.35" customHeight="1" x14ac:dyDescent="0.2">
      <c r="A90" s="1685"/>
      <c r="B90" s="3247" t="s">
        <v>0</v>
      </c>
      <c r="C90" s="3249"/>
      <c r="D90" s="3249"/>
      <c r="E90" s="3249"/>
      <c r="F90" s="3304"/>
      <c r="G90" s="3304"/>
      <c r="H90" s="3248"/>
      <c r="I90" s="3248"/>
      <c r="J90" s="3248"/>
      <c r="K90" s="3248"/>
      <c r="L90" s="3248"/>
      <c r="M90" s="3248"/>
      <c r="N90" s="3248"/>
      <c r="O90" s="3248"/>
      <c r="P90" s="3248"/>
      <c r="Q90" s="3248"/>
      <c r="R90" s="3248"/>
      <c r="S90" s="3248"/>
      <c r="T90" s="3248"/>
      <c r="U90" s="3248"/>
      <c r="V90" s="3248"/>
      <c r="W90" s="3248"/>
      <c r="X90" s="3248"/>
      <c r="Y90" s="3248"/>
      <c r="Z90" s="3248"/>
      <c r="AA90" s="3248"/>
      <c r="AB90" s="3248"/>
      <c r="AC90" s="3248"/>
      <c r="AD90" s="3248"/>
      <c r="AE90" s="3248"/>
      <c r="AF90" s="3248"/>
      <c r="AG90" s="3253"/>
      <c r="AH90" s="1"/>
      <c r="AJ90" s="3293">
        <f t="shared" si="10"/>
        <v>160.33000000000001</v>
      </c>
      <c r="AK90" s="3293"/>
      <c r="AL90" s="3293">
        <f t="shared" si="7"/>
        <v>160.33000000000001</v>
      </c>
      <c r="AM90" s="3294">
        <f t="shared" si="8"/>
        <v>0</v>
      </c>
      <c r="AN90" s="3294">
        <f t="shared" si="9"/>
        <v>0</v>
      </c>
    </row>
    <row r="91" spans="1:40" ht="22.35" customHeight="1" thickBot="1" x14ac:dyDescent="0.25">
      <c r="A91" s="979"/>
      <c r="B91" s="1091" t="s">
        <v>0</v>
      </c>
      <c r="C91" s="3099"/>
      <c r="D91" s="3099"/>
      <c r="E91" s="3099"/>
      <c r="F91" s="1693"/>
      <c r="G91" s="1693"/>
      <c r="H91" s="1093"/>
      <c r="I91" s="1093"/>
      <c r="J91" s="1093"/>
      <c r="K91" s="1093"/>
      <c r="L91" s="1093"/>
      <c r="M91" s="1093"/>
      <c r="N91" s="1093"/>
      <c r="O91" s="1093"/>
      <c r="P91" s="1093"/>
      <c r="Q91" s="1093"/>
      <c r="R91" s="1093"/>
      <c r="S91" s="1093"/>
      <c r="T91" s="1093"/>
      <c r="U91" s="1093"/>
      <c r="V91" s="1093"/>
      <c r="W91" s="1093"/>
      <c r="X91" s="1093"/>
      <c r="Y91" s="1093"/>
      <c r="Z91" s="1093"/>
      <c r="AA91" s="1093"/>
      <c r="AB91" s="1093"/>
      <c r="AC91" s="1093"/>
      <c r="AD91" s="1093"/>
      <c r="AE91" s="1093"/>
      <c r="AF91" s="1093"/>
      <c r="AG91" s="3100"/>
      <c r="AH91" s="1"/>
      <c r="AJ91" s="3293">
        <f t="shared" si="10"/>
        <v>160.33000000000001</v>
      </c>
      <c r="AK91" s="3293"/>
      <c r="AL91" s="3293">
        <f t="shared" si="7"/>
        <v>160.33000000000001</v>
      </c>
      <c r="AM91" s="3294">
        <f t="shared" si="8"/>
        <v>0</v>
      </c>
      <c r="AN91" s="3294">
        <f t="shared" si="9"/>
        <v>0</v>
      </c>
    </row>
    <row r="92" spans="1:40" ht="22.35" customHeight="1" thickBot="1" x14ac:dyDescent="0.25">
      <c r="A92" s="64"/>
      <c r="B92" s="1371" t="s">
        <v>150</v>
      </c>
      <c r="C92" s="1372"/>
      <c r="D92" s="1373"/>
      <c r="E92" s="1373"/>
      <c r="F92" s="1373"/>
      <c r="G92" s="1373"/>
      <c r="H92" s="1373"/>
      <c r="I92" s="1372"/>
      <c r="J92" s="1372"/>
      <c r="K92" s="1373"/>
      <c r="L92" s="1373"/>
      <c r="M92" s="1373"/>
      <c r="N92" s="1373"/>
      <c r="O92" s="1373"/>
      <c r="P92" s="1372"/>
      <c r="Q92" s="1372"/>
      <c r="R92" s="1372"/>
      <c r="S92" s="1374"/>
      <c r="T92" s="1374"/>
      <c r="U92" s="1374"/>
      <c r="V92" s="1372"/>
      <c r="W92" s="1372"/>
      <c r="X92" s="1372"/>
      <c r="Y92" s="1372"/>
      <c r="Z92" s="1372"/>
      <c r="AA92" s="1372"/>
      <c r="AB92" s="1372"/>
      <c r="AC92" s="1372"/>
      <c r="AD92" s="1372"/>
      <c r="AE92" s="1372"/>
      <c r="AF92" s="1372"/>
      <c r="AG92" s="1375"/>
      <c r="AH92" s="1"/>
      <c r="AJ92" s="2293"/>
      <c r="AK92" s="2293"/>
      <c r="AL92" s="2293"/>
      <c r="AM92" s="2294"/>
      <c r="AN92" s="2294"/>
    </row>
    <row r="93" spans="1:40" ht="22.35" customHeight="1" thickBot="1" x14ac:dyDescent="0.25">
      <c r="A93" s="1941"/>
      <c r="B93" s="1942" t="s">
        <v>151</v>
      </c>
      <c r="C93" s="1943"/>
      <c r="D93" s="1944">
        <v>1</v>
      </c>
      <c r="E93" s="1943" t="s">
        <v>86</v>
      </c>
      <c r="F93" s="1945">
        <v>1</v>
      </c>
      <c r="G93" s="1945">
        <v>1</v>
      </c>
      <c r="H93" s="1945">
        <v>1</v>
      </c>
      <c r="I93" s="1945"/>
      <c r="J93" s="1945"/>
      <c r="K93" s="3258">
        <v>9</v>
      </c>
      <c r="L93" s="3258">
        <v>9</v>
      </c>
      <c r="M93" s="3258">
        <v>9</v>
      </c>
      <c r="N93" s="3258">
        <v>9</v>
      </c>
      <c r="O93" s="3258">
        <v>9</v>
      </c>
      <c r="P93" s="3258" t="s">
        <v>80</v>
      </c>
      <c r="Q93" s="3258" t="s">
        <v>81</v>
      </c>
      <c r="R93" s="3258" t="s">
        <v>36</v>
      </c>
      <c r="S93" s="3258" t="s">
        <v>36</v>
      </c>
      <c r="T93" s="3258" t="s">
        <v>36</v>
      </c>
      <c r="U93" s="3258" t="s">
        <v>36</v>
      </c>
      <c r="V93" s="3258" t="s">
        <v>36</v>
      </c>
      <c r="W93" s="3261" t="s">
        <v>82</v>
      </c>
      <c r="X93" s="2918" t="s">
        <v>83</v>
      </c>
      <c r="Y93" s="3277">
        <v>6</v>
      </c>
      <c r="Z93" s="2918" t="s">
        <v>32</v>
      </c>
      <c r="AA93" s="2918">
        <v>6</v>
      </c>
      <c r="AB93" s="2918">
        <v>6</v>
      </c>
      <c r="AC93" s="2918">
        <v>6</v>
      </c>
      <c r="AD93" s="2918"/>
      <c r="AE93" s="2918"/>
      <c r="AF93" s="2918" t="s">
        <v>36</v>
      </c>
      <c r="AG93" s="2922" t="s">
        <v>36</v>
      </c>
      <c r="AH93" s="1"/>
      <c r="AJ93" s="190"/>
      <c r="AK93" s="190"/>
      <c r="AL93" s="190"/>
      <c r="AM93" s="328"/>
      <c r="AN93" s="328"/>
    </row>
    <row r="94" spans="1:40" ht="22.35" customHeight="1" x14ac:dyDescent="0.2">
      <c r="A94" s="324"/>
      <c r="AH94" s="1"/>
      <c r="AJ94" s="190"/>
      <c r="AK94" s="190"/>
      <c r="AL94" s="190"/>
      <c r="AM94" s="190"/>
      <c r="AN94" s="190"/>
    </row>
    <row r="95" spans="1:40" ht="22.35" customHeight="1" thickBot="1" x14ac:dyDescent="0.25">
      <c r="A95" s="2995"/>
      <c r="B95" s="2890" t="s">
        <v>29</v>
      </c>
      <c r="C95" s="3242">
        <v>1</v>
      </c>
      <c r="D95" s="3243">
        <v>2</v>
      </c>
      <c r="E95" s="3243">
        <v>3</v>
      </c>
      <c r="F95" s="3243">
        <v>4</v>
      </c>
      <c r="G95" s="3243">
        <v>5</v>
      </c>
      <c r="H95" s="3243">
        <v>6</v>
      </c>
      <c r="I95" s="3242">
        <v>7</v>
      </c>
      <c r="J95" s="3242">
        <v>8</v>
      </c>
      <c r="K95" s="3243">
        <v>9</v>
      </c>
      <c r="L95" s="3243">
        <v>10</v>
      </c>
      <c r="M95" s="3243">
        <v>11</v>
      </c>
      <c r="N95" s="3243">
        <v>12</v>
      </c>
      <c r="O95" s="3243">
        <v>13</v>
      </c>
      <c r="P95" s="3242">
        <v>14</v>
      </c>
      <c r="Q95" s="3242">
        <v>15</v>
      </c>
      <c r="R95" s="3243">
        <v>16</v>
      </c>
      <c r="S95" s="3243">
        <v>17</v>
      </c>
      <c r="T95" s="3243">
        <v>18</v>
      </c>
      <c r="U95" s="3243">
        <v>19</v>
      </c>
      <c r="V95" s="3243">
        <v>20</v>
      </c>
      <c r="W95" s="3242">
        <v>21</v>
      </c>
      <c r="X95" s="3242">
        <v>22</v>
      </c>
      <c r="Y95" s="3243">
        <v>23</v>
      </c>
      <c r="Z95" s="3243">
        <v>24</v>
      </c>
      <c r="AA95" s="3243">
        <v>25</v>
      </c>
      <c r="AB95" s="3243">
        <v>26</v>
      </c>
      <c r="AC95" s="3243">
        <v>27</v>
      </c>
      <c r="AD95" s="3242">
        <v>28</v>
      </c>
      <c r="AE95" s="3242">
        <v>29</v>
      </c>
      <c r="AF95" s="3243">
        <v>30</v>
      </c>
      <c r="AG95" s="3244">
        <v>31</v>
      </c>
      <c r="AH95" s="1"/>
    </row>
    <row r="96" spans="1:40" ht="22.35" customHeight="1" x14ac:dyDescent="0.2">
      <c r="A96" s="2995"/>
      <c r="B96" s="3374" t="s">
        <v>152</v>
      </c>
      <c r="C96" s="3317"/>
      <c r="D96" s="3339"/>
      <c r="E96" s="3317"/>
      <c r="F96" s="3317"/>
      <c r="G96" s="3317"/>
      <c r="H96" s="3317"/>
      <c r="I96" s="3317"/>
      <c r="J96" s="3317"/>
      <c r="K96" s="3317"/>
      <c r="L96" s="3317"/>
      <c r="M96" s="3317"/>
      <c r="N96" s="3317"/>
      <c r="O96" s="3317"/>
      <c r="P96" s="3317"/>
      <c r="Q96" s="3317"/>
      <c r="R96" s="3317"/>
      <c r="S96" s="3317"/>
      <c r="T96" s="3317"/>
      <c r="U96" s="3317"/>
      <c r="V96" s="3317"/>
      <c r="W96" s="3317"/>
      <c r="X96" s="3317"/>
      <c r="Y96" s="3317"/>
      <c r="Z96" s="3317"/>
      <c r="AA96" s="3317"/>
      <c r="AB96" s="3317"/>
      <c r="AC96" s="3317"/>
      <c r="AD96" s="3317"/>
      <c r="AE96" s="3317"/>
      <c r="AF96" s="3317"/>
      <c r="AG96" s="3343"/>
      <c r="AH96" s="1"/>
    </row>
    <row r="97" spans="1:40" ht="22.35" customHeight="1" x14ac:dyDescent="0.2">
      <c r="A97" s="2995"/>
      <c r="B97" s="3265"/>
      <c r="C97" s="2984"/>
      <c r="D97" s="2984"/>
      <c r="E97" s="2984"/>
      <c r="F97" s="3258"/>
      <c r="G97" s="3258"/>
      <c r="H97" s="2984"/>
      <c r="I97" s="2984"/>
      <c r="J97" s="2984"/>
      <c r="K97" s="2984"/>
      <c r="L97" s="2984"/>
      <c r="M97" s="2984"/>
      <c r="N97" s="2984"/>
      <c r="O97" s="2984"/>
      <c r="P97" s="2984"/>
      <c r="Q97" s="2984"/>
      <c r="R97" s="2984"/>
      <c r="S97" s="2984"/>
      <c r="T97" s="3277"/>
      <c r="U97" s="2984"/>
      <c r="V97" s="2984"/>
      <c r="W97" s="2984"/>
      <c r="X97" s="2984"/>
      <c r="Y97" s="2984"/>
      <c r="Z97" s="2984"/>
      <c r="AA97" s="2984"/>
      <c r="AB97" s="2984"/>
      <c r="AC97" s="2984"/>
      <c r="AD97" s="2984"/>
      <c r="AE97" s="2984"/>
      <c r="AF97" s="2984"/>
      <c r="AG97" s="2996"/>
      <c r="AH97" s="1"/>
    </row>
    <row r="98" spans="1:40" ht="22.35" customHeight="1" x14ac:dyDescent="0.2">
      <c r="A98" s="2995"/>
      <c r="B98" s="3265"/>
      <c r="C98" s="3277"/>
      <c r="D98" s="3277"/>
      <c r="E98" s="3277"/>
      <c r="F98" s="3277"/>
      <c r="G98" s="3277"/>
      <c r="H98" s="3277"/>
      <c r="I98" s="3277"/>
      <c r="J98" s="3277"/>
      <c r="K98" s="3277"/>
      <c r="L98" s="3277"/>
      <c r="M98" s="3277"/>
      <c r="N98" s="3277"/>
      <c r="O98" s="3277"/>
      <c r="P98" s="3277"/>
      <c r="Q98" s="3277"/>
      <c r="R98" s="3277"/>
      <c r="S98" s="3277"/>
      <c r="T98" s="3277"/>
      <c r="U98" s="3277"/>
      <c r="V98" s="3277"/>
      <c r="W98" s="3277"/>
      <c r="X98" s="3277"/>
      <c r="Y98" s="3277"/>
      <c r="Z98" s="3277"/>
      <c r="AA98" s="3277"/>
      <c r="AB98" s="3277"/>
      <c r="AC98" s="3277"/>
      <c r="AD98" s="3277"/>
      <c r="AE98" s="3277"/>
      <c r="AF98" s="3277"/>
      <c r="AG98" s="2911"/>
      <c r="AH98" s="1"/>
    </row>
    <row r="99" spans="1:40" ht="22.35" customHeight="1" thickBot="1" x14ac:dyDescent="0.25">
      <c r="A99" s="197"/>
      <c r="B99" s="2912"/>
      <c r="C99" s="3300"/>
      <c r="D99" s="3300"/>
      <c r="E99" s="3300"/>
      <c r="F99" s="3300"/>
      <c r="G99" s="3300"/>
      <c r="H99" s="3300"/>
      <c r="I99" s="3300"/>
      <c r="J99" s="3300"/>
      <c r="K99" s="3300"/>
      <c r="L99" s="3300"/>
      <c r="M99" s="3300"/>
      <c r="N99" s="3300"/>
      <c r="O99" s="3300"/>
      <c r="P99" s="3300"/>
      <c r="Q99" s="3300"/>
      <c r="R99" s="3300"/>
      <c r="S99" s="3300"/>
      <c r="T99" s="3300"/>
      <c r="U99" s="3300"/>
      <c r="V99" s="3300"/>
      <c r="W99" s="3300"/>
      <c r="X99" s="3300"/>
      <c r="Y99" s="3300"/>
      <c r="Z99" s="3300"/>
      <c r="AA99" s="3300"/>
      <c r="AB99" s="3300"/>
      <c r="AC99" s="3300"/>
      <c r="AD99" s="3300"/>
      <c r="AE99" s="3300"/>
      <c r="AF99" s="3300"/>
      <c r="AG99" s="3244"/>
      <c r="AH99" s="1"/>
    </row>
    <row r="100" spans="1:40" ht="22.35" customHeight="1" x14ac:dyDescent="0.2">
      <c r="A100" s="197"/>
      <c r="B100" s="198"/>
      <c r="C100" s="218"/>
      <c r="D100" s="218"/>
      <c r="E100" s="218"/>
      <c r="F100" s="218"/>
      <c r="G100" s="218"/>
      <c r="H100" s="218"/>
      <c r="I100" s="218"/>
      <c r="J100" s="218"/>
      <c r="K100" s="218"/>
      <c r="L100" s="218"/>
      <c r="M100" s="218"/>
      <c r="N100" s="218"/>
      <c r="O100" s="218"/>
      <c r="P100" s="218"/>
      <c r="Q100" s="218"/>
      <c r="R100" s="218"/>
      <c r="S100" s="218"/>
      <c r="T100" s="218"/>
      <c r="U100" s="218"/>
      <c r="V100" s="218"/>
      <c r="W100" s="218"/>
      <c r="X100" s="218"/>
      <c r="Y100" s="218"/>
      <c r="Z100" s="218"/>
      <c r="AA100" s="218"/>
      <c r="AB100" s="218"/>
      <c r="AC100" s="218"/>
      <c r="AD100" s="218"/>
      <c r="AE100" s="218"/>
      <c r="AF100" s="218"/>
      <c r="AG100" s="199"/>
      <c r="AH100" s="1"/>
    </row>
    <row r="101" spans="1:40" ht="22.35" customHeight="1" thickBot="1" x14ac:dyDescent="0.25">
      <c r="A101" s="345" t="s">
        <v>395</v>
      </c>
      <c r="B101" s="198"/>
      <c r="C101" s="218"/>
      <c r="D101" s="218"/>
      <c r="E101" s="218"/>
      <c r="F101" s="218"/>
      <c r="G101" s="218"/>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199"/>
      <c r="AH101" s="1"/>
    </row>
    <row r="102" spans="1:40" ht="22.35" customHeight="1" thickBot="1" x14ac:dyDescent="0.3">
      <c r="A102" s="197"/>
      <c r="B102" s="346" t="s">
        <v>411</v>
      </c>
      <c r="C102" s="347"/>
      <c r="D102" s="347"/>
      <c r="E102" s="348" t="s">
        <v>456</v>
      </c>
      <c r="F102" s="347"/>
      <c r="G102" s="347"/>
      <c r="H102" s="347"/>
      <c r="I102" s="347"/>
      <c r="J102" s="347"/>
      <c r="K102" s="348" t="s">
        <v>457</v>
      </c>
      <c r="L102" s="347"/>
      <c r="M102" s="347"/>
      <c r="N102" s="347"/>
      <c r="O102" s="347"/>
      <c r="P102" s="347"/>
      <c r="Q102" s="348" t="s">
        <v>458</v>
      </c>
      <c r="R102" s="347"/>
      <c r="S102" s="347"/>
      <c r="T102" s="349"/>
      <c r="U102" s="170"/>
      <c r="V102" s="170"/>
      <c r="W102" s="170"/>
      <c r="X102" s="170"/>
      <c r="Y102" s="170"/>
      <c r="Z102" s="170"/>
      <c r="AA102" s="170"/>
      <c r="AB102" s="170"/>
      <c r="AC102" s="170"/>
      <c r="AD102" s="170"/>
      <c r="AE102" s="170"/>
      <c r="AF102" s="170"/>
      <c r="AG102" s="170"/>
      <c r="AH102" s="1"/>
    </row>
    <row r="103" spans="1:40" ht="22.35" customHeight="1" thickBot="1" x14ac:dyDescent="0.3">
      <c r="A103" s="197"/>
      <c r="B103" s="346" t="s">
        <v>415</v>
      </c>
      <c r="C103" s="347"/>
      <c r="D103" s="347"/>
      <c r="E103" s="350" t="s">
        <v>459</v>
      </c>
      <c r="F103" s="347"/>
      <c r="G103" s="347"/>
      <c r="H103" s="347"/>
      <c r="I103" s="347"/>
      <c r="J103" s="347"/>
      <c r="K103" s="347" t="s">
        <v>460</v>
      </c>
      <c r="L103" s="347"/>
      <c r="M103" s="347"/>
      <c r="N103" s="347"/>
      <c r="O103" s="347"/>
      <c r="P103" s="347"/>
      <c r="Q103" s="347"/>
      <c r="R103" s="347"/>
      <c r="S103" s="347"/>
      <c r="T103" s="349"/>
      <c r="U103" s="170"/>
      <c r="V103" s="170"/>
      <c r="W103" s="170"/>
      <c r="X103" s="170"/>
      <c r="Y103" s="170"/>
      <c r="Z103" s="170"/>
      <c r="AA103" s="170"/>
      <c r="AB103" s="170"/>
      <c r="AC103" s="170"/>
      <c r="AD103" s="170"/>
      <c r="AE103" s="170"/>
      <c r="AF103" s="170"/>
      <c r="AG103" s="170"/>
      <c r="AH103" s="1"/>
    </row>
    <row r="104" spans="1:40" ht="22.35" customHeight="1" thickBot="1" x14ac:dyDescent="0.3">
      <c r="A104" s="197"/>
      <c r="B104" s="346"/>
      <c r="C104" s="347"/>
      <c r="D104" s="347"/>
      <c r="E104" s="350" t="s">
        <v>418</v>
      </c>
      <c r="F104" s="347"/>
      <c r="G104" s="347"/>
      <c r="H104" s="347"/>
      <c r="I104" s="347"/>
      <c r="J104" s="347"/>
      <c r="K104" s="369" t="s">
        <v>17</v>
      </c>
      <c r="L104" s="351"/>
      <c r="M104" s="351"/>
      <c r="N104" s="351"/>
      <c r="O104" s="351"/>
      <c r="P104" s="351"/>
      <c r="Q104" s="351"/>
      <c r="R104" s="351"/>
      <c r="S104" s="351"/>
      <c r="T104" s="352"/>
      <c r="U104" s="170"/>
      <c r="V104" s="170"/>
      <c r="W104" s="170"/>
      <c r="X104" s="170"/>
      <c r="Y104" s="170"/>
      <c r="Z104" s="170"/>
      <c r="AA104" s="170"/>
      <c r="AB104" s="170"/>
      <c r="AC104" s="170"/>
      <c r="AD104" s="170"/>
      <c r="AE104" s="170"/>
      <c r="AF104" s="170"/>
      <c r="AG104" s="170"/>
      <c r="AH104" s="1"/>
    </row>
    <row r="105" spans="1:40" ht="22.35" customHeight="1" x14ac:dyDescent="0.25">
      <c r="A105" s="197"/>
      <c r="B105" s="170"/>
      <c r="C105" s="170"/>
      <c r="D105" s="170"/>
      <c r="E105" s="370"/>
      <c r="F105" s="170"/>
      <c r="G105" s="170"/>
      <c r="H105" s="170"/>
      <c r="I105" s="170"/>
      <c r="J105" s="170"/>
      <c r="K105" s="370"/>
      <c r="L105" s="170"/>
      <c r="M105" s="170"/>
      <c r="N105" s="170"/>
      <c r="O105" s="170"/>
      <c r="P105" s="170"/>
      <c r="Q105" s="170"/>
      <c r="R105" s="170"/>
      <c r="S105" s="170"/>
      <c r="T105" s="170"/>
      <c r="U105" s="170"/>
      <c r="V105" s="170"/>
      <c r="W105" s="170"/>
      <c r="X105" s="170"/>
      <c r="Y105" s="170"/>
      <c r="Z105" s="170"/>
      <c r="AA105" s="170"/>
      <c r="AB105" s="170"/>
      <c r="AC105" s="170"/>
      <c r="AD105" s="170"/>
      <c r="AE105" s="170"/>
      <c r="AF105" s="170"/>
      <c r="AG105" s="170"/>
      <c r="AH105" s="1"/>
    </row>
    <row r="106" spans="1:40" ht="22.35" customHeight="1" thickBot="1" x14ac:dyDescent="0.3">
      <c r="A106" s="197"/>
      <c r="B106" s="1949" t="s">
        <v>29</v>
      </c>
      <c r="C106" s="3242">
        <v>1</v>
      </c>
      <c r="D106" s="3243">
        <v>2</v>
      </c>
      <c r="E106" s="3243">
        <v>3</v>
      </c>
      <c r="F106" s="3243">
        <v>4</v>
      </c>
      <c r="G106" s="3243">
        <v>5</v>
      </c>
      <c r="H106" s="3243">
        <v>6</v>
      </c>
      <c r="I106" s="3242">
        <v>7</v>
      </c>
      <c r="J106" s="3242">
        <v>8</v>
      </c>
      <c r="K106" s="3243">
        <v>9</v>
      </c>
      <c r="L106" s="3243">
        <v>10</v>
      </c>
      <c r="M106" s="3243">
        <v>11</v>
      </c>
      <c r="N106" s="3243">
        <v>12</v>
      </c>
      <c r="O106" s="3243">
        <v>13</v>
      </c>
      <c r="P106" s="3242">
        <v>14</v>
      </c>
      <c r="Q106" s="3242">
        <v>15</v>
      </c>
      <c r="R106" s="3243">
        <v>16</v>
      </c>
      <c r="S106" s="3243">
        <v>17</v>
      </c>
      <c r="T106" s="3243">
        <v>18</v>
      </c>
      <c r="U106" s="3243">
        <v>19</v>
      </c>
      <c r="V106" s="3243">
        <v>20</v>
      </c>
      <c r="W106" s="3242">
        <v>21</v>
      </c>
      <c r="X106" s="3242">
        <v>22</v>
      </c>
      <c r="Y106" s="3243">
        <v>23</v>
      </c>
      <c r="Z106" s="3243">
        <v>24</v>
      </c>
      <c r="AA106" s="3243">
        <v>25</v>
      </c>
      <c r="AB106" s="3243">
        <v>26</v>
      </c>
      <c r="AC106" s="3243">
        <v>27</v>
      </c>
      <c r="AD106" s="3242">
        <v>28</v>
      </c>
      <c r="AE106" s="3242">
        <v>29</v>
      </c>
      <c r="AF106" s="3243">
        <v>30</v>
      </c>
      <c r="AG106" s="3244">
        <v>31</v>
      </c>
      <c r="AH106" s="1"/>
      <c r="AJ106" s="3245" t="s">
        <v>30</v>
      </c>
      <c r="AK106" s="3245" t="s">
        <v>44</v>
      </c>
      <c r="AL106" s="3245" t="s">
        <v>45</v>
      </c>
      <c r="AM106" s="3245" t="s">
        <v>46</v>
      </c>
      <c r="AN106" s="3245" t="s">
        <v>47</v>
      </c>
    </row>
    <row r="107" spans="1:40" ht="22.35" customHeight="1" x14ac:dyDescent="0.2">
      <c r="B107" s="2297" t="s">
        <v>419</v>
      </c>
      <c r="C107" s="960" t="s">
        <v>405</v>
      </c>
      <c r="D107" s="3249" t="s">
        <v>420</v>
      </c>
      <c r="E107" s="3249" t="s">
        <v>420</v>
      </c>
      <c r="F107" s="3249" t="s">
        <v>420</v>
      </c>
      <c r="G107" s="3249" t="s">
        <v>420</v>
      </c>
      <c r="H107" s="3249" t="s">
        <v>420</v>
      </c>
      <c r="I107" s="3249" t="s">
        <v>405</v>
      </c>
      <c r="J107" s="3249" t="s">
        <v>405</v>
      </c>
      <c r="K107" s="851" t="s">
        <v>36</v>
      </c>
      <c r="L107" s="3304" t="s">
        <v>36</v>
      </c>
      <c r="M107" s="851" t="s">
        <v>36</v>
      </c>
      <c r="N107" s="851" t="s">
        <v>36</v>
      </c>
      <c r="O107" s="3249" t="s">
        <v>36</v>
      </c>
      <c r="P107" s="3249"/>
      <c r="Q107" s="3249"/>
      <c r="R107" s="3249" t="s">
        <v>400</v>
      </c>
      <c r="S107" s="3249" t="s">
        <v>400</v>
      </c>
      <c r="T107" s="3249" t="s">
        <v>400</v>
      </c>
      <c r="U107" s="3249" t="s">
        <v>400</v>
      </c>
      <c r="V107" s="3249" t="s">
        <v>400</v>
      </c>
      <c r="W107" s="3249" t="s">
        <v>409</v>
      </c>
      <c r="X107" s="3249" t="s">
        <v>409</v>
      </c>
      <c r="Y107" s="3249" t="s">
        <v>36</v>
      </c>
      <c r="Z107" s="3249" t="s">
        <v>36</v>
      </c>
      <c r="AA107" s="3249" t="s">
        <v>36</v>
      </c>
      <c r="AB107" s="3249" t="s">
        <v>36</v>
      </c>
      <c r="AC107" s="3249" t="s">
        <v>36</v>
      </c>
      <c r="AD107" s="3249"/>
      <c r="AE107" s="3249"/>
      <c r="AF107" s="3249" t="s">
        <v>398</v>
      </c>
      <c r="AG107" s="3249" t="s">
        <v>398</v>
      </c>
      <c r="AH107" s="1"/>
      <c r="AJ107" s="3293">
        <f>$AJ$12</f>
        <v>160.33000000000001</v>
      </c>
      <c r="AK107" s="3293"/>
      <c r="AL107" s="3293">
        <f>IF(AJ107="","",SUM(AJ107:AK107))</f>
        <v>160.33000000000001</v>
      </c>
      <c r="AM107" s="3294">
        <f t="shared" ref="AM107:AM111" si="11">IF(AJ107="","",AL107-NormTid)</f>
        <v>0</v>
      </c>
      <c r="AN107" s="3294">
        <f>IF(AM107="","",AM107)</f>
        <v>0</v>
      </c>
    </row>
    <row r="108" spans="1:40" ht="22.35" customHeight="1" x14ac:dyDescent="0.2">
      <c r="B108" s="2300" t="s">
        <v>397</v>
      </c>
      <c r="C108" s="647" t="s">
        <v>409</v>
      </c>
      <c r="D108" s="3249" t="s">
        <v>36</v>
      </c>
      <c r="E108" s="3249" t="s">
        <v>36</v>
      </c>
      <c r="F108" s="3249" t="s">
        <v>36</v>
      </c>
      <c r="G108" s="3249" t="s">
        <v>36</v>
      </c>
      <c r="H108" s="3249" t="s">
        <v>36</v>
      </c>
      <c r="I108" s="3249"/>
      <c r="J108" s="3249"/>
      <c r="K108" s="3249" t="s">
        <v>398</v>
      </c>
      <c r="L108" s="3249" t="s">
        <v>398</v>
      </c>
      <c r="M108" s="3249" t="s">
        <v>398</v>
      </c>
      <c r="N108" s="3249" t="s">
        <v>398</v>
      </c>
      <c r="O108" s="3249" t="s">
        <v>398</v>
      </c>
      <c r="P108" s="3249"/>
      <c r="Q108" s="3249"/>
      <c r="R108" s="3249" t="s">
        <v>420</v>
      </c>
      <c r="S108" s="3249" t="s">
        <v>420</v>
      </c>
      <c r="T108" s="3249" t="s">
        <v>420</v>
      </c>
      <c r="U108" s="3249" t="s">
        <v>420</v>
      </c>
      <c r="V108" s="3249" t="s">
        <v>420</v>
      </c>
      <c r="W108" s="3249" t="s">
        <v>405</v>
      </c>
      <c r="X108" s="3249" t="s">
        <v>405</v>
      </c>
      <c r="Y108" s="960" t="s">
        <v>398</v>
      </c>
      <c r="Z108" s="3249" t="s">
        <v>36</v>
      </c>
      <c r="AA108" s="3249" t="s">
        <v>36</v>
      </c>
      <c r="AB108" s="3249" t="s">
        <v>36</v>
      </c>
      <c r="AC108" s="3249" t="s">
        <v>36</v>
      </c>
      <c r="AD108" s="3249" t="s">
        <v>0</v>
      </c>
      <c r="AE108" s="3249" t="s">
        <v>0</v>
      </c>
      <c r="AF108" s="3249" t="s">
        <v>400</v>
      </c>
      <c r="AG108" s="3249" t="s">
        <v>400</v>
      </c>
      <c r="AH108" s="1"/>
      <c r="AJ108" s="3293">
        <f t="shared" ref="AJ108:AJ111" si="12">$AJ$12</f>
        <v>160.33000000000001</v>
      </c>
      <c r="AK108" s="3293"/>
      <c r="AL108" s="3293">
        <f t="shared" ref="AL108:AL111" si="13">IF(AJ108="","",SUM(AJ108:AK108))</f>
        <v>160.33000000000001</v>
      </c>
      <c r="AM108" s="3294">
        <f t="shared" si="11"/>
        <v>0</v>
      </c>
      <c r="AN108" s="3294">
        <f t="shared" ref="AN108:AN111" si="14">IF(AM108="","",AM108)</f>
        <v>0</v>
      </c>
    </row>
    <row r="109" spans="1:40" ht="22.35" customHeight="1" thickBot="1" x14ac:dyDescent="0.25">
      <c r="B109" s="2301" t="s">
        <v>0</v>
      </c>
      <c r="C109" s="3249"/>
      <c r="D109" s="3249" t="s">
        <v>36</v>
      </c>
      <c r="E109" s="3249" t="s">
        <v>36</v>
      </c>
      <c r="F109" s="3249" t="s">
        <v>36</v>
      </c>
      <c r="G109" s="3249" t="s">
        <v>36</v>
      </c>
      <c r="H109" s="3249" t="s">
        <v>36</v>
      </c>
      <c r="I109" s="3249"/>
      <c r="J109" s="3249"/>
      <c r="K109" s="3249" t="s">
        <v>400</v>
      </c>
      <c r="L109" s="3249" t="s">
        <v>400</v>
      </c>
      <c r="M109" s="3249" t="s">
        <v>400</v>
      </c>
      <c r="N109" s="3249" t="s">
        <v>400</v>
      </c>
      <c r="O109" s="3249" t="s">
        <v>400</v>
      </c>
      <c r="P109" s="3249" t="s">
        <v>409</v>
      </c>
      <c r="Q109" s="3249" t="s">
        <v>409</v>
      </c>
      <c r="R109" s="3249" t="s">
        <v>36</v>
      </c>
      <c r="S109" s="3249" t="s">
        <v>36</v>
      </c>
      <c r="T109" s="3249" t="s">
        <v>36</v>
      </c>
      <c r="U109" s="3249" t="s">
        <v>36</v>
      </c>
      <c r="V109" s="3249" t="s">
        <v>36</v>
      </c>
      <c r="W109" s="3249" t="s">
        <v>0</v>
      </c>
      <c r="X109" s="3249" t="s">
        <v>0</v>
      </c>
      <c r="Y109" s="3249" t="s">
        <v>398</v>
      </c>
      <c r="Z109" s="3249" t="s">
        <v>398</v>
      </c>
      <c r="AA109" s="3249" t="s">
        <v>398</v>
      </c>
      <c r="AB109" s="3249" t="s">
        <v>398</v>
      </c>
      <c r="AC109" s="3249" t="s">
        <v>398</v>
      </c>
      <c r="AD109" s="3249"/>
      <c r="AE109" s="3249"/>
      <c r="AF109" s="3249" t="s">
        <v>420</v>
      </c>
      <c r="AG109" s="3249" t="s">
        <v>420</v>
      </c>
      <c r="AH109" s="1"/>
      <c r="AJ109" s="3293">
        <f t="shared" si="12"/>
        <v>160.33000000000001</v>
      </c>
      <c r="AK109" s="3293"/>
      <c r="AL109" s="3293">
        <f t="shared" si="13"/>
        <v>160.33000000000001</v>
      </c>
      <c r="AM109" s="3294">
        <f t="shared" si="11"/>
        <v>0</v>
      </c>
      <c r="AN109" s="3294">
        <f t="shared" si="14"/>
        <v>0</v>
      </c>
    </row>
    <row r="110" spans="1:40" ht="22.35" customHeight="1" x14ac:dyDescent="0.2">
      <c r="B110" s="2289" t="s">
        <v>0</v>
      </c>
      <c r="C110" s="3249"/>
      <c r="D110" s="647" t="s">
        <v>400</v>
      </c>
      <c r="E110" s="647" t="s">
        <v>400</v>
      </c>
      <c r="F110" s="647" t="s">
        <v>400</v>
      </c>
      <c r="G110" s="647" t="s">
        <v>400</v>
      </c>
      <c r="H110" s="647" t="s">
        <v>400</v>
      </c>
      <c r="I110" s="647" t="s">
        <v>409</v>
      </c>
      <c r="J110" s="1361" t="s">
        <v>409</v>
      </c>
      <c r="K110" s="1361" t="s">
        <v>36</v>
      </c>
      <c r="L110" s="1231" t="s">
        <v>36</v>
      </c>
      <c r="M110" s="1361" t="s">
        <v>36</v>
      </c>
      <c r="N110" s="1361" t="s">
        <v>36</v>
      </c>
      <c r="O110" s="647" t="s">
        <v>36</v>
      </c>
      <c r="P110" s="3375"/>
      <c r="Q110" s="3375"/>
      <c r="R110" s="851" t="s">
        <v>398</v>
      </c>
      <c r="S110" s="851" t="s">
        <v>398</v>
      </c>
      <c r="T110" s="851" t="s">
        <v>398</v>
      </c>
      <c r="U110" s="3252" t="s">
        <v>398</v>
      </c>
      <c r="V110" s="851" t="s">
        <v>398</v>
      </c>
      <c r="W110" s="3249"/>
      <c r="X110" s="3249"/>
      <c r="Y110" s="3249" t="s">
        <v>420</v>
      </c>
      <c r="Z110" s="3249" t="s">
        <v>420</v>
      </c>
      <c r="AA110" s="3249" t="s">
        <v>420</v>
      </c>
      <c r="AB110" s="3249" t="s">
        <v>420</v>
      </c>
      <c r="AC110" s="3249" t="s">
        <v>420</v>
      </c>
      <c r="AD110" s="3249" t="s">
        <v>405</v>
      </c>
      <c r="AE110" s="3249" t="s">
        <v>405</v>
      </c>
      <c r="AF110" s="3249" t="s">
        <v>36</v>
      </c>
      <c r="AG110" s="3249" t="s">
        <v>36</v>
      </c>
      <c r="AH110" s="1"/>
      <c r="AJ110" s="3293">
        <f t="shared" si="12"/>
        <v>160.33000000000001</v>
      </c>
      <c r="AK110" s="3293"/>
      <c r="AL110" s="3293">
        <f t="shared" si="13"/>
        <v>160.33000000000001</v>
      </c>
      <c r="AM110" s="3294">
        <f t="shared" si="11"/>
        <v>0</v>
      </c>
      <c r="AN110" s="3294">
        <f t="shared" si="14"/>
        <v>0</v>
      </c>
    </row>
    <row r="111" spans="1:40" ht="22.35" customHeight="1" x14ac:dyDescent="0.2">
      <c r="B111" s="353" t="s">
        <v>424</v>
      </c>
      <c r="C111" s="3249"/>
      <c r="D111" s="3249" t="s">
        <v>398</v>
      </c>
      <c r="E111" s="3249" t="s">
        <v>398</v>
      </c>
      <c r="F111" s="1112" t="s">
        <v>398</v>
      </c>
      <c r="G111" s="3249" t="s">
        <v>398</v>
      </c>
      <c r="H111" s="3249" t="s">
        <v>398</v>
      </c>
      <c r="I111" s="3249"/>
      <c r="J111" s="3249"/>
      <c r="K111" s="3249" t="s">
        <v>420</v>
      </c>
      <c r="L111" s="3249" t="s">
        <v>420</v>
      </c>
      <c r="M111" s="3249" t="s">
        <v>420</v>
      </c>
      <c r="N111" s="3249" t="s">
        <v>420</v>
      </c>
      <c r="O111" s="3249" t="s">
        <v>420</v>
      </c>
      <c r="P111" s="3249" t="s">
        <v>405</v>
      </c>
      <c r="Q111" s="3249" t="s">
        <v>405</v>
      </c>
      <c r="R111" s="1112" t="s">
        <v>36</v>
      </c>
      <c r="S111" s="1690" t="s">
        <v>36</v>
      </c>
      <c r="T111" s="3293" t="s">
        <v>36</v>
      </c>
      <c r="U111" s="3293" t="s">
        <v>36</v>
      </c>
      <c r="V111" s="3293" t="s">
        <v>36</v>
      </c>
      <c r="W111" s="3249" t="s">
        <v>0</v>
      </c>
      <c r="X111" s="3249" t="s">
        <v>0</v>
      </c>
      <c r="Y111" s="3249" t="s">
        <v>400</v>
      </c>
      <c r="Z111" s="3249" t="s">
        <v>400</v>
      </c>
      <c r="AA111" s="3249" t="s">
        <v>400</v>
      </c>
      <c r="AB111" s="3249" t="s">
        <v>400</v>
      </c>
      <c r="AC111" s="3249" t="s">
        <v>400</v>
      </c>
      <c r="AD111" s="3249" t="s">
        <v>409</v>
      </c>
      <c r="AE111" s="3249" t="s">
        <v>409</v>
      </c>
      <c r="AF111" s="3249" t="s">
        <v>36</v>
      </c>
      <c r="AG111" s="3249" t="s">
        <v>36</v>
      </c>
      <c r="AH111" s="1"/>
      <c r="AJ111" s="3293">
        <f t="shared" si="12"/>
        <v>160.33000000000001</v>
      </c>
      <c r="AK111" s="3293"/>
      <c r="AL111" s="3293">
        <f t="shared" si="13"/>
        <v>160.33000000000001</v>
      </c>
      <c r="AM111" s="3294">
        <f t="shared" si="11"/>
        <v>0</v>
      </c>
      <c r="AN111" s="3294">
        <f t="shared" si="14"/>
        <v>0</v>
      </c>
    </row>
    <row r="112" spans="1:40" ht="22.35" customHeight="1" thickBot="1" x14ac:dyDescent="0.25">
      <c r="B112" s="355"/>
      <c r="C112" s="356"/>
      <c r="D112" s="356"/>
      <c r="E112" s="356"/>
      <c r="F112" s="356"/>
      <c r="G112" s="356"/>
      <c r="H112" s="356"/>
      <c r="I112" s="356"/>
      <c r="J112" s="356"/>
      <c r="K112" s="356"/>
      <c r="L112" s="356"/>
      <c r="M112" s="356"/>
      <c r="N112" s="356"/>
      <c r="O112" s="356"/>
      <c r="P112" s="356"/>
      <c r="Q112" s="356"/>
      <c r="R112" s="356"/>
      <c r="S112" s="356"/>
      <c r="T112" s="356"/>
      <c r="U112" s="356"/>
      <c r="V112" s="356"/>
      <c r="W112" s="356"/>
      <c r="X112" s="356"/>
      <c r="Y112" s="356"/>
      <c r="Z112" s="356"/>
      <c r="AA112" s="356"/>
      <c r="AB112" s="356"/>
      <c r="AC112" s="356"/>
      <c r="AD112" s="356"/>
      <c r="AE112" s="356"/>
      <c r="AF112" s="356"/>
      <c r="AG112" s="356"/>
      <c r="AH112" s="1"/>
      <c r="AJ112" s="3293"/>
      <c r="AK112" s="3293"/>
      <c r="AL112" s="3293"/>
      <c r="AM112" s="3294"/>
      <c r="AN112" s="3294"/>
    </row>
    <row r="113" spans="1:35" ht="22.35" customHeight="1" x14ac:dyDescent="0.2">
      <c r="B113" s="198"/>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c r="AA113" s="199"/>
      <c r="AB113" s="199"/>
      <c r="AC113" s="199"/>
      <c r="AD113" s="199"/>
      <c r="AE113" s="199"/>
      <c r="AF113" s="199"/>
      <c r="AG113" s="199"/>
      <c r="AH113" s="1"/>
    </row>
    <row r="114" spans="1:35" ht="22.35" customHeight="1" thickBot="1" x14ac:dyDescent="0.25">
      <c r="A114" s="169" t="s">
        <v>156</v>
      </c>
    </row>
    <row r="115" spans="1:35" ht="22.35" customHeight="1" thickBot="1" x14ac:dyDescent="0.25">
      <c r="B115" s="2512" t="s">
        <v>157</v>
      </c>
      <c r="C115" s="2513"/>
      <c r="D115" s="2865" t="s">
        <v>107</v>
      </c>
      <c r="E115" s="2865"/>
      <c r="F115" s="2514"/>
      <c r="G115" s="2513"/>
      <c r="H115" s="2865" t="s">
        <v>108</v>
      </c>
      <c r="I115" s="2865"/>
      <c r="J115" s="2514"/>
      <c r="K115" s="2513"/>
      <c r="L115" s="2865" t="s">
        <v>109</v>
      </c>
      <c r="M115" s="2865"/>
      <c r="N115" s="2514"/>
      <c r="O115" s="2513"/>
      <c r="P115" s="2865" t="s">
        <v>110</v>
      </c>
      <c r="Q115" s="2865"/>
      <c r="R115" s="2514"/>
      <c r="S115" s="2513"/>
      <c r="T115" s="2865" t="s">
        <v>111</v>
      </c>
      <c r="U115" s="2865"/>
      <c r="V115" s="2514"/>
      <c r="W115" s="2513"/>
      <c r="X115" s="2865" t="s">
        <v>112</v>
      </c>
      <c r="Y115" s="2865"/>
      <c r="Z115" s="2514"/>
      <c r="AA115" s="2513"/>
      <c r="AB115" s="2865" t="s">
        <v>113</v>
      </c>
      <c r="AC115" s="2865"/>
      <c r="AD115" s="2865"/>
      <c r="AE115" s="2865" t="s">
        <v>158</v>
      </c>
      <c r="AF115" s="2865"/>
      <c r="AG115" s="2865"/>
      <c r="AH115" s="2865"/>
      <c r="AI115" s="2515"/>
    </row>
    <row r="116" spans="1:35" ht="22.35" customHeight="1" x14ac:dyDescent="0.2">
      <c r="B116" s="3376" t="s">
        <v>159</v>
      </c>
      <c r="C116" s="3377" t="s">
        <v>160</v>
      </c>
      <c r="D116" s="2865"/>
      <c r="E116" s="3312"/>
      <c r="F116" s="3378"/>
      <c r="G116" s="3377" t="s">
        <v>160</v>
      </c>
      <c r="H116" s="3379"/>
      <c r="I116" s="3312"/>
      <c r="J116" s="3378"/>
      <c r="K116" s="2520" t="s">
        <v>160</v>
      </c>
      <c r="L116" s="2865"/>
      <c r="M116" s="2865"/>
      <c r="N116" s="2514"/>
      <c r="O116" s="2520" t="s">
        <v>161</v>
      </c>
      <c r="P116" s="2521"/>
      <c r="Q116" s="3312"/>
      <c r="R116" s="3378"/>
      <c r="S116" s="3377" t="s">
        <v>162</v>
      </c>
      <c r="T116" s="3312"/>
      <c r="U116" s="3312"/>
      <c r="V116" s="3312"/>
      <c r="W116" s="3380"/>
      <c r="X116" s="3381"/>
      <c r="Y116" s="3381"/>
      <c r="Z116" s="3382"/>
      <c r="AA116" s="3312"/>
      <c r="AB116" s="3312"/>
      <c r="AC116" s="3312"/>
      <c r="AD116" s="3312"/>
      <c r="AE116" s="3003">
        <v>37</v>
      </c>
      <c r="AF116" s="2865"/>
      <c r="AG116" s="3312"/>
      <c r="AH116" s="3312"/>
      <c r="AI116" s="3313"/>
    </row>
    <row r="117" spans="1:35" ht="22.35" customHeight="1" x14ac:dyDescent="0.2">
      <c r="B117" s="3004" t="s">
        <v>163</v>
      </c>
      <c r="C117" s="3005" t="s">
        <v>164</v>
      </c>
      <c r="D117" s="3224"/>
      <c r="E117" s="3224"/>
      <c r="F117" s="3232"/>
      <c r="G117" s="3005" t="s">
        <v>165</v>
      </c>
      <c r="H117" s="2879"/>
      <c r="I117" s="3224"/>
      <c r="J117" s="3232"/>
      <c r="K117" s="3005" t="s">
        <v>166</v>
      </c>
      <c r="L117" s="3224" t="s">
        <v>167</v>
      </c>
      <c r="M117" s="3224"/>
      <c r="N117" s="3232"/>
      <c r="O117" s="3005" t="s">
        <v>166</v>
      </c>
      <c r="P117" s="2879" t="s">
        <v>167</v>
      </c>
      <c r="Q117" s="3224"/>
      <c r="R117" s="3232"/>
      <c r="S117" s="3005" t="s">
        <v>165</v>
      </c>
      <c r="T117" s="3224" t="s">
        <v>168</v>
      </c>
      <c r="U117" s="3224"/>
      <c r="V117" s="3232"/>
      <c r="W117" s="8" t="s">
        <v>127</v>
      </c>
      <c r="X117" s="14" t="s">
        <v>169</v>
      </c>
      <c r="Y117" s="14"/>
      <c r="Z117" s="14"/>
      <c r="AA117" s="3006" t="s">
        <v>127</v>
      </c>
      <c r="AB117" s="3224" t="s">
        <v>169</v>
      </c>
      <c r="AC117" s="3006"/>
      <c r="AD117" s="3006"/>
      <c r="AE117" s="3006">
        <v>68</v>
      </c>
      <c r="AF117" s="3224"/>
      <c r="AG117" s="3224"/>
      <c r="AH117" s="3224"/>
      <c r="AI117" s="3233"/>
    </row>
    <row r="118" spans="1:35" ht="22.35" customHeight="1" x14ac:dyDescent="0.2">
      <c r="B118" s="3004" t="s">
        <v>170</v>
      </c>
      <c r="C118" s="3007" t="s">
        <v>171</v>
      </c>
      <c r="D118" s="3224"/>
      <c r="E118" s="3224"/>
      <c r="F118" s="3232"/>
      <c r="G118" s="2879" t="s">
        <v>171</v>
      </c>
      <c r="H118" s="2879"/>
      <c r="I118" s="3224"/>
      <c r="J118" s="3232"/>
      <c r="K118" s="2879" t="s">
        <v>171</v>
      </c>
      <c r="L118" s="3224"/>
      <c r="M118" s="3224"/>
      <c r="N118" s="3232"/>
      <c r="O118" s="2879" t="s">
        <v>171</v>
      </c>
      <c r="P118" s="2879"/>
      <c r="Q118" s="3224"/>
      <c r="R118" s="3232"/>
      <c r="S118" s="2879" t="s">
        <v>171</v>
      </c>
      <c r="T118" s="3224"/>
      <c r="U118" s="3224"/>
      <c r="V118" s="3232"/>
      <c r="W118" s="3006"/>
      <c r="X118" s="3224"/>
      <c r="Y118" s="3224"/>
      <c r="Z118" s="3232"/>
      <c r="AA118" s="3006"/>
      <c r="AB118" s="3224"/>
      <c r="AC118" s="3224"/>
      <c r="AD118" s="3224"/>
      <c r="AE118" s="3006">
        <v>0</v>
      </c>
      <c r="AF118" s="3224"/>
      <c r="AG118" s="3224"/>
      <c r="AH118" s="3224"/>
      <c r="AI118" s="3233"/>
    </row>
    <row r="119" spans="1:35" ht="22.35" customHeight="1" thickBot="1" x14ac:dyDescent="0.25">
      <c r="B119" s="1003" t="s">
        <v>172</v>
      </c>
      <c r="C119" s="3008" t="s">
        <v>160</v>
      </c>
      <c r="D119" s="276"/>
      <c r="E119" s="2881"/>
      <c r="F119" s="2883"/>
      <c r="G119" s="3008" t="s">
        <v>160</v>
      </c>
      <c r="H119" s="278"/>
      <c r="I119" s="2881"/>
      <c r="J119" s="2883"/>
      <c r="K119" s="3008" t="s">
        <v>160</v>
      </c>
      <c r="L119" s="276"/>
      <c r="M119" s="2881"/>
      <c r="N119" s="2883"/>
      <c r="O119" s="3008" t="s">
        <v>161</v>
      </c>
      <c r="P119" s="2885"/>
      <c r="Q119" s="2881"/>
      <c r="R119" s="2883"/>
      <c r="S119" s="3008" t="s">
        <v>162</v>
      </c>
      <c r="T119" s="2881"/>
      <c r="U119" s="2881"/>
      <c r="V119" s="2881"/>
      <c r="W119" s="1005"/>
      <c r="X119" s="2881"/>
      <c r="Y119" s="2881"/>
      <c r="Z119" s="3009"/>
      <c r="AA119" s="2881"/>
      <c r="AB119" s="2881"/>
      <c r="AC119" s="2881"/>
      <c r="AD119" s="2881"/>
      <c r="AE119" s="3010">
        <v>37</v>
      </c>
      <c r="AF119" s="2881"/>
      <c r="AG119" s="2881"/>
      <c r="AH119" s="2881"/>
      <c r="AI119" s="2888"/>
    </row>
    <row r="120" spans="1:35" ht="22.35" customHeight="1" x14ac:dyDescent="0.2">
      <c r="D120" s="14"/>
    </row>
    <row r="121" spans="1:35" ht="22.35" customHeight="1" thickBot="1" x14ac:dyDescent="0.25">
      <c r="A121" s="2952"/>
      <c r="B121" s="2952" t="s">
        <v>29</v>
      </c>
      <c r="C121" s="3242">
        <v>1</v>
      </c>
      <c r="D121" s="3243">
        <v>2</v>
      </c>
      <c r="E121" s="3243">
        <v>3</v>
      </c>
      <c r="F121" s="3243">
        <v>4</v>
      </c>
      <c r="G121" s="3243">
        <v>5</v>
      </c>
      <c r="H121" s="3243">
        <v>6</v>
      </c>
      <c r="I121" s="3242">
        <v>7</v>
      </c>
      <c r="J121" s="3242">
        <v>8</v>
      </c>
      <c r="K121" s="3243">
        <v>9</v>
      </c>
      <c r="L121" s="3243">
        <v>10</v>
      </c>
      <c r="M121" s="3243">
        <v>11</v>
      </c>
      <c r="N121" s="3243">
        <v>12</v>
      </c>
      <c r="O121" s="3243">
        <v>13</v>
      </c>
      <c r="P121" s="3242">
        <v>14</v>
      </c>
      <c r="Q121" s="3242">
        <v>15</v>
      </c>
      <c r="R121" s="3243">
        <v>16</v>
      </c>
      <c r="S121" s="3243">
        <v>17</v>
      </c>
      <c r="T121" s="3243">
        <v>18</v>
      </c>
      <c r="U121" s="3243">
        <v>19</v>
      </c>
      <c r="V121" s="3243">
        <v>20</v>
      </c>
      <c r="W121" s="3242">
        <v>21</v>
      </c>
      <c r="X121" s="3242">
        <v>22</v>
      </c>
      <c r="Y121" s="3243">
        <v>23</v>
      </c>
      <c r="Z121" s="3243">
        <v>24</v>
      </c>
      <c r="AA121" s="3243">
        <v>25</v>
      </c>
      <c r="AB121" s="3243">
        <v>26</v>
      </c>
      <c r="AC121" s="3243">
        <v>27</v>
      </c>
      <c r="AD121" s="3242">
        <v>28</v>
      </c>
      <c r="AE121" s="3242">
        <v>29</v>
      </c>
      <c r="AF121" s="3243">
        <v>30</v>
      </c>
      <c r="AG121" s="3244">
        <v>31</v>
      </c>
      <c r="AH121" s="173"/>
      <c r="AI121" s="174"/>
    </row>
    <row r="122" spans="1:35" ht="22.35" customHeight="1" thickBot="1" x14ac:dyDescent="0.25">
      <c r="A122" s="3383">
        <v>1</v>
      </c>
      <c r="B122" s="3384" t="s">
        <v>173</v>
      </c>
      <c r="C122" s="3317"/>
      <c r="D122" s="3317" t="s">
        <v>128</v>
      </c>
      <c r="E122" s="3317" t="s">
        <v>128</v>
      </c>
      <c r="F122" s="3317" t="s">
        <v>128</v>
      </c>
      <c r="G122" s="3317" t="s">
        <v>128</v>
      </c>
      <c r="H122" s="3317" t="s">
        <v>128</v>
      </c>
      <c r="I122" s="3317" t="s">
        <v>127</v>
      </c>
      <c r="J122" s="3385" t="s">
        <v>127</v>
      </c>
      <c r="K122" s="3317" t="s">
        <v>36</v>
      </c>
      <c r="L122" s="3317" t="s">
        <v>36</v>
      </c>
      <c r="M122" s="3317" t="s">
        <v>36</v>
      </c>
      <c r="N122" s="3317" t="s">
        <v>36</v>
      </c>
      <c r="O122" s="3317" t="s">
        <v>36</v>
      </c>
      <c r="P122" s="3320"/>
      <c r="Q122" s="3317"/>
      <c r="R122" s="3317" t="s">
        <v>174</v>
      </c>
      <c r="S122" s="3317" t="s">
        <v>174</v>
      </c>
      <c r="T122" s="3317" t="s">
        <v>174</v>
      </c>
      <c r="U122" s="3317" t="s">
        <v>174</v>
      </c>
      <c r="V122" s="3317" t="s">
        <v>174</v>
      </c>
      <c r="W122" s="3317"/>
      <c r="X122" s="3386"/>
      <c r="Y122" s="3386"/>
      <c r="Z122" s="3386" t="s">
        <v>174</v>
      </c>
      <c r="AA122" s="3386" t="s">
        <v>174</v>
      </c>
      <c r="AB122" s="3317" t="s">
        <v>174</v>
      </c>
      <c r="AC122" s="3317" t="s">
        <v>174</v>
      </c>
      <c r="AD122" s="3317"/>
      <c r="AE122" s="3317"/>
      <c r="AF122" s="3317" t="s">
        <v>128</v>
      </c>
      <c r="AG122" s="3317" t="s">
        <v>128</v>
      </c>
      <c r="AH122" s="178"/>
      <c r="AI122" s="179"/>
    </row>
    <row r="123" spans="1:35" ht="22.35" customHeight="1" x14ac:dyDescent="0.2">
      <c r="A123" s="3014">
        <v>2</v>
      </c>
      <c r="B123" s="3015" t="s">
        <v>175</v>
      </c>
      <c r="C123" s="3016"/>
      <c r="D123" s="3075" t="s">
        <v>174</v>
      </c>
      <c r="E123" s="3075" t="s">
        <v>174</v>
      </c>
      <c r="F123" s="3075" t="s">
        <v>174</v>
      </c>
      <c r="G123" s="3075" t="s">
        <v>174</v>
      </c>
      <c r="H123" s="3016" t="s">
        <v>58</v>
      </c>
      <c r="I123" s="3016"/>
      <c r="J123" s="3016"/>
      <c r="K123" s="3016" t="s">
        <v>128</v>
      </c>
      <c r="L123" s="3016" t="s">
        <v>128</v>
      </c>
      <c r="M123" s="3249" t="s">
        <v>128</v>
      </c>
      <c r="N123" s="3277" t="s">
        <v>128</v>
      </c>
      <c r="O123" s="3277" t="s">
        <v>128</v>
      </c>
      <c r="P123" s="3266" t="s">
        <v>127</v>
      </c>
      <c r="Q123" s="3277" t="s">
        <v>127</v>
      </c>
      <c r="R123" s="3277" t="s">
        <v>36</v>
      </c>
      <c r="S123" s="3277" t="s">
        <v>36</v>
      </c>
      <c r="T123" s="3277" t="s">
        <v>36</v>
      </c>
      <c r="U123" s="3277" t="s">
        <v>36</v>
      </c>
      <c r="V123" s="3277" t="s">
        <v>36</v>
      </c>
      <c r="W123" s="3276"/>
      <c r="X123" s="3277"/>
      <c r="Y123" s="3386" t="s">
        <v>243</v>
      </c>
      <c r="Z123" s="3277" t="s">
        <v>134</v>
      </c>
      <c r="AA123" s="3386">
        <v>3</v>
      </c>
      <c r="AB123" s="3277" t="s">
        <v>134</v>
      </c>
      <c r="AC123" s="3387">
        <v>3</v>
      </c>
      <c r="AD123" s="3277"/>
      <c r="AE123" s="3277"/>
      <c r="AF123" s="3277" t="s">
        <v>257</v>
      </c>
      <c r="AG123" s="3277" t="s">
        <v>257</v>
      </c>
      <c r="AH123" s="178"/>
      <c r="AI123" s="179"/>
    </row>
    <row r="124" spans="1:35" ht="22.35" customHeight="1" x14ac:dyDescent="0.2">
      <c r="A124" s="3014">
        <v>3</v>
      </c>
      <c r="B124" s="3015" t="s">
        <v>178</v>
      </c>
      <c r="C124" s="3277"/>
      <c r="D124" s="3277" t="s">
        <v>134</v>
      </c>
      <c r="E124" s="3277" t="s">
        <v>134</v>
      </c>
      <c r="F124" s="3277" t="s">
        <v>134</v>
      </c>
      <c r="G124" s="3266" t="s">
        <v>134</v>
      </c>
      <c r="H124" s="3266" t="s">
        <v>134</v>
      </c>
      <c r="I124" s="3277"/>
      <c r="J124" s="3277"/>
      <c r="K124" s="3277">
        <v>3</v>
      </c>
      <c r="L124" s="3277" t="s">
        <v>134</v>
      </c>
      <c r="M124" s="3277">
        <v>3</v>
      </c>
      <c r="N124" s="3277" t="s">
        <v>134</v>
      </c>
      <c r="O124" s="3277" t="s">
        <v>95</v>
      </c>
      <c r="P124" s="3277"/>
      <c r="Q124" s="3277"/>
      <c r="R124" s="2910" t="s">
        <v>128</v>
      </c>
      <c r="S124" s="2910" t="s">
        <v>128</v>
      </c>
      <c r="T124" s="2910" t="s">
        <v>128</v>
      </c>
      <c r="U124" s="2910" t="s">
        <v>128</v>
      </c>
      <c r="V124" s="2910" t="s">
        <v>128</v>
      </c>
      <c r="W124" s="2910" t="s">
        <v>127</v>
      </c>
      <c r="X124" s="2910" t="s">
        <v>127</v>
      </c>
      <c r="Y124" s="3277" t="s">
        <v>36</v>
      </c>
      <c r="Z124" s="3277" t="s">
        <v>36</v>
      </c>
      <c r="AA124" s="3277" t="s">
        <v>36</v>
      </c>
      <c r="AB124" s="3277" t="s">
        <v>36</v>
      </c>
      <c r="AC124" s="3277" t="s">
        <v>36</v>
      </c>
      <c r="AD124" s="3277"/>
      <c r="AE124" s="3277"/>
      <c r="AF124" s="3277" t="s">
        <v>174</v>
      </c>
      <c r="AG124" s="3277" t="s">
        <v>174</v>
      </c>
      <c r="AH124" s="178"/>
      <c r="AI124" s="179"/>
    </row>
    <row r="125" spans="1:35" ht="22.35" customHeight="1" thickBot="1" x14ac:dyDescent="0.25">
      <c r="A125" s="3018">
        <v>4</v>
      </c>
      <c r="B125" s="3019" t="s">
        <v>173</v>
      </c>
      <c r="C125" s="2982" t="s">
        <v>127</v>
      </c>
      <c r="D125" s="2982" t="s">
        <v>36</v>
      </c>
      <c r="E125" s="2982" t="s">
        <v>36</v>
      </c>
      <c r="F125" s="2982" t="s">
        <v>36</v>
      </c>
      <c r="G125" s="2982" t="s">
        <v>36</v>
      </c>
      <c r="H125" s="2982" t="s">
        <v>36</v>
      </c>
      <c r="I125" s="2982"/>
      <c r="J125" s="2982"/>
      <c r="K125" s="2982" t="s">
        <v>174</v>
      </c>
      <c r="L125" s="2982" t="s">
        <v>174</v>
      </c>
      <c r="M125" s="2982" t="s">
        <v>174</v>
      </c>
      <c r="N125" s="2982" t="s">
        <v>174</v>
      </c>
      <c r="O125" s="2982" t="s">
        <v>174</v>
      </c>
      <c r="P125" s="2982"/>
      <c r="Q125" s="2982"/>
      <c r="R125" s="2982" t="s">
        <v>174</v>
      </c>
      <c r="S125" s="2982" t="s">
        <v>174</v>
      </c>
      <c r="T125" s="2982" t="s">
        <v>174</v>
      </c>
      <c r="U125" s="2982" t="s">
        <v>174</v>
      </c>
      <c r="V125" s="2982" t="s">
        <v>174</v>
      </c>
      <c r="W125" s="2982" t="s">
        <v>0</v>
      </c>
      <c r="X125" s="2982" t="s">
        <v>0</v>
      </c>
      <c r="Y125" s="2982" t="s">
        <v>128</v>
      </c>
      <c r="Z125" s="2982" t="s">
        <v>128</v>
      </c>
      <c r="AA125" s="3243" t="s">
        <v>128</v>
      </c>
      <c r="AB125" s="3243" t="s">
        <v>128</v>
      </c>
      <c r="AC125" s="3243" t="s">
        <v>128</v>
      </c>
      <c r="AD125" s="3243" t="s">
        <v>127</v>
      </c>
      <c r="AE125" s="3243" t="s">
        <v>127</v>
      </c>
      <c r="AF125" s="2982" t="s">
        <v>36</v>
      </c>
      <c r="AG125" s="3244" t="s">
        <v>36</v>
      </c>
      <c r="AH125" s="178"/>
      <c r="AI125" s="179"/>
    </row>
    <row r="126" spans="1:35" ht="22.35" customHeight="1" thickBot="1" x14ac:dyDescent="0.25">
      <c r="A126" s="200"/>
      <c r="B126" s="190"/>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c r="AA126" s="201"/>
      <c r="AB126" s="201"/>
      <c r="AC126" s="201"/>
      <c r="AD126" s="201"/>
      <c r="AE126" s="201"/>
      <c r="AF126" s="201"/>
      <c r="AG126" s="202"/>
      <c r="AH126" s="203"/>
      <c r="AI126" s="179"/>
    </row>
    <row r="127" spans="1:35" ht="22.35" customHeight="1" x14ac:dyDescent="0.2">
      <c r="A127" s="72"/>
      <c r="B127" s="2545" t="s">
        <v>180</v>
      </c>
      <c r="C127" s="3003"/>
      <c r="D127" s="3388" t="s">
        <v>107</v>
      </c>
      <c r="E127" s="3389"/>
      <c r="F127" s="3003"/>
      <c r="G127" s="3390" t="s">
        <v>108</v>
      </c>
      <c r="H127" s="3378"/>
      <c r="I127" s="3391"/>
      <c r="J127" s="3390" t="s">
        <v>109</v>
      </c>
      <c r="K127" s="3392"/>
      <c r="L127" s="3391"/>
      <c r="M127" s="3393" t="s">
        <v>110</v>
      </c>
      <c r="N127" s="3392"/>
      <c r="O127" s="3391"/>
      <c r="P127" s="3390" t="s">
        <v>111</v>
      </c>
      <c r="Q127" s="3394"/>
      <c r="R127" s="3391"/>
      <c r="S127" s="3390" t="s">
        <v>112</v>
      </c>
      <c r="T127" s="3395"/>
      <c r="U127" s="3391"/>
      <c r="V127" s="3390" t="s">
        <v>113</v>
      </c>
      <c r="W127" s="3394"/>
      <c r="X127" s="3396" t="s">
        <v>158</v>
      </c>
      <c r="Y127" s="3397"/>
      <c r="Z127" s="3397"/>
      <c r="AA127" s="3398"/>
      <c r="AB127" s="2520" t="s">
        <v>114</v>
      </c>
      <c r="AC127" s="2557"/>
      <c r="AD127" s="2557"/>
      <c r="AE127" s="2558"/>
      <c r="AF127" s="2558"/>
      <c r="AG127" s="2559"/>
      <c r="AH127" s="203"/>
      <c r="AI127" s="179"/>
    </row>
    <row r="128" spans="1:35" ht="22.35" customHeight="1" x14ac:dyDescent="0.2">
      <c r="A128" s="72"/>
      <c r="B128" s="3031" t="s">
        <v>181</v>
      </c>
      <c r="C128" s="3032" t="s">
        <v>182</v>
      </c>
      <c r="D128" s="3226"/>
      <c r="E128" s="3227"/>
      <c r="F128" s="3032" t="s">
        <v>182</v>
      </c>
      <c r="G128" s="3226"/>
      <c r="H128" s="3227"/>
      <c r="I128" s="3032" t="s">
        <v>182</v>
      </c>
      <c r="J128" s="3226"/>
      <c r="K128" s="3227"/>
      <c r="L128" s="3032" t="s">
        <v>182</v>
      </c>
      <c r="M128" s="3226"/>
      <c r="N128" s="3227"/>
      <c r="O128" s="3032" t="s">
        <v>183</v>
      </c>
      <c r="P128" s="3226"/>
      <c r="Q128" s="3227"/>
      <c r="R128" s="3032"/>
      <c r="S128" s="3226"/>
      <c r="T128" s="3227"/>
      <c r="U128" s="3032"/>
      <c r="V128" s="3226"/>
      <c r="W128" s="3227"/>
      <c r="X128" s="3032"/>
      <c r="Y128" s="3033"/>
      <c r="Z128" s="3033"/>
      <c r="AA128" s="3033"/>
      <c r="AB128" s="3223"/>
      <c r="AC128" s="3033"/>
      <c r="AD128" s="3033"/>
      <c r="AE128" s="3033"/>
      <c r="AF128" s="3033"/>
      <c r="AG128" s="3034"/>
      <c r="AH128" s="203"/>
      <c r="AI128" s="179"/>
    </row>
    <row r="129" spans="1:35" ht="22.35" customHeight="1" x14ac:dyDescent="0.2">
      <c r="A129" s="72"/>
      <c r="B129" s="17"/>
      <c r="C129" s="72"/>
      <c r="D129" s="72"/>
      <c r="E129" s="72"/>
      <c r="F129" s="72"/>
      <c r="G129" s="72"/>
      <c r="H129" s="72"/>
      <c r="I129" s="72"/>
      <c r="J129" s="72"/>
      <c r="K129" s="72"/>
      <c r="L129" s="72"/>
      <c r="M129" s="72"/>
      <c r="N129" s="72"/>
      <c r="O129" s="72"/>
      <c r="P129" s="72"/>
      <c r="Q129" s="72"/>
      <c r="R129" s="72"/>
      <c r="S129" s="72"/>
      <c r="T129" s="72"/>
      <c r="U129" s="72"/>
      <c r="V129" s="72"/>
      <c r="W129" s="72"/>
      <c r="X129" s="72"/>
      <c r="Y129" s="72"/>
      <c r="Z129" s="72"/>
      <c r="AA129" s="72"/>
      <c r="AB129" s="72"/>
      <c r="AC129" s="72"/>
      <c r="AD129" s="72"/>
      <c r="AE129" s="72"/>
      <c r="AF129" s="72"/>
      <c r="AG129" s="72"/>
      <c r="AH129" s="203"/>
      <c r="AI129" s="179"/>
    </row>
    <row r="130" spans="1:35" ht="22.35" customHeight="1" thickBot="1" x14ac:dyDescent="0.25">
      <c r="A130" s="3035" t="s">
        <v>28</v>
      </c>
      <c r="B130" s="2890" t="s">
        <v>29</v>
      </c>
      <c r="C130" s="3242">
        <v>1</v>
      </c>
      <c r="D130" s="3243">
        <v>2</v>
      </c>
      <c r="E130" s="3243">
        <v>3</v>
      </c>
      <c r="F130" s="3243">
        <v>4</v>
      </c>
      <c r="G130" s="3243">
        <v>5</v>
      </c>
      <c r="H130" s="3243">
        <v>6</v>
      </c>
      <c r="I130" s="3242">
        <v>7</v>
      </c>
      <c r="J130" s="3242">
        <v>8</v>
      </c>
      <c r="K130" s="3243">
        <v>9</v>
      </c>
      <c r="L130" s="3243">
        <v>10</v>
      </c>
      <c r="M130" s="3243">
        <v>11</v>
      </c>
      <c r="N130" s="3243">
        <v>12</v>
      </c>
      <c r="O130" s="3243">
        <v>13</v>
      </c>
      <c r="P130" s="3242">
        <v>14</v>
      </c>
      <c r="Q130" s="3242">
        <v>15</v>
      </c>
      <c r="R130" s="3243">
        <v>16</v>
      </c>
      <c r="S130" s="3243">
        <v>17</v>
      </c>
      <c r="T130" s="3243">
        <v>18</v>
      </c>
      <c r="U130" s="3243">
        <v>19</v>
      </c>
      <c r="V130" s="3243">
        <v>20</v>
      </c>
      <c r="W130" s="3242">
        <v>21</v>
      </c>
      <c r="X130" s="3242">
        <v>22</v>
      </c>
      <c r="Y130" s="3243">
        <v>23</v>
      </c>
      <c r="Z130" s="3243">
        <v>24</v>
      </c>
      <c r="AA130" s="3243">
        <v>25</v>
      </c>
      <c r="AB130" s="3243">
        <v>26</v>
      </c>
      <c r="AC130" s="3243">
        <v>27</v>
      </c>
      <c r="AD130" s="3242">
        <v>28</v>
      </c>
      <c r="AE130" s="3242">
        <v>29</v>
      </c>
      <c r="AF130" s="3243">
        <v>30</v>
      </c>
      <c r="AG130" s="3244">
        <v>31</v>
      </c>
      <c r="AH130" s="203"/>
      <c r="AI130" s="179"/>
    </row>
    <row r="131" spans="1:35" ht="22.35" customHeight="1" x14ac:dyDescent="0.2">
      <c r="A131" s="3399">
        <v>8520</v>
      </c>
      <c r="B131" s="3400" t="s">
        <v>184</v>
      </c>
      <c r="C131" s="3317"/>
      <c r="D131" s="3317" t="s">
        <v>358</v>
      </c>
      <c r="E131" s="3317" t="s">
        <v>358</v>
      </c>
      <c r="F131" s="3317" t="s">
        <v>358</v>
      </c>
      <c r="G131" s="3317" t="s">
        <v>358</v>
      </c>
      <c r="H131" s="3317" t="s">
        <v>358</v>
      </c>
      <c r="I131" s="3317"/>
      <c r="J131" s="3317"/>
      <c r="K131" s="3317" t="s">
        <v>358</v>
      </c>
      <c r="L131" s="3317" t="s">
        <v>358</v>
      </c>
      <c r="M131" s="3317" t="s">
        <v>358</v>
      </c>
      <c r="N131" s="3317" t="s">
        <v>358</v>
      </c>
      <c r="O131" s="3317" t="s">
        <v>358</v>
      </c>
      <c r="P131" s="3317"/>
      <c r="Q131" s="3317"/>
      <c r="R131" s="3317" t="s">
        <v>358</v>
      </c>
      <c r="S131" s="3317" t="s">
        <v>358</v>
      </c>
      <c r="T131" s="3317" t="s">
        <v>358</v>
      </c>
      <c r="U131" s="3317" t="s">
        <v>358</v>
      </c>
      <c r="V131" s="3317" t="s">
        <v>358</v>
      </c>
      <c r="W131" s="3317"/>
      <c r="X131" s="3317"/>
      <c r="Y131" s="3317" t="s">
        <v>358</v>
      </c>
      <c r="Z131" s="3317" t="s">
        <v>358</v>
      </c>
      <c r="AA131" s="3317" t="s">
        <v>358</v>
      </c>
      <c r="AB131" s="3317" t="s">
        <v>358</v>
      </c>
      <c r="AC131" s="3317" t="s">
        <v>358</v>
      </c>
      <c r="AD131" s="3317"/>
      <c r="AE131" s="3317"/>
      <c r="AF131" s="3317" t="s">
        <v>358</v>
      </c>
      <c r="AG131" s="3343" t="s">
        <v>358</v>
      </c>
      <c r="AH131" s="203"/>
      <c r="AI131" s="179"/>
    </row>
    <row r="132" spans="1:35" ht="22.35" customHeight="1" x14ac:dyDescent="0.2">
      <c r="A132" s="209"/>
      <c r="B132" s="208"/>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c r="AA132" s="199"/>
      <c r="AB132" s="199"/>
      <c r="AC132" s="199"/>
      <c r="AD132" s="199"/>
      <c r="AE132" s="199"/>
      <c r="AF132" s="199"/>
      <c r="AG132" s="199"/>
      <c r="AH132" s="203"/>
      <c r="AI132" s="179"/>
    </row>
    <row r="133" spans="1:35" ht="22.35" customHeight="1" x14ac:dyDescent="0.2">
      <c r="AH133" s="107"/>
      <c r="AI133" s="107"/>
    </row>
    <row r="134" spans="1:35" ht="22.35" customHeight="1" thickBot="1" x14ac:dyDescent="0.25">
      <c r="A134" s="169" t="s">
        <v>185</v>
      </c>
      <c r="B134" s="170"/>
      <c r="C134" s="170"/>
      <c r="D134" s="171"/>
      <c r="E134" s="171"/>
      <c r="F134" s="171"/>
      <c r="G134" s="105"/>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x14ac:dyDescent="0.2">
      <c r="A135" s="169"/>
      <c r="B135" s="2545" t="s">
        <v>186</v>
      </c>
      <c r="C135" s="3401"/>
      <c r="D135" s="3402" t="s">
        <v>107</v>
      </c>
      <c r="E135" s="3403"/>
      <c r="F135" s="3404"/>
      <c r="G135" s="3401"/>
      <c r="H135" s="3402" t="s">
        <v>108</v>
      </c>
      <c r="I135" s="3403"/>
      <c r="J135" s="3404"/>
      <c r="K135" s="3401"/>
      <c r="L135" s="3402" t="s">
        <v>109</v>
      </c>
      <c r="M135" s="3403"/>
      <c r="N135" s="3404"/>
      <c r="O135" s="3401"/>
      <c r="P135" s="3402" t="s">
        <v>110</v>
      </c>
      <c r="Q135" s="3403"/>
      <c r="R135" s="3404"/>
      <c r="S135" s="3401"/>
      <c r="T135" s="3402" t="s">
        <v>111</v>
      </c>
      <c r="U135" s="3403"/>
      <c r="V135" s="3404"/>
      <c r="W135" s="3401"/>
      <c r="X135" s="3402" t="s">
        <v>112</v>
      </c>
      <c r="Y135" s="3403"/>
      <c r="Z135" s="3404"/>
      <c r="AA135" s="3401"/>
      <c r="AB135" s="3402" t="s">
        <v>113</v>
      </c>
      <c r="AC135" s="3403"/>
      <c r="AD135" s="3403"/>
      <c r="AE135" s="3405" t="s">
        <v>114</v>
      </c>
      <c r="AF135" s="3403"/>
      <c r="AG135" s="3403"/>
      <c r="AH135" s="3403"/>
      <c r="AI135" s="3406"/>
    </row>
    <row r="136" spans="1:35" ht="22.35" customHeight="1" x14ac:dyDescent="0.2">
      <c r="A136" s="169"/>
      <c r="B136" s="3045" t="s">
        <v>159</v>
      </c>
      <c r="C136" s="3046">
        <v>69</v>
      </c>
      <c r="D136" s="3047" t="s">
        <v>187</v>
      </c>
      <c r="E136" s="3047"/>
      <c r="F136" s="3048"/>
      <c r="G136" s="3046">
        <v>69</v>
      </c>
      <c r="H136" s="3047" t="s">
        <v>187</v>
      </c>
      <c r="I136" s="3047"/>
      <c r="J136" s="3048"/>
      <c r="K136" s="3046">
        <v>69</v>
      </c>
      <c r="L136" s="3047" t="s">
        <v>187</v>
      </c>
      <c r="M136" s="3047"/>
      <c r="N136" s="3048"/>
      <c r="O136" s="3046">
        <v>69</v>
      </c>
      <c r="P136" s="3047" t="s">
        <v>187</v>
      </c>
      <c r="Q136" s="3047"/>
      <c r="R136" s="3048"/>
      <c r="S136" s="3046">
        <v>69</v>
      </c>
      <c r="T136" s="3047" t="s">
        <v>187</v>
      </c>
      <c r="U136" s="3047"/>
      <c r="V136" s="3048"/>
      <c r="W136" s="3046"/>
      <c r="X136" s="3049"/>
      <c r="Y136" s="3049"/>
      <c r="Z136" s="3050"/>
      <c r="AA136" s="3046"/>
      <c r="AB136" s="3047"/>
      <c r="AC136" s="3047"/>
      <c r="AD136" s="2959"/>
      <c r="AE136" s="3051">
        <v>35</v>
      </c>
      <c r="AF136" s="3047"/>
      <c r="AG136" s="3047"/>
      <c r="AH136" s="2959"/>
      <c r="AI136" s="3052"/>
    </row>
    <row r="137" spans="1:35" ht="22.35" customHeight="1" x14ac:dyDescent="0.2">
      <c r="A137" s="169"/>
      <c r="B137" s="3045" t="s">
        <v>163</v>
      </c>
      <c r="C137" s="3046">
        <v>79</v>
      </c>
      <c r="D137" s="3047" t="s">
        <v>188</v>
      </c>
      <c r="E137" s="3047"/>
      <c r="F137" s="3048"/>
      <c r="G137" s="3046">
        <v>79</v>
      </c>
      <c r="H137" s="3047" t="s">
        <v>188</v>
      </c>
      <c r="I137" s="3047"/>
      <c r="J137" s="3048"/>
      <c r="K137" s="3046">
        <v>79</v>
      </c>
      <c r="L137" s="3047" t="s">
        <v>188</v>
      </c>
      <c r="M137" s="3047"/>
      <c r="N137" s="3048"/>
      <c r="O137" s="3046">
        <v>79</v>
      </c>
      <c r="P137" s="3047" t="s">
        <v>188</v>
      </c>
      <c r="Q137" s="3047"/>
      <c r="R137" s="3048"/>
      <c r="S137" s="3046">
        <v>79</v>
      </c>
      <c r="T137" s="3047" t="s">
        <v>188</v>
      </c>
      <c r="U137" s="3047"/>
      <c r="V137" s="3048"/>
      <c r="W137" s="3046"/>
      <c r="X137" s="3047"/>
      <c r="Y137" s="3047"/>
      <c r="Z137" s="3048"/>
      <c r="AA137" s="3047"/>
      <c r="AB137" s="3047"/>
      <c r="AC137" s="3047"/>
      <c r="AD137" s="2959"/>
      <c r="AE137" s="3051">
        <v>40</v>
      </c>
      <c r="AF137" s="3047"/>
      <c r="AG137" s="3047"/>
      <c r="AH137" s="2959"/>
      <c r="AI137" s="3052"/>
    </row>
    <row r="138" spans="1:35" ht="22.35" customHeight="1" x14ac:dyDescent="0.2">
      <c r="A138" s="169"/>
      <c r="B138" s="3045" t="s">
        <v>170</v>
      </c>
      <c r="C138" s="3046">
        <v>89</v>
      </c>
      <c r="D138" s="3047" t="s">
        <v>189</v>
      </c>
      <c r="E138" s="3047"/>
      <c r="F138" s="3048"/>
      <c r="G138" s="3046">
        <v>89</v>
      </c>
      <c r="H138" s="3047" t="s">
        <v>189</v>
      </c>
      <c r="I138" s="3047"/>
      <c r="J138" s="3048"/>
      <c r="K138" s="3046">
        <v>89</v>
      </c>
      <c r="L138" s="3047" t="s">
        <v>189</v>
      </c>
      <c r="M138" s="3047"/>
      <c r="N138" s="3048"/>
      <c r="O138" s="3046">
        <v>89</v>
      </c>
      <c r="P138" s="3047" t="s">
        <v>189</v>
      </c>
      <c r="Q138" s="3047"/>
      <c r="R138" s="3048"/>
      <c r="S138" s="3046">
        <v>89</v>
      </c>
      <c r="T138" s="3047" t="s">
        <v>190</v>
      </c>
      <c r="U138" s="3047"/>
      <c r="V138" s="3048"/>
      <c r="W138" s="3407"/>
      <c r="X138" s="3408" t="s">
        <v>191</v>
      </c>
      <c r="Y138" s="3408"/>
      <c r="Z138" s="3409"/>
      <c r="AA138" s="3407"/>
      <c r="AB138" s="3408"/>
      <c r="AC138" s="3408"/>
      <c r="AD138" s="3345"/>
      <c r="AE138" s="3051">
        <v>44</v>
      </c>
      <c r="AF138" s="3047"/>
      <c r="AG138" s="3047"/>
      <c r="AH138" s="2959"/>
      <c r="AI138" s="3052"/>
    </row>
    <row r="139" spans="1:35" ht="22.35" customHeight="1" x14ac:dyDescent="0.2">
      <c r="A139" s="169"/>
      <c r="B139" s="38" t="s">
        <v>172</v>
      </c>
      <c r="C139" s="3407">
        <v>99</v>
      </c>
      <c r="D139" s="3408" t="s">
        <v>192</v>
      </c>
      <c r="E139" s="3408"/>
      <c r="F139" s="3409"/>
      <c r="G139" s="3407">
        <v>99</v>
      </c>
      <c r="H139" s="3408" t="s">
        <v>192</v>
      </c>
      <c r="I139" s="3408"/>
      <c r="J139" s="3409"/>
      <c r="K139" s="3407">
        <v>99</v>
      </c>
      <c r="L139" s="3408" t="s">
        <v>192</v>
      </c>
      <c r="M139" s="3408"/>
      <c r="N139" s="3409"/>
      <c r="O139" s="3407">
        <v>99</v>
      </c>
      <c r="P139" s="3408" t="s">
        <v>192</v>
      </c>
      <c r="Q139" s="3408"/>
      <c r="R139" s="3409"/>
      <c r="S139" s="3407">
        <v>99</v>
      </c>
      <c r="T139" s="3408" t="s">
        <v>171</v>
      </c>
      <c r="U139" s="3408"/>
      <c r="V139" s="3345"/>
      <c r="W139" s="3344"/>
      <c r="X139" s="3345"/>
      <c r="Y139" s="3408"/>
      <c r="Z139" s="3409"/>
      <c r="AA139" s="3344"/>
      <c r="AB139" s="3345"/>
      <c r="AC139" s="3408"/>
      <c r="AD139" s="3409"/>
      <c r="AE139" s="3410">
        <v>28</v>
      </c>
      <c r="AF139" s="3408"/>
      <c r="AG139" s="3408"/>
      <c r="AH139" s="3345"/>
      <c r="AI139" s="3411"/>
    </row>
    <row r="140" spans="1:35" ht="22.35" customHeight="1" thickBot="1" x14ac:dyDescent="0.25">
      <c r="A140" s="169"/>
      <c r="B140" s="1056" t="s">
        <v>193</v>
      </c>
      <c r="C140" s="3058" t="s">
        <v>58</v>
      </c>
      <c r="D140" s="3059" t="s">
        <v>194</v>
      </c>
      <c r="E140" s="3060"/>
      <c r="F140" s="2883"/>
      <c r="G140" s="3058" t="s">
        <v>58</v>
      </c>
      <c r="H140" s="3059" t="s">
        <v>194</v>
      </c>
      <c r="I140" s="2881"/>
      <c r="J140" s="3060"/>
      <c r="K140" s="3058" t="s">
        <v>58</v>
      </c>
      <c r="L140" s="3059" t="s">
        <v>194</v>
      </c>
      <c r="M140" s="3060"/>
      <c r="N140" s="3061"/>
      <c r="O140" s="3058" t="s">
        <v>58</v>
      </c>
      <c r="P140" s="3059" t="s">
        <v>194</v>
      </c>
      <c r="Q140" s="3060"/>
      <c r="R140" s="3059"/>
      <c r="S140" s="3058" t="s">
        <v>58</v>
      </c>
      <c r="T140" s="2885" t="s">
        <v>195</v>
      </c>
      <c r="U140" s="3059"/>
      <c r="V140" s="3061"/>
      <c r="W140" s="3060"/>
      <c r="X140" s="3059"/>
      <c r="Y140" s="3059"/>
      <c r="Z140" s="3059"/>
      <c r="AA140" s="3062"/>
      <c r="AB140" s="3063"/>
      <c r="AC140" s="3059"/>
      <c r="AD140" s="3064"/>
      <c r="AE140" s="3059"/>
      <c r="AF140" s="3059"/>
      <c r="AG140" s="3059"/>
      <c r="AH140" s="3065"/>
      <c r="AI140" s="3066"/>
    </row>
    <row r="141" spans="1:35" ht="22.35" customHeight="1" x14ac:dyDescent="0.2">
      <c r="A141" s="108"/>
      <c r="B141" s="169"/>
      <c r="C141" s="171"/>
      <c r="D141" s="171"/>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0"/>
      <c r="AI141" s="170"/>
    </row>
    <row r="142" spans="1:35" ht="22.35" customHeight="1" thickBot="1" x14ac:dyDescent="0.25">
      <c r="A142" s="3035"/>
      <c r="B142" s="2890" t="s">
        <v>29</v>
      </c>
      <c r="C142" s="3242">
        <v>1</v>
      </c>
      <c r="D142" s="3243">
        <v>2</v>
      </c>
      <c r="E142" s="3243">
        <v>3</v>
      </c>
      <c r="F142" s="3243">
        <v>4</v>
      </c>
      <c r="G142" s="3243">
        <v>5</v>
      </c>
      <c r="H142" s="3243">
        <v>6</v>
      </c>
      <c r="I142" s="3242">
        <v>7</v>
      </c>
      <c r="J142" s="3242">
        <v>8</v>
      </c>
      <c r="K142" s="3243">
        <v>9</v>
      </c>
      <c r="L142" s="3243">
        <v>10</v>
      </c>
      <c r="M142" s="3243">
        <v>11</v>
      </c>
      <c r="N142" s="3243">
        <v>12</v>
      </c>
      <c r="O142" s="3243">
        <v>13</v>
      </c>
      <c r="P142" s="3242">
        <v>14</v>
      </c>
      <c r="Q142" s="3242">
        <v>15</v>
      </c>
      <c r="R142" s="3243">
        <v>16</v>
      </c>
      <c r="S142" s="3243">
        <v>17</v>
      </c>
      <c r="T142" s="3243">
        <v>18</v>
      </c>
      <c r="U142" s="3243">
        <v>19</v>
      </c>
      <c r="V142" s="3243">
        <v>20</v>
      </c>
      <c r="W142" s="3242">
        <v>21</v>
      </c>
      <c r="X142" s="3242">
        <v>22</v>
      </c>
      <c r="Y142" s="3243">
        <v>23</v>
      </c>
      <c r="Z142" s="3243">
        <v>24</v>
      </c>
      <c r="AA142" s="3243">
        <v>25</v>
      </c>
      <c r="AB142" s="3243">
        <v>26</v>
      </c>
      <c r="AC142" s="3243">
        <v>27</v>
      </c>
      <c r="AD142" s="3242">
        <v>28</v>
      </c>
      <c r="AE142" s="3242">
        <v>29</v>
      </c>
      <c r="AF142" s="3243">
        <v>30</v>
      </c>
      <c r="AG142" s="3244">
        <v>31</v>
      </c>
      <c r="AH142" s="173"/>
      <c r="AI142" s="174"/>
    </row>
    <row r="143" spans="1:35" ht="22.35" customHeight="1" x14ac:dyDescent="0.2">
      <c r="A143" s="3383">
        <v>1</v>
      </c>
      <c r="B143" s="3412" t="s">
        <v>196</v>
      </c>
      <c r="C143" s="3316"/>
      <c r="D143" s="3316" t="s">
        <v>86</v>
      </c>
      <c r="E143" s="3317" t="s">
        <v>58</v>
      </c>
      <c r="F143" s="3317">
        <v>1</v>
      </c>
      <c r="G143" s="3318">
        <v>1</v>
      </c>
      <c r="H143" s="3316" t="s">
        <v>86</v>
      </c>
      <c r="I143" s="3318"/>
      <c r="J143" s="3318"/>
      <c r="K143" s="3316">
        <v>69</v>
      </c>
      <c r="L143" s="3318">
        <v>69</v>
      </c>
      <c r="M143" s="3317">
        <v>69</v>
      </c>
      <c r="N143" s="3316">
        <v>69</v>
      </c>
      <c r="O143" s="3316">
        <v>69</v>
      </c>
      <c r="P143" s="3316"/>
      <c r="Q143" s="3316"/>
      <c r="R143" s="3316">
        <v>79</v>
      </c>
      <c r="S143" s="3317">
        <v>79</v>
      </c>
      <c r="T143" s="3317">
        <v>79</v>
      </c>
      <c r="U143" s="3316">
        <v>79</v>
      </c>
      <c r="V143" s="3316">
        <v>79</v>
      </c>
      <c r="W143" s="3316"/>
      <c r="X143" s="3316"/>
      <c r="Y143" s="3316">
        <v>89</v>
      </c>
      <c r="Z143" s="3316">
        <v>89</v>
      </c>
      <c r="AA143" s="3318">
        <v>89</v>
      </c>
      <c r="AB143" s="3316">
        <v>89</v>
      </c>
      <c r="AC143" s="3316">
        <v>89</v>
      </c>
      <c r="AD143" s="3316">
        <v>89</v>
      </c>
      <c r="AE143" s="3316"/>
      <c r="AF143" s="3318">
        <v>99</v>
      </c>
      <c r="AG143" s="3322">
        <v>99</v>
      </c>
      <c r="AH143" s="191"/>
      <c r="AI143" s="107"/>
    </row>
    <row r="144" spans="1:35" ht="22.35" customHeight="1" x14ac:dyDescent="0.2">
      <c r="A144" s="3014">
        <v>2</v>
      </c>
      <c r="B144" s="3069" t="s">
        <v>197</v>
      </c>
      <c r="C144" s="3258"/>
      <c r="D144" s="3258">
        <v>69</v>
      </c>
      <c r="E144" s="3258">
        <v>69</v>
      </c>
      <c r="F144" s="3258">
        <v>69</v>
      </c>
      <c r="G144" s="3258">
        <v>69</v>
      </c>
      <c r="H144" s="2918">
        <v>69</v>
      </c>
      <c r="I144" s="2918"/>
      <c r="J144" s="2918"/>
      <c r="K144" s="2918">
        <v>79</v>
      </c>
      <c r="L144" s="3277">
        <v>79</v>
      </c>
      <c r="M144" s="3277">
        <v>79</v>
      </c>
      <c r="N144" s="2918">
        <v>79</v>
      </c>
      <c r="O144" s="2918">
        <v>79</v>
      </c>
      <c r="P144" s="2918"/>
      <c r="Q144" s="2918"/>
      <c r="R144" s="3261">
        <v>89</v>
      </c>
      <c r="S144" s="2918">
        <v>89</v>
      </c>
      <c r="T144" s="3277">
        <v>89</v>
      </c>
      <c r="U144" s="2918">
        <v>89</v>
      </c>
      <c r="V144" s="2918">
        <v>89</v>
      </c>
      <c r="W144" s="2918">
        <v>89</v>
      </c>
      <c r="X144" s="2918"/>
      <c r="Y144" s="2918">
        <v>99</v>
      </c>
      <c r="Z144" s="2918">
        <v>99</v>
      </c>
      <c r="AA144" s="3277">
        <v>99</v>
      </c>
      <c r="AB144" s="3261">
        <v>99</v>
      </c>
      <c r="AC144" s="3276" t="s">
        <v>36</v>
      </c>
      <c r="AD144" s="3276"/>
      <c r="AE144" s="3276"/>
      <c r="AF144" s="3276" t="s">
        <v>58</v>
      </c>
      <c r="AG144" s="3073" t="s">
        <v>58</v>
      </c>
      <c r="AH144" s="192"/>
      <c r="AI144" s="168"/>
    </row>
    <row r="145" spans="1:35" ht="22.35" customHeight="1" x14ac:dyDescent="0.2">
      <c r="A145" s="3014">
        <v>3</v>
      </c>
      <c r="B145" s="3069" t="s">
        <v>360</v>
      </c>
      <c r="C145" s="3074"/>
      <c r="D145" s="2910">
        <v>79</v>
      </c>
      <c r="E145" s="2910">
        <v>79</v>
      </c>
      <c r="F145" s="2910">
        <v>79</v>
      </c>
      <c r="G145" s="2910">
        <v>79</v>
      </c>
      <c r="H145" s="2910">
        <v>79</v>
      </c>
      <c r="I145" s="2910"/>
      <c r="J145" s="2910"/>
      <c r="K145" s="3074">
        <v>89</v>
      </c>
      <c r="L145" s="3074">
        <v>89</v>
      </c>
      <c r="M145" s="3074">
        <v>89</v>
      </c>
      <c r="N145" s="3074">
        <v>89</v>
      </c>
      <c r="O145" s="3276">
        <v>89</v>
      </c>
      <c r="P145" s="3276">
        <v>89</v>
      </c>
      <c r="Q145" s="3276"/>
      <c r="R145" s="3413">
        <v>99</v>
      </c>
      <c r="S145" s="3276">
        <v>99</v>
      </c>
      <c r="T145" s="3276">
        <v>99</v>
      </c>
      <c r="U145" s="3276">
        <v>99</v>
      </c>
      <c r="V145" s="3074" t="s">
        <v>36</v>
      </c>
      <c r="W145" s="3074"/>
      <c r="X145" s="3074"/>
      <c r="Y145" s="3074" t="s">
        <v>58</v>
      </c>
      <c r="Z145" s="3074" t="s">
        <v>58</v>
      </c>
      <c r="AA145" s="3074" t="s">
        <v>58</v>
      </c>
      <c r="AB145" s="3074" t="s">
        <v>58</v>
      </c>
      <c r="AC145" s="3074" t="s">
        <v>58</v>
      </c>
      <c r="AD145" s="3074"/>
      <c r="AE145" s="3074"/>
      <c r="AF145" s="3074">
        <v>69</v>
      </c>
      <c r="AG145" s="3077">
        <v>69</v>
      </c>
      <c r="AH145" s="191"/>
      <c r="AI145" s="107"/>
    </row>
    <row r="146" spans="1:35" ht="22.35" customHeight="1" x14ac:dyDescent="0.2">
      <c r="A146" s="3014">
        <v>4</v>
      </c>
      <c r="B146" s="3414" t="s">
        <v>473</v>
      </c>
      <c r="C146" s="3277"/>
      <c r="D146" s="3277">
        <v>89</v>
      </c>
      <c r="E146" s="3266">
        <v>89</v>
      </c>
      <c r="F146" s="3017">
        <v>89</v>
      </c>
      <c r="G146" s="3277">
        <v>89</v>
      </c>
      <c r="H146" s="3277">
        <v>89</v>
      </c>
      <c r="I146" s="3277">
        <v>89</v>
      </c>
      <c r="J146" s="3277"/>
      <c r="K146" s="3277">
        <v>99</v>
      </c>
      <c r="L146" s="3277">
        <v>99</v>
      </c>
      <c r="M146" s="3277">
        <v>99</v>
      </c>
      <c r="N146" s="3277">
        <v>99</v>
      </c>
      <c r="O146" s="3277" t="s">
        <v>36</v>
      </c>
      <c r="P146" s="3277"/>
      <c r="Q146" s="2984"/>
      <c r="R146" s="2910" t="s">
        <v>58</v>
      </c>
      <c r="S146" s="2910" t="s">
        <v>58</v>
      </c>
      <c r="T146" s="2910" t="s">
        <v>58</v>
      </c>
      <c r="U146" s="2910" t="s">
        <v>201</v>
      </c>
      <c r="V146" s="2910" t="s">
        <v>201</v>
      </c>
      <c r="W146" s="2910"/>
      <c r="X146" s="2910"/>
      <c r="Y146" s="2984">
        <v>69</v>
      </c>
      <c r="Z146" s="2984">
        <v>69</v>
      </c>
      <c r="AA146" s="3277">
        <v>69</v>
      </c>
      <c r="AB146" s="3277">
        <v>69</v>
      </c>
      <c r="AC146" s="3277">
        <v>69</v>
      </c>
      <c r="AD146" s="3277"/>
      <c r="AE146" s="3277"/>
      <c r="AF146" s="2984">
        <v>79</v>
      </c>
      <c r="AG146" s="3073">
        <v>79</v>
      </c>
      <c r="AH146" s="191"/>
      <c r="AI146" s="107"/>
    </row>
    <row r="147" spans="1:35" ht="22.35" customHeight="1" thickBot="1" x14ac:dyDescent="0.25">
      <c r="A147" s="3018">
        <v>5</v>
      </c>
      <c r="B147" s="3078" t="s">
        <v>202</v>
      </c>
      <c r="C147" s="3300"/>
      <c r="D147" s="3415">
        <v>99</v>
      </c>
      <c r="E147" s="3300">
        <v>99</v>
      </c>
      <c r="F147" s="3243">
        <v>99</v>
      </c>
      <c r="G147" s="3243">
        <v>99</v>
      </c>
      <c r="H147" s="2913" t="s">
        <v>36</v>
      </c>
      <c r="I147" s="3017"/>
      <c r="J147" s="3017"/>
      <c r="K147" s="2913" t="s">
        <v>58</v>
      </c>
      <c r="L147" s="3243" t="s">
        <v>58</v>
      </c>
      <c r="M147" s="3243" t="s">
        <v>58</v>
      </c>
      <c r="N147" s="3300" t="s">
        <v>58</v>
      </c>
      <c r="O147" s="3300" t="s">
        <v>58</v>
      </c>
      <c r="P147" s="3300"/>
      <c r="Q147" s="3300"/>
      <c r="R147" s="3300">
        <v>69</v>
      </c>
      <c r="S147" s="3243">
        <v>69</v>
      </c>
      <c r="T147" s="3416">
        <v>69</v>
      </c>
      <c r="U147" s="3300">
        <v>69</v>
      </c>
      <c r="V147" s="3417">
        <v>69</v>
      </c>
      <c r="W147" s="3300"/>
      <c r="X147" s="3300"/>
      <c r="Y147" s="3300">
        <v>79</v>
      </c>
      <c r="Z147" s="3300">
        <v>79</v>
      </c>
      <c r="AA147" s="2915">
        <v>79</v>
      </c>
      <c r="AB147" s="3300">
        <v>79</v>
      </c>
      <c r="AC147" s="3300">
        <v>79</v>
      </c>
      <c r="AD147" s="3300"/>
      <c r="AE147" s="3300"/>
      <c r="AF147" s="3300">
        <v>89</v>
      </c>
      <c r="AG147" s="1079">
        <v>89</v>
      </c>
      <c r="AH147" s="191"/>
      <c r="AI147" s="107"/>
    </row>
    <row r="148" spans="1:35" ht="22.35" customHeight="1" x14ac:dyDescent="0.2">
      <c r="A148" s="200"/>
      <c r="B148" s="217"/>
      <c r="C148" s="218"/>
      <c r="D148" s="218"/>
      <c r="E148" s="218"/>
      <c r="F148" s="199"/>
      <c r="G148" s="216"/>
      <c r="H148" s="216"/>
      <c r="I148" s="216"/>
      <c r="J148" s="216"/>
      <c r="K148" s="216"/>
      <c r="L148" s="199"/>
      <c r="M148" s="199"/>
      <c r="N148" s="218"/>
      <c r="O148" s="218"/>
      <c r="P148" s="218"/>
      <c r="Q148" s="218"/>
      <c r="R148" s="218"/>
      <c r="S148" s="199"/>
      <c r="T148" s="219"/>
      <c r="U148" s="218"/>
      <c r="V148" s="218"/>
      <c r="W148" s="218"/>
      <c r="X148" s="218"/>
      <c r="Y148" s="218"/>
      <c r="Z148" s="220"/>
      <c r="AA148" s="220"/>
      <c r="AB148" s="218"/>
      <c r="AC148" s="218"/>
      <c r="AD148" s="218"/>
      <c r="AE148" s="218"/>
      <c r="AF148" s="218"/>
      <c r="AG148" s="220"/>
      <c r="AH148" s="191"/>
      <c r="AI148" s="107"/>
    </row>
    <row r="149" spans="1:35" ht="22.35" customHeight="1" x14ac:dyDescent="0.2">
      <c r="A149" s="109"/>
      <c r="B149" s="110"/>
      <c r="C149" s="106"/>
      <c r="D149" s="106"/>
      <c r="E149" s="106"/>
      <c r="F149" s="106"/>
      <c r="G149" s="106"/>
      <c r="H149" s="106"/>
      <c r="I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7"/>
      <c r="AI149" s="107"/>
    </row>
    <row r="150" spans="1:35" ht="22.35" customHeight="1" thickBot="1" x14ac:dyDescent="0.25">
      <c r="A150" s="169" t="s">
        <v>204</v>
      </c>
      <c r="B150" s="170"/>
      <c r="C150" s="170"/>
      <c r="D150" s="171"/>
      <c r="E150" s="171"/>
      <c r="F150" s="171"/>
      <c r="G150" s="105"/>
      <c r="H150" s="171"/>
      <c r="I150" s="171"/>
      <c r="J150" s="171"/>
      <c r="K150" s="171"/>
      <c r="L150" s="171"/>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0"/>
      <c r="AI150" s="170"/>
    </row>
    <row r="151" spans="1:35" ht="22.35" customHeight="1" x14ac:dyDescent="0.2">
      <c r="A151" s="169"/>
      <c r="B151" s="2545" t="s">
        <v>186</v>
      </c>
      <c r="C151" s="3401"/>
      <c r="D151" s="3402" t="s">
        <v>107</v>
      </c>
      <c r="E151" s="3403"/>
      <c r="F151" s="3404"/>
      <c r="G151" s="3401"/>
      <c r="H151" s="3402" t="s">
        <v>108</v>
      </c>
      <c r="I151" s="3403"/>
      <c r="J151" s="3404"/>
      <c r="K151" s="3401"/>
      <c r="L151" s="3402" t="s">
        <v>109</v>
      </c>
      <c r="M151" s="3403"/>
      <c r="N151" s="3404"/>
      <c r="O151" s="3401"/>
      <c r="P151" s="3402" t="s">
        <v>110</v>
      </c>
      <c r="Q151" s="3403"/>
      <c r="R151" s="3404"/>
      <c r="S151" s="3401"/>
      <c r="T151" s="3402" t="s">
        <v>111</v>
      </c>
      <c r="U151" s="3403"/>
      <c r="V151" s="3404"/>
      <c r="W151" s="3401"/>
      <c r="X151" s="3402" t="s">
        <v>112</v>
      </c>
      <c r="Y151" s="3403"/>
      <c r="Z151" s="3404"/>
      <c r="AA151" s="3401"/>
      <c r="AB151" s="3402" t="s">
        <v>113</v>
      </c>
      <c r="AC151" s="3403"/>
      <c r="AD151" s="3403"/>
      <c r="AE151" s="3405" t="s">
        <v>114</v>
      </c>
      <c r="AF151" s="3403"/>
      <c r="AG151" s="3403"/>
      <c r="AH151" s="3403"/>
      <c r="AI151" s="3406"/>
    </row>
    <row r="152" spans="1:35" ht="22.35" customHeight="1" x14ac:dyDescent="0.2">
      <c r="A152" s="169"/>
      <c r="B152" s="3045" t="s">
        <v>205</v>
      </c>
      <c r="C152" s="2958" t="s">
        <v>206</v>
      </c>
      <c r="D152" s="3047"/>
      <c r="E152" s="3047"/>
      <c r="F152" s="3048"/>
      <c r="G152" s="2958" t="s">
        <v>206</v>
      </c>
      <c r="H152" s="3047"/>
      <c r="I152" s="3047"/>
      <c r="J152" s="3048"/>
      <c r="K152" s="2958" t="s">
        <v>206</v>
      </c>
      <c r="L152" s="3047"/>
      <c r="M152" s="3047"/>
      <c r="N152" s="3048"/>
      <c r="O152" s="2958" t="s">
        <v>206</v>
      </c>
      <c r="P152" s="3047"/>
      <c r="Q152" s="3047"/>
      <c r="R152" s="3048"/>
      <c r="S152" s="2958" t="s">
        <v>206</v>
      </c>
      <c r="T152" s="3047"/>
      <c r="U152" s="3047"/>
      <c r="V152" s="3048"/>
      <c r="W152" s="2958" t="s">
        <v>207</v>
      </c>
      <c r="X152" s="3049"/>
      <c r="Y152" s="3049"/>
      <c r="Z152" s="3050"/>
      <c r="AA152" s="2958" t="s">
        <v>207</v>
      </c>
      <c r="AB152" s="3047"/>
      <c r="AC152" s="3047"/>
      <c r="AD152" s="2959"/>
      <c r="AE152" s="3051">
        <v>69</v>
      </c>
      <c r="AF152" s="185"/>
      <c r="AG152" s="185"/>
      <c r="AH152" s="185"/>
      <c r="AI152" s="186"/>
    </row>
    <row r="153" spans="1:35" ht="22.35" customHeight="1" x14ac:dyDescent="0.2">
      <c r="A153" s="169"/>
      <c r="B153" s="3045" t="s">
        <v>163</v>
      </c>
      <c r="C153" s="2958" t="s">
        <v>171</v>
      </c>
      <c r="D153" s="3047"/>
      <c r="E153" s="3047"/>
      <c r="F153" s="3048"/>
      <c r="G153" s="2958" t="s">
        <v>171</v>
      </c>
      <c r="H153" s="3047"/>
      <c r="I153" s="3047"/>
      <c r="J153" s="3048"/>
      <c r="K153" s="2958" t="s">
        <v>171</v>
      </c>
      <c r="L153" s="3047"/>
      <c r="M153" s="3047"/>
      <c r="N153" s="3048"/>
      <c r="O153" s="2958" t="s">
        <v>171</v>
      </c>
      <c r="P153" s="3047"/>
      <c r="Q153" s="3047"/>
      <c r="R153" s="3048"/>
      <c r="S153" s="2958" t="s">
        <v>171</v>
      </c>
      <c r="T153" s="3047"/>
      <c r="U153" s="3047"/>
      <c r="V153" s="3048"/>
      <c r="W153" s="2958" t="s">
        <v>171</v>
      </c>
      <c r="X153" s="3047"/>
      <c r="Y153" s="3047"/>
      <c r="Z153" s="3048"/>
      <c r="AA153" s="3047" t="s">
        <v>171</v>
      </c>
      <c r="AB153" s="3047"/>
      <c r="AC153" s="3047"/>
      <c r="AD153" s="2959"/>
      <c r="AE153" s="3051">
        <v>0</v>
      </c>
      <c r="AF153" s="185"/>
      <c r="AG153" s="185"/>
      <c r="AH153" s="185"/>
      <c r="AI153" s="186"/>
    </row>
    <row r="154" spans="1:35" ht="22.35" customHeight="1" x14ac:dyDescent="0.2">
      <c r="A154" s="169"/>
      <c r="B154" s="3045" t="s">
        <v>208</v>
      </c>
      <c r="C154" s="2958" t="s">
        <v>206</v>
      </c>
      <c r="D154" s="3047"/>
      <c r="E154" s="3047"/>
      <c r="F154" s="3048"/>
      <c r="G154" s="2958" t="s">
        <v>206</v>
      </c>
      <c r="H154" s="3047"/>
      <c r="I154" s="3047"/>
      <c r="J154" s="3048"/>
      <c r="K154" s="2958" t="s">
        <v>206</v>
      </c>
      <c r="L154" s="3047"/>
      <c r="M154" s="3047"/>
      <c r="N154" s="3048"/>
      <c r="O154" s="2958" t="s">
        <v>206</v>
      </c>
      <c r="P154" s="3047"/>
      <c r="Q154" s="3047"/>
      <c r="R154" s="3048"/>
      <c r="S154" s="2958" t="s">
        <v>206</v>
      </c>
      <c r="T154" s="3047"/>
      <c r="U154" s="3047"/>
      <c r="V154" s="3048"/>
      <c r="W154" s="2958" t="s">
        <v>207</v>
      </c>
      <c r="X154" s="3049"/>
      <c r="Y154" s="3049"/>
      <c r="Z154" s="3050"/>
      <c r="AA154" s="2958" t="s">
        <v>207</v>
      </c>
      <c r="AB154" s="3047"/>
      <c r="AC154" s="3047"/>
      <c r="AD154" s="2959"/>
      <c r="AE154" s="3051">
        <v>69</v>
      </c>
      <c r="AF154" s="3047"/>
      <c r="AG154" s="3047" t="s">
        <v>0</v>
      </c>
      <c r="AH154" s="2959"/>
      <c r="AI154" s="3052"/>
    </row>
    <row r="155" spans="1:35" ht="22.35" customHeight="1" x14ac:dyDescent="0.2">
      <c r="A155" s="169"/>
      <c r="B155" s="3045" t="s">
        <v>172</v>
      </c>
      <c r="C155" s="2958" t="s">
        <v>171</v>
      </c>
      <c r="D155" s="3047"/>
      <c r="E155" s="3047"/>
      <c r="F155" s="3048"/>
      <c r="G155" s="2958" t="s">
        <v>171</v>
      </c>
      <c r="H155" s="3047"/>
      <c r="I155" s="3047"/>
      <c r="J155" s="3048"/>
      <c r="K155" s="2958" t="s">
        <v>171</v>
      </c>
      <c r="L155" s="3047"/>
      <c r="M155" s="3047"/>
      <c r="N155" s="3048"/>
      <c r="O155" s="2958" t="s">
        <v>171</v>
      </c>
      <c r="P155" s="3047"/>
      <c r="Q155" s="3047"/>
      <c r="R155" s="3048"/>
      <c r="S155" s="2958" t="s">
        <v>171</v>
      </c>
      <c r="T155" s="3047"/>
      <c r="U155" s="3047"/>
      <c r="V155" s="3048"/>
      <c r="W155" s="2958" t="s">
        <v>171</v>
      </c>
      <c r="X155" s="3047"/>
      <c r="Y155" s="3047"/>
      <c r="Z155" s="3048"/>
      <c r="AA155" s="3047" t="s">
        <v>171</v>
      </c>
      <c r="AB155" s="3047"/>
      <c r="AC155" s="3047"/>
      <c r="AD155" s="2959"/>
      <c r="AE155" s="3051">
        <v>0</v>
      </c>
      <c r="AF155" s="3047"/>
      <c r="AG155" s="3047"/>
      <c r="AH155" s="2959"/>
      <c r="AI155" s="3052"/>
    </row>
    <row r="156" spans="1:35" ht="22.35" customHeight="1" x14ac:dyDescent="0.2">
      <c r="A156" s="169"/>
      <c r="B156" s="3045" t="s">
        <v>209</v>
      </c>
      <c r="C156" s="2958" t="s">
        <v>206</v>
      </c>
      <c r="D156" s="3047"/>
      <c r="E156" s="3047"/>
      <c r="F156" s="3048"/>
      <c r="G156" s="2958" t="s">
        <v>206</v>
      </c>
      <c r="H156" s="3047"/>
      <c r="I156" s="3047"/>
      <c r="J156" s="3048"/>
      <c r="K156" s="2958" t="s">
        <v>206</v>
      </c>
      <c r="L156" s="3047"/>
      <c r="M156" s="3047"/>
      <c r="N156" s="3048"/>
      <c r="O156" s="2958" t="s">
        <v>206</v>
      </c>
      <c r="P156" s="3047"/>
      <c r="Q156" s="3047"/>
      <c r="R156" s="3048"/>
      <c r="S156" s="2958" t="s">
        <v>206</v>
      </c>
      <c r="T156" s="3047"/>
      <c r="U156" s="3047"/>
      <c r="V156" s="3048"/>
      <c r="W156" s="2958" t="s">
        <v>210</v>
      </c>
      <c r="X156" s="3408"/>
      <c r="Y156" s="3408"/>
      <c r="Z156" s="3409"/>
      <c r="AA156" s="2958" t="s">
        <v>210</v>
      </c>
      <c r="AB156" s="3408"/>
      <c r="AC156" s="3408"/>
      <c r="AD156" s="3345"/>
      <c r="AE156" s="3051">
        <v>66</v>
      </c>
      <c r="AF156" s="3047"/>
      <c r="AG156" s="3047"/>
      <c r="AH156" s="2959"/>
      <c r="AI156" s="3052"/>
    </row>
    <row r="157" spans="1:35" ht="22.35" customHeight="1" thickBot="1" x14ac:dyDescent="0.25">
      <c r="A157" s="169"/>
      <c r="B157" s="3045" t="s">
        <v>211</v>
      </c>
      <c r="C157" s="3080" t="s">
        <v>171</v>
      </c>
      <c r="D157" s="3081"/>
      <c r="E157" s="3081"/>
      <c r="F157" s="3082"/>
      <c r="G157" s="3080" t="s">
        <v>171</v>
      </c>
      <c r="H157" s="3081"/>
      <c r="I157" s="3081"/>
      <c r="J157" s="3082"/>
      <c r="K157" s="3080" t="s">
        <v>171</v>
      </c>
      <c r="L157" s="3081"/>
      <c r="M157" s="3081"/>
      <c r="N157" s="3082"/>
      <c r="O157" s="3080" t="s">
        <v>171</v>
      </c>
      <c r="P157" s="3081"/>
      <c r="Q157" s="3081"/>
      <c r="R157" s="3082"/>
      <c r="S157" s="3080" t="s">
        <v>171</v>
      </c>
      <c r="T157" s="3081"/>
      <c r="U157" s="3081"/>
      <c r="V157" s="3065"/>
      <c r="W157" s="3080" t="s">
        <v>171</v>
      </c>
      <c r="X157" s="3065"/>
      <c r="Y157" s="3081"/>
      <c r="Z157" s="3082"/>
      <c r="AA157" s="3080" t="s">
        <v>171</v>
      </c>
      <c r="AB157" s="3065"/>
      <c r="AC157" s="3081"/>
      <c r="AD157" s="3082"/>
      <c r="AE157" s="3083" t="s">
        <v>212</v>
      </c>
      <c r="AF157" s="3081"/>
      <c r="AG157" s="3081"/>
      <c r="AH157" s="3065"/>
      <c r="AI157" s="3066"/>
    </row>
    <row r="158" spans="1:35" ht="22.35" customHeight="1" x14ac:dyDescent="0.2">
      <c r="A158" s="108"/>
      <c r="B158" s="169"/>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0"/>
      <c r="AI158" s="170"/>
    </row>
    <row r="159" spans="1:35" ht="22.35" customHeight="1" thickBot="1" x14ac:dyDescent="0.25">
      <c r="A159" s="3035"/>
      <c r="B159" s="2969" t="s">
        <v>29</v>
      </c>
      <c r="C159" s="3242">
        <v>1</v>
      </c>
      <c r="D159" s="3243">
        <v>2</v>
      </c>
      <c r="E159" s="3243">
        <v>3</v>
      </c>
      <c r="F159" s="3243">
        <v>4</v>
      </c>
      <c r="G159" s="3243">
        <v>5</v>
      </c>
      <c r="H159" s="3243">
        <v>6</v>
      </c>
      <c r="I159" s="3242">
        <v>7</v>
      </c>
      <c r="J159" s="3242">
        <v>8</v>
      </c>
      <c r="K159" s="3243">
        <v>9</v>
      </c>
      <c r="L159" s="3243">
        <v>10</v>
      </c>
      <c r="M159" s="3243">
        <v>11</v>
      </c>
      <c r="N159" s="3243">
        <v>12</v>
      </c>
      <c r="O159" s="3243">
        <v>13</v>
      </c>
      <c r="P159" s="3242">
        <v>14</v>
      </c>
      <c r="Q159" s="3242">
        <v>15</v>
      </c>
      <c r="R159" s="3243">
        <v>16</v>
      </c>
      <c r="S159" s="3243">
        <v>17</v>
      </c>
      <c r="T159" s="3243">
        <v>18</v>
      </c>
      <c r="U159" s="3243">
        <v>19</v>
      </c>
      <c r="V159" s="3243">
        <v>20</v>
      </c>
      <c r="W159" s="3242">
        <v>21</v>
      </c>
      <c r="X159" s="3242">
        <v>22</v>
      </c>
      <c r="Y159" s="3243">
        <v>23</v>
      </c>
      <c r="Z159" s="3243">
        <v>24</v>
      </c>
      <c r="AA159" s="3243">
        <v>25</v>
      </c>
      <c r="AB159" s="3243">
        <v>26</v>
      </c>
      <c r="AC159" s="3243">
        <v>27</v>
      </c>
      <c r="AD159" s="3242">
        <v>28</v>
      </c>
      <c r="AE159" s="3242">
        <v>29</v>
      </c>
      <c r="AF159" s="3243">
        <v>30</v>
      </c>
      <c r="AG159" s="3244">
        <v>31</v>
      </c>
      <c r="AH159" s="173"/>
      <c r="AI159" s="174"/>
    </row>
    <row r="160" spans="1:35" ht="22.35" customHeight="1" x14ac:dyDescent="0.2">
      <c r="A160" s="2616">
        <v>1</v>
      </c>
      <c r="B160" s="215" t="s">
        <v>213</v>
      </c>
      <c r="C160" s="2617"/>
      <c r="D160" s="2617">
        <v>22</v>
      </c>
      <c r="E160" s="2617">
        <v>22</v>
      </c>
      <c r="F160" s="2617">
        <v>22</v>
      </c>
      <c r="G160" s="2618">
        <v>22</v>
      </c>
      <c r="H160" s="2617">
        <v>22</v>
      </c>
      <c r="I160" s="2619">
        <v>22</v>
      </c>
      <c r="J160" s="2618">
        <v>22</v>
      </c>
      <c r="K160" s="2617" t="s">
        <v>36</v>
      </c>
      <c r="L160" s="2619" t="s">
        <v>36</v>
      </c>
      <c r="M160" s="2618" t="s">
        <v>36</v>
      </c>
      <c r="N160" s="2618" t="s">
        <v>36</v>
      </c>
      <c r="O160" s="2617" t="s">
        <v>36</v>
      </c>
      <c r="P160" s="2617"/>
      <c r="Q160" s="2617"/>
      <c r="R160" s="2632">
        <v>23</v>
      </c>
      <c r="S160" s="2632">
        <v>23</v>
      </c>
      <c r="T160" s="2632">
        <v>23</v>
      </c>
      <c r="U160" s="2632">
        <v>23</v>
      </c>
      <c r="V160" s="2632">
        <v>23</v>
      </c>
      <c r="W160" s="2632">
        <v>23</v>
      </c>
      <c r="X160" s="2632">
        <v>23</v>
      </c>
      <c r="Y160" s="2617" t="s">
        <v>36</v>
      </c>
      <c r="Z160" s="2619" t="s">
        <v>36</v>
      </c>
      <c r="AA160" s="2617" t="s">
        <v>36</v>
      </c>
      <c r="AB160" s="2617" t="s">
        <v>36</v>
      </c>
      <c r="AC160" s="2617" t="s">
        <v>36</v>
      </c>
      <c r="AD160" s="2617"/>
      <c r="AE160" s="2617"/>
      <c r="AF160" s="3418">
        <v>21</v>
      </c>
      <c r="AG160" s="3419">
        <v>21</v>
      </c>
      <c r="AH160" s="107"/>
      <c r="AI160" s="107"/>
    </row>
    <row r="161" spans="1:35" ht="22.35" customHeight="1" x14ac:dyDescent="0.2">
      <c r="A161" s="1086">
        <v>2</v>
      </c>
      <c r="B161" s="3247" t="s">
        <v>214</v>
      </c>
      <c r="C161" s="3249"/>
      <c r="D161" s="3249">
        <v>23</v>
      </c>
      <c r="E161" s="3249">
        <v>23</v>
      </c>
      <c r="F161" s="3249">
        <v>23</v>
      </c>
      <c r="G161" s="3249">
        <v>23</v>
      </c>
      <c r="H161" s="3249">
        <v>23</v>
      </c>
      <c r="I161" s="851">
        <v>23</v>
      </c>
      <c r="J161" s="3249">
        <v>23</v>
      </c>
      <c r="K161" s="3249" t="s">
        <v>36</v>
      </c>
      <c r="L161" s="851" t="s">
        <v>36</v>
      </c>
      <c r="M161" s="3252" t="s">
        <v>36</v>
      </c>
      <c r="N161" s="3252" t="s">
        <v>36</v>
      </c>
      <c r="O161" s="3252" t="s">
        <v>36</v>
      </c>
      <c r="P161" s="3252"/>
      <c r="Q161" s="3252"/>
      <c r="R161" s="3252">
        <v>21</v>
      </c>
      <c r="S161" s="3252">
        <v>21</v>
      </c>
      <c r="T161" s="3252">
        <v>21</v>
      </c>
      <c r="U161" s="3252">
        <v>21</v>
      </c>
      <c r="V161" s="3252">
        <v>21</v>
      </c>
      <c r="W161" s="851">
        <v>21</v>
      </c>
      <c r="X161" s="3249">
        <v>21</v>
      </c>
      <c r="Y161" s="3249" t="s">
        <v>36</v>
      </c>
      <c r="Z161" s="851" t="s">
        <v>36</v>
      </c>
      <c r="AA161" s="3252" t="s">
        <v>36</v>
      </c>
      <c r="AB161" s="3252" t="s">
        <v>36</v>
      </c>
      <c r="AC161" s="3252" t="s">
        <v>36</v>
      </c>
      <c r="AD161" s="3252"/>
      <c r="AE161" s="3252"/>
      <c r="AF161" s="3252">
        <v>22</v>
      </c>
      <c r="AG161" s="3253">
        <v>22</v>
      </c>
      <c r="AH161" s="107"/>
      <c r="AI161" s="107"/>
    </row>
    <row r="162" spans="1:35" ht="22.35" customHeight="1" x14ac:dyDescent="0.2">
      <c r="A162" s="1086">
        <v>3</v>
      </c>
      <c r="B162" s="3247" t="s">
        <v>362</v>
      </c>
      <c r="C162" s="3249"/>
      <c r="D162" s="859">
        <v>21</v>
      </c>
      <c r="E162" s="859">
        <v>21</v>
      </c>
      <c r="F162" s="859">
        <v>21</v>
      </c>
      <c r="G162" s="859">
        <v>21</v>
      </c>
      <c r="H162" s="859">
        <v>21</v>
      </c>
      <c r="I162" s="859">
        <v>21</v>
      </c>
      <c r="J162" s="859">
        <v>21</v>
      </c>
      <c r="K162" s="3299" t="s">
        <v>36</v>
      </c>
      <c r="L162" s="3299" t="s">
        <v>36</v>
      </c>
      <c r="M162" s="3299" t="s">
        <v>36</v>
      </c>
      <c r="N162" s="3299" t="s">
        <v>36</v>
      </c>
      <c r="O162" s="3299" t="s">
        <v>36</v>
      </c>
      <c r="P162" s="3249"/>
      <c r="Q162" s="3249"/>
      <c r="R162" s="3305">
        <v>22</v>
      </c>
      <c r="S162" s="3305">
        <v>22</v>
      </c>
      <c r="T162" s="3249">
        <v>22</v>
      </c>
      <c r="U162" s="3252">
        <v>22</v>
      </c>
      <c r="V162" s="3252">
        <v>22</v>
      </c>
      <c r="W162" s="851">
        <v>22</v>
      </c>
      <c r="X162" s="3249">
        <v>22</v>
      </c>
      <c r="Y162" s="3249" t="s">
        <v>36</v>
      </c>
      <c r="Z162" s="851" t="s">
        <v>36</v>
      </c>
      <c r="AA162" s="3249" t="s">
        <v>36</v>
      </c>
      <c r="AB162" s="3249" t="s">
        <v>36</v>
      </c>
      <c r="AC162" s="3249" t="s">
        <v>36</v>
      </c>
      <c r="AD162" s="3249"/>
      <c r="AE162" s="3249"/>
      <c r="AF162" s="3249">
        <v>23</v>
      </c>
      <c r="AG162" s="3253">
        <v>23</v>
      </c>
      <c r="AH162" s="107"/>
      <c r="AI162" s="107"/>
    </row>
    <row r="163" spans="1:35" ht="22.35" customHeight="1" x14ac:dyDescent="0.2">
      <c r="A163" s="1086">
        <v>4</v>
      </c>
      <c r="B163" s="3247"/>
      <c r="C163" s="3249">
        <v>21</v>
      </c>
      <c r="D163" s="3249" t="s">
        <v>36</v>
      </c>
      <c r="E163" s="851" t="s">
        <v>36</v>
      </c>
      <c r="F163" s="3249" t="s">
        <v>36</v>
      </c>
      <c r="G163" s="3249" t="s">
        <v>36</v>
      </c>
      <c r="H163" s="3249" t="s">
        <v>36</v>
      </c>
      <c r="I163" s="3249"/>
      <c r="J163" s="3249"/>
      <c r="K163" s="3249">
        <v>22</v>
      </c>
      <c r="L163" s="3249">
        <v>22</v>
      </c>
      <c r="M163" s="3249">
        <v>22</v>
      </c>
      <c r="N163" s="3249">
        <v>22</v>
      </c>
      <c r="O163" s="3299">
        <v>22</v>
      </c>
      <c r="P163" s="3299">
        <v>22</v>
      </c>
      <c r="Q163" s="3299">
        <v>22</v>
      </c>
      <c r="R163" s="3299" t="s">
        <v>36</v>
      </c>
      <c r="S163" s="3299" t="s">
        <v>36</v>
      </c>
      <c r="T163" s="3299" t="s">
        <v>36</v>
      </c>
      <c r="U163" s="3299" t="s">
        <v>36</v>
      </c>
      <c r="V163" s="3299" t="s">
        <v>36</v>
      </c>
      <c r="W163" s="3249"/>
      <c r="X163" s="3249"/>
      <c r="Y163" s="3249">
        <v>23</v>
      </c>
      <c r="Z163" s="3249">
        <v>23</v>
      </c>
      <c r="AA163" s="3249">
        <v>23</v>
      </c>
      <c r="AB163" s="3249">
        <v>23</v>
      </c>
      <c r="AC163" s="3249">
        <v>23</v>
      </c>
      <c r="AD163" s="851">
        <v>23</v>
      </c>
      <c r="AE163" s="3249">
        <v>23</v>
      </c>
      <c r="AF163" s="3249" t="s">
        <v>36</v>
      </c>
      <c r="AG163" s="978" t="s">
        <v>36</v>
      </c>
      <c r="AH163" s="107"/>
      <c r="AI163" s="107"/>
    </row>
    <row r="164" spans="1:35" ht="22.35" customHeight="1" x14ac:dyDescent="0.2">
      <c r="A164" s="1086">
        <v>5</v>
      </c>
      <c r="B164" s="3247" t="s">
        <v>0</v>
      </c>
      <c r="C164" s="3249">
        <v>22</v>
      </c>
      <c r="D164" s="3249" t="s">
        <v>36</v>
      </c>
      <c r="E164" s="851" t="s">
        <v>36</v>
      </c>
      <c r="F164" s="3252" t="s">
        <v>36</v>
      </c>
      <c r="G164" s="3249" t="s">
        <v>36</v>
      </c>
      <c r="H164" s="3249" t="s">
        <v>36</v>
      </c>
      <c r="I164" s="3249"/>
      <c r="J164" s="3249"/>
      <c r="K164" s="3249">
        <v>23</v>
      </c>
      <c r="L164" s="3249">
        <v>23</v>
      </c>
      <c r="M164" s="3249">
        <v>23</v>
      </c>
      <c r="N164" s="3249">
        <v>23</v>
      </c>
      <c r="O164" s="3249">
        <v>23</v>
      </c>
      <c r="P164" s="851">
        <v>23</v>
      </c>
      <c r="Q164" s="3249">
        <v>23</v>
      </c>
      <c r="R164" s="3249" t="s">
        <v>36</v>
      </c>
      <c r="S164" s="851" t="s">
        <v>36</v>
      </c>
      <c r="T164" s="3249" t="s">
        <v>36</v>
      </c>
      <c r="U164" s="3249" t="s">
        <v>36</v>
      </c>
      <c r="V164" s="3249" t="s">
        <v>36</v>
      </c>
      <c r="W164" s="3249"/>
      <c r="X164" s="3249"/>
      <c r="Y164" s="3249">
        <v>21</v>
      </c>
      <c r="Z164" s="3249">
        <v>21</v>
      </c>
      <c r="AA164" s="3249">
        <v>21</v>
      </c>
      <c r="AB164" s="3249">
        <v>21</v>
      </c>
      <c r="AC164" s="3252">
        <v>21</v>
      </c>
      <c r="AD164" s="3252">
        <v>21</v>
      </c>
      <c r="AE164" s="3252">
        <v>21</v>
      </c>
      <c r="AF164" s="3249" t="s">
        <v>36</v>
      </c>
      <c r="AG164" s="978" t="s">
        <v>36</v>
      </c>
      <c r="AH164" s="107"/>
      <c r="AI164" s="107"/>
    </row>
    <row r="165" spans="1:35" ht="22.35" customHeight="1" thickBot="1" x14ac:dyDescent="0.25">
      <c r="A165" s="1090">
        <v>6</v>
      </c>
      <c r="B165" s="1091" t="s">
        <v>218</v>
      </c>
      <c r="C165" s="3099">
        <v>23</v>
      </c>
      <c r="D165" s="3099" t="s">
        <v>36</v>
      </c>
      <c r="E165" s="1092" t="s">
        <v>36</v>
      </c>
      <c r="F165" s="3099" t="s">
        <v>36</v>
      </c>
      <c r="G165" s="3099" t="s">
        <v>36</v>
      </c>
      <c r="H165" s="1093" t="s">
        <v>36</v>
      </c>
      <c r="I165" s="1093"/>
      <c r="J165" s="1093"/>
      <c r="K165" s="1093">
        <v>21</v>
      </c>
      <c r="L165" s="1093">
        <v>21</v>
      </c>
      <c r="M165" s="1093">
        <v>21</v>
      </c>
      <c r="N165" s="3309">
        <v>21</v>
      </c>
      <c r="O165" s="3309">
        <v>21</v>
      </c>
      <c r="P165" s="1092">
        <v>21</v>
      </c>
      <c r="Q165" s="3099">
        <v>21</v>
      </c>
      <c r="R165" s="3099" t="s">
        <v>36</v>
      </c>
      <c r="S165" s="1092" t="s">
        <v>36</v>
      </c>
      <c r="T165" s="3099" t="s">
        <v>36</v>
      </c>
      <c r="U165" s="3099" t="s">
        <v>36</v>
      </c>
      <c r="V165" s="3099" t="s">
        <v>36</v>
      </c>
      <c r="W165" s="3099"/>
      <c r="X165" s="3099"/>
      <c r="Y165" s="1193">
        <v>22</v>
      </c>
      <c r="Z165" s="1193">
        <v>22</v>
      </c>
      <c r="AA165" s="1193">
        <v>22</v>
      </c>
      <c r="AB165" s="1195">
        <v>22</v>
      </c>
      <c r="AC165" s="1195" t="s">
        <v>215</v>
      </c>
      <c r="AD165" s="1180">
        <v>22</v>
      </c>
      <c r="AE165" s="1180">
        <v>22</v>
      </c>
      <c r="AF165" s="3099" t="s">
        <v>36</v>
      </c>
      <c r="AG165" s="1094" t="s">
        <v>36</v>
      </c>
      <c r="AH165" s="107"/>
      <c r="AI165" s="107"/>
    </row>
    <row r="166" spans="1:35" ht="22.35" customHeight="1" x14ac:dyDescent="0.2">
      <c r="A166" s="200"/>
      <c r="B166" s="198"/>
      <c r="C166" s="199"/>
      <c r="D166" s="199"/>
      <c r="E166" s="216"/>
      <c r="F166" s="199"/>
      <c r="G166" s="199"/>
      <c r="H166" s="221"/>
      <c r="I166" s="221"/>
      <c r="J166" s="221"/>
      <c r="K166" s="221"/>
      <c r="L166" s="221"/>
      <c r="M166" s="221"/>
      <c r="N166" s="192"/>
      <c r="O166" s="192"/>
      <c r="P166" s="216"/>
      <c r="Q166" s="199"/>
      <c r="R166" s="199"/>
      <c r="S166" s="216"/>
      <c r="T166" s="199"/>
      <c r="U166" s="199"/>
      <c r="V166" s="199"/>
      <c r="W166" s="199"/>
      <c r="X166" s="199"/>
      <c r="Y166" s="199"/>
      <c r="Z166" s="199"/>
      <c r="AA166" s="199"/>
      <c r="AB166" s="192"/>
      <c r="AC166" s="192"/>
      <c r="AD166" s="216"/>
      <c r="AE166" s="199"/>
      <c r="AF166" s="199"/>
      <c r="AG166" s="216"/>
      <c r="AH166" s="107"/>
      <c r="AI166" s="107"/>
    </row>
    <row r="167" spans="1:35" ht="22.35" customHeight="1" x14ac:dyDescent="0.2">
      <c r="A167" s="109"/>
      <c r="B167" s="110"/>
      <c r="C167" s="183"/>
      <c r="D167" s="183"/>
      <c r="E167" s="168"/>
      <c r="F167" s="183"/>
      <c r="G167" s="183"/>
      <c r="H167" s="183"/>
      <c r="I167" s="183"/>
      <c r="J167" s="183"/>
      <c r="K167" s="183"/>
      <c r="L167" s="183"/>
      <c r="M167" s="183"/>
      <c r="N167" s="183"/>
      <c r="O167" s="183"/>
      <c r="P167" s="168"/>
      <c r="Q167" s="183"/>
      <c r="R167" s="183"/>
      <c r="S167" s="168"/>
      <c r="T167" s="183"/>
      <c r="U167" s="183"/>
      <c r="V167" s="183"/>
      <c r="W167" s="183"/>
      <c r="X167" s="183"/>
      <c r="Y167" s="183"/>
      <c r="Z167" s="183"/>
      <c r="AA167" s="183"/>
      <c r="AB167" s="183"/>
      <c r="AC167" s="184"/>
      <c r="AD167" s="184"/>
      <c r="AE167" s="184"/>
      <c r="AF167" s="183"/>
      <c r="AG167" s="168"/>
      <c r="AH167" s="107"/>
      <c r="AI167" s="107"/>
    </row>
    <row r="168" spans="1:35" ht="22.35" customHeight="1" thickBot="1" x14ac:dyDescent="0.25">
      <c r="A168" s="158" t="s">
        <v>219</v>
      </c>
      <c r="D168" s="72"/>
      <c r="E168" s="72"/>
      <c r="F168" s="72"/>
      <c r="G168" s="105"/>
      <c r="H168" s="72"/>
      <c r="I168" s="72"/>
      <c r="J168" s="72"/>
      <c r="K168" s="72"/>
      <c r="L168" s="72"/>
      <c r="M168" s="72"/>
      <c r="N168" s="72"/>
      <c r="O168" s="72"/>
      <c r="P168" s="72"/>
      <c r="Q168" s="72"/>
      <c r="R168" s="72"/>
      <c r="S168" s="72"/>
      <c r="T168" s="72"/>
      <c r="U168" s="72"/>
      <c r="V168" s="72"/>
      <c r="W168" s="72"/>
      <c r="X168" s="72"/>
      <c r="Y168" s="72"/>
      <c r="Z168" s="72"/>
      <c r="AA168" s="72"/>
      <c r="AB168" s="72"/>
      <c r="AC168" s="72"/>
      <c r="AD168" s="72"/>
      <c r="AE168" s="72"/>
      <c r="AF168" s="72"/>
      <c r="AG168" s="72"/>
    </row>
    <row r="169" spans="1:35" ht="22.35" customHeight="1" x14ac:dyDescent="0.2">
      <c r="A169" s="1"/>
      <c r="B169" s="2545" t="s">
        <v>186</v>
      </c>
      <c r="C169" s="3003"/>
      <c r="D169" s="3402" t="s">
        <v>107</v>
      </c>
      <c r="E169" s="3312"/>
      <c r="F169" s="3378"/>
      <c r="G169" s="3003"/>
      <c r="H169" s="3402" t="s">
        <v>108</v>
      </c>
      <c r="I169" s="3312"/>
      <c r="J169" s="3378"/>
      <c r="K169" s="3003"/>
      <c r="L169" s="3402" t="s">
        <v>109</v>
      </c>
      <c r="M169" s="3312"/>
      <c r="N169" s="3378"/>
      <c r="O169" s="3003"/>
      <c r="P169" s="3402" t="s">
        <v>110</v>
      </c>
      <c r="Q169" s="3312"/>
      <c r="R169" s="3378"/>
      <c r="S169" s="3003"/>
      <c r="T169" s="3402" t="s">
        <v>111</v>
      </c>
      <c r="U169" s="3312"/>
      <c r="V169" s="3378"/>
      <c r="W169" s="3003"/>
      <c r="X169" s="3402" t="s">
        <v>112</v>
      </c>
      <c r="Y169" s="3312"/>
      <c r="Z169" s="3378"/>
      <c r="AA169" s="3003"/>
      <c r="AB169" s="3402" t="s">
        <v>113</v>
      </c>
      <c r="AC169" s="3312"/>
      <c r="AD169" s="3312"/>
      <c r="AE169" s="3405" t="s">
        <v>114</v>
      </c>
      <c r="AF169" s="3312"/>
      <c r="AG169" s="3312"/>
      <c r="AH169" s="3312"/>
      <c r="AI169" s="3313"/>
    </row>
    <row r="170" spans="1:35" ht="22.35" customHeight="1" x14ac:dyDescent="0.2">
      <c r="A170" s="1"/>
      <c r="B170" s="3045" t="s">
        <v>159</v>
      </c>
      <c r="C170" s="2958" t="s">
        <v>187</v>
      </c>
      <c r="D170" s="3224"/>
      <c r="E170" s="3224"/>
      <c r="F170" s="3048"/>
      <c r="G170" s="2958" t="s">
        <v>187</v>
      </c>
      <c r="H170" s="3224"/>
      <c r="I170" s="3224"/>
      <c r="J170" s="3048"/>
      <c r="K170" s="2958" t="s">
        <v>187</v>
      </c>
      <c r="L170" s="3224"/>
      <c r="M170" s="3224"/>
      <c r="N170" s="3048"/>
      <c r="O170" s="2958" t="s">
        <v>220</v>
      </c>
      <c r="P170" s="3224"/>
      <c r="Q170" s="3224"/>
      <c r="R170" s="3048"/>
      <c r="S170" s="2958" t="s">
        <v>171</v>
      </c>
      <c r="T170" s="3224"/>
      <c r="U170" s="3224"/>
      <c r="V170" s="3048"/>
      <c r="W170" s="3087"/>
      <c r="X170" s="3088"/>
      <c r="Y170" s="3088"/>
      <c r="Z170" s="3050"/>
      <c r="AA170" s="3046"/>
      <c r="AB170" s="3224"/>
      <c r="AC170" s="3224"/>
      <c r="AD170" s="2959"/>
      <c r="AE170" s="3051">
        <v>27</v>
      </c>
      <c r="AF170" s="3224"/>
      <c r="AG170" s="3224"/>
      <c r="AH170" s="2959"/>
      <c r="AI170" s="3233"/>
    </row>
    <row r="171" spans="1:35" ht="22.35" customHeight="1" x14ac:dyDescent="0.2">
      <c r="A171" s="1"/>
      <c r="B171" s="3045" t="s">
        <v>163</v>
      </c>
      <c r="C171" s="2958" t="s">
        <v>221</v>
      </c>
      <c r="D171" s="3224"/>
      <c r="E171" s="3224"/>
      <c r="F171" s="3048"/>
      <c r="G171" s="2958" t="s">
        <v>221</v>
      </c>
      <c r="H171" s="3224"/>
      <c r="I171" s="3224"/>
      <c r="J171" s="3048"/>
      <c r="K171" s="2958" t="s">
        <v>221</v>
      </c>
      <c r="L171" s="3224"/>
      <c r="M171" s="3224"/>
      <c r="N171" s="3048"/>
      <c r="O171" s="2958" t="s">
        <v>221</v>
      </c>
      <c r="P171" s="3224"/>
      <c r="Q171" s="3224"/>
      <c r="R171" s="3048"/>
      <c r="S171" s="2958" t="s">
        <v>187</v>
      </c>
      <c r="T171" s="3224"/>
      <c r="U171" s="3224"/>
      <c r="V171" s="3048"/>
      <c r="W171" s="2958"/>
      <c r="X171" s="3224"/>
      <c r="Y171" s="3224"/>
      <c r="Z171" s="3048"/>
      <c r="AA171" s="3224"/>
      <c r="AB171" s="3224"/>
      <c r="AC171" s="3224"/>
      <c r="AD171" s="2959"/>
      <c r="AE171" s="3051">
        <v>39</v>
      </c>
      <c r="AF171" s="3224"/>
      <c r="AG171" s="3224"/>
      <c r="AH171" s="2959"/>
      <c r="AI171" s="3233"/>
    </row>
    <row r="172" spans="1:35" ht="22.35" customHeight="1" x14ac:dyDescent="0.2">
      <c r="A172" s="1"/>
      <c r="B172" s="3045" t="s">
        <v>170</v>
      </c>
      <c r="C172" s="2958" t="s">
        <v>221</v>
      </c>
      <c r="D172" s="3224"/>
      <c r="E172" s="3224"/>
      <c r="F172" s="3048"/>
      <c r="G172" s="2958" t="s">
        <v>221</v>
      </c>
      <c r="H172" s="3224"/>
      <c r="I172" s="3224"/>
      <c r="J172" s="3048"/>
      <c r="K172" s="2958" t="s">
        <v>221</v>
      </c>
      <c r="L172" s="3224"/>
      <c r="M172" s="3224"/>
      <c r="N172" s="3048"/>
      <c r="O172" s="2958" t="s">
        <v>221</v>
      </c>
      <c r="P172" s="3224"/>
      <c r="Q172" s="3224"/>
      <c r="R172" s="3048"/>
      <c r="S172" s="2958" t="s">
        <v>221</v>
      </c>
      <c r="T172" s="3224"/>
      <c r="U172" s="3224"/>
      <c r="V172" s="3048"/>
      <c r="W172" s="3344" t="s">
        <v>222</v>
      </c>
      <c r="X172" s="3237"/>
      <c r="Y172" s="3237"/>
      <c r="Z172" s="3409"/>
      <c r="AA172" s="3407"/>
      <c r="AB172" s="3237"/>
      <c r="AC172" s="3237"/>
      <c r="AD172" s="3345"/>
      <c r="AE172" s="3051">
        <v>45</v>
      </c>
      <c r="AF172" s="3224"/>
      <c r="AG172" s="3224"/>
      <c r="AH172" s="2959"/>
      <c r="AI172" s="3233"/>
    </row>
    <row r="173" spans="1:35" ht="22.35" customHeight="1" thickBot="1" x14ac:dyDescent="0.25">
      <c r="A173" s="1"/>
      <c r="B173" s="223" t="s">
        <v>172</v>
      </c>
      <c r="C173" s="3080"/>
      <c r="D173" s="2881"/>
      <c r="E173" s="2881"/>
      <c r="F173" s="3082"/>
      <c r="G173" s="3080"/>
      <c r="H173" s="2881"/>
      <c r="I173" s="2881"/>
      <c r="J173" s="3082"/>
      <c r="K173" s="3080"/>
      <c r="L173" s="2881"/>
      <c r="M173" s="2881"/>
      <c r="N173" s="3082"/>
      <c r="O173" s="3080"/>
      <c r="P173" s="2881"/>
      <c r="Q173" s="2881"/>
      <c r="R173" s="3082"/>
      <c r="S173" s="3080"/>
      <c r="T173" s="2881"/>
      <c r="U173" s="2881"/>
      <c r="V173" s="3065"/>
      <c r="W173" s="3080"/>
      <c r="X173" s="3065"/>
      <c r="Y173" s="2881"/>
      <c r="Z173" s="3082"/>
      <c r="AA173" s="3080"/>
      <c r="AB173" s="3065"/>
      <c r="AC173" s="2881"/>
      <c r="AD173" s="3082"/>
      <c r="AE173" s="3089"/>
      <c r="AF173" s="2881"/>
      <c r="AG173" s="2881"/>
      <c r="AH173" s="3065"/>
      <c r="AI173" s="2888"/>
    </row>
    <row r="174" spans="1:35" ht="22.35" customHeight="1" x14ac:dyDescent="0.2">
      <c r="A174" s="108"/>
      <c r="B174" s="1"/>
      <c r="C174" s="72"/>
      <c r="D174" s="72"/>
      <c r="E174" s="72"/>
      <c r="F174" s="72"/>
      <c r="G174" s="72"/>
      <c r="H174" s="72"/>
      <c r="I174" s="72"/>
      <c r="J174" s="72"/>
      <c r="K174" s="72"/>
      <c r="L174" s="72"/>
      <c r="M174" s="72"/>
      <c r="N174" s="72"/>
      <c r="O174" s="72"/>
      <c r="P174" s="72"/>
      <c r="Q174" s="72"/>
      <c r="R174" s="72"/>
      <c r="S174" s="72"/>
      <c r="T174" s="72"/>
      <c r="U174" s="72"/>
      <c r="V174" s="72"/>
      <c r="W174" s="72"/>
      <c r="X174" s="72"/>
      <c r="Y174" s="72"/>
      <c r="Z174" s="72"/>
      <c r="AA174" s="72"/>
      <c r="AB174" s="72"/>
      <c r="AC174" s="72"/>
      <c r="AD174" s="72"/>
      <c r="AE174" s="72"/>
      <c r="AF174" s="72"/>
      <c r="AG174" s="72"/>
    </row>
    <row r="175" spans="1:35" ht="22.35" customHeight="1" thickBot="1" x14ac:dyDescent="0.25">
      <c r="A175" s="3035"/>
      <c r="B175" s="2890" t="s">
        <v>29</v>
      </c>
      <c r="C175" s="2989">
        <v>1</v>
      </c>
      <c r="D175" s="2988">
        <v>2</v>
      </c>
      <c r="E175" s="2988">
        <v>3</v>
      </c>
      <c r="F175" s="2988">
        <v>4</v>
      </c>
      <c r="G175" s="2988">
        <v>5</v>
      </c>
      <c r="H175" s="2988">
        <v>6</v>
      </c>
      <c r="I175" s="2989">
        <v>7</v>
      </c>
      <c r="J175" s="2989">
        <v>8</v>
      </c>
      <c r="K175" s="2988">
        <v>9</v>
      </c>
      <c r="L175" s="2988">
        <v>10</v>
      </c>
      <c r="M175" s="2988">
        <v>11</v>
      </c>
      <c r="N175" s="2988">
        <v>12</v>
      </c>
      <c r="O175" s="2988">
        <v>13</v>
      </c>
      <c r="P175" s="2989">
        <v>14</v>
      </c>
      <c r="Q175" s="2989">
        <v>15</v>
      </c>
      <c r="R175" s="2988">
        <v>16</v>
      </c>
      <c r="S175" s="2988">
        <v>17</v>
      </c>
      <c r="T175" s="2988">
        <v>18</v>
      </c>
      <c r="U175" s="2988">
        <v>19</v>
      </c>
      <c r="V175" s="2988">
        <v>20</v>
      </c>
      <c r="W175" s="2989">
        <v>21</v>
      </c>
      <c r="X175" s="2989">
        <v>22</v>
      </c>
      <c r="Y175" s="2988">
        <v>23</v>
      </c>
      <c r="Z175" s="2988">
        <v>24</v>
      </c>
      <c r="AA175" s="2988">
        <v>25</v>
      </c>
      <c r="AB175" s="2988">
        <v>26</v>
      </c>
      <c r="AC175" s="2988">
        <v>27</v>
      </c>
      <c r="AD175" s="2989">
        <v>28</v>
      </c>
      <c r="AE175" s="2989">
        <v>29</v>
      </c>
      <c r="AF175" s="2988">
        <v>30</v>
      </c>
      <c r="AG175" s="3420">
        <v>31</v>
      </c>
      <c r="AH175" s="173"/>
      <c r="AI175" s="174"/>
    </row>
    <row r="176" spans="1:35" ht="22.35" customHeight="1" x14ac:dyDescent="0.2">
      <c r="A176" s="3383">
        <v>1</v>
      </c>
      <c r="B176" s="3421" t="s">
        <v>223</v>
      </c>
      <c r="C176" s="2618"/>
      <c r="D176" s="2631" t="s">
        <v>32</v>
      </c>
      <c r="E176" s="2631" t="s">
        <v>32</v>
      </c>
      <c r="F176" s="2617" t="s">
        <v>32</v>
      </c>
      <c r="G176" s="2617" t="s">
        <v>32</v>
      </c>
      <c r="H176" s="2617" t="s">
        <v>32</v>
      </c>
      <c r="I176" s="2630"/>
      <c r="J176" s="2617"/>
      <c r="K176" s="2617" t="s">
        <v>32</v>
      </c>
      <c r="L176" s="2617" t="s">
        <v>32</v>
      </c>
      <c r="M176" s="2617" t="s">
        <v>32</v>
      </c>
      <c r="N176" s="2617" t="s">
        <v>32</v>
      </c>
      <c r="O176" s="2617" t="s">
        <v>32</v>
      </c>
      <c r="P176" s="2617"/>
      <c r="Q176" s="2617"/>
      <c r="R176" s="2617" t="s">
        <v>32</v>
      </c>
      <c r="S176" s="2617" t="s">
        <v>32</v>
      </c>
      <c r="T176" s="2618" t="s">
        <v>32</v>
      </c>
      <c r="U176" s="2617" t="s">
        <v>32</v>
      </c>
      <c r="V176" s="2618" t="s">
        <v>32</v>
      </c>
      <c r="W176" s="2618"/>
      <c r="X176" s="3422"/>
      <c r="Y176" s="3422" t="s">
        <v>32</v>
      </c>
      <c r="Z176" s="2618" t="s">
        <v>32</v>
      </c>
      <c r="AA176" s="3091" t="s">
        <v>32</v>
      </c>
      <c r="AB176" s="2618" t="s">
        <v>32</v>
      </c>
      <c r="AC176" s="2631" t="s">
        <v>32</v>
      </c>
      <c r="AD176" s="3091"/>
      <c r="AE176" s="3091"/>
      <c r="AF176" s="3091" t="s">
        <v>32</v>
      </c>
      <c r="AG176" s="2621" t="s">
        <v>32</v>
      </c>
      <c r="AH176" s="203"/>
      <c r="AI176" s="179"/>
    </row>
    <row r="177" spans="1:35" ht="22.35" customHeight="1" x14ac:dyDescent="0.2">
      <c r="A177" s="3014">
        <v>2</v>
      </c>
      <c r="B177" s="3093" t="s">
        <v>224</v>
      </c>
      <c r="C177" s="3249"/>
      <c r="D177" s="3249" t="s">
        <v>226</v>
      </c>
      <c r="E177" s="3249" t="s">
        <v>226</v>
      </c>
      <c r="F177" s="3249" t="s">
        <v>226</v>
      </c>
      <c r="G177" s="3249" t="s">
        <v>226</v>
      </c>
      <c r="H177" s="3249" t="s">
        <v>36</v>
      </c>
      <c r="I177" s="1112" t="s">
        <v>154</v>
      </c>
      <c r="J177" s="3249"/>
      <c r="K177" s="3249" t="s">
        <v>225</v>
      </c>
      <c r="L177" s="3249" t="s">
        <v>225</v>
      </c>
      <c r="M177" s="3249" t="s">
        <v>225</v>
      </c>
      <c r="N177" s="3249" t="s">
        <v>225</v>
      </c>
      <c r="O177" s="3249" t="s">
        <v>225</v>
      </c>
      <c r="P177" s="3249"/>
      <c r="Q177" s="3249"/>
      <c r="R177" s="3249" t="s">
        <v>154</v>
      </c>
      <c r="S177" s="3249" t="s">
        <v>154</v>
      </c>
      <c r="T177" s="3299" t="s">
        <v>154</v>
      </c>
      <c r="U177" s="964" t="s">
        <v>384</v>
      </c>
      <c r="V177" s="3293" t="s">
        <v>154</v>
      </c>
      <c r="W177" s="3293" t="s">
        <v>154</v>
      </c>
      <c r="X177" s="3293"/>
      <c r="Y177" s="3293" t="s">
        <v>226</v>
      </c>
      <c r="Z177" s="3249" t="s">
        <v>226</v>
      </c>
      <c r="AA177" s="3249" t="s">
        <v>226</v>
      </c>
      <c r="AB177" s="3249" t="s">
        <v>226</v>
      </c>
      <c r="AC177" s="3249" t="s">
        <v>36</v>
      </c>
      <c r="AD177" s="3249"/>
      <c r="AE177" s="3249"/>
      <c r="AF177" s="859" t="s">
        <v>225</v>
      </c>
      <c r="AG177" s="1312" t="s">
        <v>225</v>
      </c>
      <c r="AH177" s="203"/>
      <c r="AI177" s="179"/>
    </row>
    <row r="178" spans="1:35" ht="22.35" customHeight="1" x14ac:dyDescent="0.2">
      <c r="A178" s="3014">
        <v>3</v>
      </c>
      <c r="B178" s="3095" t="s">
        <v>227</v>
      </c>
      <c r="C178" s="3249"/>
      <c r="D178" s="3249" t="s">
        <v>225</v>
      </c>
      <c r="E178" s="3249" t="s">
        <v>225</v>
      </c>
      <c r="F178" s="3249" t="s">
        <v>225</v>
      </c>
      <c r="G178" s="3249" t="s">
        <v>225</v>
      </c>
      <c r="H178" s="3249" t="s">
        <v>225</v>
      </c>
      <c r="I178" s="3249"/>
      <c r="J178" s="3249"/>
      <c r="K178" s="964" t="s">
        <v>154</v>
      </c>
      <c r="L178" s="964" t="s">
        <v>154</v>
      </c>
      <c r="M178" s="964" t="s">
        <v>154</v>
      </c>
      <c r="N178" s="964" t="s">
        <v>154</v>
      </c>
      <c r="O178" s="964"/>
      <c r="P178" s="964" t="s">
        <v>154</v>
      </c>
      <c r="Q178" s="964"/>
      <c r="R178" s="964" t="s">
        <v>429</v>
      </c>
      <c r="S178" s="3293" t="s">
        <v>226</v>
      </c>
      <c r="T178" s="3293" t="s">
        <v>226</v>
      </c>
      <c r="U178" s="3293" t="s">
        <v>226</v>
      </c>
      <c r="V178" s="3293" t="s">
        <v>36</v>
      </c>
      <c r="W178" s="3249"/>
      <c r="X178" s="3249"/>
      <c r="Y178" s="3249" t="s">
        <v>225</v>
      </c>
      <c r="Z178" s="3249" t="s">
        <v>225</v>
      </c>
      <c r="AA178" s="3299" t="s">
        <v>225</v>
      </c>
      <c r="AB178" s="3299" t="s">
        <v>225</v>
      </c>
      <c r="AC178" s="3249" t="s">
        <v>225</v>
      </c>
      <c r="AD178" s="3249"/>
      <c r="AE178" s="3249"/>
      <c r="AF178" s="3249" t="s">
        <v>154</v>
      </c>
      <c r="AG178" s="3253" t="s">
        <v>154</v>
      </c>
      <c r="AH178" s="203"/>
      <c r="AI178" s="179"/>
    </row>
    <row r="179" spans="1:35" ht="22.35" customHeight="1" x14ac:dyDescent="0.2">
      <c r="A179" s="3014">
        <v>4</v>
      </c>
      <c r="B179" s="3095" t="s">
        <v>228</v>
      </c>
      <c r="C179" s="3248"/>
      <c r="D179" s="3249"/>
      <c r="E179" s="3249" t="s">
        <v>229</v>
      </c>
      <c r="F179" s="3249"/>
      <c r="G179" s="3249"/>
      <c r="H179" s="964" t="s">
        <v>32</v>
      </c>
      <c r="I179" s="964" t="s">
        <v>154</v>
      </c>
      <c r="J179" s="964"/>
      <c r="K179" s="964"/>
      <c r="L179" s="964" t="s">
        <v>229</v>
      </c>
      <c r="M179" s="964" t="s">
        <v>32</v>
      </c>
      <c r="N179" s="964"/>
      <c r="O179" s="964" t="s">
        <v>51</v>
      </c>
      <c r="P179" s="965"/>
      <c r="Q179" s="965"/>
      <c r="R179" s="965"/>
      <c r="S179" s="965" t="s">
        <v>229</v>
      </c>
      <c r="T179" s="965" t="s">
        <v>32</v>
      </c>
      <c r="U179" s="965"/>
      <c r="V179" s="965" t="s">
        <v>32</v>
      </c>
      <c r="W179" s="3248"/>
      <c r="X179" s="3249"/>
      <c r="Y179" s="3249"/>
      <c r="Z179" s="3249" t="s">
        <v>229</v>
      </c>
      <c r="AA179" s="3249"/>
      <c r="AB179" s="3249"/>
      <c r="AC179" s="3249" t="s">
        <v>32</v>
      </c>
      <c r="AD179" s="3249" t="s">
        <v>154</v>
      </c>
      <c r="AE179" s="3249"/>
      <c r="AF179" s="3249"/>
      <c r="AG179" s="3253" t="s">
        <v>229</v>
      </c>
      <c r="AH179" s="203"/>
      <c r="AI179" s="179"/>
    </row>
    <row r="180" spans="1:35" ht="22.35" customHeight="1" x14ac:dyDescent="0.2">
      <c r="A180" s="3014">
        <v>5</v>
      </c>
      <c r="B180" s="3095"/>
      <c r="C180" s="3249"/>
      <c r="D180" s="3249" t="s">
        <v>229</v>
      </c>
      <c r="E180" s="3249"/>
      <c r="F180" s="3249"/>
      <c r="G180" s="3248" t="s">
        <v>32</v>
      </c>
      <c r="H180" s="3249"/>
      <c r="I180" s="3249"/>
      <c r="J180" s="3249"/>
      <c r="K180" s="3249" t="s">
        <v>229</v>
      </c>
      <c r="L180" s="3249"/>
      <c r="M180" s="3249"/>
      <c r="N180" s="3248" t="s">
        <v>32</v>
      </c>
      <c r="O180" s="3249"/>
      <c r="P180" s="3249"/>
      <c r="Q180" s="3249"/>
      <c r="R180" s="3249" t="s">
        <v>229</v>
      </c>
      <c r="S180" s="3249"/>
      <c r="T180" s="3249"/>
      <c r="U180" s="3248" t="s">
        <v>32</v>
      </c>
      <c r="V180" s="3249"/>
      <c r="W180" s="3249"/>
      <c r="X180" s="3249"/>
      <c r="Y180" s="3249" t="s">
        <v>229</v>
      </c>
      <c r="Z180" s="3249"/>
      <c r="AA180" s="3249"/>
      <c r="AB180" s="3249" t="s">
        <v>32</v>
      </c>
      <c r="AC180" s="3249"/>
      <c r="AD180" s="3249"/>
      <c r="AE180" s="3249"/>
      <c r="AF180" s="3249" t="s">
        <v>229</v>
      </c>
      <c r="AG180" s="3253"/>
      <c r="AH180" s="203"/>
      <c r="AI180" s="179"/>
    </row>
    <row r="181" spans="1:35" ht="22.35" customHeight="1" x14ac:dyDescent="0.2">
      <c r="A181" s="3014">
        <v>6</v>
      </c>
      <c r="B181" s="3005" t="s">
        <v>231</v>
      </c>
      <c r="C181" s="3249"/>
      <c r="D181" s="3249" t="s">
        <v>32</v>
      </c>
      <c r="E181" s="3252" t="s">
        <v>32</v>
      </c>
      <c r="F181" s="3249" t="s">
        <v>32</v>
      </c>
      <c r="G181" s="3249" t="s">
        <v>32</v>
      </c>
      <c r="H181" s="3249" t="s">
        <v>32</v>
      </c>
      <c r="I181" s="3249"/>
      <c r="J181" s="3252"/>
      <c r="K181" s="3249" t="s">
        <v>32</v>
      </c>
      <c r="L181" s="3249" t="s">
        <v>32</v>
      </c>
      <c r="M181" s="3249" t="s">
        <v>32</v>
      </c>
      <c r="N181" s="3249" t="s">
        <v>32</v>
      </c>
      <c r="O181" s="3297" t="s">
        <v>32</v>
      </c>
      <c r="P181" s="3249"/>
      <c r="Q181" s="3249"/>
      <c r="R181" s="3249" t="s">
        <v>32</v>
      </c>
      <c r="S181" s="3249" t="s">
        <v>32</v>
      </c>
      <c r="T181" s="3248" t="s">
        <v>32</v>
      </c>
      <c r="U181" s="3248" t="s">
        <v>32</v>
      </c>
      <c r="V181" s="3248" t="s">
        <v>32</v>
      </c>
      <c r="W181" s="3248"/>
      <c r="X181" s="3248"/>
      <c r="Y181" s="3249" t="s">
        <v>32</v>
      </c>
      <c r="Z181" s="3249" t="s">
        <v>32</v>
      </c>
      <c r="AA181" s="3249" t="s">
        <v>32</v>
      </c>
      <c r="AB181" s="3249" t="s">
        <v>32</v>
      </c>
      <c r="AC181" s="3305" t="s">
        <v>32</v>
      </c>
      <c r="AD181" s="3299"/>
      <c r="AE181" s="3249"/>
      <c r="AF181" s="3299" t="s">
        <v>32</v>
      </c>
      <c r="AG181" s="856" t="s">
        <v>32</v>
      </c>
      <c r="AH181" s="191"/>
      <c r="AI181" s="107"/>
    </row>
    <row r="182" spans="1:35" ht="22.35" customHeight="1" thickBot="1" x14ac:dyDescent="0.25">
      <c r="A182" s="3018"/>
      <c r="B182" s="3008"/>
      <c r="C182" s="3099"/>
      <c r="D182" s="3099"/>
      <c r="E182" s="3099"/>
      <c r="F182" s="3099"/>
      <c r="G182" s="3099"/>
      <c r="H182" s="3099"/>
      <c r="I182" s="3099"/>
      <c r="J182" s="3099"/>
      <c r="K182" s="3099"/>
      <c r="L182" s="3099"/>
      <c r="M182" s="3099"/>
      <c r="N182" s="3099"/>
      <c r="O182" s="3099"/>
      <c r="P182" s="3099"/>
      <c r="Q182" s="3099"/>
      <c r="R182" s="3099"/>
      <c r="S182" s="3099"/>
      <c r="T182" s="3099"/>
      <c r="U182" s="3099"/>
      <c r="V182" s="3099"/>
      <c r="W182" s="3099"/>
      <c r="X182" s="3099"/>
      <c r="Y182" s="3099"/>
      <c r="Z182" s="3099"/>
      <c r="AA182" s="3099"/>
      <c r="AB182" s="3099"/>
      <c r="AC182" s="3099"/>
      <c r="AD182" s="3099"/>
      <c r="AE182" s="3099"/>
      <c r="AF182" s="3099"/>
      <c r="AG182" s="3100"/>
      <c r="AH182" s="107"/>
      <c r="AI182" s="107"/>
    </row>
    <row r="183" spans="1:35" ht="22.35" customHeight="1" x14ac:dyDescent="0.2">
      <c r="A183" s="200"/>
      <c r="B183" s="198"/>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07"/>
      <c r="AI183" s="107"/>
    </row>
    <row r="184" spans="1:35" ht="22.35" customHeight="1" x14ac:dyDescent="0.2">
      <c r="A184" s="200"/>
      <c r="B184" s="198"/>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c r="AA184" s="199"/>
      <c r="AB184" s="199"/>
      <c r="AC184" s="199"/>
      <c r="AD184" s="199"/>
      <c r="AE184" s="199"/>
      <c r="AF184" s="199"/>
      <c r="AG184" s="199"/>
      <c r="AH184" s="107"/>
      <c r="AI184" s="107"/>
    </row>
    <row r="185" spans="1:35" ht="22.35" customHeight="1" thickBot="1" x14ac:dyDescent="0.25">
      <c r="A185" s="148" t="s">
        <v>232</v>
      </c>
      <c r="B185" s="72"/>
      <c r="C185" s="106"/>
      <c r="D185" s="72"/>
      <c r="E185" s="72"/>
      <c r="F185" s="106"/>
      <c r="G185" s="72"/>
      <c r="H185" s="72"/>
      <c r="I185" s="106"/>
      <c r="J185" s="106"/>
      <c r="K185" s="72"/>
      <c r="L185" s="106"/>
      <c r="M185" s="72"/>
      <c r="N185" s="72"/>
      <c r="O185" s="106"/>
      <c r="P185" s="72"/>
      <c r="Q185" s="106"/>
      <c r="R185" s="106"/>
      <c r="S185" s="72"/>
      <c r="T185" s="72"/>
      <c r="U185" s="106"/>
      <c r="V185" s="72"/>
      <c r="W185" s="106"/>
      <c r="X185" s="106"/>
      <c r="Y185" s="72"/>
      <c r="Z185" s="72"/>
      <c r="AA185" s="72"/>
      <c r="AB185" s="72"/>
      <c r="AC185" s="72"/>
      <c r="AD185" s="72"/>
      <c r="AE185" s="106"/>
      <c r="AF185" s="72"/>
      <c r="AG185" s="72"/>
      <c r="AH185" s="107"/>
      <c r="AI185" s="107"/>
    </row>
    <row r="186" spans="1:35" ht="22.35" customHeight="1" x14ac:dyDescent="0.2">
      <c r="A186" s="109"/>
      <c r="B186" s="3101" t="s">
        <v>233</v>
      </c>
      <c r="C186" s="3102"/>
      <c r="D186" s="361" t="s">
        <v>107</v>
      </c>
      <c r="E186" s="362"/>
      <c r="F186" s="3103"/>
      <c r="G186" s="3104"/>
      <c r="H186" s="361" t="s">
        <v>108</v>
      </c>
      <c r="I186" s="362"/>
      <c r="J186" s="3103"/>
      <c r="K186" s="3104"/>
      <c r="L186" s="361" t="s">
        <v>109</v>
      </c>
      <c r="M186" s="362"/>
      <c r="N186" s="3103"/>
      <c r="O186" s="3104"/>
      <c r="P186" s="361" t="s">
        <v>110</v>
      </c>
      <c r="Q186" s="362"/>
      <c r="R186" s="3103"/>
      <c r="S186" s="3104"/>
      <c r="T186" s="361" t="s">
        <v>111</v>
      </c>
      <c r="U186" s="362"/>
      <c r="V186" s="3103"/>
      <c r="W186" s="3104"/>
      <c r="X186" s="361" t="s">
        <v>112</v>
      </c>
      <c r="Y186" s="362"/>
      <c r="Z186" s="3103"/>
      <c r="AA186" s="3104"/>
      <c r="AB186" s="361" t="s">
        <v>113</v>
      </c>
      <c r="AC186" s="362"/>
      <c r="AD186" s="362"/>
      <c r="AE186" s="3105" t="s">
        <v>114</v>
      </c>
      <c r="AF186" s="362"/>
      <c r="AG186" s="362"/>
      <c r="AH186" s="362"/>
      <c r="AI186" s="3106"/>
    </row>
    <row r="187" spans="1:35" ht="22.35" customHeight="1" x14ac:dyDescent="0.2">
      <c r="A187" s="109"/>
      <c r="B187" s="3107" t="s">
        <v>234</v>
      </c>
      <c r="C187" s="3108" t="s">
        <v>235</v>
      </c>
      <c r="D187" s="379" t="s">
        <v>236</v>
      </c>
      <c r="E187" s="380"/>
      <c r="F187" s="381"/>
      <c r="G187" s="3423"/>
      <c r="H187" s="379" t="s">
        <v>236</v>
      </c>
      <c r="I187" s="380"/>
      <c r="J187" s="381"/>
      <c r="K187" s="3423"/>
      <c r="L187" s="379" t="s">
        <v>236</v>
      </c>
      <c r="M187" s="380"/>
      <c r="N187" s="381"/>
      <c r="O187" s="3423"/>
      <c r="P187" s="379" t="s">
        <v>237</v>
      </c>
      <c r="Q187" s="380"/>
      <c r="R187" s="381"/>
      <c r="S187" s="3423"/>
      <c r="T187" s="379" t="s">
        <v>238</v>
      </c>
      <c r="U187" s="381"/>
      <c r="V187" s="381"/>
      <c r="W187" s="3424"/>
      <c r="X187" s="382"/>
      <c r="Y187" s="382"/>
      <c r="Z187" s="383"/>
      <c r="AA187" s="3424"/>
      <c r="AB187" s="382"/>
      <c r="AC187" s="382"/>
      <c r="AD187" s="382"/>
      <c r="AE187" s="3424"/>
      <c r="AF187" s="382"/>
      <c r="AG187" s="382"/>
      <c r="AH187" s="384"/>
      <c r="AI187" s="3425"/>
    </row>
    <row r="188" spans="1:35" ht="22.35" customHeight="1" x14ac:dyDescent="0.2">
      <c r="A188" s="109"/>
      <c r="B188" s="3107" t="s">
        <v>234</v>
      </c>
      <c r="C188" s="3108" t="s">
        <v>239</v>
      </c>
      <c r="D188" s="379" t="s">
        <v>236</v>
      </c>
      <c r="E188" s="380"/>
      <c r="F188" s="381"/>
      <c r="G188" s="3423"/>
      <c r="H188" s="379" t="s">
        <v>236</v>
      </c>
      <c r="I188" s="380"/>
      <c r="J188" s="381"/>
      <c r="K188" s="3423"/>
      <c r="L188" s="379" t="s">
        <v>236</v>
      </c>
      <c r="M188" s="380"/>
      <c r="N188" s="381"/>
      <c r="O188" s="3423"/>
      <c r="P188" s="379" t="s">
        <v>237</v>
      </c>
      <c r="Q188" s="380"/>
      <c r="R188" s="381"/>
      <c r="S188" s="3423"/>
      <c r="T188" s="379" t="s">
        <v>238</v>
      </c>
      <c r="U188" s="381"/>
      <c r="V188" s="381"/>
      <c r="W188" s="3424"/>
      <c r="X188" s="382"/>
      <c r="Y188" s="382"/>
      <c r="Z188" s="383"/>
      <c r="AA188" s="3424"/>
      <c r="AB188" s="382"/>
      <c r="AC188" s="382"/>
      <c r="AD188" s="382"/>
      <c r="AE188" s="3424"/>
      <c r="AF188" s="382"/>
      <c r="AG188" s="382"/>
      <c r="AH188" s="384"/>
      <c r="AI188" s="3425"/>
    </row>
    <row r="189" spans="1:35" ht="22.35" customHeight="1" x14ac:dyDescent="0.2">
      <c r="A189" s="109"/>
      <c r="B189" s="3107" t="s">
        <v>240</v>
      </c>
      <c r="C189" s="3108" t="s">
        <v>50</v>
      </c>
      <c r="D189" s="379" t="s">
        <v>236</v>
      </c>
      <c r="E189" s="380"/>
      <c r="F189" s="381"/>
      <c r="G189" s="3423"/>
      <c r="H189" s="379" t="s">
        <v>236</v>
      </c>
      <c r="I189" s="380"/>
      <c r="J189" s="381"/>
      <c r="K189" s="3423"/>
      <c r="L189" s="379" t="s">
        <v>236</v>
      </c>
      <c r="M189" s="380"/>
      <c r="N189" s="381"/>
      <c r="O189" s="3423"/>
      <c r="P189" s="379" t="s">
        <v>453</v>
      </c>
      <c r="Q189" s="380"/>
      <c r="R189" s="381"/>
      <c r="S189" s="3423"/>
      <c r="T189" s="379" t="s">
        <v>238</v>
      </c>
      <c r="U189" s="381"/>
      <c r="V189" s="381"/>
      <c r="W189" s="3424"/>
      <c r="X189" s="382"/>
      <c r="Y189" s="382"/>
      <c r="Z189" s="383"/>
      <c r="AA189" s="3424"/>
      <c r="AB189" s="382"/>
      <c r="AC189" s="382"/>
      <c r="AD189" s="382"/>
      <c r="AE189" s="3424"/>
      <c r="AF189" s="382"/>
      <c r="AG189" s="382"/>
      <c r="AH189" s="384"/>
      <c r="AI189" s="3425"/>
    </row>
    <row r="190" spans="1:35" ht="22.35" customHeight="1" x14ac:dyDescent="0.2">
      <c r="A190" s="109"/>
      <c r="B190" s="3107" t="s">
        <v>242</v>
      </c>
      <c r="C190" s="3108" t="s">
        <v>243</v>
      </c>
      <c r="D190" s="379" t="s">
        <v>315</v>
      </c>
      <c r="E190" s="380"/>
      <c r="F190" s="381"/>
      <c r="G190" s="3423"/>
      <c r="H190" s="379" t="s">
        <v>315</v>
      </c>
      <c r="I190" s="380"/>
      <c r="J190" s="381"/>
      <c r="K190" s="3423"/>
      <c r="L190" s="379" t="s">
        <v>315</v>
      </c>
      <c r="M190" s="380"/>
      <c r="N190" s="381"/>
      <c r="O190" s="3423"/>
      <c r="P190" s="379" t="s">
        <v>437</v>
      </c>
      <c r="Q190" s="380"/>
      <c r="R190" s="381"/>
      <c r="S190" s="3423"/>
      <c r="T190" s="379" t="s">
        <v>438</v>
      </c>
      <c r="U190" s="381"/>
      <c r="V190" s="381"/>
      <c r="W190" s="3424"/>
      <c r="X190" s="382"/>
      <c r="Y190" s="382"/>
      <c r="Z190" s="383"/>
      <c r="AA190" s="3424"/>
      <c r="AB190" s="382"/>
      <c r="AC190" s="382"/>
      <c r="AD190" s="382"/>
      <c r="AE190" s="3424"/>
      <c r="AF190" s="382"/>
      <c r="AG190" s="382"/>
      <c r="AH190" s="384"/>
      <c r="AI190" s="3425"/>
    </row>
    <row r="191" spans="1:35" ht="22.35" customHeight="1" x14ac:dyDescent="0.2">
      <c r="A191" s="109"/>
      <c r="B191" s="3107" t="s">
        <v>248</v>
      </c>
      <c r="C191" s="3108" t="s">
        <v>249</v>
      </c>
      <c r="D191" s="379" t="s">
        <v>250</v>
      </c>
      <c r="E191" s="380"/>
      <c r="F191" s="381"/>
      <c r="G191" s="3423"/>
      <c r="H191" s="379" t="s">
        <v>250</v>
      </c>
      <c r="I191" s="380"/>
      <c r="J191" s="381"/>
      <c r="K191" s="3423"/>
      <c r="L191" s="379" t="s">
        <v>251</v>
      </c>
      <c r="M191" s="380"/>
      <c r="N191" s="381"/>
      <c r="O191" s="3423"/>
      <c r="P191" s="379" t="s">
        <v>252</v>
      </c>
      <c r="Q191" s="380"/>
      <c r="R191" s="381"/>
      <c r="S191" s="3423"/>
      <c r="T191" s="379" t="s">
        <v>253</v>
      </c>
      <c r="U191" s="381"/>
      <c r="V191" s="381"/>
      <c r="W191" s="3424"/>
      <c r="X191" s="382"/>
      <c r="Y191" s="382"/>
      <c r="Z191" s="383"/>
      <c r="AA191" s="3424"/>
      <c r="AB191" s="382"/>
      <c r="AC191" s="382"/>
      <c r="AD191" s="382"/>
      <c r="AE191" s="3424"/>
      <c r="AF191" s="382"/>
      <c r="AG191" s="382"/>
      <c r="AH191" s="384"/>
      <c r="AI191" s="3425"/>
    </row>
    <row r="192" spans="1:35" ht="22.35" customHeight="1" x14ac:dyDescent="0.2">
      <c r="A192" s="109"/>
      <c r="B192" s="3107" t="s">
        <v>254</v>
      </c>
      <c r="C192" s="3108" t="s">
        <v>142</v>
      </c>
      <c r="D192" s="379" t="s">
        <v>236</v>
      </c>
      <c r="E192" s="380"/>
      <c r="F192" s="381"/>
      <c r="G192" s="3423"/>
      <c r="H192" s="379" t="s">
        <v>236</v>
      </c>
      <c r="I192" s="380"/>
      <c r="J192" s="381"/>
      <c r="K192" s="3423"/>
      <c r="L192" s="379" t="s">
        <v>236</v>
      </c>
      <c r="M192" s="380"/>
      <c r="N192" s="381"/>
      <c r="O192" s="3423"/>
      <c r="P192" s="379" t="s">
        <v>236</v>
      </c>
      <c r="Q192" s="380"/>
      <c r="R192" s="381"/>
      <c r="S192" s="3423"/>
      <c r="T192" s="379" t="s">
        <v>250</v>
      </c>
      <c r="U192" s="381"/>
      <c r="V192" s="381"/>
      <c r="W192" s="3424"/>
      <c r="X192" s="382"/>
      <c r="Y192" s="382"/>
      <c r="Z192" s="383"/>
      <c r="AA192" s="3424"/>
      <c r="AB192" s="382"/>
      <c r="AC192" s="382"/>
      <c r="AD192" s="382"/>
      <c r="AE192" s="3424"/>
      <c r="AF192" s="382"/>
      <c r="AG192" s="382"/>
      <c r="AH192" s="384"/>
      <c r="AI192" s="3425"/>
    </row>
    <row r="193" spans="1:38" ht="22.35" customHeight="1" x14ac:dyDescent="0.2">
      <c r="A193" s="109"/>
      <c r="B193" s="3107" t="s">
        <v>255</v>
      </c>
      <c r="C193" s="3108" t="s">
        <v>134</v>
      </c>
      <c r="D193" s="379" t="s">
        <v>236</v>
      </c>
      <c r="E193" s="380"/>
      <c r="F193" s="381"/>
      <c r="G193" s="3423"/>
      <c r="H193" s="379" t="s">
        <v>236</v>
      </c>
      <c r="I193" s="380"/>
      <c r="J193" s="381"/>
      <c r="K193" s="3423"/>
      <c r="L193" s="379" t="s">
        <v>236</v>
      </c>
      <c r="M193" s="380"/>
      <c r="N193" s="381"/>
      <c r="O193" s="3423"/>
      <c r="P193" s="379" t="s">
        <v>237</v>
      </c>
      <c r="Q193" s="380"/>
      <c r="R193" s="381"/>
      <c r="S193" s="3423"/>
      <c r="T193" s="379" t="s">
        <v>238</v>
      </c>
      <c r="U193" s="381"/>
      <c r="V193" s="381"/>
      <c r="W193" s="3424"/>
      <c r="X193" s="382"/>
      <c r="Y193" s="382"/>
      <c r="Z193" s="383"/>
      <c r="AA193" s="3424"/>
      <c r="AB193" s="382"/>
      <c r="AC193" s="382"/>
      <c r="AD193" s="382"/>
      <c r="AE193" s="3424"/>
      <c r="AF193" s="382"/>
      <c r="AG193" s="382"/>
      <c r="AH193" s="384"/>
      <c r="AI193" s="3425"/>
    </row>
    <row r="194" spans="1:38" ht="22.35" customHeight="1" x14ac:dyDescent="0.2">
      <c r="A194" s="109"/>
      <c r="B194" s="3107" t="s">
        <v>255</v>
      </c>
      <c r="C194" s="3108" t="s">
        <v>176</v>
      </c>
      <c r="D194" s="379" t="s">
        <v>236</v>
      </c>
      <c r="E194" s="380"/>
      <c r="F194" s="381"/>
      <c r="G194" s="3423"/>
      <c r="H194" s="379" t="s">
        <v>236</v>
      </c>
      <c r="I194" s="380"/>
      <c r="J194" s="381"/>
      <c r="K194" s="3423"/>
      <c r="L194" s="379" t="s">
        <v>236</v>
      </c>
      <c r="M194" s="380"/>
      <c r="N194" s="381"/>
      <c r="O194" s="3423"/>
      <c r="P194" s="379" t="s">
        <v>237</v>
      </c>
      <c r="Q194" s="380"/>
      <c r="R194" s="381"/>
      <c r="S194" s="3423"/>
      <c r="T194" s="379" t="s">
        <v>238</v>
      </c>
      <c r="U194" s="381"/>
      <c r="V194" s="381"/>
      <c r="W194" s="3424"/>
      <c r="X194" s="382"/>
      <c r="Y194" s="382"/>
      <c r="Z194" s="383"/>
      <c r="AA194" s="3424"/>
      <c r="AB194" s="382"/>
      <c r="AC194" s="382"/>
      <c r="AD194" s="382"/>
      <c r="AE194" s="3424"/>
      <c r="AF194" s="382"/>
      <c r="AG194" s="382"/>
      <c r="AH194" s="384"/>
      <c r="AI194" s="3425"/>
    </row>
    <row r="195" spans="1:38" ht="22.35" customHeight="1" x14ac:dyDescent="0.2">
      <c r="A195" s="109"/>
      <c r="B195" s="3107" t="s">
        <v>256</v>
      </c>
      <c r="C195" s="3108" t="s">
        <v>257</v>
      </c>
      <c r="D195" s="379" t="s">
        <v>236</v>
      </c>
      <c r="E195" s="380"/>
      <c r="F195" s="381"/>
      <c r="G195" s="3423"/>
      <c r="H195" s="379" t="s">
        <v>236</v>
      </c>
      <c r="I195" s="380"/>
      <c r="J195" s="381"/>
      <c r="K195" s="3423"/>
      <c r="L195" s="379" t="s">
        <v>236</v>
      </c>
      <c r="M195" s="380"/>
      <c r="N195" s="381"/>
      <c r="O195" s="3423"/>
      <c r="P195" s="379" t="s">
        <v>258</v>
      </c>
      <c r="Q195" s="380"/>
      <c r="R195" s="381"/>
      <c r="S195" s="3423"/>
      <c r="T195" s="379" t="s">
        <v>253</v>
      </c>
      <c r="U195" s="381"/>
      <c r="V195" s="381"/>
      <c r="W195" s="3424"/>
      <c r="X195" s="382"/>
      <c r="Y195" s="382"/>
      <c r="Z195" s="383"/>
      <c r="AA195" s="3424"/>
      <c r="AB195" s="382"/>
      <c r="AC195" s="382"/>
      <c r="AD195" s="382"/>
      <c r="AE195" s="3424"/>
      <c r="AF195" s="382"/>
      <c r="AG195" s="382"/>
      <c r="AH195" s="384"/>
      <c r="AI195" s="3425"/>
    </row>
    <row r="196" spans="1:38" ht="22.35" customHeight="1" x14ac:dyDescent="0.2">
      <c r="A196" s="109"/>
      <c r="B196" s="2030" t="s">
        <v>259</v>
      </c>
      <c r="C196" s="3426" t="s">
        <v>95</v>
      </c>
      <c r="D196" s="3427" t="s">
        <v>236</v>
      </c>
      <c r="E196" s="3428"/>
      <c r="F196" s="3429"/>
      <c r="G196" s="3426"/>
      <c r="H196" s="3427" t="s">
        <v>236</v>
      </c>
      <c r="I196" s="3428"/>
      <c r="J196" s="3429"/>
      <c r="K196" s="3426"/>
      <c r="L196" s="3427" t="s">
        <v>236</v>
      </c>
      <c r="M196" s="3428"/>
      <c r="N196" s="3429"/>
      <c r="O196" s="3426"/>
      <c r="P196" s="3427" t="s">
        <v>237</v>
      </c>
      <c r="Q196" s="3428"/>
      <c r="R196" s="3429"/>
      <c r="S196" s="3426"/>
      <c r="T196" s="3427" t="s">
        <v>238</v>
      </c>
      <c r="U196" s="3429"/>
      <c r="V196" s="388"/>
      <c r="W196" s="2031"/>
      <c r="X196" s="188"/>
      <c r="Y196" s="188"/>
      <c r="Z196" s="388"/>
      <c r="AA196" s="2031"/>
      <c r="AB196" s="188"/>
      <c r="AC196" s="188"/>
      <c r="AD196" s="188"/>
      <c r="AE196" s="2031"/>
      <c r="AF196" s="188"/>
      <c r="AG196" s="188"/>
      <c r="AH196" s="189"/>
      <c r="AI196" s="2032"/>
      <c r="AJ196" s="190"/>
    </row>
    <row r="197" spans="1:38" ht="22.35" customHeight="1" x14ac:dyDescent="0.2">
      <c r="A197" s="109"/>
      <c r="B197" s="3107" t="s">
        <v>260</v>
      </c>
      <c r="C197" s="3108" t="s">
        <v>177</v>
      </c>
      <c r="D197" s="379" t="s">
        <v>236</v>
      </c>
      <c r="E197" s="380"/>
      <c r="F197" s="381"/>
      <c r="G197" s="3423"/>
      <c r="H197" s="379" t="s">
        <v>236</v>
      </c>
      <c r="I197" s="380"/>
      <c r="J197" s="381"/>
      <c r="K197" s="3423"/>
      <c r="L197" s="379" t="s">
        <v>236</v>
      </c>
      <c r="M197" s="380"/>
      <c r="N197" s="381"/>
      <c r="O197" s="3423"/>
      <c r="P197" s="379" t="s">
        <v>237</v>
      </c>
      <c r="Q197" s="380"/>
      <c r="R197" s="381"/>
      <c r="S197" s="3423"/>
      <c r="T197" s="379" t="s">
        <v>238</v>
      </c>
      <c r="U197" s="381"/>
      <c r="V197" s="380"/>
      <c r="W197" s="3424"/>
      <c r="X197" s="382"/>
      <c r="Y197" s="382"/>
      <c r="Z197" s="382"/>
      <c r="AA197" s="3424"/>
      <c r="AB197" s="382"/>
      <c r="AC197" s="382"/>
      <c r="AD197" s="382"/>
      <c r="AE197" s="3424"/>
      <c r="AF197" s="382"/>
      <c r="AG197" s="382"/>
      <c r="AH197" s="384"/>
      <c r="AI197" s="3425"/>
      <c r="AJ197" s="190"/>
    </row>
    <row r="198" spans="1:38" ht="22.35" customHeight="1" x14ac:dyDescent="0.2">
      <c r="A198" s="109"/>
      <c r="B198" s="3107" t="s">
        <v>261</v>
      </c>
      <c r="C198" s="3108" t="s">
        <v>137</v>
      </c>
      <c r="D198" s="379" t="s">
        <v>262</v>
      </c>
      <c r="E198" s="380"/>
      <c r="F198" s="381"/>
      <c r="G198" s="3423"/>
      <c r="H198" s="379" t="s">
        <v>262</v>
      </c>
      <c r="I198" s="380"/>
      <c r="J198" s="381"/>
      <c r="K198" s="3423"/>
      <c r="L198" s="379" t="s">
        <v>262</v>
      </c>
      <c r="M198" s="380"/>
      <c r="N198" s="380"/>
      <c r="O198" s="3423"/>
      <c r="P198" s="379" t="s">
        <v>262</v>
      </c>
      <c r="Q198" s="380"/>
      <c r="R198" s="380"/>
      <c r="S198" s="3423"/>
      <c r="T198" s="379" t="s">
        <v>253</v>
      </c>
      <c r="U198" s="381"/>
      <c r="V198" s="380"/>
      <c r="W198" s="3430"/>
      <c r="X198" s="382"/>
      <c r="Y198" s="382"/>
      <c r="Z198" s="382"/>
      <c r="AA198" s="3424"/>
      <c r="AB198" s="382"/>
      <c r="AC198" s="382"/>
      <c r="AD198" s="382"/>
      <c r="AE198" s="3424"/>
      <c r="AF198" s="382"/>
      <c r="AG198" s="382"/>
      <c r="AH198" s="384"/>
      <c r="AI198" s="3425"/>
      <c r="AJ198" s="190"/>
    </row>
    <row r="199" spans="1:38" ht="22.35" customHeight="1" x14ac:dyDescent="0.2">
      <c r="A199" s="109"/>
      <c r="B199" s="3107" t="s">
        <v>263</v>
      </c>
      <c r="C199" s="3108" t="s">
        <v>264</v>
      </c>
      <c r="D199" s="379" t="s">
        <v>262</v>
      </c>
      <c r="E199" s="380"/>
      <c r="F199" s="381"/>
      <c r="G199" s="3423"/>
      <c r="H199" s="379" t="s">
        <v>262</v>
      </c>
      <c r="I199" s="380"/>
      <c r="J199" s="381"/>
      <c r="K199" s="3423"/>
      <c r="L199" s="379" t="s">
        <v>262</v>
      </c>
      <c r="M199" s="380"/>
      <c r="N199" s="380"/>
      <c r="O199" s="3423"/>
      <c r="P199" s="379" t="s">
        <v>262</v>
      </c>
      <c r="Q199" s="380"/>
      <c r="R199" s="380"/>
      <c r="S199" s="3423"/>
      <c r="T199" s="379" t="s">
        <v>253</v>
      </c>
      <c r="U199" s="381"/>
      <c r="V199" s="380"/>
      <c r="W199" s="3430"/>
      <c r="X199" s="382"/>
      <c r="Y199" s="382"/>
      <c r="Z199" s="383"/>
      <c r="AA199" s="3431"/>
      <c r="AB199" s="382"/>
      <c r="AC199" s="382"/>
      <c r="AD199" s="382"/>
      <c r="AE199" s="3424"/>
      <c r="AF199" s="382"/>
      <c r="AG199" s="382"/>
      <c r="AH199" s="384"/>
      <c r="AI199" s="3425"/>
      <c r="AJ199" s="190"/>
    </row>
    <row r="200" spans="1:38" ht="22.35" customHeight="1" thickBot="1" x14ac:dyDescent="0.25">
      <c r="A200" s="109"/>
      <c r="B200" s="1119" t="s">
        <v>265</v>
      </c>
      <c r="C200" s="1120" t="s">
        <v>266</v>
      </c>
      <c r="D200" s="1121" t="s">
        <v>262</v>
      </c>
      <c r="E200" s="1122"/>
      <c r="F200" s="1123"/>
      <c r="G200" s="1124"/>
      <c r="H200" s="1121" t="s">
        <v>262</v>
      </c>
      <c r="I200" s="1122"/>
      <c r="J200" s="1123"/>
      <c r="K200" s="1124"/>
      <c r="L200" s="1121" t="s">
        <v>262</v>
      </c>
      <c r="M200" s="1122"/>
      <c r="N200" s="1122"/>
      <c r="O200" s="1124"/>
      <c r="P200" s="1121" t="s">
        <v>262</v>
      </c>
      <c r="Q200" s="1122"/>
      <c r="R200" s="1122"/>
      <c r="S200" s="1124"/>
      <c r="T200" s="1121" t="s">
        <v>253</v>
      </c>
      <c r="U200" s="1123"/>
      <c r="V200" s="1122"/>
      <c r="W200" s="1125"/>
      <c r="X200" s="1126"/>
      <c r="Y200" s="1126"/>
      <c r="Z200" s="1127"/>
      <c r="AA200" s="1128"/>
      <c r="AB200" s="1126"/>
      <c r="AC200" s="1126"/>
      <c r="AD200" s="1126"/>
      <c r="AE200" s="1129"/>
      <c r="AF200" s="1126"/>
      <c r="AG200" s="1126"/>
      <c r="AH200" s="1130"/>
      <c r="AI200" s="1131"/>
      <c r="AJ200" s="190"/>
    </row>
    <row r="201" spans="1:38" ht="22.35" customHeight="1" x14ac:dyDescent="0.2">
      <c r="A201" s="109"/>
      <c r="B201" s="206"/>
      <c r="C201" s="207"/>
      <c r="D201" s="208"/>
      <c r="E201" s="209"/>
      <c r="F201" s="209"/>
      <c r="G201" s="210"/>
      <c r="H201" s="208"/>
      <c r="I201" s="209"/>
      <c r="J201" s="209"/>
      <c r="K201" s="210"/>
      <c r="L201" s="208"/>
      <c r="M201" s="209"/>
      <c r="N201" s="209"/>
      <c r="O201" s="210"/>
      <c r="P201" s="198"/>
      <c r="Q201" s="209"/>
      <c r="R201" s="209"/>
      <c r="S201" s="210"/>
      <c r="T201" s="198"/>
      <c r="U201" s="209"/>
      <c r="V201" s="209"/>
      <c r="W201" s="209"/>
      <c r="X201" s="209"/>
      <c r="Y201" s="209"/>
      <c r="Z201" s="209"/>
      <c r="AA201" s="210"/>
      <c r="AB201" s="209"/>
      <c r="AC201" s="209"/>
      <c r="AD201" s="209"/>
      <c r="AE201" s="210"/>
      <c r="AF201" s="209"/>
      <c r="AG201" s="209"/>
      <c r="AH201" s="191"/>
      <c r="AI201" s="191"/>
      <c r="AJ201" s="190"/>
    </row>
    <row r="202" spans="1:38" ht="22.35" customHeight="1" thickBot="1" x14ac:dyDescent="0.25">
      <c r="A202" s="147"/>
      <c r="B202" s="390" t="s">
        <v>29</v>
      </c>
      <c r="C202" s="3242">
        <v>1</v>
      </c>
      <c r="D202" s="3243">
        <v>2</v>
      </c>
      <c r="E202" s="3243">
        <v>3</v>
      </c>
      <c r="F202" s="3243">
        <v>4</v>
      </c>
      <c r="G202" s="3243">
        <v>5</v>
      </c>
      <c r="H202" s="3243">
        <v>6</v>
      </c>
      <c r="I202" s="3242">
        <v>7</v>
      </c>
      <c r="J202" s="3242">
        <v>8</v>
      </c>
      <c r="K202" s="3243">
        <v>9</v>
      </c>
      <c r="L202" s="3243">
        <v>10</v>
      </c>
      <c r="M202" s="3243">
        <v>11</v>
      </c>
      <c r="N202" s="3243">
        <v>12</v>
      </c>
      <c r="O202" s="3243">
        <v>13</v>
      </c>
      <c r="P202" s="3242">
        <v>14</v>
      </c>
      <c r="Q202" s="3242">
        <v>15</v>
      </c>
      <c r="R202" s="3243">
        <v>16</v>
      </c>
      <c r="S202" s="3243">
        <v>17</v>
      </c>
      <c r="T202" s="3243">
        <v>18</v>
      </c>
      <c r="U202" s="3243">
        <v>19</v>
      </c>
      <c r="V202" s="3243">
        <v>20</v>
      </c>
      <c r="W202" s="3242">
        <v>21</v>
      </c>
      <c r="X202" s="3242">
        <v>22</v>
      </c>
      <c r="Y202" s="3243">
        <v>23</v>
      </c>
      <c r="Z202" s="3243">
        <v>24</v>
      </c>
      <c r="AA202" s="3243">
        <v>25</v>
      </c>
      <c r="AB202" s="3243">
        <v>26</v>
      </c>
      <c r="AC202" s="3243">
        <v>27</v>
      </c>
      <c r="AD202" s="3242">
        <v>28</v>
      </c>
      <c r="AE202" s="3242">
        <v>29</v>
      </c>
      <c r="AF202" s="3243">
        <v>30</v>
      </c>
      <c r="AG202" s="3244">
        <v>31</v>
      </c>
      <c r="AH202" s="180"/>
      <c r="AI202" s="174"/>
      <c r="AL202" t="s">
        <v>474</v>
      </c>
    </row>
    <row r="203" spans="1:38" ht="22.35" customHeight="1" x14ac:dyDescent="0.2">
      <c r="A203" s="109"/>
      <c r="B203" s="3117" t="s">
        <v>267</v>
      </c>
      <c r="C203" s="3432"/>
      <c r="D203" s="3432" t="s">
        <v>235</v>
      </c>
      <c r="E203" s="3432" t="s">
        <v>235</v>
      </c>
      <c r="F203" s="3432" t="s">
        <v>235</v>
      </c>
      <c r="G203" s="3432" t="s">
        <v>235</v>
      </c>
      <c r="H203" s="3432" t="s">
        <v>235</v>
      </c>
      <c r="I203" s="3432"/>
      <c r="J203" s="3432"/>
      <c r="K203" s="3432" t="s">
        <v>235</v>
      </c>
      <c r="L203" s="3432" t="s">
        <v>235</v>
      </c>
      <c r="M203" s="3432" t="s">
        <v>235</v>
      </c>
      <c r="N203" s="3432" t="s">
        <v>235</v>
      </c>
      <c r="O203" s="3432" t="s">
        <v>235</v>
      </c>
      <c r="P203" s="3432"/>
      <c r="Q203" s="3432"/>
      <c r="R203" s="3432" t="s">
        <v>235</v>
      </c>
      <c r="S203" s="3432" t="s">
        <v>235</v>
      </c>
      <c r="T203" s="3432" t="s">
        <v>235</v>
      </c>
      <c r="U203" s="3433" t="s">
        <v>235</v>
      </c>
      <c r="V203" s="3433" t="s">
        <v>235</v>
      </c>
      <c r="W203" s="3433"/>
      <c r="X203" s="3433"/>
      <c r="Y203" s="3433" t="s">
        <v>235</v>
      </c>
      <c r="Z203" s="3433" t="s">
        <v>235</v>
      </c>
      <c r="AA203" s="3433" t="s">
        <v>235</v>
      </c>
      <c r="AB203" s="3433" t="s">
        <v>235</v>
      </c>
      <c r="AC203" s="3433" t="s">
        <v>235</v>
      </c>
      <c r="AD203" s="3433"/>
      <c r="AE203" s="3433"/>
      <c r="AF203" s="3433" t="s">
        <v>235</v>
      </c>
      <c r="AG203" s="3433" t="s">
        <v>235</v>
      </c>
      <c r="AH203" s="179"/>
      <c r="AI203" s="179"/>
    </row>
    <row r="204" spans="1:38" ht="22.35" customHeight="1" x14ac:dyDescent="0.2">
      <c r="A204" s="109"/>
      <c r="B204" s="1133" t="s">
        <v>268</v>
      </c>
      <c r="C204" s="3434"/>
      <c r="D204" s="3434" t="s">
        <v>235</v>
      </c>
      <c r="E204" s="3434" t="s">
        <v>235</v>
      </c>
      <c r="F204" s="3434" t="s">
        <v>235</v>
      </c>
      <c r="G204" s="3434" t="s">
        <v>235</v>
      </c>
      <c r="H204" s="3434" t="s">
        <v>235</v>
      </c>
      <c r="I204" s="3434"/>
      <c r="J204" s="3434"/>
      <c r="K204" s="3434" t="s">
        <v>235</v>
      </c>
      <c r="L204" s="3434" t="s">
        <v>235</v>
      </c>
      <c r="M204" s="3434" t="s">
        <v>235</v>
      </c>
      <c r="N204" s="3434" t="s">
        <v>235</v>
      </c>
      <c r="O204" s="3434" t="s">
        <v>235</v>
      </c>
      <c r="P204" s="3434"/>
      <c r="Q204" s="3434"/>
      <c r="R204" s="3434" t="s">
        <v>235</v>
      </c>
      <c r="S204" s="3434" t="s">
        <v>235</v>
      </c>
      <c r="T204" s="3434" t="s">
        <v>235</v>
      </c>
      <c r="U204" s="3434" t="s">
        <v>235</v>
      </c>
      <c r="V204" s="3434" t="s">
        <v>235</v>
      </c>
      <c r="W204" s="3434"/>
      <c r="X204" s="3434"/>
      <c r="Y204" s="3434" t="s">
        <v>235</v>
      </c>
      <c r="Z204" s="3434" t="s">
        <v>235</v>
      </c>
      <c r="AA204" s="3434" t="s">
        <v>235</v>
      </c>
      <c r="AB204" s="3434" t="s">
        <v>235</v>
      </c>
      <c r="AC204" s="3434" t="s">
        <v>235</v>
      </c>
      <c r="AD204" s="3434"/>
      <c r="AE204" s="3434"/>
      <c r="AF204" s="3434" t="s">
        <v>235</v>
      </c>
      <c r="AG204" s="3434" t="s">
        <v>235</v>
      </c>
      <c r="AH204" s="179"/>
      <c r="AI204" s="179"/>
    </row>
    <row r="205" spans="1:38" ht="22.35" customHeight="1" x14ac:dyDescent="0.2">
      <c r="A205" s="109"/>
      <c r="B205" s="1133" t="s">
        <v>270</v>
      </c>
      <c r="C205" s="3434"/>
      <c r="D205" s="3434" t="s">
        <v>239</v>
      </c>
      <c r="E205" s="3434" t="s">
        <v>239</v>
      </c>
      <c r="F205" s="3434" t="s">
        <v>235</v>
      </c>
      <c r="G205" s="3434" t="s">
        <v>239</v>
      </c>
      <c r="H205" s="3434" t="s">
        <v>239</v>
      </c>
      <c r="I205" s="3434"/>
      <c r="J205" s="3434"/>
      <c r="K205" s="3434" t="s">
        <v>239</v>
      </c>
      <c r="L205" s="3434" t="s">
        <v>239</v>
      </c>
      <c r="M205" s="3434" t="s">
        <v>239</v>
      </c>
      <c r="N205" s="3434" t="s">
        <v>239</v>
      </c>
      <c r="O205" s="3434" t="s">
        <v>239</v>
      </c>
      <c r="P205" s="3434"/>
      <c r="Q205" s="3434"/>
      <c r="R205" s="3434" t="s">
        <v>239</v>
      </c>
      <c r="S205" s="3434" t="s">
        <v>239</v>
      </c>
      <c r="T205" s="3434" t="s">
        <v>239</v>
      </c>
      <c r="U205" s="3434" t="s">
        <v>239</v>
      </c>
      <c r="V205" s="3434" t="s">
        <v>239</v>
      </c>
      <c r="W205" s="3434"/>
      <c r="X205" s="3434"/>
      <c r="Y205" s="3434" t="s">
        <v>239</v>
      </c>
      <c r="Z205" s="3434" t="s">
        <v>239</v>
      </c>
      <c r="AA205" s="3434" t="s">
        <v>239</v>
      </c>
      <c r="AB205" s="3434" t="s">
        <v>239</v>
      </c>
      <c r="AC205" s="3434" t="s">
        <v>239</v>
      </c>
      <c r="AD205" s="3434"/>
      <c r="AE205" s="3434"/>
      <c r="AF205" s="3434" t="s">
        <v>239</v>
      </c>
      <c r="AG205" s="3434" t="s">
        <v>239</v>
      </c>
      <c r="AH205" s="179"/>
      <c r="AI205" s="179"/>
    </row>
    <row r="206" spans="1:38" ht="22.35" customHeight="1" x14ac:dyDescent="0.2">
      <c r="A206" s="109"/>
      <c r="B206" s="1133" t="s">
        <v>271</v>
      </c>
      <c r="C206" s="3434"/>
      <c r="D206" s="3434" t="s">
        <v>50</v>
      </c>
      <c r="E206" s="3434" t="s">
        <v>50</v>
      </c>
      <c r="F206" s="3434" t="s">
        <v>50</v>
      </c>
      <c r="G206" s="3434" t="s">
        <v>50</v>
      </c>
      <c r="H206" s="3434" t="s">
        <v>50</v>
      </c>
      <c r="I206" s="3434"/>
      <c r="J206" s="3434"/>
      <c r="K206" s="3434" t="s">
        <v>50</v>
      </c>
      <c r="L206" s="3434" t="s">
        <v>50</v>
      </c>
      <c r="M206" s="3434" t="s">
        <v>50</v>
      </c>
      <c r="N206" s="3434" t="s">
        <v>50</v>
      </c>
      <c r="O206" s="3434" t="s">
        <v>50</v>
      </c>
      <c r="P206" s="3434"/>
      <c r="Q206" s="3434"/>
      <c r="R206" s="3434" t="s">
        <v>50</v>
      </c>
      <c r="S206" s="3434" t="s">
        <v>50</v>
      </c>
      <c r="T206" s="3434" t="s">
        <v>50</v>
      </c>
      <c r="U206" s="3434" t="s">
        <v>50</v>
      </c>
      <c r="V206" s="3434" t="s">
        <v>50</v>
      </c>
      <c r="W206" s="3434"/>
      <c r="X206" s="3434"/>
      <c r="Y206" s="3434" t="s">
        <v>50</v>
      </c>
      <c r="Z206" s="3434" t="s">
        <v>50</v>
      </c>
      <c r="AA206" s="3434" t="s">
        <v>50</v>
      </c>
      <c r="AB206" s="3434" t="s">
        <v>50</v>
      </c>
      <c r="AC206" s="3434" t="s">
        <v>50</v>
      </c>
      <c r="AD206" s="3434"/>
      <c r="AE206" s="3434"/>
      <c r="AF206" s="3434" t="s">
        <v>50</v>
      </c>
      <c r="AG206" s="3434" t="s">
        <v>50</v>
      </c>
      <c r="AH206" s="179"/>
      <c r="AI206" s="179"/>
    </row>
    <row r="207" spans="1:38" ht="22.35" customHeight="1" x14ac:dyDescent="0.2">
      <c r="A207" s="109"/>
      <c r="B207" s="933" t="s">
        <v>272</v>
      </c>
      <c r="C207" s="3434"/>
      <c r="D207" s="3434" t="s">
        <v>243</v>
      </c>
      <c r="E207" s="3434" t="s">
        <v>243</v>
      </c>
      <c r="F207" s="3434" t="s">
        <v>243</v>
      </c>
      <c r="G207" s="3434" t="s">
        <v>243</v>
      </c>
      <c r="H207" s="3434" t="s">
        <v>243</v>
      </c>
      <c r="I207" s="3434"/>
      <c r="J207" s="3434"/>
      <c r="K207" s="3434" t="s">
        <v>243</v>
      </c>
      <c r="L207" s="3434" t="s">
        <v>243</v>
      </c>
      <c r="M207" s="3434" t="s">
        <v>243</v>
      </c>
      <c r="N207" s="3434" t="s">
        <v>243</v>
      </c>
      <c r="O207" s="3435" t="s">
        <v>243</v>
      </c>
      <c r="P207" s="3435"/>
      <c r="Q207" s="3435"/>
      <c r="R207" s="3435" t="s">
        <v>243</v>
      </c>
      <c r="S207" s="3435" t="s">
        <v>243</v>
      </c>
      <c r="T207" s="3435" t="s">
        <v>243</v>
      </c>
      <c r="U207" s="3435" t="s">
        <v>243</v>
      </c>
      <c r="V207" s="3434" t="s">
        <v>243</v>
      </c>
      <c r="W207" s="3434"/>
      <c r="X207" s="3434"/>
      <c r="Y207" s="3436" t="s">
        <v>243</v>
      </c>
      <c r="Z207" s="3434" t="s">
        <v>243</v>
      </c>
      <c r="AA207" s="3434" t="s">
        <v>243</v>
      </c>
      <c r="AB207" s="3434" t="s">
        <v>243</v>
      </c>
      <c r="AC207" s="3434" t="s">
        <v>243</v>
      </c>
      <c r="AD207" s="3434"/>
      <c r="AE207" s="3434"/>
      <c r="AF207" s="3434" t="s">
        <v>243</v>
      </c>
      <c r="AG207" s="3434" t="s">
        <v>243</v>
      </c>
      <c r="AH207" s="179"/>
      <c r="AI207" s="179"/>
    </row>
    <row r="208" spans="1:38" ht="22.35" customHeight="1" x14ac:dyDescent="0.2">
      <c r="A208" s="109"/>
      <c r="B208" s="1133" t="s">
        <v>273</v>
      </c>
      <c r="C208" s="3437"/>
      <c r="D208" s="3437" t="s">
        <v>142</v>
      </c>
      <c r="E208" s="3437" t="s">
        <v>142</v>
      </c>
      <c r="F208" s="3437" t="s">
        <v>142</v>
      </c>
      <c r="G208" s="3437" t="s">
        <v>142</v>
      </c>
      <c r="H208" s="3437" t="s">
        <v>142</v>
      </c>
      <c r="I208" s="3437"/>
      <c r="J208" s="3437"/>
      <c r="K208" s="3437" t="s">
        <v>142</v>
      </c>
      <c r="L208" s="3437" t="s">
        <v>142</v>
      </c>
      <c r="M208" s="3437" t="s">
        <v>142</v>
      </c>
      <c r="N208" s="3437" t="s">
        <v>142</v>
      </c>
      <c r="O208" s="3437" t="s">
        <v>142</v>
      </c>
      <c r="P208" s="3437"/>
      <c r="Q208" s="3437"/>
      <c r="R208" s="3437" t="s">
        <v>142</v>
      </c>
      <c r="S208" s="3437" t="s">
        <v>142</v>
      </c>
      <c r="T208" s="3437" t="s">
        <v>142</v>
      </c>
      <c r="U208" s="3437" t="s">
        <v>142</v>
      </c>
      <c r="V208" s="3437" t="s">
        <v>142</v>
      </c>
      <c r="W208" s="3437"/>
      <c r="X208" s="3437"/>
      <c r="Y208" s="3437" t="s">
        <v>142</v>
      </c>
      <c r="Z208" s="3437" t="s">
        <v>142</v>
      </c>
      <c r="AA208" s="3437" t="s">
        <v>142</v>
      </c>
      <c r="AB208" s="3437" t="s">
        <v>142</v>
      </c>
      <c r="AC208" s="3437" t="s">
        <v>142</v>
      </c>
      <c r="AD208" s="3437"/>
      <c r="AE208" s="3437"/>
      <c r="AF208" s="3437" t="s">
        <v>142</v>
      </c>
      <c r="AG208" s="3437" t="s">
        <v>142</v>
      </c>
      <c r="AH208" s="179"/>
      <c r="AI208" s="179"/>
    </row>
    <row r="209" spans="1:35" ht="22.35" customHeight="1" x14ac:dyDescent="0.2">
      <c r="A209" s="109"/>
      <c r="B209" s="3325" t="s">
        <v>0</v>
      </c>
      <c r="C209" s="3434"/>
      <c r="D209" s="3434" t="s">
        <v>134</v>
      </c>
      <c r="E209" s="3434" t="s">
        <v>134</v>
      </c>
      <c r="F209" s="3434" t="s">
        <v>134</v>
      </c>
      <c r="G209" s="3434" t="s">
        <v>134</v>
      </c>
      <c r="H209" s="3434" t="s">
        <v>134</v>
      </c>
      <c r="I209" s="3434"/>
      <c r="J209" s="3434"/>
      <c r="K209" s="3434" t="s">
        <v>134</v>
      </c>
      <c r="L209" s="3434" t="s">
        <v>134</v>
      </c>
      <c r="M209" s="3434" t="s">
        <v>134</v>
      </c>
      <c r="N209" s="3434" t="s">
        <v>134</v>
      </c>
      <c r="O209" s="3434" t="s">
        <v>134</v>
      </c>
      <c r="P209" s="3434"/>
      <c r="Q209" s="3434"/>
      <c r="R209" s="3434" t="s">
        <v>134</v>
      </c>
      <c r="S209" s="3434" t="s">
        <v>134</v>
      </c>
      <c r="T209" s="3434" t="s">
        <v>134</v>
      </c>
      <c r="U209" s="3434" t="s">
        <v>134</v>
      </c>
      <c r="V209" s="3434" t="s">
        <v>134</v>
      </c>
      <c r="W209" s="3434"/>
      <c r="X209" s="3434"/>
      <c r="Y209" s="3434" t="s">
        <v>134</v>
      </c>
      <c r="Z209" s="3434" t="s">
        <v>134</v>
      </c>
      <c r="AA209" s="3434" t="s">
        <v>134</v>
      </c>
      <c r="AB209" s="3434" t="s">
        <v>134</v>
      </c>
      <c r="AC209" s="3434" t="s">
        <v>134</v>
      </c>
      <c r="AD209" s="3434"/>
      <c r="AE209" s="3434"/>
      <c r="AF209" s="3434" t="s">
        <v>134</v>
      </c>
      <c r="AG209" s="3434" t="s">
        <v>134</v>
      </c>
      <c r="AH209" s="179"/>
      <c r="AI209" s="179"/>
    </row>
    <row r="210" spans="1:35" ht="22.35" customHeight="1" x14ac:dyDescent="0.2">
      <c r="A210" s="109"/>
      <c r="B210" s="1133" t="s">
        <v>274</v>
      </c>
      <c r="C210" s="292"/>
      <c r="D210" s="292" t="s">
        <v>176</v>
      </c>
      <c r="E210" s="292" t="s">
        <v>176</v>
      </c>
      <c r="F210" s="292" t="s">
        <v>176</v>
      </c>
      <c r="G210" s="292" t="s">
        <v>176</v>
      </c>
      <c r="H210" s="292" t="s">
        <v>176</v>
      </c>
      <c r="I210" s="292"/>
      <c r="J210" s="292"/>
      <c r="K210" s="292" t="s">
        <v>176</v>
      </c>
      <c r="L210" s="292" t="s">
        <v>176</v>
      </c>
      <c r="M210" s="292" t="s">
        <v>176</v>
      </c>
      <c r="N210" s="292" t="s">
        <v>176</v>
      </c>
      <c r="O210" s="292" t="s">
        <v>176</v>
      </c>
      <c r="P210" s="292"/>
      <c r="Q210" s="292"/>
      <c r="R210" s="468" t="s">
        <v>176</v>
      </c>
      <c r="S210" s="468" t="s">
        <v>430</v>
      </c>
      <c r="T210" s="469" t="s">
        <v>176</v>
      </c>
      <c r="U210" s="469" t="s">
        <v>176</v>
      </c>
      <c r="V210" s="469" t="s">
        <v>176</v>
      </c>
      <c r="W210" s="292"/>
      <c r="X210" s="292"/>
      <c r="Y210" s="292" t="s">
        <v>176</v>
      </c>
      <c r="Z210" s="292" t="s">
        <v>176</v>
      </c>
      <c r="AA210" s="292" t="s">
        <v>176</v>
      </c>
      <c r="AB210" s="292" t="s">
        <v>176</v>
      </c>
      <c r="AC210" s="292" t="s">
        <v>176</v>
      </c>
      <c r="AD210" s="292"/>
      <c r="AE210" s="292"/>
      <c r="AF210" s="292" t="s">
        <v>176</v>
      </c>
      <c r="AG210" s="292" t="s">
        <v>176</v>
      </c>
      <c r="AH210" s="179"/>
      <c r="AI210" s="179"/>
    </row>
    <row r="211" spans="1:35" ht="22.35" customHeight="1" x14ac:dyDescent="0.2">
      <c r="A211" s="109"/>
      <c r="B211" s="3325" t="s">
        <v>276</v>
      </c>
      <c r="C211" s="851"/>
      <c r="D211" s="851" t="s">
        <v>95</v>
      </c>
      <c r="E211" s="851" t="s">
        <v>95</v>
      </c>
      <c r="F211" s="851" t="s">
        <v>95</v>
      </c>
      <c r="G211" s="851" t="s">
        <v>95</v>
      </c>
      <c r="H211" s="851" t="s">
        <v>95</v>
      </c>
      <c r="I211" s="851"/>
      <c r="J211" s="851"/>
      <c r="K211" s="851" t="s">
        <v>95</v>
      </c>
      <c r="L211" s="851" t="s">
        <v>95</v>
      </c>
      <c r="M211" s="851" t="s">
        <v>95</v>
      </c>
      <c r="N211" s="851" t="s">
        <v>95</v>
      </c>
      <c r="O211" s="1361" t="s">
        <v>95</v>
      </c>
      <c r="P211" s="851"/>
      <c r="Q211" s="851"/>
      <c r="R211" s="851" t="s">
        <v>95</v>
      </c>
      <c r="S211" s="851" t="s">
        <v>95</v>
      </c>
      <c r="T211" s="851" t="s">
        <v>95</v>
      </c>
      <c r="U211" s="851" t="s">
        <v>95</v>
      </c>
      <c r="V211" s="851" t="s">
        <v>95</v>
      </c>
      <c r="W211" s="851"/>
      <c r="X211" s="851"/>
      <c r="Y211" s="851" t="s">
        <v>95</v>
      </c>
      <c r="Z211" s="851" t="s">
        <v>95</v>
      </c>
      <c r="AA211" s="851" t="s">
        <v>95</v>
      </c>
      <c r="AB211" s="851" t="s">
        <v>95</v>
      </c>
      <c r="AC211" s="851" t="s">
        <v>95</v>
      </c>
      <c r="AD211" s="851"/>
      <c r="AE211" s="851"/>
      <c r="AF211" s="851" t="s">
        <v>95</v>
      </c>
      <c r="AG211" s="3438" t="s">
        <v>95</v>
      </c>
      <c r="AH211" s="179"/>
      <c r="AI211" s="179"/>
    </row>
    <row r="212" spans="1:35" ht="22.35" customHeight="1" x14ac:dyDescent="0.2">
      <c r="A212" s="109"/>
      <c r="B212" s="1133" t="s">
        <v>277</v>
      </c>
      <c r="C212" s="851"/>
      <c r="D212" s="851" t="s">
        <v>177</v>
      </c>
      <c r="E212" s="851" t="s">
        <v>177</v>
      </c>
      <c r="F212" s="851" t="s">
        <v>177</v>
      </c>
      <c r="G212" s="851" t="s">
        <v>177</v>
      </c>
      <c r="H212" s="851" t="s">
        <v>177</v>
      </c>
      <c r="I212" s="851"/>
      <c r="J212" s="851"/>
      <c r="K212" s="851" t="s">
        <v>177</v>
      </c>
      <c r="L212" s="851" t="s">
        <v>177</v>
      </c>
      <c r="M212" s="851" t="s">
        <v>177</v>
      </c>
      <c r="N212" s="851" t="s">
        <v>177</v>
      </c>
      <c r="O212" s="851" t="s">
        <v>177</v>
      </c>
      <c r="P212" s="851"/>
      <c r="Q212" s="851"/>
      <c r="R212" s="851" t="s">
        <v>177</v>
      </c>
      <c r="S212" s="851" t="s">
        <v>177</v>
      </c>
      <c r="T212" s="851" t="s">
        <v>177</v>
      </c>
      <c r="U212" s="851" t="s">
        <v>177</v>
      </c>
      <c r="V212" s="851" t="s">
        <v>177</v>
      </c>
      <c r="W212" s="851"/>
      <c r="X212" s="851"/>
      <c r="Y212" s="851" t="s">
        <v>177</v>
      </c>
      <c r="Z212" s="851" t="s">
        <v>177</v>
      </c>
      <c r="AA212" s="851" t="s">
        <v>177</v>
      </c>
      <c r="AB212" s="851" t="s">
        <v>177</v>
      </c>
      <c r="AC212" s="851" t="s">
        <v>177</v>
      </c>
      <c r="AD212" s="851"/>
      <c r="AE212" s="851"/>
      <c r="AF212" s="851" t="s">
        <v>177</v>
      </c>
      <c r="AG212" s="851" t="s">
        <v>177</v>
      </c>
      <c r="AH212" s="179"/>
      <c r="AI212" s="179"/>
    </row>
    <row r="213" spans="1:35" ht="22.35" customHeight="1" x14ac:dyDescent="0.2">
      <c r="A213" s="109"/>
      <c r="B213" s="3325" t="s">
        <v>278</v>
      </c>
      <c r="C213" s="851"/>
      <c r="D213" s="851" t="s">
        <v>264</v>
      </c>
      <c r="E213" s="851" t="s">
        <v>264</v>
      </c>
      <c r="F213" s="851" t="s">
        <v>264</v>
      </c>
      <c r="G213" s="851" t="s">
        <v>264</v>
      </c>
      <c r="H213" s="851" t="s">
        <v>264</v>
      </c>
      <c r="I213" s="851"/>
      <c r="J213" s="851"/>
      <c r="K213" s="851" t="s">
        <v>264</v>
      </c>
      <c r="L213" s="851" t="s">
        <v>264</v>
      </c>
      <c r="M213" s="851" t="s">
        <v>264</v>
      </c>
      <c r="N213" s="851" t="s">
        <v>264</v>
      </c>
      <c r="O213" s="851" t="s">
        <v>264</v>
      </c>
      <c r="P213" s="851"/>
      <c r="Q213" s="851"/>
      <c r="R213" s="851" t="s">
        <v>264</v>
      </c>
      <c r="S213" s="851" t="s">
        <v>264</v>
      </c>
      <c r="T213" s="851" t="s">
        <v>264</v>
      </c>
      <c r="U213" s="851" t="s">
        <v>264</v>
      </c>
      <c r="V213" s="851" t="s">
        <v>264</v>
      </c>
      <c r="W213" s="851"/>
      <c r="X213" s="851"/>
      <c r="Y213" s="851" t="s">
        <v>264</v>
      </c>
      <c r="Z213" s="851" t="s">
        <v>264</v>
      </c>
      <c r="AA213" s="851" t="s">
        <v>264</v>
      </c>
      <c r="AB213" s="851" t="s">
        <v>264</v>
      </c>
      <c r="AC213" s="851" t="s">
        <v>264</v>
      </c>
      <c r="AD213" s="851"/>
      <c r="AE213" s="851"/>
      <c r="AF213" s="851" t="s">
        <v>264</v>
      </c>
      <c r="AG213" s="851" t="s">
        <v>264</v>
      </c>
      <c r="AH213" s="107"/>
      <c r="AI213" s="107"/>
    </row>
    <row r="214" spans="1:35" ht="21" customHeight="1" thickBot="1" x14ac:dyDescent="0.25">
      <c r="A214" s="147"/>
      <c r="B214" s="3439" t="s">
        <v>279</v>
      </c>
      <c r="C214" s="1092"/>
      <c r="D214" s="1092" t="s">
        <v>266</v>
      </c>
      <c r="E214" s="1092" t="s">
        <v>266</v>
      </c>
      <c r="F214" s="1092" t="s">
        <v>266</v>
      </c>
      <c r="G214" s="1092" t="s">
        <v>266</v>
      </c>
      <c r="H214" s="1092" t="s">
        <v>266</v>
      </c>
      <c r="I214" s="1092"/>
      <c r="J214" s="1092"/>
      <c r="K214" s="1092" t="s">
        <v>266</v>
      </c>
      <c r="L214" s="1092" t="s">
        <v>266</v>
      </c>
      <c r="M214" s="1092" t="s">
        <v>266</v>
      </c>
      <c r="N214" s="1092" t="s">
        <v>266</v>
      </c>
      <c r="O214" s="1092" t="s">
        <v>266</v>
      </c>
      <c r="P214" s="1092"/>
      <c r="Q214" s="1092"/>
      <c r="R214" s="1092" t="s">
        <v>266</v>
      </c>
      <c r="S214" s="1092" t="s">
        <v>266</v>
      </c>
      <c r="T214" s="1092" t="s">
        <v>266</v>
      </c>
      <c r="U214" s="1092" t="s">
        <v>266</v>
      </c>
      <c r="V214" s="1092" t="s">
        <v>266</v>
      </c>
      <c r="W214" s="1092"/>
      <c r="X214" s="1092"/>
      <c r="Y214" s="1092" t="s">
        <v>266</v>
      </c>
      <c r="Z214" s="3440" t="s">
        <v>266</v>
      </c>
      <c r="AA214" s="1092" t="s">
        <v>266</v>
      </c>
      <c r="AB214" s="1092" t="s">
        <v>266</v>
      </c>
      <c r="AC214" s="1092" t="s">
        <v>266</v>
      </c>
      <c r="AD214" s="3309"/>
      <c r="AE214" s="3309"/>
      <c r="AF214" s="3309" t="s">
        <v>266</v>
      </c>
      <c r="AG214" s="1092" t="s">
        <v>266</v>
      </c>
      <c r="AH214" s="114"/>
    </row>
    <row r="215" spans="1:35" ht="21" customHeight="1" x14ac:dyDescent="0.2">
      <c r="A215" s="147"/>
      <c r="B215" s="217"/>
      <c r="C215" s="216"/>
      <c r="D215" s="216"/>
      <c r="E215" s="216"/>
      <c r="F215" s="216"/>
      <c r="G215" s="216"/>
      <c r="H215" s="216"/>
      <c r="I215" s="216"/>
      <c r="J215" s="216"/>
      <c r="K215" s="216"/>
      <c r="L215" s="216"/>
      <c r="M215" s="216"/>
      <c r="N215" s="216"/>
      <c r="O215" s="216"/>
      <c r="P215" s="216"/>
      <c r="Q215" s="216"/>
      <c r="R215" s="216"/>
      <c r="S215" s="216"/>
      <c r="T215" s="216"/>
      <c r="U215" s="216"/>
      <c r="V215" s="216"/>
      <c r="W215" s="216"/>
      <c r="X215" s="216"/>
      <c r="Y215" s="216"/>
      <c r="Z215" s="216"/>
      <c r="AA215" s="216"/>
      <c r="AB215" s="216"/>
      <c r="AC215" s="216"/>
      <c r="AD215" s="216"/>
      <c r="AE215" s="216"/>
      <c r="AF215" s="216"/>
      <c r="AG215" s="216"/>
      <c r="AH215" s="114"/>
    </row>
    <row r="216" spans="1:35" ht="22.35" customHeight="1" x14ac:dyDescent="0.2">
      <c r="C216" s="37"/>
      <c r="D216" s="37"/>
      <c r="E216" s="37"/>
      <c r="F216" s="37"/>
      <c r="G216" s="37"/>
      <c r="H216" s="37"/>
      <c r="I216" s="37"/>
      <c r="J216" s="37"/>
      <c r="K216" s="37"/>
      <c r="L216" s="37"/>
      <c r="M216" s="37"/>
      <c r="N216" s="37"/>
      <c r="O216" s="37"/>
      <c r="P216" s="37"/>
      <c r="Q216" s="37"/>
      <c r="R216" s="37"/>
      <c r="S216" s="37"/>
      <c r="T216" s="37"/>
      <c r="U216" s="37"/>
      <c r="V216" s="37"/>
      <c r="W216" s="37"/>
      <c r="X216" s="37"/>
      <c r="Y216" s="37"/>
      <c r="Z216" s="37"/>
      <c r="AA216" s="37"/>
      <c r="AB216" s="37"/>
      <c r="AC216" s="37"/>
      <c r="AD216" s="37"/>
      <c r="AE216" s="37"/>
      <c r="AF216" s="37"/>
      <c r="AG216" s="37"/>
    </row>
    <row r="217" spans="1:35" ht="22.35" customHeight="1" thickBot="1" x14ac:dyDescent="0.25">
      <c r="A217" s="1" t="s">
        <v>280</v>
      </c>
      <c r="B217" s="59"/>
    </row>
    <row r="218" spans="1:35" ht="22.35" customHeight="1" x14ac:dyDescent="0.2">
      <c r="A218" s="1"/>
      <c r="B218" s="3441" t="s">
        <v>281</v>
      </c>
      <c r="C218" s="3442" t="s">
        <v>107</v>
      </c>
      <c r="D218" s="3379"/>
      <c r="E218" s="3379"/>
      <c r="F218" s="3379"/>
      <c r="G218" s="3442" t="s">
        <v>108</v>
      </c>
      <c r="H218" s="3379"/>
      <c r="I218" s="3379"/>
      <c r="J218" s="3379"/>
      <c r="K218" s="3442" t="s">
        <v>109</v>
      </c>
      <c r="L218" s="3379"/>
      <c r="M218" s="3379"/>
      <c r="N218" s="3379"/>
      <c r="O218" s="3442" t="s">
        <v>110</v>
      </c>
      <c r="P218" s="3379"/>
      <c r="Q218" s="3379"/>
      <c r="R218" s="3379"/>
      <c r="S218" s="3442" t="s">
        <v>111</v>
      </c>
      <c r="T218" s="3379"/>
      <c r="U218" s="3379"/>
      <c r="V218" s="3379"/>
      <c r="W218" s="3442" t="s">
        <v>112</v>
      </c>
      <c r="X218" s="3312"/>
      <c r="Y218" s="3379"/>
      <c r="Z218" s="3443"/>
      <c r="AA218" s="3442" t="s">
        <v>113</v>
      </c>
      <c r="AB218" s="3312"/>
      <c r="AC218" s="3379"/>
      <c r="AD218" s="3443"/>
      <c r="AE218" s="3444" t="s">
        <v>114</v>
      </c>
      <c r="AF218" s="3379"/>
      <c r="AG218" s="3379"/>
      <c r="AH218" s="3379"/>
      <c r="AI218" s="3313"/>
    </row>
    <row r="219" spans="1:35" ht="22.35" customHeight="1" x14ac:dyDescent="0.2">
      <c r="A219" s="1"/>
      <c r="B219" s="391">
        <v>3701</v>
      </c>
      <c r="C219" s="110" t="s">
        <v>282</v>
      </c>
      <c r="D219" s="110"/>
      <c r="E219" s="110"/>
      <c r="F219" s="110"/>
      <c r="G219" s="534" t="s">
        <v>283</v>
      </c>
      <c r="H219" s="110"/>
      <c r="I219" s="110"/>
      <c r="J219" s="110"/>
      <c r="K219" s="534" t="s">
        <v>283</v>
      </c>
      <c r="L219" s="110"/>
      <c r="M219" s="110"/>
      <c r="N219" s="110"/>
      <c r="O219" s="534" t="s">
        <v>283</v>
      </c>
      <c r="P219" s="110"/>
      <c r="Q219" s="110"/>
      <c r="R219" s="110"/>
      <c r="S219" s="534" t="s">
        <v>284</v>
      </c>
      <c r="T219" s="110"/>
      <c r="U219" s="110"/>
      <c r="V219" s="110"/>
      <c r="W219" s="3005"/>
      <c r="X219" s="3445"/>
      <c r="Y219" s="2879"/>
      <c r="Z219" s="3446"/>
      <c r="AA219" s="3005"/>
      <c r="AB219" s="3445"/>
      <c r="AC219" s="2879"/>
      <c r="AD219" s="3446"/>
      <c r="AE219" s="3046"/>
      <c r="AF219" s="2879"/>
      <c r="AG219" s="2879"/>
      <c r="AH219" s="2879"/>
      <c r="AI219" s="3233"/>
    </row>
    <row r="220" spans="1:35" ht="22.35" customHeight="1" x14ac:dyDescent="0.2">
      <c r="B220" s="3441">
        <v>3700</v>
      </c>
      <c r="C220" s="2879" t="s">
        <v>182</v>
      </c>
      <c r="D220" s="2879"/>
      <c r="E220" s="2879"/>
      <c r="F220" s="2879"/>
      <c r="G220" s="3007" t="s">
        <v>182</v>
      </c>
      <c r="H220" s="2879"/>
      <c r="I220" s="2879"/>
      <c r="J220" s="2879"/>
      <c r="K220" s="3007" t="s">
        <v>182</v>
      </c>
      <c r="L220" s="2879"/>
      <c r="M220" s="2879"/>
      <c r="N220" s="2879"/>
      <c r="O220" s="3007" t="s">
        <v>182</v>
      </c>
      <c r="P220" s="2879"/>
      <c r="Q220" s="2879"/>
      <c r="R220" s="2879"/>
      <c r="S220" s="3007" t="s">
        <v>183</v>
      </c>
      <c r="T220" s="2879"/>
      <c r="U220" s="2879"/>
      <c r="V220" s="2879"/>
      <c r="W220" s="3005"/>
      <c r="X220" s="2879"/>
      <c r="Y220" s="2879"/>
      <c r="Z220" s="3048"/>
      <c r="AA220" s="3046"/>
      <c r="AB220" s="2879"/>
      <c r="AC220" s="2879"/>
      <c r="AD220" s="2959"/>
      <c r="AE220" s="3447"/>
      <c r="AF220" s="2879"/>
      <c r="AG220" s="2879"/>
      <c r="AH220" s="2959"/>
      <c r="AI220" s="3233"/>
    </row>
    <row r="221" spans="1:35" ht="22.35" customHeight="1" x14ac:dyDescent="0.2">
      <c r="A221" s="1"/>
      <c r="B221" s="3441">
        <v>8514</v>
      </c>
      <c r="C221" s="2879" t="s">
        <v>283</v>
      </c>
      <c r="D221" s="2879"/>
      <c r="E221" s="2879"/>
      <c r="F221" s="2879"/>
      <c r="G221" s="3007" t="s">
        <v>283</v>
      </c>
      <c r="H221" s="2879"/>
      <c r="I221" s="2879"/>
      <c r="J221" s="2879"/>
      <c r="K221" s="3007" t="s">
        <v>283</v>
      </c>
      <c r="L221" s="2879"/>
      <c r="M221" s="2879"/>
      <c r="N221" s="2879"/>
      <c r="O221" s="3007" t="s">
        <v>283</v>
      </c>
      <c r="P221" s="2879"/>
      <c r="Q221" s="2879"/>
      <c r="R221" s="2879"/>
      <c r="S221" s="3007" t="s">
        <v>285</v>
      </c>
      <c r="T221" s="2879"/>
      <c r="U221" s="2879"/>
      <c r="V221" s="2879"/>
      <c r="W221" s="3005"/>
      <c r="X221" s="2879"/>
      <c r="Y221" s="2879"/>
      <c r="Z221" s="3048"/>
      <c r="AA221" s="2958"/>
      <c r="AB221" s="2879"/>
      <c r="AC221" s="2879"/>
      <c r="AD221" s="2959"/>
      <c r="AE221" s="2958"/>
      <c r="AF221" s="2879"/>
      <c r="AG221" s="2879"/>
      <c r="AH221" s="2959"/>
      <c r="AI221" s="3233"/>
    </row>
    <row r="222" spans="1:35" ht="22.35" customHeight="1" x14ac:dyDescent="0.2">
      <c r="A222" s="1"/>
      <c r="B222" s="3441">
        <v>8500</v>
      </c>
      <c r="C222" s="162" t="s">
        <v>286</v>
      </c>
      <c r="D222" s="162"/>
      <c r="E222" s="162"/>
      <c r="F222" s="162"/>
      <c r="G222" s="163" t="s">
        <v>286</v>
      </c>
      <c r="H222" s="162"/>
      <c r="I222" s="162"/>
      <c r="J222" s="162"/>
      <c r="K222" s="163" t="s">
        <v>286</v>
      </c>
      <c r="L222" s="162"/>
      <c r="M222" s="162"/>
      <c r="N222" s="162"/>
      <c r="O222" s="163" t="s">
        <v>286</v>
      </c>
      <c r="P222" s="162"/>
      <c r="Q222" s="162"/>
      <c r="R222" s="162"/>
      <c r="S222" s="163" t="s">
        <v>287</v>
      </c>
      <c r="T222" s="162"/>
      <c r="U222" s="162"/>
      <c r="V222" s="162"/>
      <c r="W222" s="3005"/>
      <c r="X222" s="162"/>
      <c r="Y222" s="162"/>
      <c r="Z222" s="120"/>
      <c r="AA222" s="119"/>
      <c r="AB222" s="162"/>
      <c r="AC222" s="162"/>
      <c r="AD222" s="120"/>
      <c r="AE222" s="119"/>
      <c r="AF222" s="162"/>
      <c r="AG222" s="162"/>
      <c r="AH222" s="112"/>
      <c r="AI222" s="118"/>
    </row>
    <row r="223" spans="1:35" ht="22.35" customHeight="1" x14ac:dyDescent="0.2">
      <c r="A223" s="1"/>
      <c r="B223" s="3441">
        <v>8514</v>
      </c>
      <c r="C223" s="165" t="s">
        <v>283</v>
      </c>
      <c r="D223" s="165"/>
      <c r="E223" s="165"/>
      <c r="F223" s="165"/>
      <c r="G223" s="166" t="s">
        <v>283</v>
      </c>
      <c r="H223" s="165"/>
      <c r="I223" s="165"/>
      <c r="J223" s="165"/>
      <c r="K223" s="166" t="s">
        <v>283</v>
      </c>
      <c r="L223" s="165"/>
      <c r="M223" s="165"/>
      <c r="N223" s="165"/>
      <c r="O223" s="166" t="s">
        <v>283</v>
      </c>
      <c r="P223" s="165"/>
      <c r="Q223" s="165"/>
      <c r="R223" s="165"/>
      <c r="S223" s="166" t="s">
        <v>285</v>
      </c>
      <c r="T223" s="165"/>
      <c r="U223" s="165"/>
      <c r="V223" s="165"/>
      <c r="W223" s="3448"/>
      <c r="X223" s="116"/>
      <c r="Y223" s="162"/>
      <c r="Z223" s="164"/>
      <c r="AA223" s="154"/>
      <c r="AB223" s="116"/>
      <c r="AC223" s="162"/>
      <c r="AD223" s="162"/>
      <c r="AE223" s="117"/>
      <c r="AF223" s="162"/>
      <c r="AG223" s="162"/>
      <c r="AH223" s="162"/>
      <c r="AI223" s="118"/>
    </row>
    <row r="224" spans="1:35" ht="22.35" customHeight="1" thickBot="1" x14ac:dyDescent="0.25">
      <c r="A224" s="1"/>
      <c r="B224" s="1149" t="s">
        <v>288</v>
      </c>
      <c r="C224" s="2885" t="s">
        <v>289</v>
      </c>
      <c r="D224" s="2885"/>
      <c r="E224" s="2885"/>
      <c r="F224" s="2885"/>
      <c r="G224" s="3449" t="s">
        <v>289</v>
      </c>
      <c r="H224" s="2885"/>
      <c r="I224" s="2885"/>
      <c r="J224" s="2885"/>
      <c r="K224" s="3008" t="s">
        <v>289</v>
      </c>
      <c r="L224" s="2885"/>
      <c r="M224" s="2885"/>
      <c r="N224" s="2885"/>
      <c r="O224" s="3449" t="s">
        <v>289</v>
      </c>
      <c r="P224" s="2885"/>
      <c r="Q224" s="2885"/>
      <c r="R224" s="2885"/>
      <c r="S224" s="3449" t="s">
        <v>290</v>
      </c>
      <c r="T224" s="2885"/>
      <c r="U224" s="2885"/>
      <c r="V224" s="2885"/>
      <c r="W224" s="3008"/>
      <c r="X224" s="2885"/>
      <c r="Y224" s="2885"/>
      <c r="Z224" s="3082"/>
      <c r="AA224" s="3058"/>
      <c r="AB224" s="2885"/>
      <c r="AC224" s="2885"/>
      <c r="AD224" s="3065"/>
      <c r="AE224" s="3450"/>
      <c r="AF224" s="2885"/>
      <c r="AG224" s="2885"/>
      <c r="AH224" s="3065"/>
      <c r="AI224" s="2888"/>
    </row>
    <row r="225" spans="1:35" ht="22.35" customHeight="1" x14ac:dyDescent="0.2">
      <c r="A225" s="1"/>
      <c r="B225" s="18"/>
      <c r="C225" s="64"/>
      <c r="D225" s="110"/>
      <c r="E225" s="110"/>
      <c r="F225" s="69"/>
      <c r="G225" s="64"/>
      <c r="H225" s="110"/>
      <c r="I225" s="110"/>
      <c r="J225" s="69"/>
      <c r="K225" s="64"/>
      <c r="L225" s="110"/>
      <c r="M225" s="110"/>
      <c r="N225" s="69"/>
      <c r="O225" s="64"/>
      <c r="P225" s="110"/>
      <c r="Q225" s="110"/>
      <c r="R225" s="69"/>
      <c r="S225" s="64"/>
      <c r="T225" s="110"/>
      <c r="U225" s="110"/>
      <c r="V225" s="69"/>
      <c r="W225" s="69"/>
      <c r="Z225" s="69"/>
      <c r="AA225" s="69"/>
      <c r="AD225" s="69"/>
      <c r="AE225" s="69"/>
      <c r="AH225" s="69"/>
    </row>
    <row r="226" spans="1:35" ht="22.35" customHeight="1" x14ac:dyDescent="0.2">
      <c r="A226" s="1" t="s">
        <v>291</v>
      </c>
      <c r="B226" s="18"/>
      <c r="C226" s="64"/>
      <c r="D226" s="110"/>
      <c r="E226" s="110"/>
      <c r="F226" s="69"/>
      <c r="G226" s="64"/>
      <c r="H226" s="110"/>
      <c r="I226" s="110"/>
      <c r="J226" s="69"/>
      <c r="K226" s="64"/>
      <c r="L226" s="110"/>
      <c r="M226" s="110"/>
      <c r="N226" s="69"/>
      <c r="O226" s="64"/>
      <c r="P226" s="110"/>
      <c r="Q226" s="110"/>
      <c r="R226" s="69"/>
      <c r="S226" s="64"/>
      <c r="T226" s="110"/>
      <c r="U226" s="110"/>
      <c r="V226" s="69"/>
      <c r="W226" s="69"/>
      <c r="Z226" s="69"/>
      <c r="AA226" s="69"/>
      <c r="AD226" s="69"/>
      <c r="AE226" s="69"/>
      <c r="AH226" s="69"/>
    </row>
    <row r="227" spans="1:35" ht="22.35" customHeight="1" thickBot="1" x14ac:dyDescent="0.25">
      <c r="A227" s="3035"/>
      <c r="B227" s="2890" t="s">
        <v>29</v>
      </c>
      <c r="C227" s="3242">
        <v>1</v>
      </c>
      <c r="D227" s="3243">
        <v>2</v>
      </c>
      <c r="E227" s="3243">
        <v>3</v>
      </c>
      <c r="F227" s="3243">
        <v>4</v>
      </c>
      <c r="G227" s="3243">
        <v>5</v>
      </c>
      <c r="H227" s="3243">
        <v>6</v>
      </c>
      <c r="I227" s="3242">
        <v>7</v>
      </c>
      <c r="J227" s="3242">
        <v>8</v>
      </c>
      <c r="K227" s="3243">
        <v>9</v>
      </c>
      <c r="L227" s="3243">
        <v>10</v>
      </c>
      <c r="M227" s="3243">
        <v>11</v>
      </c>
      <c r="N227" s="3243">
        <v>12</v>
      </c>
      <c r="O227" s="3243">
        <v>13</v>
      </c>
      <c r="P227" s="3242">
        <v>14</v>
      </c>
      <c r="Q227" s="3242">
        <v>15</v>
      </c>
      <c r="R227" s="3243">
        <v>16</v>
      </c>
      <c r="S227" s="3243">
        <v>17</v>
      </c>
      <c r="T227" s="3243">
        <v>18</v>
      </c>
      <c r="U227" s="3243">
        <v>19</v>
      </c>
      <c r="V227" s="3243">
        <v>20</v>
      </c>
      <c r="W227" s="3242">
        <v>21</v>
      </c>
      <c r="X227" s="3242">
        <v>22</v>
      </c>
      <c r="Y227" s="3243">
        <v>23</v>
      </c>
      <c r="Z227" s="3243">
        <v>24</v>
      </c>
      <c r="AA227" s="3243">
        <v>25</v>
      </c>
      <c r="AB227" s="3243">
        <v>26</v>
      </c>
      <c r="AC227" s="3243">
        <v>27</v>
      </c>
      <c r="AD227" s="3242">
        <v>28</v>
      </c>
      <c r="AE227" s="3242">
        <v>29</v>
      </c>
      <c r="AF227" s="3243">
        <v>30</v>
      </c>
      <c r="AG227" s="3244">
        <v>31</v>
      </c>
      <c r="AH227" s="173"/>
      <c r="AI227" s="174"/>
    </row>
    <row r="228" spans="1:35" ht="22.35" customHeight="1" x14ac:dyDescent="0.2">
      <c r="A228" s="3150"/>
      <c r="B228" s="3151" t="s">
        <v>292</v>
      </c>
      <c r="C228" s="3249"/>
      <c r="D228" s="3249" t="s">
        <v>32</v>
      </c>
      <c r="E228" s="3249" t="s">
        <v>32</v>
      </c>
      <c r="F228" s="3249" t="s">
        <v>32</v>
      </c>
      <c r="G228" s="3249" t="s">
        <v>32</v>
      </c>
      <c r="H228" s="3249" t="s">
        <v>32</v>
      </c>
      <c r="I228" s="3249"/>
      <c r="J228" s="3249"/>
      <c r="K228" s="3249" t="s">
        <v>32</v>
      </c>
      <c r="L228" s="3249" t="s">
        <v>32</v>
      </c>
      <c r="M228" s="3249" t="s">
        <v>32</v>
      </c>
      <c r="N228" s="3299" t="s">
        <v>32</v>
      </c>
      <c r="O228" s="3299" t="s">
        <v>32</v>
      </c>
      <c r="P228" s="3299"/>
      <c r="Q228" s="3252"/>
      <c r="R228" s="3299" t="s">
        <v>32</v>
      </c>
      <c r="S228" s="3299" t="s">
        <v>32</v>
      </c>
      <c r="T228" s="3249" t="s">
        <v>32</v>
      </c>
      <c r="U228" s="3299" t="s">
        <v>32</v>
      </c>
      <c r="V228" s="1152" t="s">
        <v>32</v>
      </c>
      <c r="W228" s="1152"/>
      <c r="X228" s="1152"/>
      <c r="Y228" s="3299" t="s">
        <v>32</v>
      </c>
      <c r="Z228" s="3249" t="s">
        <v>32</v>
      </c>
      <c r="AA228" s="3249" t="s">
        <v>32</v>
      </c>
      <c r="AB228" s="3249" t="s">
        <v>32</v>
      </c>
      <c r="AC228" s="3299" t="s">
        <v>32</v>
      </c>
      <c r="AD228" s="3299"/>
      <c r="AE228" s="3299"/>
      <c r="AF228" s="3299" t="s">
        <v>32</v>
      </c>
      <c r="AG228" s="293" t="s">
        <v>32</v>
      </c>
      <c r="AH228" s="173"/>
      <c r="AI228" s="174"/>
    </row>
    <row r="229" spans="1:35" ht="22.35" customHeight="1" x14ac:dyDescent="0.2">
      <c r="A229" s="1153"/>
      <c r="B229" s="1154" t="s">
        <v>293</v>
      </c>
      <c r="C229" s="3249"/>
      <c r="D229" s="3249"/>
      <c r="E229" s="3249"/>
      <c r="F229" s="3249"/>
      <c r="G229" s="3249"/>
      <c r="H229" s="3249"/>
      <c r="I229" s="3249"/>
      <c r="J229" s="3249"/>
      <c r="K229" s="3249"/>
      <c r="L229" s="3249"/>
      <c r="M229" s="3249"/>
      <c r="N229" s="3299"/>
      <c r="O229" s="3299"/>
      <c r="P229" s="3299"/>
      <c r="Q229" s="3252"/>
      <c r="R229" s="3299"/>
      <c r="S229" s="3249"/>
      <c r="T229" s="3249"/>
      <c r="U229" s="3299"/>
      <c r="V229" s="3299"/>
      <c r="W229" s="3299"/>
      <c r="X229" s="3249"/>
      <c r="Y229" s="3299"/>
      <c r="Z229" s="3249"/>
      <c r="AA229" s="3249"/>
      <c r="AB229" s="3249"/>
      <c r="AC229" s="3249"/>
      <c r="AD229" s="3252"/>
      <c r="AE229" s="3252"/>
      <c r="AF229" s="3252"/>
      <c r="AG229" s="585"/>
      <c r="AH229" s="173"/>
      <c r="AI229" s="174"/>
    </row>
    <row r="230" spans="1:35" ht="22.35" customHeight="1" x14ac:dyDescent="0.2">
      <c r="A230" s="1155">
        <v>8514</v>
      </c>
      <c r="B230" s="1156" t="s">
        <v>294</v>
      </c>
      <c r="C230" s="3249"/>
      <c r="D230" s="859" t="s">
        <v>32</v>
      </c>
      <c r="E230" s="3249" t="s">
        <v>32</v>
      </c>
      <c r="F230" s="3249" t="s">
        <v>32</v>
      </c>
      <c r="G230" s="3249" t="s">
        <v>32</v>
      </c>
      <c r="H230" s="3249" t="s">
        <v>32</v>
      </c>
      <c r="I230" s="3249"/>
      <c r="J230" s="3249"/>
      <c r="K230" s="3249" t="s">
        <v>32</v>
      </c>
      <c r="L230" s="3249" t="s">
        <v>32</v>
      </c>
      <c r="M230" s="3249" t="s">
        <v>32</v>
      </c>
      <c r="N230" s="3299" t="s">
        <v>32</v>
      </c>
      <c r="O230" s="3299" t="s">
        <v>32</v>
      </c>
      <c r="P230" s="3299"/>
      <c r="Q230" s="3252"/>
      <c r="R230" s="3299" t="s">
        <v>32</v>
      </c>
      <c r="S230" s="3249" t="s">
        <v>32</v>
      </c>
      <c r="T230" s="3249" t="s">
        <v>32</v>
      </c>
      <c r="U230" s="3299" t="s">
        <v>32</v>
      </c>
      <c r="V230" s="3299" t="s">
        <v>32</v>
      </c>
      <c r="W230" s="3299"/>
      <c r="X230" s="3299"/>
      <c r="Y230" s="3299" t="s">
        <v>32</v>
      </c>
      <c r="Z230" s="3249" t="s">
        <v>32</v>
      </c>
      <c r="AA230" s="3249" t="s">
        <v>32</v>
      </c>
      <c r="AB230" s="3249" t="s">
        <v>32</v>
      </c>
      <c r="AC230" s="3249" t="s">
        <v>32</v>
      </c>
      <c r="AD230" s="3252"/>
      <c r="AE230" s="3252"/>
      <c r="AF230" s="3252" t="s">
        <v>32</v>
      </c>
      <c r="AG230" s="585" t="s">
        <v>32</v>
      </c>
      <c r="AH230" s="178"/>
      <c r="AI230" s="179"/>
    </row>
    <row r="231" spans="1:35" ht="21" customHeight="1" x14ac:dyDescent="0.2">
      <c r="A231" s="1155">
        <v>3701</v>
      </c>
      <c r="B231" s="1157" t="s">
        <v>295</v>
      </c>
      <c r="C231" s="3249"/>
      <c r="D231" s="3249"/>
      <c r="E231" s="3249"/>
      <c r="F231" s="3249"/>
      <c r="G231" s="3249"/>
      <c r="H231" s="3249"/>
      <c r="I231" s="3249"/>
      <c r="J231" s="3249"/>
      <c r="K231" s="3249"/>
      <c r="L231" s="3249"/>
      <c r="M231" s="3249"/>
      <c r="N231" s="3299"/>
      <c r="O231" s="3299"/>
      <c r="P231" s="3299"/>
      <c r="Q231" s="3252"/>
      <c r="R231" s="3299"/>
      <c r="S231" s="3249"/>
      <c r="T231" s="3249"/>
      <c r="U231" s="3299"/>
      <c r="V231" s="3299"/>
      <c r="W231" s="3299"/>
      <c r="X231" s="3249"/>
      <c r="Y231" s="3299"/>
      <c r="Z231" s="3249"/>
      <c r="AA231" s="3249"/>
      <c r="AB231" s="3249"/>
      <c r="AC231" s="3249"/>
      <c r="AD231" s="3299"/>
      <c r="AE231" s="3299"/>
      <c r="AF231" s="3299"/>
      <c r="AG231" s="585"/>
      <c r="AH231" s="178"/>
      <c r="AI231" s="179"/>
    </row>
    <row r="232" spans="1:35" ht="21" customHeight="1" x14ac:dyDescent="0.2">
      <c r="A232" s="1155">
        <v>3701</v>
      </c>
      <c r="B232" s="933" t="s">
        <v>296</v>
      </c>
      <c r="C232" s="3249"/>
      <c r="D232" s="3297" t="s">
        <v>32</v>
      </c>
      <c r="E232" s="3297" t="s">
        <v>32</v>
      </c>
      <c r="F232" s="3249" t="s">
        <v>32</v>
      </c>
      <c r="G232" s="3249" t="s">
        <v>32</v>
      </c>
      <c r="H232" s="3249" t="s">
        <v>32</v>
      </c>
      <c r="I232" s="3249"/>
      <c r="J232" s="3249"/>
      <c r="K232" s="3249" t="s">
        <v>32</v>
      </c>
      <c r="L232" s="3249" t="s">
        <v>32</v>
      </c>
      <c r="M232" s="3249" t="s">
        <v>32</v>
      </c>
      <c r="N232" s="3299" t="s">
        <v>32</v>
      </c>
      <c r="O232" s="3299" t="s">
        <v>32</v>
      </c>
      <c r="P232" s="3299"/>
      <c r="Q232" s="3252"/>
      <c r="R232" s="3299" t="s">
        <v>32</v>
      </c>
      <c r="S232" s="3249" t="s">
        <v>32</v>
      </c>
      <c r="T232" s="3249" t="s">
        <v>32</v>
      </c>
      <c r="U232" s="3299" t="s">
        <v>32</v>
      </c>
      <c r="V232" s="3299" t="s">
        <v>32</v>
      </c>
      <c r="W232" s="3299"/>
      <c r="X232" s="3299"/>
      <c r="Y232" s="3299" t="s">
        <v>32</v>
      </c>
      <c r="Z232" s="3249" t="s">
        <v>32</v>
      </c>
      <c r="AA232" s="3249" t="s">
        <v>32</v>
      </c>
      <c r="AB232" s="3297" t="s">
        <v>32</v>
      </c>
      <c r="AC232" s="3249" t="s">
        <v>32</v>
      </c>
      <c r="AD232" s="3299"/>
      <c r="AE232" s="3299"/>
      <c r="AF232" s="3299" t="s">
        <v>32</v>
      </c>
      <c r="AG232" s="585" t="s">
        <v>32</v>
      </c>
      <c r="AH232" s="178"/>
      <c r="AI232" s="179"/>
    </row>
    <row r="233" spans="1:35" ht="21" customHeight="1" x14ac:dyDescent="0.2">
      <c r="A233" s="1155">
        <v>3701</v>
      </c>
      <c r="B233" s="933" t="s">
        <v>297</v>
      </c>
      <c r="C233" s="3249"/>
      <c r="D233" s="3249" t="s">
        <v>32</v>
      </c>
      <c r="E233" s="3249" t="s">
        <v>32</v>
      </c>
      <c r="F233" s="3249" t="s">
        <v>32</v>
      </c>
      <c r="G233" s="3249" t="s">
        <v>32</v>
      </c>
      <c r="H233" s="3249" t="s">
        <v>32</v>
      </c>
      <c r="I233" s="3249"/>
      <c r="J233" s="3249"/>
      <c r="K233" s="3249" t="s">
        <v>32</v>
      </c>
      <c r="L233" s="3249" t="s">
        <v>32</v>
      </c>
      <c r="M233" s="3249" t="s">
        <v>32</v>
      </c>
      <c r="N233" s="3299" t="s">
        <v>32</v>
      </c>
      <c r="O233" s="3299" t="s">
        <v>32</v>
      </c>
      <c r="P233" s="3299"/>
      <c r="Q233" s="3252"/>
      <c r="R233" s="3299" t="s">
        <v>32</v>
      </c>
      <c r="S233" s="3249" t="s">
        <v>32</v>
      </c>
      <c r="T233" s="3249" t="s">
        <v>32</v>
      </c>
      <c r="U233" s="3299" t="s">
        <v>32</v>
      </c>
      <c r="V233" s="3299" t="s">
        <v>32</v>
      </c>
      <c r="W233" s="3299"/>
      <c r="X233" s="3249"/>
      <c r="Y233" s="3305" t="s">
        <v>32</v>
      </c>
      <c r="Z233" s="3249" t="s">
        <v>32</v>
      </c>
      <c r="AA233" s="3249" t="s">
        <v>32</v>
      </c>
      <c r="AB233" s="3249" t="s">
        <v>32</v>
      </c>
      <c r="AC233" s="3249" t="s">
        <v>32</v>
      </c>
      <c r="AD233" s="3305"/>
      <c r="AE233" s="3252"/>
      <c r="AF233" s="3252" t="s">
        <v>32</v>
      </c>
      <c r="AG233" s="585" t="s">
        <v>32</v>
      </c>
      <c r="AH233" s="178"/>
      <c r="AI233" s="179"/>
    </row>
    <row r="234" spans="1:35" ht="21" customHeight="1" x14ac:dyDescent="0.2">
      <c r="A234" s="1155">
        <v>3701</v>
      </c>
      <c r="B234" s="933" t="s">
        <v>298</v>
      </c>
      <c r="C234" s="3249"/>
      <c r="D234" s="3249" t="s">
        <v>32</v>
      </c>
      <c r="E234" s="3249" t="s">
        <v>32</v>
      </c>
      <c r="F234" s="3249" t="s">
        <v>32</v>
      </c>
      <c r="G234" s="3249" t="s">
        <v>32</v>
      </c>
      <c r="H234" s="3249" t="s">
        <v>32</v>
      </c>
      <c r="I234" s="3249"/>
      <c r="J234" s="3249"/>
      <c r="K234" s="3249" t="s">
        <v>32</v>
      </c>
      <c r="L234" s="3249" t="s">
        <v>32</v>
      </c>
      <c r="M234" s="3249" t="s">
        <v>32</v>
      </c>
      <c r="N234" s="3297" t="s">
        <v>32</v>
      </c>
      <c r="O234" s="3299" t="s">
        <v>32</v>
      </c>
      <c r="P234" s="3299"/>
      <c r="Q234" s="3252"/>
      <c r="R234" s="3299" t="s">
        <v>32</v>
      </c>
      <c r="S234" s="3249" t="s">
        <v>32</v>
      </c>
      <c r="T234" s="3249" t="s">
        <v>32</v>
      </c>
      <c r="U234" s="3299" t="s">
        <v>32</v>
      </c>
      <c r="V234" s="3299" t="s">
        <v>32</v>
      </c>
      <c r="W234" s="3299"/>
      <c r="X234" s="3249"/>
      <c r="Y234" s="3305" t="s">
        <v>32</v>
      </c>
      <c r="Z234" s="3297" t="s">
        <v>32</v>
      </c>
      <c r="AA234" s="3249" t="s">
        <v>32</v>
      </c>
      <c r="AB234" s="3249" t="s">
        <v>32</v>
      </c>
      <c r="AC234" s="3249" t="s">
        <v>32</v>
      </c>
      <c r="AD234" s="3305"/>
      <c r="AE234" s="3252"/>
      <c r="AF234" s="3252" t="s">
        <v>32</v>
      </c>
      <c r="AG234" s="585" t="s">
        <v>32</v>
      </c>
      <c r="AH234" s="178"/>
      <c r="AI234" s="179"/>
    </row>
    <row r="235" spans="1:35" ht="22.35" customHeight="1" x14ac:dyDescent="0.2">
      <c r="A235" s="1155">
        <v>3701</v>
      </c>
      <c r="B235" s="1157" t="s">
        <v>299</v>
      </c>
      <c r="C235" s="3249"/>
      <c r="D235" s="3249"/>
      <c r="E235" s="3249"/>
      <c r="F235" s="3249"/>
      <c r="G235" s="3249"/>
      <c r="H235" s="3299"/>
      <c r="I235" s="3299"/>
      <c r="J235" s="3249"/>
      <c r="K235" s="3249"/>
      <c r="L235" s="3249"/>
      <c r="M235" s="3249"/>
      <c r="N235" s="3299"/>
      <c r="O235" s="3299"/>
      <c r="P235" s="3299"/>
      <c r="Q235" s="3252"/>
      <c r="R235" s="3299"/>
      <c r="S235" s="3249"/>
      <c r="T235" s="3249"/>
      <c r="U235" s="3299"/>
      <c r="V235" s="3299"/>
      <c r="W235" s="3299"/>
      <c r="X235" s="3249"/>
      <c r="Y235" s="3299"/>
      <c r="Z235" s="3249"/>
      <c r="AA235" s="3249"/>
      <c r="AB235" s="3249"/>
      <c r="AC235" s="3249"/>
      <c r="AD235" s="3299"/>
      <c r="AE235" s="3299"/>
      <c r="AF235" s="3299"/>
      <c r="AG235" s="585"/>
      <c r="AH235" s="178"/>
      <c r="AI235" s="179"/>
    </row>
    <row r="236" spans="1:35" ht="22.35" customHeight="1" x14ac:dyDescent="0.2">
      <c r="A236" s="1155">
        <v>3701</v>
      </c>
      <c r="B236" s="933" t="s">
        <v>300</v>
      </c>
      <c r="C236" s="3249"/>
      <c r="D236" s="3249" t="s">
        <v>32</v>
      </c>
      <c r="E236" s="3249" t="s">
        <v>32</v>
      </c>
      <c r="F236" s="3249" t="s">
        <v>32</v>
      </c>
      <c r="G236" s="3249" t="s">
        <v>32</v>
      </c>
      <c r="H236" s="3249" t="s">
        <v>32</v>
      </c>
      <c r="I236" s="3249"/>
      <c r="J236" s="3249"/>
      <c r="K236" s="3249" t="s">
        <v>32</v>
      </c>
      <c r="L236" s="3249" t="s">
        <v>32</v>
      </c>
      <c r="M236" s="3249" t="s">
        <v>32</v>
      </c>
      <c r="N236" s="3299" t="s">
        <v>32</v>
      </c>
      <c r="O236" s="3299" t="s">
        <v>32</v>
      </c>
      <c r="P236" s="3299"/>
      <c r="Q236" s="3252"/>
      <c r="R236" s="3299" t="s">
        <v>32</v>
      </c>
      <c r="S236" s="3249" t="s">
        <v>32</v>
      </c>
      <c r="T236" s="3249" t="s">
        <v>32</v>
      </c>
      <c r="U236" s="3299" t="s">
        <v>32</v>
      </c>
      <c r="V236" s="3299" t="s">
        <v>32</v>
      </c>
      <c r="W236" s="3299"/>
      <c r="X236" s="3249"/>
      <c r="Y236" s="3299" t="s">
        <v>32</v>
      </c>
      <c r="Z236" s="3249" t="s">
        <v>32</v>
      </c>
      <c r="AA236" s="3249" t="s">
        <v>32</v>
      </c>
      <c r="AB236" s="3249" t="s">
        <v>32</v>
      </c>
      <c r="AC236" s="3249" t="s">
        <v>32</v>
      </c>
      <c r="AD236" s="3299"/>
      <c r="AE236" s="3299"/>
      <c r="AF236" s="3299" t="s">
        <v>32</v>
      </c>
      <c r="AG236" s="585" t="s">
        <v>32</v>
      </c>
      <c r="AH236" s="178"/>
      <c r="AI236" s="179"/>
    </row>
    <row r="237" spans="1:35" ht="22.35" customHeight="1" x14ac:dyDescent="0.2">
      <c r="A237" s="1155">
        <v>3701</v>
      </c>
      <c r="B237" s="933" t="s">
        <v>301</v>
      </c>
      <c r="C237" s="3249"/>
      <c r="D237" s="3249" t="s">
        <v>32</v>
      </c>
      <c r="E237" s="3249" t="s">
        <v>32</v>
      </c>
      <c r="F237" s="3249" t="s">
        <v>32</v>
      </c>
      <c r="G237" s="3249" t="s">
        <v>32</v>
      </c>
      <c r="H237" s="3252" t="s">
        <v>32</v>
      </c>
      <c r="I237" s="3249"/>
      <c r="J237" s="3249"/>
      <c r="K237" s="3249" t="s">
        <v>32</v>
      </c>
      <c r="L237" s="3249" t="s">
        <v>32</v>
      </c>
      <c r="M237" s="3249" t="s">
        <v>32</v>
      </c>
      <c r="N237" s="3297" t="s">
        <v>32</v>
      </c>
      <c r="O237" s="3299" t="s">
        <v>32</v>
      </c>
      <c r="P237" s="3299"/>
      <c r="Q237" s="3252"/>
      <c r="R237" s="3299" t="s">
        <v>32</v>
      </c>
      <c r="S237" s="1159" t="s">
        <v>32</v>
      </c>
      <c r="T237" s="3249" t="s">
        <v>32</v>
      </c>
      <c r="U237" s="3299" t="s">
        <v>32</v>
      </c>
      <c r="V237" s="3299" t="s">
        <v>32</v>
      </c>
      <c r="W237" s="3299"/>
      <c r="X237" s="3299"/>
      <c r="Y237" s="3299" t="s">
        <v>32</v>
      </c>
      <c r="Z237" s="3249" t="s">
        <v>32</v>
      </c>
      <c r="AA237" s="3249" t="s">
        <v>32</v>
      </c>
      <c r="AB237" s="3249" t="s">
        <v>32</v>
      </c>
      <c r="AC237" s="1159" t="s">
        <v>32</v>
      </c>
      <c r="AD237" s="1159"/>
      <c r="AE237" s="1159"/>
      <c r="AF237" s="1159" t="s">
        <v>32</v>
      </c>
      <c r="AG237" s="585" t="s">
        <v>32</v>
      </c>
      <c r="AH237" s="178"/>
      <c r="AI237" s="179"/>
    </row>
    <row r="238" spans="1:35" ht="22.35" customHeight="1" x14ac:dyDescent="0.2">
      <c r="A238" s="1160">
        <v>3701</v>
      </c>
      <c r="B238" s="933" t="s">
        <v>302</v>
      </c>
      <c r="C238" s="3249"/>
      <c r="D238" s="3297" t="s">
        <v>32</v>
      </c>
      <c r="E238" s="3297" t="s">
        <v>32</v>
      </c>
      <c r="F238" s="3297" t="s">
        <v>32</v>
      </c>
      <c r="G238" s="3249" t="s">
        <v>32</v>
      </c>
      <c r="H238" s="3249" t="s">
        <v>32</v>
      </c>
      <c r="I238" s="3249"/>
      <c r="J238" s="3249"/>
      <c r="K238" s="3249" t="s">
        <v>32</v>
      </c>
      <c r="L238" s="3249" t="s">
        <v>32</v>
      </c>
      <c r="M238" s="3249" t="s">
        <v>32</v>
      </c>
      <c r="N238" s="3299" t="s">
        <v>32</v>
      </c>
      <c r="O238" s="3299" t="s">
        <v>32</v>
      </c>
      <c r="P238" s="3299"/>
      <c r="Q238" s="3252"/>
      <c r="R238" s="3299" t="s">
        <v>32</v>
      </c>
      <c r="S238" s="3249" t="s">
        <v>32</v>
      </c>
      <c r="T238" s="3249" t="s">
        <v>32</v>
      </c>
      <c r="U238" s="3299" t="s">
        <v>32</v>
      </c>
      <c r="V238" s="3299" t="s">
        <v>32</v>
      </c>
      <c r="W238" s="3299"/>
      <c r="X238" s="3249"/>
      <c r="Y238" s="3299" t="s">
        <v>32</v>
      </c>
      <c r="Z238" s="3249" t="s">
        <v>32</v>
      </c>
      <c r="AA238" s="3249" t="s">
        <v>32</v>
      </c>
      <c r="AB238" s="3249" t="s">
        <v>32</v>
      </c>
      <c r="AC238" s="3249" t="s">
        <v>32</v>
      </c>
      <c r="AD238" s="3299"/>
      <c r="AE238" s="3299"/>
      <c r="AF238" s="3299" t="s">
        <v>32</v>
      </c>
      <c r="AG238" s="585" t="s">
        <v>32</v>
      </c>
      <c r="AH238" s="178"/>
      <c r="AI238" s="179"/>
    </row>
    <row r="239" spans="1:35" ht="22.35" customHeight="1" x14ac:dyDescent="0.2">
      <c r="A239" s="1155">
        <v>3701</v>
      </c>
      <c r="B239" s="933"/>
      <c r="C239" s="3249"/>
      <c r="D239" s="3249" t="s">
        <v>32</v>
      </c>
      <c r="E239" s="3249" t="s">
        <v>32</v>
      </c>
      <c r="F239" s="3249" t="s">
        <v>32</v>
      </c>
      <c r="G239" s="3249" t="s">
        <v>32</v>
      </c>
      <c r="H239" s="3249" t="s">
        <v>32</v>
      </c>
      <c r="I239" s="3249"/>
      <c r="J239" s="3249"/>
      <c r="K239" s="3249" t="s">
        <v>32</v>
      </c>
      <c r="L239" s="3249" t="s">
        <v>32</v>
      </c>
      <c r="M239" s="3249" t="s">
        <v>32</v>
      </c>
      <c r="N239" s="3299" t="s">
        <v>32</v>
      </c>
      <c r="O239" s="3299" t="s">
        <v>32</v>
      </c>
      <c r="P239" s="3299"/>
      <c r="Q239" s="3252"/>
      <c r="R239" s="3299" t="s">
        <v>32</v>
      </c>
      <c r="S239" s="3249" t="s">
        <v>32</v>
      </c>
      <c r="T239" s="3249" t="s">
        <v>32</v>
      </c>
      <c r="U239" s="3299" t="s">
        <v>32</v>
      </c>
      <c r="V239" s="3299" t="s">
        <v>32</v>
      </c>
      <c r="W239" s="3299"/>
      <c r="X239" s="3249"/>
      <c r="Y239" s="3299" t="s">
        <v>32</v>
      </c>
      <c r="Z239" s="3249" t="s">
        <v>32</v>
      </c>
      <c r="AA239" s="3249" t="s">
        <v>32</v>
      </c>
      <c r="AB239" s="3249" t="s">
        <v>32</v>
      </c>
      <c r="AC239" s="3249" t="s">
        <v>32</v>
      </c>
      <c r="AD239" s="3299"/>
      <c r="AE239" s="3299"/>
      <c r="AF239" s="3299" t="s">
        <v>32</v>
      </c>
      <c r="AG239" s="586" t="s">
        <v>32</v>
      </c>
      <c r="AH239" s="178"/>
      <c r="AI239" s="179"/>
    </row>
    <row r="240" spans="1:35" ht="22.35" customHeight="1" x14ac:dyDescent="0.2">
      <c r="A240" s="1155">
        <v>3701</v>
      </c>
      <c r="B240" s="933" t="s">
        <v>304</v>
      </c>
      <c r="C240" s="3249"/>
      <c r="D240" s="3249" t="s">
        <v>32</v>
      </c>
      <c r="E240" s="3249" t="s">
        <v>32</v>
      </c>
      <c r="F240" s="3249" t="s">
        <v>32</v>
      </c>
      <c r="G240" s="857" t="s">
        <v>32</v>
      </c>
      <c r="H240" s="3249" t="s">
        <v>32</v>
      </c>
      <c r="I240" s="3249"/>
      <c r="J240" s="3249"/>
      <c r="K240" s="3249" t="s">
        <v>32</v>
      </c>
      <c r="L240" s="3249" t="s">
        <v>32</v>
      </c>
      <c r="M240" s="3249" t="s">
        <v>32</v>
      </c>
      <c r="N240" s="3299" t="s">
        <v>32</v>
      </c>
      <c r="O240" s="3299" t="s">
        <v>32</v>
      </c>
      <c r="P240" s="3299"/>
      <c r="Q240" s="3252"/>
      <c r="R240" s="3299" t="s">
        <v>32</v>
      </c>
      <c r="S240" s="3249" t="s">
        <v>32</v>
      </c>
      <c r="T240" s="3249" t="s">
        <v>32</v>
      </c>
      <c r="U240" s="3299" t="s">
        <v>32</v>
      </c>
      <c r="V240" s="3451" t="s">
        <v>32</v>
      </c>
      <c r="W240" s="3299"/>
      <c r="X240" s="3249"/>
      <c r="Y240" s="3299" t="s">
        <v>32</v>
      </c>
      <c r="Z240" s="3249" t="s">
        <v>32</v>
      </c>
      <c r="AA240" s="3249" t="s">
        <v>32</v>
      </c>
      <c r="AB240" s="964" t="s">
        <v>32</v>
      </c>
      <c r="AC240" s="964" t="s">
        <v>51</v>
      </c>
      <c r="AD240" s="3299"/>
      <c r="AE240" s="3299"/>
      <c r="AF240" s="3299" t="s">
        <v>32</v>
      </c>
      <c r="AG240" s="587" t="s">
        <v>32</v>
      </c>
      <c r="AH240" s="178"/>
      <c r="AI240" s="179"/>
    </row>
    <row r="241" spans="1:35" ht="22.35" customHeight="1" x14ac:dyDescent="0.2">
      <c r="A241" s="1155"/>
      <c r="B241" s="933"/>
      <c r="C241" s="3249"/>
      <c r="D241" s="3249" t="s">
        <v>32</v>
      </c>
      <c r="E241" s="3249" t="s">
        <v>32</v>
      </c>
      <c r="F241" s="3249" t="s">
        <v>32</v>
      </c>
      <c r="G241" s="3249" t="s">
        <v>32</v>
      </c>
      <c r="H241" s="3249" t="s">
        <v>32</v>
      </c>
      <c r="I241" s="3249"/>
      <c r="J241" s="3249"/>
      <c r="K241" s="3249" t="s">
        <v>32</v>
      </c>
      <c r="L241" s="3249" t="s">
        <v>32</v>
      </c>
      <c r="M241" s="3249" t="s">
        <v>32</v>
      </c>
      <c r="N241" s="3299" t="s">
        <v>32</v>
      </c>
      <c r="O241" s="3299" t="s">
        <v>32</v>
      </c>
      <c r="P241" s="3299"/>
      <c r="Q241" s="3252"/>
      <c r="R241" s="3299" t="s">
        <v>32</v>
      </c>
      <c r="S241" s="3249" t="s">
        <v>32</v>
      </c>
      <c r="T241" s="3249" t="s">
        <v>32</v>
      </c>
      <c r="U241" s="3299" t="s">
        <v>32</v>
      </c>
      <c r="V241" s="3299" t="s">
        <v>32</v>
      </c>
      <c r="W241" s="3299"/>
      <c r="X241" s="3299"/>
      <c r="Y241" s="3299" t="s">
        <v>32</v>
      </c>
      <c r="Z241" s="3249" t="s">
        <v>32</v>
      </c>
      <c r="AA241" s="3249" t="s">
        <v>32</v>
      </c>
      <c r="AB241" s="3249" t="s">
        <v>32</v>
      </c>
      <c r="AC241" s="3299" t="s">
        <v>32</v>
      </c>
      <c r="AD241" s="3299"/>
      <c r="AE241" s="3299"/>
      <c r="AF241" s="3299" t="s">
        <v>32</v>
      </c>
      <c r="AG241" s="585" t="s">
        <v>32</v>
      </c>
      <c r="AH241" s="178"/>
      <c r="AI241" s="179"/>
    </row>
    <row r="242" spans="1:35" ht="22.35" customHeight="1" x14ac:dyDescent="0.2">
      <c r="A242" s="1155"/>
      <c r="B242" s="933" t="s">
        <v>306</v>
      </c>
      <c r="C242" s="3249"/>
      <c r="D242" s="859" t="s">
        <v>32</v>
      </c>
      <c r="E242" s="3249" t="s">
        <v>32</v>
      </c>
      <c r="F242" s="3249" t="s">
        <v>32</v>
      </c>
      <c r="G242" s="3249" t="s">
        <v>32</v>
      </c>
      <c r="H242" s="3249" t="s">
        <v>32</v>
      </c>
      <c r="I242" s="3249"/>
      <c r="J242" s="3249"/>
      <c r="K242" s="3249" t="s">
        <v>32</v>
      </c>
      <c r="L242" s="3249" t="s">
        <v>32</v>
      </c>
      <c r="M242" s="964" t="s">
        <v>32</v>
      </c>
      <c r="N242" s="964" t="s">
        <v>32</v>
      </c>
      <c r="O242" s="964" t="s">
        <v>51</v>
      </c>
      <c r="P242" s="3293"/>
      <c r="Q242" s="3293" t="s">
        <v>101</v>
      </c>
      <c r="R242" s="3299" t="s">
        <v>32</v>
      </c>
      <c r="S242" s="3249" t="s">
        <v>32</v>
      </c>
      <c r="T242" s="3249" t="s">
        <v>32</v>
      </c>
      <c r="U242" s="3299" t="s">
        <v>32</v>
      </c>
      <c r="V242" s="3299" t="s">
        <v>32</v>
      </c>
      <c r="W242" s="3299"/>
      <c r="X242" s="3299"/>
      <c r="Y242" s="3299" t="s">
        <v>32</v>
      </c>
      <c r="Z242" s="3249" t="s">
        <v>32</v>
      </c>
      <c r="AA242" s="3249" t="s">
        <v>32</v>
      </c>
      <c r="AB242" s="3249" t="s">
        <v>32</v>
      </c>
      <c r="AC242" s="3299" t="s">
        <v>32</v>
      </c>
      <c r="AD242" s="3299"/>
      <c r="AE242" s="3299"/>
      <c r="AF242" s="3299" t="s">
        <v>32</v>
      </c>
      <c r="AG242" s="585" t="s">
        <v>32</v>
      </c>
      <c r="AH242" s="178"/>
      <c r="AI242" s="179"/>
    </row>
    <row r="243" spans="1:35" ht="22.35" customHeight="1" x14ac:dyDescent="0.2">
      <c r="A243" s="1155"/>
      <c r="B243" s="1157" t="s">
        <v>307</v>
      </c>
      <c r="C243" s="3249"/>
      <c r="D243" s="3249"/>
      <c r="E243" s="3249"/>
      <c r="F243" s="3249"/>
      <c r="G243" s="3249"/>
      <c r="H243" s="3249"/>
      <c r="I243" s="3249"/>
      <c r="J243" s="3249"/>
      <c r="K243" s="3249"/>
      <c r="L243" s="3249"/>
      <c r="M243" s="3249"/>
      <c r="N243" s="3299"/>
      <c r="O243" s="3299"/>
      <c r="P243" s="3299"/>
      <c r="Q243" s="3252"/>
      <c r="R243" s="3299"/>
      <c r="S243" s="3249"/>
      <c r="T243" s="3249"/>
      <c r="U243" s="3299"/>
      <c r="V243" s="3299"/>
      <c r="W243" s="3299"/>
      <c r="X243" s="3249"/>
      <c r="Y243" s="3299"/>
      <c r="Z243" s="3249"/>
      <c r="AA243" s="3249"/>
      <c r="AB243" s="3249"/>
      <c r="AC243" s="3249"/>
      <c r="AD243" s="3249"/>
      <c r="AE243" s="3249"/>
      <c r="AF243" s="3249"/>
      <c r="AG243" s="585"/>
      <c r="AH243" s="178"/>
      <c r="AI243" s="179"/>
    </row>
    <row r="244" spans="1:35" ht="22.35" customHeight="1" x14ac:dyDescent="0.2">
      <c r="A244" s="1155"/>
      <c r="B244" s="933" t="s">
        <v>308</v>
      </c>
      <c r="C244" s="3249"/>
      <c r="D244" s="859" t="s">
        <v>32</v>
      </c>
      <c r="E244" s="859" t="s">
        <v>32</v>
      </c>
      <c r="F244" s="859" t="s">
        <v>32</v>
      </c>
      <c r="G244" s="859" t="s">
        <v>32</v>
      </c>
      <c r="H244" s="859" t="s">
        <v>32</v>
      </c>
      <c r="I244" s="3249"/>
      <c r="J244" s="3249"/>
      <c r="K244" s="3249" t="s">
        <v>32</v>
      </c>
      <c r="L244" s="3249" t="s">
        <v>32</v>
      </c>
      <c r="M244" s="3249" t="s">
        <v>32</v>
      </c>
      <c r="N244" s="3299" t="s">
        <v>32</v>
      </c>
      <c r="O244" s="3299" t="s">
        <v>32</v>
      </c>
      <c r="P244" s="3299"/>
      <c r="Q244" s="3252"/>
      <c r="R244" s="3299" t="s">
        <v>32</v>
      </c>
      <c r="S244" s="3249" t="s">
        <v>32</v>
      </c>
      <c r="T244" s="3249" t="s">
        <v>32</v>
      </c>
      <c r="U244" s="1364" t="s">
        <v>32</v>
      </c>
      <c r="V244" s="1364" t="s">
        <v>32</v>
      </c>
      <c r="W244" s="3299"/>
      <c r="X244" s="3249"/>
      <c r="Y244" s="3299" t="s">
        <v>32</v>
      </c>
      <c r="Z244" s="3249" t="s">
        <v>32</v>
      </c>
      <c r="AA244" s="3249" t="s">
        <v>32</v>
      </c>
      <c r="AB244" s="3249" t="s">
        <v>32</v>
      </c>
      <c r="AC244" s="3249" t="s">
        <v>32</v>
      </c>
      <c r="AD244" s="3249"/>
      <c r="AE244" s="3249"/>
      <c r="AF244" s="3249" t="s">
        <v>32</v>
      </c>
      <c r="AG244" s="3452" t="s">
        <v>32</v>
      </c>
      <c r="AH244" s="178"/>
      <c r="AI244" s="179"/>
    </row>
    <row r="245" spans="1:35" ht="22.35" customHeight="1" x14ac:dyDescent="0.2">
      <c r="A245" s="1155"/>
      <c r="B245" s="933" t="s">
        <v>309</v>
      </c>
      <c r="C245" s="3249"/>
      <c r="D245" s="3249" t="s">
        <v>32</v>
      </c>
      <c r="E245" s="3249" t="s">
        <v>32</v>
      </c>
      <c r="F245" s="3249" t="s">
        <v>32</v>
      </c>
      <c r="G245" s="3249" t="s">
        <v>32</v>
      </c>
      <c r="H245" s="3249" t="s">
        <v>32</v>
      </c>
      <c r="I245" s="3249"/>
      <c r="J245" s="3249"/>
      <c r="K245" s="3249" t="s">
        <v>32</v>
      </c>
      <c r="L245" s="3249" t="s">
        <v>32</v>
      </c>
      <c r="M245" s="3249" t="s">
        <v>32</v>
      </c>
      <c r="N245" s="3299" t="s">
        <v>32</v>
      </c>
      <c r="O245" s="3299" t="s">
        <v>32</v>
      </c>
      <c r="P245" s="3299"/>
      <c r="Q245" s="3252"/>
      <c r="R245" s="3299" t="s">
        <v>32</v>
      </c>
      <c r="S245" s="3249" t="s">
        <v>32</v>
      </c>
      <c r="T245" s="3249" t="s">
        <v>32</v>
      </c>
      <c r="U245" s="3299" t="s">
        <v>32</v>
      </c>
      <c r="V245" s="3299" t="s">
        <v>32</v>
      </c>
      <c r="W245" s="3299"/>
      <c r="X245" s="3249"/>
      <c r="Y245" s="3299" t="s">
        <v>32</v>
      </c>
      <c r="Z245" s="3249" t="s">
        <v>32</v>
      </c>
      <c r="AA245" s="3249" t="s">
        <v>32</v>
      </c>
      <c r="AB245" s="3249" t="s">
        <v>32</v>
      </c>
      <c r="AC245" s="3249" t="s">
        <v>32</v>
      </c>
      <c r="AD245" s="3249"/>
      <c r="AE245" s="3249"/>
      <c r="AF245" s="3299" t="s">
        <v>32</v>
      </c>
      <c r="AG245" s="586" t="s">
        <v>32</v>
      </c>
      <c r="AH245" s="178"/>
      <c r="AI245" s="179"/>
    </row>
    <row r="246" spans="1:35" ht="22.35" customHeight="1" x14ac:dyDescent="0.2">
      <c r="A246" s="1155"/>
      <c r="B246" s="933"/>
      <c r="C246" s="3249"/>
      <c r="D246" s="3249" t="s">
        <v>32</v>
      </c>
      <c r="E246" s="3249" t="s">
        <v>32</v>
      </c>
      <c r="F246" s="3249" t="s">
        <v>32</v>
      </c>
      <c r="G246" s="3249" t="s">
        <v>32</v>
      </c>
      <c r="H246" s="3249" t="s">
        <v>32</v>
      </c>
      <c r="I246" s="3249"/>
      <c r="J246" s="3249"/>
      <c r="K246" s="3249" t="s">
        <v>32</v>
      </c>
      <c r="L246" s="3249" t="s">
        <v>32</v>
      </c>
      <c r="M246" s="3249" t="s">
        <v>32</v>
      </c>
      <c r="N246" s="3299" t="s">
        <v>32</v>
      </c>
      <c r="O246" s="3299" t="s">
        <v>32</v>
      </c>
      <c r="P246" s="3299"/>
      <c r="Q246" s="3252"/>
      <c r="R246" s="3299" t="s">
        <v>32</v>
      </c>
      <c r="S246" s="3249" t="s">
        <v>32</v>
      </c>
      <c r="T246" s="3249" t="s">
        <v>32</v>
      </c>
      <c r="U246" s="3299" t="s">
        <v>32</v>
      </c>
      <c r="V246" s="3299" t="s">
        <v>32</v>
      </c>
      <c r="W246" s="3299"/>
      <c r="X246" s="3299"/>
      <c r="Y246" s="3299" t="s">
        <v>32</v>
      </c>
      <c r="Z246" s="3249" t="s">
        <v>32</v>
      </c>
      <c r="AA246" s="3249" t="s">
        <v>32</v>
      </c>
      <c r="AB246" s="3249" t="s">
        <v>32</v>
      </c>
      <c r="AC246" s="3299" t="s">
        <v>32</v>
      </c>
      <c r="AD246" s="3299"/>
      <c r="AE246" s="3299"/>
      <c r="AF246" s="3299" t="s">
        <v>32</v>
      </c>
      <c r="AG246" s="586" t="s">
        <v>32</v>
      </c>
      <c r="AH246" s="175"/>
      <c r="AI246" s="107"/>
    </row>
    <row r="247" spans="1:35" ht="22.35" customHeight="1" x14ac:dyDescent="0.2">
      <c r="A247" s="1155"/>
      <c r="B247" s="933" t="s">
        <v>311</v>
      </c>
      <c r="C247" s="3249"/>
      <c r="D247" s="3249" t="s">
        <v>32</v>
      </c>
      <c r="E247" s="3249" t="s">
        <v>32</v>
      </c>
      <c r="F247" s="3249" t="s">
        <v>32</v>
      </c>
      <c r="G247" s="3249" t="s">
        <v>32</v>
      </c>
      <c r="H247" s="3249" t="s">
        <v>32</v>
      </c>
      <c r="I247" s="3249"/>
      <c r="J247" s="3249"/>
      <c r="K247" s="3249" t="s">
        <v>32</v>
      </c>
      <c r="L247" s="3249" t="s">
        <v>32</v>
      </c>
      <c r="M247" s="3249" t="s">
        <v>32</v>
      </c>
      <c r="N247" s="3299" t="s">
        <v>32</v>
      </c>
      <c r="O247" s="3299" t="s">
        <v>32</v>
      </c>
      <c r="P247" s="3299"/>
      <c r="Q247" s="3252"/>
      <c r="R247" s="3299" t="s">
        <v>32</v>
      </c>
      <c r="S247" s="3249" t="s">
        <v>32</v>
      </c>
      <c r="T247" s="3249" t="s">
        <v>32</v>
      </c>
      <c r="U247" s="3299" t="s">
        <v>32</v>
      </c>
      <c r="V247" s="3299" t="s">
        <v>32</v>
      </c>
      <c r="W247" s="3299"/>
      <c r="X247" s="3299"/>
      <c r="Y247" s="3299" t="s">
        <v>32</v>
      </c>
      <c r="Z247" s="3249" t="s">
        <v>32</v>
      </c>
      <c r="AA247" s="3249" t="s">
        <v>32</v>
      </c>
      <c r="AB247" s="3249" t="s">
        <v>32</v>
      </c>
      <c r="AC247" s="3299" t="s">
        <v>32</v>
      </c>
      <c r="AD247" s="3299"/>
      <c r="AE247" s="3299"/>
      <c r="AF247" s="3299" t="s">
        <v>32</v>
      </c>
      <c r="AG247" s="586" t="s">
        <v>32</v>
      </c>
      <c r="AH247" s="175"/>
      <c r="AI247" s="107"/>
    </row>
    <row r="248" spans="1:35" ht="22.35" customHeight="1" x14ac:dyDescent="0.2">
      <c r="A248" s="3293"/>
      <c r="B248" s="3453"/>
      <c r="C248" s="3249"/>
      <c r="D248" s="3249"/>
      <c r="E248" s="3249"/>
      <c r="F248" s="3249"/>
      <c r="G248" s="3249"/>
      <c r="H248" s="3249"/>
      <c r="I248" s="3249"/>
      <c r="J248" s="3249"/>
      <c r="K248" s="3249"/>
      <c r="L248" s="3249"/>
      <c r="M248" s="3249"/>
      <c r="N248" s="3249"/>
      <c r="O248" s="3249"/>
      <c r="P248" s="3249"/>
      <c r="Q248" s="3249"/>
      <c r="R248" s="3249"/>
      <c r="S248" s="3249"/>
      <c r="T248" s="3249"/>
      <c r="U248" s="3249"/>
      <c r="V248" s="3249"/>
      <c r="W248" s="3249"/>
      <c r="X248" s="3249"/>
      <c r="Y248" s="3249"/>
      <c r="Z248" s="3249"/>
      <c r="AA248" s="3249"/>
      <c r="AB248" s="3249"/>
      <c r="AC248" s="3249"/>
      <c r="AD248" s="3249"/>
      <c r="AE248" s="3249"/>
      <c r="AF248" s="3249"/>
      <c r="AG248" s="585"/>
      <c r="AH248" s="175"/>
      <c r="AI248" s="107"/>
    </row>
    <row r="249" spans="1:35" ht="22.35" customHeight="1" x14ac:dyDescent="0.2">
      <c r="A249" s="3293"/>
      <c r="B249" s="933"/>
      <c r="C249" s="3249"/>
      <c r="D249" s="3249"/>
      <c r="E249" s="3249"/>
      <c r="F249" s="3249"/>
      <c r="G249" s="3249"/>
      <c r="H249" s="3249"/>
      <c r="I249" s="3249"/>
      <c r="J249" s="3249"/>
      <c r="K249" s="3249"/>
      <c r="L249" s="3249"/>
      <c r="M249" s="3249"/>
      <c r="N249" s="3299"/>
      <c r="O249" s="3299"/>
      <c r="P249" s="3299"/>
      <c r="Q249" s="3252"/>
      <c r="R249" s="3299"/>
      <c r="S249" s="3249"/>
      <c r="T249" s="3249"/>
      <c r="U249" s="3299"/>
      <c r="V249" s="3299"/>
      <c r="W249" s="3299"/>
      <c r="X249" s="3249"/>
      <c r="Y249" s="3299"/>
      <c r="Z249" s="3249"/>
      <c r="AA249" s="3249"/>
      <c r="AB249" s="3249"/>
      <c r="AC249" s="3249"/>
      <c r="AD249" s="3249"/>
      <c r="AE249" s="3249"/>
      <c r="AF249" s="3299"/>
      <c r="AG249" s="586"/>
      <c r="AH249" s="175"/>
      <c r="AI249" s="107"/>
    </row>
    <row r="250" spans="1:35" ht="22.35" customHeight="1" x14ac:dyDescent="0.2">
      <c r="A250" s="3293"/>
      <c r="B250" s="3293"/>
      <c r="C250" s="3249"/>
      <c r="D250" s="3249"/>
      <c r="E250" s="3249"/>
      <c r="F250" s="3249"/>
      <c r="G250" s="3249"/>
      <c r="H250" s="3249"/>
      <c r="I250" s="3249"/>
      <c r="J250" s="3249"/>
      <c r="K250" s="3249"/>
      <c r="L250" s="3249"/>
      <c r="M250" s="3249"/>
      <c r="N250" s="3249"/>
      <c r="O250" s="3249"/>
      <c r="P250" s="3249"/>
      <c r="Q250" s="3249"/>
      <c r="R250" s="3249"/>
      <c r="S250" s="3249"/>
      <c r="T250" s="3249"/>
      <c r="U250" s="3249"/>
      <c r="V250" s="3249"/>
      <c r="W250" s="3249"/>
      <c r="X250" s="3249"/>
      <c r="Y250" s="3249"/>
      <c r="Z250" s="3249"/>
      <c r="AA250" s="3249"/>
      <c r="AB250" s="3249"/>
      <c r="AC250" s="3249"/>
      <c r="AD250" s="3249"/>
      <c r="AE250" s="3249"/>
      <c r="AF250" s="3249"/>
      <c r="AG250" s="585"/>
      <c r="AH250" s="175"/>
      <c r="AI250" s="107"/>
    </row>
    <row r="251" spans="1:35" ht="22.35" customHeight="1" x14ac:dyDescent="0.2">
      <c r="A251" s="3293"/>
      <c r="B251" s="3293"/>
      <c r="C251" s="3249"/>
      <c r="D251" s="3249"/>
      <c r="E251" s="3249"/>
      <c r="F251" s="3249"/>
      <c r="G251" s="3249"/>
      <c r="H251" s="1167"/>
      <c r="I251" s="3249"/>
      <c r="J251" s="3249"/>
      <c r="K251" s="3249"/>
      <c r="L251" s="3249"/>
      <c r="M251" s="3249"/>
      <c r="N251" s="3249"/>
      <c r="O251" s="3249"/>
      <c r="P251" s="3249"/>
      <c r="Q251" s="3249"/>
      <c r="R251" s="3249"/>
      <c r="S251" s="3249"/>
      <c r="T251" s="3249"/>
      <c r="U251" s="3249"/>
      <c r="V251" s="3249"/>
      <c r="W251" s="3249"/>
      <c r="X251" s="3249"/>
      <c r="Y251" s="3249"/>
      <c r="Z251" s="3249"/>
      <c r="AA251" s="3249"/>
      <c r="AB251" s="3249"/>
      <c r="AC251" s="3249"/>
      <c r="AD251" s="3249"/>
      <c r="AE251" s="3249"/>
      <c r="AF251" s="3249"/>
      <c r="AG251" s="588"/>
      <c r="AH251" s="175"/>
      <c r="AI251" s="107"/>
    </row>
    <row r="252" spans="1:35" ht="22.35" customHeight="1" x14ac:dyDescent="0.2">
      <c r="A252" s="1155"/>
      <c r="B252" s="1168"/>
      <c r="C252" s="3249"/>
      <c r="D252" s="3249"/>
      <c r="E252" s="3249"/>
      <c r="F252" s="3249"/>
      <c r="G252" s="3249"/>
      <c r="H252" s="3249"/>
      <c r="I252" s="3249"/>
      <c r="J252" s="3249"/>
      <c r="K252" s="3249"/>
      <c r="L252" s="3249"/>
      <c r="M252" s="3249"/>
      <c r="N252" s="3249"/>
      <c r="O252" s="3249"/>
      <c r="P252" s="3249"/>
      <c r="Q252" s="3249"/>
      <c r="R252" s="3249"/>
      <c r="S252" s="3249"/>
      <c r="T252" s="3249"/>
      <c r="U252" s="3249"/>
      <c r="V252" s="3249"/>
      <c r="W252" s="3249"/>
      <c r="X252" s="3249"/>
      <c r="Y252" s="3249"/>
      <c r="Z252" s="3249"/>
      <c r="AA252" s="3249"/>
      <c r="AB252" s="3249"/>
      <c r="AC252" s="3249"/>
      <c r="AD252" s="3249"/>
      <c r="AE252" s="3249"/>
      <c r="AF252" s="3249"/>
      <c r="AG252" s="588"/>
      <c r="AH252" s="175"/>
      <c r="AI252" s="107"/>
    </row>
    <row r="253" spans="1:35" ht="22.35" customHeight="1" x14ac:dyDescent="0.2">
      <c r="A253" s="1155"/>
      <c r="B253" s="1169"/>
      <c r="C253" s="3249"/>
      <c r="D253" s="3249"/>
      <c r="E253" s="3249"/>
      <c r="F253" s="3249"/>
      <c r="G253" s="3249"/>
      <c r="H253" s="3249"/>
      <c r="I253" s="3249"/>
      <c r="J253" s="3249"/>
      <c r="K253" s="3249"/>
      <c r="L253" s="3249"/>
      <c r="M253" s="3249"/>
      <c r="N253" s="3249"/>
      <c r="O253" s="3249"/>
      <c r="P253" s="3249"/>
      <c r="Q253" s="3249"/>
      <c r="R253" s="3249"/>
      <c r="S253" s="3249"/>
      <c r="T253" s="3249"/>
      <c r="U253" s="3249"/>
      <c r="V253" s="3249"/>
      <c r="W253" s="3249"/>
      <c r="X253" s="3249"/>
      <c r="Y253" s="3249"/>
      <c r="Z253" s="3249"/>
      <c r="AA253" s="3249"/>
      <c r="AB253" s="3249"/>
      <c r="AC253" s="3249"/>
      <c r="AD253" s="3249"/>
      <c r="AE253" s="3249"/>
      <c r="AF253" s="3249"/>
      <c r="AG253" s="588"/>
      <c r="AH253" s="175"/>
      <c r="AI253" s="107"/>
    </row>
    <row r="254" spans="1:35" ht="22.35" customHeight="1" x14ac:dyDescent="0.2">
      <c r="A254" s="108"/>
      <c r="B254" s="121"/>
      <c r="C254" s="106"/>
      <c r="D254" s="106"/>
      <c r="E254" s="106"/>
      <c r="F254" s="106"/>
      <c r="G254" s="106"/>
      <c r="H254" s="106"/>
      <c r="I254" s="106"/>
      <c r="J254" s="106"/>
      <c r="L254" s="106"/>
      <c r="M254" s="106"/>
      <c r="N254" s="106"/>
      <c r="O254" s="106"/>
      <c r="P254" s="72"/>
      <c r="Q254" s="72"/>
      <c r="R254" s="72"/>
      <c r="S254" s="106"/>
      <c r="T254" s="106"/>
      <c r="U254" s="106"/>
      <c r="V254" s="106"/>
      <c r="W254" s="106"/>
      <c r="X254" s="106"/>
      <c r="Y254" s="106"/>
      <c r="Z254" s="106"/>
      <c r="AA254" s="106"/>
      <c r="AB254" s="106"/>
      <c r="AC254" s="106"/>
      <c r="AD254" s="106"/>
      <c r="AE254" s="106"/>
      <c r="AF254" s="106"/>
      <c r="AG254" s="106"/>
      <c r="AH254" s="107"/>
      <c r="AI254" s="107"/>
    </row>
    <row r="258" spans="1:35" ht="21" customHeight="1" thickBot="1" x14ac:dyDescent="0.25">
      <c r="A258" s="158" t="s">
        <v>312</v>
      </c>
    </row>
    <row r="259" spans="1:35" ht="21" customHeight="1" x14ac:dyDescent="0.2">
      <c r="B259" s="3168" t="s">
        <v>281</v>
      </c>
      <c r="C259" s="3003"/>
      <c r="D259" s="3402" t="s">
        <v>107</v>
      </c>
      <c r="E259" s="3312"/>
      <c r="F259" s="3378"/>
      <c r="G259" s="3003"/>
      <c r="H259" s="3402" t="s">
        <v>108</v>
      </c>
      <c r="I259" s="3312"/>
      <c r="J259" s="3378"/>
      <c r="K259" s="3003"/>
      <c r="L259" s="3402" t="s">
        <v>109</v>
      </c>
      <c r="M259" s="3312"/>
      <c r="N259" s="3378"/>
      <c r="O259" s="3003"/>
      <c r="P259" s="3402" t="s">
        <v>110</v>
      </c>
      <c r="Q259" s="3312"/>
      <c r="R259" s="3378"/>
      <c r="S259" s="3003"/>
      <c r="T259" s="3402" t="s">
        <v>111</v>
      </c>
      <c r="U259" s="3312"/>
      <c r="V259" s="3378"/>
      <c r="W259" s="3003"/>
      <c r="X259" s="3402" t="s">
        <v>112</v>
      </c>
      <c r="Y259" s="3312"/>
      <c r="Z259" s="3378"/>
      <c r="AA259" s="3003"/>
      <c r="AB259" s="3402" t="s">
        <v>113</v>
      </c>
      <c r="AC259" s="3312"/>
      <c r="AD259" s="3312"/>
      <c r="AE259" s="3405" t="s">
        <v>114</v>
      </c>
      <c r="AF259" s="3312"/>
      <c r="AG259" s="3312"/>
      <c r="AH259" s="3312"/>
      <c r="AI259" s="3313"/>
    </row>
    <row r="260" spans="1:35" ht="21" customHeight="1" x14ac:dyDescent="0.2">
      <c r="B260" s="3"/>
      <c r="C260" s="287" t="s">
        <v>313</v>
      </c>
      <c r="D260" s="116"/>
      <c r="E260" s="283"/>
      <c r="F260" s="284"/>
      <c r="G260" s="287" t="s">
        <v>313</v>
      </c>
      <c r="H260" s="116"/>
      <c r="I260" s="283"/>
      <c r="J260" s="284"/>
      <c r="K260" s="287" t="s">
        <v>313</v>
      </c>
      <c r="L260" s="116"/>
      <c r="M260" s="283"/>
      <c r="N260" s="284"/>
      <c r="O260" s="287" t="s">
        <v>313</v>
      </c>
      <c r="P260" s="282"/>
      <c r="Q260" s="283"/>
      <c r="R260" s="284"/>
      <c r="S260" s="288" t="s">
        <v>314</v>
      </c>
      <c r="T260" s="116"/>
      <c r="U260" s="283"/>
      <c r="V260" s="284"/>
      <c r="W260" s="154"/>
      <c r="X260" s="116"/>
      <c r="Y260" s="162"/>
      <c r="Z260" s="164"/>
      <c r="AA260" s="154"/>
      <c r="AB260" s="116"/>
      <c r="AC260" s="162"/>
      <c r="AD260" s="162"/>
      <c r="AE260" s="117"/>
      <c r="AF260" s="162"/>
      <c r="AG260" s="14"/>
      <c r="AH260" s="14"/>
      <c r="AI260" s="118"/>
    </row>
    <row r="261" spans="1:35" ht="21" customHeight="1" x14ac:dyDescent="0.2">
      <c r="A261" s="110"/>
      <c r="B261" s="3454"/>
      <c r="C261" s="3087" t="s">
        <v>189</v>
      </c>
      <c r="D261" s="3455"/>
      <c r="E261" s="283"/>
      <c r="F261" s="284"/>
      <c r="G261" s="3087" t="s">
        <v>189</v>
      </c>
      <c r="H261" s="116"/>
      <c r="I261" s="283"/>
      <c r="J261" s="284"/>
      <c r="K261" s="3087" t="s">
        <v>189</v>
      </c>
      <c r="L261" s="116"/>
      <c r="M261" s="283"/>
      <c r="N261" s="284"/>
      <c r="O261" s="3087" t="s">
        <v>189</v>
      </c>
      <c r="P261" s="116"/>
      <c r="Q261" s="283"/>
      <c r="R261" s="284"/>
      <c r="S261" s="287" t="s">
        <v>315</v>
      </c>
      <c r="T261" s="116"/>
      <c r="U261" s="283"/>
      <c r="V261" s="284"/>
      <c r="W261" s="154"/>
      <c r="X261" s="116"/>
      <c r="Y261" s="162"/>
      <c r="Z261" s="164"/>
      <c r="AA261" s="154"/>
      <c r="AB261" s="116"/>
      <c r="AC261" s="162"/>
      <c r="AD261" s="162"/>
      <c r="AE261" s="117"/>
      <c r="AF261" s="162"/>
      <c r="AG261" s="14"/>
      <c r="AH261" s="14"/>
      <c r="AI261" s="118"/>
    </row>
    <row r="262" spans="1:35" ht="21" customHeight="1" x14ac:dyDescent="0.2">
      <c r="B262" s="3454"/>
      <c r="C262" s="3087" t="s">
        <v>192</v>
      </c>
      <c r="D262" s="3455"/>
      <c r="E262" s="283"/>
      <c r="F262" s="284"/>
      <c r="G262" s="3087" t="s">
        <v>192</v>
      </c>
      <c r="H262" s="116"/>
      <c r="I262" s="283"/>
      <c r="J262" s="284"/>
      <c r="K262" s="3087" t="s">
        <v>192</v>
      </c>
      <c r="L262" s="116"/>
      <c r="M262" s="283"/>
      <c r="N262" s="284"/>
      <c r="O262" s="3087" t="s">
        <v>192</v>
      </c>
      <c r="P262" s="116"/>
      <c r="Q262" s="283"/>
      <c r="R262" s="284"/>
      <c r="S262" s="3087" t="s">
        <v>187</v>
      </c>
      <c r="T262" s="116"/>
      <c r="U262" s="283"/>
      <c r="V262" s="284"/>
      <c r="W262" s="154"/>
      <c r="X262" s="116"/>
      <c r="Y262" s="162"/>
      <c r="Z262" s="164"/>
      <c r="AA262" s="154"/>
      <c r="AB262" s="116"/>
      <c r="AC262" s="162"/>
      <c r="AD262" s="162"/>
      <c r="AE262" s="117"/>
      <c r="AF262" s="162"/>
      <c r="AG262" s="14"/>
      <c r="AH262" s="14"/>
      <c r="AI262" s="118"/>
    </row>
    <row r="263" spans="1:35" ht="21" customHeight="1" x14ac:dyDescent="0.2">
      <c r="B263" s="3454"/>
      <c r="C263" s="2958"/>
      <c r="D263" s="2959"/>
      <c r="E263" s="162"/>
      <c r="F263" s="164"/>
      <c r="G263" s="2958"/>
      <c r="H263" s="2959"/>
      <c r="I263" s="162"/>
      <c r="J263" s="164"/>
      <c r="K263" s="2958"/>
      <c r="L263" s="2959"/>
      <c r="M263" s="162"/>
      <c r="N263" s="164"/>
      <c r="O263" s="2958"/>
      <c r="P263" s="2959"/>
      <c r="Q263" s="162"/>
      <c r="R263" s="164"/>
      <c r="S263" s="2958"/>
      <c r="T263" s="2959"/>
      <c r="U263" s="162"/>
      <c r="V263" s="164"/>
      <c r="W263" s="154"/>
      <c r="X263" s="116"/>
      <c r="Y263" s="162"/>
      <c r="Z263" s="164"/>
      <c r="AA263" s="154"/>
      <c r="AB263" s="116"/>
      <c r="AC263" s="162"/>
      <c r="AD263" s="162"/>
      <c r="AE263" s="117"/>
      <c r="AF263" s="162"/>
      <c r="AG263" s="14"/>
      <c r="AH263" s="14"/>
      <c r="AI263" s="118"/>
    </row>
    <row r="264" spans="1:35" ht="21" customHeight="1" x14ac:dyDescent="0.2">
      <c r="B264" s="3454"/>
      <c r="C264" s="3046"/>
      <c r="D264" s="2959"/>
      <c r="E264" s="162"/>
      <c r="F264" s="164"/>
      <c r="G264" s="116"/>
      <c r="H264" s="116"/>
      <c r="I264" s="162"/>
      <c r="J264" s="164"/>
      <c r="K264" s="116"/>
      <c r="L264" s="116"/>
      <c r="M264" s="162"/>
      <c r="N264" s="164"/>
      <c r="O264" s="116"/>
      <c r="P264" s="116"/>
      <c r="Q264" s="162"/>
      <c r="R264" s="164"/>
      <c r="S264" s="116"/>
      <c r="T264" s="116"/>
      <c r="U264" s="162"/>
      <c r="V264" s="164"/>
      <c r="W264" s="154"/>
      <c r="X264" s="116"/>
      <c r="Y264" s="162"/>
      <c r="Z264" s="164"/>
      <c r="AA264" s="154"/>
      <c r="AB264" s="116"/>
      <c r="AC264" s="162"/>
      <c r="AD264" s="162"/>
      <c r="AE264" s="117"/>
      <c r="AF264" s="162"/>
      <c r="AG264" s="14"/>
      <c r="AH264" s="14"/>
      <c r="AI264" s="118"/>
    </row>
    <row r="265" spans="1:35" ht="21" customHeight="1" x14ac:dyDescent="0.2">
      <c r="B265" s="3454" t="s">
        <v>159</v>
      </c>
      <c r="C265" s="3046" t="s">
        <v>316</v>
      </c>
      <c r="D265" s="3455"/>
      <c r="E265" s="283"/>
      <c r="F265" s="284"/>
      <c r="G265" s="3046" t="s">
        <v>316</v>
      </c>
      <c r="H265" s="3455"/>
      <c r="I265" s="283"/>
      <c r="J265" s="284"/>
      <c r="K265" s="3046" t="s">
        <v>316</v>
      </c>
      <c r="L265" s="3455"/>
      <c r="M265" s="283"/>
      <c r="N265" s="284"/>
      <c r="O265" s="3046" t="s">
        <v>316</v>
      </c>
      <c r="P265" s="3455"/>
      <c r="Q265" s="283"/>
      <c r="R265" s="284"/>
      <c r="S265" s="116" t="s">
        <v>317</v>
      </c>
      <c r="T265" s="116"/>
      <c r="U265" s="283"/>
      <c r="V265" s="284"/>
      <c r="W265" s="154"/>
      <c r="X265" s="116"/>
      <c r="Y265" s="162"/>
      <c r="Z265" s="164"/>
      <c r="AA265" s="154"/>
      <c r="AB265" s="116"/>
      <c r="AC265" s="162"/>
      <c r="AD265" s="162"/>
      <c r="AE265" s="117"/>
      <c r="AF265" s="162"/>
      <c r="AG265" s="14"/>
      <c r="AH265" s="14"/>
      <c r="AI265" s="118"/>
    </row>
    <row r="266" spans="1:35" ht="21" customHeight="1" x14ac:dyDescent="0.2">
      <c r="B266" s="3454" t="s">
        <v>163</v>
      </c>
      <c r="C266" s="3046" t="s">
        <v>318</v>
      </c>
      <c r="D266" s="3455"/>
      <c r="E266" s="283"/>
      <c r="F266" s="284"/>
      <c r="G266" s="3046" t="s">
        <v>318</v>
      </c>
      <c r="H266" s="3455"/>
      <c r="I266" s="283"/>
      <c r="J266" s="284"/>
      <c r="K266" s="3046" t="s">
        <v>318</v>
      </c>
      <c r="L266" s="3455"/>
      <c r="M266" s="283"/>
      <c r="N266" s="284"/>
      <c r="O266" s="3046" t="s">
        <v>318</v>
      </c>
      <c r="P266" s="3455"/>
      <c r="Q266" s="283"/>
      <c r="R266" s="284"/>
      <c r="S266" s="116" t="s">
        <v>319</v>
      </c>
      <c r="T266" s="116"/>
      <c r="U266" s="283"/>
      <c r="V266" s="284"/>
      <c r="W266" s="154"/>
      <c r="X266" s="116"/>
      <c r="Y266" s="162"/>
      <c r="Z266" s="164"/>
      <c r="AA266" s="154"/>
      <c r="AB266" s="116"/>
      <c r="AC266" s="162"/>
      <c r="AD266" s="162"/>
      <c r="AE266" s="117"/>
      <c r="AF266" s="162"/>
      <c r="AG266" s="14"/>
      <c r="AH266" s="14"/>
      <c r="AI266" s="118"/>
    </row>
    <row r="267" spans="1:35" ht="21" customHeight="1" thickBot="1" x14ac:dyDescent="0.25">
      <c r="B267" s="3456" t="s">
        <v>170</v>
      </c>
      <c r="C267" s="3058" t="s">
        <v>320</v>
      </c>
      <c r="D267" s="3457"/>
      <c r="E267" s="285"/>
      <c r="F267" s="286"/>
      <c r="G267" s="3058" t="s">
        <v>320</v>
      </c>
      <c r="H267" s="3457"/>
      <c r="I267" s="285"/>
      <c r="J267" s="286"/>
      <c r="K267" s="3058" t="s">
        <v>320</v>
      </c>
      <c r="L267" s="3457"/>
      <c r="M267" s="285"/>
      <c r="N267" s="286"/>
      <c r="O267" s="3058" t="s">
        <v>320</v>
      </c>
      <c r="P267" s="3457"/>
      <c r="Q267" s="285"/>
      <c r="R267" s="286"/>
      <c r="S267" s="225" t="s">
        <v>321</v>
      </c>
      <c r="T267" s="225"/>
      <c r="U267" s="285"/>
      <c r="V267" s="286"/>
      <c r="W267" s="277"/>
      <c r="X267" s="225"/>
      <c r="Y267" s="278"/>
      <c r="Z267" s="279"/>
      <c r="AA267" s="280"/>
      <c r="AB267" s="225"/>
      <c r="AC267" s="278"/>
      <c r="AD267" s="278"/>
      <c r="AE267" s="281"/>
      <c r="AF267" s="278"/>
      <c r="AG267" s="276"/>
      <c r="AH267" s="276"/>
      <c r="AI267" s="222"/>
    </row>
    <row r="268" spans="1:35" ht="21" customHeight="1" x14ac:dyDescent="0.2">
      <c r="B268" s="59"/>
      <c r="C268" s="64"/>
      <c r="D268" s="18"/>
      <c r="G268" s="64"/>
      <c r="H268" s="18"/>
      <c r="K268" s="64"/>
      <c r="L268" s="18"/>
      <c r="O268" s="64"/>
      <c r="P268" s="18"/>
      <c r="S268" s="64"/>
      <c r="T268" s="64"/>
      <c r="X268" s="64"/>
      <c r="AB268" s="64"/>
      <c r="AE268" s="64"/>
    </row>
    <row r="269" spans="1:35" ht="21" customHeight="1" x14ac:dyDescent="0.2">
      <c r="A269" s="122" t="s">
        <v>322</v>
      </c>
    </row>
    <row r="270" spans="1:35" ht="21" customHeight="1" thickBot="1" x14ac:dyDescent="0.25">
      <c r="A270" s="3035"/>
      <c r="B270" s="2969" t="s">
        <v>29</v>
      </c>
      <c r="C270" s="3242">
        <v>1</v>
      </c>
      <c r="D270" s="3243">
        <v>2</v>
      </c>
      <c r="E270" s="3243">
        <v>3</v>
      </c>
      <c r="F270" s="3243">
        <v>4</v>
      </c>
      <c r="G270" s="3243">
        <v>5</v>
      </c>
      <c r="H270" s="3243">
        <v>6</v>
      </c>
      <c r="I270" s="3242">
        <v>7</v>
      </c>
      <c r="J270" s="3242">
        <v>8</v>
      </c>
      <c r="K270" s="3243">
        <v>9</v>
      </c>
      <c r="L270" s="3243">
        <v>10</v>
      </c>
      <c r="M270" s="3243">
        <v>11</v>
      </c>
      <c r="N270" s="3243">
        <v>12</v>
      </c>
      <c r="O270" s="3243">
        <v>13</v>
      </c>
      <c r="P270" s="3242">
        <v>14</v>
      </c>
      <c r="Q270" s="3242">
        <v>15</v>
      </c>
      <c r="R270" s="3243">
        <v>16</v>
      </c>
      <c r="S270" s="3243">
        <v>17</v>
      </c>
      <c r="T270" s="3243">
        <v>18</v>
      </c>
      <c r="U270" s="3243">
        <v>19</v>
      </c>
      <c r="V270" s="3243">
        <v>20</v>
      </c>
      <c r="W270" s="3242">
        <v>21</v>
      </c>
      <c r="X270" s="3242">
        <v>22</v>
      </c>
      <c r="Y270" s="3243">
        <v>23</v>
      </c>
      <c r="Z270" s="3243">
        <v>24</v>
      </c>
      <c r="AA270" s="3243">
        <v>25</v>
      </c>
      <c r="AB270" s="3243">
        <v>26</v>
      </c>
      <c r="AC270" s="3243">
        <v>27</v>
      </c>
      <c r="AD270" s="3242">
        <v>28</v>
      </c>
      <c r="AE270" s="3242">
        <v>29</v>
      </c>
      <c r="AF270" s="3243">
        <v>30</v>
      </c>
      <c r="AG270" s="3244">
        <v>31</v>
      </c>
      <c r="AH270" s="173"/>
      <c r="AI270" s="174"/>
    </row>
    <row r="271" spans="1:35" ht="21" customHeight="1" x14ac:dyDescent="0.2">
      <c r="A271" s="3458">
        <v>3702</v>
      </c>
      <c r="B271" s="172"/>
      <c r="C271" s="3249"/>
      <c r="D271" s="3249" t="s">
        <v>32</v>
      </c>
      <c r="E271" s="3293" t="s">
        <v>32</v>
      </c>
      <c r="F271" s="3249" t="s">
        <v>32</v>
      </c>
      <c r="G271" s="3249" t="s">
        <v>32</v>
      </c>
      <c r="H271" s="3249" t="s">
        <v>32</v>
      </c>
      <c r="I271" s="3249"/>
      <c r="J271" s="3249"/>
      <c r="K271" s="3249" t="s">
        <v>32</v>
      </c>
      <c r="L271" s="3249" t="s">
        <v>32</v>
      </c>
      <c r="M271" s="3249" t="s">
        <v>32</v>
      </c>
      <c r="N271" s="3299" t="s">
        <v>32</v>
      </c>
      <c r="O271" s="3299" t="s">
        <v>32</v>
      </c>
      <c r="P271" s="3299"/>
      <c r="Q271" s="3252"/>
      <c r="R271" s="3299" t="s">
        <v>32</v>
      </c>
      <c r="S271" s="3249" t="s">
        <v>32</v>
      </c>
      <c r="T271" s="3249" t="s">
        <v>32</v>
      </c>
      <c r="U271" s="3299" t="s">
        <v>32</v>
      </c>
      <c r="V271" s="3299" t="s">
        <v>32</v>
      </c>
      <c r="W271" s="3299"/>
      <c r="X271" s="3249"/>
      <c r="Y271" s="3299" t="s">
        <v>32</v>
      </c>
      <c r="Z271" s="3299" t="s">
        <v>32</v>
      </c>
      <c r="AA271" s="3249" t="s">
        <v>32</v>
      </c>
      <c r="AB271" s="3249" t="s">
        <v>32</v>
      </c>
      <c r="AC271" s="3249" t="s">
        <v>32</v>
      </c>
      <c r="AD271" s="3249"/>
      <c r="AE271" s="3249"/>
      <c r="AF271" s="3249" t="s">
        <v>32</v>
      </c>
      <c r="AG271" s="3249" t="s">
        <v>32</v>
      </c>
      <c r="AH271" s="178"/>
      <c r="AI271" s="179"/>
    </row>
    <row r="272" spans="1:35" ht="21" customHeight="1" x14ac:dyDescent="0.2">
      <c r="A272" s="3257"/>
      <c r="B272" s="3015" t="s">
        <v>323</v>
      </c>
      <c r="C272" s="3249"/>
      <c r="D272" s="3249" t="s">
        <v>32</v>
      </c>
      <c r="E272" s="3249" t="s">
        <v>32</v>
      </c>
      <c r="F272" s="3249" t="s">
        <v>32</v>
      </c>
      <c r="G272" s="3249" t="s">
        <v>32</v>
      </c>
      <c r="H272" s="3249" t="s">
        <v>32</v>
      </c>
      <c r="I272" s="3249"/>
      <c r="J272" s="3249"/>
      <c r="K272" s="3249" t="s">
        <v>32</v>
      </c>
      <c r="L272" s="3249" t="s">
        <v>32</v>
      </c>
      <c r="M272" s="3249" t="s">
        <v>32</v>
      </c>
      <c r="N272" s="3299" t="s">
        <v>32</v>
      </c>
      <c r="O272" s="3299" t="s">
        <v>32</v>
      </c>
      <c r="P272" s="3299"/>
      <c r="Q272" s="3252"/>
      <c r="R272" s="3299" t="s">
        <v>32</v>
      </c>
      <c r="S272" s="3249" t="s">
        <v>32</v>
      </c>
      <c r="T272" s="3249" t="s">
        <v>32</v>
      </c>
      <c r="U272" s="3299" t="s">
        <v>32</v>
      </c>
      <c r="V272" s="3299" t="s">
        <v>32</v>
      </c>
      <c r="W272" s="3299"/>
      <c r="X272" s="3249"/>
      <c r="Y272" s="3299" t="s">
        <v>32</v>
      </c>
      <c r="Z272" s="3299" t="s">
        <v>32</v>
      </c>
      <c r="AA272" s="3249" t="s">
        <v>32</v>
      </c>
      <c r="AB272" s="3249" t="s">
        <v>32</v>
      </c>
      <c r="AC272" s="3249" t="s">
        <v>32</v>
      </c>
      <c r="AD272" s="3249"/>
      <c r="AE272" s="3249"/>
      <c r="AF272" s="3249" t="s">
        <v>32</v>
      </c>
      <c r="AG272" s="3249" t="s">
        <v>32</v>
      </c>
      <c r="AH272" s="178"/>
      <c r="AI272" s="179"/>
    </row>
    <row r="273" spans="1:36" ht="21" customHeight="1" x14ac:dyDescent="0.2">
      <c r="A273" s="3459"/>
      <c r="B273" s="3015"/>
      <c r="C273" s="3249"/>
      <c r="D273" s="3249" t="s">
        <v>32</v>
      </c>
      <c r="E273" s="3249" t="s">
        <v>32</v>
      </c>
      <c r="F273" s="3249" t="s">
        <v>32</v>
      </c>
      <c r="G273" s="3249" t="s">
        <v>32</v>
      </c>
      <c r="H273" s="3249" t="s">
        <v>32</v>
      </c>
      <c r="I273" s="3249"/>
      <c r="J273" s="3249"/>
      <c r="K273" s="3249" t="s">
        <v>32</v>
      </c>
      <c r="L273" s="3249" t="s">
        <v>32</v>
      </c>
      <c r="M273" s="3249" t="s">
        <v>32</v>
      </c>
      <c r="N273" s="3299" t="s">
        <v>32</v>
      </c>
      <c r="O273" s="3299" t="s">
        <v>32</v>
      </c>
      <c r="P273" s="3299"/>
      <c r="Q273" s="3252"/>
      <c r="R273" s="3299" t="s">
        <v>32</v>
      </c>
      <c r="S273" s="3249" t="s">
        <v>32</v>
      </c>
      <c r="T273" s="3249" t="s">
        <v>32</v>
      </c>
      <c r="U273" s="3299" t="s">
        <v>32</v>
      </c>
      <c r="V273" s="3299" t="s">
        <v>32</v>
      </c>
      <c r="W273" s="3299"/>
      <c r="X273" s="3249"/>
      <c r="Y273" s="3299" t="s">
        <v>32</v>
      </c>
      <c r="Z273" s="3299" t="s">
        <v>32</v>
      </c>
      <c r="AA273" s="3249" t="s">
        <v>32</v>
      </c>
      <c r="AB273" s="3249" t="s">
        <v>32</v>
      </c>
      <c r="AC273" s="3249" t="s">
        <v>32</v>
      </c>
      <c r="AD273" s="3249"/>
      <c r="AE273" s="3249"/>
      <c r="AF273" s="3249" t="s">
        <v>32</v>
      </c>
      <c r="AG273" s="3249" t="s">
        <v>32</v>
      </c>
      <c r="AH273" s="178"/>
      <c r="AI273" s="179"/>
    </row>
    <row r="274" spans="1:36" ht="21" customHeight="1" thickBot="1" x14ac:dyDescent="0.25">
      <c r="A274" s="3460"/>
      <c r="B274" s="3461"/>
      <c r="C274" s="3243"/>
      <c r="D274" s="3243"/>
      <c r="E274" s="3243"/>
      <c r="F274" s="3243"/>
      <c r="G274" s="3243"/>
      <c r="H274" s="3243"/>
      <c r="I274" s="3243"/>
      <c r="J274" s="3243"/>
      <c r="K274" s="3243"/>
      <c r="L274" s="3243"/>
      <c r="M274" s="3243"/>
      <c r="N274" s="3243"/>
      <c r="O274" s="3243"/>
      <c r="P274" s="3243"/>
      <c r="Q274" s="3243"/>
      <c r="R274" s="3243"/>
      <c r="S274" s="3243"/>
      <c r="T274" s="3243"/>
      <c r="U274" s="3243"/>
      <c r="V274" s="3243"/>
      <c r="W274" s="3243"/>
      <c r="X274" s="3243"/>
      <c r="Y274" s="3243"/>
      <c r="Z274" s="3243"/>
      <c r="AA274" s="3243"/>
      <c r="AB274" s="3243"/>
      <c r="AC274" s="3243"/>
      <c r="AD274" s="3243"/>
      <c r="AE274" s="3243"/>
      <c r="AF274" s="3243"/>
      <c r="AG274" s="3244"/>
      <c r="AH274" s="178"/>
      <c r="AI274" s="179"/>
    </row>
    <row r="275" spans="1:36" ht="21" customHeight="1" x14ac:dyDescent="0.2">
      <c r="A275" s="214"/>
      <c r="B275" s="667" t="s">
        <v>324</v>
      </c>
      <c r="C275" s="668"/>
      <c r="D275" s="668"/>
      <c r="E275" s="668"/>
      <c r="F275" s="668"/>
      <c r="G275" s="668"/>
      <c r="H275" s="668"/>
      <c r="I275" s="668"/>
      <c r="J275" s="668"/>
      <c r="K275" s="668"/>
      <c r="L275" s="668"/>
      <c r="M275" s="668"/>
      <c r="N275" s="668"/>
      <c r="O275" s="668"/>
      <c r="P275" s="668"/>
      <c r="Q275" s="668"/>
      <c r="R275" s="668"/>
      <c r="S275" s="668"/>
      <c r="T275" s="668"/>
      <c r="U275" s="668"/>
      <c r="V275" s="668"/>
      <c r="W275" s="668"/>
      <c r="X275" s="668"/>
      <c r="Y275" s="668"/>
      <c r="Z275" s="668"/>
      <c r="AA275" s="668"/>
      <c r="AB275" s="668"/>
      <c r="AC275" s="668"/>
      <c r="AD275" s="668"/>
      <c r="AE275" s="668"/>
      <c r="AF275" s="668"/>
      <c r="AG275" s="669"/>
      <c r="AH275" s="176"/>
      <c r="AI275" s="177"/>
    </row>
    <row r="276" spans="1:36" ht="21" customHeight="1" x14ac:dyDescent="0.2">
      <c r="A276" s="3458">
        <v>3702</v>
      </c>
      <c r="B276" s="1175" t="s">
        <v>325</v>
      </c>
      <c r="C276" s="3276"/>
      <c r="D276" s="3276" t="s">
        <v>326</v>
      </c>
      <c r="E276" s="2918" t="s">
        <v>326</v>
      </c>
      <c r="F276" s="2918" t="s">
        <v>326</v>
      </c>
      <c r="G276" s="2918" t="s">
        <v>326</v>
      </c>
      <c r="H276" s="2918" t="s">
        <v>326</v>
      </c>
      <c r="I276" s="2918"/>
      <c r="J276" s="2918"/>
      <c r="K276" s="2918" t="s">
        <v>326</v>
      </c>
      <c r="L276" s="2918" t="s">
        <v>326</v>
      </c>
      <c r="M276" s="2918" t="s">
        <v>326</v>
      </c>
      <c r="N276" s="2918" t="s">
        <v>326</v>
      </c>
      <c r="O276" s="2918" t="s">
        <v>326</v>
      </c>
      <c r="P276" s="2918"/>
      <c r="Q276" s="2918"/>
      <c r="R276" s="2918" t="s">
        <v>326</v>
      </c>
      <c r="S276" s="3276" t="s">
        <v>326</v>
      </c>
      <c r="T276" s="2918" t="s">
        <v>326</v>
      </c>
      <c r="U276" s="2918" t="s">
        <v>326</v>
      </c>
      <c r="V276" s="2918" t="s">
        <v>326</v>
      </c>
      <c r="W276" s="2918"/>
      <c r="X276" s="2918"/>
      <c r="Y276" s="3462" t="s">
        <v>326</v>
      </c>
      <c r="Z276" s="3462" t="s">
        <v>326</v>
      </c>
      <c r="AA276" s="3462" t="s">
        <v>326</v>
      </c>
      <c r="AB276" s="3462" t="s">
        <v>326</v>
      </c>
      <c r="AC276" s="3462" t="s">
        <v>326</v>
      </c>
      <c r="AD276" s="2918"/>
      <c r="AE276" s="2918"/>
      <c r="AF276" s="3276" t="s">
        <v>326</v>
      </c>
      <c r="AG276" s="3276" t="s">
        <v>326</v>
      </c>
      <c r="AH276" s="178"/>
      <c r="AI276" s="179"/>
    </row>
    <row r="277" spans="1:36" ht="21" customHeight="1" x14ac:dyDescent="0.2">
      <c r="A277" s="3458"/>
      <c r="B277" s="3005" t="s">
        <v>327</v>
      </c>
      <c r="C277" s="2918"/>
      <c r="D277" s="2918" t="s">
        <v>328</v>
      </c>
      <c r="E277" s="3463" t="s">
        <v>328</v>
      </c>
      <c r="F277" s="2918" t="s">
        <v>328</v>
      </c>
      <c r="G277" s="2918" t="s">
        <v>328</v>
      </c>
      <c r="H277" s="2918" t="s">
        <v>328</v>
      </c>
      <c r="I277" s="2918"/>
      <c r="J277" s="2918"/>
      <c r="K277" s="2918" t="s">
        <v>328</v>
      </c>
      <c r="L277" s="2918" t="s">
        <v>328</v>
      </c>
      <c r="M277" s="2918" t="s">
        <v>328</v>
      </c>
      <c r="N277" s="2918" t="s">
        <v>328</v>
      </c>
      <c r="O277" s="2918" t="s">
        <v>328</v>
      </c>
      <c r="P277" s="2918"/>
      <c r="Q277" s="2918"/>
      <c r="R277" s="2918" t="s">
        <v>328</v>
      </c>
      <c r="S277" s="2918" t="s">
        <v>328</v>
      </c>
      <c r="T277" s="2918" t="s">
        <v>328</v>
      </c>
      <c r="U277" s="2918" t="s">
        <v>328</v>
      </c>
      <c r="V277" s="3463" t="s">
        <v>328</v>
      </c>
      <c r="W277" s="2918"/>
      <c r="X277" s="2918"/>
      <c r="Y277" s="3276" t="s">
        <v>328</v>
      </c>
      <c r="Z277" s="2918" t="s">
        <v>328</v>
      </c>
      <c r="AA277" s="2918" t="s">
        <v>328</v>
      </c>
      <c r="AB277" s="2918" t="s">
        <v>328</v>
      </c>
      <c r="AC277" s="3276" t="s">
        <v>328</v>
      </c>
      <c r="AD277" s="3276"/>
      <c r="AE277" s="3276"/>
      <c r="AF277" s="3261" t="s">
        <v>328</v>
      </c>
      <c r="AG277" s="3261" t="s">
        <v>328</v>
      </c>
      <c r="AH277" s="178"/>
      <c r="AI277" s="179"/>
    </row>
    <row r="278" spans="1:36" ht="21" customHeight="1" thickBot="1" x14ac:dyDescent="0.25">
      <c r="A278" s="3464"/>
      <c r="B278" s="3465" t="s">
        <v>329</v>
      </c>
      <c r="C278" s="2915"/>
      <c r="D278" s="2915" t="s">
        <v>330</v>
      </c>
      <c r="E278" s="2913" t="s">
        <v>330</v>
      </c>
      <c r="F278" s="2913" t="s">
        <v>330</v>
      </c>
      <c r="G278" s="2929" t="s">
        <v>330</v>
      </c>
      <c r="H278" s="2929" t="s">
        <v>387</v>
      </c>
      <c r="I278" s="2933" t="s">
        <v>101</v>
      </c>
      <c r="J278" s="2933"/>
      <c r="K278" s="2933" t="s">
        <v>330</v>
      </c>
      <c r="L278" s="2915" t="s">
        <v>330</v>
      </c>
      <c r="M278" s="2913" t="s">
        <v>330</v>
      </c>
      <c r="N278" s="2913" t="s">
        <v>330</v>
      </c>
      <c r="O278" s="2915" t="s">
        <v>330</v>
      </c>
      <c r="P278" s="2913"/>
      <c r="Q278" s="2913"/>
      <c r="R278" s="2913" t="s">
        <v>330</v>
      </c>
      <c r="S278" s="2913" t="s">
        <v>330</v>
      </c>
      <c r="T278" s="2913" t="s">
        <v>330</v>
      </c>
      <c r="U278" s="2913" t="s">
        <v>330</v>
      </c>
      <c r="V278" s="2913" t="s">
        <v>330</v>
      </c>
      <c r="W278" s="2913"/>
      <c r="X278" s="2913"/>
      <c r="Y278" s="2913" t="s">
        <v>330</v>
      </c>
      <c r="Z278" s="2913" t="s">
        <v>330</v>
      </c>
      <c r="AA278" s="2913" t="s">
        <v>330</v>
      </c>
      <c r="AB278" s="2913" t="s">
        <v>330</v>
      </c>
      <c r="AC278" s="2913" t="s">
        <v>330</v>
      </c>
      <c r="AD278" s="2928"/>
      <c r="AE278" s="2928"/>
      <c r="AF278" s="2928" t="s">
        <v>330</v>
      </c>
      <c r="AG278" s="2928" t="s">
        <v>330</v>
      </c>
      <c r="AH278" s="178"/>
      <c r="AI278" s="179"/>
    </row>
    <row r="279" spans="1:36" ht="21" customHeight="1" x14ac:dyDescent="0.2"/>
    <row r="280" spans="1:36" ht="24" customHeight="1" x14ac:dyDescent="0.2"/>
    <row r="281" spans="1:36" ht="25.5" customHeight="1" thickBot="1" x14ac:dyDescent="0.25">
      <c r="A281" s="158" t="s">
        <v>331</v>
      </c>
    </row>
    <row r="282" spans="1:36" ht="21" customHeight="1" x14ac:dyDescent="0.2">
      <c r="A282" s="1"/>
      <c r="B282" s="3168" t="s">
        <v>281</v>
      </c>
      <c r="C282" s="3003"/>
      <c r="D282" s="3402" t="s">
        <v>107</v>
      </c>
      <c r="E282" s="3312"/>
      <c r="F282" s="3378"/>
      <c r="G282" s="3003"/>
      <c r="H282" s="3402" t="s">
        <v>108</v>
      </c>
      <c r="I282" s="3312"/>
      <c r="J282" s="3378"/>
      <c r="K282" s="3003"/>
      <c r="L282" s="3402" t="s">
        <v>109</v>
      </c>
      <c r="M282" s="3312"/>
      <c r="N282" s="3378"/>
      <c r="O282" s="3003"/>
      <c r="P282" s="3402" t="s">
        <v>110</v>
      </c>
      <c r="Q282" s="3312"/>
      <c r="R282" s="3378"/>
      <c r="S282" s="3003"/>
      <c r="T282" s="3402" t="s">
        <v>111</v>
      </c>
      <c r="U282" s="3312"/>
      <c r="V282" s="3378"/>
      <c r="W282" s="3003"/>
      <c r="X282" s="3402" t="s">
        <v>112</v>
      </c>
      <c r="Y282" s="3312"/>
      <c r="Z282" s="3378"/>
      <c r="AA282" s="3003"/>
      <c r="AB282" s="3402" t="s">
        <v>113</v>
      </c>
      <c r="AC282" s="3312"/>
      <c r="AD282" s="3312"/>
      <c r="AE282" s="3405" t="s">
        <v>114</v>
      </c>
      <c r="AF282" s="3312"/>
      <c r="AG282" s="3312"/>
      <c r="AH282" s="3312"/>
      <c r="AI282" s="3313"/>
    </row>
    <row r="283" spans="1:36" ht="21" customHeight="1" x14ac:dyDescent="0.2">
      <c r="A283" s="1"/>
      <c r="B283" s="3"/>
      <c r="C283" s="8"/>
      <c r="D283" s="116"/>
      <c r="E283" s="14"/>
      <c r="F283" s="115"/>
      <c r="G283" s="8"/>
      <c r="H283" s="116"/>
      <c r="I283" s="14"/>
      <c r="J283" s="115"/>
      <c r="K283" s="8"/>
      <c r="L283" s="116"/>
      <c r="M283" s="14"/>
      <c r="N283" s="115"/>
      <c r="O283" s="8"/>
      <c r="P283" s="116"/>
      <c r="Q283" s="14"/>
      <c r="R283" s="115"/>
      <c r="S283" s="8"/>
      <c r="T283" s="116"/>
      <c r="U283" s="14"/>
      <c r="V283" s="115"/>
      <c r="W283" s="8"/>
      <c r="X283" s="116"/>
      <c r="Y283" s="14"/>
      <c r="Z283" s="115"/>
      <c r="AA283" s="8"/>
      <c r="AB283" s="116"/>
      <c r="AC283" s="14"/>
      <c r="AD283" s="14"/>
      <c r="AE283" s="117"/>
      <c r="AF283" s="14"/>
      <c r="AG283" s="14"/>
      <c r="AH283" s="14"/>
      <c r="AI283" s="118"/>
    </row>
    <row r="284" spans="1:36" ht="21" customHeight="1" x14ac:dyDescent="0.2">
      <c r="A284" s="110"/>
      <c r="B284" s="3454"/>
      <c r="C284" s="2958"/>
      <c r="D284" s="3224"/>
      <c r="E284" s="3224"/>
      <c r="F284" s="3048"/>
      <c r="G284" s="2958"/>
      <c r="H284" s="3224"/>
      <c r="I284" s="3224"/>
      <c r="J284" s="3048"/>
      <c r="K284" s="2958"/>
      <c r="L284" s="3224"/>
      <c r="M284" s="3224"/>
      <c r="N284" s="3048"/>
      <c r="O284" s="2958"/>
      <c r="P284" s="3224"/>
      <c r="Q284" s="3224"/>
      <c r="R284" s="3048"/>
      <c r="S284" s="2958"/>
      <c r="T284" s="3224"/>
      <c r="U284" s="3224"/>
      <c r="V284" s="3048"/>
      <c r="W284" s="2958"/>
      <c r="X284" s="3224"/>
      <c r="Y284" s="3224"/>
      <c r="Z284" s="3048"/>
      <c r="AA284" s="3046"/>
      <c r="AB284" s="3224"/>
      <c r="AC284" s="3224"/>
      <c r="AD284" s="2959"/>
      <c r="AE284" s="3466"/>
      <c r="AF284" s="3224"/>
      <c r="AG284" s="3224"/>
      <c r="AH284" s="2959"/>
      <c r="AI284" s="3233"/>
    </row>
    <row r="285" spans="1:36" ht="21" customHeight="1" thickBot="1" x14ac:dyDescent="0.25">
      <c r="A285" s="1"/>
      <c r="B285" s="1056"/>
      <c r="C285" s="3058"/>
      <c r="D285" s="2881"/>
      <c r="E285" s="2881"/>
      <c r="F285" s="3082"/>
      <c r="G285" s="3058"/>
      <c r="H285" s="2881"/>
      <c r="I285" s="2881"/>
      <c r="J285" s="3082"/>
      <c r="K285" s="3058"/>
      <c r="L285" s="2881"/>
      <c r="M285" s="2881"/>
      <c r="N285" s="3082"/>
      <c r="O285" s="3058"/>
      <c r="P285" s="2881"/>
      <c r="Q285" s="2881"/>
      <c r="R285" s="3082"/>
      <c r="S285" s="3058"/>
      <c r="T285" s="2881"/>
      <c r="U285" s="2881"/>
      <c r="V285" s="3082"/>
      <c r="W285" s="3080"/>
      <c r="X285" s="2881"/>
      <c r="Y285" s="2881"/>
      <c r="Z285" s="3082"/>
      <c r="AA285" s="3080"/>
      <c r="AB285" s="2881"/>
      <c r="AC285" s="2881"/>
      <c r="AD285" s="3065"/>
      <c r="AE285" s="3080"/>
      <c r="AF285" s="2881"/>
      <c r="AG285" s="2881"/>
      <c r="AH285" s="3065"/>
      <c r="AI285" s="2888"/>
    </row>
    <row r="286" spans="1:36" ht="21" customHeight="1" x14ac:dyDescent="0.2">
      <c r="A286" s="1"/>
      <c r="B286" s="18"/>
      <c r="C286" s="64"/>
      <c r="F286" s="69"/>
      <c r="G286" s="64"/>
      <c r="J286" s="69"/>
      <c r="K286" s="64"/>
      <c r="N286" s="69"/>
      <c r="O286" s="64"/>
      <c r="R286" s="69"/>
      <c r="S286" s="64"/>
      <c r="V286" s="69"/>
      <c r="W286" s="69"/>
      <c r="Z286" s="69"/>
      <c r="AA286" s="69"/>
      <c r="AD286" s="69"/>
      <c r="AE286" s="69"/>
      <c r="AH286" s="69"/>
    </row>
    <row r="287" spans="1:36" ht="33" customHeight="1" x14ac:dyDescent="0.2">
      <c r="A287" s="158" t="s">
        <v>332</v>
      </c>
      <c r="B287" s="18"/>
      <c r="C287" s="64"/>
      <c r="F287" s="69"/>
      <c r="G287" s="64"/>
      <c r="J287" s="69"/>
      <c r="K287" s="64"/>
      <c r="N287" s="69"/>
      <c r="O287" s="64"/>
      <c r="R287" s="69"/>
      <c r="S287" s="64"/>
      <c r="V287" s="69"/>
      <c r="W287" s="69"/>
      <c r="Z287" s="69"/>
      <c r="AA287" s="69"/>
      <c r="AD287" s="69"/>
      <c r="AE287" s="69"/>
      <c r="AH287" s="294"/>
      <c r="AI287" s="190"/>
      <c r="AJ287" s="190"/>
    </row>
    <row r="288" spans="1:36" ht="21" customHeight="1" thickBot="1" x14ac:dyDescent="0.25">
      <c r="A288" s="3467" t="s">
        <v>28</v>
      </c>
      <c r="B288" s="3468" t="s">
        <v>29</v>
      </c>
      <c r="C288" s="3242">
        <v>1</v>
      </c>
      <c r="D288" s="3243">
        <v>2</v>
      </c>
      <c r="E288" s="3243">
        <v>3</v>
      </c>
      <c r="F288" s="3243">
        <v>4</v>
      </c>
      <c r="G288" s="3243">
        <v>5</v>
      </c>
      <c r="H288" s="3243">
        <v>6</v>
      </c>
      <c r="I288" s="3242">
        <v>7</v>
      </c>
      <c r="J288" s="3242">
        <v>8</v>
      </c>
      <c r="K288" s="3243">
        <v>9</v>
      </c>
      <c r="L288" s="3243">
        <v>10</v>
      </c>
      <c r="M288" s="3243">
        <v>11</v>
      </c>
      <c r="N288" s="3243">
        <v>12</v>
      </c>
      <c r="O288" s="3243">
        <v>13</v>
      </c>
      <c r="P288" s="3242">
        <v>14</v>
      </c>
      <c r="Q288" s="3242">
        <v>15</v>
      </c>
      <c r="R288" s="3243">
        <v>16</v>
      </c>
      <c r="S288" s="3243">
        <v>17</v>
      </c>
      <c r="T288" s="3243">
        <v>18</v>
      </c>
      <c r="U288" s="3243">
        <v>19</v>
      </c>
      <c r="V288" s="3243">
        <v>20</v>
      </c>
      <c r="W288" s="3242">
        <v>21</v>
      </c>
      <c r="X288" s="3242">
        <v>22</v>
      </c>
      <c r="Y288" s="3243">
        <v>23</v>
      </c>
      <c r="Z288" s="3243">
        <v>24</v>
      </c>
      <c r="AA288" s="3243">
        <v>25</v>
      </c>
      <c r="AB288" s="3243">
        <v>26</v>
      </c>
      <c r="AC288" s="3243">
        <v>27</v>
      </c>
      <c r="AD288" s="3242">
        <v>28</v>
      </c>
      <c r="AE288" s="3242">
        <v>29</v>
      </c>
      <c r="AF288" s="3243">
        <v>30</v>
      </c>
      <c r="AG288" s="3244">
        <v>31</v>
      </c>
      <c r="AH288" s="295"/>
      <c r="AI288" s="296"/>
      <c r="AJ288" s="190"/>
    </row>
    <row r="289" spans="1:36" ht="21" customHeight="1" x14ac:dyDescent="0.2">
      <c r="A289" s="88"/>
      <c r="B289" s="3469" t="s">
        <v>333</v>
      </c>
      <c r="C289" s="3248"/>
      <c r="D289" s="3248" t="s">
        <v>32</v>
      </c>
      <c r="E289" s="3248" t="s">
        <v>32</v>
      </c>
      <c r="F289" s="3248" t="s">
        <v>32</v>
      </c>
      <c r="G289" s="3249" t="s">
        <v>32</v>
      </c>
      <c r="H289" s="3299" t="s">
        <v>32</v>
      </c>
      <c r="I289" s="3249"/>
      <c r="J289" s="3249"/>
      <c r="K289" s="3249" t="s">
        <v>32</v>
      </c>
      <c r="L289" s="3249" t="s">
        <v>32</v>
      </c>
      <c r="M289" s="3249" t="s">
        <v>32</v>
      </c>
      <c r="N289" s="3299" t="s">
        <v>32</v>
      </c>
      <c r="O289" s="3299" t="s">
        <v>32</v>
      </c>
      <c r="P289" s="3299"/>
      <c r="Q289" s="3252"/>
      <c r="R289" s="3299" t="s">
        <v>32</v>
      </c>
      <c r="S289" s="3249" t="s">
        <v>32</v>
      </c>
      <c r="T289" s="3249" t="s">
        <v>32</v>
      </c>
      <c r="U289" s="3299" t="s">
        <v>32</v>
      </c>
      <c r="V289" s="3299" t="s">
        <v>32</v>
      </c>
      <c r="W289" s="3299"/>
      <c r="X289" s="3249"/>
      <c r="Y289" s="3299" t="s">
        <v>32</v>
      </c>
      <c r="Z289" s="3249" t="s">
        <v>32</v>
      </c>
      <c r="AA289" s="3249" t="s">
        <v>32</v>
      </c>
      <c r="AB289" s="3249" t="s">
        <v>32</v>
      </c>
      <c r="AC289" s="3249" t="s">
        <v>32</v>
      </c>
      <c r="AD289" s="3299"/>
      <c r="AE289" s="3299"/>
      <c r="AF289" s="3299" t="s">
        <v>32</v>
      </c>
      <c r="AG289" s="300" t="s">
        <v>32</v>
      </c>
      <c r="AH289" s="297"/>
      <c r="AI289" s="298"/>
      <c r="AJ289" s="190"/>
    </row>
    <row r="290" spans="1:36" ht="21" customHeight="1" x14ac:dyDescent="0.2">
      <c r="A290" s="3470"/>
      <c r="B290" s="1175" t="s">
        <v>334</v>
      </c>
      <c r="C290" s="3249"/>
      <c r="D290" s="3249" t="s">
        <v>32</v>
      </c>
      <c r="E290" s="3249" t="s">
        <v>32</v>
      </c>
      <c r="F290" s="3249" t="s">
        <v>32</v>
      </c>
      <c r="G290" s="3249" t="s">
        <v>32</v>
      </c>
      <c r="H290" s="3249" t="s">
        <v>32</v>
      </c>
      <c r="I290" s="3249"/>
      <c r="J290" s="3249"/>
      <c r="K290" s="3249" t="s">
        <v>32</v>
      </c>
      <c r="L290" s="3249" t="s">
        <v>32</v>
      </c>
      <c r="M290" s="3249" t="s">
        <v>32</v>
      </c>
      <c r="N290" s="3299" t="s">
        <v>32</v>
      </c>
      <c r="O290" s="3299" t="s">
        <v>32</v>
      </c>
      <c r="P290" s="3299"/>
      <c r="Q290" s="3252"/>
      <c r="R290" s="3299" t="s">
        <v>32</v>
      </c>
      <c r="S290" s="3249" t="s">
        <v>32</v>
      </c>
      <c r="T290" s="3249" t="s">
        <v>32</v>
      </c>
      <c r="U290" s="3299" t="s">
        <v>32</v>
      </c>
      <c r="V290" s="3299" t="s">
        <v>32</v>
      </c>
      <c r="W290" s="3299"/>
      <c r="X290" s="3249"/>
      <c r="Y290" s="3299" t="s">
        <v>32</v>
      </c>
      <c r="Z290" s="3249" t="s">
        <v>32</v>
      </c>
      <c r="AA290" s="3249" t="s">
        <v>32</v>
      </c>
      <c r="AB290" s="3249" t="s">
        <v>32</v>
      </c>
      <c r="AC290" s="3249" t="s">
        <v>32</v>
      </c>
      <c r="AD290" s="3299"/>
      <c r="AE290" s="3299"/>
      <c r="AF290" s="3299" t="s">
        <v>32</v>
      </c>
      <c r="AG290" s="3471" t="s">
        <v>32</v>
      </c>
      <c r="AH290" s="297"/>
      <c r="AI290" s="298"/>
      <c r="AJ290" s="190"/>
    </row>
    <row r="291" spans="1:36" ht="21" customHeight="1" x14ac:dyDescent="0.2">
      <c r="A291" s="2889"/>
      <c r="B291" s="1175" t="s">
        <v>335</v>
      </c>
      <c r="C291" s="3299"/>
      <c r="D291" s="3249" t="s">
        <v>32</v>
      </c>
      <c r="E291" s="3249" t="s">
        <v>32</v>
      </c>
      <c r="F291" s="3249" t="s">
        <v>32</v>
      </c>
      <c r="G291" s="3249" t="s">
        <v>32</v>
      </c>
      <c r="H291" s="3249" t="s">
        <v>32</v>
      </c>
      <c r="I291" s="3249"/>
      <c r="J291" s="3249"/>
      <c r="K291" s="3249" t="s">
        <v>32</v>
      </c>
      <c r="L291" s="3297" t="s">
        <v>32</v>
      </c>
      <c r="M291" s="3249" t="s">
        <v>32</v>
      </c>
      <c r="N291" s="3299" t="s">
        <v>32</v>
      </c>
      <c r="O291" s="3299" t="s">
        <v>32</v>
      </c>
      <c r="P291" s="3299"/>
      <c r="Q291" s="3252"/>
      <c r="R291" s="3299" t="s">
        <v>32</v>
      </c>
      <c r="S291" s="3249" t="s">
        <v>32</v>
      </c>
      <c r="T291" s="3249" t="s">
        <v>32</v>
      </c>
      <c r="U291" s="3299" t="s">
        <v>32</v>
      </c>
      <c r="V291" s="3299" t="s">
        <v>32</v>
      </c>
      <c r="W291" s="3299"/>
      <c r="X291" s="3249"/>
      <c r="Y291" s="3299" t="s">
        <v>32</v>
      </c>
      <c r="Z291" s="3249" t="s">
        <v>32</v>
      </c>
      <c r="AA291" s="3249" t="s">
        <v>32</v>
      </c>
      <c r="AB291" s="3249" t="s">
        <v>32</v>
      </c>
      <c r="AC291" s="3249" t="s">
        <v>32</v>
      </c>
      <c r="AD291" s="3249"/>
      <c r="AE291" s="3249"/>
      <c r="AF291" s="3249" t="s">
        <v>32</v>
      </c>
      <c r="AG291" s="3471" t="s">
        <v>32</v>
      </c>
      <c r="AH291" s="297"/>
      <c r="AI291" s="298"/>
      <c r="AJ291" s="190"/>
    </row>
    <row r="292" spans="1:36" ht="21" customHeight="1" x14ac:dyDescent="0.2">
      <c r="A292" s="3472"/>
      <c r="B292" s="1175" t="s">
        <v>336</v>
      </c>
      <c r="C292" s="3249"/>
      <c r="D292" s="3249" t="s">
        <v>32</v>
      </c>
      <c r="E292" s="3249" t="s">
        <v>32</v>
      </c>
      <c r="F292" s="3249" t="s">
        <v>32</v>
      </c>
      <c r="G292" s="3249" t="s">
        <v>32</v>
      </c>
      <c r="H292" s="3249" t="s">
        <v>32</v>
      </c>
      <c r="I292" s="3249"/>
      <c r="J292" s="3249"/>
      <c r="K292" s="3249" t="s">
        <v>32</v>
      </c>
      <c r="L292" s="3249" t="s">
        <v>32</v>
      </c>
      <c r="M292" s="3249" t="s">
        <v>32</v>
      </c>
      <c r="N292" s="3299" t="s">
        <v>32</v>
      </c>
      <c r="O292" s="3305" t="s">
        <v>32</v>
      </c>
      <c r="P292" s="3299"/>
      <c r="Q292" s="3252"/>
      <c r="R292" s="3299" t="s">
        <v>32</v>
      </c>
      <c r="S292" s="3249" t="s">
        <v>32</v>
      </c>
      <c r="T292" s="3249" t="s">
        <v>32</v>
      </c>
      <c r="U292" s="3299" t="s">
        <v>32</v>
      </c>
      <c r="V292" s="3299" t="s">
        <v>32</v>
      </c>
      <c r="W292" s="3299"/>
      <c r="X292" s="3249"/>
      <c r="Y292" s="3299" t="s">
        <v>32</v>
      </c>
      <c r="Z292" s="3249" t="s">
        <v>32</v>
      </c>
      <c r="AA292" s="3249" t="s">
        <v>32</v>
      </c>
      <c r="AB292" s="3249" t="s">
        <v>32</v>
      </c>
      <c r="AC292" s="3249" t="s">
        <v>32</v>
      </c>
      <c r="AD292" s="3299"/>
      <c r="AE292" s="3299"/>
      <c r="AF292" s="3299" t="s">
        <v>32</v>
      </c>
      <c r="AG292" s="3471" t="s">
        <v>32</v>
      </c>
      <c r="AH292" s="297"/>
      <c r="AI292" s="298"/>
      <c r="AJ292" s="190"/>
    </row>
    <row r="293" spans="1:36" ht="21" customHeight="1" x14ac:dyDescent="0.2">
      <c r="A293" s="3472"/>
      <c r="B293" s="1175" t="s">
        <v>337</v>
      </c>
      <c r="C293" s="3249"/>
      <c r="D293" s="3249" t="s">
        <v>32</v>
      </c>
      <c r="E293" s="3249" t="s">
        <v>32</v>
      </c>
      <c r="F293" s="3249" t="s">
        <v>32</v>
      </c>
      <c r="G293" s="3249" t="s">
        <v>32</v>
      </c>
      <c r="H293" s="3249" t="s">
        <v>32</v>
      </c>
      <c r="I293" s="3249"/>
      <c r="J293" s="3249"/>
      <c r="K293" s="3249" t="s">
        <v>32</v>
      </c>
      <c r="L293" s="3249" t="s">
        <v>32</v>
      </c>
      <c r="M293" s="3249" t="s">
        <v>32</v>
      </c>
      <c r="N293" s="3299" t="s">
        <v>32</v>
      </c>
      <c r="O293" s="3299" t="s">
        <v>32</v>
      </c>
      <c r="P293" s="3299"/>
      <c r="Q293" s="3252"/>
      <c r="R293" s="3299" t="s">
        <v>32</v>
      </c>
      <c r="S293" s="3249" t="s">
        <v>32</v>
      </c>
      <c r="T293" s="3249" t="s">
        <v>32</v>
      </c>
      <c r="U293" s="3299" t="s">
        <v>32</v>
      </c>
      <c r="V293" s="3299" t="s">
        <v>32</v>
      </c>
      <c r="W293" s="3299"/>
      <c r="X293" s="3249"/>
      <c r="Y293" s="3299" t="s">
        <v>32</v>
      </c>
      <c r="Z293" s="3299" t="s">
        <v>32</v>
      </c>
      <c r="AA293" s="3299" t="s">
        <v>32</v>
      </c>
      <c r="AB293" s="3299" t="s">
        <v>32</v>
      </c>
      <c r="AC293" s="3299" t="s">
        <v>32</v>
      </c>
      <c r="AD293" s="3299"/>
      <c r="AE293" s="3299"/>
      <c r="AF293" s="3299" t="s">
        <v>32</v>
      </c>
      <c r="AG293" s="3073" t="s">
        <v>32</v>
      </c>
      <c r="AH293" s="297"/>
      <c r="AI293" s="298"/>
      <c r="AJ293" s="190"/>
    </row>
    <row r="294" spans="1:36" ht="21" customHeight="1" x14ac:dyDescent="0.2">
      <c r="A294" s="3472"/>
      <c r="B294" s="1175" t="s">
        <v>338</v>
      </c>
      <c r="C294" s="3249"/>
      <c r="D294" s="3249" t="s">
        <v>32</v>
      </c>
      <c r="E294" s="3249" t="s">
        <v>32</v>
      </c>
      <c r="F294" s="3249" t="s">
        <v>32</v>
      </c>
      <c r="G294" s="3249" t="s">
        <v>32</v>
      </c>
      <c r="H294" s="3249" t="s">
        <v>32</v>
      </c>
      <c r="I294" s="3249"/>
      <c r="J294" s="3249"/>
      <c r="K294" s="3249" t="s">
        <v>32</v>
      </c>
      <c r="L294" s="3249" t="s">
        <v>32</v>
      </c>
      <c r="M294" s="3249" t="s">
        <v>32</v>
      </c>
      <c r="N294" s="3299" t="s">
        <v>32</v>
      </c>
      <c r="O294" s="3299" t="s">
        <v>32</v>
      </c>
      <c r="P294" s="3299"/>
      <c r="Q294" s="3252"/>
      <c r="R294" s="3299" t="s">
        <v>32</v>
      </c>
      <c r="S294" s="3249" t="s">
        <v>32</v>
      </c>
      <c r="T294" s="3249" t="s">
        <v>32</v>
      </c>
      <c r="U294" s="3299" t="s">
        <v>32</v>
      </c>
      <c r="V294" s="3299" t="s">
        <v>32</v>
      </c>
      <c r="W294" s="3299"/>
      <c r="X294" s="3249"/>
      <c r="Y294" s="3299" t="s">
        <v>32</v>
      </c>
      <c r="Z294" s="3249" t="s">
        <v>32</v>
      </c>
      <c r="AA294" s="3249" t="s">
        <v>32</v>
      </c>
      <c r="AB294" s="3249" t="s">
        <v>32</v>
      </c>
      <c r="AC294" s="3297" t="s">
        <v>32</v>
      </c>
      <c r="AD294" s="3299"/>
      <c r="AE294" s="3299"/>
      <c r="AF294" s="3299" t="s">
        <v>32</v>
      </c>
      <c r="AG294" s="2922" t="s">
        <v>32</v>
      </c>
      <c r="AH294" s="297"/>
      <c r="AI294" s="298"/>
      <c r="AJ294" s="190"/>
    </row>
    <row r="295" spans="1:36" ht="21" customHeight="1" x14ac:dyDescent="0.2">
      <c r="A295" s="3472"/>
      <c r="B295" s="1175" t="s">
        <v>339</v>
      </c>
      <c r="C295" s="3249"/>
      <c r="D295" s="3249" t="s">
        <v>32</v>
      </c>
      <c r="E295" s="3249" t="s">
        <v>32</v>
      </c>
      <c r="F295" s="3249" t="s">
        <v>32</v>
      </c>
      <c r="G295" s="3249" t="s">
        <v>32</v>
      </c>
      <c r="H295" s="3249" t="s">
        <v>32</v>
      </c>
      <c r="I295" s="3249"/>
      <c r="J295" s="3249"/>
      <c r="K295" s="3249" t="s">
        <v>32</v>
      </c>
      <c r="L295" s="3305" t="s">
        <v>32</v>
      </c>
      <c r="M295" s="3249" t="s">
        <v>32</v>
      </c>
      <c r="N295" s="3299" t="s">
        <v>32</v>
      </c>
      <c r="O295" s="3299" t="s">
        <v>32</v>
      </c>
      <c r="P295" s="3299"/>
      <c r="Q295" s="3252"/>
      <c r="R295" s="3299" t="s">
        <v>32</v>
      </c>
      <c r="S295" s="3249" t="s">
        <v>32</v>
      </c>
      <c r="T295" s="3249" t="s">
        <v>32</v>
      </c>
      <c r="U295" s="3299" t="s">
        <v>32</v>
      </c>
      <c r="V295" s="3299" t="s">
        <v>32</v>
      </c>
      <c r="W295" s="3299"/>
      <c r="X295" s="3299"/>
      <c r="Y295" s="3299" t="s">
        <v>32</v>
      </c>
      <c r="Z295" s="3249" t="s">
        <v>32</v>
      </c>
      <c r="AA295" s="3249" t="s">
        <v>32</v>
      </c>
      <c r="AB295" s="3249" t="s">
        <v>32</v>
      </c>
      <c r="AC295" s="3249" t="s">
        <v>32</v>
      </c>
      <c r="AD295" s="3299"/>
      <c r="AE295" s="3299"/>
      <c r="AF295" s="3299" t="s">
        <v>32</v>
      </c>
      <c r="AG295" s="2922" t="s">
        <v>32</v>
      </c>
      <c r="AH295" s="297"/>
      <c r="AI295" s="298"/>
      <c r="AJ295" s="190"/>
    </row>
    <row r="296" spans="1:36" ht="21" customHeight="1" x14ac:dyDescent="0.2">
      <c r="A296" s="3472"/>
      <c r="B296" s="1175"/>
      <c r="C296" s="3249"/>
      <c r="D296" s="3249" t="s">
        <v>32</v>
      </c>
      <c r="E296" s="3249" t="s">
        <v>32</v>
      </c>
      <c r="F296" s="3249" t="s">
        <v>32</v>
      </c>
      <c r="G296" s="3249" t="s">
        <v>32</v>
      </c>
      <c r="H296" s="3249" t="s">
        <v>32</v>
      </c>
      <c r="I296" s="3249"/>
      <c r="J296" s="3249"/>
      <c r="K296" s="3249" t="s">
        <v>32</v>
      </c>
      <c r="L296" s="3249" t="s">
        <v>32</v>
      </c>
      <c r="M296" s="3249" t="s">
        <v>32</v>
      </c>
      <c r="N296" s="3299" t="s">
        <v>32</v>
      </c>
      <c r="O296" s="3299" t="s">
        <v>32</v>
      </c>
      <c r="P296" s="3299"/>
      <c r="Q296" s="3252"/>
      <c r="R296" s="3299" t="s">
        <v>32</v>
      </c>
      <c r="S296" s="3249" t="s">
        <v>32</v>
      </c>
      <c r="T296" s="3249" t="s">
        <v>32</v>
      </c>
      <c r="U296" s="3299" t="s">
        <v>32</v>
      </c>
      <c r="V296" s="3299" t="s">
        <v>32</v>
      </c>
      <c r="W296" s="3299"/>
      <c r="X296" s="3249"/>
      <c r="Y296" s="3299" t="s">
        <v>32</v>
      </c>
      <c r="Z296" s="3249" t="s">
        <v>32</v>
      </c>
      <c r="AA296" s="3249" t="s">
        <v>32</v>
      </c>
      <c r="AB296" s="3249" t="s">
        <v>32</v>
      </c>
      <c r="AC296" s="3249" t="s">
        <v>32</v>
      </c>
      <c r="AD296" s="3249"/>
      <c r="AE296" s="3249"/>
      <c r="AF296" s="3249" t="s">
        <v>32</v>
      </c>
      <c r="AG296" s="2922" t="s">
        <v>32</v>
      </c>
      <c r="AH296" s="297"/>
      <c r="AI296" s="298"/>
      <c r="AJ296" s="190"/>
    </row>
    <row r="297" spans="1:36" ht="21" customHeight="1" x14ac:dyDescent="0.2">
      <c r="A297" s="3472"/>
      <c r="B297" s="1175" t="s">
        <v>340</v>
      </c>
      <c r="C297" s="3249"/>
      <c r="D297" s="3249" t="s">
        <v>32</v>
      </c>
      <c r="E297" s="3249" t="s">
        <v>32</v>
      </c>
      <c r="F297" s="3249" t="s">
        <v>32</v>
      </c>
      <c r="G297" s="3249" t="s">
        <v>32</v>
      </c>
      <c r="H297" s="3249" t="s">
        <v>32</v>
      </c>
      <c r="I297" s="3249"/>
      <c r="J297" s="3249"/>
      <c r="K297" s="3249" t="s">
        <v>32</v>
      </c>
      <c r="L297" s="3249" t="s">
        <v>32</v>
      </c>
      <c r="M297" s="3249" t="s">
        <v>32</v>
      </c>
      <c r="N297" s="3299" t="s">
        <v>32</v>
      </c>
      <c r="O297" s="3299" t="s">
        <v>32</v>
      </c>
      <c r="P297" s="3299"/>
      <c r="Q297" s="3252"/>
      <c r="R297" s="3299" t="s">
        <v>32</v>
      </c>
      <c r="S297" s="3249" t="s">
        <v>32</v>
      </c>
      <c r="T297" s="3249" t="s">
        <v>32</v>
      </c>
      <c r="U297" s="3299" t="s">
        <v>32</v>
      </c>
      <c r="V297" s="3299" t="s">
        <v>32</v>
      </c>
      <c r="W297" s="3299"/>
      <c r="X297" s="3249"/>
      <c r="Y297" s="3299" t="s">
        <v>32</v>
      </c>
      <c r="Z297" s="3249" t="s">
        <v>32</v>
      </c>
      <c r="AA297" s="3249" t="s">
        <v>32</v>
      </c>
      <c r="AB297" s="3249" t="s">
        <v>32</v>
      </c>
      <c r="AC297" s="3249" t="s">
        <v>32</v>
      </c>
      <c r="AD297" s="3299"/>
      <c r="AE297" s="3299"/>
      <c r="AF297" s="3299" t="s">
        <v>32</v>
      </c>
      <c r="AG297" s="2922" t="s">
        <v>32</v>
      </c>
      <c r="AH297" s="297"/>
      <c r="AI297" s="298"/>
      <c r="AJ297" s="190"/>
    </row>
    <row r="298" spans="1:36" ht="21" customHeight="1" x14ac:dyDescent="0.2">
      <c r="A298" s="3472"/>
      <c r="B298" s="1175" t="s">
        <v>341</v>
      </c>
      <c r="C298" s="3249"/>
      <c r="D298" s="3249" t="s">
        <v>32</v>
      </c>
      <c r="E298" s="3249" t="s">
        <v>32</v>
      </c>
      <c r="F298" s="3249" t="s">
        <v>32</v>
      </c>
      <c r="G298" s="3249" t="s">
        <v>32</v>
      </c>
      <c r="H298" s="3299" t="s">
        <v>32</v>
      </c>
      <c r="I298" s="3299"/>
      <c r="J298" s="3299"/>
      <c r="K298" s="3299" t="s">
        <v>32</v>
      </c>
      <c r="L298" s="3249" t="s">
        <v>32</v>
      </c>
      <c r="M298" s="3249" t="s">
        <v>32</v>
      </c>
      <c r="N298" s="3299" t="s">
        <v>32</v>
      </c>
      <c r="O298" s="3299" t="s">
        <v>32</v>
      </c>
      <c r="P298" s="3299"/>
      <c r="Q298" s="3252"/>
      <c r="R298" s="3299" t="s">
        <v>32</v>
      </c>
      <c r="S298" s="3249" t="s">
        <v>32</v>
      </c>
      <c r="T298" s="3249" t="s">
        <v>32</v>
      </c>
      <c r="U298" s="3299" t="s">
        <v>32</v>
      </c>
      <c r="V298" s="3305" t="s">
        <v>32</v>
      </c>
      <c r="W298" s="3305"/>
      <c r="X298" s="3305"/>
      <c r="Y298" s="3299" t="s">
        <v>32</v>
      </c>
      <c r="Z298" s="3249" t="s">
        <v>32</v>
      </c>
      <c r="AA298" s="3249" t="s">
        <v>32</v>
      </c>
      <c r="AB298" s="3249" t="s">
        <v>32</v>
      </c>
      <c r="AC298" s="3249" t="s">
        <v>32</v>
      </c>
      <c r="AD298" s="3299"/>
      <c r="AE298" s="3299"/>
      <c r="AF298" s="3299" t="s">
        <v>32</v>
      </c>
      <c r="AG298" s="2922" t="s">
        <v>32</v>
      </c>
      <c r="AH298" s="297"/>
      <c r="AI298" s="298"/>
      <c r="AJ298" s="190"/>
    </row>
    <row r="299" spans="1:36" ht="21" customHeight="1" x14ac:dyDescent="0.2">
      <c r="A299" s="3472"/>
      <c r="B299" s="1175" t="s">
        <v>342</v>
      </c>
      <c r="C299" s="3249"/>
      <c r="D299" s="3249" t="s">
        <v>32</v>
      </c>
      <c r="E299" s="3249" t="s">
        <v>32</v>
      </c>
      <c r="F299" s="3249" t="s">
        <v>32</v>
      </c>
      <c r="G299" s="3249" t="s">
        <v>32</v>
      </c>
      <c r="H299" s="3249" t="s">
        <v>32</v>
      </c>
      <c r="I299" s="3249"/>
      <c r="J299" s="3249"/>
      <c r="K299" s="3249" t="s">
        <v>32</v>
      </c>
      <c r="L299" s="3249" t="s">
        <v>32</v>
      </c>
      <c r="M299" s="3249" t="s">
        <v>32</v>
      </c>
      <c r="N299" s="3299" t="s">
        <v>32</v>
      </c>
      <c r="O299" s="3299" t="s">
        <v>32</v>
      </c>
      <c r="P299" s="3299"/>
      <c r="Q299" s="3252"/>
      <c r="R299" s="3299" t="s">
        <v>32</v>
      </c>
      <c r="S299" s="3249" t="s">
        <v>32</v>
      </c>
      <c r="T299" s="3249" t="s">
        <v>32</v>
      </c>
      <c r="U299" s="3299" t="s">
        <v>32</v>
      </c>
      <c r="V299" s="1364" t="s">
        <v>32</v>
      </c>
      <c r="W299" s="3299"/>
      <c r="X299" s="3249"/>
      <c r="Y299" s="3299" t="s">
        <v>32</v>
      </c>
      <c r="Z299" s="3249" t="s">
        <v>32</v>
      </c>
      <c r="AA299" s="3249" t="s">
        <v>32</v>
      </c>
      <c r="AB299" s="3249" t="s">
        <v>32</v>
      </c>
      <c r="AC299" s="3249" t="s">
        <v>32</v>
      </c>
      <c r="AD299" s="3249"/>
      <c r="AE299" s="3249"/>
      <c r="AF299" s="3249" t="s">
        <v>32</v>
      </c>
      <c r="AG299" s="2922" t="s">
        <v>32</v>
      </c>
      <c r="AH299" s="297"/>
      <c r="AI299" s="298"/>
      <c r="AJ299" s="190"/>
    </row>
    <row r="300" spans="1:36" ht="21" customHeight="1" x14ac:dyDescent="0.2">
      <c r="A300" s="3472"/>
      <c r="B300" s="1175"/>
      <c r="C300" s="3249"/>
      <c r="D300" s="3304"/>
      <c r="E300" s="3249"/>
      <c r="F300" s="3249"/>
      <c r="G300" s="3249"/>
      <c r="H300" s="3249"/>
      <c r="I300" s="3249"/>
      <c r="J300" s="3249"/>
      <c r="K300" s="3249"/>
      <c r="L300" s="3249"/>
      <c r="M300" s="3249"/>
      <c r="N300" s="3249"/>
      <c r="O300" s="3249"/>
      <c r="P300" s="3249"/>
      <c r="Q300" s="3249"/>
      <c r="R300" s="3249"/>
      <c r="S300" s="3249"/>
      <c r="T300" s="3249"/>
      <c r="U300" s="3249"/>
      <c r="V300" s="3249"/>
      <c r="W300" s="3249"/>
      <c r="X300" s="3249"/>
      <c r="Y300" s="3249"/>
      <c r="Z300" s="3249"/>
      <c r="AA300" s="3249"/>
      <c r="AB300" s="3249"/>
      <c r="AC300" s="3249"/>
      <c r="AD300" s="3249"/>
      <c r="AE300" s="3249"/>
      <c r="AF300" s="3249"/>
      <c r="AG300" s="2922"/>
      <c r="AH300" s="297"/>
      <c r="AI300" s="298"/>
      <c r="AJ300" s="190"/>
    </row>
    <row r="301" spans="1:36" ht="21" customHeight="1" x14ac:dyDescent="0.2">
      <c r="A301" s="3293"/>
      <c r="B301" s="3473"/>
      <c r="C301" s="2918"/>
      <c r="D301" s="2918"/>
      <c r="E301" s="2918"/>
      <c r="F301" s="2918"/>
      <c r="G301" s="2918"/>
      <c r="H301" s="2918"/>
      <c r="I301" s="2918"/>
      <c r="J301" s="2918"/>
      <c r="K301" s="2918"/>
      <c r="L301" s="2918"/>
      <c r="M301" s="2918"/>
      <c r="N301" s="3277"/>
      <c r="O301" s="3277"/>
      <c r="P301" s="2918"/>
      <c r="Q301" s="2918"/>
      <c r="R301" s="2918"/>
      <c r="S301" s="2918"/>
      <c r="T301" s="2918"/>
      <c r="U301" s="2918"/>
      <c r="V301" s="2918"/>
      <c r="W301" s="2918"/>
      <c r="X301" s="2918"/>
      <c r="Y301" s="2918"/>
      <c r="Z301" s="2918"/>
      <c r="AA301" s="2918"/>
      <c r="AB301" s="3277"/>
      <c r="AC301" s="3277"/>
      <c r="AD301" s="2918"/>
      <c r="AE301" s="2918"/>
      <c r="AF301" s="2918"/>
      <c r="AG301" s="2922"/>
      <c r="AH301" s="297"/>
      <c r="AI301" s="299"/>
      <c r="AJ301" s="190"/>
    </row>
    <row r="302" spans="1:36" ht="21" customHeight="1" thickBot="1" x14ac:dyDescent="0.25">
      <c r="A302" s="3474"/>
      <c r="B302" s="3475"/>
      <c r="C302" s="3476"/>
      <c r="D302" s="3477"/>
      <c r="E302" s="3477"/>
      <c r="F302" s="3477"/>
      <c r="G302" s="3477"/>
      <c r="H302" s="3477"/>
      <c r="I302" s="3477"/>
      <c r="J302" s="3477"/>
      <c r="K302" s="3477"/>
      <c r="L302" s="3477"/>
      <c r="M302" s="3477"/>
      <c r="N302" s="3478"/>
      <c r="O302" s="3478"/>
      <c r="P302" s="3477"/>
      <c r="Q302" s="3477"/>
      <c r="R302" s="3477"/>
      <c r="S302" s="3477"/>
      <c r="T302" s="3477"/>
      <c r="U302" s="3477"/>
      <c r="V302" s="3477"/>
      <c r="W302" s="3477"/>
      <c r="X302" s="3477"/>
      <c r="Y302" s="3477"/>
      <c r="Z302" s="3477"/>
      <c r="AA302" s="3477"/>
      <c r="AB302" s="3478"/>
      <c r="AC302" s="3478"/>
      <c r="AD302" s="3477"/>
      <c r="AE302" s="3477"/>
      <c r="AF302" s="3477"/>
      <c r="AG302" s="3479"/>
      <c r="AH302" s="297"/>
      <c r="AI302" s="299"/>
      <c r="AJ302" s="190"/>
    </row>
    <row r="303" spans="1:36" x14ac:dyDescent="0.2">
      <c r="AH303" s="190"/>
      <c r="AI303" s="190"/>
      <c r="AJ303" s="190"/>
    </row>
    <row r="304" spans="1:36" x14ac:dyDescent="0.2">
      <c r="AH304" s="190"/>
      <c r="AI304" s="190"/>
      <c r="AJ304" s="190"/>
    </row>
    <row r="305" spans="34:36" x14ac:dyDescent="0.2">
      <c r="AH305" s="190"/>
      <c r="AI305" s="190"/>
      <c r="AJ305" s="190"/>
    </row>
    <row r="306" spans="34:36" x14ac:dyDescent="0.2">
      <c r="AH306" s="190"/>
      <c r="AI306" s="190"/>
      <c r="AJ306" s="190"/>
    </row>
  </sheetData>
  <sheetProtection algorithmName="SHA-512" hashValue="B/UulHVDC6W0ep441Ky4vIqILpIhsMjq5Iz4IAyxnSnKR7dqN+5I0fpC+bq4oaaxAYYz/3rTScr3fqhLPnio9Q==" saltValue="zHzlEyf2sXyYINMGoWhPLg==" spinCount="100000" sheet="1" objects="1" scenarios="1"/>
  <protectedRanges>
    <protectedRange sqref="B143:B144"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5 B147:B148"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54A0C-FA0A-472A-921B-6200326EB55D}">
  <sheetPr codeName="Ark80"/>
  <dimension ref="A1:AN309"/>
  <sheetViews>
    <sheetView zoomScaleNormal="100" workbookViewId="0">
      <pane xSplit="2" ySplit="3" topLeftCell="C95" activePane="bottomRight" state="frozen"/>
      <selection pane="topRight" activeCell="AE74" sqref="AE74"/>
      <selection pane="bottomLeft" activeCell="AE74" sqref="AE74"/>
      <selection pane="bottomRight" activeCell="A73" sqref="A73:XFD73"/>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38" ht="13.35" customHeight="1" x14ac:dyDescent="0.2">
      <c r="A1" t="s">
        <v>0</v>
      </c>
      <c r="B1" s="1" t="s">
        <v>1</v>
      </c>
    </row>
    <row r="2" spans="1:38" ht="13.35" customHeight="1" x14ac:dyDescent="0.2">
      <c r="B2" s="3480" t="s">
        <v>2</v>
      </c>
      <c r="C2" s="3481" t="s">
        <v>3</v>
      </c>
      <c r="D2" s="3482"/>
      <c r="E2" s="3483" t="s">
        <v>4</v>
      </c>
      <c r="F2" s="3484"/>
      <c r="G2" s="3485"/>
      <c r="H2" s="3485"/>
      <c r="I2" s="3485"/>
      <c r="J2" s="3485"/>
      <c r="K2" s="3486"/>
      <c r="L2" s="3487" t="s">
        <v>5</v>
      </c>
      <c r="M2" s="3488"/>
      <c r="N2" s="3489"/>
      <c r="O2" s="3490" t="s">
        <v>6</v>
      </c>
      <c r="P2" s="3491"/>
      <c r="Q2" s="3492"/>
      <c r="R2" s="3493"/>
      <c r="S2" s="3494" t="s">
        <v>7</v>
      </c>
      <c r="T2" s="3495"/>
      <c r="U2" s="3496"/>
      <c r="V2" s="3495"/>
      <c r="W2" s="3497" t="s">
        <v>8</v>
      </c>
      <c r="X2" s="3498"/>
      <c r="Y2" s="3499"/>
      <c r="Z2" s="160" t="s">
        <v>9</v>
      </c>
      <c r="AA2" s="3500"/>
      <c r="AB2" s="3501"/>
      <c r="AC2" s="3502"/>
      <c r="AD2" s="3503" t="s">
        <v>10</v>
      </c>
      <c r="AE2" s="3504"/>
      <c r="AF2" s="3504"/>
      <c r="AG2" s="3505"/>
    </row>
    <row r="3" spans="1:38" ht="13.35" customHeight="1" x14ac:dyDescent="0.2">
      <c r="A3" s="1"/>
      <c r="B3" s="3506" t="s">
        <v>11</v>
      </c>
      <c r="C3" s="3507" t="s">
        <v>12</v>
      </c>
      <c r="D3" s="3508"/>
      <c r="E3" s="91"/>
      <c r="F3" s="92"/>
      <c r="G3" s="92"/>
      <c r="H3" s="161" t="s">
        <v>13</v>
      </c>
      <c r="I3" s="93"/>
      <c r="J3" s="93"/>
      <c r="K3" s="94"/>
      <c r="L3" s="3509" t="s">
        <v>14</v>
      </c>
      <c r="M3" s="3510"/>
      <c r="N3" s="3511"/>
      <c r="O3" s="93"/>
      <c r="P3" s="93"/>
      <c r="Q3" s="93"/>
      <c r="R3" s="93"/>
      <c r="S3" s="14"/>
      <c r="T3" s="95" t="s">
        <v>15</v>
      </c>
      <c r="U3" s="96"/>
      <c r="V3" s="97"/>
      <c r="W3" s="98"/>
      <c r="X3" s="99"/>
      <c r="Y3" s="161" t="s">
        <v>16</v>
      </c>
      <c r="Z3" s="3510"/>
      <c r="AA3" s="3510"/>
      <c r="AB3" s="3512"/>
      <c r="AC3" s="3513"/>
      <c r="AD3" s="3514" t="s">
        <v>17</v>
      </c>
      <c r="AE3" s="3515"/>
      <c r="AF3" s="3515"/>
      <c r="AG3" s="3516"/>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3517" t="s">
        <v>20</v>
      </c>
      <c r="B6" s="3510"/>
      <c r="C6" s="3518"/>
      <c r="D6" s="3517" t="s">
        <v>21</v>
      </c>
      <c r="E6" s="3510"/>
      <c r="F6" s="3510"/>
      <c r="G6" s="3510"/>
      <c r="H6" s="3519"/>
      <c r="I6" s="3510"/>
      <c r="J6" s="3510"/>
      <c r="K6" s="3510"/>
      <c r="L6" s="3520" t="s">
        <v>22</v>
      </c>
      <c r="M6" s="3510"/>
      <c r="N6" s="3510"/>
      <c r="O6" s="3510"/>
      <c r="P6" s="3510"/>
      <c r="Q6" s="3510"/>
      <c r="R6" s="3510"/>
      <c r="S6" s="3518"/>
      <c r="T6" s="3521"/>
      <c r="U6" s="3510"/>
      <c r="V6" s="3510"/>
      <c r="W6" s="3510"/>
      <c r="X6" s="3510"/>
      <c r="Y6" s="3510"/>
      <c r="Z6" s="3510"/>
      <c r="AA6" s="3518"/>
      <c r="AB6" s="3522"/>
      <c r="AC6" s="3523"/>
      <c r="AD6" s="3523"/>
      <c r="AE6" s="3523"/>
      <c r="AF6" s="3523"/>
      <c r="AG6" s="3524"/>
    </row>
    <row r="7" spans="1:38" ht="22.35" customHeight="1" x14ac:dyDescent="0.2">
      <c r="A7" s="3517" t="s">
        <v>23</v>
      </c>
      <c r="B7" s="3510"/>
      <c r="C7" s="3510"/>
      <c r="D7" s="3510"/>
      <c r="E7" s="3510"/>
      <c r="F7" s="3510"/>
      <c r="G7" s="3510"/>
      <c r="H7" s="3510"/>
      <c r="I7" s="3510"/>
      <c r="J7" s="3510"/>
      <c r="K7" s="3518"/>
      <c r="L7" s="153" t="s">
        <v>24</v>
      </c>
      <c r="M7" s="14"/>
      <c r="N7" s="14"/>
      <c r="O7" s="14"/>
      <c r="P7" s="14"/>
      <c r="Q7" s="14"/>
      <c r="R7" s="14"/>
      <c r="S7" s="14"/>
      <c r="T7" s="14"/>
      <c r="U7" s="3510"/>
      <c r="V7" s="3510"/>
      <c r="W7" s="3510"/>
      <c r="X7" s="3510"/>
      <c r="Y7" s="3510"/>
      <c r="Z7" s="3510"/>
      <c r="AA7" s="3510"/>
      <c r="AB7" s="3525"/>
      <c r="AC7" s="3510"/>
      <c r="AD7" s="3510"/>
      <c r="AE7" s="3510"/>
      <c r="AF7" s="3510"/>
      <c r="AG7" s="3518"/>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3526" t="s">
        <v>28</v>
      </c>
      <c r="B11" s="3527" t="s">
        <v>29</v>
      </c>
      <c r="C11" s="3528">
        <v>1</v>
      </c>
      <c r="D11" s="3528">
        <v>2</v>
      </c>
      <c r="E11" s="3528">
        <v>3</v>
      </c>
      <c r="F11" s="3529">
        <v>4</v>
      </c>
      <c r="G11" s="3529">
        <v>5</v>
      </c>
      <c r="H11" s="3528">
        <v>6</v>
      </c>
      <c r="I11" s="3528">
        <v>7</v>
      </c>
      <c r="J11" s="3528">
        <v>8</v>
      </c>
      <c r="K11" s="3528">
        <v>9</v>
      </c>
      <c r="L11" s="3528">
        <v>10</v>
      </c>
      <c r="M11" s="3529">
        <v>11</v>
      </c>
      <c r="N11" s="3529">
        <v>12</v>
      </c>
      <c r="O11" s="3528">
        <v>13</v>
      </c>
      <c r="P11" s="3528">
        <v>14</v>
      </c>
      <c r="Q11" s="3528">
        <v>15</v>
      </c>
      <c r="R11" s="3528">
        <v>16</v>
      </c>
      <c r="S11" s="3528">
        <v>17</v>
      </c>
      <c r="T11" s="3529">
        <v>18</v>
      </c>
      <c r="U11" s="3529">
        <v>19</v>
      </c>
      <c r="V11" s="3528">
        <v>20</v>
      </c>
      <c r="W11" s="3528">
        <v>21</v>
      </c>
      <c r="X11" s="3528">
        <v>22</v>
      </c>
      <c r="Y11" s="3528">
        <v>23</v>
      </c>
      <c r="Z11" s="3528">
        <v>24</v>
      </c>
      <c r="AA11" s="3529">
        <v>25</v>
      </c>
      <c r="AB11" s="3529">
        <v>26</v>
      </c>
      <c r="AC11" s="3528">
        <v>27</v>
      </c>
      <c r="AD11" s="3528">
        <v>28</v>
      </c>
      <c r="AE11" s="3528"/>
      <c r="AF11" s="3528"/>
      <c r="AG11" s="3530"/>
      <c r="AH11" s="173"/>
      <c r="AI11" s="174"/>
      <c r="AJ11" s="1181" t="s">
        <v>30</v>
      </c>
    </row>
    <row r="12" spans="1:38" ht="22.35" customHeight="1" x14ac:dyDescent="0.2">
      <c r="A12" s="3246">
        <v>8500</v>
      </c>
      <c r="B12" s="1182" t="s">
        <v>31</v>
      </c>
      <c r="C12" s="1110" t="s">
        <v>32</v>
      </c>
      <c r="D12" s="1110" t="s">
        <v>32</v>
      </c>
      <c r="E12" s="1110" t="s">
        <v>32</v>
      </c>
      <c r="F12" s="644"/>
      <c r="G12" s="644"/>
      <c r="H12" s="1110" t="s">
        <v>32</v>
      </c>
      <c r="I12" s="1183" t="s">
        <v>32</v>
      </c>
      <c r="J12" s="1110" t="s">
        <v>32</v>
      </c>
      <c r="K12" s="1110" t="s">
        <v>32</v>
      </c>
      <c r="L12" s="1110" t="s">
        <v>32</v>
      </c>
      <c r="M12" s="644"/>
      <c r="N12" s="644"/>
      <c r="O12" s="1110" t="s">
        <v>32</v>
      </c>
      <c r="P12" s="1110" t="s">
        <v>32</v>
      </c>
      <c r="Q12" s="1110" t="s">
        <v>32</v>
      </c>
      <c r="R12" s="1110" t="s">
        <v>32</v>
      </c>
      <c r="S12" s="1110" t="s">
        <v>32</v>
      </c>
      <c r="T12" s="644"/>
      <c r="U12" s="644"/>
      <c r="V12" s="644" t="s">
        <v>32</v>
      </c>
      <c r="W12" s="644" t="s">
        <v>32</v>
      </c>
      <c r="X12" s="644" t="s">
        <v>32</v>
      </c>
      <c r="Y12" s="975" t="s">
        <v>32</v>
      </c>
      <c r="Z12" s="975" t="s">
        <v>32</v>
      </c>
      <c r="AA12" s="644"/>
      <c r="AB12" s="644"/>
      <c r="AC12" s="1110" t="s">
        <v>32</v>
      </c>
      <c r="AD12" s="1110" t="s">
        <v>32</v>
      </c>
      <c r="AE12" s="1110"/>
      <c r="AF12" s="1110"/>
      <c r="AG12" s="613"/>
      <c r="AH12" s="179"/>
      <c r="AI12" s="179"/>
      <c r="AJ12" s="1181">
        <v>160.33000000000001</v>
      </c>
    </row>
    <row r="13" spans="1:38" ht="22.35" customHeight="1" x14ac:dyDescent="0.2">
      <c r="A13" s="3531" t="s">
        <v>33</v>
      </c>
      <c r="B13" s="3532"/>
      <c r="C13" s="3532"/>
      <c r="D13" s="3532"/>
      <c r="E13" s="3532"/>
      <c r="F13" s="3532"/>
      <c r="G13" s="3532"/>
      <c r="H13" s="3532"/>
      <c r="I13" s="3532"/>
      <c r="J13" s="3532"/>
      <c r="K13" s="3532"/>
      <c r="L13" s="3532"/>
      <c r="M13" s="3532"/>
      <c r="N13" s="3532"/>
      <c r="O13" s="3532"/>
      <c r="P13" s="3532"/>
      <c r="Q13" s="3532"/>
      <c r="R13" s="3532"/>
      <c r="S13" s="3532"/>
      <c r="T13" s="3532"/>
      <c r="U13" s="3532"/>
      <c r="V13" s="3532"/>
      <c r="W13" s="3532"/>
      <c r="X13" s="3532"/>
      <c r="Y13" s="3532"/>
      <c r="Z13" s="3532"/>
      <c r="AA13" s="3532"/>
      <c r="AB13" s="3532"/>
      <c r="AC13" s="3532"/>
      <c r="AD13" s="3532"/>
      <c r="AE13" s="3532"/>
      <c r="AF13" s="3532"/>
      <c r="AG13" s="3533"/>
      <c r="AH13" s="177"/>
      <c r="AI13" s="177"/>
    </row>
    <row r="14" spans="1:38" ht="22.35" customHeight="1" x14ac:dyDescent="0.2">
      <c r="A14" s="3534">
        <v>8546</v>
      </c>
      <c r="B14" s="1182" t="s">
        <v>34</v>
      </c>
      <c r="C14" s="3535">
        <v>4</v>
      </c>
      <c r="D14" s="3535">
        <v>4</v>
      </c>
      <c r="E14" s="3535">
        <v>4</v>
      </c>
      <c r="F14" s="3535" t="s">
        <v>35</v>
      </c>
      <c r="G14" s="3535" t="s">
        <v>35</v>
      </c>
      <c r="H14" s="3536" t="s">
        <v>36</v>
      </c>
      <c r="I14" s="3536" t="s">
        <v>36</v>
      </c>
      <c r="J14" s="3536" t="s">
        <v>36</v>
      </c>
      <c r="K14" s="3537" t="s">
        <v>36</v>
      </c>
      <c r="L14" s="3536" t="s">
        <v>36</v>
      </c>
      <c r="M14" s="3538"/>
      <c r="N14" s="3535"/>
      <c r="O14" s="3535">
        <v>1</v>
      </c>
      <c r="P14" s="3539">
        <v>1</v>
      </c>
      <c r="Q14" s="3539">
        <v>1</v>
      </c>
      <c r="R14" s="3536">
        <v>1</v>
      </c>
      <c r="S14" s="3540">
        <v>1</v>
      </c>
      <c r="T14" s="3539"/>
      <c r="U14" s="3539"/>
      <c r="V14" s="3536">
        <v>2</v>
      </c>
      <c r="W14" s="3536">
        <v>2</v>
      </c>
      <c r="X14" s="3536">
        <v>2</v>
      </c>
      <c r="Y14" s="3536">
        <v>2</v>
      </c>
      <c r="Z14" s="3536">
        <v>2</v>
      </c>
      <c r="AA14" s="3462" t="s">
        <v>37</v>
      </c>
      <c r="AB14" s="3462" t="s">
        <v>37</v>
      </c>
      <c r="AC14" s="3536" t="s">
        <v>36</v>
      </c>
      <c r="AD14" s="3539" t="s">
        <v>36</v>
      </c>
      <c r="AE14" s="3536"/>
      <c r="AF14" s="3536"/>
      <c r="AG14" s="3541"/>
      <c r="AH14" s="179"/>
      <c r="AI14" s="179"/>
    </row>
    <row r="15" spans="1:38" ht="22.35" customHeight="1" x14ac:dyDescent="0.2">
      <c r="A15" s="3534">
        <v>8546</v>
      </c>
      <c r="B15" s="3542" t="s">
        <v>38</v>
      </c>
      <c r="C15" s="3537" t="s">
        <v>36</v>
      </c>
      <c r="D15" s="3536" t="s">
        <v>36</v>
      </c>
      <c r="E15" s="3536" t="s">
        <v>36</v>
      </c>
      <c r="F15" s="3539"/>
      <c r="G15" s="3539"/>
      <c r="H15" s="3463">
        <v>4</v>
      </c>
      <c r="I15" s="3463">
        <v>4</v>
      </c>
      <c r="J15" s="3463">
        <v>4</v>
      </c>
      <c r="K15" s="3463">
        <v>4</v>
      </c>
      <c r="L15" s="3463">
        <v>4</v>
      </c>
      <c r="M15" s="3463" t="s">
        <v>35</v>
      </c>
      <c r="N15" s="3463" t="s">
        <v>35</v>
      </c>
      <c r="O15" s="3536" t="s">
        <v>36</v>
      </c>
      <c r="P15" s="3536" t="s">
        <v>36</v>
      </c>
      <c r="Q15" s="3536" t="s">
        <v>36</v>
      </c>
      <c r="R15" s="3536" t="s">
        <v>36</v>
      </c>
      <c r="S15" s="3536" t="s">
        <v>36</v>
      </c>
      <c r="T15" s="3536"/>
      <c r="U15" s="3536"/>
      <c r="V15" s="3463">
        <v>1</v>
      </c>
      <c r="W15" s="3463">
        <v>1</v>
      </c>
      <c r="X15" s="3463">
        <v>1</v>
      </c>
      <c r="Y15" s="3463">
        <v>1</v>
      </c>
      <c r="Z15" s="3463">
        <v>1</v>
      </c>
      <c r="AA15" s="3463"/>
      <c r="AB15" s="3463"/>
      <c r="AC15" s="3543">
        <v>2</v>
      </c>
      <c r="AD15" s="3543">
        <v>2</v>
      </c>
      <c r="AE15" s="3536"/>
      <c r="AF15" s="3536"/>
      <c r="AG15" s="3541"/>
      <c r="AH15" s="179"/>
      <c r="AI15" s="179"/>
      <c r="AL15" t="s">
        <v>0</v>
      </c>
    </row>
    <row r="16" spans="1:38" ht="22.35" customHeight="1" x14ac:dyDescent="0.2">
      <c r="A16" s="3534">
        <v>8546</v>
      </c>
      <c r="B16" s="3544" t="s">
        <v>40</v>
      </c>
      <c r="C16" s="3545">
        <v>1</v>
      </c>
      <c r="D16" s="3543">
        <v>1</v>
      </c>
      <c r="E16" s="3543">
        <v>1</v>
      </c>
      <c r="F16" s="3543"/>
      <c r="G16" s="3543"/>
      <c r="H16" s="3543">
        <v>2</v>
      </c>
      <c r="I16" s="3546">
        <v>2</v>
      </c>
      <c r="J16" s="3543">
        <v>2</v>
      </c>
      <c r="K16" s="3543">
        <v>2</v>
      </c>
      <c r="L16" s="3543">
        <v>2</v>
      </c>
      <c r="M16" s="3543" t="s">
        <v>37</v>
      </c>
      <c r="N16" s="3545" t="s">
        <v>37</v>
      </c>
      <c r="O16" s="3545" t="s">
        <v>36</v>
      </c>
      <c r="P16" s="3545" t="s">
        <v>36</v>
      </c>
      <c r="Q16" s="3545" t="s">
        <v>36</v>
      </c>
      <c r="R16" s="3545" t="s">
        <v>36</v>
      </c>
      <c r="S16" s="3543" t="s">
        <v>36</v>
      </c>
      <c r="T16" s="3543"/>
      <c r="U16" s="3543"/>
      <c r="V16" s="3543">
        <v>4</v>
      </c>
      <c r="W16" s="3547">
        <v>4</v>
      </c>
      <c r="X16" s="3543">
        <v>4</v>
      </c>
      <c r="Y16" s="3545">
        <v>4</v>
      </c>
      <c r="Z16" s="3545">
        <v>4</v>
      </c>
      <c r="AA16" s="3545" t="s">
        <v>35</v>
      </c>
      <c r="AB16" s="3545" t="s">
        <v>35</v>
      </c>
      <c r="AC16" s="3545" t="s">
        <v>36</v>
      </c>
      <c r="AD16" s="3543" t="s">
        <v>36</v>
      </c>
      <c r="AE16" s="3543"/>
      <c r="AF16" s="3543"/>
      <c r="AG16" s="3548"/>
      <c r="AH16" s="179"/>
      <c r="AI16" s="179"/>
    </row>
    <row r="17" spans="1:40" ht="22.35" customHeight="1" x14ac:dyDescent="0.2">
      <c r="A17" s="3534">
        <v>8546</v>
      </c>
      <c r="B17" s="3542" t="s">
        <v>41</v>
      </c>
      <c r="C17" s="3536" t="s">
        <v>36</v>
      </c>
      <c r="D17" s="3537" t="s">
        <v>36</v>
      </c>
      <c r="E17" s="3536" t="s">
        <v>36</v>
      </c>
      <c r="F17" s="3539"/>
      <c r="G17" s="3536"/>
      <c r="H17" s="3536">
        <v>1</v>
      </c>
      <c r="I17" s="3537">
        <v>1</v>
      </c>
      <c r="J17" s="3536">
        <v>1</v>
      </c>
      <c r="K17" s="3536">
        <v>1</v>
      </c>
      <c r="L17" s="3536">
        <v>1</v>
      </c>
      <c r="M17" s="3535"/>
      <c r="N17" s="3535"/>
      <c r="O17" s="3535">
        <v>2</v>
      </c>
      <c r="P17" s="3535">
        <v>2</v>
      </c>
      <c r="Q17" s="3535">
        <v>2</v>
      </c>
      <c r="R17" s="3535">
        <v>2</v>
      </c>
      <c r="S17" s="3535">
        <v>2</v>
      </c>
      <c r="T17" s="3536" t="s">
        <v>37</v>
      </c>
      <c r="U17" s="3536" t="s">
        <v>37</v>
      </c>
      <c r="V17" s="3536" t="s">
        <v>36</v>
      </c>
      <c r="W17" s="3536" t="s">
        <v>36</v>
      </c>
      <c r="X17" s="3537" t="s">
        <v>36</v>
      </c>
      <c r="Y17" s="3536" t="s">
        <v>36</v>
      </c>
      <c r="Z17" s="3536" t="s">
        <v>36</v>
      </c>
      <c r="AA17" s="3549"/>
      <c r="AB17" s="3549"/>
      <c r="AC17" s="3549">
        <v>4</v>
      </c>
      <c r="AD17" s="3549">
        <v>4</v>
      </c>
      <c r="AE17" s="3549"/>
      <c r="AF17" s="3549"/>
      <c r="AG17" s="3541"/>
      <c r="AH17" s="179"/>
      <c r="AI17" s="179"/>
    </row>
    <row r="18" spans="1:40" ht="22.35" customHeight="1" x14ac:dyDescent="0.2">
      <c r="A18" s="3534">
        <v>8546</v>
      </c>
      <c r="B18" s="3544" t="s">
        <v>42</v>
      </c>
      <c r="C18" s="3537">
        <v>2</v>
      </c>
      <c r="D18" s="3550">
        <v>2</v>
      </c>
      <c r="E18" s="3550">
        <v>2</v>
      </c>
      <c r="F18" s="3536" t="s">
        <v>37</v>
      </c>
      <c r="G18" s="3536" t="s">
        <v>37</v>
      </c>
      <c r="H18" s="3536" t="s">
        <v>36</v>
      </c>
      <c r="I18" s="3536" t="s">
        <v>36</v>
      </c>
      <c r="J18" s="3539" t="s">
        <v>36</v>
      </c>
      <c r="K18" s="3539" t="s">
        <v>36</v>
      </c>
      <c r="L18" s="3536" t="s">
        <v>36</v>
      </c>
      <c r="M18" s="3539"/>
      <c r="N18" s="3539"/>
      <c r="O18" s="3536">
        <v>4</v>
      </c>
      <c r="P18" s="3539">
        <v>4</v>
      </c>
      <c r="Q18" s="3539">
        <v>4</v>
      </c>
      <c r="R18" s="3539">
        <v>4</v>
      </c>
      <c r="S18" s="3539">
        <v>4</v>
      </c>
      <c r="T18" s="3539" t="s">
        <v>35</v>
      </c>
      <c r="U18" s="3538" t="s">
        <v>35</v>
      </c>
      <c r="V18" s="3538" t="s">
        <v>36</v>
      </c>
      <c r="W18" s="3536" t="s">
        <v>36</v>
      </c>
      <c r="X18" s="3536" t="s">
        <v>36</v>
      </c>
      <c r="Y18" s="3536" t="s">
        <v>36</v>
      </c>
      <c r="Z18" s="3536" t="s">
        <v>36</v>
      </c>
      <c r="AA18" s="3536"/>
      <c r="AB18" s="3536"/>
      <c r="AC18" s="3463">
        <v>1</v>
      </c>
      <c r="AD18" s="3463">
        <v>1</v>
      </c>
      <c r="AE18" s="3536"/>
      <c r="AF18" s="3536"/>
      <c r="AG18" s="3541"/>
      <c r="AH18" s="179"/>
      <c r="AI18" s="179"/>
    </row>
    <row r="19" spans="1:40" ht="22.35" customHeight="1" thickBot="1" x14ac:dyDescent="0.25">
      <c r="A19" s="3551" t="s">
        <v>43</v>
      </c>
      <c r="B19" s="3552"/>
      <c r="C19" s="3553"/>
      <c r="D19" s="3553"/>
      <c r="E19" s="3553"/>
      <c r="F19" s="3553"/>
      <c r="G19" s="3553"/>
      <c r="H19" s="3553"/>
      <c r="I19" s="3553"/>
      <c r="J19" s="3553"/>
      <c r="K19" s="3553"/>
      <c r="L19" s="3553"/>
      <c r="M19" s="3553"/>
      <c r="N19" s="3553"/>
      <c r="O19" s="3553"/>
      <c r="P19" s="3553"/>
      <c r="Q19" s="3553"/>
      <c r="R19" s="3553"/>
      <c r="S19" s="3553"/>
      <c r="T19" s="3553"/>
      <c r="U19" s="3553"/>
      <c r="V19" s="3553"/>
      <c r="W19" s="3553"/>
      <c r="X19" s="3553"/>
      <c r="Y19" s="3553"/>
      <c r="Z19" s="3553"/>
      <c r="AA19" s="3553"/>
      <c r="AB19" s="3553"/>
      <c r="AC19" s="3553"/>
      <c r="AD19" s="3553"/>
      <c r="AE19" s="3553"/>
      <c r="AF19" s="3553"/>
      <c r="AG19" s="3554"/>
      <c r="AH19" s="177"/>
      <c r="AI19" s="177"/>
      <c r="AJ19" s="1181" t="s">
        <v>30</v>
      </c>
      <c r="AK19" s="1181" t="s">
        <v>44</v>
      </c>
      <c r="AL19" s="1181" t="s">
        <v>45</v>
      </c>
      <c r="AM19" s="1181" t="s">
        <v>46</v>
      </c>
      <c r="AN19" s="1181" t="s">
        <v>47</v>
      </c>
    </row>
    <row r="20" spans="1:40" ht="22.35" customHeight="1" x14ac:dyDescent="0.2">
      <c r="A20" s="3555">
        <v>8500</v>
      </c>
      <c r="B20" s="3556" t="s">
        <v>49</v>
      </c>
      <c r="C20" s="3557" t="s">
        <v>32</v>
      </c>
      <c r="D20" s="3557" t="s">
        <v>32</v>
      </c>
      <c r="E20" s="3557" t="s">
        <v>32</v>
      </c>
      <c r="F20" s="3557"/>
      <c r="G20" s="3557"/>
      <c r="H20" s="3557" t="s">
        <v>32</v>
      </c>
      <c r="I20" s="3558" t="s">
        <v>32</v>
      </c>
      <c r="J20" s="3557" t="s">
        <v>32</v>
      </c>
      <c r="K20" s="3559" t="s">
        <v>32</v>
      </c>
      <c r="L20" s="3557" t="s">
        <v>32</v>
      </c>
      <c r="M20" s="3557"/>
      <c r="N20" s="3557"/>
      <c r="O20" s="3560" t="s">
        <v>32</v>
      </c>
      <c r="P20" s="3560" t="s">
        <v>32</v>
      </c>
      <c r="Q20" s="3557" t="s">
        <v>32</v>
      </c>
      <c r="R20" s="3557" t="s">
        <v>32</v>
      </c>
      <c r="S20" s="3557" t="s">
        <v>32</v>
      </c>
      <c r="T20" s="3557"/>
      <c r="U20" s="3557"/>
      <c r="V20" s="3557" t="s">
        <v>32</v>
      </c>
      <c r="W20" s="3557" t="s">
        <v>32</v>
      </c>
      <c r="X20" s="3557" t="s">
        <v>32</v>
      </c>
      <c r="Y20" s="3557" t="s">
        <v>32</v>
      </c>
      <c r="Z20" s="3557" t="s">
        <v>32</v>
      </c>
      <c r="AA20" s="3557"/>
      <c r="AB20" s="3557"/>
      <c r="AC20" s="3557">
        <v>1</v>
      </c>
      <c r="AD20" s="3557">
        <v>1</v>
      </c>
      <c r="AE20" s="3557"/>
      <c r="AF20" s="3557"/>
      <c r="AG20" s="3561"/>
      <c r="AH20" s="179"/>
      <c r="AI20" s="179"/>
      <c r="AJ20" s="3562">
        <f>$AJ$12</f>
        <v>160.33000000000001</v>
      </c>
      <c r="AK20" s="3562"/>
      <c r="AL20" s="3562">
        <f>IF(AJ20="","",SUM(AJ20:AK20))</f>
        <v>160.33000000000001</v>
      </c>
      <c r="AM20" s="3563">
        <f>IF(AJ20="","",AL20-AJ20)</f>
        <v>0</v>
      </c>
      <c r="AN20" s="3563">
        <f>IF(AM20="","",AM20+'Januar 2023'!AN20)</f>
        <v>0</v>
      </c>
    </row>
    <row r="21" spans="1:40" ht="22.35" customHeight="1" x14ac:dyDescent="0.2">
      <c r="A21" s="3564">
        <v>8500</v>
      </c>
      <c r="B21" s="3565" t="s">
        <v>52</v>
      </c>
      <c r="C21" s="1110" t="s">
        <v>32</v>
      </c>
      <c r="D21" s="1110" t="s">
        <v>32</v>
      </c>
      <c r="E21" s="1110" t="s">
        <v>32</v>
      </c>
      <c r="F21" s="644"/>
      <c r="G21" s="644"/>
      <c r="H21" s="3536">
        <v>4</v>
      </c>
      <c r="I21" s="3539">
        <v>4</v>
      </c>
      <c r="J21" s="3539">
        <v>4</v>
      </c>
      <c r="K21" s="3539">
        <v>4</v>
      </c>
      <c r="L21" s="3539">
        <v>4</v>
      </c>
      <c r="M21" s="3566" t="s">
        <v>53</v>
      </c>
      <c r="N21" s="3566" t="s">
        <v>53</v>
      </c>
      <c r="O21" s="3567" t="s">
        <v>32</v>
      </c>
      <c r="P21" s="3567" t="s">
        <v>32</v>
      </c>
      <c r="Q21" s="3567" t="s">
        <v>32</v>
      </c>
      <c r="R21" s="3567" t="s">
        <v>32</v>
      </c>
      <c r="S21" s="3567" t="s">
        <v>32</v>
      </c>
      <c r="T21" s="3567"/>
      <c r="U21" s="3567"/>
      <c r="V21" s="3536">
        <v>4</v>
      </c>
      <c r="W21" s="3537">
        <v>4</v>
      </c>
      <c r="X21" s="3536">
        <v>4</v>
      </c>
      <c r="Y21" s="3539">
        <v>4</v>
      </c>
      <c r="Z21" s="3539">
        <v>4</v>
      </c>
      <c r="AA21" s="3539" t="s">
        <v>35</v>
      </c>
      <c r="AB21" s="3539" t="s">
        <v>35</v>
      </c>
      <c r="AC21" s="3568" t="s">
        <v>36</v>
      </c>
      <c r="AD21" s="3568" t="s">
        <v>36</v>
      </c>
      <c r="AE21" s="3568"/>
      <c r="AF21" s="3568"/>
      <c r="AG21" s="613"/>
      <c r="AH21" s="179"/>
      <c r="AI21" s="179"/>
      <c r="AJ21" s="3562">
        <v>165.5</v>
      </c>
      <c r="AK21" s="3562">
        <v>8.25</v>
      </c>
      <c r="AL21" s="3562">
        <f>IF(AJ21="","",SUM(AJ21:AK21))</f>
        <v>173.75</v>
      </c>
      <c r="AM21" s="3563">
        <f>IF(AJ21="","",AL21-NormTid)</f>
        <v>13.419999999999987</v>
      </c>
      <c r="AN21" s="3563">
        <f>IF(AM21="","",AM21+'Januar 2023'!AN21)</f>
        <v>16.339999999999975</v>
      </c>
    </row>
    <row r="22" spans="1:40" ht="22.35" customHeight="1" x14ac:dyDescent="0.2">
      <c r="A22" s="3564">
        <v>8500</v>
      </c>
      <c r="B22" s="1182" t="s">
        <v>54</v>
      </c>
      <c r="C22" s="3539">
        <v>1</v>
      </c>
      <c r="D22" s="3536">
        <v>1</v>
      </c>
      <c r="E22" s="3536">
        <v>1</v>
      </c>
      <c r="F22" s="3536"/>
      <c r="G22" s="3536"/>
      <c r="H22" s="3536">
        <v>2</v>
      </c>
      <c r="I22" s="3535">
        <v>2</v>
      </c>
      <c r="J22" s="3536">
        <v>2</v>
      </c>
      <c r="K22" s="3536">
        <v>2</v>
      </c>
      <c r="L22" s="3536">
        <v>2</v>
      </c>
      <c r="M22" s="3536" t="s">
        <v>35</v>
      </c>
      <c r="N22" s="3539" t="s">
        <v>35</v>
      </c>
      <c r="O22" s="3539" t="s">
        <v>36</v>
      </c>
      <c r="P22" s="3539" t="s">
        <v>36</v>
      </c>
      <c r="Q22" s="3539" t="s">
        <v>36</v>
      </c>
      <c r="R22" s="3539" t="s">
        <v>36</v>
      </c>
      <c r="S22" s="3536" t="s">
        <v>36</v>
      </c>
      <c r="T22" s="3536"/>
      <c r="U22" s="3536"/>
      <c r="V22" s="3535">
        <v>1</v>
      </c>
      <c r="W22" s="3539">
        <v>1</v>
      </c>
      <c r="X22" s="3539">
        <v>1</v>
      </c>
      <c r="Y22" s="3536">
        <v>1</v>
      </c>
      <c r="Z22" s="3540">
        <v>1</v>
      </c>
      <c r="AA22" s="3539" t="s">
        <v>37</v>
      </c>
      <c r="AB22" s="3539" t="s">
        <v>37</v>
      </c>
      <c r="AC22" s="3567" t="s">
        <v>36</v>
      </c>
      <c r="AD22" s="3567" t="s">
        <v>36</v>
      </c>
      <c r="AE22" s="644"/>
      <c r="AF22" s="644"/>
      <c r="AG22" s="856"/>
      <c r="AH22" s="179"/>
      <c r="AI22" s="179"/>
      <c r="AJ22" s="3562">
        <v>155</v>
      </c>
      <c r="AK22" s="3562">
        <v>6.25</v>
      </c>
      <c r="AL22" s="3562">
        <f>IF(AJ22="","",SUM(AJ22:AK22))</f>
        <v>161.25</v>
      </c>
      <c r="AM22" s="3563">
        <f>IF(AJ22="","",AL22-NormTid)</f>
        <v>0.91999999999998749</v>
      </c>
      <c r="AN22" s="3563">
        <f>IF(AM22="","",AM22+'Januar 2023'!AN22)</f>
        <v>-3.410000000000025</v>
      </c>
    </row>
    <row r="23" spans="1:40" ht="22.35" customHeight="1" x14ac:dyDescent="0.2">
      <c r="A23" s="3564"/>
      <c r="B23" s="3565"/>
      <c r="C23" s="1183" t="s">
        <v>32</v>
      </c>
      <c r="D23" s="975" t="s">
        <v>32</v>
      </c>
      <c r="E23" s="644" t="s">
        <v>32</v>
      </c>
      <c r="F23" s="644"/>
      <c r="G23" s="644"/>
      <c r="H23" s="3568" t="s">
        <v>32</v>
      </c>
      <c r="I23" s="3568" t="s">
        <v>32</v>
      </c>
      <c r="J23" s="3568" t="s">
        <v>32</v>
      </c>
      <c r="K23" s="3569" t="s">
        <v>32</v>
      </c>
      <c r="L23" s="3568" t="s">
        <v>32</v>
      </c>
      <c r="M23" s="644"/>
      <c r="N23" s="1110"/>
      <c r="O23" s="1110" t="s">
        <v>32</v>
      </c>
      <c r="P23" s="644" t="s">
        <v>32</v>
      </c>
      <c r="Q23" s="644" t="s">
        <v>32</v>
      </c>
      <c r="R23" s="3570" t="s">
        <v>32</v>
      </c>
      <c r="S23" s="3570" t="s">
        <v>32</v>
      </c>
      <c r="T23" s="644"/>
      <c r="U23" s="644"/>
      <c r="V23" s="3568" t="s">
        <v>32</v>
      </c>
      <c r="W23" s="3568" t="s">
        <v>32</v>
      </c>
      <c r="X23" s="3568" t="s">
        <v>32</v>
      </c>
      <c r="Y23" s="3568" t="s">
        <v>32</v>
      </c>
      <c r="Z23" s="3568" t="s">
        <v>32</v>
      </c>
      <c r="AA23" s="3568"/>
      <c r="AB23" s="3568"/>
      <c r="AC23" s="3568" t="s">
        <v>32</v>
      </c>
      <c r="AD23" s="975" t="s">
        <v>32</v>
      </c>
      <c r="AE23" s="3568"/>
      <c r="AF23" s="3568"/>
      <c r="AG23" s="623"/>
      <c r="AJ23" s="3562">
        <f t="shared" ref="AJ23" si="0">$AJ$12</f>
        <v>160.33000000000001</v>
      </c>
      <c r="AK23" s="3562"/>
      <c r="AL23" s="3562">
        <f t="shared" ref="AL23" si="1">IF(AJ23="","",SUM(AJ23:AK23))</f>
        <v>160.33000000000001</v>
      </c>
      <c r="AM23" s="3563">
        <f t="shared" ref="AM23" si="2">IF(AJ23="","",AL23-AJ23)</f>
        <v>0</v>
      </c>
      <c r="AN23" s="3563">
        <f>IF(AM23="","",AM23+'Januar 2023'!AN23)</f>
        <v>0</v>
      </c>
    </row>
    <row r="24" spans="1:40" ht="22.35" customHeight="1" thickBot="1" x14ac:dyDescent="0.25">
      <c r="A24" s="861"/>
      <c r="B24" s="862" t="s">
        <v>56</v>
      </c>
      <c r="C24" s="863" t="s">
        <v>32</v>
      </c>
      <c r="D24" s="863" t="s">
        <v>32</v>
      </c>
      <c r="E24" s="863" t="s">
        <v>32</v>
      </c>
      <c r="F24" s="863"/>
      <c r="G24" s="863"/>
      <c r="H24" s="863" t="s">
        <v>32</v>
      </c>
      <c r="I24" s="863" t="s">
        <v>32</v>
      </c>
      <c r="J24" s="863" t="s">
        <v>32</v>
      </c>
      <c r="K24" s="863" t="s">
        <v>32</v>
      </c>
      <c r="L24" s="863" t="s">
        <v>32</v>
      </c>
      <c r="M24" s="863"/>
      <c r="N24" s="864"/>
      <c r="O24" s="1436" t="s">
        <v>32</v>
      </c>
      <c r="P24" s="864" t="s">
        <v>32</v>
      </c>
      <c r="Q24" s="865" t="s">
        <v>32</v>
      </c>
      <c r="R24" s="2418" t="s">
        <v>32</v>
      </c>
      <c r="S24" s="866" t="s">
        <v>32</v>
      </c>
      <c r="T24" s="863"/>
      <c r="U24" s="864"/>
      <c r="V24" s="864" t="s">
        <v>32</v>
      </c>
      <c r="W24" s="2418" t="s">
        <v>32</v>
      </c>
      <c r="X24" s="863" t="s">
        <v>32</v>
      </c>
      <c r="Y24" s="864" t="s">
        <v>32</v>
      </c>
      <c r="Z24" s="863" t="s">
        <v>32</v>
      </c>
      <c r="AA24" s="863"/>
      <c r="AB24" s="863"/>
      <c r="AC24" s="1273" t="s">
        <v>32</v>
      </c>
      <c r="AD24" s="1273" t="s">
        <v>32</v>
      </c>
      <c r="AE24" s="863"/>
      <c r="AF24" s="863"/>
      <c r="AG24" s="867"/>
    </row>
    <row r="25" spans="1:40" ht="22.35" customHeight="1" x14ac:dyDescent="0.2">
      <c r="A25" s="363"/>
      <c r="B25" s="364"/>
      <c r="C25" s="364" t="s">
        <v>0</v>
      </c>
      <c r="D25" s="364" t="s">
        <v>0</v>
      </c>
      <c r="E25" s="364" t="s">
        <v>0</v>
      </c>
      <c r="F25" s="364"/>
      <c r="G25" s="364"/>
      <c r="H25" s="364" t="s">
        <v>0</v>
      </c>
      <c r="I25" s="3571" t="s">
        <v>32</v>
      </c>
      <c r="J25" s="364" t="s">
        <v>0</v>
      </c>
      <c r="K25" s="3571" t="s">
        <v>32</v>
      </c>
      <c r="L25" s="3571" t="s">
        <v>0</v>
      </c>
      <c r="M25" s="364" t="s">
        <v>0</v>
      </c>
      <c r="N25" s="364" t="s">
        <v>0</v>
      </c>
      <c r="O25" s="364" t="s">
        <v>266</v>
      </c>
      <c r="P25" s="364" t="s">
        <v>266</v>
      </c>
      <c r="Q25" s="364" t="s">
        <v>266</v>
      </c>
      <c r="R25" s="364" t="s">
        <v>266</v>
      </c>
      <c r="S25" s="364" t="s">
        <v>266</v>
      </c>
      <c r="T25" s="364" t="s">
        <v>0</v>
      </c>
      <c r="U25" s="364" t="s">
        <v>0</v>
      </c>
      <c r="V25" s="364">
        <v>22</v>
      </c>
      <c r="X25" s="364">
        <v>22</v>
      </c>
      <c r="Y25" s="362">
        <v>22</v>
      </c>
      <c r="Z25" s="199">
        <v>22</v>
      </c>
      <c r="AA25">
        <v>22</v>
      </c>
      <c r="AB25" s="183">
        <v>22</v>
      </c>
      <c r="AC25">
        <v>5</v>
      </c>
      <c r="AD25" t="s">
        <v>0</v>
      </c>
    </row>
    <row r="26" spans="1:40" ht="22.35" customHeight="1" x14ac:dyDescent="0.2">
      <c r="A26" s="291"/>
      <c r="B26" s="199"/>
      <c r="C26" s="199" t="s">
        <v>0</v>
      </c>
      <c r="D26" s="199"/>
      <c r="E26" s="199"/>
      <c r="F26" s="199"/>
      <c r="G26" s="199"/>
      <c r="H26" s="199"/>
      <c r="I26" s="199"/>
      <c r="J26" s="199"/>
      <c r="K26" s="199"/>
      <c r="L26" s="199" t="s">
        <v>0</v>
      </c>
      <c r="M26" s="199"/>
      <c r="N26" s="199" t="s">
        <v>0</v>
      </c>
      <c r="O26" s="199">
        <v>89</v>
      </c>
      <c r="P26" s="199">
        <v>25</v>
      </c>
      <c r="Q26" s="199" t="s">
        <v>0</v>
      </c>
      <c r="T26" s="199" t="s">
        <v>0</v>
      </c>
      <c r="U26" s="199" t="s">
        <v>0</v>
      </c>
      <c r="V26" s="184"/>
      <c r="W26" s="199">
        <v>22</v>
      </c>
      <c r="X26" s="199">
        <v>69</v>
      </c>
      <c r="Y26" s="190"/>
      <c r="AC26" t="s">
        <v>0</v>
      </c>
      <c r="AD26" t="s">
        <v>0</v>
      </c>
    </row>
    <row r="27" spans="1:40" ht="22.35" customHeight="1" x14ac:dyDescent="0.2">
      <c r="A27" s="291"/>
      <c r="B27" s="199"/>
      <c r="C27" s="199"/>
      <c r="D27" s="199"/>
      <c r="E27" s="199"/>
      <c r="F27" s="199"/>
      <c r="G27" s="199"/>
      <c r="H27" s="199"/>
      <c r="I27" s="199"/>
      <c r="J27" s="199"/>
      <c r="K27" s="199"/>
      <c r="L27" s="199"/>
      <c r="M27" s="199"/>
      <c r="N27" s="199"/>
      <c r="O27" s="199"/>
      <c r="P27" s="199"/>
      <c r="Q27" s="199"/>
      <c r="R27" s="199" t="s">
        <v>0</v>
      </c>
      <c r="S27" s="199" t="s">
        <v>0</v>
      </c>
      <c r="T27" s="199"/>
      <c r="U27" s="199"/>
      <c r="V27" s="199"/>
      <c r="W27" s="199"/>
      <c r="X27" s="199"/>
      <c r="Y27" s="199"/>
      <c r="AC27" t="s">
        <v>0</v>
      </c>
      <c r="AD27" t="s">
        <v>0</v>
      </c>
    </row>
    <row r="28" spans="1:40" ht="22.35" customHeight="1" x14ac:dyDescent="0.2">
      <c r="A28" s="291"/>
      <c r="B28" s="199"/>
      <c r="C28" s="199"/>
      <c r="D28" s="199"/>
      <c r="E28" s="199"/>
      <c r="F28" s="199"/>
      <c r="G28" s="199"/>
      <c r="H28" s="199"/>
      <c r="I28" s="199"/>
      <c r="J28" s="199"/>
      <c r="K28" s="199"/>
      <c r="L28" s="199"/>
      <c r="M28" s="199"/>
      <c r="N28" s="199"/>
      <c r="O28" s="199"/>
      <c r="P28" s="199"/>
      <c r="Q28" s="199"/>
      <c r="R28" s="199"/>
      <c r="S28" s="199"/>
      <c r="T28" s="199"/>
      <c r="U28" s="199"/>
      <c r="V28" s="199"/>
      <c r="W28" s="199"/>
      <c r="X28" s="199"/>
      <c r="Y28" s="190"/>
    </row>
    <row r="29" spans="1:40" ht="22.35" customHeight="1" x14ac:dyDescent="0.2">
      <c r="A29" s="291"/>
      <c r="B29" s="199"/>
      <c r="C29" s="199"/>
      <c r="D29" s="199"/>
      <c r="E29" s="199"/>
      <c r="F29" s="199"/>
      <c r="G29" s="199"/>
      <c r="H29" s="199"/>
      <c r="I29" s="199"/>
      <c r="J29" s="199"/>
      <c r="K29" s="199"/>
      <c r="L29" s="199"/>
      <c r="M29" s="199"/>
      <c r="N29" s="199"/>
      <c r="O29" s="199"/>
      <c r="P29" s="199"/>
      <c r="Q29" s="199"/>
      <c r="R29" s="199"/>
      <c r="S29" s="199"/>
      <c r="T29" s="199"/>
      <c r="U29" s="199"/>
      <c r="V29" s="199"/>
      <c r="W29" s="199"/>
      <c r="X29" s="199"/>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2"/>
      <c r="AK30" s="1"/>
    </row>
    <row r="31" spans="1:40" ht="28.5" customHeight="1" x14ac:dyDescent="0.2">
      <c r="A31" s="2862" t="s">
        <v>62</v>
      </c>
      <c r="B31" s="2863"/>
      <c r="C31" s="2863"/>
      <c r="D31" s="3572" t="s">
        <v>63</v>
      </c>
      <c r="E31" s="2865"/>
      <c r="F31" s="2865"/>
      <c r="G31" s="2865"/>
      <c r="H31" s="2865"/>
      <c r="I31" s="2865"/>
      <c r="J31" s="2865"/>
      <c r="K31" s="2865"/>
      <c r="L31" s="2865"/>
      <c r="M31" s="2866" t="s">
        <v>65</v>
      </c>
      <c r="N31" s="2865"/>
      <c r="O31" s="2865"/>
      <c r="P31" s="2865"/>
      <c r="Q31" s="2865"/>
      <c r="R31" s="2865"/>
      <c r="S31" s="2867"/>
      <c r="T31" s="4951" t="s">
        <v>66</v>
      </c>
      <c r="U31" s="4952"/>
      <c r="V31" s="4952"/>
      <c r="W31" s="4952"/>
      <c r="X31" s="4952"/>
      <c r="Y31" s="4952"/>
      <c r="Z31" s="4953"/>
      <c r="AA31" s="3573" t="s">
        <v>67</v>
      </c>
      <c r="AB31" s="3574"/>
      <c r="AC31" s="3574"/>
      <c r="AD31" s="3574"/>
      <c r="AE31" s="3574"/>
      <c r="AF31" s="3574"/>
      <c r="AG31" s="3575"/>
      <c r="AK31" s="1"/>
    </row>
    <row r="32" spans="1:40" ht="22.35" customHeight="1" x14ac:dyDescent="0.2">
      <c r="A32" s="3576" t="s">
        <v>68</v>
      </c>
      <c r="B32" s="3523"/>
      <c r="C32" s="3523"/>
      <c r="D32" s="3577" t="s">
        <v>69</v>
      </c>
      <c r="E32" s="3578"/>
      <c r="F32" s="3510"/>
      <c r="G32" s="3510"/>
      <c r="H32" s="3510"/>
      <c r="I32" s="3510"/>
      <c r="J32" s="3510"/>
      <c r="K32" s="3510"/>
      <c r="L32" s="3518"/>
      <c r="M32" s="3579" t="s">
        <v>70</v>
      </c>
      <c r="N32" s="3523"/>
      <c r="O32" s="3580"/>
      <c r="P32" s="3523"/>
      <c r="Q32" s="3523"/>
      <c r="R32" s="3523"/>
      <c r="S32" s="3581"/>
      <c r="T32" s="3577" t="s">
        <v>71</v>
      </c>
      <c r="U32" s="3510"/>
      <c r="V32" s="3578"/>
      <c r="W32" s="3510"/>
      <c r="X32" s="3510"/>
      <c r="Y32" s="3510"/>
      <c r="Z32" s="3518"/>
      <c r="AA32" s="159" t="s">
        <v>72</v>
      </c>
      <c r="AD32" s="100"/>
      <c r="AG32" s="103"/>
      <c r="AK32" s="1"/>
    </row>
    <row r="33" spans="1:38" ht="22.35" customHeight="1" x14ac:dyDescent="0.2">
      <c r="A33" s="3582" t="s">
        <v>73</v>
      </c>
      <c r="B33" s="3510"/>
      <c r="C33" s="3510"/>
      <c r="D33" s="3583"/>
      <c r="E33" s="3510"/>
      <c r="F33" s="3510"/>
      <c r="G33" s="3518"/>
      <c r="H33" s="3525" t="s">
        <v>74</v>
      </c>
      <c r="I33" s="3510"/>
      <c r="J33" s="3510"/>
      <c r="K33" s="3510"/>
      <c r="L33" s="3510"/>
      <c r="M33" s="3584"/>
      <c r="N33" s="3510"/>
      <c r="O33" s="3510"/>
      <c r="P33" s="3510"/>
      <c r="Q33" s="3510"/>
      <c r="R33" s="3510"/>
      <c r="S33" s="3510"/>
      <c r="T33" s="3583"/>
      <c r="U33" s="158" t="s">
        <v>75</v>
      </c>
      <c r="AA33" s="3580"/>
      <c r="AB33" s="3523"/>
      <c r="AC33" s="3523"/>
      <c r="AD33" s="3523"/>
      <c r="AE33" s="3523"/>
      <c r="AF33" s="3523"/>
      <c r="AG33" s="3585"/>
      <c r="AK33" s="64"/>
    </row>
    <row r="34" spans="1:38" ht="22.35" customHeight="1" thickBot="1" x14ac:dyDescent="0.25">
      <c r="A34" s="3586" t="s">
        <v>76</v>
      </c>
      <c r="B34" s="3587"/>
      <c r="C34" s="3587"/>
      <c r="D34" s="3588"/>
      <c r="E34" s="3587"/>
      <c r="F34" s="3587"/>
      <c r="G34" s="3589"/>
      <c r="H34" s="3590" t="s">
        <v>77</v>
      </c>
      <c r="I34" s="3589"/>
      <c r="J34" s="3587"/>
      <c r="K34" s="3587"/>
      <c r="L34" s="3587"/>
      <c r="M34" s="3591"/>
      <c r="N34" s="3587"/>
      <c r="O34" s="3587"/>
      <c r="P34" s="3587"/>
      <c r="Q34" s="3592"/>
      <c r="R34" s="3592"/>
      <c r="S34" s="3592"/>
      <c r="T34" s="3588"/>
      <c r="U34" s="3593" t="s">
        <v>78</v>
      </c>
      <c r="V34" s="3587"/>
      <c r="W34" s="3587"/>
      <c r="X34" s="3587"/>
      <c r="Y34" s="3587"/>
      <c r="Z34" s="3587"/>
      <c r="AA34" s="3587"/>
      <c r="AB34" s="3587"/>
      <c r="AC34" s="3587"/>
      <c r="AD34" s="3587"/>
      <c r="AE34" s="3587"/>
      <c r="AF34" s="3587"/>
      <c r="AG34" s="359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3595" t="s">
        <v>28</v>
      </c>
      <c r="B36" s="3596" t="s">
        <v>29</v>
      </c>
      <c r="C36" s="3528">
        <v>1</v>
      </c>
      <c r="D36" s="3528">
        <v>2</v>
      </c>
      <c r="E36" s="3528">
        <v>3</v>
      </c>
      <c r="F36" s="3529">
        <v>4</v>
      </c>
      <c r="G36" s="3529">
        <v>5</v>
      </c>
      <c r="H36" s="3528">
        <v>6</v>
      </c>
      <c r="I36" s="3528">
        <v>7</v>
      </c>
      <c r="J36" s="3528">
        <v>8</v>
      </c>
      <c r="K36" s="3528">
        <v>9</v>
      </c>
      <c r="L36" s="3528">
        <v>10</v>
      </c>
      <c r="M36" s="3529">
        <v>11</v>
      </c>
      <c r="N36" s="3529">
        <v>12</v>
      </c>
      <c r="O36" s="3528">
        <v>13</v>
      </c>
      <c r="P36" s="3528">
        <v>14</v>
      </c>
      <c r="Q36" s="3528">
        <v>15</v>
      </c>
      <c r="R36" s="3528">
        <v>16</v>
      </c>
      <c r="S36" s="3528">
        <v>17</v>
      </c>
      <c r="T36" s="3529">
        <v>18</v>
      </c>
      <c r="U36" s="3529">
        <v>19</v>
      </c>
      <c r="V36" s="3528">
        <v>20</v>
      </c>
      <c r="W36" s="3528">
        <v>21</v>
      </c>
      <c r="X36" s="3528">
        <v>22</v>
      </c>
      <c r="Y36" s="3528">
        <v>23</v>
      </c>
      <c r="Z36" s="3528">
        <v>24</v>
      </c>
      <c r="AA36" s="3529">
        <v>25</v>
      </c>
      <c r="AB36" s="3529">
        <v>26</v>
      </c>
      <c r="AC36" s="3528">
        <v>27</v>
      </c>
      <c r="AD36" s="3528">
        <v>28</v>
      </c>
      <c r="AE36" s="3528"/>
      <c r="AF36" s="3528"/>
      <c r="AG36" s="3530"/>
      <c r="AH36" s="173"/>
      <c r="AI36" s="174"/>
      <c r="AL36" t="s">
        <v>0</v>
      </c>
    </row>
    <row r="37" spans="1:38" ht="22.35" customHeight="1" x14ac:dyDescent="0.2">
      <c r="A37" s="3314">
        <v>1</v>
      </c>
      <c r="B37" s="3315" t="s">
        <v>79</v>
      </c>
      <c r="C37" s="3319">
        <v>3</v>
      </c>
      <c r="D37" s="3317">
        <v>3</v>
      </c>
      <c r="E37" s="3316">
        <v>3</v>
      </c>
      <c r="F37" s="3316"/>
      <c r="G37" s="3597" t="s">
        <v>0</v>
      </c>
      <c r="H37" s="3316">
        <v>11</v>
      </c>
      <c r="I37" s="3316">
        <v>11</v>
      </c>
      <c r="J37" s="3317">
        <v>11</v>
      </c>
      <c r="K37" s="3316">
        <v>11</v>
      </c>
      <c r="L37" s="3598">
        <v>11</v>
      </c>
      <c r="M37" s="3598" t="s">
        <v>94</v>
      </c>
      <c r="N37" s="3598" t="s">
        <v>344</v>
      </c>
      <c r="O37" s="3599" t="s">
        <v>36</v>
      </c>
      <c r="P37" s="3599" t="s">
        <v>36</v>
      </c>
      <c r="Q37" s="3600" t="s">
        <v>36</v>
      </c>
      <c r="R37" s="3317" t="s">
        <v>36</v>
      </c>
      <c r="S37" s="3316" t="s">
        <v>36</v>
      </c>
      <c r="T37" s="3316" t="s">
        <v>83</v>
      </c>
      <c r="U37" s="3316" t="s">
        <v>83</v>
      </c>
      <c r="V37" s="3316">
        <v>8</v>
      </c>
      <c r="W37" s="3316">
        <v>8</v>
      </c>
      <c r="X37" s="3318">
        <v>8</v>
      </c>
      <c r="Y37" s="3318">
        <v>8</v>
      </c>
      <c r="Z37" s="3316">
        <v>8</v>
      </c>
      <c r="AA37" s="3316"/>
      <c r="AB37" s="3318"/>
      <c r="AC37" s="3318" t="s">
        <v>36</v>
      </c>
      <c r="AD37" s="3318" t="s">
        <v>36</v>
      </c>
      <c r="AE37" s="3316"/>
      <c r="AF37" s="3316"/>
      <c r="AG37" s="3322"/>
      <c r="AH37" s="178"/>
      <c r="AI37" s="179"/>
    </row>
    <row r="38" spans="1:38" ht="22.35" customHeight="1" x14ac:dyDescent="0.2">
      <c r="A38" s="3601">
        <v>6</v>
      </c>
      <c r="B38" s="1182" t="s">
        <v>84</v>
      </c>
      <c r="C38" s="3535">
        <v>1</v>
      </c>
      <c r="D38" s="3535">
        <v>1</v>
      </c>
      <c r="E38" s="3535">
        <v>1</v>
      </c>
      <c r="F38" s="3535"/>
      <c r="G38" s="3535"/>
      <c r="H38" s="3535">
        <v>9</v>
      </c>
      <c r="I38" s="3535">
        <v>9</v>
      </c>
      <c r="J38" s="3535">
        <v>9</v>
      </c>
      <c r="K38" s="3535">
        <v>9</v>
      </c>
      <c r="L38" s="3602">
        <v>9</v>
      </c>
      <c r="M38" s="3602" t="s">
        <v>80</v>
      </c>
      <c r="N38" s="3602" t="s">
        <v>348</v>
      </c>
      <c r="O38" s="3603" t="s">
        <v>36</v>
      </c>
      <c r="P38" s="3603" t="s">
        <v>36</v>
      </c>
      <c r="Q38" s="3603" t="s">
        <v>36</v>
      </c>
      <c r="R38" s="3603" t="s">
        <v>36</v>
      </c>
      <c r="S38" s="3535" t="s">
        <v>36</v>
      </c>
      <c r="T38" s="3535" t="s">
        <v>82</v>
      </c>
      <c r="U38" s="3535" t="s">
        <v>83</v>
      </c>
      <c r="V38" s="3604">
        <v>6</v>
      </c>
      <c r="W38" s="3604">
        <v>6</v>
      </c>
      <c r="X38" s="3605">
        <v>6</v>
      </c>
      <c r="Y38" s="3535">
        <v>6</v>
      </c>
      <c r="Z38" s="3535">
        <v>6</v>
      </c>
      <c r="AA38" s="3535"/>
      <c r="AB38" s="3535"/>
      <c r="AC38" s="3535" t="s">
        <v>36</v>
      </c>
      <c r="AD38" s="3535" t="s">
        <v>36</v>
      </c>
      <c r="AE38" s="3535"/>
      <c r="AF38" s="3535"/>
      <c r="AG38" s="3606"/>
      <c r="AH38" s="178"/>
      <c r="AI38" s="179"/>
    </row>
    <row r="39" spans="1:38" ht="22.35" customHeight="1" thickBot="1" x14ac:dyDescent="0.25">
      <c r="A39" s="3607">
        <v>11</v>
      </c>
      <c r="B39" s="3608" t="s">
        <v>85</v>
      </c>
      <c r="C39" s="3609" t="s">
        <v>32</v>
      </c>
      <c r="D39" s="3610" t="s">
        <v>32</v>
      </c>
      <c r="E39" s="3610" t="s">
        <v>32</v>
      </c>
      <c r="F39" s="3610"/>
      <c r="G39" s="3610"/>
      <c r="H39" s="3610" t="s">
        <v>32</v>
      </c>
      <c r="I39" s="3610" t="s">
        <v>32</v>
      </c>
      <c r="J39" s="3609" t="s">
        <v>32</v>
      </c>
      <c r="K39" s="3610" t="s">
        <v>32</v>
      </c>
      <c r="L39" s="3610" t="s">
        <v>32</v>
      </c>
      <c r="M39" s="3611" t="s">
        <v>0</v>
      </c>
      <c r="N39" s="3611" t="s">
        <v>0</v>
      </c>
      <c r="O39" s="3610" t="s">
        <v>32</v>
      </c>
      <c r="P39" s="3610" t="s">
        <v>32</v>
      </c>
      <c r="Q39" s="3609" t="s">
        <v>32</v>
      </c>
      <c r="R39" s="3612" t="s">
        <v>32</v>
      </c>
      <c r="S39" s="3612" t="s">
        <v>32</v>
      </c>
      <c r="T39" s="3613" t="s">
        <v>0</v>
      </c>
      <c r="U39" s="3613" t="s">
        <v>0</v>
      </c>
      <c r="V39" s="3610" t="s">
        <v>32</v>
      </c>
      <c r="W39" s="3610" t="s">
        <v>32</v>
      </c>
      <c r="X39" s="3609" t="s">
        <v>32</v>
      </c>
      <c r="Y39" s="3610" t="s">
        <v>32</v>
      </c>
      <c r="Z39" s="3610" t="s">
        <v>32</v>
      </c>
      <c r="AA39" s="3610"/>
      <c r="AB39" s="3614"/>
      <c r="AC39" s="3610" t="s">
        <v>32</v>
      </c>
      <c r="AD39" s="3610" t="s">
        <v>32</v>
      </c>
      <c r="AE39" s="3610"/>
      <c r="AF39" s="3610"/>
      <c r="AG39" s="3615"/>
      <c r="AH39" s="178"/>
      <c r="AI39" s="179"/>
    </row>
    <row r="40" spans="1:38" ht="22.35" customHeight="1" x14ac:dyDescent="0.2">
      <c r="A40" s="3314">
        <v>2</v>
      </c>
      <c r="B40" s="172" t="s">
        <v>88</v>
      </c>
      <c r="C40" s="3320">
        <v>11</v>
      </c>
      <c r="D40" s="3320">
        <v>11</v>
      </c>
      <c r="E40" s="3320">
        <v>11</v>
      </c>
      <c r="F40" s="3320" t="s">
        <v>94</v>
      </c>
      <c r="G40" s="3320" t="s">
        <v>94</v>
      </c>
      <c r="H40" s="3316" t="s">
        <v>36</v>
      </c>
      <c r="I40" s="3316" t="s">
        <v>36</v>
      </c>
      <c r="J40" s="3317" t="s">
        <v>36</v>
      </c>
      <c r="K40" s="3317" t="s">
        <v>36</v>
      </c>
      <c r="L40" s="3316" t="s">
        <v>36</v>
      </c>
      <c r="M40" s="3316" t="s">
        <v>83</v>
      </c>
      <c r="N40" s="3316" t="s">
        <v>83</v>
      </c>
      <c r="O40" s="3318">
        <v>8</v>
      </c>
      <c r="P40" s="3316">
        <v>8</v>
      </c>
      <c r="Q40" s="3318">
        <v>8</v>
      </c>
      <c r="R40" s="3318">
        <v>8</v>
      </c>
      <c r="S40" s="3317">
        <v>8</v>
      </c>
      <c r="T40" s="3318"/>
      <c r="U40" s="3318"/>
      <c r="V40" s="3318" t="s">
        <v>36</v>
      </c>
      <c r="W40" s="3318" t="s">
        <v>36</v>
      </c>
      <c r="X40" s="3318" t="s">
        <v>36</v>
      </c>
      <c r="Y40" s="3316" t="s">
        <v>36</v>
      </c>
      <c r="Z40" s="3316" t="s">
        <v>36</v>
      </c>
      <c r="AA40" s="3316"/>
      <c r="AB40" s="3316"/>
      <c r="AC40" s="3318">
        <v>1</v>
      </c>
      <c r="AD40" s="3318">
        <v>1</v>
      </c>
      <c r="AE40" s="3316"/>
      <c r="AF40" s="3316"/>
      <c r="AG40" s="3322"/>
      <c r="AH40" s="178"/>
      <c r="AI40" s="179"/>
    </row>
    <row r="41" spans="1:38" ht="22.35" customHeight="1" thickBot="1" x14ac:dyDescent="0.25">
      <c r="A41" s="3601">
        <v>7</v>
      </c>
      <c r="B41" s="3542" t="s">
        <v>91</v>
      </c>
      <c r="C41" s="3539">
        <v>9</v>
      </c>
      <c r="D41" s="3539">
        <v>9</v>
      </c>
      <c r="E41" s="3539">
        <v>9</v>
      </c>
      <c r="F41" s="3539" t="s">
        <v>80</v>
      </c>
      <c r="G41" s="3616" t="s">
        <v>81</v>
      </c>
      <c r="H41" s="3616" t="s">
        <v>36</v>
      </c>
      <c r="I41" s="3538" t="s">
        <v>36</v>
      </c>
      <c r="J41" s="3550" t="s">
        <v>36</v>
      </c>
      <c r="K41" s="3550" t="s">
        <v>36</v>
      </c>
      <c r="L41" s="3550" t="s">
        <v>36</v>
      </c>
      <c r="M41" s="3550" t="s">
        <v>37</v>
      </c>
      <c r="N41" s="3550" t="s">
        <v>37</v>
      </c>
      <c r="O41" s="3550">
        <v>6</v>
      </c>
      <c r="P41" s="3539">
        <v>6</v>
      </c>
      <c r="Q41" s="3539">
        <v>6</v>
      </c>
      <c r="R41" s="3539">
        <v>6</v>
      </c>
      <c r="S41" s="3539">
        <v>6</v>
      </c>
      <c r="T41" s="3539"/>
      <c r="U41" s="3571"/>
      <c r="V41" s="3571" t="s">
        <v>36</v>
      </c>
      <c r="W41" s="3571" t="s">
        <v>36</v>
      </c>
      <c r="X41" s="3616" t="s">
        <v>36</v>
      </c>
      <c r="Y41" s="3616" t="s">
        <v>36</v>
      </c>
      <c r="Z41" s="3616" t="s">
        <v>36</v>
      </c>
      <c r="AA41" s="3616"/>
      <c r="AB41" s="3616"/>
      <c r="AC41" s="3616" t="s">
        <v>475</v>
      </c>
      <c r="AD41" s="3616" t="s">
        <v>475</v>
      </c>
      <c r="AE41" s="3616"/>
      <c r="AF41" s="3616"/>
      <c r="AG41" s="3617"/>
      <c r="AH41" s="178"/>
      <c r="AI41" s="179"/>
    </row>
    <row r="42" spans="1:38" ht="22.35" customHeight="1" thickBot="1" x14ac:dyDescent="0.25">
      <c r="A42" s="3607">
        <v>12</v>
      </c>
      <c r="B42" s="634" t="s">
        <v>93</v>
      </c>
      <c r="C42" s="3611">
        <v>10</v>
      </c>
      <c r="D42" s="3611">
        <v>10</v>
      </c>
      <c r="E42" s="3611">
        <v>10</v>
      </c>
      <c r="F42" s="3611" t="s">
        <v>81</v>
      </c>
      <c r="G42" s="3611" t="s">
        <v>81</v>
      </c>
      <c r="H42" s="3611" t="s">
        <v>36</v>
      </c>
      <c r="I42" s="3610" t="s">
        <v>36</v>
      </c>
      <c r="J42" s="3610" t="s">
        <v>36</v>
      </c>
      <c r="K42" s="3528" t="s">
        <v>36</v>
      </c>
      <c r="L42" s="3610" t="s">
        <v>36</v>
      </c>
      <c r="M42" s="3610" t="s">
        <v>57</v>
      </c>
      <c r="N42" s="3610" t="s">
        <v>57</v>
      </c>
      <c r="O42" s="3610">
        <v>7</v>
      </c>
      <c r="P42" s="3610">
        <v>7</v>
      </c>
      <c r="Q42" s="3610">
        <v>7</v>
      </c>
      <c r="R42" s="3610">
        <v>7</v>
      </c>
      <c r="S42" s="3610">
        <v>7</v>
      </c>
      <c r="T42" s="3331"/>
      <c r="U42" s="3331"/>
      <c r="V42" s="3614">
        <v>4</v>
      </c>
      <c r="W42" s="3614">
        <v>4</v>
      </c>
      <c r="X42" s="3610">
        <v>4</v>
      </c>
      <c r="Y42" s="3610">
        <v>4</v>
      </c>
      <c r="Z42" s="3610">
        <v>4</v>
      </c>
      <c r="AA42" s="3610"/>
      <c r="AB42" s="3610"/>
      <c r="AC42" s="3528">
        <v>3</v>
      </c>
      <c r="AD42" s="3528">
        <v>3</v>
      </c>
      <c r="AE42" s="3528"/>
      <c r="AF42" s="3528"/>
      <c r="AG42" s="3530"/>
      <c r="AH42" s="178"/>
      <c r="AI42" s="179"/>
    </row>
    <row r="43" spans="1:38" ht="22.35" customHeight="1" x14ac:dyDescent="0.2">
      <c r="A43" s="3314">
        <v>3</v>
      </c>
      <c r="B43" s="3327" t="s">
        <v>96</v>
      </c>
      <c r="C43" s="3328" t="s">
        <v>36</v>
      </c>
      <c r="D43" s="3373" t="s">
        <v>32</v>
      </c>
      <c r="E43" s="3372" t="s">
        <v>32</v>
      </c>
      <c r="F43" s="3330" t="s">
        <v>83</v>
      </c>
      <c r="G43" s="3330" t="s">
        <v>83</v>
      </c>
      <c r="H43" s="3331" t="s">
        <v>353</v>
      </c>
      <c r="I43" s="3331" t="s">
        <v>353</v>
      </c>
      <c r="J43" s="3618">
        <v>3</v>
      </c>
      <c r="K43" s="3618">
        <v>3</v>
      </c>
      <c r="L43" s="3618">
        <v>3</v>
      </c>
      <c r="M43" s="3618"/>
      <c r="N43" s="3618"/>
      <c r="O43" s="3618" t="s">
        <v>36</v>
      </c>
      <c r="P43" s="3618" t="s">
        <v>36</v>
      </c>
      <c r="Q43" s="3618" t="s">
        <v>36</v>
      </c>
      <c r="R43" s="3331" t="s">
        <v>36</v>
      </c>
      <c r="S43" s="3331" t="s">
        <v>36</v>
      </c>
      <c r="T43" s="3331"/>
      <c r="U43" s="3331"/>
      <c r="V43" s="3618">
        <v>1</v>
      </c>
      <c r="W43" s="3618">
        <v>1</v>
      </c>
      <c r="X43" s="3599">
        <v>1</v>
      </c>
      <c r="Y43" s="3331">
        <v>1</v>
      </c>
      <c r="Z43" s="3331">
        <v>1</v>
      </c>
      <c r="AA43" s="3331"/>
      <c r="AB43" s="3331"/>
      <c r="AC43" s="3619">
        <v>9</v>
      </c>
      <c r="AD43" s="3331">
        <v>9</v>
      </c>
      <c r="AE43" s="3316"/>
      <c r="AF43" s="3316"/>
      <c r="AG43" s="3322"/>
      <c r="AH43" s="178"/>
      <c r="AI43" s="179"/>
    </row>
    <row r="44" spans="1:38" ht="22.35" customHeight="1" x14ac:dyDescent="0.2">
      <c r="A44" s="3601">
        <v>8</v>
      </c>
      <c r="B44" s="3542" t="s">
        <v>97</v>
      </c>
      <c r="C44" s="3540" t="s">
        <v>36</v>
      </c>
      <c r="D44" s="3540" t="s">
        <v>36</v>
      </c>
      <c r="E44" s="3540" t="s">
        <v>36</v>
      </c>
      <c r="F44" s="3620" t="s">
        <v>82</v>
      </c>
      <c r="G44" s="3621" t="s">
        <v>83</v>
      </c>
      <c r="H44" s="3621">
        <v>6</v>
      </c>
      <c r="I44" s="3616">
        <v>6</v>
      </c>
      <c r="J44" s="3538">
        <v>6</v>
      </c>
      <c r="K44" s="3535">
        <v>6</v>
      </c>
      <c r="L44" s="3535">
        <v>6</v>
      </c>
      <c r="M44" s="3535"/>
      <c r="N44" s="3539"/>
      <c r="O44" s="3550" t="s">
        <v>36</v>
      </c>
      <c r="P44" s="3550" t="s">
        <v>36</v>
      </c>
      <c r="Q44" s="3550" t="s">
        <v>36</v>
      </c>
      <c r="R44" s="3550" t="s">
        <v>36</v>
      </c>
      <c r="S44" s="3550" t="s">
        <v>36</v>
      </c>
      <c r="T44" s="3550"/>
      <c r="U44" s="3550"/>
      <c r="V44" s="3616">
        <v>5</v>
      </c>
      <c r="W44" s="3616">
        <v>5</v>
      </c>
      <c r="X44" s="3538">
        <v>5</v>
      </c>
      <c r="Y44" s="3616">
        <v>5</v>
      </c>
      <c r="Z44" s="3616">
        <v>5</v>
      </c>
      <c r="AA44" s="3616"/>
      <c r="AB44" s="3616"/>
      <c r="AC44" s="3616">
        <v>10</v>
      </c>
      <c r="AD44" s="3539">
        <v>10</v>
      </c>
      <c r="AE44" s="3539"/>
      <c r="AF44" s="3540"/>
      <c r="AG44" s="3617"/>
      <c r="AH44" s="178"/>
      <c r="AI44" s="179"/>
    </row>
    <row r="45" spans="1:38" ht="22.35" customHeight="1" thickBot="1" x14ac:dyDescent="0.25">
      <c r="A45" s="3607">
        <v>13</v>
      </c>
      <c r="B45" s="3608" t="s">
        <v>98</v>
      </c>
      <c r="C45" s="3622" t="s">
        <v>36</v>
      </c>
      <c r="D45" s="3622" t="s">
        <v>36</v>
      </c>
      <c r="E45" s="3623" t="s">
        <v>36</v>
      </c>
      <c r="F45" s="3623" t="s">
        <v>57</v>
      </c>
      <c r="G45" s="3623" t="s">
        <v>57</v>
      </c>
      <c r="H45" s="3623">
        <v>7</v>
      </c>
      <c r="I45" s="3623">
        <v>7</v>
      </c>
      <c r="J45" s="3622">
        <v>7</v>
      </c>
      <c r="K45" s="3623">
        <v>7</v>
      </c>
      <c r="L45" s="3624">
        <v>7</v>
      </c>
      <c r="M45" s="3623"/>
      <c r="N45" s="3624"/>
      <c r="O45" s="3624">
        <v>4</v>
      </c>
      <c r="P45" s="3624">
        <v>4</v>
      </c>
      <c r="Q45" s="3623">
        <v>4</v>
      </c>
      <c r="R45" s="3623">
        <v>4</v>
      </c>
      <c r="S45" s="3623">
        <v>4</v>
      </c>
      <c r="T45" s="3623"/>
      <c r="U45" s="3623"/>
      <c r="V45" s="3623">
        <v>3</v>
      </c>
      <c r="W45" s="3623">
        <v>3</v>
      </c>
      <c r="X45" s="3623">
        <v>3</v>
      </c>
      <c r="Y45" s="3622">
        <v>3</v>
      </c>
      <c r="Z45" s="3623">
        <v>3</v>
      </c>
      <c r="AA45" s="3623"/>
      <c r="AB45" s="3623"/>
      <c r="AC45" s="3623">
        <v>11</v>
      </c>
      <c r="AD45" s="3623">
        <v>11</v>
      </c>
      <c r="AE45" s="3528"/>
      <c r="AF45" s="3610"/>
      <c r="AG45" s="3615"/>
      <c r="AH45" s="178"/>
      <c r="AI45" s="179"/>
    </row>
    <row r="46" spans="1:38" ht="22.35" customHeight="1" x14ac:dyDescent="0.2">
      <c r="A46" s="3314">
        <v>4</v>
      </c>
      <c r="B46" s="3315" t="s">
        <v>465</v>
      </c>
      <c r="C46" s="3318">
        <v>8</v>
      </c>
      <c r="D46" s="3318">
        <v>8</v>
      </c>
      <c r="E46" s="3316">
        <v>8</v>
      </c>
      <c r="F46" s="3317"/>
      <c r="G46" s="3317"/>
      <c r="H46" s="3625" t="s">
        <v>36</v>
      </c>
      <c r="I46" s="3625" t="s">
        <v>36</v>
      </c>
      <c r="J46" s="3625" t="s">
        <v>36</v>
      </c>
      <c r="K46" s="3625" t="s">
        <v>36</v>
      </c>
      <c r="L46" s="3625" t="s">
        <v>36</v>
      </c>
      <c r="M46" s="3317"/>
      <c r="N46" s="3317"/>
      <c r="O46" s="3317">
        <v>1</v>
      </c>
      <c r="P46" s="3317">
        <v>1</v>
      </c>
      <c r="Q46" s="3317">
        <v>1</v>
      </c>
      <c r="R46" s="3317">
        <v>1</v>
      </c>
      <c r="S46" s="3317">
        <v>1</v>
      </c>
      <c r="T46" s="3316"/>
      <c r="U46" s="3316"/>
      <c r="V46" s="3339">
        <v>9</v>
      </c>
      <c r="W46" s="3316">
        <v>9</v>
      </c>
      <c r="X46" s="3316">
        <v>9</v>
      </c>
      <c r="Y46" s="3317">
        <v>9</v>
      </c>
      <c r="Z46" s="3316">
        <v>9</v>
      </c>
      <c r="AA46" s="3316" t="s">
        <v>80</v>
      </c>
      <c r="AB46" s="3316" t="s">
        <v>81</v>
      </c>
      <c r="AC46" s="3316" t="s">
        <v>36</v>
      </c>
      <c r="AD46" s="3316" t="s">
        <v>36</v>
      </c>
      <c r="AE46" s="3318"/>
      <c r="AF46" s="3316"/>
      <c r="AG46" s="3322"/>
      <c r="AH46" s="178"/>
      <c r="AI46" s="179"/>
    </row>
    <row r="47" spans="1:38" ht="22.35" customHeight="1" x14ac:dyDescent="0.2">
      <c r="A47" s="3601">
        <v>9</v>
      </c>
      <c r="B47" s="3542" t="s">
        <v>100</v>
      </c>
      <c r="C47" s="3616">
        <v>6</v>
      </c>
      <c r="D47" s="3616">
        <v>6</v>
      </c>
      <c r="E47" s="3616">
        <v>6</v>
      </c>
      <c r="F47" s="3616"/>
      <c r="G47" s="3616"/>
      <c r="H47" s="3616" t="s">
        <v>36</v>
      </c>
      <c r="I47" s="3616" t="s">
        <v>36</v>
      </c>
      <c r="J47" s="3616" t="s">
        <v>36</v>
      </c>
      <c r="K47" s="3616" t="s">
        <v>36</v>
      </c>
      <c r="L47" s="3616" t="s">
        <v>36</v>
      </c>
      <c r="M47" s="3616"/>
      <c r="N47" s="3616"/>
      <c r="O47" s="3626">
        <v>5</v>
      </c>
      <c r="P47" s="3626">
        <v>5</v>
      </c>
      <c r="Q47" s="3627">
        <v>5</v>
      </c>
      <c r="R47" s="3626">
        <v>5</v>
      </c>
      <c r="S47" s="3626">
        <v>5</v>
      </c>
      <c r="T47" s="3616"/>
      <c r="U47" s="3616"/>
      <c r="V47" s="3616">
        <v>10</v>
      </c>
      <c r="W47" s="3616">
        <v>10</v>
      </c>
      <c r="X47" s="3616">
        <v>10</v>
      </c>
      <c r="Y47" s="3616">
        <v>10</v>
      </c>
      <c r="Z47" s="3616">
        <v>10</v>
      </c>
      <c r="AA47" s="3616" t="s">
        <v>81</v>
      </c>
      <c r="AB47" s="3616" t="s">
        <v>81</v>
      </c>
      <c r="AC47" s="3616" t="s">
        <v>36</v>
      </c>
      <c r="AD47" s="3616" t="s">
        <v>36</v>
      </c>
      <c r="AE47" s="3616"/>
      <c r="AF47" s="3616"/>
      <c r="AG47" s="3617"/>
      <c r="AH47" s="178"/>
      <c r="AI47" s="179"/>
    </row>
    <row r="48" spans="1:38" ht="22.35" customHeight="1" thickBot="1" x14ac:dyDescent="0.25">
      <c r="A48" s="3607">
        <v>14</v>
      </c>
      <c r="B48" s="3608" t="s">
        <v>102</v>
      </c>
      <c r="C48" s="3528">
        <v>7</v>
      </c>
      <c r="D48" s="3610">
        <v>7</v>
      </c>
      <c r="E48" s="3610">
        <v>7</v>
      </c>
      <c r="F48" s="3610"/>
      <c r="G48" s="3614"/>
      <c r="H48" s="3628">
        <v>4</v>
      </c>
      <c r="I48" s="3628">
        <v>4</v>
      </c>
      <c r="J48" s="3612">
        <v>4</v>
      </c>
      <c r="K48" s="3612">
        <v>4</v>
      </c>
      <c r="L48" s="3612">
        <v>4</v>
      </c>
      <c r="M48" s="3610"/>
      <c r="N48" s="3610"/>
      <c r="O48" s="3528">
        <v>3</v>
      </c>
      <c r="P48" s="3629">
        <v>3</v>
      </c>
      <c r="Q48" s="3610">
        <v>3</v>
      </c>
      <c r="R48" s="3528">
        <v>3</v>
      </c>
      <c r="S48" s="3610">
        <v>3</v>
      </c>
      <c r="T48" s="3616"/>
      <c r="U48" s="3616"/>
      <c r="V48" s="3610">
        <v>11</v>
      </c>
      <c r="W48" s="3610">
        <v>11</v>
      </c>
      <c r="X48" s="3528">
        <v>11</v>
      </c>
      <c r="Y48" s="3610">
        <v>11</v>
      </c>
      <c r="Z48" s="3610">
        <v>11</v>
      </c>
      <c r="AA48" s="3610" t="s">
        <v>94</v>
      </c>
      <c r="AB48" s="3610" t="s">
        <v>94</v>
      </c>
      <c r="AC48" s="3630" t="s">
        <v>36</v>
      </c>
      <c r="AD48" s="3631" t="s">
        <v>36</v>
      </c>
      <c r="AE48" s="3610"/>
      <c r="AF48" s="3528"/>
      <c r="AG48" s="3530"/>
      <c r="AH48" s="178"/>
      <c r="AI48" s="179"/>
    </row>
    <row r="49" spans="1:40" ht="22.35" customHeight="1" x14ac:dyDescent="0.2">
      <c r="A49" s="3314">
        <v>5</v>
      </c>
      <c r="B49" s="3542" t="s">
        <v>103</v>
      </c>
      <c r="C49" s="3316" t="s">
        <v>36</v>
      </c>
      <c r="D49" s="3316" t="s">
        <v>36</v>
      </c>
      <c r="E49" s="3316" t="s">
        <v>36</v>
      </c>
      <c r="F49" s="3316"/>
      <c r="G49" s="3316"/>
      <c r="H49" s="3316">
        <v>1</v>
      </c>
      <c r="I49" s="3316">
        <v>1</v>
      </c>
      <c r="J49" s="3316">
        <v>1</v>
      </c>
      <c r="K49" s="3316">
        <v>1</v>
      </c>
      <c r="L49" s="3316">
        <v>1</v>
      </c>
      <c r="M49" s="3316"/>
      <c r="N49" s="3316"/>
      <c r="O49" s="3316">
        <v>9</v>
      </c>
      <c r="P49" s="3316">
        <v>9</v>
      </c>
      <c r="Q49" s="3316">
        <v>9</v>
      </c>
      <c r="R49" s="3316">
        <v>9</v>
      </c>
      <c r="S49" s="3330">
        <v>9</v>
      </c>
      <c r="T49" s="3330" t="s">
        <v>80</v>
      </c>
      <c r="U49" s="3330" t="s">
        <v>348</v>
      </c>
      <c r="V49" s="3316" t="s">
        <v>36</v>
      </c>
      <c r="W49" s="3316" t="s">
        <v>36</v>
      </c>
      <c r="X49" s="3316" t="s">
        <v>36</v>
      </c>
      <c r="Y49" s="3316" t="s">
        <v>36</v>
      </c>
      <c r="Z49" s="3316" t="s">
        <v>36</v>
      </c>
      <c r="AA49" s="3316" t="s">
        <v>82</v>
      </c>
      <c r="AB49" s="3316" t="s">
        <v>83</v>
      </c>
      <c r="AC49" s="3316">
        <v>6</v>
      </c>
      <c r="AD49" s="3316">
        <v>6</v>
      </c>
      <c r="AE49" s="3316"/>
      <c r="AF49" s="3317"/>
      <c r="AG49" s="3343"/>
      <c r="AH49" s="178"/>
      <c r="AI49" s="179"/>
    </row>
    <row r="50" spans="1:40" ht="22.35" customHeight="1" x14ac:dyDescent="0.2">
      <c r="A50" s="3601">
        <v>10</v>
      </c>
      <c r="B50" s="3542" t="s">
        <v>104</v>
      </c>
      <c r="C50" s="3616" t="s">
        <v>36</v>
      </c>
      <c r="D50" s="3616" t="s">
        <v>36</v>
      </c>
      <c r="E50" s="3616" t="s">
        <v>36</v>
      </c>
      <c r="F50" s="3616"/>
      <c r="G50" s="3616"/>
      <c r="H50" s="3616">
        <v>5</v>
      </c>
      <c r="I50" s="3616">
        <v>5</v>
      </c>
      <c r="J50" s="3616">
        <v>5</v>
      </c>
      <c r="K50" s="3616">
        <v>5</v>
      </c>
      <c r="L50" s="3616">
        <v>5</v>
      </c>
      <c r="M50" s="3616"/>
      <c r="N50" s="3616"/>
      <c r="O50" s="3616">
        <v>10</v>
      </c>
      <c r="P50" s="3616">
        <v>10</v>
      </c>
      <c r="Q50" s="3616">
        <v>10</v>
      </c>
      <c r="R50" s="3616">
        <v>10</v>
      </c>
      <c r="S50" s="3616">
        <v>10</v>
      </c>
      <c r="T50" s="3616" t="s">
        <v>81</v>
      </c>
      <c r="U50" s="3616" t="s">
        <v>81</v>
      </c>
      <c r="V50" s="3616" t="s">
        <v>36</v>
      </c>
      <c r="W50" s="3616" t="s">
        <v>36</v>
      </c>
      <c r="X50" s="3616" t="s">
        <v>36</v>
      </c>
      <c r="Y50" s="3616" t="s">
        <v>36</v>
      </c>
      <c r="Z50" s="3616" t="s">
        <v>36</v>
      </c>
      <c r="AA50" s="3616" t="s">
        <v>57</v>
      </c>
      <c r="AB50" s="3616" t="s">
        <v>57</v>
      </c>
      <c r="AC50" s="3616">
        <v>7</v>
      </c>
      <c r="AD50" s="3616">
        <v>7</v>
      </c>
      <c r="AE50" s="3616"/>
      <c r="AF50" s="3616"/>
      <c r="AG50" s="3617"/>
      <c r="AH50" s="178"/>
      <c r="AI50" s="179"/>
    </row>
    <row r="51" spans="1:40" ht="22.35" customHeight="1" thickBot="1" x14ac:dyDescent="0.25">
      <c r="A51" s="3607">
        <v>15</v>
      </c>
      <c r="B51" s="3608" t="s">
        <v>105</v>
      </c>
      <c r="C51" s="3610">
        <v>4</v>
      </c>
      <c r="D51" s="3610">
        <v>4</v>
      </c>
      <c r="E51" s="3610">
        <v>4</v>
      </c>
      <c r="F51" s="3610"/>
      <c r="G51" s="3610"/>
      <c r="H51" s="3632">
        <v>3</v>
      </c>
      <c r="I51" s="3632">
        <v>3</v>
      </c>
      <c r="J51" s="3632">
        <v>3</v>
      </c>
      <c r="K51" s="3632">
        <v>3</v>
      </c>
      <c r="L51" s="3632">
        <v>3</v>
      </c>
      <c r="M51" s="3632"/>
      <c r="N51" s="3632"/>
      <c r="O51" s="3610">
        <v>11</v>
      </c>
      <c r="P51" s="3610">
        <v>11</v>
      </c>
      <c r="Q51" s="3610">
        <v>11</v>
      </c>
      <c r="R51" s="3610">
        <v>11</v>
      </c>
      <c r="S51" s="3610">
        <v>11</v>
      </c>
      <c r="T51" s="3610" t="s">
        <v>94</v>
      </c>
      <c r="U51" s="3610" t="s">
        <v>94</v>
      </c>
      <c r="V51" s="3610" t="s">
        <v>36</v>
      </c>
      <c r="W51" s="3610" t="s">
        <v>36</v>
      </c>
      <c r="X51" s="3610" t="s">
        <v>36</v>
      </c>
      <c r="Y51" s="3610" t="s">
        <v>36</v>
      </c>
      <c r="Z51" s="3610" t="s">
        <v>36</v>
      </c>
      <c r="AA51" s="3610" t="s">
        <v>83</v>
      </c>
      <c r="AB51" s="3610" t="s">
        <v>83</v>
      </c>
      <c r="AC51" s="3610">
        <v>8</v>
      </c>
      <c r="AD51" s="3610">
        <v>8</v>
      </c>
      <c r="AE51" s="3528"/>
      <c r="AF51" s="3614"/>
      <c r="AG51" s="3633"/>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3634"/>
      <c r="AB52" s="72"/>
      <c r="AC52" s="72"/>
      <c r="AD52" s="72"/>
      <c r="AE52" s="72"/>
      <c r="AF52" s="72"/>
      <c r="AG52" s="72"/>
      <c r="AH52" s="1"/>
      <c r="AJ52" t="s">
        <v>229</v>
      </c>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3635" t="s">
        <v>28</v>
      </c>
      <c r="B54" s="3635"/>
      <c r="C54" s="3605"/>
      <c r="D54" s="3635" t="s">
        <v>107</v>
      </c>
      <c r="E54" s="3636"/>
      <c r="F54" s="3605"/>
      <c r="G54" s="3635" t="s">
        <v>108</v>
      </c>
      <c r="H54" s="3636"/>
      <c r="I54" s="3605"/>
      <c r="J54" s="3635" t="s">
        <v>109</v>
      </c>
      <c r="K54" s="3636"/>
      <c r="L54" s="3605"/>
      <c r="M54" s="3635" t="s">
        <v>110</v>
      </c>
      <c r="N54" s="3636"/>
      <c r="O54" s="3605"/>
      <c r="P54" s="3635" t="s">
        <v>111</v>
      </c>
      <c r="Q54" s="3636"/>
      <c r="R54" s="3637"/>
      <c r="S54" s="3638" t="s">
        <v>112</v>
      </c>
      <c r="T54" s="3636"/>
      <c r="U54" s="3605"/>
      <c r="V54" s="3635" t="s">
        <v>113</v>
      </c>
      <c r="W54" s="3636"/>
      <c r="X54" s="3639" t="s">
        <v>114</v>
      </c>
      <c r="Y54" s="3636"/>
      <c r="Z54" s="3636"/>
      <c r="AA54" s="3640"/>
      <c r="AB54" s="3512"/>
      <c r="AC54" s="3512"/>
      <c r="AD54" s="3512"/>
      <c r="AE54" s="3512"/>
      <c r="AF54" s="3512"/>
      <c r="AG54" s="3513"/>
      <c r="AH54" s="1"/>
    </row>
    <row r="55" spans="1:40" ht="22.35" customHeight="1" x14ac:dyDescent="0.2">
      <c r="A55" s="3641">
        <v>8517</v>
      </c>
      <c r="B55" s="3642" t="s">
        <v>115</v>
      </c>
      <c r="C55" s="3643" t="s">
        <v>116</v>
      </c>
      <c r="D55" s="3644"/>
      <c r="E55" s="3511"/>
      <c r="F55" s="3643" t="s">
        <v>116</v>
      </c>
      <c r="G55" s="3644"/>
      <c r="H55" s="3511"/>
      <c r="I55" s="3643" t="s">
        <v>116</v>
      </c>
      <c r="J55" s="3644"/>
      <c r="K55" s="3511"/>
      <c r="L55" s="3643" t="s">
        <v>116</v>
      </c>
      <c r="M55" s="3644"/>
      <c r="N55" s="3511"/>
      <c r="O55" s="3643" t="s">
        <v>117</v>
      </c>
      <c r="P55" s="3644"/>
      <c r="Q55" s="3511"/>
      <c r="R55" s="3643"/>
      <c r="S55" s="3644"/>
      <c r="T55" s="3511"/>
      <c r="U55" s="3643" t="s">
        <v>118</v>
      </c>
      <c r="V55" s="3644"/>
      <c r="W55" s="3511"/>
      <c r="X55" s="3509"/>
      <c r="Y55" s="3512"/>
      <c r="Z55" s="3512"/>
      <c r="AA55" s="3512"/>
      <c r="AB55" s="3512"/>
      <c r="AC55" s="3512"/>
      <c r="AD55" s="3512"/>
      <c r="AE55" s="3512"/>
      <c r="AF55" s="3512"/>
      <c r="AG55" s="3513"/>
      <c r="AH55" s="1"/>
    </row>
    <row r="56" spans="1:40" ht="22.35" customHeight="1" x14ac:dyDescent="0.2">
      <c r="B56" s="3534" t="s">
        <v>119</v>
      </c>
      <c r="C56" s="3645" t="s">
        <v>120</v>
      </c>
      <c r="D56" s="3646"/>
      <c r="E56" s="3647"/>
      <c r="F56" s="3645" t="s">
        <v>120</v>
      </c>
      <c r="G56" s="3648"/>
      <c r="H56" s="3647"/>
      <c r="I56" s="3643" t="s">
        <v>120</v>
      </c>
      <c r="J56" s="3644"/>
      <c r="K56" s="3649"/>
      <c r="L56" s="3643" t="s">
        <v>120</v>
      </c>
      <c r="M56" s="3644"/>
      <c r="N56" s="3649"/>
      <c r="O56" s="3643" t="s">
        <v>121</v>
      </c>
      <c r="P56" s="3644"/>
      <c r="Q56" s="3511"/>
      <c r="R56" s="3650" t="s">
        <v>0</v>
      </c>
      <c r="S56" s="3644"/>
      <c r="T56" s="3649"/>
      <c r="U56" s="3644" t="s">
        <v>0</v>
      </c>
      <c r="V56" s="3644"/>
      <c r="W56" s="3511"/>
      <c r="X56" s="675" t="s">
        <v>0</v>
      </c>
      <c r="Y56" s="72"/>
      <c r="Z56" s="72"/>
      <c r="AA56" s="72"/>
      <c r="AB56" s="72"/>
      <c r="AC56" s="72"/>
      <c r="AD56" s="72"/>
      <c r="AE56" s="72"/>
      <c r="AF56" s="72"/>
      <c r="AG56" s="111"/>
      <c r="AH56" s="1"/>
    </row>
    <row r="57" spans="1:40" ht="22.35" customHeight="1" x14ac:dyDescent="0.2">
      <c r="A57" s="3651"/>
      <c r="B57" s="3642" t="s">
        <v>122</v>
      </c>
      <c r="C57" s="3645" t="s">
        <v>123</v>
      </c>
      <c r="D57" s="3646"/>
      <c r="E57" s="3648"/>
      <c r="F57" s="3645" t="s">
        <v>123</v>
      </c>
      <c r="G57" s="3646"/>
      <c r="H57" s="3648"/>
      <c r="I57" s="3645" t="s">
        <v>123</v>
      </c>
      <c r="J57" s="3646"/>
      <c r="K57" s="3648"/>
      <c r="L57" s="3645" t="s">
        <v>123</v>
      </c>
      <c r="M57" s="3646"/>
      <c r="N57" s="3648"/>
      <c r="O57" s="3645" t="s">
        <v>124</v>
      </c>
      <c r="P57" s="3646"/>
      <c r="Q57" s="3648"/>
      <c r="R57" s="676"/>
      <c r="S57" s="294"/>
      <c r="T57" s="3647"/>
      <c r="U57" s="3646"/>
      <c r="V57" s="3646"/>
      <c r="W57" s="3648"/>
      <c r="X57" s="3509"/>
      <c r="Y57" s="3512"/>
      <c r="Z57" s="3512"/>
      <c r="AA57" s="3512"/>
      <c r="AB57" s="3512"/>
      <c r="AC57" s="3512"/>
      <c r="AD57" s="3512"/>
      <c r="AE57" s="3512"/>
      <c r="AF57" s="3512"/>
      <c r="AG57" s="3513"/>
      <c r="AH57" s="1"/>
      <c r="AK57" t="s">
        <v>0</v>
      </c>
    </row>
    <row r="58" spans="1:40" ht="22.35" customHeight="1" x14ac:dyDescent="0.2">
      <c r="A58" s="3635"/>
      <c r="B58" s="3642"/>
      <c r="C58" s="3652"/>
      <c r="D58" s="3653"/>
      <c r="E58" s="3654"/>
      <c r="F58" s="3652"/>
      <c r="G58" s="3653"/>
      <c r="H58" s="3654"/>
      <c r="I58" s="3652"/>
      <c r="J58" s="3653"/>
      <c r="K58" s="3654"/>
      <c r="L58" s="3652"/>
      <c r="M58" s="3653"/>
      <c r="N58" s="3654"/>
      <c r="O58" s="3652"/>
      <c r="P58" s="3653"/>
      <c r="Q58" s="3654"/>
      <c r="R58" s="3652"/>
      <c r="S58" s="3653"/>
      <c r="T58" s="3654"/>
      <c r="U58" s="3652"/>
      <c r="V58" s="3653"/>
      <c r="W58" s="3654"/>
      <c r="X58" s="3511"/>
      <c r="Y58" s="3512"/>
      <c r="Z58" s="3512"/>
      <c r="AA58" s="3512"/>
      <c r="AB58" s="3512"/>
      <c r="AC58" s="3512"/>
      <c r="AD58" s="3512"/>
      <c r="AE58" s="3512"/>
      <c r="AF58" s="3512"/>
      <c r="AG58" s="3513"/>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3655"/>
      <c r="B60" s="3656" t="s">
        <v>29</v>
      </c>
      <c r="C60" s="3528">
        <v>1</v>
      </c>
      <c r="D60" s="3528">
        <v>2</v>
      </c>
      <c r="E60" s="3528">
        <v>3</v>
      </c>
      <c r="F60" s="3529">
        <v>4</v>
      </c>
      <c r="G60" s="3529">
        <v>5</v>
      </c>
      <c r="H60" s="3528">
        <v>6</v>
      </c>
      <c r="I60" s="3528">
        <v>7</v>
      </c>
      <c r="J60" s="3528">
        <v>8</v>
      </c>
      <c r="K60" s="3528">
        <v>9</v>
      </c>
      <c r="L60" s="3528">
        <v>10</v>
      </c>
      <c r="M60" s="3529">
        <v>11</v>
      </c>
      <c r="N60" s="3529">
        <v>12</v>
      </c>
      <c r="O60" s="3528">
        <v>13</v>
      </c>
      <c r="P60" s="3528">
        <v>14</v>
      </c>
      <c r="Q60" s="3528">
        <v>15</v>
      </c>
      <c r="R60" s="3528">
        <v>16</v>
      </c>
      <c r="S60" s="3528">
        <v>17</v>
      </c>
      <c r="T60" s="3529">
        <v>18</v>
      </c>
      <c r="U60" s="3529">
        <v>19</v>
      </c>
      <c r="V60" s="3528">
        <v>20</v>
      </c>
      <c r="W60" s="3528">
        <v>21</v>
      </c>
      <c r="X60" s="3528">
        <v>22</v>
      </c>
      <c r="Y60" s="3528">
        <v>23</v>
      </c>
      <c r="Z60" s="3528">
        <v>24</v>
      </c>
      <c r="AA60" s="3529">
        <v>25</v>
      </c>
      <c r="AB60" s="3529">
        <v>26</v>
      </c>
      <c r="AC60" s="3528">
        <v>27</v>
      </c>
      <c r="AD60" s="3528">
        <v>28</v>
      </c>
      <c r="AE60" s="3528"/>
      <c r="AF60" s="3528"/>
      <c r="AG60" s="3530"/>
      <c r="AH60" s="1"/>
      <c r="AJ60" s="1181" t="s">
        <v>30</v>
      </c>
      <c r="AK60" s="1181" t="s">
        <v>44</v>
      </c>
      <c r="AL60" s="1181" t="s">
        <v>45</v>
      </c>
      <c r="AM60" s="1181" t="s">
        <v>46</v>
      </c>
      <c r="AN60" s="1181" t="s">
        <v>47</v>
      </c>
    </row>
    <row r="61" spans="1:40" ht="22.35" customHeight="1" thickBot="1" x14ac:dyDescent="0.25">
      <c r="A61" s="3657"/>
      <c r="B61" s="3349" t="s">
        <v>126</v>
      </c>
      <c r="C61" s="3538">
        <v>25</v>
      </c>
      <c r="D61" s="3538">
        <v>25</v>
      </c>
      <c r="E61" s="3538">
        <v>25</v>
      </c>
      <c r="F61" s="3317"/>
      <c r="G61" s="3317"/>
      <c r="H61" s="3538">
        <v>26</v>
      </c>
      <c r="I61" s="3538">
        <v>26</v>
      </c>
      <c r="J61" s="3538">
        <v>26</v>
      </c>
      <c r="K61" s="3538">
        <v>26</v>
      </c>
      <c r="L61" s="3538">
        <v>26</v>
      </c>
      <c r="M61" s="3317"/>
      <c r="N61" s="3538">
        <v>26</v>
      </c>
      <c r="O61" s="3610" t="s">
        <v>36</v>
      </c>
      <c r="P61" s="3610" t="s">
        <v>36</v>
      </c>
      <c r="Q61" s="3629" t="s">
        <v>476</v>
      </c>
      <c r="R61" s="3629" t="s">
        <v>476</v>
      </c>
      <c r="S61" s="3610" t="s">
        <v>36</v>
      </c>
      <c r="T61" s="3318"/>
      <c r="U61" s="3318">
        <v>26</v>
      </c>
      <c r="V61" s="3317">
        <v>25</v>
      </c>
      <c r="W61" s="3317">
        <v>25</v>
      </c>
      <c r="X61" s="3317">
        <v>25</v>
      </c>
      <c r="Y61" s="3317">
        <v>25</v>
      </c>
      <c r="Z61" s="3317">
        <v>25</v>
      </c>
      <c r="AA61" s="3317"/>
      <c r="AB61" s="3317"/>
      <c r="AC61" s="3317" t="s">
        <v>128</v>
      </c>
      <c r="AD61" s="3317" t="s">
        <v>128</v>
      </c>
      <c r="AE61" s="3317"/>
      <c r="AF61" s="3317"/>
      <c r="AG61" s="3658"/>
      <c r="AH61" s="1"/>
      <c r="AJ61" s="3562">
        <v>168.75</v>
      </c>
      <c r="AK61" s="3562">
        <v>10.5</v>
      </c>
      <c r="AL61" s="3562">
        <f>IF(AJ61="","",SUM(AJ61:AK61))</f>
        <v>179.25</v>
      </c>
      <c r="AM61" s="3563">
        <f t="shared" ref="AM61:AM74" si="3">IF(AJ61="","",AL61-NormTid)</f>
        <v>18.919999999999987</v>
      </c>
      <c r="AN61" s="3563">
        <f>IF(AM61="","",AM61+'Januar 2023'!AN61)</f>
        <v>39.839999999999975</v>
      </c>
    </row>
    <row r="62" spans="1:40" ht="22.35" customHeight="1" thickBot="1" x14ac:dyDescent="0.25">
      <c r="A62" s="1175"/>
      <c r="B62" s="3542" t="s">
        <v>129</v>
      </c>
      <c r="C62" s="470" t="s">
        <v>32</v>
      </c>
      <c r="D62" s="470" t="s">
        <v>32</v>
      </c>
      <c r="E62" s="3659" t="s">
        <v>32</v>
      </c>
      <c r="F62" s="3538" t="s">
        <v>53</v>
      </c>
      <c r="G62" s="3538" t="s">
        <v>53</v>
      </c>
      <c r="H62" s="3463" t="s">
        <v>32</v>
      </c>
      <c r="I62" s="3463" t="s">
        <v>32</v>
      </c>
      <c r="J62" s="3463" t="s">
        <v>32</v>
      </c>
      <c r="K62" s="3463" t="s">
        <v>32</v>
      </c>
      <c r="L62" s="3463" t="s">
        <v>32</v>
      </c>
      <c r="M62" s="3463"/>
      <c r="N62" s="3463"/>
      <c r="O62" s="3659" t="s">
        <v>32</v>
      </c>
      <c r="P62" s="3659" t="s">
        <v>32</v>
      </c>
      <c r="Q62" s="3659" t="s">
        <v>32</v>
      </c>
      <c r="R62" s="3538" t="s">
        <v>134</v>
      </c>
      <c r="S62" s="3538">
        <v>79</v>
      </c>
      <c r="T62" s="3660" t="s">
        <v>57</v>
      </c>
      <c r="U62" s="3660" t="s">
        <v>57</v>
      </c>
      <c r="V62" s="3538" t="s">
        <v>134</v>
      </c>
      <c r="W62" s="3538" t="s">
        <v>134</v>
      </c>
      <c r="X62" s="3538" t="s">
        <v>134</v>
      </c>
      <c r="Y62" s="3538" t="s">
        <v>134</v>
      </c>
      <c r="Z62" s="3538" t="s">
        <v>134</v>
      </c>
      <c r="AA62" s="3538" t="s">
        <v>127</v>
      </c>
      <c r="AB62" s="3538" t="s">
        <v>127</v>
      </c>
      <c r="AC62" s="3538" t="s">
        <v>36</v>
      </c>
      <c r="AD62" s="3538" t="s">
        <v>36</v>
      </c>
      <c r="AE62" s="3538"/>
      <c r="AF62" s="3538"/>
      <c r="AG62" s="3661"/>
      <c r="AH62" s="1"/>
      <c r="AJ62" s="3562">
        <v>153.75</v>
      </c>
      <c r="AK62" s="3562">
        <v>2.25</v>
      </c>
      <c r="AL62" s="3562">
        <f t="shared" ref="AL62:AL76" si="4">IF(AJ62="","",SUM(AJ62:AK62))</f>
        <v>156</v>
      </c>
      <c r="AM62" s="3563">
        <f>IF(AJ62="","",AL62-NormTid)</f>
        <v>-4.3300000000000125</v>
      </c>
      <c r="AN62" s="3563">
        <f>IF(AM62="","",AM62+'Januar 2023'!AN62)</f>
        <v>-7.160000000000025</v>
      </c>
    </row>
    <row r="63" spans="1:40" ht="22.35" customHeight="1" x14ac:dyDescent="0.2">
      <c r="A63" s="1175"/>
      <c r="B63" s="3542" t="s">
        <v>130</v>
      </c>
      <c r="C63" s="1163">
        <v>21</v>
      </c>
      <c r="D63" s="1163">
        <v>21</v>
      </c>
      <c r="E63" s="1163">
        <v>21</v>
      </c>
      <c r="F63" s="1163">
        <v>21</v>
      </c>
      <c r="G63" s="1163" t="s">
        <v>149</v>
      </c>
      <c r="H63" s="3550" t="s">
        <v>36</v>
      </c>
      <c r="I63" s="3550" t="s">
        <v>36</v>
      </c>
      <c r="J63" s="3550" t="s">
        <v>36</v>
      </c>
      <c r="K63" s="3550" t="s">
        <v>36</v>
      </c>
      <c r="L63" s="3550" t="s">
        <v>36</v>
      </c>
      <c r="M63" s="3535"/>
      <c r="N63" s="3535" t="s">
        <v>0</v>
      </c>
      <c r="O63" s="644" t="s">
        <v>400</v>
      </c>
      <c r="P63" s="644" t="s">
        <v>400</v>
      </c>
      <c r="Q63" s="644" t="s">
        <v>400</v>
      </c>
      <c r="R63" s="644" t="s">
        <v>400</v>
      </c>
      <c r="S63" s="644" t="s">
        <v>400</v>
      </c>
      <c r="T63" s="3538" t="s">
        <v>0</v>
      </c>
      <c r="U63" s="3538" t="s">
        <v>0</v>
      </c>
      <c r="V63" s="644">
        <v>23</v>
      </c>
      <c r="W63" s="644">
        <v>23</v>
      </c>
      <c r="X63" s="644">
        <v>23</v>
      </c>
      <c r="Y63" s="644">
        <v>23</v>
      </c>
      <c r="Z63" s="644">
        <v>23</v>
      </c>
      <c r="AA63" s="644">
        <v>23</v>
      </c>
      <c r="AB63" s="644">
        <v>23</v>
      </c>
      <c r="AC63" s="3538" t="s">
        <v>36</v>
      </c>
      <c r="AD63" s="3538" t="s">
        <v>36</v>
      </c>
      <c r="AE63" s="3535"/>
      <c r="AF63" s="3535"/>
      <c r="AG63" s="3662"/>
      <c r="AH63" s="1"/>
      <c r="AJ63" s="3562">
        <v>161.25</v>
      </c>
      <c r="AK63" s="3562">
        <v>11.75</v>
      </c>
      <c r="AL63" s="3562">
        <f t="shared" si="4"/>
        <v>173</v>
      </c>
      <c r="AM63" s="3563">
        <f>IF(AJ63="","",AL63-NormTid)</f>
        <v>12.669999999999987</v>
      </c>
      <c r="AN63" s="3563">
        <f>IF(AM63="","",AM63+'Januar 2023'!AN63)</f>
        <v>28.589999999999975</v>
      </c>
    </row>
    <row r="64" spans="1:40" ht="22.35" customHeight="1" thickBot="1" x14ac:dyDescent="0.25">
      <c r="A64" s="1175"/>
      <c r="B64" s="3663" t="s">
        <v>132</v>
      </c>
      <c r="C64" s="3550" t="s">
        <v>36</v>
      </c>
      <c r="D64" s="3550" t="s">
        <v>36</v>
      </c>
      <c r="E64" s="3550" t="s">
        <v>36</v>
      </c>
      <c r="F64" s="3538"/>
      <c r="G64" s="3538"/>
      <c r="H64" s="3664" t="s">
        <v>32</v>
      </c>
      <c r="I64" s="3664" t="s">
        <v>36</v>
      </c>
      <c r="J64" s="3664" t="s">
        <v>36</v>
      </c>
      <c r="K64" s="3559" t="s">
        <v>32</v>
      </c>
      <c r="L64" s="3664" t="s">
        <v>400</v>
      </c>
      <c r="M64" s="3664">
        <v>22</v>
      </c>
      <c r="N64" s="3664">
        <v>22</v>
      </c>
      <c r="O64" s="3610" t="s">
        <v>36</v>
      </c>
      <c r="P64" s="3610" t="s">
        <v>36</v>
      </c>
      <c r="Q64" s="3610" t="s">
        <v>36</v>
      </c>
      <c r="R64" s="3610" t="s">
        <v>36</v>
      </c>
      <c r="S64" s="184" t="s">
        <v>243</v>
      </c>
      <c r="T64" s="3535" t="s">
        <v>0</v>
      </c>
      <c r="U64" s="3535" t="s">
        <v>0</v>
      </c>
      <c r="V64" s="3550" t="s">
        <v>36</v>
      </c>
      <c r="W64" s="3550" t="s">
        <v>36</v>
      </c>
      <c r="X64" s="3550" t="s">
        <v>36</v>
      </c>
      <c r="Y64" s="3550" t="s">
        <v>36</v>
      </c>
      <c r="Z64" s="3550" t="s">
        <v>36</v>
      </c>
      <c r="AA64" s="3538" t="s">
        <v>405</v>
      </c>
      <c r="AB64" s="3538" t="s">
        <v>405</v>
      </c>
      <c r="AC64" s="3538">
        <v>25</v>
      </c>
      <c r="AD64" s="3538">
        <v>25</v>
      </c>
      <c r="AE64" s="3538"/>
      <c r="AF64" s="3538"/>
      <c r="AG64" s="3661"/>
      <c r="AH64" s="1"/>
      <c r="AJ64" s="3562">
        <v>87.75</v>
      </c>
      <c r="AK64" s="3562">
        <v>5.5</v>
      </c>
      <c r="AL64" s="3562">
        <f t="shared" si="4"/>
        <v>93.25</v>
      </c>
      <c r="AM64" s="3563">
        <f t="shared" si="3"/>
        <v>-67.080000000000013</v>
      </c>
      <c r="AN64" s="3563">
        <f>IF(AM64="","",AM64+'Januar 2023'!AN64)</f>
        <v>-0.91000000000002501</v>
      </c>
    </row>
    <row r="65" spans="1:40" ht="22.35" customHeight="1" x14ac:dyDescent="0.2">
      <c r="A65" s="3665"/>
      <c r="B65" s="3542" t="s">
        <v>133</v>
      </c>
      <c r="C65" s="3546" t="s">
        <v>134</v>
      </c>
      <c r="D65" s="3546" t="s">
        <v>134</v>
      </c>
      <c r="E65" s="3535" t="s">
        <v>134</v>
      </c>
      <c r="F65" s="3666"/>
      <c r="G65" s="3666"/>
      <c r="H65" s="3666" t="s">
        <v>134</v>
      </c>
      <c r="I65" s="3666" t="s">
        <v>134</v>
      </c>
      <c r="J65" s="3666" t="s">
        <v>134</v>
      </c>
      <c r="K65" s="3667" t="s">
        <v>32</v>
      </c>
      <c r="L65" s="3535" t="s">
        <v>134</v>
      </c>
      <c r="M65" s="3538"/>
      <c r="N65" s="3538"/>
      <c r="O65" s="3535" t="s">
        <v>134</v>
      </c>
      <c r="P65" s="3535" t="s">
        <v>134</v>
      </c>
      <c r="Q65" s="3535" t="s">
        <v>134</v>
      </c>
      <c r="R65" s="3546" t="s">
        <v>32</v>
      </c>
      <c r="S65" s="3535" t="s">
        <v>134</v>
      </c>
      <c r="T65" s="3538"/>
      <c r="U65" s="3550"/>
      <c r="V65" s="3668" t="s">
        <v>134</v>
      </c>
      <c r="W65" s="3668" t="s">
        <v>134</v>
      </c>
      <c r="X65" s="3668" t="s">
        <v>134</v>
      </c>
      <c r="Y65" s="3668" t="s">
        <v>134</v>
      </c>
      <c r="Z65" s="3668" t="s">
        <v>134</v>
      </c>
      <c r="AA65" s="3538"/>
      <c r="AB65" s="3602"/>
      <c r="AC65" s="3546" t="s">
        <v>134</v>
      </c>
      <c r="AD65" s="3546" t="s">
        <v>134</v>
      </c>
      <c r="AE65" s="3535"/>
      <c r="AF65" s="3535"/>
      <c r="AG65" s="3662"/>
      <c r="AH65" s="1"/>
      <c r="AJ65" s="3562">
        <f t="shared" ref="AJ65:AJ81" si="5">$AJ$12</f>
        <v>160.33000000000001</v>
      </c>
      <c r="AK65" s="3562">
        <f ca="1">IF(AJ65="","",SUM(AJ65:AK65))</f>
        <v>0</v>
      </c>
      <c r="AM65" s="3563">
        <f ca="1">IF(AJ65="","",AK65-NormTid)</f>
        <v>0</v>
      </c>
      <c r="AN65" s="3563">
        <f ca="1">IF(AM65="","",AM65+'Januar 2023'!AN65)</f>
        <v>3.1699999999999875</v>
      </c>
    </row>
    <row r="66" spans="1:40" ht="22.35" customHeight="1" x14ac:dyDescent="0.2">
      <c r="A66" s="1175"/>
      <c r="B66" s="3542" t="s">
        <v>136</v>
      </c>
      <c r="C66" s="3662" t="s">
        <v>137</v>
      </c>
      <c r="D66" s="3662" t="s">
        <v>137</v>
      </c>
      <c r="E66" s="3662" t="s">
        <v>137</v>
      </c>
      <c r="F66" s="3535"/>
      <c r="G66" s="3538"/>
      <c r="H66" s="3462" t="s">
        <v>32</v>
      </c>
      <c r="I66" s="3462" t="s">
        <v>32</v>
      </c>
      <c r="J66" s="3462" t="s">
        <v>32</v>
      </c>
      <c r="K66" s="3462" t="s">
        <v>32</v>
      </c>
      <c r="L66" s="3462" t="s">
        <v>32</v>
      </c>
      <c r="M66" s="3462"/>
      <c r="N66" s="3462"/>
      <c r="O66" s="3662" t="s">
        <v>137</v>
      </c>
      <c r="P66" s="3662" t="s">
        <v>137</v>
      </c>
      <c r="Q66" s="3662" t="s">
        <v>137</v>
      </c>
      <c r="R66" s="3662" t="s">
        <v>137</v>
      </c>
      <c r="S66" s="3662" t="s">
        <v>137</v>
      </c>
      <c r="T66" s="3550"/>
      <c r="U66" s="3550"/>
      <c r="V66" s="3662" t="s">
        <v>137</v>
      </c>
      <c r="W66" s="3662" t="s">
        <v>137</v>
      </c>
      <c r="X66" s="3662" t="s">
        <v>137</v>
      </c>
      <c r="Y66" s="3662" t="s">
        <v>137</v>
      </c>
      <c r="Z66" s="3662" t="s">
        <v>137</v>
      </c>
      <c r="AA66" s="3538"/>
      <c r="AB66" s="3538"/>
      <c r="AC66" s="3662" t="s">
        <v>137</v>
      </c>
      <c r="AD66" s="3662" t="s">
        <v>137</v>
      </c>
      <c r="AE66" s="3538"/>
      <c r="AF66" s="3538"/>
      <c r="AG66" s="3606"/>
      <c r="AH66" s="1"/>
      <c r="AJ66" s="3562">
        <v>148</v>
      </c>
      <c r="AK66" s="3562">
        <v>0</v>
      </c>
      <c r="AL66" s="3562">
        <f t="shared" si="4"/>
        <v>148</v>
      </c>
      <c r="AM66" s="3563">
        <f t="shared" si="3"/>
        <v>-12.330000000000013</v>
      </c>
      <c r="AN66" s="3563">
        <f>IF(AM66="","",AM66+'Januar 2023'!AN66)</f>
        <v>-9.160000000000025</v>
      </c>
    </row>
    <row r="67" spans="1:40" ht="22.35" customHeight="1" thickBot="1" x14ac:dyDescent="0.25">
      <c r="A67" s="1175"/>
      <c r="B67" s="3663" t="s">
        <v>443</v>
      </c>
      <c r="C67" s="3528">
        <v>5</v>
      </c>
      <c r="D67" s="3610">
        <v>5</v>
      </c>
      <c r="E67" s="3610">
        <v>5</v>
      </c>
      <c r="F67" s="3610"/>
      <c r="G67" s="3610"/>
      <c r="H67" s="3610">
        <v>10</v>
      </c>
      <c r="I67" s="3611">
        <v>10</v>
      </c>
      <c r="J67" s="3610">
        <v>10</v>
      </c>
      <c r="K67" s="3611">
        <v>10</v>
      </c>
      <c r="L67" s="3610">
        <v>10</v>
      </c>
      <c r="M67" s="3611" t="s">
        <v>81</v>
      </c>
      <c r="N67" s="3611" t="s">
        <v>81</v>
      </c>
      <c r="O67" s="3611" t="s">
        <v>36</v>
      </c>
      <c r="P67" s="3610" t="s">
        <v>36</v>
      </c>
      <c r="Q67" s="3528" t="s">
        <v>36</v>
      </c>
      <c r="R67" s="3528" t="s">
        <v>36</v>
      </c>
      <c r="S67" s="3610" t="s">
        <v>36</v>
      </c>
      <c r="T67" s="3669" t="s">
        <v>57</v>
      </c>
      <c r="U67" s="3669" t="s">
        <v>57</v>
      </c>
      <c r="V67" s="3613">
        <v>7</v>
      </c>
      <c r="W67" s="3613">
        <v>7</v>
      </c>
      <c r="X67" s="3613">
        <v>7</v>
      </c>
      <c r="Y67" s="3610">
        <v>7</v>
      </c>
      <c r="Z67" s="3610">
        <v>7</v>
      </c>
      <c r="AA67" s="3610"/>
      <c r="AB67" s="3614"/>
      <c r="AC67" s="3614">
        <v>4</v>
      </c>
      <c r="AD67" s="3614">
        <v>4</v>
      </c>
      <c r="AE67" s="3538"/>
      <c r="AF67" s="3538"/>
      <c r="AG67" s="3661"/>
      <c r="AH67" s="1"/>
      <c r="AJ67" s="3562">
        <v>168</v>
      </c>
      <c r="AK67" s="3562">
        <v>9</v>
      </c>
      <c r="AL67" s="3562">
        <f t="shared" si="4"/>
        <v>177</v>
      </c>
      <c r="AM67" s="3563">
        <f t="shared" si="3"/>
        <v>16.669999999999987</v>
      </c>
      <c r="AN67" s="3563">
        <f>IF(AM67="","",AM67+'Januar 2023'!AN67)</f>
        <v>-5.660000000000025</v>
      </c>
    </row>
    <row r="68" spans="1:40" ht="22.35" customHeight="1" x14ac:dyDescent="0.2">
      <c r="A68" s="1175"/>
      <c r="B68" s="3663" t="s">
        <v>444</v>
      </c>
      <c r="C68" s="3602" t="s">
        <v>32</v>
      </c>
      <c r="D68" s="3602" t="s">
        <v>32</v>
      </c>
      <c r="E68" s="3602" t="s">
        <v>32</v>
      </c>
      <c r="F68" s="3667" t="s">
        <v>32</v>
      </c>
      <c r="G68" s="3667" t="s">
        <v>32</v>
      </c>
      <c r="H68" s="3670" t="s">
        <v>39</v>
      </c>
      <c r="I68" s="3604" t="s">
        <v>36</v>
      </c>
      <c r="J68" s="3604" t="s">
        <v>36</v>
      </c>
      <c r="K68" s="3604" t="s">
        <v>36</v>
      </c>
      <c r="L68" s="3604" t="s">
        <v>36</v>
      </c>
      <c r="M68" s="3538" t="s">
        <v>53</v>
      </c>
      <c r="N68" s="3550" t="s">
        <v>53</v>
      </c>
      <c r="O68" s="3538" t="s">
        <v>32</v>
      </c>
      <c r="P68" s="3538" t="s">
        <v>32</v>
      </c>
      <c r="Q68" s="3538" t="s">
        <v>32</v>
      </c>
      <c r="R68" s="3538" t="s">
        <v>32</v>
      </c>
      <c r="S68" s="3538" t="s">
        <v>32</v>
      </c>
      <c r="T68" s="3538" t="s">
        <v>32</v>
      </c>
      <c r="U68" s="3538" t="s">
        <v>32</v>
      </c>
      <c r="V68" s="3550" t="s">
        <v>36</v>
      </c>
      <c r="W68" s="3550" t="s">
        <v>36</v>
      </c>
      <c r="X68" s="3550" t="s">
        <v>36</v>
      </c>
      <c r="Y68" s="3550" t="s">
        <v>36</v>
      </c>
      <c r="Z68" s="3550" t="s">
        <v>36</v>
      </c>
      <c r="AA68" s="3538" t="s">
        <v>53</v>
      </c>
      <c r="AB68" s="3538" t="s">
        <v>53</v>
      </c>
      <c r="AC68" s="3538" t="s">
        <v>32</v>
      </c>
      <c r="AD68" s="3538" t="s">
        <v>32</v>
      </c>
      <c r="AE68" s="3538"/>
      <c r="AF68" s="3538"/>
      <c r="AG68" s="3661"/>
      <c r="AH68" s="1"/>
      <c r="AJ68" s="3562">
        <v>90.5</v>
      </c>
      <c r="AK68" s="3562">
        <v>4.75</v>
      </c>
      <c r="AL68" s="3562">
        <f t="shared" si="4"/>
        <v>95.25</v>
      </c>
      <c r="AM68" s="3563">
        <f t="shared" si="3"/>
        <v>-65.080000000000013</v>
      </c>
      <c r="AN68" s="3563">
        <f>IF(AM68="","",AM68+'Januar 2023'!AN68)</f>
        <v>-55.660000000000025</v>
      </c>
    </row>
    <row r="69" spans="1:40" ht="22.35" customHeight="1" x14ac:dyDescent="0.2">
      <c r="A69" s="1175"/>
      <c r="B69" s="3663" t="s">
        <v>445</v>
      </c>
      <c r="C69" s="3605" t="s">
        <v>32</v>
      </c>
      <c r="D69" s="3605" t="s">
        <v>32</v>
      </c>
      <c r="E69" s="3671" t="s">
        <v>32</v>
      </c>
      <c r="F69" s="3672" t="s">
        <v>0</v>
      </c>
      <c r="G69" s="3539" t="s">
        <v>0</v>
      </c>
      <c r="H69" s="3571" t="s">
        <v>32</v>
      </c>
      <c r="I69" s="3602" t="s">
        <v>32</v>
      </c>
      <c r="J69" s="3602" t="s">
        <v>32</v>
      </c>
      <c r="K69" s="3602" t="s">
        <v>51</v>
      </c>
      <c r="L69" s="3673" t="s">
        <v>32</v>
      </c>
      <c r="M69" s="3550"/>
      <c r="N69" s="3550"/>
      <c r="O69" s="3571" t="s">
        <v>32</v>
      </c>
      <c r="P69" s="3571" t="s">
        <v>32</v>
      </c>
      <c r="Q69" s="3571" t="s">
        <v>32</v>
      </c>
      <c r="R69" s="3571" t="s">
        <v>32</v>
      </c>
      <c r="S69" s="3571" t="s">
        <v>32</v>
      </c>
      <c r="T69" s="3538"/>
      <c r="U69" s="3538"/>
      <c r="V69" s="3571" t="s">
        <v>32</v>
      </c>
      <c r="W69" s="3571" t="s">
        <v>32</v>
      </c>
      <c r="X69" s="3571" t="s">
        <v>32</v>
      </c>
      <c r="Y69" s="3571" t="s">
        <v>32</v>
      </c>
      <c r="Z69" s="3571" t="s">
        <v>32</v>
      </c>
      <c r="AA69" s="3538"/>
      <c r="AB69" s="3538"/>
      <c r="AC69" s="3571" t="s">
        <v>32</v>
      </c>
      <c r="AD69" s="3571" t="s">
        <v>32</v>
      </c>
      <c r="AE69" s="3538"/>
      <c r="AF69" s="3538"/>
      <c r="AG69" s="3661"/>
      <c r="AH69" s="1"/>
      <c r="AJ69" s="3562">
        <v>110</v>
      </c>
      <c r="AK69" s="3562">
        <v>2.5</v>
      </c>
      <c r="AL69" s="3562">
        <f t="shared" si="4"/>
        <v>112.5</v>
      </c>
      <c r="AM69" s="3563">
        <f t="shared" si="3"/>
        <v>-47.830000000000013</v>
      </c>
      <c r="AN69" s="3563">
        <f>IF(AM69="","",AM69+'Januar 2023'!AN69)</f>
        <v>-23.910000000000025</v>
      </c>
    </row>
    <row r="70" spans="1:40" ht="22.35" customHeight="1" x14ac:dyDescent="0.2">
      <c r="A70" s="3674"/>
      <c r="B70" s="3663" t="s">
        <v>143</v>
      </c>
      <c r="C70" s="3538" t="s">
        <v>36</v>
      </c>
      <c r="D70" s="3538" t="s">
        <v>36</v>
      </c>
      <c r="E70" s="3538" t="s">
        <v>36</v>
      </c>
      <c r="F70" s="3538" t="s">
        <v>32</v>
      </c>
      <c r="G70" s="3538" t="s">
        <v>32</v>
      </c>
      <c r="H70" s="3538">
        <v>25</v>
      </c>
      <c r="I70" s="3538">
        <v>25</v>
      </c>
      <c r="J70" s="3538">
        <v>25</v>
      </c>
      <c r="K70">
        <v>25</v>
      </c>
      <c r="L70" s="3538">
        <v>25</v>
      </c>
      <c r="M70" s="3538"/>
      <c r="N70" s="3550"/>
      <c r="O70" s="3550">
        <v>23</v>
      </c>
      <c r="P70" s="3550">
        <v>23</v>
      </c>
      <c r="Q70" s="3550">
        <v>23</v>
      </c>
      <c r="R70" s="3550">
        <v>23</v>
      </c>
      <c r="S70" s="3550">
        <v>23</v>
      </c>
      <c r="T70" s="3550">
        <v>23</v>
      </c>
      <c r="U70" s="3550">
        <v>23</v>
      </c>
      <c r="V70" s="3550" t="s">
        <v>36</v>
      </c>
      <c r="W70" s="3550" t="s">
        <v>36</v>
      </c>
      <c r="X70" s="3550" t="s">
        <v>36</v>
      </c>
      <c r="Y70" s="3550" t="s">
        <v>36</v>
      </c>
      <c r="Z70" s="3550" t="s">
        <v>36</v>
      </c>
      <c r="AA70" s="3538"/>
      <c r="AB70" s="3535" t="s">
        <v>0</v>
      </c>
      <c r="AC70" s="3538">
        <v>89</v>
      </c>
      <c r="AD70" s="3538">
        <v>89</v>
      </c>
      <c r="AE70" s="3538"/>
      <c r="AF70" s="3538"/>
      <c r="AG70" s="3661"/>
      <c r="AJ70" s="3562">
        <v>150</v>
      </c>
      <c r="AK70" s="3562">
        <v>9.75</v>
      </c>
      <c r="AL70" s="3562">
        <f t="shared" si="4"/>
        <v>159.75</v>
      </c>
      <c r="AM70" s="3563">
        <f t="shared" si="3"/>
        <v>-0.58000000000001251</v>
      </c>
      <c r="AN70" s="3563">
        <f>IF(AM70="","",AM70+'Januar 2023'!AN70)</f>
        <v>-5.660000000000025</v>
      </c>
    </row>
    <row r="71" spans="1:40" ht="22.35" customHeight="1" x14ac:dyDescent="0.2">
      <c r="A71" s="3356"/>
      <c r="B71" s="3663" t="s">
        <v>144</v>
      </c>
      <c r="C71" s="3538" t="s">
        <v>420</v>
      </c>
      <c r="D71" s="3538" t="s">
        <v>420</v>
      </c>
      <c r="E71" s="3538" t="s">
        <v>36</v>
      </c>
      <c r="F71" s="3538"/>
      <c r="G71" s="3538"/>
      <c r="H71" s="3662" t="s">
        <v>137</v>
      </c>
      <c r="I71" s="3662" t="s">
        <v>137</v>
      </c>
      <c r="J71" s="3662" t="s">
        <v>137</v>
      </c>
      <c r="K71" s="3662" t="s">
        <v>137</v>
      </c>
      <c r="L71" s="3662" t="s">
        <v>137</v>
      </c>
      <c r="M71" s="3604"/>
      <c r="N71" s="3602"/>
      <c r="O71" s="3602" t="s">
        <v>243</v>
      </c>
      <c r="P71" s="3602" t="s">
        <v>243</v>
      </c>
      <c r="Q71" s="3602" t="s">
        <v>243</v>
      </c>
      <c r="R71" s="3602" t="s">
        <v>243</v>
      </c>
      <c r="S71" s="3602" t="s">
        <v>243</v>
      </c>
      <c r="T71" s="3602" t="s">
        <v>57</v>
      </c>
      <c r="U71" s="3602" t="s">
        <v>374</v>
      </c>
      <c r="V71" s="3550" t="s">
        <v>36</v>
      </c>
      <c r="W71" s="3550" t="s">
        <v>36</v>
      </c>
      <c r="X71" s="3550" t="s">
        <v>36</v>
      </c>
      <c r="Y71" s="3550" t="s">
        <v>36</v>
      </c>
      <c r="Z71" s="3550" t="s">
        <v>36</v>
      </c>
      <c r="AA71" s="3538" t="s">
        <v>0</v>
      </c>
      <c r="AB71" s="3538" t="s">
        <v>0</v>
      </c>
      <c r="AC71" s="3538" t="s">
        <v>398</v>
      </c>
      <c r="AD71" s="3602" t="s">
        <v>398</v>
      </c>
      <c r="AE71" s="3538"/>
      <c r="AF71" s="3538"/>
      <c r="AG71" s="3661"/>
      <c r="AJ71" s="3562">
        <v>129.5</v>
      </c>
      <c r="AK71" s="3562">
        <v>2.75</v>
      </c>
      <c r="AL71" s="3562">
        <f t="shared" si="4"/>
        <v>132.25</v>
      </c>
      <c r="AM71" s="3563">
        <f t="shared" si="3"/>
        <v>-28.080000000000013</v>
      </c>
      <c r="AN71" s="3563">
        <f>IF(AM71="","",AM71+'Januar 2023'!AN71)</f>
        <v>-72.410000000000025</v>
      </c>
    </row>
    <row r="72" spans="1:40" ht="22.35" customHeight="1" x14ac:dyDescent="0.2">
      <c r="A72" s="453"/>
      <c r="B72" s="3663" t="s">
        <v>354</v>
      </c>
      <c r="C72" s="3605" t="s">
        <v>134</v>
      </c>
      <c r="D72" s="3605" t="s">
        <v>32</v>
      </c>
      <c r="E72" s="3675">
        <v>5</v>
      </c>
      <c r="F72" s="3538" t="s">
        <v>127</v>
      </c>
      <c r="G72" s="3538" t="s">
        <v>127</v>
      </c>
      <c r="H72" s="3538" t="s">
        <v>36</v>
      </c>
      <c r="I72" s="3538" t="s">
        <v>36</v>
      </c>
      <c r="J72" s="3538" t="s">
        <v>36</v>
      </c>
      <c r="K72" s="3675">
        <v>5</v>
      </c>
      <c r="L72" s="3604" t="s">
        <v>36</v>
      </c>
      <c r="M72" s="3604"/>
      <c r="N72" s="3604" t="s">
        <v>81</v>
      </c>
      <c r="O72" s="3664">
        <v>5</v>
      </c>
      <c r="P72" s="3664">
        <v>5</v>
      </c>
      <c r="Q72" s="3664">
        <v>5</v>
      </c>
      <c r="R72" s="3664">
        <v>5</v>
      </c>
      <c r="S72" s="3664">
        <v>5</v>
      </c>
      <c r="T72" s="3676" t="s">
        <v>409</v>
      </c>
      <c r="U72" s="3676" t="s">
        <v>409</v>
      </c>
      <c r="V72" s="3550" t="s">
        <v>36</v>
      </c>
      <c r="W72" s="3550" t="s">
        <v>36</v>
      </c>
      <c r="X72" s="3550" t="s">
        <v>36</v>
      </c>
      <c r="Y72" s="3550" t="s">
        <v>36</v>
      </c>
      <c r="Z72" s="3550" t="s">
        <v>36</v>
      </c>
      <c r="AA72" s="3538"/>
      <c r="AB72" s="3538">
        <v>26</v>
      </c>
      <c r="AC72" s="3605" t="s">
        <v>36</v>
      </c>
      <c r="AD72" s="3664">
        <v>5</v>
      </c>
      <c r="AE72" s="3538"/>
      <c r="AF72" s="3538"/>
      <c r="AG72" s="3661"/>
      <c r="AH72" s="1"/>
      <c r="AJ72" s="3562">
        <v>131.5</v>
      </c>
      <c r="AK72" s="3562">
        <v>8.25</v>
      </c>
      <c r="AL72" s="3562">
        <f t="shared" si="4"/>
        <v>139.75</v>
      </c>
      <c r="AM72" s="3563">
        <f t="shared" si="3"/>
        <v>-20.580000000000013</v>
      </c>
      <c r="AN72" s="3563">
        <f>IF(AM72="","",AM72+'Januar 2023'!AN72)</f>
        <v>-36.160000000000025</v>
      </c>
    </row>
    <row r="73" spans="1:40" ht="22.35" customHeight="1" x14ac:dyDescent="0.2">
      <c r="A73" s="3356"/>
      <c r="B73" s="3677" t="s">
        <v>357</v>
      </c>
      <c r="C73" s="3538" t="s">
        <v>36</v>
      </c>
      <c r="D73" s="3538" t="s">
        <v>36</v>
      </c>
      <c r="E73" s="3538" t="s">
        <v>36</v>
      </c>
      <c r="F73" s="3538"/>
      <c r="G73" s="3538"/>
      <c r="H73" s="3538" t="s">
        <v>32</v>
      </c>
      <c r="I73" s="3538" t="s">
        <v>32</v>
      </c>
      <c r="J73" s="3538" t="s">
        <v>32</v>
      </c>
      <c r="K73" s="3538" t="s">
        <v>32</v>
      </c>
      <c r="L73" s="3538" t="s">
        <v>32</v>
      </c>
      <c r="M73" s="3538" t="s">
        <v>32</v>
      </c>
      <c r="N73" s="3538" t="s">
        <v>32</v>
      </c>
      <c r="O73" s="3550" t="s">
        <v>36</v>
      </c>
      <c r="P73" s="3550" t="s">
        <v>36</v>
      </c>
      <c r="Q73" s="3550" t="s">
        <v>36</v>
      </c>
      <c r="R73" s="3550" t="s">
        <v>36</v>
      </c>
      <c r="S73" s="3550" t="s">
        <v>36</v>
      </c>
      <c r="T73" s="3535"/>
      <c r="U73" s="3535"/>
      <c r="V73" s="3538" t="s">
        <v>32</v>
      </c>
      <c r="W73" s="3538" t="s">
        <v>32</v>
      </c>
      <c r="X73" s="3538" t="s">
        <v>32</v>
      </c>
      <c r="Y73" s="3538" t="s">
        <v>32</v>
      </c>
      <c r="Z73" s="3538" t="s">
        <v>32</v>
      </c>
      <c r="AA73" s="3538" t="s">
        <v>32</v>
      </c>
      <c r="AB73" s="3538" t="s">
        <v>32</v>
      </c>
      <c r="AC73" s="3550" t="s">
        <v>36</v>
      </c>
      <c r="AD73" s="3550" t="s">
        <v>36</v>
      </c>
      <c r="AE73" s="3538"/>
      <c r="AF73" s="3538"/>
      <c r="AG73" s="3661"/>
      <c r="AH73" s="1"/>
      <c r="AJ73" s="3562">
        <v>90.5</v>
      </c>
      <c r="AK73" s="3562">
        <v>5</v>
      </c>
      <c r="AL73" s="3562">
        <f t="shared" si="4"/>
        <v>95.5</v>
      </c>
      <c r="AM73" s="3563">
        <f t="shared" si="3"/>
        <v>-64.830000000000013</v>
      </c>
      <c r="AN73" s="3563">
        <f>IF(AM73="","",AM73+'Januar 2023'!AN73)</f>
        <v>-81.910000000000025</v>
      </c>
    </row>
    <row r="74" spans="1:40" ht="22.35" customHeight="1" x14ac:dyDescent="0.2">
      <c r="A74" s="3356"/>
      <c r="B74" s="3542" t="s">
        <v>380</v>
      </c>
      <c r="C74" s="3538" t="s">
        <v>36</v>
      </c>
      <c r="D74" s="3538" t="s">
        <v>36</v>
      </c>
      <c r="E74" s="3538" t="s">
        <v>36</v>
      </c>
      <c r="F74" s="3538"/>
      <c r="G74" s="3538"/>
      <c r="H74" s="3678" t="s">
        <v>257</v>
      </c>
      <c r="I74" s="3678" t="s">
        <v>257</v>
      </c>
      <c r="J74" s="3678" t="s">
        <v>257</v>
      </c>
      <c r="K74" s="3678" t="s">
        <v>257</v>
      </c>
      <c r="L74" s="3678" t="s">
        <v>257</v>
      </c>
      <c r="M74" s="3538"/>
      <c r="N74" s="3550"/>
      <c r="O74" s="3679" t="s">
        <v>32</v>
      </c>
      <c r="P74" s="3680" t="s">
        <v>32</v>
      </c>
      <c r="Q74" s="3681" t="s">
        <v>32</v>
      </c>
      <c r="R74" s="3681" t="s">
        <v>32</v>
      </c>
      <c r="S74" s="3680" t="s">
        <v>32</v>
      </c>
      <c r="T74" s="3682" t="s">
        <v>405</v>
      </c>
      <c r="U74" s="3682" t="s">
        <v>405</v>
      </c>
      <c r="V74" s="3550">
        <v>26</v>
      </c>
      <c r="W74" s="3550">
        <v>26</v>
      </c>
      <c r="X74" s="3550">
        <v>26</v>
      </c>
      <c r="Y74" s="3550">
        <v>26</v>
      </c>
      <c r="Z74" s="3550">
        <v>26</v>
      </c>
      <c r="AA74" s="3538"/>
      <c r="AB74" s="3683">
        <v>26</v>
      </c>
      <c r="AC74" s="3550" t="s">
        <v>36</v>
      </c>
      <c r="AD74" s="3550" t="s">
        <v>36</v>
      </c>
      <c r="AE74" s="3538"/>
      <c r="AF74" s="3538"/>
      <c r="AG74" s="3661"/>
      <c r="AH74" s="1"/>
      <c r="AJ74" s="3562">
        <v>119.5</v>
      </c>
      <c r="AK74" s="3562">
        <v>2.75</v>
      </c>
      <c r="AL74" s="3562">
        <f t="shared" si="4"/>
        <v>122.25</v>
      </c>
      <c r="AM74" s="3563">
        <f t="shared" si="3"/>
        <v>-38.080000000000013</v>
      </c>
      <c r="AN74" s="3563">
        <f>IF(AM74="","",AM74+'Januar 2023'!AN74)</f>
        <v>-34.160000000000025</v>
      </c>
    </row>
    <row r="75" spans="1:40" ht="22.35" customHeight="1" x14ac:dyDescent="0.2">
      <c r="A75" s="3356"/>
      <c r="B75" s="3542" t="s">
        <v>379</v>
      </c>
      <c r="C75" s="3538" t="s">
        <v>235</v>
      </c>
      <c r="D75" s="3538" t="s">
        <v>36</v>
      </c>
      <c r="E75" s="3538" t="s">
        <v>36</v>
      </c>
      <c r="F75" s="3538" t="s">
        <v>405</v>
      </c>
      <c r="G75" s="3538" t="s">
        <v>405</v>
      </c>
      <c r="H75" s="3538" t="s">
        <v>400</v>
      </c>
      <c r="I75" s="3664" t="s">
        <v>400</v>
      </c>
      <c r="J75" s="3538" t="s">
        <v>400</v>
      </c>
      <c r="K75" s="3538" t="s">
        <v>400</v>
      </c>
      <c r="L75" s="3550" t="s">
        <v>36</v>
      </c>
      <c r="M75" s="3540" t="s">
        <v>82</v>
      </c>
      <c r="N75" s="3539" t="s">
        <v>83</v>
      </c>
      <c r="O75" s="3550">
        <v>26</v>
      </c>
      <c r="P75" s="3550">
        <v>26</v>
      </c>
      <c r="Q75" s="3550">
        <v>26</v>
      </c>
      <c r="R75" s="3550">
        <v>26</v>
      </c>
      <c r="S75" s="3550">
        <v>26</v>
      </c>
      <c r="T75" s="3535"/>
      <c r="U75" s="3535"/>
      <c r="V75" s="3550" t="s">
        <v>36</v>
      </c>
      <c r="W75" s="3550" t="s">
        <v>36</v>
      </c>
      <c r="X75" s="3550" t="s">
        <v>36</v>
      </c>
      <c r="Y75" s="3550" t="s">
        <v>36</v>
      </c>
      <c r="Z75" s="3550" t="s">
        <v>36</v>
      </c>
      <c r="AA75" s="3571" t="s">
        <v>0</v>
      </c>
      <c r="AB75" s="3538"/>
      <c r="AC75" s="3550">
        <v>26</v>
      </c>
      <c r="AD75" s="3550">
        <v>26</v>
      </c>
      <c r="AE75" s="3605"/>
      <c r="AF75" s="3605"/>
      <c r="AG75" s="3684"/>
      <c r="AH75" s="1"/>
      <c r="AJ75" s="3562">
        <v>135.5</v>
      </c>
      <c r="AK75" s="3562">
        <v>9.75</v>
      </c>
      <c r="AL75" s="3562">
        <f t="shared" si="4"/>
        <v>145.25</v>
      </c>
      <c r="AM75" s="3563">
        <f t="shared" ref="AM75:AM81" si="6">IF(AJ75="","",AL75-NormTid)</f>
        <v>-15.080000000000013</v>
      </c>
      <c r="AN75" s="3563">
        <f>IF(AM75="","",AM75+'Januar 2023'!AN75)</f>
        <v>-29.660000000000025</v>
      </c>
    </row>
    <row r="76" spans="1:40" ht="22.35" customHeight="1" x14ac:dyDescent="0.2">
      <c r="A76" s="3362"/>
      <c r="B76" s="3685" t="s">
        <v>446</v>
      </c>
      <c r="C76" s="3538">
        <v>26</v>
      </c>
      <c r="D76" s="3538">
        <v>26</v>
      </c>
      <c r="E76" s="3538">
        <v>26</v>
      </c>
      <c r="F76" s="3538"/>
      <c r="G76" s="3538">
        <v>26</v>
      </c>
      <c r="H76" s="3550" t="s">
        <v>36</v>
      </c>
      <c r="I76" s="3686" t="s">
        <v>477</v>
      </c>
      <c r="J76" s="3687" t="s">
        <v>36</v>
      </c>
      <c r="K76" s="3687" t="s">
        <v>36</v>
      </c>
      <c r="L76" s="3688" t="s">
        <v>50</v>
      </c>
      <c r="M76" s="3550"/>
      <c r="N76" s="3538"/>
      <c r="O76" s="3538" t="s">
        <v>50</v>
      </c>
      <c r="P76" s="3538" t="s">
        <v>50</v>
      </c>
      <c r="Q76" s="3538" t="s">
        <v>50</v>
      </c>
      <c r="R76" s="3538" t="s">
        <v>50</v>
      </c>
      <c r="S76" s="3538" t="s">
        <v>50</v>
      </c>
      <c r="T76" s="3538"/>
      <c r="U76" s="3535" t="s">
        <v>0</v>
      </c>
      <c r="V76" s="3689">
        <v>25</v>
      </c>
      <c r="W76" s="3689">
        <v>25</v>
      </c>
      <c r="X76" s="3690" t="s">
        <v>420</v>
      </c>
      <c r="Y76" s="3690" t="s">
        <v>420</v>
      </c>
      <c r="Z76" s="3690" t="s">
        <v>420</v>
      </c>
      <c r="AA76" s="3550"/>
      <c r="AB76" s="3550"/>
      <c r="AC76" s="3538" t="s">
        <v>134</v>
      </c>
      <c r="AD76" s="3538" t="s">
        <v>134</v>
      </c>
      <c r="AE76" s="3550"/>
      <c r="AF76" s="3550"/>
      <c r="AG76" s="3661"/>
      <c r="AH76" s="1"/>
      <c r="AJ76" s="3562">
        <v>136</v>
      </c>
      <c r="AK76" s="3562">
        <v>5</v>
      </c>
      <c r="AL76" s="3562">
        <f t="shared" si="4"/>
        <v>141</v>
      </c>
      <c r="AM76" s="3563">
        <f t="shared" si="6"/>
        <v>-19.330000000000013</v>
      </c>
      <c r="AN76" s="3563">
        <f>IF(AM76="","",AM76+'Januar 2023'!AN76)</f>
        <v>-4.660000000000025</v>
      </c>
    </row>
    <row r="77" spans="1:40" ht="22.35" customHeight="1" x14ac:dyDescent="0.2">
      <c r="A77" s="3362"/>
      <c r="B77" s="3542" t="s">
        <v>447</v>
      </c>
      <c r="C77" s="3538" t="s">
        <v>128</v>
      </c>
      <c r="D77" s="3538" t="s">
        <v>128</v>
      </c>
      <c r="E77" s="3538" t="s">
        <v>128</v>
      </c>
      <c r="F77" s="3538" t="s">
        <v>53</v>
      </c>
      <c r="G77" s="3538" t="s">
        <v>53</v>
      </c>
      <c r="H77" s="3681" t="s">
        <v>32</v>
      </c>
      <c r="I77" s="3681" t="s">
        <v>32</v>
      </c>
      <c r="J77" s="3681" t="s">
        <v>32</v>
      </c>
      <c r="K77" s="3681" t="s">
        <v>32</v>
      </c>
      <c r="L77" s="3681" t="s">
        <v>32</v>
      </c>
      <c r="M77" s="3550" t="s">
        <v>53</v>
      </c>
      <c r="N77" s="3538"/>
      <c r="O77" s="3550" t="s">
        <v>128</v>
      </c>
      <c r="P77" s="3550" t="s">
        <v>128</v>
      </c>
      <c r="Q77" s="3550" t="s">
        <v>128</v>
      </c>
      <c r="R77" s="3550" t="s">
        <v>128</v>
      </c>
      <c r="S77" s="3550" t="s">
        <v>128</v>
      </c>
      <c r="T77" s="3538" t="s">
        <v>0</v>
      </c>
      <c r="U77" s="3538" t="s">
        <v>477</v>
      </c>
      <c r="V77" s="3538" t="s">
        <v>128</v>
      </c>
      <c r="W77" s="3538" t="s">
        <v>128</v>
      </c>
      <c r="X77" s="3538" t="s">
        <v>128</v>
      </c>
      <c r="Y77" s="3538" t="s">
        <v>128</v>
      </c>
      <c r="Z77" s="3538" t="s">
        <v>128</v>
      </c>
      <c r="AA77" s="3538" t="s">
        <v>53</v>
      </c>
      <c r="AB77" s="3538" t="s">
        <v>409</v>
      </c>
      <c r="AC77" s="3550" t="s">
        <v>36</v>
      </c>
      <c r="AD77" s="3550" t="s">
        <v>36</v>
      </c>
      <c r="AE77" s="3550"/>
      <c r="AF77" s="3550"/>
      <c r="AG77" s="3661"/>
      <c r="AH77" s="1"/>
      <c r="AJ77" s="3562">
        <v>166.5</v>
      </c>
      <c r="AK77" s="3562">
        <v>9</v>
      </c>
      <c r="AL77" s="3562">
        <f>IF(AJ77="","",SUM(AJ77:AK77))</f>
        <v>175.5</v>
      </c>
      <c r="AM77" s="3563">
        <f t="shared" si="6"/>
        <v>15.169999999999987</v>
      </c>
      <c r="AN77" s="3563">
        <f>IF(AM77="","",AM77+'Januar 2023'!AN77)</f>
        <v>24.839999999999975</v>
      </c>
    </row>
    <row r="78" spans="1:40" ht="22.35" customHeight="1" x14ac:dyDescent="0.2">
      <c r="A78" s="3362"/>
      <c r="B78" s="3542" t="s">
        <v>450</v>
      </c>
      <c r="C78" s="3463" t="s">
        <v>32</v>
      </c>
      <c r="D78" s="3691" t="s">
        <v>32</v>
      </c>
      <c r="E78" s="3538" t="s">
        <v>420</v>
      </c>
      <c r="F78" s="3538"/>
      <c r="G78" s="3538"/>
      <c r="H78" s="3538">
        <v>4</v>
      </c>
      <c r="I78" s="3538">
        <v>4</v>
      </c>
      <c r="J78" s="3538">
        <v>4</v>
      </c>
      <c r="K78" s="3538">
        <v>4</v>
      </c>
      <c r="L78" s="3538">
        <v>4</v>
      </c>
      <c r="M78" s="3550" t="s">
        <v>53</v>
      </c>
      <c r="N78" s="3604" t="s">
        <v>94</v>
      </c>
      <c r="O78" s="467" t="s">
        <v>36</v>
      </c>
      <c r="P78" s="466">
        <v>89</v>
      </c>
      <c r="Q78" s="3538">
        <v>89</v>
      </c>
      <c r="R78" s="3538">
        <v>89</v>
      </c>
      <c r="S78" s="3538">
        <v>89</v>
      </c>
      <c r="T78" s="3538">
        <v>89</v>
      </c>
      <c r="U78" s="3538"/>
      <c r="V78" s="3664" t="s">
        <v>398</v>
      </c>
      <c r="W78" s="3664" t="s">
        <v>398</v>
      </c>
      <c r="X78" s="3664" t="s">
        <v>398</v>
      </c>
      <c r="Y78" s="3664" t="s">
        <v>398</v>
      </c>
      <c r="Z78" s="3664" t="s">
        <v>398</v>
      </c>
      <c r="AA78" s="3550"/>
      <c r="AB78" s="3550"/>
      <c r="AC78" s="3605" t="s">
        <v>264</v>
      </c>
      <c r="AD78" s="3605" t="s">
        <v>264</v>
      </c>
      <c r="AE78" s="3550"/>
      <c r="AF78" s="3550"/>
      <c r="AG78" s="3661"/>
      <c r="AH78" s="1"/>
      <c r="AJ78" s="3562">
        <v>154</v>
      </c>
      <c r="AK78" s="3562">
        <v>1.25</v>
      </c>
      <c r="AL78" s="3562">
        <f>IF(AJ78="","",SUM(AJ78:AK78))</f>
        <v>155.25</v>
      </c>
      <c r="AM78" s="3563">
        <f>IF(AJ78="","",AL78-NormTid)</f>
        <v>-5.0800000000000125</v>
      </c>
      <c r="AN78" s="3563">
        <f>IF(AM78="","",AM78+'Januar 2023'!AN78)</f>
        <v>8.9999999999974989E-2</v>
      </c>
    </row>
    <row r="79" spans="1:40" ht="22.35" customHeight="1" thickBot="1" x14ac:dyDescent="0.25">
      <c r="A79" s="3692"/>
      <c r="B79" s="3693" t="s">
        <v>478</v>
      </c>
      <c r="C79" s="3538" t="s">
        <v>36</v>
      </c>
      <c r="D79" s="3538" t="s">
        <v>36</v>
      </c>
      <c r="E79" s="3538" t="s">
        <v>36</v>
      </c>
      <c r="F79" s="3540" t="s">
        <v>82</v>
      </c>
      <c r="G79" s="3539" t="s">
        <v>83</v>
      </c>
      <c r="H79" s="3538">
        <v>25</v>
      </c>
      <c r="I79" s="3691">
        <v>25</v>
      </c>
      <c r="J79" s="3691">
        <v>25</v>
      </c>
      <c r="K79" s="3691">
        <v>25</v>
      </c>
      <c r="L79" s="3604" t="s">
        <v>398</v>
      </c>
      <c r="M79" s="3694"/>
      <c r="N79" s="3695"/>
      <c r="O79" s="3538">
        <v>25</v>
      </c>
      <c r="P79" s="3602">
        <v>25</v>
      </c>
      <c r="Q79" s="3602">
        <v>25</v>
      </c>
      <c r="R79" s="3602" t="s">
        <v>146</v>
      </c>
      <c r="S79" s="3673">
        <v>25</v>
      </c>
      <c r="T79" s="3673" t="s">
        <v>127</v>
      </c>
      <c r="U79" s="3673" t="s">
        <v>127</v>
      </c>
      <c r="V79" s="3550" t="s">
        <v>36</v>
      </c>
      <c r="W79" s="3550" t="s">
        <v>36</v>
      </c>
      <c r="X79" s="3550" t="s">
        <v>36</v>
      </c>
      <c r="Y79" s="3550" t="s">
        <v>36</v>
      </c>
      <c r="Z79" s="3550" t="s">
        <v>36</v>
      </c>
      <c r="AA79" s="3694"/>
      <c r="AB79" s="3694"/>
      <c r="AC79" s="3550" t="s">
        <v>420</v>
      </c>
      <c r="AD79" s="3664" t="s">
        <v>420</v>
      </c>
      <c r="AE79" s="3694"/>
      <c r="AF79" s="3694"/>
      <c r="AG79" s="3696"/>
      <c r="AH79" s="1"/>
      <c r="AJ79" s="3562">
        <v>153.75</v>
      </c>
      <c r="AK79" s="3562">
        <v>9</v>
      </c>
      <c r="AL79" s="3562">
        <f t="shared" ref="AL79:AL81" si="7">IF(AJ79="","",SUM(AJ79:AK79))</f>
        <v>162.75</v>
      </c>
      <c r="AM79" s="3563">
        <f>IF(AJ79="","",AL79-NormTid)</f>
        <v>2.4199999999999875</v>
      </c>
      <c r="AN79" s="3563">
        <f>IF(AM79="","",AM79+'Januar 2023'!AN79)</f>
        <v>13.589999999999975</v>
      </c>
    </row>
    <row r="80" spans="1:40" ht="22.35" customHeight="1" thickBot="1" x14ac:dyDescent="0.25">
      <c r="A80" s="3692"/>
      <c r="B80" s="3697" t="s">
        <v>471</v>
      </c>
      <c r="C80" s="3610" t="s">
        <v>36</v>
      </c>
      <c r="D80" s="3610" t="s">
        <v>36</v>
      </c>
      <c r="E80" s="3610" t="s">
        <v>36</v>
      </c>
      <c r="F80" s="3610" t="s">
        <v>57</v>
      </c>
      <c r="G80" s="3610" t="s">
        <v>57</v>
      </c>
      <c r="H80" s="3610">
        <v>7</v>
      </c>
      <c r="I80" s="3610">
        <v>7</v>
      </c>
      <c r="J80" s="3610">
        <v>7</v>
      </c>
      <c r="K80" s="3610">
        <v>7</v>
      </c>
      <c r="L80" s="3610">
        <v>7</v>
      </c>
      <c r="M80" s="3676"/>
      <c r="N80" s="3676" t="s">
        <v>0</v>
      </c>
      <c r="O80" s="3614">
        <v>4</v>
      </c>
      <c r="P80" s="3614">
        <v>4</v>
      </c>
      <c r="Q80" s="3610">
        <v>4</v>
      </c>
      <c r="R80" s="3610">
        <v>4</v>
      </c>
      <c r="S80" s="3610">
        <v>4</v>
      </c>
      <c r="T80" s="3610" t="s">
        <v>53</v>
      </c>
      <c r="U80" s="3610"/>
      <c r="V80" s="3675" t="s">
        <v>128</v>
      </c>
      <c r="W80" s="3675" t="s">
        <v>128</v>
      </c>
      <c r="X80" s="3675" t="s">
        <v>128</v>
      </c>
      <c r="Y80" s="3675" t="s">
        <v>128</v>
      </c>
      <c r="Z80" s="3675" t="s">
        <v>128</v>
      </c>
      <c r="AA80" s="3698"/>
      <c r="AB80" s="3698"/>
      <c r="AC80" s="3317" t="s">
        <v>128</v>
      </c>
      <c r="AD80" s="3317" t="s">
        <v>128</v>
      </c>
      <c r="AE80" s="3699"/>
      <c r="AF80" s="3698"/>
      <c r="AG80" s="3700"/>
      <c r="AH80" s="1"/>
      <c r="AJ80" s="3562">
        <v>169.25</v>
      </c>
      <c r="AK80" s="3562">
        <v>9</v>
      </c>
      <c r="AL80" s="3562">
        <f t="shared" si="7"/>
        <v>178.25</v>
      </c>
      <c r="AM80" s="3563">
        <f t="shared" si="6"/>
        <v>17.919999999999987</v>
      </c>
      <c r="AN80" s="3563">
        <f>IF(AM80="","",AM80+'Januar 2023'!AN80)</f>
        <v>26.839999999999975</v>
      </c>
    </row>
    <row r="81" spans="1:40" ht="22.35" customHeight="1" thickBot="1" x14ac:dyDescent="0.25">
      <c r="A81" s="979"/>
      <c r="B81" s="1091"/>
      <c r="C81" s="1092"/>
      <c r="D81" s="865"/>
      <c r="E81" s="1092"/>
      <c r="F81" s="863"/>
      <c r="G81" s="863"/>
      <c r="H81" s="863"/>
      <c r="I81" s="863"/>
      <c r="J81" s="863"/>
      <c r="K81" s="863"/>
      <c r="L81" s="863"/>
      <c r="M81" s="863"/>
      <c r="N81" s="863"/>
      <c r="O81" s="863"/>
      <c r="P81" s="863"/>
      <c r="Q81" s="863"/>
      <c r="R81" s="863"/>
      <c r="S81" s="863"/>
      <c r="T81" s="1092"/>
      <c r="U81" s="1092"/>
      <c r="V81" s="1693"/>
      <c r="W81" s="1092"/>
      <c r="X81" s="1092"/>
      <c r="Y81" s="863"/>
      <c r="Z81" s="1092"/>
      <c r="AA81" s="1092"/>
      <c r="AB81" s="1092"/>
      <c r="AC81" s="1092"/>
      <c r="AD81" s="1092"/>
      <c r="AE81" s="865"/>
      <c r="AF81" s="1092"/>
      <c r="AG81" s="1094"/>
      <c r="AH81" s="1"/>
      <c r="AJ81" s="3562">
        <f t="shared" si="5"/>
        <v>160.33000000000001</v>
      </c>
      <c r="AK81" s="3562"/>
      <c r="AL81" s="3562">
        <f t="shared" si="7"/>
        <v>160.33000000000001</v>
      </c>
      <c r="AM81" s="3563">
        <f t="shared" si="6"/>
        <v>0</v>
      </c>
      <c r="AN81" s="3563">
        <f>IF(AM81="","",AM81+'Januar 2023'!AN81)</f>
        <v>0</v>
      </c>
    </row>
    <row r="82" spans="1:40" ht="22.35" customHeight="1" thickBot="1" x14ac:dyDescent="0.25">
      <c r="A82" s="581"/>
      <c r="B82" s="576" t="s">
        <v>147</v>
      </c>
      <c r="C82" s="680">
        <v>1</v>
      </c>
      <c r="D82" s="680">
        <v>2</v>
      </c>
      <c r="E82" s="680">
        <v>3</v>
      </c>
      <c r="F82" s="679">
        <v>4</v>
      </c>
      <c r="G82" s="679">
        <v>5</v>
      </c>
      <c r="H82" s="680">
        <v>6</v>
      </c>
      <c r="I82" s="680">
        <v>7</v>
      </c>
      <c r="J82" s="680">
        <v>8</v>
      </c>
      <c r="K82" s="680">
        <v>9</v>
      </c>
      <c r="L82" s="680">
        <v>10</v>
      </c>
      <c r="M82" s="679">
        <v>11</v>
      </c>
      <c r="N82" s="679">
        <v>12</v>
      </c>
      <c r="O82" s="680">
        <v>13</v>
      </c>
      <c r="P82" s="680">
        <v>14</v>
      </c>
      <c r="Q82" s="680">
        <v>15</v>
      </c>
      <c r="R82" s="680">
        <v>16</v>
      </c>
      <c r="S82" s="680">
        <v>17</v>
      </c>
      <c r="T82" s="679">
        <v>18</v>
      </c>
      <c r="U82" s="679">
        <v>19</v>
      </c>
      <c r="V82" s="680">
        <v>20</v>
      </c>
      <c r="W82" s="680">
        <v>21</v>
      </c>
      <c r="X82" s="680">
        <v>22</v>
      </c>
      <c r="Y82" s="680">
        <v>23</v>
      </c>
      <c r="Z82" s="680">
        <v>24</v>
      </c>
      <c r="AA82" s="679">
        <v>25</v>
      </c>
      <c r="AB82" s="679">
        <v>26</v>
      </c>
      <c r="AC82" s="680">
        <v>27</v>
      </c>
      <c r="AD82" s="680">
        <v>28</v>
      </c>
      <c r="AE82" s="680"/>
      <c r="AF82" s="680"/>
      <c r="AG82" s="681"/>
      <c r="AH82" s="1"/>
      <c r="AJ82" s="3562"/>
      <c r="AK82" s="3562"/>
      <c r="AL82" s="3562"/>
      <c r="AM82" s="3563" t="str">
        <f t="shared" ref="AM82:AM91" si="8">IF(AJ82="","",AL82-NormTid)</f>
        <v/>
      </c>
      <c r="AN82" s="3563"/>
    </row>
    <row r="83" spans="1:40" ht="22.35" customHeight="1" thickBot="1" x14ac:dyDescent="0.25">
      <c r="A83" s="2991"/>
      <c r="B83" s="1182" t="s">
        <v>359</v>
      </c>
      <c r="C83" s="3317" t="s">
        <v>36</v>
      </c>
      <c r="D83" s="3318" t="s">
        <v>36</v>
      </c>
      <c r="E83" s="3316" t="s">
        <v>36</v>
      </c>
      <c r="F83" s="3316" t="s">
        <v>83</v>
      </c>
      <c r="G83" s="3316" t="s">
        <v>83</v>
      </c>
      <c r="H83" s="3316">
        <v>8</v>
      </c>
      <c r="I83" s="3316">
        <v>8</v>
      </c>
      <c r="J83" s="3318">
        <v>8</v>
      </c>
      <c r="K83" s="3318">
        <v>8</v>
      </c>
      <c r="L83" s="3319">
        <v>8</v>
      </c>
      <c r="M83" s="3318"/>
      <c r="N83" s="3318"/>
      <c r="O83" s="3318" t="s">
        <v>36</v>
      </c>
      <c r="P83" s="3318" t="s">
        <v>36</v>
      </c>
      <c r="Q83" s="3318" t="s">
        <v>36</v>
      </c>
      <c r="R83" s="3316" t="s">
        <v>36</v>
      </c>
      <c r="S83" s="3316" t="s">
        <v>36</v>
      </c>
      <c r="T83" s="3316"/>
      <c r="U83" s="3316"/>
      <c r="V83" s="3528">
        <v>3</v>
      </c>
      <c r="W83" s="3610">
        <v>3</v>
      </c>
      <c r="X83" s="3610">
        <v>3</v>
      </c>
      <c r="Y83" s="3528">
        <v>3</v>
      </c>
      <c r="Z83" s="3610">
        <v>3</v>
      </c>
      <c r="AA83" s="3316"/>
      <c r="AB83" s="3316"/>
      <c r="AC83" s="3339">
        <v>11</v>
      </c>
      <c r="AD83" s="3316" t="s">
        <v>346</v>
      </c>
      <c r="AE83" s="2628"/>
      <c r="AF83" s="2628"/>
      <c r="AG83" s="2992"/>
      <c r="AH83" s="1"/>
      <c r="AJ83" s="3562"/>
      <c r="AK83" s="3562"/>
      <c r="AL83" s="3562"/>
      <c r="AM83" s="3563" t="str">
        <f t="shared" si="8"/>
        <v/>
      </c>
      <c r="AN83" s="3563"/>
    </row>
    <row r="84" spans="1:40" ht="22.35" customHeight="1" x14ac:dyDescent="0.2">
      <c r="A84" s="977"/>
      <c r="B84" s="1182" t="s">
        <v>472</v>
      </c>
      <c r="C84" s="3316" t="s">
        <v>36</v>
      </c>
      <c r="D84" s="3316" t="s">
        <v>36</v>
      </c>
      <c r="E84" s="3316" t="s">
        <v>36</v>
      </c>
      <c r="F84" s="3562"/>
      <c r="G84" s="3562"/>
      <c r="H84" s="3664" t="s">
        <v>0</v>
      </c>
      <c r="I84" s="3664" t="s">
        <v>0</v>
      </c>
      <c r="J84" s="3664" t="s">
        <v>0</v>
      </c>
      <c r="K84" s="3664" t="s">
        <v>0</v>
      </c>
      <c r="L84" s="3664" t="s">
        <v>0</v>
      </c>
      <c r="M84" s="3664" t="s">
        <v>0</v>
      </c>
      <c r="N84" s="3664" t="s">
        <v>0</v>
      </c>
      <c r="O84" s="3664" t="s">
        <v>0</v>
      </c>
      <c r="P84" s="3664" t="s">
        <v>0</v>
      </c>
      <c r="Q84" s="3664" t="s">
        <v>0</v>
      </c>
      <c r="R84" s="3664" t="s">
        <v>0</v>
      </c>
      <c r="S84" s="3664" t="s">
        <v>0</v>
      </c>
      <c r="T84" s="3664" t="s">
        <v>0</v>
      </c>
      <c r="U84" s="3664" t="s">
        <v>0</v>
      </c>
      <c r="V84" s="3664" t="s">
        <v>0</v>
      </c>
      <c r="W84" s="3664" t="s">
        <v>0</v>
      </c>
      <c r="X84" s="3664" t="s">
        <v>0</v>
      </c>
      <c r="Y84" s="3664" t="s">
        <v>0</v>
      </c>
      <c r="Z84" s="3664" t="s">
        <v>0</v>
      </c>
      <c r="AA84" s="3664"/>
      <c r="AB84" s="3664"/>
      <c r="AC84" s="3664" t="s">
        <v>0</v>
      </c>
      <c r="AD84" s="3664" t="s">
        <v>0</v>
      </c>
      <c r="AE84" s="3562"/>
      <c r="AF84" s="3562"/>
      <c r="AG84" s="1312"/>
      <c r="AH84" s="1"/>
      <c r="AJ84" s="3562"/>
      <c r="AK84" s="3562"/>
      <c r="AL84" s="3562"/>
      <c r="AM84" s="3563" t="str">
        <f t="shared" si="8"/>
        <v/>
      </c>
      <c r="AN84" s="3563"/>
    </row>
    <row r="85" spans="1:40" ht="22.35" customHeight="1" x14ac:dyDescent="0.2">
      <c r="A85" s="977"/>
      <c r="B85" s="1182" t="s">
        <v>0</v>
      </c>
      <c r="C85" s="3562"/>
      <c r="D85" s="3562"/>
      <c r="E85" s="3562"/>
      <c r="F85" s="3562"/>
      <c r="G85" s="3562"/>
      <c r="H85" s="3562"/>
      <c r="I85" s="3562"/>
      <c r="J85" s="3562"/>
      <c r="K85" s="3562"/>
      <c r="L85" s="3562"/>
      <c r="M85" s="3562"/>
      <c r="N85" s="3562"/>
      <c r="O85" s="3562"/>
      <c r="P85" s="3562"/>
      <c r="Q85" s="3562"/>
      <c r="R85" s="3562"/>
      <c r="S85" s="3562"/>
      <c r="T85" s="3562"/>
      <c r="U85" s="3562"/>
      <c r="V85" s="3562"/>
      <c r="W85" s="3562"/>
      <c r="X85" s="3562"/>
      <c r="Y85" s="3562"/>
      <c r="Z85" s="3562"/>
      <c r="AA85" s="3562"/>
      <c r="AB85" s="3562"/>
      <c r="AC85" s="3562"/>
      <c r="AD85" s="3562"/>
      <c r="AE85" s="3562"/>
      <c r="AF85" s="3562"/>
      <c r="AG85" s="1312"/>
      <c r="AH85" s="1"/>
      <c r="AJ85" s="3562"/>
      <c r="AK85" s="3562"/>
      <c r="AL85" s="3562"/>
      <c r="AM85" s="3563" t="str">
        <f t="shared" si="8"/>
        <v/>
      </c>
      <c r="AN85" s="3563"/>
    </row>
    <row r="86" spans="1:40" ht="22.35" customHeight="1" x14ac:dyDescent="0.2">
      <c r="A86" s="977"/>
      <c r="B86" s="1182" t="s">
        <v>0</v>
      </c>
      <c r="C86" s="3562"/>
      <c r="D86" s="3562"/>
      <c r="E86" s="3562"/>
      <c r="F86" s="3562"/>
      <c r="G86" s="3562"/>
      <c r="H86" s="3562"/>
      <c r="I86" s="3562"/>
      <c r="J86" s="3562"/>
      <c r="K86" s="3562"/>
      <c r="L86" s="3562"/>
      <c r="M86" s="3562"/>
      <c r="N86" s="3562"/>
      <c r="O86" s="3562"/>
      <c r="P86" s="3562"/>
      <c r="Q86" s="3562"/>
      <c r="R86" s="3562"/>
      <c r="S86" s="3562"/>
      <c r="T86" s="3562"/>
      <c r="U86" s="3562"/>
      <c r="V86" s="3562"/>
      <c r="W86" s="3562"/>
      <c r="X86" s="3562"/>
      <c r="Y86" s="3562"/>
      <c r="Z86" s="3562"/>
      <c r="AA86" s="3562"/>
      <c r="AB86" s="3562"/>
      <c r="AC86" s="3562"/>
      <c r="AD86" s="3562"/>
      <c r="AE86" s="3562"/>
      <c r="AF86" s="3562"/>
      <c r="AG86" s="1312"/>
      <c r="AH86" s="1"/>
      <c r="AJ86" s="3562"/>
      <c r="AK86" s="3562"/>
      <c r="AL86" s="3562"/>
      <c r="AM86" s="3563" t="str">
        <f t="shared" si="8"/>
        <v/>
      </c>
      <c r="AN86" s="3563"/>
    </row>
    <row r="87" spans="1:40" ht="22.35" customHeight="1" x14ac:dyDescent="0.2">
      <c r="A87" s="977"/>
      <c r="B87" s="1182" t="s">
        <v>0</v>
      </c>
      <c r="C87" s="3562"/>
      <c r="D87" s="3562"/>
      <c r="E87" s="3562"/>
      <c r="F87" s="3562"/>
      <c r="G87" s="3562"/>
      <c r="H87" s="3562"/>
      <c r="I87" s="3562"/>
      <c r="J87" s="3562"/>
      <c r="K87" s="3562"/>
      <c r="L87" s="3562"/>
      <c r="M87" s="3562"/>
      <c r="N87" s="3562"/>
      <c r="O87" s="3562"/>
      <c r="P87" s="3562"/>
      <c r="Q87" s="3562"/>
      <c r="R87" s="3562"/>
      <c r="S87" s="3562"/>
      <c r="T87" s="3562"/>
      <c r="U87" s="3562"/>
      <c r="V87" s="3562"/>
      <c r="W87" s="3562"/>
      <c r="X87" s="3562"/>
      <c r="Y87" s="3562"/>
      <c r="Z87" s="3562"/>
      <c r="AA87" s="3562"/>
      <c r="AB87" s="3562"/>
      <c r="AC87" s="3562"/>
      <c r="AD87" s="3562"/>
      <c r="AE87" s="3562"/>
      <c r="AF87" s="3562"/>
      <c r="AG87" s="1312"/>
      <c r="AH87" s="1"/>
      <c r="AJ87" s="3562"/>
      <c r="AK87" s="3562"/>
      <c r="AL87" s="3562"/>
      <c r="AM87" s="3563" t="str">
        <f t="shared" si="8"/>
        <v/>
      </c>
      <c r="AN87" s="3563"/>
    </row>
    <row r="88" spans="1:40" ht="22.35" customHeight="1" x14ac:dyDescent="0.2">
      <c r="A88" s="977"/>
      <c r="B88" s="1182" t="s">
        <v>0</v>
      </c>
      <c r="C88" s="644"/>
      <c r="D88" s="644"/>
      <c r="E88" s="644"/>
      <c r="F88" s="3569"/>
      <c r="G88" s="3569"/>
      <c r="H88" s="1110"/>
      <c r="I88" s="1110"/>
      <c r="J88" s="1110"/>
      <c r="K88" s="1110"/>
      <c r="L88" s="1110"/>
      <c r="M88" s="1110"/>
      <c r="N88" s="1110"/>
      <c r="O88" s="1110"/>
      <c r="P88" s="1110"/>
      <c r="Q88" s="1110"/>
      <c r="R88" s="1110"/>
      <c r="S88" s="1110"/>
      <c r="T88" s="1110"/>
      <c r="U88" s="1110"/>
      <c r="V88" s="1110"/>
      <c r="W88" s="1110"/>
      <c r="X88" s="1110"/>
      <c r="Y88" s="1110"/>
      <c r="Z88" s="1110"/>
      <c r="AA88" s="1110"/>
      <c r="AB88" s="1110"/>
      <c r="AC88" s="1110"/>
      <c r="AD88" s="1110"/>
      <c r="AE88" s="1110"/>
      <c r="AF88" s="1110"/>
      <c r="AG88" s="613"/>
      <c r="AH88" s="1"/>
      <c r="AJ88" s="3562"/>
      <c r="AK88" s="3562"/>
      <c r="AL88" s="3562"/>
      <c r="AM88" s="3563" t="str">
        <f t="shared" si="8"/>
        <v/>
      </c>
      <c r="AN88" s="3563"/>
    </row>
    <row r="89" spans="1:40" ht="22.35" customHeight="1" x14ac:dyDescent="0.2">
      <c r="A89" s="3701"/>
      <c r="B89" s="1182" t="s">
        <v>0</v>
      </c>
      <c r="C89" s="644"/>
      <c r="D89" s="644"/>
      <c r="E89" s="644"/>
      <c r="F89" s="3569"/>
      <c r="G89" s="3569"/>
      <c r="H89" s="1110"/>
      <c r="I89" s="1110"/>
      <c r="J89" s="1110"/>
      <c r="K89" s="1110"/>
      <c r="L89" s="1110"/>
      <c r="M89" s="1110"/>
      <c r="N89" s="1110"/>
      <c r="O89" s="1110"/>
      <c r="P89" s="1110"/>
      <c r="Q89" s="1110"/>
      <c r="R89" s="1110"/>
      <c r="S89" s="1110"/>
      <c r="T89" s="1110"/>
      <c r="U89" s="1110"/>
      <c r="V89" s="1110"/>
      <c r="W89" s="1110"/>
      <c r="X89" s="1110"/>
      <c r="Y89" s="1110"/>
      <c r="Z89" s="1110"/>
      <c r="AA89" s="1110"/>
      <c r="AB89" s="1110"/>
      <c r="AC89" s="1110"/>
      <c r="AD89" s="1110"/>
      <c r="AE89" s="1110"/>
      <c r="AF89" s="1110"/>
      <c r="AG89" s="613"/>
      <c r="AH89" s="1"/>
      <c r="AJ89" s="3562"/>
      <c r="AK89" s="3562"/>
      <c r="AL89" s="3562"/>
      <c r="AM89" s="3563" t="str">
        <f t="shared" si="8"/>
        <v/>
      </c>
      <c r="AN89" s="3563"/>
    </row>
    <row r="90" spans="1:40" ht="22.35" customHeight="1" x14ac:dyDescent="0.2">
      <c r="A90" s="3701"/>
      <c r="B90" s="1182" t="s">
        <v>0</v>
      </c>
      <c r="C90" s="644"/>
      <c r="D90" s="644"/>
      <c r="E90" s="644"/>
      <c r="F90" s="3569"/>
      <c r="G90" s="3569"/>
      <c r="H90" s="1110"/>
      <c r="I90" s="1110"/>
      <c r="J90" s="1110"/>
      <c r="K90" s="1110"/>
      <c r="L90" s="1110"/>
      <c r="M90" s="1110"/>
      <c r="N90" s="1110"/>
      <c r="O90" s="1110"/>
      <c r="P90" s="1110"/>
      <c r="Q90" s="1110"/>
      <c r="R90" s="1110"/>
      <c r="S90" s="1110"/>
      <c r="T90" s="1110"/>
      <c r="U90" s="1110"/>
      <c r="V90" s="1110"/>
      <c r="W90" s="1110"/>
      <c r="X90" s="1110"/>
      <c r="Y90" s="1110"/>
      <c r="Z90" s="1110"/>
      <c r="AA90" s="1110"/>
      <c r="AB90" s="1110"/>
      <c r="AC90" s="1110"/>
      <c r="AD90" s="1110"/>
      <c r="AE90" s="1110"/>
      <c r="AF90" s="1110"/>
      <c r="AG90" s="613"/>
      <c r="AH90" s="1"/>
      <c r="AJ90" s="3562"/>
      <c r="AK90" s="3562"/>
      <c r="AL90" s="3562"/>
      <c r="AM90" s="3563" t="str">
        <f t="shared" si="8"/>
        <v/>
      </c>
      <c r="AN90" s="3563"/>
    </row>
    <row r="91" spans="1:40" ht="22.35" customHeight="1" thickBot="1" x14ac:dyDescent="0.25">
      <c r="A91" s="979"/>
      <c r="B91" s="1091" t="s">
        <v>0</v>
      </c>
      <c r="C91" s="863"/>
      <c r="D91" s="863"/>
      <c r="E91" s="863"/>
      <c r="F91" s="1693"/>
      <c r="G91" s="1693"/>
      <c r="H91" s="1093"/>
      <c r="I91" s="1093"/>
      <c r="J91" s="1093"/>
      <c r="K91" s="1093"/>
      <c r="L91" s="1093"/>
      <c r="M91" s="1093"/>
      <c r="N91" s="1093"/>
      <c r="O91" s="1093"/>
      <c r="P91" s="1093"/>
      <c r="Q91" s="1093"/>
      <c r="R91" s="1093"/>
      <c r="S91" s="1093"/>
      <c r="T91" s="1093"/>
      <c r="U91" s="1093"/>
      <c r="V91" s="1093"/>
      <c r="W91" s="1093"/>
      <c r="X91" s="1093"/>
      <c r="Y91" s="1093"/>
      <c r="Z91" s="1093"/>
      <c r="AA91" s="1093"/>
      <c r="AB91" s="1093"/>
      <c r="AC91" s="1093"/>
      <c r="AD91" s="1093"/>
      <c r="AE91" s="1093"/>
      <c r="AF91" s="1093"/>
      <c r="AG91" s="867"/>
      <c r="AH91" s="1"/>
      <c r="AJ91" s="3562"/>
      <c r="AK91" s="3562"/>
      <c r="AL91" s="3562"/>
      <c r="AM91" s="3563" t="str">
        <f t="shared" si="8"/>
        <v/>
      </c>
      <c r="AN91" s="3563"/>
    </row>
    <row r="92" spans="1:40" ht="22.35" customHeight="1" thickBot="1" x14ac:dyDescent="0.25">
      <c r="A92" s="64"/>
      <c r="B92" s="2987" t="s">
        <v>150</v>
      </c>
      <c r="C92" s="3702"/>
      <c r="D92" s="3703"/>
      <c r="E92" s="3703"/>
      <c r="F92" s="3703"/>
      <c r="G92" s="3703"/>
      <c r="H92" s="3703"/>
      <c r="I92" s="3702"/>
      <c r="J92" s="3702"/>
      <c r="K92" s="3703"/>
      <c r="L92" s="3703"/>
      <c r="M92" s="3703"/>
      <c r="N92" s="3703"/>
      <c r="O92" s="3703"/>
      <c r="P92" s="3702"/>
      <c r="Q92" s="3702"/>
      <c r="R92" s="3702"/>
      <c r="S92" s="3704"/>
      <c r="T92" s="3704"/>
      <c r="U92" s="3704"/>
      <c r="V92" s="3702"/>
      <c r="W92" s="3702"/>
      <c r="X92" s="3702"/>
      <c r="Y92" s="3702"/>
      <c r="Z92" s="3702"/>
      <c r="AA92" s="3702"/>
      <c r="AB92" s="3702"/>
      <c r="AC92" s="3702"/>
      <c r="AD92" s="3702"/>
      <c r="AE92" s="3702"/>
      <c r="AF92" s="3702"/>
      <c r="AG92" s="3705"/>
      <c r="AH92" s="1"/>
      <c r="AJ92" s="3706"/>
      <c r="AK92" s="3706"/>
      <c r="AL92" s="3706"/>
      <c r="AM92" s="3707"/>
      <c r="AN92" s="3707"/>
    </row>
    <row r="93" spans="1:40" ht="22.35" customHeight="1" thickBot="1" x14ac:dyDescent="0.25">
      <c r="A93" s="3708"/>
      <c r="B93" s="3709" t="s">
        <v>479</v>
      </c>
      <c r="C93" s="3710" t="s">
        <v>36</v>
      </c>
      <c r="D93" s="3711" t="s">
        <v>36</v>
      </c>
      <c r="E93" s="3710" t="s">
        <v>36</v>
      </c>
      <c r="F93" s="3712"/>
      <c r="G93" s="3712"/>
      <c r="H93" s="3712">
        <v>5</v>
      </c>
      <c r="I93" s="3712" t="s">
        <v>32</v>
      </c>
      <c r="J93" s="3712">
        <v>5</v>
      </c>
      <c r="K93" s="3712">
        <v>5</v>
      </c>
      <c r="L93" s="3712">
        <v>5</v>
      </c>
      <c r="M93" s="3712"/>
      <c r="N93" s="3712"/>
      <c r="O93" s="3712" t="s">
        <v>32</v>
      </c>
      <c r="P93" s="3712" t="s">
        <v>32</v>
      </c>
      <c r="Q93" s="3712">
        <v>10</v>
      </c>
      <c r="R93" s="3712">
        <v>10</v>
      </c>
      <c r="S93" s="3712">
        <v>10</v>
      </c>
      <c r="T93" s="3710" t="s">
        <v>81</v>
      </c>
      <c r="U93" s="3710" t="s">
        <v>81</v>
      </c>
      <c r="V93" s="3713" t="s">
        <v>36</v>
      </c>
      <c r="W93" s="3710" t="s">
        <v>36</v>
      </c>
      <c r="X93" s="3710" t="s">
        <v>36</v>
      </c>
      <c r="Y93" s="3712" t="s">
        <v>36</v>
      </c>
      <c r="Z93" s="3710" t="s">
        <v>36</v>
      </c>
      <c r="AA93" s="3710" t="s">
        <v>57</v>
      </c>
      <c r="AB93" s="3710" t="s">
        <v>57</v>
      </c>
      <c r="AC93" s="3710" t="s">
        <v>352</v>
      </c>
      <c r="AD93" s="3710" t="s">
        <v>32</v>
      </c>
      <c r="AE93" s="3711"/>
      <c r="AF93" s="3710"/>
      <c r="AG93" s="3714"/>
      <c r="AH93" s="1"/>
      <c r="AJ93" s="190"/>
      <c r="AK93" s="190"/>
      <c r="AL93" s="190"/>
      <c r="AM93" s="328"/>
      <c r="AN93" s="328"/>
    </row>
    <row r="94" spans="1:40" ht="22.35" customHeight="1" x14ac:dyDescent="0.2">
      <c r="A94" s="324"/>
      <c r="AH94" s="1"/>
      <c r="AJ94" s="190"/>
      <c r="AK94" s="190"/>
      <c r="AL94" s="190"/>
      <c r="AM94" s="190"/>
      <c r="AN94" s="190"/>
    </row>
    <row r="95" spans="1:40" ht="22.35" customHeight="1" thickBot="1" x14ac:dyDescent="0.25">
      <c r="A95" s="3715"/>
      <c r="B95" s="3596" t="s">
        <v>29</v>
      </c>
      <c r="C95" s="3528">
        <v>1</v>
      </c>
      <c r="D95" s="3528">
        <v>2</v>
      </c>
      <c r="E95" s="3528">
        <v>3</v>
      </c>
      <c r="F95" s="3529">
        <v>4</v>
      </c>
      <c r="G95" s="3529">
        <v>5</v>
      </c>
      <c r="H95" s="3528">
        <v>6</v>
      </c>
      <c r="I95" s="3528">
        <v>7</v>
      </c>
      <c r="J95" s="3528">
        <v>8</v>
      </c>
      <c r="K95" s="3528">
        <v>9</v>
      </c>
      <c r="L95" s="3528">
        <v>10</v>
      </c>
      <c r="M95" s="3529">
        <v>11</v>
      </c>
      <c r="N95" s="3529">
        <v>12</v>
      </c>
      <c r="O95" s="3528">
        <v>13</v>
      </c>
      <c r="P95" s="3528">
        <v>14</v>
      </c>
      <c r="Q95" s="3528">
        <v>15</v>
      </c>
      <c r="R95" s="3528">
        <v>16</v>
      </c>
      <c r="S95" s="3528">
        <v>17</v>
      </c>
      <c r="T95" s="3529">
        <v>18</v>
      </c>
      <c r="U95" s="3529">
        <v>19</v>
      </c>
      <c r="V95" s="3528">
        <v>20</v>
      </c>
      <c r="W95" s="3528">
        <v>21</v>
      </c>
      <c r="X95" s="3528">
        <v>22</v>
      </c>
      <c r="Y95" s="3528">
        <v>23</v>
      </c>
      <c r="Z95" s="3528">
        <v>24</v>
      </c>
      <c r="AA95" s="3529">
        <v>25</v>
      </c>
      <c r="AB95" s="3529">
        <v>26</v>
      </c>
      <c r="AC95" s="3528">
        <v>27</v>
      </c>
      <c r="AD95" s="3528">
        <v>28</v>
      </c>
      <c r="AE95" s="3528"/>
      <c r="AF95" s="3528"/>
      <c r="AG95" s="3530"/>
      <c r="AH95" s="1"/>
    </row>
    <row r="96" spans="1:40" ht="22.35" customHeight="1" x14ac:dyDescent="0.2">
      <c r="A96" s="3715"/>
      <c r="B96" s="3716" t="s">
        <v>152</v>
      </c>
      <c r="C96" s="3317"/>
      <c r="D96" s="3339"/>
      <c r="E96" s="3317"/>
      <c r="F96" s="3317"/>
      <c r="G96" s="3317"/>
      <c r="H96" s="3317"/>
      <c r="I96" s="3317"/>
      <c r="J96" s="3317"/>
      <c r="K96" s="3317"/>
      <c r="L96" s="3317"/>
      <c r="M96" s="3317"/>
      <c r="N96" s="3317"/>
      <c r="O96" s="3317"/>
      <c r="P96" s="3317"/>
      <c r="Q96" s="3317"/>
      <c r="R96" s="3317"/>
      <c r="S96" s="3317"/>
      <c r="T96" s="3317"/>
      <c r="U96" s="3317"/>
      <c r="V96" s="3317"/>
      <c r="W96" s="3317"/>
      <c r="X96" s="3317"/>
      <c r="Y96" s="3317"/>
      <c r="Z96" s="3317"/>
      <c r="AA96" s="3317"/>
      <c r="AB96" s="3317"/>
      <c r="AC96" s="3317"/>
      <c r="AD96" s="3317"/>
      <c r="AE96" s="3317"/>
      <c r="AF96" s="3317"/>
      <c r="AG96" s="3343"/>
      <c r="AH96" s="1"/>
    </row>
    <row r="97" spans="1:40" ht="22.35" customHeight="1" x14ac:dyDescent="0.2">
      <c r="A97" s="3715"/>
      <c r="B97" s="3542" t="s">
        <v>480</v>
      </c>
      <c r="C97" s="3690"/>
      <c r="D97" s="3690"/>
      <c r="E97" s="3690"/>
      <c r="F97" s="3535"/>
      <c r="G97" s="3535"/>
      <c r="H97" s="3675" t="s">
        <v>32</v>
      </c>
      <c r="I97" s="3675">
        <v>79</v>
      </c>
      <c r="J97" s="3675">
        <v>89</v>
      </c>
      <c r="K97" s="3675">
        <v>79</v>
      </c>
      <c r="L97" s="3675" t="s">
        <v>32</v>
      </c>
      <c r="M97" s="3690"/>
      <c r="N97" s="3690"/>
      <c r="O97" s="3675">
        <v>8</v>
      </c>
      <c r="P97" s="3675">
        <v>7</v>
      </c>
      <c r="Q97" s="3675" t="s">
        <v>128</v>
      </c>
      <c r="R97" s="3675">
        <v>25</v>
      </c>
      <c r="S97" s="3602">
        <v>6</v>
      </c>
      <c r="T97" s="3602"/>
      <c r="U97" s="3602" t="s">
        <v>101</v>
      </c>
      <c r="V97" s="477">
        <v>9</v>
      </c>
      <c r="W97" s="3675">
        <v>9</v>
      </c>
      <c r="X97" s="3675">
        <v>10</v>
      </c>
      <c r="Y97" s="3675">
        <v>10</v>
      </c>
      <c r="Z97" s="3675">
        <v>11</v>
      </c>
      <c r="AA97" s="3690"/>
      <c r="AB97" s="3690"/>
      <c r="AC97" s="3675">
        <v>4</v>
      </c>
      <c r="AD97" s="3675" t="s">
        <v>58</v>
      </c>
      <c r="AE97" s="3690"/>
      <c r="AF97" s="3690"/>
      <c r="AG97" s="3717"/>
      <c r="AH97" s="1"/>
    </row>
    <row r="98" spans="1:40" ht="22.35" customHeight="1" x14ac:dyDescent="0.2">
      <c r="A98" s="3718"/>
      <c r="B98" s="335" t="s">
        <v>481</v>
      </c>
      <c r="C98" s="3538"/>
      <c r="D98" s="3538"/>
      <c r="E98" s="3538"/>
      <c r="F98" s="3538"/>
      <c r="G98" s="3538"/>
      <c r="H98" s="3538"/>
      <c r="I98" s="3538"/>
      <c r="J98" s="3538"/>
      <c r="K98" s="3538"/>
      <c r="L98" s="3538"/>
      <c r="M98" s="3538"/>
      <c r="N98" s="3538"/>
      <c r="O98" s="3538"/>
      <c r="P98" s="3538"/>
      <c r="Q98" s="3538"/>
      <c r="R98" s="3538"/>
      <c r="S98" s="3538"/>
      <c r="T98" s="3538"/>
      <c r="U98" s="3538"/>
      <c r="V98" s="3538"/>
      <c r="W98" s="3538"/>
      <c r="X98" s="3538"/>
      <c r="Y98" s="3538"/>
      <c r="Z98" s="3538"/>
      <c r="AA98" s="3538"/>
      <c r="AB98" s="3538"/>
      <c r="AC98" s="3675">
        <v>79</v>
      </c>
      <c r="AD98" s="3675" t="s">
        <v>32</v>
      </c>
      <c r="AE98" s="3538"/>
      <c r="AF98" s="3538"/>
      <c r="AG98" s="3606"/>
      <c r="AH98" s="1"/>
    </row>
    <row r="99" spans="1:40" ht="22.35" customHeight="1" thickBot="1" x14ac:dyDescent="0.25">
      <c r="A99" s="1153"/>
      <c r="B99" s="3719" t="s">
        <v>482</v>
      </c>
      <c r="C99" s="3720"/>
      <c r="D99" s="3721"/>
      <c r="E99" s="3721"/>
      <c r="F99" s="3721"/>
      <c r="G99" s="3721"/>
      <c r="H99" s="3721"/>
      <c r="I99" s="3721"/>
      <c r="J99" s="3721"/>
      <c r="K99" s="3721"/>
      <c r="L99" s="3721"/>
      <c r="M99" s="3721"/>
      <c r="N99" s="3721"/>
      <c r="O99" s="3721"/>
      <c r="P99" s="3721"/>
      <c r="Q99" s="3721"/>
      <c r="R99" s="3721"/>
      <c r="S99" s="3721"/>
      <c r="T99" s="3721"/>
      <c r="U99" s="3721"/>
      <c r="V99" s="3721"/>
      <c r="W99" s="3721"/>
      <c r="X99" s="3721"/>
      <c r="Y99" s="3721"/>
      <c r="Z99" s="3721"/>
      <c r="AA99" s="3721"/>
      <c r="AB99" s="3721"/>
      <c r="AC99" s="3675">
        <v>69</v>
      </c>
      <c r="AD99" s="3675" t="s">
        <v>32</v>
      </c>
      <c r="AE99" s="3721"/>
      <c r="AF99" s="3721"/>
      <c r="AG99" s="3530"/>
      <c r="AH99" s="1"/>
    </row>
    <row r="100" spans="1:40" ht="22.35" customHeight="1" x14ac:dyDescent="0.2">
      <c r="A100" s="197"/>
      <c r="B100" s="198"/>
      <c r="C100" s="218"/>
      <c r="D100" s="218"/>
      <c r="E100" s="218"/>
      <c r="F100" s="218"/>
      <c r="G100" s="218"/>
      <c r="H100" s="218"/>
      <c r="I100" s="218"/>
      <c r="J100" s="218"/>
      <c r="K100" s="218"/>
      <c r="L100" s="218"/>
      <c r="M100" s="218"/>
      <c r="N100" s="218"/>
      <c r="O100" s="218"/>
      <c r="P100" s="218"/>
      <c r="Q100" s="218"/>
      <c r="R100" s="218"/>
      <c r="S100" s="218"/>
      <c r="T100" s="218"/>
      <c r="U100" s="218"/>
      <c r="V100" s="218"/>
      <c r="W100" s="218"/>
      <c r="X100" s="218"/>
      <c r="Y100" s="218"/>
      <c r="Z100" s="218"/>
      <c r="AA100" s="218"/>
      <c r="AB100" s="218"/>
      <c r="AC100" s="218"/>
      <c r="AD100" s="218"/>
      <c r="AE100" s="218"/>
      <c r="AF100" s="218"/>
      <c r="AG100" s="199"/>
      <c r="AH100" s="1"/>
    </row>
    <row r="101" spans="1:40" ht="22.35" customHeight="1" thickBot="1" x14ac:dyDescent="0.25">
      <c r="A101" s="345" t="s">
        <v>395</v>
      </c>
      <c r="B101" s="198"/>
      <c r="C101" s="218"/>
      <c r="D101" s="218"/>
      <c r="E101" s="218"/>
      <c r="F101" s="218"/>
      <c r="G101" s="218"/>
      <c r="H101" s="218"/>
      <c r="I101" s="218"/>
      <c r="J101" s="218"/>
      <c r="K101" s="218"/>
      <c r="L101" s="218"/>
      <c r="M101" s="218"/>
      <c r="N101" s="218"/>
      <c r="O101" s="218"/>
      <c r="P101" s="218"/>
      <c r="Q101" s="218"/>
      <c r="R101" s="218"/>
      <c r="S101" s="218"/>
      <c r="T101" s="218"/>
      <c r="U101" s="218"/>
      <c r="V101" s="218"/>
      <c r="W101" s="218"/>
      <c r="X101" s="218"/>
      <c r="Y101" s="218"/>
      <c r="Z101" s="218"/>
      <c r="AA101" s="218"/>
      <c r="AB101" s="218"/>
      <c r="AC101" s="218"/>
      <c r="AD101" s="218"/>
      <c r="AE101" s="218"/>
      <c r="AF101" s="218"/>
      <c r="AG101" s="199"/>
      <c r="AH101" s="1"/>
    </row>
    <row r="102" spans="1:40" ht="22.35" customHeight="1" thickBot="1" x14ac:dyDescent="0.3">
      <c r="A102" s="197"/>
      <c r="B102" s="346" t="s">
        <v>411</v>
      </c>
      <c r="C102" s="347"/>
      <c r="D102" s="347"/>
      <c r="E102" s="348" t="s">
        <v>456</v>
      </c>
      <c r="F102" s="347"/>
      <c r="G102" s="347"/>
      <c r="H102" s="347"/>
      <c r="I102" s="347"/>
      <c r="J102" s="347"/>
      <c r="K102" s="348" t="s">
        <v>457</v>
      </c>
      <c r="L102" s="347"/>
      <c r="M102" s="347"/>
      <c r="N102" s="347"/>
      <c r="O102" s="347"/>
      <c r="P102" s="347"/>
      <c r="Q102" s="348" t="s">
        <v>458</v>
      </c>
      <c r="R102" s="347"/>
      <c r="S102" s="347"/>
      <c r="T102" s="349"/>
      <c r="U102" s="170"/>
      <c r="V102" s="170"/>
      <c r="W102" s="170"/>
      <c r="X102" s="170"/>
      <c r="Y102" s="170"/>
      <c r="Z102" s="170"/>
      <c r="AA102" s="170"/>
      <c r="AB102" s="170"/>
      <c r="AC102" s="170"/>
      <c r="AD102" s="170"/>
      <c r="AE102" s="170"/>
      <c r="AF102" s="170"/>
      <c r="AG102" s="170"/>
      <c r="AH102" s="1"/>
    </row>
    <row r="103" spans="1:40" ht="22.35" customHeight="1" thickBot="1" x14ac:dyDescent="0.3">
      <c r="A103" s="197"/>
      <c r="B103" s="346" t="s">
        <v>415</v>
      </c>
      <c r="C103" s="347"/>
      <c r="D103" s="347"/>
      <c r="E103" s="350" t="s">
        <v>459</v>
      </c>
      <c r="F103" s="347"/>
      <c r="G103" s="347"/>
      <c r="H103" s="347"/>
      <c r="I103" s="347"/>
      <c r="J103" s="347"/>
      <c r="K103" s="347" t="s">
        <v>460</v>
      </c>
      <c r="L103" s="347"/>
      <c r="M103" s="347"/>
      <c r="N103" s="347"/>
      <c r="O103" s="347"/>
      <c r="P103" s="347"/>
      <c r="Q103" s="347"/>
      <c r="R103" s="347"/>
      <c r="S103" s="347"/>
      <c r="T103" s="349"/>
      <c r="U103" s="170"/>
      <c r="V103" s="170"/>
      <c r="W103" s="170"/>
      <c r="X103" s="170"/>
      <c r="Y103" s="170"/>
      <c r="Z103" s="170"/>
      <c r="AA103" s="170"/>
      <c r="AB103" s="170"/>
      <c r="AC103" s="170"/>
      <c r="AD103" s="170"/>
      <c r="AE103" s="170"/>
      <c r="AF103" s="170"/>
      <c r="AG103" s="170"/>
      <c r="AH103" s="1"/>
    </row>
    <row r="104" spans="1:40" ht="22.35" customHeight="1" thickBot="1" x14ac:dyDescent="0.3">
      <c r="A104" s="197"/>
      <c r="B104" s="346"/>
      <c r="C104" s="347"/>
      <c r="D104" s="347"/>
      <c r="E104" s="350" t="s">
        <v>418</v>
      </c>
      <c r="F104" s="347"/>
      <c r="G104" s="347"/>
      <c r="H104" s="347"/>
      <c r="I104" s="347"/>
      <c r="J104" s="347"/>
      <c r="K104" s="369" t="s">
        <v>17</v>
      </c>
      <c r="L104" s="351"/>
      <c r="M104" s="351"/>
      <c r="N104" s="351"/>
      <c r="O104" s="351"/>
      <c r="P104" s="351"/>
      <c r="Q104" s="351"/>
      <c r="R104" s="351"/>
      <c r="S104" s="351"/>
      <c r="T104" s="352"/>
      <c r="U104" s="170"/>
      <c r="V104" s="170"/>
      <c r="W104" s="170"/>
      <c r="X104" s="170"/>
      <c r="Y104" s="170"/>
      <c r="Z104" s="170"/>
      <c r="AA104" s="170"/>
      <c r="AB104" s="170"/>
      <c r="AC104" s="170"/>
      <c r="AD104" s="170"/>
      <c r="AE104" s="170"/>
      <c r="AF104" s="170"/>
      <c r="AG104" s="170"/>
      <c r="AH104" s="1"/>
    </row>
    <row r="105" spans="1:40" ht="22.35" customHeight="1" x14ac:dyDescent="0.25">
      <c r="A105" s="197"/>
      <c r="B105" s="170"/>
      <c r="C105" s="170"/>
      <c r="D105" s="170"/>
      <c r="E105" s="370"/>
      <c r="F105" s="170"/>
      <c r="G105" s="170"/>
      <c r="H105" s="170"/>
      <c r="I105" s="170"/>
      <c r="J105" s="170"/>
      <c r="K105" s="370"/>
      <c r="L105" s="170"/>
      <c r="M105" s="170"/>
      <c r="N105" s="170"/>
      <c r="O105" s="170"/>
      <c r="P105" s="170"/>
      <c r="Q105" s="170"/>
      <c r="R105" s="170"/>
      <c r="S105" s="170"/>
      <c r="T105" s="170"/>
      <c r="U105" s="170"/>
      <c r="V105" s="170"/>
      <c r="W105" s="170"/>
      <c r="X105" s="170"/>
      <c r="Y105" s="170"/>
      <c r="Z105" s="170"/>
      <c r="AA105" s="170"/>
      <c r="AB105" s="170"/>
      <c r="AC105" s="170"/>
      <c r="AD105" s="170"/>
      <c r="AE105" s="170"/>
      <c r="AF105" s="170"/>
      <c r="AG105" s="170"/>
      <c r="AH105" s="1"/>
    </row>
    <row r="106" spans="1:40" ht="22.35" customHeight="1" thickBot="1" x14ac:dyDescent="0.3">
      <c r="A106" s="197"/>
      <c r="B106" s="1949" t="s">
        <v>29</v>
      </c>
      <c r="C106" s="3528">
        <v>1</v>
      </c>
      <c r="D106" s="3528">
        <v>2</v>
      </c>
      <c r="E106" s="3528">
        <v>3</v>
      </c>
      <c r="F106" s="3529">
        <v>4</v>
      </c>
      <c r="G106" s="3529">
        <v>5</v>
      </c>
      <c r="H106" s="3528">
        <v>6</v>
      </c>
      <c r="I106" s="3528">
        <v>7</v>
      </c>
      <c r="J106" s="3528">
        <v>8</v>
      </c>
      <c r="K106" s="3528">
        <v>9</v>
      </c>
      <c r="L106" s="3528">
        <v>10</v>
      </c>
      <c r="M106" s="3529">
        <v>11</v>
      </c>
      <c r="N106" s="3529">
        <v>12</v>
      </c>
      <c r="O106" s="3528">
        <v>13</v>
      </c>
      <c r="P106" s="3528">
        <v>14</v>
      </c>
      <c r="Q106" s="3528">
        <v>15</v>
      </c>
      <c r="R106" s="3528">
        <v>16</v>
      </c>
      <c r="S106" s="3528">
        <v>17</v>
      </c>
      <c r="T106" s="3529">
        <v>18</v>
      </c>
      <c r="U106" s="3529">
        <v>19</v>
      </c>
      <c r="V106" s="3528">
        <v>20</v>
      </c>
      <c r="W106" s="3528">
        <v>21</v>
      </c>
      <c r="X106" s="3528">
        <v>22</v>
      </c>
      <c r="Y106" s="3528">
        <v>23</v>
      </c>
      <c r="Z106" s="3528">
        <v>24</v>
      </c>
      <c r="AA106" s="3529">
        <v>25</v>
      </c>
      <c r="AB106" s="3529">
        <v>26</v>
      </c>
      <c r="AC106" s="3528">
        <v>27</v>
      </c>
      <c r="AD106" s="3528">
        <v>28</v>
      </c>
      <c r="AE106" s="3528"/>
      <c r="AF106" s="3528"/>
      <c r="AG106" s="3530"/>
      <c r="AH106" s="1"/>
      <c r="AJ106" s="1181" t="s">
        <v>30</v>
      </c>
      <c r="AK106" s="1181" t="s">
        <v>44</v>
      </c>
      <c r="AL106" s="1181" t="s">
        <v>45</v>
      </c>
      <c r="AM106" s="1181" t="s">
        <v>46</v>
      </c>
      <c r="AN106" s="1181" t="s">
        <v>47</v>
      </c>
    </row>
    <row r="107" spans="1:40" ht="22.35" customHeight="1" thickBot="1" x14ac:dyDescent="0.25">
      <c r="B107" s="2297" t="s">
        <v>419</v>
      </c>
      <c r="C107" s="3722" t="s">
        <v>398</v>
      </c>
      <c r="D107" s="3723" t="s">
        <v>398</v>
      </c>
      <c r="E107" s="3722" t="s">
        <v>398</v>
      </c>
      <c r="F107" s="3724"/>
      <c r="G107" s="3724"/>
      <c r="H107" s="3724" t="s">
        <v>420</v>
      </c>
      <c r="I107" s="3725" t="s">
        <v>420</v>
      </c>
      <c r="J107" s="3725" t="s">
        <v>420</v>
      </c>
      <c r="K107" s="3664" t="s">
        <v>420</v>
      </c>
      <c r="L107" s="3726" t="s">
        <v>420</v>
      </c>
      <c r="M107" s="3726" t="s">
        <v>0</v>
      </c>
      <c r="N107" s="3726" t="s">
        <v>0</v>
      </c>
      <c r="O107" s="3726" t="s">
        <v>36</v>
      </c>
      <c r="P107" s="3726" t="s">
        <v>36</v>
      </c>
      <c r="Q107" s="3726" t="s">
        <v>36</v>
      </c>
      <c r="R107" s="3726" t="s">
        <v>36</v>
      </c>
      <c r="S107" s="3726" t="s">
        <v>36</v>
      </c>
      <c r="T107" s="3726"/>
      <c r="U107" s="3726" t="s">
        <v>101</v>
      </c>
      <c r="V107" s="3727" t="s">
        <v>400</v>
      </c>
      <c r="W107" s="3722" t="s">
        <v>400</v>
      </c>
      <c r="X107" s="3722" t="s">
        <v>400</v>
      </c>
      <c r="Y107" s="3724" t="s">
        <v>400</v>
      </c>
      <c r="Z107" s="3722" t="s">
        <v>400</v>
      </c>
      <c r="AA107" s="3722" t="s">
        <v>409</v>
      </c>
      <c r="AB107" s="3728" t="s">
        <v>409</v>
      </c>
      <c r="AC107" s="3722" t="s">
        <v>36</v>
      </c>
      <c r="AD107" s="3722" t="s">
        <v>36</v>
      </c>
      <c r="AE107" s="3723"/>
      <c r="AF107" s="3722"/>
      <c r="AG107" s="3729"/>
      <c r="AH107" s="1"/>
      <c r="AJ107" s="3562">
        <f>$AJ$12</f>
        <v>160.33000000000001</v>
      </c>
      <c r="AK107" s="3562"/>
      <c r="AL107" s="3562">
        <f>IF(AJ107="","",SUM(AJ107:AK107))</f>
        <v>160.33000000000001</v>
      </c>
      <c r="AM107" s="3563">
        <f t="shared" ref="AM107:AM111" si="9">IF(AJ107="","",AL107-NormTid)</f>
        <v>0</v>
      </c>
      <c r="AN107" s="3563">
        <f>IF(AM107="","",AM107+'Januar 2023'!AN107)</f>
        <v>0</v>
      </c>
    </row>
    <row r="108" spans="1:40" ht="22.35" customHeight="1" x14ac:dyDescent="0.2">
      <c r="B108" s="2300" t="s">
        <v>397</v>
      </c>
      <c r="C108" s="3676" t="s">
        <v>400</v>
      </c>
      <c r="D108" s="975" t="s">
        <v>400</v>
      </c>
      <c r="E108" s="3676" t="s">
        <v>400</v>
      </c>
      <c r="F108" s="3664" t="s">
        <v>409</v>
      </c>
      <c r="G108" s="3664" t="s">
        <v>409</v>
      </c>
      <c r="H108" s="3664" t="s">
        <v>36</v>
      </c>
      <c r="I108" s="3664" t="s">
        <v>36</v>
      </c>
      <c r="J108" s="3664" t="s">
        <v>36</v>
      </c>
      <c r="K108" s="960" t="s">
        <v>36</v>
      </c>
      <c r="L108" s="3664" t="s">
        <v>36</v>
      </c>
      <c r="M108" s="3724" t="s">
        <v>405</v>
      </c>
      <c r="N108" s="3724" t="s">
        <v>405</v>
      </c>
      <c r="O108" s="3664" t="s">
        <v>398</v>
      </c>
      <c r="P108" s="3664" t="s">
        <v>398</v>
      </c>
      <c r="Q108" s="964" t="s">
        <v>398</v>
      </c>
      <c r="R108" s="964" t="s">
        <v>433</v>
      </c>
      <c r="S108" s="2467" t="s">
        <v>398</v>
      </c>
      <c r="T108" s="2467"/>
      <c r="U108" s="2467"/>
      <c r="V108" s="3569" t="s">
        <v>420</v>
      </c>
      <c r="W108" s="964" t="s">
        <v>420</v>
      </c>
      <c r="X108" s="964" t="s">
        <v>420</v>
      </c>
      <c r="Y108" s="964" t="s">
        <v>420</v>
      </c>
      <c r="Z108" s="964" t="s">
        <v>422</v>
      </c>
      <c r="AA108" s="3664"/>
      <c r="AB108" s="3664"/>
      <c r="AC108" s="3676" t="s">
        <v>36</v>
      </c>
      <c r="AD108" s="1112" t="s">
        <v>398</v>
      </c>
      <c r="AE108" s="975"/>
      <c r="AF108" s="3676"/>
      <c r="AG108" s="978"/>
      <c r="AH108" s="1"/>
      <c r="AJ108" s="3562">
        <f t="shared" ref="AJ108:AJ111" si="10">$AJ$12</f>
        <v>160.33000000000001</v>
      </c>
      <c r="AK108" s="3562"/>
      <c r="AL108" s="3562">
        <f t="shared" ref="AL108:AL111" si="11">IF(AJ108="","",SUM(AJ108:AK108))</f>
        <v>160.33000000000001</v>
      </c>
      <c r="AM108" s="3563">
        <f t="shared" si="9"/>
        <v>0</v>
      </c>
      <c r="AN108" s="3563">
        <f>IF(AM108="","",AM108+'Januar 2023'!AN108)</f>
        <v>0</v>
      </c>
    </row>
    <row r="109" spans="1:40" ht="22.35" customHeight="1" x14ac:dyDescent="0.2">
      <c r="B109" s="3730" t="s">
        <v>0</v>
      </c>
      <c r="C109" s="3676" t="s">
        <v>420</v>
      </c>
      <c r="D109" s="975" t="s">
        <v>420</v>
      </c>
      <c r="E109" s="3676" t="s">
        <v>420</v>
      </c>
      <c r="F109" s="3664" t="s">
        <v>405</v>
      </c>
      <c r="G109" s="3664" t="s">
        <v>405</v>
      </c>
      <c r="H109" s="3664" t="s">
        <v>36</v>
      </c>
      <c r="I109" s="3664" t="s">
        <v>36</v>
      </c>
      <c r="J109" s="3664" t="s">
        <v>36</v>
      </c>
      <c r="K109" s="3664" t="s">
        <v>36</v>
      </c>
      <c r="L109" s="3664" t="s">
        <v>36</v>
      </c>
      <c r="M109" s="3664"/>
      <c r="N109" s="3664"/>
      <c r="O109" s="3664" t="s">
        <v>400</v>
      </c>
      <c r="P109" s="3664" t="s">
        <v>400</v>
      </c>
      <c r="Q109" s="3664" t="s">
        <v>400</v>
      </c>
      <c r="R109" s="3664" t="s">
        <v>400</v>
      </c>
      <c r="S109" s="3664" t="s">
        <v>400</v>
      </c>
      <c r="T109" s="3676" t="s">
        <v>409</v>
      </c>
      <c r="U109" s="3676" t="s">
        <v>409</v>
      </c>
      <c r="V109" s="3569" t="s">
        <v>36</v>
      </c>
      <c r="W109" s="3676" t="s">
        <v>36</v>
      </c>
      <c r="X109" s="3676" t="s">
        <v>36</v>
      </c>
      <c r="Y109" s="3664" t="s">
        <v>36</v>
      </c>
      <c r="Z109" s="3676" t="s">
        <v>36</v>
      </c>
      <c r="AA109" s="3676" t="s">
        <v>405</v>
      </c>
      <c r="AB109" s="3676" t="s">
        <v>405</v>
      </c>
      <c r="AC109" s="3676" t="s">
        <v>398</v>
      </c>
      <c r="AD109" s="3676" t="s">
        <v>398</v>
      </c>
      <c r="AE109" s="975"/>
      <c r="AF109" s="3676"/>
      <c r="AG109" s="978"/>
      <c r="AH109" s="1"/>
      <c r="AJ109" s="3562">
        <f t="shared" si="10"/>
        <v>160.33000000000001</v>
      </c>
      <c r="AK109" s="3562"/>
      <c r="AL109" s="3562">
        <f t="shared" si="11"/>
        <v>160.33000000000001</v>
      </c>
      <c r="AM109" s="3563">
        <f t="shared" si="9"/>
        <v>0</v>
      </c>
      <c r="AN109" s="3563">
        <f>IF(AM109="","",AM109+'Januar 2023'!AN109)</f>
        <v>0</v>
      </c>
    </row>
    <row r="110" spans="1:40" ht="22.35" customHeight="1" x14ac:dyDescent="0.2">
      <c r="B110" s="2289" t="s">
        <v>0</v>
      </c>
      <c r="C110" s="3664" t="s">
        <v>36</v>
      </c>
      <c r="D110" s="3664" t="s">
        <v>36</v>
      </c>
      <c r="E110" s="3664" t="s">
        <v>36</v>
      </c>
      <c r="F110" s="3664"/>
      <c r="G110" s="3664"/>
      <c r="H110" s="3664" t="s">
        <v>400</v>
      </c>
      <c r="I110" s="3664" t="s">
        <v>400</v>
      </c>
      <c r="J110" s="3664" t="s">
        <v>400</v>
      </c>
      <c r="K110" s="3664" t="s">
        <v>400</v>
      </c>
      <c r="L110" s="3664" t="s">
        <v>400</v>
      </c>
      <c r="M110" s="3664" t="s">
        <v>409</v>
      </c>
      <c r="N110" s="3664" t="s">
        <v>409</v>
      </c>
      <c r="O110" s="3664" t="s">
        <v>36</v>
      </c>
      <c r="P110" s="3664" t="s">
        <v>36</v>
      </c>
      <c r="Q110" s="3664" t="s">
        <v>36</v>
      </c>
      <c r="R110" s="3664" t="s">
        <v>36</v>
      </c>
      <c r="S110" s="3664" t="s">
        <v>36</v>
      </c>
      <c r="T110" s="3664" t="s">
        <v>405</v>
      </c>
      <c r="U110" s="3664" t="s">
        <v>405</v>
      </c>
      <c r="V110" s="3664" t="s">
        <v>398</v>
      </c>
      <c r="W110" s="3664" t="s">
        <v>398</v>
      </c>
      <c r="X110" s="3664" t="s">
        <v>398</v>
      </c>
      <c r="Y110" s="3664" t="s">
        <v>398</v>
      </c>
      <c r="Z110" s="3664" t="s">
        <v>398</v>
      </c>
      <c r="AA110" s="3664"/>
      <c r="AB110" s="3664"/>
      <c r="AC110" s="3664" t="s">
        <v>420</v>
      </c>
      <c r="AD110" s="3664" t="s">
        <v>420</v>
      </c>
      <c r="AE110" s="3664"/>
      <c r="AF110" s="3664"/>
      <c r="AG110" s="613"/>
      <c r="AH110" s="1"/>
      <c r="AJ110" s="3562">
        <f t="shared" si="10"/>
        <v>160.33000000000001</v>
      </c>
      <c r="AK110" s="3562"/>
      <c r="AL110" s="3562">
        <f t="shared" si="11"/>
        <v>160.33000000000001</v>
      </c>
      <c r="AM110" s="3563">
        <f t="shared" si="9"/>
        <v>0</v>
      </c>
      <c r="AN110" s="3563">
        <f>IF(AM110="","",AM110+'Januar 2023'!AN110)</f>
        <v>0</v>
      </c>
    </row>
    <row r="111" spans="1:40" ht="22.35" customHeight="1" x14ac:dyDescent="0.2">
      <c r="B111" s="353" t="s">
        <v>424</v>
      </c>
      <c r="C111" s="3664" t="s">
        <v>36</v>
      </c>
      <c r="D111" s="3672" t="s">
        <v>32</v>
      </c>
      <c r="E111" s="3672" t="s">
        <v>32</v>
      </c>
      <c r="F111" s="3664"/>
      <c r="G111" s="3664"/>
      <c r="H111" s="3664" t="s">
        <v>398</v>
      </c>
      <c r="I111" s="1163" t="s">
        <v>398</v>
      </c>
      <c r="J111" s="1163" t="s">
        <v>398</v>
      </c>
      <c r="K111" s="1163" t="s">
        <v>398</v>
      </c>
      <c r="L111" s="1163" t="s">
        <v>433</v>
      </c>
      <c r="M111" s="1112" t="s">
        <v>483</v>
      </c>
      <c r="N111" s="3664"/>
      <c r="O111" s="3664" t="s">
        <v>420</v>
      </c>
      <c r="P111" s="3664" t="s">
        <v>420</v>
      </c>
      <c r="Q111" s="1112" t="s">
        <v>420</v>
      </c>
      <c r="R111" s="1230" t="s">
        <v>420</v>
      </c>
      <c r="S111" s="3664" t="s">
        <v>420</v>
      </c>
      <c r="T111" s="3664" t="s">
        <v>0</v>
      </c>
      <c r="U111" s="3664" t="s">
        <v>0</v>
      </c>
      <c r="V111" s="3664" t="s">
        <v>36</v>
      </c>
      <c r="W111" s="3664" t="s">
        <v>36</v>
      </c>
      <c r="X111" s="3664" t="s">
        <v>36</v>
      </c>
      <c r="Y111" s="3664" t="s">
        <v>36</v>
      </c>
      <c r="Z111" s="3664" t="s">
        <v>36</v>
      </c>
      <c r="AA111" s="3664" t="s">
        <v>0</v>
      </c>
      <c r="AB111" s="3664" t="s">
        <v>0</v>
      </c>
      <c r="AC111" s="3664" t="s">
        <v>400</v>
      </c>
      <c r="AD111" s="3664" t="s">
        <v>400</v>
      </c>
      <c r="AE111" s="3664"/>
      <c r="AF111" s="3664"/>
      <c r="AG111" s="613"/>
      <c r="AH111" s="1"/>
      <c r="AJ111" s="3562">
        <f t="shared" si="10"/>
        <v>160.33000000000001</v>
      </c>
      <c r="AK111" s="3562"/>
      <c r="AL111" s="3562">
        <f t="shared" si="11"/>
        <v>160.33000000000001</v>
      </c>
      <c r="AM111" s="3563">
        <f t="shared" si="9"/>
        <v>0</v>
      </c>
      <c r="AN111" s="3563">
        <f>IF(AM111="","",AM111+'Januar 2023'!AN111)</f>
        <v>0</v>
      </c>
    </row>
    <row r="112" spans="1:40" ht="22.35" customHeight="1" thickBot="1" x14ac:dyDescent="0.25">
      <c r="B112" s="355"/>
      <c r="C112" s="863"/>
      <c r="D112" s="863"/>
      <c r="E112" s="863"/>
      <c r="F112" s="863"/>
      <c r="G112" s="863"/>
      <c r="H112" s="863"/>
      <c r="I112" s="863"/>
      <c r="J112" s="863"/>
      <c r="K112" s="863"/>
      <c r="L112" s="863"/>
      <c r="M112" s="863"/>
      <c r="N112" s="863"/>
      <c r="O112" s="863"/>
      <c r="P112" s="863"/>
      <c r="Q112" s="863"/>
      <c r="R112" s="863"/>
      <c r="S112" s="863"/>
      <c r="T112" s="863"/>
      <c r="U112" s="863"/>
      <c r="V112" s="863"/>
      <c r="W112" s="863"/>
      <c r="X112" s="863"/>
      <c r="Y112" s="863"/>
      <c r="Z112" s="863"/>
      <c r="AA112" s="863"/>
      <c r="AB112" s="863"/>
      <c r="AC112" s="863"/>
      <c r="AD112" s="863"/>
      <c r="AE112" s="863"/>
      <c r="AF112" s="863"/>
      <c r="AG112" s="867"/>
      <c r="AH112" s="1"/>
      <c r="AJ112" s="3562"/>
      <c r="AK112" s="3562"/>
      <c r="AL112" s="3562"/>
      <c r="AM112" s="3563"/>
      <c r="AN112" s="3563"/>
    </row>
    <row r="113" spans="1:35" ht="22.35" customHeight="1" x14ac:dyDescent="0.2">
      <c r="B113" s="198"/>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c r="AA113" s="199"/>
      <c r="AB113" s="199"/>
      <c r="AC113" s="199"/>
      <c r="AD113" s="199"/>
      <c r="AE113" s="199"/>
      <c r="AF113" s="199"/>
      <c r="AG113" s="199"/>
      <c r="AH113" s="1"/>
    </row>
    <row r="114" spans="1:35" ht="22.35" customHeight="1" thickBot="1" x14ac:dyDescent="0.25">
      <c r="A114" s="169" t="s">
        <v>156</v>
      </c>
    </row>
    <row r="115" spans="1:35" ht="22.35" customHeight="1" thickBot="1" x14ac:dyDescent="0.25">
      <c r="B115" s="3731" t="s">
        <v>157</v>
      </c>
      <c r="C115" s="3732"/>
      <c r="D115" s="2865" t="s">
        <v>107</v>
      </c>
      <c r="E115" s="2865"/>
      <c r="F115" s="3733"/>
      <c r="G115" s="3732"/>
      <c r="H115" s="2865" t="s">
        <v>108</v>
      </c>
      <c r="I115" s="2865"/>
      <c r="J115" s="3733"/>
      <c r="K115" s="3732"/>
      <c r="L115" s="2865" t="s">
        <v>109</v>
      </c>
      <c r="M115" s="2865"/>
      <c r="N115" s="3733"/>
      <c r="O115" s="3732"/>
      <c r="P115" s="2865" t="s">
        <v>110</v>
      </c>
      <c r="Q115" s="2865"/>
      <c r="R115" s="3733"/>
      <c r="S115" s="3732"/>
      <c r="T115" s="2865" t="s">
        <v>111</v>
      </c>
      <c r="U115" s="2865"/>
      <c r="V115" s="3733"/>
      <c r="W115" s="3732"/>
      <c r="X115" s="2865" t="s">
        <v>112</v>
      </c>
      <c r="Y115" s="2865"/>
      <c r="Z115" s="3733"/>
      <c r="AA115" s="3732"/>
      <c r="AB115" s="2865" t="s">
        <v>113</v>
      </c>
      <c r="AC115" s="2865"/>
      <c r="AD115" s="2865"/>
      <c r="AE115" s="2865" t="s">
        <v>158</v>
      </c>
      <c r="AF115" s="2865"/>
      <c r="AG115" s="2865"/>
      <c r="AH115" s="2865"/>
      <c r="AI115" s="3734"/>
    </row>
    <row r="116" spans="1:35" ht="22.35" customHeight="1" x14ac:dyDescent="0.2">
      <c r="B116" s="3735" t="s">
        <v>159</v>
      </c>
      <c r="C116" s="3736" t="s">
        <v>160</v>
      </c>
      <c r="D116" s="2865"/>
      <c r="E116" s="3574"/>
      <c r="F116" s="3737"/>
      <c r="G116" s="3736" t="s">
        <v>160</v>
      </c>
      <c r="H116" s="3738"/>
      <c r="I116" s="3574"/>
      <c r="J116" s="3737"/>
      <c r="K116" s="3739" t="s">
        <v>160</v>
      </c>
      <c r="L116" s="2865"/>
      <c r="M116" s="2865"/>
      <c r="N116" s="3733"/>
      <c r="O116" s="3739" t="s">
        <v>161</v>
      </c>
      <c r="P116" s="3740"/>
      <c r="Q116" s="3574"/>
      <c r="R116" s="3737"/>
      <c r="S116" s="3736" t="s">
        <v>162</v>
      </c>
      <c r="T116" s="3574"/>
      <c r="U116" s="3574"/>
      <c r="V116" s="3574"/>
      <c r="W116" s="3741"/>
      <c r="X116" s="3742"/>
      <c r="Y116" s="3742"/>
      <c r="Z116" s="3743"/>
      <c r="AA116" s="3574"/>
      <c r="AB116" s="3574"/>
      <c r="AC116" s="3574"/>
      <c r="AD116" s="3574"/>
      <c r="AE116" s="3744">
        <v>37</v>
      </c>
      <c r="AF116" s="2865"/>
      <c r="AG116" s="3574"/>
      <c r="AH116" s="3574"/>
      <c r="AI116" s="3575"/>
    </row>
    <row r="117" spans="1:35" ht="22.35" customHeight="1" x14ac:dyDescent="0.2">
      <c r="B117" s="3745" t="s">
        <v>163</v>
      </c>
      <c r="C117" s="3746" t="s">
        <v>164</v>
      </c>
      <c r="D117" s="3510"/>
      <c r="E117" s="3510"/>
      <c r="F117" s="3518"/>
      <c r="G117" s="3746" t="s">
        <v>165</v>
      </c>
      <c r="H117" s="3584"/>
      <c r="I117" s="3510"/>
      <c r="J117" s="3518"/>
      <c r="K117" s="3746" t="s">
        <v>166</v>
      </c>
      <c r="L117" s="3510" t="s">
        <v>167</v>
      </c>
      <c r="M117" s="3510"/>
      <c r="N117" s="3518"/>
      <c r="O117" s="3746" t="s">
        <v>166</v>
      </c>
      <c r="P117" s="3584" t="s">
        <v>167</v>
      </c>
      <c r="Q117" s="3510"/>
      <c r="R117" s="3518"/>
      <c r="S117" s="3746" t="s">
        <v>165</v>
      </c>
      <c r="T117" s="3510" t="s">
        <v>168</v>
      </c>
      <c r="U117" s="3510"/>
      <c r="V117" s="3518"/>
      <c r="W117" s="8" t="s">
        <v>127</v>
      </c>
      <c r="X117" s="14" t="s">
        <v>169</v>
      </c>
      <c r="Y117" s="14"/>
      <c r="Z117" s="14"/>
      <c r="AA117" s="3747" t="s">
        <v>127</v>
      </c>
      <c r="AB117" s="3510" t="s">
        <v>169</v>
      </c>
      <c r="AC117" s="3747"/>
      <c r="AD117" s="3747"/>
      <c r="AE117" s="3747">
        <v>68</v>
      </c>
      <c r="AF117" s="3510"/>
      <c r="AG117" s="3510"/>
      <c r="AH117" s="3510"/>
      <c r="AI117" s="3519"/>
    </row>
    <row r="118" spans="1:35" ht="22.35" customHeight="1" x14ac:dyDescent="0.2">
      <c r="B118" s="3745" t="s">
        <v>170</v>
      </c>
      <c r="C118" s="3748" t="s">
        <v>171</v>
      </c>
      <c r="D118" s="3510"/>
      <c r="E118" s="3510"/>
      <c r="F118" s="3518"/>
      <c r="G118" s="3584" t="s">
        <v>171</v>
      </c>
      <c r="H118" s="3584"/>
      <c r="I118" s="3510"/>
      <c r="J118" s="3518"/>
      <c r="K118" s="3584" t="s">
        <v>171</v>
      </c>
      <c r="L118" s="3510"/>
      <c r="M118" s="3510"/>
      <c r="N118" s="3518"/>
      <c r="O118" s="3584" t="s">
        <v>171</v>
      </c>
      <c r="P118" s="3584"/>
      <c r="Q118" s="3510"/>
      <c r="R118" s="3518"/>
      <c r="S118" s="3584" t="s">
        <v>171</v>
      </c>
      <c r="T118" s="3510"/>
      <c r="U118" s="3510"/>
      <c r="V118" s="3518"/>
      <c r="W118" s="3747"/>
      <c r="X118" s="3510"/>
      <c r="Y118" s="3510"/>
      <c r="Z118" s="3518"/>
      <c r="AA118" s="3747"/>
      <c r="AB118" s="3510"/>
      <c r="AC118" s="3510"/>
      <c r="AD118" s="3510"/>
      <c r="AE118" s="3747">
        <v>0</v>
      </c>
      <c r="AF118" s="3510"/>
      <c r="AG118" s="3510"/>
      <c r="AH118" s="3510"/>
      <c r="AI118" s="3519"/>
    </row>
    <row r="119" spans="1:35" ht="22.35" customHeight="1" thickBot="1" x14ac:dyDescent="0.25">
      <c r="B119" s="3749" t="s">
        <v>172</v>
      </c>
      <c r="C119" s="3750" t="s">
        <v>160</v>
      </c>
      <c r="D119" s="276"/>
      <c r="E119" s="3587"/>
      <c r="F119" s="3589"/>
      <c r="G119" s="3750" t="s">
        <v>160</v>
      </c>
      <c r="H119" s="278"/>
      <c r="I119" s="3587"/>
      <c r="J119" s="3589"/>
      <c r="K119" s="3750" t="s">
        <v>160</v>
      </c>
      <c r="L119" s="276"/>
      <c r="M119" s="3587"/>
      <c r="N119" s="3589"/>
      <c r="O119" s="3750" t="s">
        <v>161</v>
      </c>
      <c r="P119" s="3591"/>
      <c r="Q119" s="3587"/>
      <c r="R119" s="3589"/>
      <c r="S119" s="3750" t="s">
        <v>162</v>
      </c>
      <c r="T119" s="3587"/>
      <c r="U119" s="3587"/>
      <c r="V119" s="3587"/>
      <c r="W119" s="3751"/>
      <c r="X119" s="3587"/>
      <c r="Y119" s="3587"/>
      <c r="Z119" s="3752"/>
      <c r="AA119" s="3587"/>
      <c r="AB119" s="3587"/>
      <c r="AC119" s="3587"/>
      <c r="AD119" s="3587"/>
      <c r="AE119" s="3753">
        <v>37</v>
      </c>
      <c r="AF119" s="3587"/>
      <c r="AG119" s="3587"/>
      <c r="AH119" s="3587"/>
      <c r="AI119" s="3594"/>
    </row>
    <row r="120" spans="1:35" ht="22.35" customHeight="1" x14ac:dyDescent="0.2">
      <c r="D120" s="14"/>
    </row>
    <row r="121" spans="1:35" ht="22.35" customHeight="1" thickBot="1" x14ac:dyDescent="0.25">
      <c r="A121" s="3637"/>
      <c r="B121" s="3637" t="s">
        <v>29</v>
      </c>
      <c r="C121" s="3528">
        <v>1</v>
      </c>
      <c r="D121" s="3528">
        <v>2</v>
      </c>
      <c r="E121" s="3528">
        <v>3</v>
      </c>
      <c r="F121" s="3529">
        <v>4</v>
      </c>
      <c r="G121" s="3529">
        <v>5</v>
      </c>
      <c r="H121" s="3528">
        <v>6</v>
      </c>
      <c r="I121" s="3528">
        <v>7</v>
      </c>
      <c r="J121" s="3528">
        <v>8</v>
      </c>
      <c r="K121" s="3528">
        <v>9</v>
      </c>
      <c r="L121" s="3528">
        <v>10</v>
      </c>
      <c r="M121" s="3529">
        <v>11</v>
      </c>
      <c r="N121" s="3529">
        <v>12</v>
      </c>
      <c r="O121" s="3528">
        <v>13</v>
      </c>
      <c r="P121" s="3528">
        <v>14</v>
      </c>
      <c r="Q121" s="3528">
        <v>15</v>
      </c>
      <c r="R121" s="3528">
        <v>16</v>
      </c>
      <c r="S121" s="3528">
        <v>17</v>
      </c>
      <c r="T121" s="3529">
        <v>18</v>
      </c>
      <c r="U121" s="3529">
        <v>19</v>
      </c>
      <c r="V121" s="3528">
        <v>20</v>
      </c>
      <c r="W121" s="3528">
        <v>21</v>
      </c>
      <c r="X121" s="3528">
        <v>22</v>
      </c>
      <c r="Y121" s="3528">
        <v>23</v>
      </c>
      <c r="Z121" s="3528">
        <v>24</v>
      </c>
      <c r="AA121" s="3529">
        <v>25</v>
      </c>
      <c r="AB121" s="3529">
        <v>26</v>
      </c>
      <c r="AC121" s="3528">
        <v>27</v>
      </c>
      <c r="AD121" s="3528">
        <v>28</v>
      </c>
      <c r="AE121" s="3528"/>
      <c r="AF121" s="3528"/>
      <c r="AG121" s="3530"/>
      <c r="AH121" s="173"/>
      <c r="AI121" s="174"/>
    </row>
    <row r="122" spans="1:35" ht="22.35" customHeight="1" thickBot="1" x14ac:dyDescent="0.25">
      <c r="A122" s="3754">
        <v>1</v>
      </c>
      <c r="B122" s="3755" t="s">
        <v>173</v>
      </c>
      <c r="C122" s="3317" t="s">
        <v>128</v>
      </c>
      <c r="D122" s="3317" t="s">
        <v>128</v>
      </c>
      <c r="E122" s="3317" t="s">
        <v>128</v>
      </c>
      <c r="F122" s="3317" t="s">
        <v>127</v>
      </c>
      <c r="G122" s="3317" t="s">
        <v>127</v>
      </c>
      <c r="H122" s="3317" t="s">
        <v>36</v>
      </c>
      <c r="I122" s="3317" t="s">
        <v>36</v>
      </c>
      <c r="J122" s="3317" t="s">
        <v>36</v>
      </c>
      <c r="K122" s="3317" t="s">
        <v>36</v>
      </c>
      <c r="L122" s="3317" t="s">
        <v>36</v>
      </c>
      <c r="M122" s="3317"/>
      <c r="N122" s="3317"/>
      <c r="O122" s="3317" t="s">
        <v>174</v>
      </c>
      <c r="P122" s="3320" t="s">
        <v>174</v>
      </c>
      <c r="Q122" s="3317" t="s">
        <v>174</v>
      </c>
      <c r="R122" s="3317" t="s">
        <v>174</v>
      </c>
      <c r="S122" s="3317" t="s">
        <v>174</v>
      </c>
      <c r="T122" s="3317"/>
      <c r="U122" s="3317"/>
      <c r="V122" s="3317" t="s">
        <v>174</v>
      </c>
      <c r="W122" s="3317" t="s">
        <v>174</v>
      </c>
      <c r="X122" s="3756" t="s">
        <v>174</v>
      </c>
      <c r="Y122" s="3756" t="s">
        <v>174</v>
      </c>
      <c r="Z122" s="3756" t="s">
        <v>174</v>
      </c>
      <c r="AA122" s="3756"/>
      <c r="AB122" s="3317"/>
      <c r="AC122" s="3317" t="s">
        <v>128</v>
      </c>
      <c r="AD122" s="3317" t="s">
        <v>128</v>
      </c>
      <c r="AE122" s="3317"/>
      <c r="AF122" s="3317"/>
      <c r="AG122" s="3317"/>
      <c r="AH122" s="178"/>
      <c r="AI122" s="179"/>
    </row>
    <row r="123" spans="1:35" ht="22.35" customHeight="1" x14ac:dyDescent="0.2">
      <c r="A123" s="3757">
        <v>2</v>
      </c>
      <c r="B123" s="3685" t="s">
        <v>175</v>
      </c>
      <c r="C123" s="3758" t="s">
        <v>257</v>
      </c>
      <c r="D123" s="3758" t="s">
        <v>257</v>
      </c>
      <c r="E123" s="3758" t="s">
        <v>257</v>
      </c>
      <c r="F123" s="3758"/>
      <c r="G123" s="3758"/>
      <c r="H123" s="3758" t="s">
        <v>128</v>
      </c>
      <c r="I123" s="3758" t="s">
        <v>128</v>
      </c>
      <c r="J123" s="3758" t="s">
        <v>128</v>
      </c>
      <c r="K123" s="3758" t="s">
        <v>128</v>
      </c>
      <c r="L123" s="3758" t="s">
        <v>128</v>
      </c>
      <c r="M123" s="644" t="s">
        <v>127</v>
      </c>
      <c r="N123" s="3538" t="s">
        <v>127</v>
      </c>
      <c r="O123" s="3538" t="s">
        <v>36</v>
      </c>
      <c r="P123" s="3604" t="s">
        <v>36</v>
      </c>
      <c r="Q123" s="3604" t="s">
        <v>36</v>
      </c>
      <c r="R123" s="3604" t="s">
        <v>36</v>
      </c>
      <c r="S123" s="3538" t="s">
        <v>36</v>
      </c>
      <c r="T123" s="3538"/>
      <c r="U123" s="3538"/>
      <c r="V123" s="184" t="s">
        <v>174</v>
      </c>
      <c r="W123" s="3316" t="s">
        <v>243</v>
      </c>
      <c r="X123" s="3316" t="s">
        <v>264</v>
      </c>
      <c r="Y123" s="3538" t="s">
        <v>174</v>
      </c>
      <c r="Z123" s="3538" t="s">
        <v>174</v>
      </c>
      <c r="AA123" s="3538"/>
      <c r="AB123" s="3538"/>
      <c r="AC123" s="3538" t="s">
        <v>142</v>
      </c>
      <c r="AD123" s="3538" t="s">
        <v>142</v>
      </c>
      <c r="AE123" s="3538"/>
      <c r="AF123" s="3538"/>
      <c r="AG123" s="3538"/>
      <c r="AH123" s="178"/>
      <c r="AI123" s="179"/>
    </row>
    <row r="124" spans="1:35" ht="22.35" customHeight="1" x14ac:dyDescent="0.2">
      <c r="A124" s="3757">
        <v>3</v>
      </c>
      <c r="B124" s="3685" t="s">
        <v>178</v>
      </c>
      <c r="C124" s="3538" t="s">
        <v>239</v>
      </c>
      <c r="D124" s="3538" t="s">
        <v>134</v>
      </c>
      <c r="E124" s="470" t="s">
        <v>32</v>
      </c>
      <c r="F124" s="3571"/>
      <c r="G124" s="183"/>
      <c r="H124" s="3538" t="s">
        <v>484</v>
      </c>
      <c r="I124" s="3538" t="s">
        <v>484</v>
      </c>
      <c r="J124" s="3681" t="s">
        <v>484</v>
      </c>
      <c r="K124" s="3538" t="s">
        <v>134</v>
      </c>
      <c r="L124" s="3538">
        <v>1</v>
      </c>
      <c r="M124" s="3758"/>
      <c r="N124" s="183"/>
      <c r="O124" s="192" t="s">
        <v>32</v>
      </c>
      <c r="P124" s="184" t="s">
        <v>32</v>
      </c>
      <c r="Q124" s="184" t="s">
        <v>32</v>
      </c>
      <c r="R124" s="184" t="s">
        <v>32</v>
      </c>
      <c r="S124" s="3463" t="s">
        <v>128</v>
      </c>
      <c r="T124" s="3759" t="s">
        <v>127</v>
      </c>
      <c r="U124" s="3759" t="s">
        <v>127</v>
      </c>
      <c r="V124" s="3538" t="s">
        <v>36</v>
      </c>
      <c r="W124" s="3538" t="s">
        <v>36</v>
      </c>
      <c r="X124" s="3538" t="s">
        <v>36</v>
      </c>
      <c r="Y124" s="3538" t="s">
        <v>36</v>
      </c>
      <c r="Z124" s="3538" t="s">
        <v>36</v>
      </c>
      <c r="AA124" s="3538"/>
      <c r="AB124" s="3538"/>
      <c r="AC124" t="s">
        <v>177</v>
      </c>
      <c r="AD124" t="s">
        <v>177</v>
      </c>
      <c r="AE124" s="3538"/>
      <c r="AF124" s="3538"/>
      <c r="AG124" s="3538"/>
      <c r="AH124" s="178"/>
      <c r="AI124" s="179"/>
    </row>
    <row r="125" spans="1:35" ht="22.35" customHeight="1" thickBot="1" x14ac:dyDescent="0.25">
      <c r="A125" s="3760">
        <v>4</v>
      </c>
      <c r="B125" s="3761" t="s">
        <v>173</v>
      </c>
      <c r="C125" s="3762" t="s">
        <v>36</v>
      </c>
      <c r="D125" s="3762" t="s">
        <v>36</v>
      </c>
      <c r="E125" s="3762" t="s">
        <v>36</v>
      </c>
      <c r="F125" s="3762"/>
      <c r="G125" s="3762"/>
      <c r="H125" s="3762" t="s">
        <v>174</v>
      </c>
      <c r="I125" s="3762" t="s">
        <v>174</v>
      </c>
      <c r="J125" s="3762" t="s">
        <v>174</v>
      </c>
      <c r="K125" s="3762" t="s">
        <v>174</v>
      </c>
      <c r="L125" s="3762" t="s">
        <v>174</v>
      </c>
      <c r="M125" s="3762"/>
      <c r="N125" s="3762"/>
      <c r="O125" s="3762" t="s">
        <v>174</v>
      </c>
      <c r="P125" s="3762" t="s">
        <v>174</v>
      </c>
      <c r="Q125" s="3762" t="s">
        <v>174</v>
      </c>
      <c r="R125" s="3762" t="s">
        <v>174</v>
      </c>
      <c r="S125" s="3762" t="s">
        <v>174</v>
      </c>
      <c r="T125" s="3762" t="s">
        <v>0</v>
      </c>
      <c r="U125" s="3762" t="s">
        <v>0</v>
      </c>
      <c r="V125" s="3762" t="s">
        <v>128</v>
      </c>
      <c r="W125" s="3762" t="s">
        <v>128</v>
      </c>
      <c r="X125" s="3762" t="s">
        <v>128</v>
      </c>
      <c r="Y125" s="3762" t="s">
        <v>128</v>
      </c>
      <c r="Z125" s="3762" t="s">
        <v>128</v>
      </c>
      <c r="AA125" s="3528" t="s">
        <v>127</v>
      </c>
      <c r="AB125" s="3528" t="s">
        <v>127</v>
      </c>
      <c r="AC125" s="3528" t="s">
        <v>36</v>
      </c>
      <c r="AD125" s="3528" t="s">
        <v>36</v>
      </c>
      <c r="AE125" s="3528"/>
      <c r="AF125" s="3762"/>
      <c r="AG125" s="3530"/>
      <c r="AH125" s="178"/>
      <c r="AI125" s="179"/>
    </row>
    <row r="126" spans="1:35" ht="22.35" customHeight="1" thickBot="1" x14ac:dyDescent="0.25">
      <c r="A126" s="200"/>
      <c r="B126" s="190"/>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c r="AA126" s="201"/>
      <c r="AB126" s="201"/>
      <c r="AC126" s="201"/>
      <c r="AD126" s="201"/>
      <c r="AE126" s="201"/>
      <c r="AF126" s="201"/>
      <c r="AG126" s="202"/>
      <c r="AH126" s="203"/>
      <c r="AI126" s="179"/>
    </row>
    <row r="127" spans="1:35" ht="22.35" customHeight="1" x14ac:dyDescent="0.2">
      <c r="A127" s="72"/>
      <c r="B127" s="3763" t="s">
        <v>180</v>
      </c>
      <c r="C127" s="3744"/>
      <c r="D127" s="3764" t="s">
        <v>107</v>
      </c>
      <c r="E127" s="3765"/>
      <c r="F127" s="3744"/>
      <c r="G127" s="3766" t="s">
        <v>108</v>
      </c>
      <c r="H127" s="3737"/>
      <c r="I127" s="3767"/>
      <c r="J127" s="3766" t="s">
        <v>109</v>
      </c>
      <c r="K127" s="3768"/>
      <c r="L127" s="3767"/>
      <c r="M127" s="3769" t="s">
        <v>110</v>
      </c>
      <c r="N127" s="3768"/>
      <c r="O127" s="3767"/>
      <c r="P127" s="3766" t="s">
        <v>111</v>
      </c>
      <c r="Q127" s="3770"/>
      <c r="R127" s="3767"/>
      <c r="S127" s="3766" t="s">
        <v>112</v>
      </c>
      <c r="T127" s="3771"/>
      <c r="U127" s="3767"/>
      <c r="V127" s="3766" t="s">
        <v>113</v>
      </c>
      <c r="W127" s="3770"/>
      <c r="X127" s="3772" t="s">
        <v>158</v>
      </c>
      <c r="Y127" s="3773"/>
      <c r="Z127" s="3773"/>
      <c r="AA127" s="3774"/>
      <c r="AB127" s="3739" t="s">
        <v>114</v>
      </c>
      <c r="AC127" s="3775"/>
      <c r="AD127" s="3775"/>
      <c r="AE127" s="3776"/>
      <c r="AF127" s="3776"/>
      <c r="AG127" s="3777"/>
      <c r="AH127" s="203"/>
      <c r="AI127" s="179"/>
    </row>
    <row r="128" spans="1:35" ht="22.35" customHeight="1" x14ac:dyDescent="0.2">
      <c r="A128" s="72"/>
      <c r="B128" s="3778" t="s">
        <v>181</v>
      </c>
      <c r="C128" s="3779" t="s">
        <v>182</v>
      </c>
      <c r="D128" s="3512"/>
      <c r="E128" s="3513"/>
      <c r="F128" s="3779" t="s">
        <v>182</v>
      </c>
      <c r="G128" s="3512"/>
      <c r="H128" s="3513"/>
      <c r="I128" s="3779" t="s">
        <v>182</v>
      </c>
      <c r="J128" s="3512"/>
      <c r="K128" s="3513"/>
      <c r="L128" s="3779" t="s">
        <v>182</v>
      </c>
      <c r="M128" s="3512"/>
      <c r="N128" s="3513"/>
      <c r="O128" s="3779" t="s">
        <v>183</v>
      </c>
      <c r="P128" s="3512"/>
      <c r="Q128" s="3513"/>
      <c r="R128" s="3779"/>
      <c r="S128" s="3512"/>
      <c r="T128" s="3513"/>
      <c r="U128" s="3779"/>
      <c r="V128" s="3512"/>
      <c r="W128" s="3513"/>
      <c r="X128" s="3779"/>
      <c r="Y128" s="3780"/>
      <c r="Z128" s="3780"/>
      <c r="AA128" s="3780"/>
      <c r="AB128" s="3509"/>
      <c r="AC128" s="3780"/>
      <c r="AD128" s="3780"/>
      <c r="AE128" s="3780"/>
      <c r="AF128" s="3780"/>
      <c r="AG128" s="3781"/>
      <c r="AH128" s="203"/>
      <c r="AI128" s="179"/>
    </row>
    <row r="129" spans="1:35" ht="22.35" customHeight="1" x14ac:dyDescent="0.2">
      <c r="A129" s="72"/>
      <c r="B129" s="17"/>
      <c r="C129" s="72"/>
      <c r="D129" s="72"/>
      <c r="E129" s="72"/>
      <c r="F129" s="72"/>
      <c r="G129" s="72"/>
      <c r="H129" s="72"/>
      <c r="I129" s="72"/>
      <c r="J129" s="72"/>
      <c r="K129" s="72"/>
      <c r="L129" s="72"/>
      <c r="M129" s="72"/>
      <c r="N129" s="72"/>
      <c r="O129" s="72"/>
      <c r="P129" s="72"/>
      <c r="Q129" s="72"/>
      <c r="R129" s="72"/>
      <c r="S129" s="72"/>
      <c r="T129" s="72"/>
      <c r="U129" s="72"/>
      <c r="V129" s="72"/>
      <c r="W129" s="72"/>
      <c r="X129" s="72"/>
      <c r="Y129" s="72"/>
      <c r="Z129" s="72"/>
      <c r="AA129" s="72"/>
      <c r="AB129" s="72"/>
      <c r="AC129" s="72"/>
      <c r="AD129" s="72"/>
      <c r="AE129" s="72"/>
      <c r="AF129" s="72"/>
      <c r="AG129" s="72"/>
      <c r="AH129" s="203"/>
      <c r="AI129" s="179"/>
    </row>
    <row r="130" spans="1:35" ht="22.35" customHeight="1" thickBot="1" x14ac:dyDescent="0.25">
      <c r="A130" s="3718" t="s">
        <v>28</v>
      </c>
      <c r="B130" s="3596" t="s">
        <v>29</v>
      </c>
      <c r="C130" s="3528">
        <v>1</v>
      </c>
      <c r="D130" s="3528">
        <v>2</v>
      </c>
      <c r="E130" s="3528">
        <v>3</v>
      </c>
      <c r="F130" s="3529">
        <v>4</v>
      </c>
      <c r="G130" s="3529">
        <v>5</v>
      </c>
      <c r="H130" s="3528">
        <v>6</v>
      </c>
      <c r="I130" s="3528">
        <v>7</v>
      </c>
      <c r="J130" s="3528">
        <v>8</v>
      </c>
      <c r="K130" s="3528">
        <v>9</v>
      </c>
      <c r="L130" s="3528">
        <v>10</v>
      </c>
      <c r="M130" s="3529">
        <v>11</v>
      </c>
      <c r="N130" s="3529">
        <v>12</v>
      </c>
      <c r="O130" s="3528">
        <v>13</v>
      </c>
      <c r="P130" s="3528">
        <v>14</v>
      </c>
      <c r="Q130" s="3528">
        <v>15</v>
      </c>
      <c r="R130" s="3528">
        <v>16</v>
      </c>
      <c r="S130" s="3528">
        <v>17</v>
      </c>
      <c r="T130" s="3529">
        <v>18</v>
      </c>
      <c r="U130" s="3529">
        <v>19</v>
      </c>
      <c r="V130" s="3528">
        <v>20</v>
      </c>
      <c r="W130" s="3528">
        <v>21</v>
      </c>
      <c r="X130" s="3528">
        <v>22</v>
      </c>
      <c r="Y130" s="3528">
        <v>23</v>
      </c>
      <c r="Z130" s="3528">
        <v>24</v>
      </c>
      <c r="AA130" s="3529">
        <v>25</v>
      </c>
      <c r="AB130" s="3529">
        <v>26</v>
      </c>
      <c r="AC130" s="3528">
        <v>27</v>
      </c>
      <c r="AD130" s="3528">
        <v>28</v>
      </c>
      <c r="AE130" s="3528"/>
      <c r="AF130" s="3528"/>
      <c r="AG130" s="3530"/>
      <c r="AH130" s="203"/>
      <c r="AI130" s="179"/>
    </row>
    <row r="131" spans="1:35" ht="22.35" customHeight="1" x14ac:dyDescent="0.2">
      <c r="A131" s="3782">
        <v>8520</v>
      </c>
      <c r="B131" s="3783" t="s">
        <v>184</v>
      </c>
      <c r="C131" s="3317" t="s">
        <v>358</v>
      </c>
      <c r="D131" s="3317" t="s">
        <v>358</v>
      </c>
      <c r="E131" s="3317" t="s">
        <v>358</v>
      </c>
      <c r="F131" s="3317"/>
      <c r="G131" s="3317"/>
      <c r="H131" s="3317" t="s">
        <v>358</v>
      </c>
      <c r="I131" s="3317" t="s">
        <v>358</v>
      </c>
      <c r="J131" s="3598" t="s">
        <v>358</v>
      </c>
      <c r="K131" s="3598" t="s">
        <v>358</v>
      </c>
      <c r="L131" s="3598" t="s">
        <v>401</v>
      </c>
      <c r="M131" s="3600"/>
      <c r="N131" s="3317"/>
      <c r="O131" s="3317" t="s">
        <v>358</v>
      </c>
      <c r="P131" s="3317" t="s">
        <v>358</v>
      </c>
      <c r="Q131" s="3317" t="s">
        <v>358</v>
      </c>
      <c r="R131" s="3317" t="s">
        <v>358</v>
      </c>
      <c r="S131" s="3317" t="s">
        <v>358</v>
      </c>
      <c r="T131" s="3317"/>
      <c r="U131" s="3317"/>
      <c r="V131" s="3317" t="s">
        <v>358</v>
      </c>
      <c r="W131" s="3317" t="s">
        <v>358</v>
      </c>
      <c r="X131" s="3317" t="s">
        <v>358</v>
      </c>
      <c r="Y131" s="3317" t="s">
        <v>358</v>
      </c>
      <c r="Z131" s="3317" t="s">
        <v>358</v>
      </c>
      <c r="AA131" s="3317"/>
      <c r="AB131" s="3317"/>
      <c r="AC131" s="3317" t="s">
        <v>358</v>
      </c>
      <c r="AD131" s="3343" t="s">
        <v>358</v>
      </c>
      <c r="AE131" s="3317"/>
      <c r="AF131" s="3317"/>
      <c r="AG131" s="3343"/>
      <c r="AH131" s="203"/>
      <c r="AI131" s="179"/>
    </row>
    <row r="132" spans="1:35" ht="22.35" customHeight="1" x14ac:dyDescent="0.2">
      <c r="A132" s="209"/>
      <c r="B132" s="208"/>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c r="AA132" s="199"/>
      <c r="AB132" s="199"/>
      <c r="AC132" s="199"/>
      <c r="AD132" s="199"/>
      <c r="AE132" s="199"/>
      <c r="AF132" s="199"/>
      <c r="AG132" s="199"/>
      <c r="AH132" s="203"/>
      <c r="AI132" s="179"/>
    </row>
    <row r="133" spans="1:35" ht="22.35" customHeight="1" x14ac:dyDescent="0.2">
      <c r="AH133" s="107"/>
      <c r="AI133" s="107"/>
    </row>
    <row r="134" spans="1:35" ht="22.35" customHeight="1" thickBot="1" x14ac:dyDescent="0.25">
      <c r="A134" s="169" t="s">
        <v>185</v>
      </c>
      <c r="B134" s="170"/>
      <c r="C134" s="170"/>
      <c r="D134" s="171"/>
      <c r="E134" s="171"/>
      <c r="F134" s="171"/>
      <c r="G134" s="105"/>
      <c r="H134" s="171"/>
      <c r="I134" s="171"/>
      <c r="J134" s="171"/>
      <c r="K134" s="171"/>
      <c r="L134" s="171"/>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0"/>
      <c r="AI134" s="170"/>
    </row>
    <row r="135" spans="1:35" ht="22.35" customHeight="1" x14ac:dyDescent="0.2">
      <c r="A135" s="169"/>
      <c r="B135" s="3763" t="s">
        <v>186</v>
      </c>
      <c r="C135" s="3784"/>
      <c r="D135" s="3785" t="s">
        <v>107</v>
      </c>
      <c r="E135" s="3786"/>
      <c r="F135" s="3787"/>
      <c r="G135" s="3784"/>
      <c r="H135" s="3785" t="s">
        <v>108</v>
      </c>
      <c r="I135" s="3786"/>
      <c r="J135" s="3787"/>
      <c r="K135" s="3784"/>
      <c r="L135" s="3785" t="s">
        <v>109</v>
      </c>
      <c r="M135" s="3786"/>
      <c r="N135" s="3787"/>
      <c r="O135" s="3784"/>
      <c r="P135" s="3785" t="s">
        <v>110</v>
      </c>
      <c r="Q135" s="3786"/>
      <c r="R135" s="3787"/>
      <c r="S135" s="3784"/>
      <c r="T135" s="3785" t="s">
        <v>111</v>
      </c>
      <c r="U135" s="3786"/>
      <c r="V135" s="3787"/>
      <c r="W135" s="3784"/>
      <c r="X135" s="3785" t="s">
        <v>112</v>
      </c>
      <c r="Y135" s="3786"/>
      <c r="Z135" s="3787"/>
      <c r="AA135" s="3784"/>
      <c r="AB135" s="3785" t="s">
        <v>113</v>
      </c>
      <c r="AC135" s="3786"/>
      <c r="AD135" s="3786"/>
      <c r="AE135" s="3788" t="s">
        <v>114</v>
      </c>
      <c r="AF135" s="3786"/>
      <c r="AG135" s="3786"/>
      <c r="AH135" s="3786"/>
      <c r="AI135" s="3789"/>
    </row>
    <row r="136" spans="1:35" ht="22.35" customHeight="1" x14ac:dyDescent="0.2">
      <c r="A136" s="169"/>
      <c r="B136" s="3790" t="s">
        <v>159</v>
      </c>
      <c r="C136" s="3791">
        <v>69</v>
      </c>
      <c r="D136" s="3792" t="s">
        <v>187</v>
      </c>
      <c r="E136" s="3792"/>
      <c r="F136" s="3793"/>
      <c r="G136" s="3791">
        <v>69</v>
      </c>
      <c r="H136" s="3792" t="s">
        <v>187</v>
      </c>
      <c r="I136" s="3792"/>
      <c r="J136" s="3793"/>
      <c r="K136" s="3791">
        <v>69</v>
      </c>
      <c r="L136" s="3792" t="s">
        <v>187</v>
      </c>
      <c r="M136" s="3792"/>
      <c r="N136" s="3793"/>
      <c r="O136" s="3791">
        <v>69</v>
      </c>
      <c r="P136" s="3792" t="s">
        <v>187</v>
      </c>
      <c r="Q136" s="3792"/>
      <c r="R136" s="3793"/>
      <c r="S136" s="3791">
        <v>69</v>
      </c>
      <c r="T136" s="3792" t="s">
        <v>187</v>
      </c>
      <c r="U136" s="3792"/>
      <c r="V136" s="3793"/>
      <c r="W136" s="3791"/>
      <c r="X136" s="3794"/>
      <c r="Y136" s="3794"/>
      <c r="Z136" s="3795"/>
      <c r="AA136" s="3791"/>
      <c r="AB136" s="3792"/>
      <c r="AC136" s="3792"/>
      <c r="AD136" s="3644"/>
      <c r="AE136" s="3796">
        <v>35</v>
      </c>
      <c r="AF136" s="3792"/>
      <c r="AG136" s="3792"/>
      <c r="AH136" s="3644"/>
      <c r="AI136" s="3797"/>
    </row>
    <row r="137" spans="1:35" ht="22.35" customHeight="1" x14ac:dyDescent="0.2">
      <c r="A137" s="169"/>
      <c r="B137" s="3790" t="s">
        <v>163</v>
      </c>
      <c r="C137" s="3791">
        <v>79</v>
      </c>
      <c r="D137" s="3792" t="s">
        <v>188</v>
      </c>
      <c r="E137" s="3792"/>
      <c r="F137" s="3793"/>
      <c r="G137" s="3791">
        <v>79</v>
      </c>
      <c r="H137" s="3792" t="s">
        <v>188</v>
      </c>
      <c r="I137" s="3792"/>
      <c r="J137" s="3793"/>
      <c r="K137" s="3791">
        <v>79</v>
      </c>
      <c r="L137" s="3792" t="s">
        <v>188</v>
      </c>
      <c r="M137" s="3792"/>
      <c r="N137" s="3793"/>
      <c r="O137" s="3791">
        <v>79</v>
      </c>
      <c r="P137" s="3792" t="s">
        <v>188</v>
      </c>
      <c r="Q137" s="3792"/>
      <c r="R137" s="3793"/>
      <c r="S137" s="3791">
        <v>79</v>
      </c>
      <c r="T137" s="3792" t="s">
        <v>188</v>
      </c>
      <c r="U137" s="3792"/>
      <c r="V137" s="3793"/>
      <c r="W137" s="3791"/>
      <c r="X137" s="3792"/>
      <c r="Y137" s="3792"/>
      <c r="Z137" s="3793"/>
      <c r="AA137" s="3792"/>
      <c r="AB137" s="3792"/>
      <c r="AC137" s="3792"/>
      <c r="AD137" s="3644"/>
      <c r="AE137" s="3796">
        <v>40</v>
      </c>
      <c r="AF137" s="3792"/>
      <c r="AG137" s="3792"/>
      <c r="AH137" s="3644"/>
      <c r="AI137" s="3797"/>
    </row>
    <row r="138" spans="1:35" ht="22.35" customHeight="1" x14ac:dyDescent="0.2">
      <c r="A138" s="169"/>
      <c r="B138" s="3790" t="s">
        <v>170</v>
      </c>
      <c r="C138" s="3791">
        <v>89</v>
      </c>
      <c r="D138" s="3792" t="s">
        <v>189</v>
      </c>
      <c r="E138" s="3792"/>
      <c r="F138" s="3793"/>
      <c r="G138" s="3791">
        <v>89</v>
      </c>
      <c r="H138" s="3792" t="s">
        <v>189</v>
      </c>
      <c r="I138" s="3792"/>
      <c r="J138" s="3793"/>
      <c r="K138" s="3791">
        <v>89</v>
      </c>
      <c r="L138" s="3792" t="s">
        <v>189</v>
      </c>
      <c r="M138" s="3792"/>
      <c r="N138" s="3793"/>
      <c r="O138" s="3791">
        <v>89</v>
      </c>
      <c r="P138" s="3792" t="s">
        <v>189</v>
      </c>
      <c r="Q138" s="3792"/>
      <c r="R138" s="3793"/>
      <c r="S138" s="3791">
        <v>89</v>
      </c>
      <c r="T138" s="3792" t="s">
        <v>190</v>
      </c>
      <c r="U138" s="3792"/>
      <c r="V138" s="3793"/>
      <c r="W138" s="3798"/>
      <c r="X138" s="3799" t="s">
        <v>191</v>
      </c>
      <c r="Y138" s="3799"/>
      <c r="Z138" s="3800"/>
      <c r="AA138" s="3798"/>
      <c r="AB138" s="3799"/>
      <c r="AC138" s="3799"/>
      <c r="AD138" s="3646"/>
      <c r="AE138" s="3796">
        <v>44</v>
      </c>
      <c r="AF138" s="3792"/>
      <c r="AG138" s="3792"/>
      <c r="AH138" s="3644"/>
      <c r="AI138" s="3797"/>
    </row>
    <row r="139" spans="1:35" ht="22.35" customHeight="1" x14ac:dyDescent="0.2">
      <c r="A139" s="169"/>
      <c r="B139" s="38" t="s">
        <v>172</v>
      </c>
      <c r="C139" s="3798">
        <v>99</v>
      </c>
      <c r="D139" s="3799" t="s">
        <v>192</v>
      </c>
      <c r="E139" s="3799"/>
      <c r="F139" s="3800"/>
      <c r="G139" s="3798">
        <v>99</v>
      </c>
      <c r="H139" s="3799" t="s">
        <v>192</v>
      </c>
      <c r="I139" s="3799"/>
      <c r="J139" s="3800"/>
      <c r="K139" s="3798">
        <v>99</v>
      </c>
      <c r="L139" s="3799" t="s">
        <v>192</v>
      </c>
      <c r="M139" s="3799"/>
      <c r="N139" s="3800"/>
      <c r="O139" s="3798">
        <v>99</v>
      </c>
      <c r="P139" s="3799" t="s">
        <v>192</v>
      </c>
      <c r="Q139" s="3799"/>
      <c r="R139" s="3800"/>
      <c r="S139" s="3798">
        <v>99</v>
      </c>
      <c r="T139" s="3799" t="s">
        <v>171</v>
      </c>
      <c r="U139" s="3799"/>
      <c r="V139" s="3646"/>
      <c r="W139" s="3645"/>
      <c r="X139" s="3646"/>
      <c r="Y139" s="3799"/>
      <c r="Z139" s="3800"/>
      <c r="AA139" s="3645"/>
      <c r="AB139" s="3646"/>
      <c r="AC139" s="3799"/>
      <c r="AD139" s="3800"/>
      <c r="AE139" s="3801">
        <v>28</v>
      </c>
      <c r="AF139" s="3799"/>
      <c r="AG139" s="3799"/>
      <c r="AH139" s="3646"/>
      <c r="AI139" s="3802"/>
    </row>
    <row r="140" spans="1:35" ht="22.35" customHeight="1" thickBot="1" x14ac:dyDescent="0.25">
      <c r="A140" s="169"/>
      <c r="B140" s="3803" t="s">
        <v>193</v>
      </c>
      <c r="C140" s="3804" t="s">
        <v>58</v>
      </c>
      <c r="D140" s="3805" t="s">
        <v>194</v>
      </c>
      <c r="E140" s="3806"/>
      <c r="F140" s="3589"/>
      <c r="G140" s="3804" t="s">
        <v>58</v>
      </c>
      <c r="H140" s="3805" t="s">
        <v>194</v>
      </c>
      <c r="I140" s="3587"/>
      <c r="J140" s="3806"/>
      <c r="K140" s="3804" t="s">
        <v>58</v>
      </c>
      <c r="L140" s="3805" t="s">
        <v>194</v>
      </c>
      <c r="M140" s="3806"/>
      <c r="N140" s="3807"/>
      <c r="O140" s="3804" t="s">
        <v>58</v>
      </c>
      <c r="P140" s="3805" t="s">
        <v>194</v>
      </c>
      <c r="Q140" s="3806"/>
      <c r="R140" s="3805"/>
      <c r="S140" s="3804" t="s">
        <v>58</v>
      </c>
      <c r="T140" s="3591" t="s">
        <v>195</v>
      </c>
      <c r="U140" s="3805"/>
      <c r="V140" s="3807"/>
      <c r="W140" s="3806"/>
      <c r="X140" s="3805"/>
      <c r="Y140" s="3805"/>
      <c r="Z140" s="3805"/>
      <c r="AA140" s="3808"/>
      <c r="AB140" s="3809"/>
      <c r="AC140" s="3805"/>
      <c r="AD140" s="3810"/>
      <c r="AE140" s="3805"/>
      <c r="AF140" s="3805"/>
      <c r="AG140" s="3805"/>
      <c r="AH140" s="3811"/>
      <c r="AI140" s="3812"/>
    </row>
    <row r="141" spans="1:35" ht="22.35" customHeight="1" x14ac:dyDescent="0.2">
      <c r="A141" s="108"/>
      <c r="B141" s="169"/>
      <c r="C141" s="171"/>
      <c r="D141" s="171"/>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0"/>
      <c r="AI141" s="170"/>
    </row>
    <row r="142" spans="1:35" ht="22.35" customHeight="1" thickBot="1" x14ac:dyDescent="0.25">
      <c r="A142" s="3718"/>
      <c r="B142" s="3596" t="s">
        <v>29</v>
      </c>
      <c r="C142" s="3528">
        <v>1</v>
      </c>
      <c r="D142" s="3528">
        <v>2</v>
      </c>
      <c r="E142" s="3528">
        <v>3</v>
      </c>
      <c r="F142" s="3529">
        <v>4</v>
      </c>
      <c r="G142" s="3529">
        <v>5</v>
      </c>
      <c r="H142" s="3528">
        <v>6</v>
      </c>
      <c r="I142" s="3528">
        <v>7</v>
      </c>
      <c r="J142" s="3528">
        <v>8</v>
      </c>
      <c r="K142" s="3528">
        <v>9</v>
      </c>
      <c r="L142" s="3528">
        <v>10</v>
      </c>
      <c r="M142" s="3529">
        <v>11</v>
      </c>
      <c r="N142" s="3529">
        <v>12</v>
      </c>
      <c r="O142" s="3528">
        <v>13</v>
      </c>
      <c r="P142" s="3528">
        <v>14</v>
      </c>
      <c r="Q142" s="3528">
        <v>15</v>
      </c>
      <c r="R142" s="3528">
        <v>16</v>
      </c>
      <c r="S142" s="3528">
        <v>17</v>
      </c>
      <c r="T142" s="3529">
        <v>18</v>
      </c>
      <c r="U142" s="3529">
        <v>19</v>
      </c>
      <c r="V142" s="3528">
        <v>20</v>
      </c>
      <c r="W142" s="3528">
        <v>21</v>
      </c>
      <c r="X142" s="3528">
        <v>22</v>
      </c>
      <c r="Y142" s="3528">
        <v>23</v>
      </c>
      <c r="Z142" s="3528">
        <v>24</v>
      </c>
      <c r="AA142" s="3529">
        <v>25</v>
      </c>
      <c r="AB142" s="3529">
        <v>26</v>
      </c>
      <c r="AC142" s="3528">
        <v>27</v>
      </c>
      <c r="AD142" s="3528">
        <v>28</v>
      </c>
      <c r="AE142" s="3528"/>
      <c r="AF142" s="3528"/>
      <c r="AG142" s="3530"/>
      <c r="AH142" s="173"/>
      <c r="AI142" s="174"/>
    </row>
    <row r="143" spans="1:35" ht="22.35" customHeight="1" x14ac:dyDescent="0.2">
      <c r="A143" s="3754">
        <v>1</v>
      </c>
      <c r="B143" s="3813" t="s">
        <v>196</v>
      </c>
      <c r="C143" s="3316">
        <v>99</v>
      </c>
      <c r="D143" s="3598">
        <v>99</v>
      </c>
      <c r="E143" s="3598" t="s">
        <v>36</v>
      </c>
      <c r="F143" s="3598"/>
      <c r="G143" s="3598"/>
      <c r="H143" s="3598" t="s">
        <v>200</v>
      </c>
      <c r="I143" s="3599" t="s">
        <v>58</v>
      </c>
      <c r="J143" s="3599" t="s">
        <v>60</v>
      </c>
      <c r="K143" s="3316" t="s">
        <v>60</v>
      </c>
      <c r="L143" s="3318" t="s">
        <v>60</v>
      </c>
      <c r="M143" s="3317"/>
      <c r="N143" s="3316"/>
      <c r="O143" s="3814">
        <v>69</v>
      </c>
      <c r="P143" s="3316">
        <v>69</v>
      </c>
      <c r="Q143" s="3316">
        <v>69</v>
      </c>
      <c r="R143" s="3316">
        <v>69</v>
      </c>
      <c r="S143" s="3317">
        <v>69</v>
      </c>
      <c r="T143" s="3317"/>
      <c r="U143" s="3316"/>
      <c r="V143" s="3316">
        <v>79</v>
      </c>
      <c r="W143" s="3316">
        <v>79</v>
      </c>
      <c r="X143" s="3316">
        <v>79</v>
      </c>
      <c r="Y143" s="3316">
        <v>79</v>
      </c>
      <c r="Z143" s="3316">
        <v>79</v>
      </c>
      <c r="AA143" s="3318"/>
      <c r="AB143" s="3316"/>
      <c r="AC143" s="3815">
        <v>89</v>
      </c>
      <c r="AD143" s="3815">
        <v>89</v>
      </c>
      <c r="AE143" s="3316"/>
      <c r="AF143" s="3318"/>
      <c r="AG143" s="3322"/>
      <c r="AH143" s="191"/>
      <c r="AI143" s="107"/>
    </row>
    <row r="144" spans="1:35" ht="22.35" customHeight="1" x14ac:dyDescent="0.2">
      <c r="A144" s="3757">
        <v>2</v>
      </c>
      <c r="B144" s="3663" t="s">
        <v>197</v>
      </c>
      <c r="C144" s="3535" t="s">
        <v>58</v>
      </c>
      <c r="D144" s="3535" t="s">
        <v>58</v>
      </c>
      <c r="E144" s="3535" t="s">
        <v>58</v>
      </c>
      <c r="F144" s="3535"/>
      <c r="G144" s="3535"/>
      <c r="H144" s="3616">
        <v>69</v>
      </c>
      <c r="I144" s="3616">
        <v>69</v>
      </c>
      <c r="J144" s="3616">
        <v>69</v>
      </c>
      <c r="K144" s="3616">
        <v>69</v>
      </c>
      <c r="L144" s="3538">
        <v>69</v>
      </c>
      <c r="M144" s="3538"/>
      <c r="N144" s="3616"/>
      <c r="O144" s="3616">
        <v>79</v>
      </c>
      <c r="P144" s="3616">
        <v>79</v>
      </c>
      <c r="Q144" s="3816">
        <v>79</v>
      </c>
      <c r="R144" s="3817">
        <v>79</v>
      </c>
      <c r="S144" s="3816">
        <v>79</v>
      </c>
      <c r="T144" s="3538"/>
      <c r="U144" s="3616"/>
      <c r="V144" s="3616">
        <v>89</v>
      </c>
      <c r="W144" s="3616">
        <v>89</v>
      </c>
      <c r="X144" s="3616">
        <v>89</v>
      </c>
      <c r="Y144" s="3616">
        <v>89</v>
      </c>
      <c r="Z144" s="3616">
        <v>89</v>
      </c>
      <c r="AA144" s="3538">
        <v>89</v>
      </c>
      <c r="AB144" s="3539"/>
      <c r="AC144" s="3550">
        <v>99</v>
      </c>
      <c r="AD144" s="3550">
        <v>99</v>
      </c>
      <c r="AE144" s="3550"/>
      <c r="AF144" s="3550"/>
      <c r="AG144" s="3661"/>
      <c r="AH144" s="192"/>
      <c r="AI144" s="168"/>
    </row>
    <row r="145" spans="1:35" ht="22.35" customHeight="1" x14ac:dyDescent="0.2">
      <c r="A145" s="3757">
        <v>3</v>
      </c>
      <c r="B145" s="3663" t="s">
        <v>360</v>
      </c>
      <c r="C145" s="3666">
        <v>69</v>
      </c>
      <c r="D145" s="3666">
        <v>69</v>
      </c>
      <c r="E145" s="3666">
        <v>69</v>
      </c>
      <c r="F145" s="3666"/>
      <c r="G145" s="3666"/>
      <c r="H145" s="3666">
        <v>79</v>
      </c>
      <c r="I145" s="3666">
        <v>79</v>
      </c>
      <c r="J145" s="3666">
        <v>79</v>
      </c>
      <c r="K145" s="3666">
        <v>79</v>
      </c>
      <c r="L145" s="3818">
        <v>79</v>
      </c>
      <c r="M145" s="3666"/>
      <c r="N145" s="3666"/>
      <c r="O145" s="3463">
        <v>89</v>
      </c>
      <c r="P145" s="3463">
        <v>89</v>
      </c>
      <c r="Q145" s="3463">
        <v>89</v>
      </c>
      <c r="R145" s="3463">
        <v>89</v>
      </c>
      <c r="S145" s="3463">
        <v>89</v>
      </c>
      <c r="T145" s="3463">
        <v>89</v>
      </c>
      <c r="U145" s="3463"/>
      <c r="V145" s="3666">
        <v>99</v>
      </c>
      <c r="W145" s="3666">
        <v>99</v>
      </c>
      <c r="X145" s="3666">
        <v>99</v>
      </c>
      <c r="Y145" s="3666">
        <v>99</v>
      </c>
      <c r="Z145" s="3666" t="s">
        <v>36</v>
      </c>
      <c r="AA145" s="3666"/>
      <c r="AB145" s="3666"/>
      <c r="AC145" s="3666" t="s">
        <v>58</v>
      </c>
      <c r="AD145" s="3666" t="s">
        <v>58</v>
      </c>
      <c r="AE145" s="3666"/>
      <c r="AF145" s="3666"/>
      <c r="AG145" s="3819"/>
      <c r="AH145" s="191"/>
      <c r="AI145" s="107"/>
    </row>
    <row r="146" spans="1:35" ht="22.35" customHeight="1" x14ac:dyDescent="0.2">
      <c r="A146" s="3757">
        <v>4</v>
      </c>
      <c r="B146" s="3820" t="s">
        <v>473</v>
      </c>
      <c r="C146" s="3538">
        <v>79</v>
      </c>
      <c r="D146" s="3538">
        <v>79</v>
      </c>
      <c r="E146" s="3538">
        <v>79</v>
      </c>
      <c r="F146" s="3538"/>
      <c r="G146" s="3538"/>
      <c r="H146" s="467">
        <v>89</v>
      </c>
      <c r="I146" s="466">
        <v>89</v>
      </c>
      <c r="J146" s="3538">
        <v>89</v>
      </c>
      <c r="K146" s="3538">
        <v>89</v>
      </c>
      <c r="L146" s="3538">
        <v>89</v>
      </c>
      <c r="M146" s="3538">
        <v>89</v>
      </c>
      <c r="N146" s="3538"/>
      <c r="O146" s="3538">
        <v>99</v>
      </c>
      <c r="P146" s="3538">
        <v>99</v>
      </c>
      <c r="Q146" s="3690">
        <v>99</v>
      </c>
      <c r="R146" s="3690">
        <v>99</v>
      </c>
      <c r="S146" s="3538" t="s">
        <v>36</v>
      </c>
      <c r="T146" s="3538"/>
      <c r="U146" s="3538"/>
      <c r="V146" s="3538" t="s">
        <v>58</v>
      </c>
      <c r="W146" s="3538" t="s">
        <v>58</v>
      </c>
      <c r="X146" s="3538" t="s">
        <v>58</v>
      </c>
      <c r="Y146" s="3690" t="s">
        <v>201</v>
      </c>
      <c r="Z146" s="3690" t="s">
        <v>201</v>
      </c>
      <c r="AA146" s="3538"/>
      <c r="AB146" s="3538"/>
      <c r="AC146" s="3538">
        <v>69</v>
      </c>
      <c r="AD146" s="3538">
        <v>69</v>
      </c>
      <c r="AE146" s="3538"/>
      <c r="AF146" s="3690"/>
      <c r="AG146" s="3661"/>
      <c r="AH146" s="191"/>
      <c r="AI146" s="107"/>
    </row>
    <row r="147" spans="1:35" ht="22.35" customHeight="1" thickBot="1" x14ac:dyDescent="0.25">
      <c r="A147" s="3760">
        <v>5</v>
      </c>
      <c r="B147" s="3821" t="s">
        <v>202</v>
      </c>
      <c r="C147" s="3721">
        <v>89</v>
      </c>
      <c r="D147" s="3721">
        <v>89</v>
      </c>
      <c r="E147" s="3721">
        <v>89</v>
      </c>
      <c r="F147" s="3528">
        <v>89</v>
      </c>
      <c r="G147" s="3528"/>
      <c r="H147" s="3610">
        <v>99</v>
      </c>
      <c r="I147" s="3610">
        <v>99</v>
      </c>
      <c r="J147" s="3610">
        <v>99</v>
      </c>
      <c r="K147" s="3610">
        <v>99</v>
      </c>
      <c r="L147" s="3528" t="s">
        <v>36</v>
      </c>
      <c r="M147" s="3528"/>
      <c r="N147" s="3721"/>
      <c r="O147" s="3721" t="s">
        <v>58</v>
      </c>
      <c r="P147" s="3721" t="s">
        <v>58</v>
      </c>
      <c r="Q147" s="3721" t="s">
        <v>58</v>
      </c>
      <c r="R147" s="3721" t="s">
        <v>58</v>
      </c>
      <c r="S147" s="3528" t="s">
        <v>58</v>
      </c>
      <c r="T147" s="3822"/>
      <c r="U147" s="3721"/>
      <c r="V147" s="3721">
        <v>69</v>
      </c>
      <c r="W147" s="3823">
        <v>69</v>
      </c>
      <c r="X147" s="3824">
        <v>69</v>
      </c>
      <c r="Y147" s="3721">
        <v>69</v>
      </c>
      <c r="Z147" s="3721">
        <v>69</v>
      </c>
      <c r="AA147" s="3611"/>
      <c r="AB147" s="3721"/>
      <c r="AC147" s="3721">
        <v>79</v>
      </c>
      <c r="AD147" s="3721">
        <v>79</v>
      </c>
      <c r="AE147" s="3721"/>
      <c r="AF147" s="3721"/>
      <c r="AG147" s="3825"/>
      <c r="AH147" s="191"/>
      <c r="AI147" s="107"/>
    </row>
    <row r="148" spans="1:35" ht="22.35" customHeight="1" x14ac:dyDescent="0.2">
      <c r="A148" s="200"/>
      <c r="B148" s="217"/>
      <c r="C148" s="218"/>
      <c r="D148" s="218"/>
      <c r="E148" s="218"/>
      <c r="F148" s="199"/>
      <c r="G148" s="216"/>
      <c r="H148" s="216"/>
      <c r="I148" s="216"/>
      <c r="J148" s="216"/>
      <c r="K148" s="216"/>
      <c r="L148" s="199"/>
      <c r="M148" s="199"/>
      <c r="N148" s="218"/>
      <c r="O148" s="218"/>
      <c r="P148" s="218"/>
      <c r="Q148" s="218"/>
      <c r="R148" s="218"/>
      <c r="S148" s="199"/>
      <c r="T148" s="219"/>
      <c r="U148" s="218"/>
      <c r="V148" s="218"/>
      <c r="W148" s="218"/>
      <c r="X148" s="218"/>
      <c r="Y148" s="218"/>
      <c r="Z148" s="220"/>
      <c r="AA148" s="220"/>
      <c r="AB148" s="218"/>
      <c r="AC148" s="218"/>
      <c r="AD148" s="218"/>
      <c r="AE148" s="218"/>
      <c r="AF148" s="218"/>
      <c r="AG148" s="220"/>
      <c r="AH148" s="191"/>
      <c r="AI148" s="107"/>
    </row>
    <row r="149" spans="1:35" ht="22.35" customHeight="1" x14ac:dyDescent="0.2">
      <c r="A149" s="109"/>
      <c r="B149" s="110"/>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7"/>
      <c r="AI149" s="107"/>
    </row>
    <row r="150" spans="1:35" ht="22.35" customHeight="1" thickBot="1" x14ac:dyDescent="0.25">
      <c r="A150" s="169" t="s">
        <v>204</v>
      </c>
      <c r="B150" s="170"/>
      <c r="C150" s="170"/>
      <c r="D150" s="171"/>
      <c r="E150" s="171"/>
      <c r="F150" s="171"/>
      <c r="G150" s="105"/>
      <c r="H150" s="171"/>
      <c r="I150" s="171"/>
      <c r="J150" s="171"/>
      <c r="K150" s="171"/>
      <c r="L150" s="171"/>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0"/>
      <c r="AI150" s="170"/>
    </row>
    <row r="151" spans="1:35" ht="22.35" customHeight="1" x14ac:dyDescent="0.2">
      <c r="A151" s="169"/>
      <c r="B151" s="3763" t="s">
        <v>186</v>
      </c>
      <c r="C151" s="3784"/>
      <c r="D151" s="3785" t="s">
        <v>107</v>
      </c>
      <c r="E151" s="3786"/>
      <c r="F151" s="3787"/>
      <c r="G151" s="3784"/>
      <c r="H151" s="3785" t="s">
        <v>108</v>
      </c>
      <c r="I151" s="3786"/>
      <c r="J151" s="3787"/>
      <c r="K151" s="3784"/>
      <c r="L151" s="3785" t="s">
        <v>109</v>
      </c>
      <c r="M151" s="3786"/>
      <c r="N151" s="3787"/>
      <c r="O151" s="3784"/>
      <c r="P151" s="3785" t="s">
        <v>110</v>
      </c>
      <c r="Q151" s="3786"/>
      <c r="R151" s="3787"/>
      <c r="S151" s="3784"/>
      <c r="T151" s="3785" t="s">
        <v>111</v>
      </c>
      <c r="U151" s="3786"/>
      <c r="V151" s="3787"/>
      <c r="W151" s="3784"/>
      <c r="X151" s="3785" t="s">
        <v>112</v>
      </c>
      <c r="Y151" s="3786"/>
      <c r="Z151" s="3787"/>
      <c r="AA151" s="3784"/>
      <c r="AB151" s="3785" t="s">
        <v>113</v>
      </c>
      <c r="AC151" s="3786"/>
      <c r="AD151" s="3786"/>
      <c r="AE151" s="3788" t="s">
        <v>114</v>
      </c>
      <c r="AF151" s="3786"/>
      <c r="AG151" s="3786"/>
      <c r="AH151" s="3786"/>
      <c r="AI151" s="3789"/>
    </row>
    <row r="152" spans="1:35" ht="22.35" customHeight="1" x14ac:dyDescent="0.2">
      <c r="A152" s="169"/>
      <c r="B152" s="3790" t="s">
        <v>205</v>
      </c>
      <c r="C152" s="3643" t="s">
        <v>206</v>
      </c>
      <c r="D152" s="3792"/>
      <c r="E152" s="3792"/>
      <c r="F152" s="3793"/>
      <c r="G152" s="3643" t="s">
        <v>206</v>
      </c>
      <c r="H152" s="3792"/>
      <c r="I152" s="3792"/>
      <c r="J152" s="3793"/>
      <c r="K152" s="3643" t="s">
        <v>206</v>
      </c>
      <c r="L152" s="3792"/>
      <c r="M152" s="3792"/>
      <c r="N152" s="3793"/>
      <c r="O152" s="3643" t="s">
        <v>206</v>
      </c>
      <c r="P152" s="3792"/>
      <c r="Q152" s="3792"/>
      <c r="R152" s="3793"/>
      <c r="S152" s="3643" t="s">
        <v>206</v>
      </c>
      <c r="T152" s="3792"/>
      <c r="U152" s="3792"/>
      <c r="V152" s="3793"/>
      <c r="W152" s="3643" t="s">
        <v>207</v>
      </c>
      <c r="X152" s="3794"/>
      <c r="Y152" s="3794"/>
      <c r="Z152" s="3795"/>
      <c r="AA152" s="3643" t="s">
        <v>207</v>
      </c>
      <c r="AB152" s="3792"/>
      <c r="AC152" s="3792"/>
      <c r="AD152" s="3644"/>
      <c r="AE152" s="3796">
        <v>69</v>
      </c>
      <c r="AF152" s="185"/>
      <c r="AG152" s="185"/>
      <c r="AH152" s="185"/>
      <c r="AI152" s="186"/>
    </row>
    <row r="153" spans="1:35" ht="22.35" customHeight="1" x14ac:dyDescent="0.2">
      <c r="A153" s="169"/>
      <c r="B153" s="3790" t="s">
        <v>163</v>
      </c>
      <c r="C153" s="3643" t="s">
        <v>171</v>
      </c>
      <c r="D153" s="3792"/>
      <c r="E153" s="3792"/>
      <c r="F153" s="3793"/>
      <c r="G153" s="3643" t="s">
        <v>171</v>
      </c>
      <c r="H153" s="3792"/>
      <c r="I153" s="3792"/>
      <c r="J153" s="3793"/>
      <c r="K153" s="3643" t="s">
        <v>171</v>
      </c>
      <c r="L153" s="3792"/>
      <c r="M153" s="3792"/>
      <c r="N153" s="3793"/>
      <c r="O153" s="3643" t="s">
        <v>171</v>
      </c>
      <c r="P153" s="3792"/>
      <c r="Q153" s="3792"/>
      <c r="R153" s="3793"/>
      <c r="S153" s="3643" t="s">
        <v>171</v>
      </c>
      <c r="T153" s="3792"/>
      <c r="U153" s="3792"/>
      <c r="V153" s="3793"/>
      <c r="W153" s="3643" t="s">
        <v>171</v>
      </c>
      <c r="X153" s="3792"/>
      <c r="Y153" s="3792"/>
      <c r="Z153" s="3793"/>
      <c r="AA153" s="3792" t="s">
        <v>171</v>
      </c>
      <c r="AB153" s="3792"/>
      <c r="AC153" s="3792"/>
      <c r="AD153" s="3644"/>
      <c r="AE153" s="3796">
        <v>0</v>
      </c>
      <c r="AF153" s="185"/>
      <c r="AG153" s="185"/>
      <c r="AH153" s="185"/>
      <c r="AI153" s="186"/>
    </row>
    <row r="154" spans="1:35" ht="22.35" customHeight="1" x14ac:dyDescent="0.2">
      <c r="A154" s="169"/>
      <c r="B154" s="3790" t="s">
        <v>208</v>
      </c>
      <c r="C154" s="3643" t="s">
        <v>206</v>
      </c>
      <c r="D154" s="3792"/>
      <c r="E154" s="3792"/>
      <c r="F154" s="3793"/>
      <c r="G154" s="3643" t="s">
        <v>206</v>
      </c>
      <c r="H154" s="3792"/>
      <c r="I154" s="3792"/>
      <c r="J154" s="3793"/>
      <c r="K154" s="3643" t="s">
        <v>206</v>
      </c>
      <c r="L154" s="3792"/>
      <c r="M154" s="3792"/>
      <c r="N154" s="3793"/>
      <c r="O154" s="3643" t="s">
        <v>206</v>
      </c>
      <c r="P154" s="3792"/>
      <c r="Q154" s="3792"/>
      <c r="R154" s="3793"/>
      <c r="S154" s="3643" t="s">
        <v>206</v>
      </c>
      <c r="T154" s="3792"/>
      <c r="U154" s="3792"/>
      <c r="V154" s="3793"/>
      <c r="W154" s="3643" t="s">
        <v>207</v>
      </c>
      <c r="X154" s="3794"/>
      <c r="Y154" s="3794"/>
      <c r="Z154" s="3795"/>
      <c r="AA154" s="3643" t="s">
        <v>207</v>
      </c>
      <c r="AB154" s="3792"/>
      <c r="AC154" s="3792"/>
      <c r="AD154" s="3644"/>
      <c r="AE154" s="3796">
        <v>69</v>
      </c>
      <c r="AF154" s="3792"/>
      <c r="AG154" s="3792" t="s">
        <v>0</v>
      </c>
      <c r="AH154" s="3644"/>
      <c r="AI154" s="3797"/>
    </row>
    <row r="155" spans="1:35" ht="22.35" customHeight="1" x14ac:dyDescent="0.2">
      <c r="A155" s="169"/>
      <c r="B155" s="3790" t="s">
        <v>172</v>
      </c>
      <c r="C155" s="3643" t="s">
        <v>171</v>
      </c>
      <c r="D155" s="3792"/>
      <c r="E155" s="3792"/>
      <c r="F155" s="3793"/>
      <c r="G155" s="3643" t="s">
        <v>171</v>
      </c>
      <c r="H155" s="3792"/>
      <c r="I155" s="3792"/>
      <c r="J155" s="3793"/>
      <c r="K155" s="3643" t="s">
        <v>171</v>
      </c>
      <c r="L155" s="3792"/>
      <c r="M155" s="3792"/>
      <c r="N155" s="3793"/>
      <c r="O155" s="3643" t="s">
        <v>171</v>
      </c>
      <c r="P155" s="3792"/>
      <c r="Q155" s="3792"/>
      <c r="R155" s="3793"/>
      <c r="S155" s="3643" t="s">
        <v>171</v>
      </c>
      <c r="T155" s="3792"/>
      <c r="U155" s="3792"/>
      <c r="V155" s="3793"/>
      <c r="W155" s="3643" t="s">
        <v>171</v>
      </c>
      <c r="X155" s="3792"/>
      <c r="Y155" s="3792"/>
      <c r="Z155" s="3793"/>
      <c r="AA155" s="3792" t="s">
        <v>171</v>
      </c>
      <c r="AB155" s="3792"/>
      <c r="AC155" s="3792"/>
      <c r="AD155" s="3644"/>
      <c r="AE155" s="3796">
        <v>0</v>
      </c>
      <c r="AF155" s="3792"/>
      <c r="AG155" s="3792"/>
      <c r="AH155" s="3644"/>
      <c r="AI155" s="3797"/>
    </row>
    <row r="156" spans="1:35" ht="22.35" customHeight="1" x14ac:dyDescent="0.2">
      <c r="A156" s="169"/>
      <c r="B156" s="3790" t="s">
        <v>209</v>
      </c>
      <c r="C156" s="3643" t="s">
        <v>206</v>
      </c>
      <c r="D156" s="3792"/>
      <c r="E156" s="3792"/>
      <c r="F156" s="3793"/>
      <c r="G156" s="3643" t="s">
        <v>206</v>
      </c>
      <c r="H156" s="3792"/>
      <c r="I156" s="3792"/>
      <c r="J156" s="3793"/>
      <c r="K156" s="3643" t="s">
        <v>206</v>
      </c>
      <c r="L156" s="3792"/>
      <c r="M156" s="3792"/>
      <c r="N156" s="3793"/>
      <c r="O156" s="3643" t="s">
        <v>206</v>
      </c>
      <c r="P156" s="3792"/>
      <c r="Q156" s="3792"/>
      <c r="R156" s="3793"/>
      <c r="S156" s="3643" t="s">
        <v>206</v>
      </c>
      <c r="T156" s="3792"/>
      <c r="U156" s="3792"/>
      <c r="V156" s="3793"/>
      <c r="W156" s="3643" t="s">
        <v>210</v>
      </c>
      <c r="X156" s="3799"/>
      <c r="Y156" s="3799"/>
      <c r="Z156" s="3800"/>
      <c r="AA156" s="3643" t="s">
        <v>210</v>
      </c>
      <c r="AB156" s="3799"/>
      <c r="AC156" s="3799"/>
      <c r="AD156" s="3646"/>
      <c r="AE156" s="3796">
        <v>66</v>
      </c>
      <c r="AF156" s="3792"/>
      <c r="AG156" s="3792"/>
      <c r="AH156" s="3644"/>
      <c r="AI156" s="3797"/>
    </row>
    <row r="157" spans="1:35" ht="22.35" customHeight="1" thickBot="1" x14ac:dyDescent="0.25">
      <c r="A157" s="169"/>
      <c r="B157" s="3790" t="s">
        <v>211</v>
      </c>
      <c r="C157" s="3826" t="s">
        <v>171</v>
      </c>
      <c r="D157" s="3827"/>
      <c r="E157" s="3827"/>
      <c r="F157" s="3828"/>
      <c r="G157" s="3826" t="s">
        <v>171</v>
      </c>
      <c r="H157" s="3827"/>
      <c r="I157" s="3827"/>
      <c r="J157" s="3828"/>
      <c r="K157" s="3826" t="s">
        <v>171</v>
      </c>
      <c r="L157" s="3827"/>
      <c r="M157" s="3827"/>
      <c r="N157" s="3828"/>
      <c r="O157" s="3826" t="s">
        <v>171</v>
      </c>
      <c r="P157" s="3827"/>
      <c r="Q157" s="3827"/>
      <c r="R157" s="3828"/>
      <c r="S157" s="3826" t="s">
        <v>171</v>
      </c>
      <c r="T157" s="3827"/>
      <c r="U157" s="3827"/>
      <c r="V157" s="3811"/>
      <c r="W157" s="3826" t="s">
        <v>171</v>
      </c>
      <c r="X157" s="3811"/>
      <c r="Y157" s="3827"/>
      <c r="Z157" s="3828"/>
      <c r="AA157" s="3826" t="s">
        <v>171</v>
      </c>
      <c r="AB157" s="3811"/>
      <c r="AC157" s="3827"/>
      <c r="AD157" s="3828"/>
      <c r="AE157" s="3829" t="s">
        <v>212</v>
      </c>
      <c r="AF157" s="3827"/>
      <c r="AG157" s="3827"/>
      <c r="AH157" s="3811"/>
      <c r="AI157" s="3812"/>
    </row>
    <row r="158" spans="1:35" ht="22.35" customHeight="1" x14ac:dyDescent="0.2">
      <c r="A158" s="108"/>
      <c r="B158" s="169"/>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0"/>
      <c r="AI158" s="170"/>
    </row>
    <row r="159" spans="1:35" ht="22.35" customHeight="1" thickBot="1" x14ac:dyDescent="0.25">
      <c r="A159" s="3718"/>
      <c r="B159" s="3656" t="s">
        <v>29</v>
      </c>
      <c r="C159" s="3528">
        <v>1</v>
      </c>
      <c r="D159" s="3528">
        <v>2</v>
      </c>
      <c r="E159" s="3528">
        <v>3</v>
      </c>
      <c r="F159" s="3529">
        <v>4</v>
      </c>
      <c r="G159" s="3529">
        <v>5</v>
      </c>
      <c r="H159" s="3528">
        <v>6</v>
      </c>
      <c r="I159" s="3528">
        <v>7</v>
      </c>
      <c r="J159" s="3528">
        <v>8</v>
      </c>
      <c r="K159" s="3528">
        <v>9</v>
      </c>
      <c r="L159" s="3528">
        <v>10</v>
      </c>
      <c r="M159" s="3529">
        <v>11</v>
      </c>
      <c r="N159" s="3529">
        <v>12</v>
      </c>
      <c r="O159" s="3528">
        <v>13</v>
      </c>
      <c r="P159" s="3528">
        <v>14</v>
      </c>
      <c r="Q159" s="3528">
        <v>15</v>
      </c>
      <c r="R159" s="3528">
        <v>16</v>
      </c>
      <c r="S159" s="3528">
        <v>17</v>
      </c>
      <c r="T159" s="3529">
        <v>18</v>
      </c>
      <c r="U159" s="3529">
        <v>19</v>
      </c>
      <c r="V159" s="3528">
        <v>20</v>
      </c>
      <c r="W159" s="3528">
        <v>21</v>
      </c>
      <c r="X159" s="3528">
        <v>22</v>
      </c>
      <c r="Y159" s="3528">
        <v>23</v>
      </c>
      <c r="Z159" s="3528">
        <v>24</v>
      </c>
      <c r="AA159" s="3529">
        <v>25</v>
      </c>
      <c r="AB159" s="3529">
        <v>26</v>
      </c>
      <c r="AC159" s="3528">
        <v>27</v>
      </c>
      <c r="AD159" s="3528">
        <v>28</v>
      </c>
      <c r="AE159" s="3528"/>
      <c r="AF159" s="3528"/>
      <c r="AG159" s="3530"/>
      <c r="AH159" s="173"/>
      <c r="AI159" s="174"/>
    </row>
    <row r="160" spans="1:35" ht="22.35" customHeight="1" x14ac:dyDescent="0.2">
      <c r="A160" s="3830">
        <v>1</v>
      </c>
      <c r="B160" s="215" t="s">
        <v>213</v>
      </c>
      <c r="C160" s="3831">
        <v>21</v>
      </c>
      <c r="D160" s="3831">
        <v>21</v>
      </c>
      <c r="E160" s="3831">
        <v>21</v>
      </c>
      <c r="F160" s="3831">
        <v>21</v>
      </c>
      <c r="G160" s="3832">
        <v>21</v>
      </c>
      <c r="H160" s="3833" t="s">
        <v>36</v>
      </c>
      <c r="I160" s="3834" t="s">
        <v>36</v>
      </c>
      <c r="J160" s="3835" t="s">
        <v>36</v>
      </c>
      <c r="K160" s="3833" t="s">
        <v>36</v>
      </c>
      <c r="L160" s="3834" t="s">
        <v>36</v>
      </c>
      <c r="M160" s="3835"/>
      <c r="N160" s="3835"/>
      <c r="O160" s="3833">
        <v>22</v>
      </c>
      <c r="P160" s="3833">
        <v>22</v>
      </c>
      <c r="Q160" s="3833">
        <v>22</v>
      </c>
      <c r="R160" s="3833">
        <v>22</v>
      </c>
      <c r="S160" s="3833">
        <v>22</v>
      </c>
      <c r="T160" s="3833">
        <v>22</v>
      </c>
      <c r="U160" s="3833">
        <v>22</v>
      </c>
      <c r="V160" s="3833" t="s">
        <v>36</v>
      </c>
      <c r="W160" s="3834" t="s">
        <v>36</v>
      </c>
      <c r="X160" s="3833" t="s">
        <v>36</v>
      </c>
      <c r="Y160" s="3833" t="s">
        <v>36</v>
      </c>
      <c r="Z160" s="3834" t="s">
        <v>36</v>
      </c>
      <c r="AA160" s="3833"/>
      <c r="AB160" s="3833"/>
      <c r="AC160" s="3833">
        <v>23</v>
      </c>
      <c r="AD160" s="3833">
        <v>23</v>
      </c>
      <c r="AE160" s="3833"/>
      <c r="AF160" s="3833"/>
      <c r="AG160" s="3836"/>
      <c r="AH160" s="107"/>
      <c r="AI160" s="107"/>
    </row>
    <row r="161" spans="1:35" ht="22.35" customHeight="1" x14ac:dyDescent="0.2">
      <c r="A161" s="1086">
        <v>2</v>
      </c>
      <c r="B161" s="1182" t="s">
        <v>214</v>
      </c>
      <c r="C161" s="644">
        <v>22</v>
      </c>
      <c r="D161" s="644">
        <v>22</v>
      </c>
      <c r="E161" s="644">
        <v>22</v>
      </c>
      <c r="F161" s="3562">
        <v>22</v>
      </c>
      <c r="G161" s="3562">
        <v>22</v>
      </c>
      <c r="H161" s="644" t="s">
        <v>36</v>
      </c>
      <c r="I161" s="851" t="s">
        <v>36</v>
      </c>
      <c r="J161" s="644" t="s">
        <v>36</v>
      </c>
      <c r="K161" s="644" t="s">
        <v>36</v>
      </c>
      <c r="L161" s="851" t="s">
        <v>36</v>
      </c>
      <c r="M161" s="975"/>
      <c r="N161" s="975"/>
      <c r="O161" s="3567">
        <v>23</v>
      </c>
      <c r="P161" s="3567">
        <v>23</v>
      </c>
      <c r="Q161" s="3567">
        <v>23</v>
      </c>
      <c r="R161" s="3567">
        <v>23</v>
      </c>
      <c r="S161" s="3567">
        <v>23</v>
      </c>
      <c r="T161" s="3567">
        <v>23</v>
      </c>
      <c r="U161" s="3567">
        <v>23</v>
      </c>
      <c r="V161" s="975" t="s">
        <v>36</v>
      </c>
      <c r="W161" s="851" t="s">
        <v>36</v>
      </c>
      <c r="X161" s="644" t="s">
        <v>36</v>
      </c>
      <c r="Y161" s="644" t="s">
        <v>36</v>
      </c>
      <c r="Z161" s="851" t="s">
        <v>36</v>
      </c>
      <c r="AA161" s="975"/>
      <c r="AB161" s="975"/>
      <c r="AC161" s="975">
        <v>21</v>
      </c>
      <c r="AD161" s="975">
        <v>21</v>
      </c>
      <c r="AE161" s="975"/>
      <c r="AF161" s="975"/>
      <c r="AG161" s="613"/>
      <c r="AH161" s="107"/>
      <c r="AI161" s="107"/>
    </row>
    <row r="162" spans="1:35" ht="22.35" customHeight="1" x14ac:dyDescent="0.2">
      <c r="A162" s="1086">
        <v>3</v>
      </c>
      <c r="B162" s="1182" t="s">
        <v>362</v>
      </c>
      <c r="C162" s="644">
        <v>23</v>
      </c>
      <c r="D162" s="644">
        <v>23</v>
      </c>
      <c r="E162" s="644">
        <v>23</v>
      </c>
      <c r="F162" s="964">
        <v>23</v>
      </c>
      <c r="G162" s="964">
        <v>23</v>
      </c>
      <c r="H162" s="975" t="s">
        <v>36</v>
      </c>
      <c r="I162" s="848" t="s">
        <v>36</v>
      </c>
      <c r="J162" s="848" t="s">
        <v>36</v>
      </c>
      <c r="K162" s="848" t="s">
        <v>36</v>
      </c>
      <c r="L162" s="848" t="s">
        <v>36</v>
      </c>
      <c r="M162" s="848"/>
      <c r="N162" s="848" t="s">
        <v>101</v>
      </c>
      <c r="O162" s="848">
        <v>21</v>
      </c>
      <c r="P162" s="644">
        <v>21</v>
      </c>
      <c r="Q162" s="644">
        <v>21</v>
      </c>
      <c r="R162" s="3570">
        <v>21</v>
      </c>
      <c r="S162" s="3570">
        <v>21</v>
      </c>
      <c r="T162" s="644">
        <v>21</v>
      </c>
      <c r="U162" s="975">
        <v>21</v>
      </c>
      <c r="V162" s="975" t="s">
        <v>36</v>
      </c>
      <c r="W162" s="851" t="s">
        <v>36</v>
      </c>
      <c r="X162" s="644" t="s">
        <v>36</v>
      </c>
      <c r="Y162" s="644" t="s">
        <v>36</v>
      </c>
      <c r="Z162" s="851" t="s">
        <v>36</v>
      </c>
      <c r="AA162" s="644"/>
      <c r="AB162" s="644"/>
      <c r="AC162" s="644">
        <v>22</v>
      </c>
      <c r="AD162" s="644">
        <v>22</v>
      </c>
      <c r="AE162" s="644"/>
      <c r="AF162" s="644"/>
      <c r="AG162" s="613"/>
      <c r="AH162" s="107"/>
      <c r="AI162" s="107"/>
    </row>
    <row r="163" spans="1:35" ht="22.35" customHeight="1" x14ac:dyDescent="0.2">
      <c r="A163" s="1086">
        <v>4</v>
      </c>
      <c r="B163" s="1182" t="s">
        <v>0</v>
      </c>
      <c r="C163" s="644" t="s">
        <v>36</v>
      </c>
      <c r="D163" s="644" t="s">
        <v>36</v>
      </c>
      <c r="E163" s="851" t="s">
        <v>36</v>
      </c>
      <c r="F163" s="644"/>
      <c r="G163" s="644"/>
      <c r="H163" s="644">
        <v>21</v>
      </c>
      <c r="I163" s="644">
        <v>21</v>
      </c>
      <c r="J163" s="644">
        <v>21</v>
      </c>
      <c r="K163" s="644">
        <v>21</v>
      </c>
      <c r="L163" s="644">
        <v>21</v>
      </c>
      <c r="M163" s="644">
        <v>21</v>
      </c>
      <c r="N163" s="644">
        <v>21</v>
      </c>
      <c r="O163" s="848" t="s">
        <v>36</v>
      </c>
      <c r="P163" s="848" t="s">
        <v>36</v>
      </c>
      <c r="Q163" s="848" t="s">
        <v>36</v>
      </c>
      <c r="R163" s="848" t="s">
        <v>36</v>
      </c>
      <c r="S163" s="848" t="s">
        <v>36</v>
      </c>
      <c r="T163" s="848"/>
      <c r="U163" s="848"/>
      <c r="V163" s="848">
        <v>22</v>
      </c>
      <c r="W163" s="644">
        <v>22</v>
      </c>
      <c r="X163" s="644">
        <v>22</v>
      </c>
      <c r="Y163" s="644">
        <v>22</v>
      </c>
      <c r="Z163" s="644">
        <v>22</v>
      </c>
      <c r="AA163" s="644">
        <v>22</v>
      </c>
      <c r="AB163" s="644">
        <v>22</v>
      </c>
      <c r="AC163" s="644" t="s">
        <v>36</v>
      </c>
      <c r="AD163" s="851" t="s">
        <v>36</v>
      </c>
      <c r="AE163" s="644"/>
      <c r="AF163" s="644"/>
      <c r="AG163" s="978"/>
      <c r="AH163" s="107"/>
      <c r="AI163" s="107"/>
    </row>
    <row r="164" spans="1:35" ht="22.35" customHeight="1" x14ac:dyDescent="0.2">
      <c r="A164" s="1086">
        <v>5</v>
      </c>
      <c r="B164" s="1182" t="s">
        <v>0</v>
      </c>
      <c r="C164" s="644" t="s">
        <v>36</v>
      </c>
      <c r="D164" s="644" t="s">
        <v>36</v>
      </c>
      <c r="E164" s="851" t="s">
        <v>36</v>
      </c>
      <c r="F164" s="975"/>
      <c r="G164" s="644"/>
      <c r="H164" s="644">
        <v>22</v>
      </c>
      <c r="I164" s="644">
        <v>22</v>
      </c>
      <c r="J164" s="644">
        <v>22</v>
      </c>
      <c r="K164" s="644">
        <v>22</v>
      </c>
      <c r="L164" s="644">
        <v>22</v>
      </c>
      <c r="M164" s="644">
        <v>22</v>
      </c>
      <c r="N164" s="644">
        <v>22</v>
      </c>
      <c r="O164" s="644" t="s">
        <v>36</v>
      </c>
      <c r="P164" s="851" t="s">
        <v>36</v>
      </c>
      <c r="Q164" s="644" t="s">
        <v>36</v>
      </c>
      <c r="R164" s="644" t="s">
        <v>36</v>
      </c>
      <c r="S164" s="851" t="s">
        <v>36</v>
      </c>
      <c r="T164" s="644"/>
      <c r="U164" s="644"/>
      <c r="V164" s="644">
        <v>23</v>
      </c>
      <c r="W164" s="644">
        <v>23</v>
      </c>
      <c r="X164" s="644">
        <v>23</v>
      </c>
      <c r="Y164" s="644">
        <v>23</v>
      </c>
      <c r="Z164" s="644">
        <v>23</v>
      </c>
      <c r="AA164" s="644">
        <v>23</v>
      </c>
      <c r="AB164" s="644">
        <v>23</v>
      </c>
      <c r="AC164" s="975" t="s">
        <v>36</v>
      </c>
      <c r="AD164" s="975" t="s">
        <v>36</v>
      </c>
      <c r="AE164" s="975"/>
      <c r="AF164" s="644"/>
      <c r="AG164" s="978"/>
      <c r="AH164" s="107"/>
      <c r="AI164" s="107"/>
    </row>
    <row r="165" spans="1:35" ht="22.35" customHeight="1" thickBot="1" x14ac:dyDescent="0.25">
      <c r="A165" s="1090">
        <v>6</v>
      </c>
      <c r="B165" s="1091" t="s">
        <v>218</v>
      </c>
      <c r="C165" s="863" t="s">
        <v>36</v>
      </c>
      <c r="D165" s="863" t="s">
        <v>36</v>
      </c>
      <c r="E165" s="1092" t="s">
        <v>36</v>
      </c>
      <c r="F165" s="863"/>
      <c r="G165" s="863"/>
      <c r="H165" s="1093">
        <v>23</v>
      </c>
      <c r="I165" s="1093">
        <v>23</v>
      </c>
      <c r="J165" s="1093">
        <v>23</v>
      </c>
      <c r="K165" s="1093">
        <v>23</v>
      </c>
      <c r="L165" s="1093">
        <v>23</v>
      </c>
      <c r="M165" s="1093">
        <v>23</v>
      </c>
      <c r="N165" s="865">
        <v>23</v>
      </c>
      <c r="O165" s="865" t="s">
        <v>36</v>
      </c>
      <c r="P165" s="1092" t="s">
        <v>36</v>
      </c>
      <c r="Q165" s="863" t="s">
        <v>36</v>
      </c>
      <c r="R165" s="863" t="s">
        <v>36</v>
      </c>
      <c r="S165" s="1092" t="s">
        <v>36</v>
      </c>
      <c r="T165" s="863"/>
      <c r="U165" s="863"/>
      <c r="V165" s="863">
        <v>21</v>
      </c>
      <c r="W165" s="863">
        <v>21</v>
      </c>
      <c r="X165" s="863">
        <v>21</v>
      </c>
      <c r="Y165" s="863">
        <v>21</v>
      </c>
      <c r="Z165" s="863">
        <v>21</v>
      </c>
      <c r="AA165" s="863">
        <v>21</v>
      </c>
      <c r="AB165" s="865">
        <v>21</v>
      </c>
      <c r="AC165" s="865" t="s">
        <v>36</v>
      </c>
      <c r="AD165" s="1092" t="s">
        <v>36</v>
      </c>
      <c r="AE165" s="863"/>
      <c r="AF165" s="863"/>
      <c r="AG165" s="1094"/>
      <c r="AH165" s="107"/>
      <c r="AI165" s="107"/>
    </row>
    <row r="166" spans="1:35" ht="22.35" customHeight="1" x14ac:dyDescent="0.2">
      <c r="A166" s="200"/>
      <c r="B166" s="198"/>
      <c r="C166" s="199"/>
      <c r="D166" s="199"/>
      <c r="E166" s="216"/>
      <c r="F166" s="199"/>
      <c r="G166" s="199"/>
      <c r="H166" s="221"/>
      <c r="I166" s="221"/>
      <c r="J166" s="221"/>
      <c r="K166" s="221"/>
      <c r="L166" s="221"/>
      <c r="M166" s="221"/>
      <c r="N166" s="192"/>
      <c r="O166" s="192"/>
      <c r="P166" s="216"/>
      <c r="Q166" s="199"/>
      <c r="R166" s="199"/>
      <c r="S166" s="216"/>
      <c r="T166" s="199"/>
      <c r="U166" s="199"/>
      <c r="V166" s="199"/>
      <c r="W166" s="199"/>
      <c r="X166" s="199"/>
      <c r="Y166" s="199"/>
      <c r="Z166" s="199"/>
      <c r="AA166" s="199"/>
      <c r="AB166" s="192"/>
      <c r="AC166" s="192"/>
      <c r="AD166" s="216"/>
      <c r="AE166" s="199"/>
      <c r="AF166" s="199"/>
      <c r="AG166" s="216"/>
      <c r="AH166" s="107"/>
      <c r="AI166" s="107"/>
    </row>
    <row r="167" spans="1:35" ht="22.35" customHeight="1" x14ac:dyDescent="0.2">
      <c r="A167" s="109"/>
      <c r="B167" s="110"/>
      <c r="C167" s="183"/>
      <c r="D167" s="183"/>
      <c r="E167" s="168"/>
      <c r="F167" s="183"/>
      <c r="G167" s="183"/>
      <c r="H167" s="183"/>
      <c r="I167" s="183"/>
      <c r="J167" s="183"/>
      <c r="K167" s="183"/>
      <c r="L167" s="183"/>
      <c r="M167" s="183"/>
      <c r="N167" s="183"/>
      <c r="O167" s="183"/>
      <c r="P167" s="168"/>
      <c r="Q167" s="183"/>
      <c r="R167" s="183"/>
      <c r="S167" s="168"/>
      <c r="T167" s="183"/>
      <c r="U167" s="183"/>
      <c r="V167" s="183"/>
      <c r="W167" s="183"/>
      <c r="X167" s="183"/>
      <c r="Y167" s="183"/>
      <c r="Z167" s="183"/>
      <c r="AA167" s="183"/>
      <c r="AB167" s="183"/>
      <c r="AC167" s="184"/>
      <c r="AD167" s="184"/>
      <c r="AE167" s="184"/>
      <c r="AF167" s="183"/>
      <c r="AG167" s="168"/>
      <c r="AH167" s="107"/>
      <c r="AI167" s="107"/>
    </row>
    <row r="168" spans="1:35" ht="22.35" customHeight="1" thickBot="1" x14ac:dyDescent="0.25">
      <c r="A168" s="158" t="s">
        <v>219</v>
      </c>
      <c r="D168" s="72"/>
      <c r="E168" s="72"/>
      <c r="F168" s="72"/>
      <c r="G168" s="105"/>
      <c r="H168" s="72"/>
      <c r="I168" s="72"/>
      <c r="J168" s="72"/>
      <c r="K168" s="72"/>
      <c r="L168" s="72"/>
      <c r="M168" s="72"/>
      <c r="N168" s="72"/>
      <c r="O168" s="72"/>
      <c r="P168" s="72"/>
      <c r="Q168" s="72"/>
      <c r="R168" s="72"/>
      <c r="S168" s="72"/>
      <c r="T168" s="72"/>
      <c r="U168" s="72"/>
      <c r="V168" s="72"/>
      <c r="W168" s="72"/>
      <c r="X168" s="72"/>
      <c r="Y168" s="72"/>
      <c r="Z168" s="72"/>
      <c r="AA168" s="72"/>
      <c r="AB168" s="72"/>
      <c r="AC168" s="72"/>
      <c r="AD168" s="72"/>
      <c r="AE168" s="72"/>
      <c r="AF168" s="72"/>
      <c r="AG168" s="72"/>
    </row>
    <row r="169" spans="1:35" ht="22.35" customHeight="1" x14ac:dyDescent="0.2">
      <c r="A169" s="1"/>
      <c r="B169" s="3763" t="s">
        <v>186</v>
      </c>
      <c r="C169" s="3744"/>
      <c r="D169" s="3785" t="s">
        <v>107</v>
      </c>
      <c r="E169" s="3574"/>
      <c r="F169" s="3737"/>
      <c r="G169" s="3744"/>
      <c r="H169" s="3785" t="s">
        <v>108</v>
      </c>
      <c r="I169" s="3574"/>
      <c r="J169" s="3737"/>
      <c r="K169" s="3744"/>
      <c r="L169" s="3785" t="s">
        <v>109</v>
      </c>
      <c r="M169" s="3574"/>
      <c r="N169" s="3737"/>
      <c r="O169" s="3744"/>
      <c r="P169" s="3785" t="s">
        <v>110</v>
      </c>
      <c r="Q169" s="3574"/>
      <c r="R169" s="3737"/>
      <c r="S169" s="3744"/>
      <c r="T169" s="3785" t="s">
        <v>111</v>
      </c>
      <c r="U169" s="3574"/>
      <c r="V169" s="3737"/>
      <c r="W169" s="3744"/>
      <c r="X169" s="3785" t="s">
        <v>112</v>
      </c>
      <c r="Y169" s="3574"/>
      <c r="Z169" s="3737"/>
      <c r="AA169" s="3744"/>
      <c r="AB169" s="3785" t="s">
        <v>113</v>
      </c>
      <c r="AC169" s="3574"/>
      <c r="AD169" s="3574"/>
      <c r="AE169" s="3788" t="s">
        <v>114</v>
      </c>
      <c r="AF169" s="3574"/>
      <c r="AG169" s="3574"/>
      <c r="AH169" s="3574"/>
      <c r="AI169" s="3575"/>
    </row>
    <row r="170" spans="1:35" ht="22.35" customHeight="1" x14ac:dyDescent="0.2">
      <c r="A170" s="1"/>
      <c r="B170" s="3790" t="s">
        <v>159</v>
      </c>
      <c r="C170" s="3643" t="s">
        <v>187</v>
      </c>
      <c r="D170" s="3510"/>
      <c r="E170" s="3510"/>
      <c r="F170" s="3793"/>
      <c r="G170" s="3643" t="s">
        <v>187</v>
      </c>
      <c r="H170" s="3510"/>
      <c r="I170" s="3510"/>
      <c r="J170" s="3793"/>
      <c r="K170" s="3643" t="s">
        <v>187</v>
      </c>
      <c r="L170" s="3510"/>
      <c r="M170" s="3510"/>
      <c r="N170" s="3793"/>
      <c r="O170" s="3643" t="s">
        <v>220</v>
      </c>
      <c r="P170" s="3510"/>
      <c r="Q170" s="3510"/>
      <c r="R170" s="3793"/>
      <c r="S170" s="3643" t="s">
        <v>171</v>
      </c>
      <c r="T170" s="3510"/>
      <c r="U170" s="3510"/>
      <c r="V170" s="3793"/>
      <c r="W170" s="3837"/>
      <c r="X170" s="3838"/>
      <c r="Y170" s="3838"/>
      <c r="Z170" s="3795"/>
      <c r="AA170" s="3791"/>
      <c r="AB170" s="3510"/>
      <c r="AC170" s="3510"/>
      <c r="AD170" s="3644"/>
      <c r="AE170" s="3796">
        <v>27</v>
      </c>
      <c r="AF170" s="3510"/>
      <c r="AG170" s="3510"/>
      <c r="AH170" s="3644"/>
      <c r="AI170" s="3519"/>
    </row>
    <row r="171" spans="1:35" ht="22.35" customHeight="1" x14ac:dyDescent="0.2">
      <c r="A171" s="1"/>
      <c r="B171" s="3790" t="s">
        <v>163</v>
      </c>
      <c r="C171" s="3643" t="s">
        <v>221</v>
      </c>
      <c r="D171" s="3510"/>
      <c r="E171" s="3510"/>
      <c r="F171" s="3793"/>
      <c r="G171" s="3643" t="s">
        <v>221</v>
      </c>
      <c r="H171" s="3510"/>
      <c r="I171" s="3510"/>
      <c r="J171" s="3793"/>
      <c r="K171" s="3643" t="s">
        <v>221</v>
      </c>
      <c r="L171" s="3510"/>
      <c r="M171" s="3510"/>
      <c r="N171" s="3793"/>
      <c r="O171" s="3643" t="s">
        <v>221</v>
      </c>
      <c r="P171" s="3510"/>
      <c r="Q171" s="3510"/>
      <c r="R171" s="3793"/>
      <c r="S171" s="3643" t="s">
        <v>187</v>
      </c>
      <c r="T171" s="3510"/>
      <c r="U171" s="3510"/>
      <c r="V171" s="3793"/>
      <c r="W171" s="3643"/>
      <c r="X171" s="3510"/>
      <c r="Y171" s="3510"/>
      <c r="Z171" s="3793"/>
      <c r="AA171" s="3510"/>
      <c r="AB171" s="3510"/>
      <c r="AC171" s="3510"/>
      <c r="AD171" s="3644"/>
      <c r="AE171" s="3796">
        <v>39</v>
      </c>
      <c r="AF171" s="3510"/>
      <c r="AG171" s="3510"/>
      <c r="AH171" s="3644"/>
      <c r="AI171" s="3519"/>
    </row>
    <row r="172" spans="1:35" ht="22.35" customHeight="1" x14ac:dyDescent="0.2">
      <c r="A172" s="1"/>
      <c r="B172" s="3790" t="s">
        <v>170</v>
      </c>
      <c r="C172" s="3643" t="s">
        <v>221</v>
      </c>
      <c r="D172" s="3510"/>
      <c r="E172" s="3510"/>
      <c r="F172" s="3793"/>
      <c r="G172" s="3643" t="s">
        <v>221</v>
      </c>
      <c r="H172" s="3510"/>
      <c r="I172" s="3510"/>
      <c r="J172" s="3793"/>
      <c r="K172" s="3643" t="s">
        <v>221</v>
      </c>
      <c r="L172" s="3510"/>
      <c r="M172" s="3510"/>
      <c r="N172" s="3793"/>
      <c r="O172" s="3643" t="s">
        <v>221</v>
      </c>
      <c r="P172" s="3510"/>
      <c r="Q172" s="3510"/>
      <c r="R172" s="3793"/>
      <c r="S172" s="3643" t="s">
        <v>221</v>
      </c>
      <c r="T172" s="3510"/>
      <c r="U172" s="3510"/>
      <c r="V172" s="3793"/>
      <c r="W172" s="3645" t="s">
        <v>222</v>
      </c>
      <c r="X172" s="3523"/>
      <c r="Y172" s="3523"/>
      <c r="Z172" s="3800"/>
      <c r="AA172" s="3798"/>
      <c r="AB172" s="3523"/>
      <c r="AC172" s="3523"/>
      <c r="AD172" s="3646"/>
      <c r="AE172" s="3796">
        <v>45</v>
      </c>
      <c r="AF172" s="3510"/>
      <c r="AG172" s="3510"/>
      <c r="AH172" s="3644"/>
      <c r="AI172" s="3519"/>
    </row>
    <row r="173" spans="1:35" ht="22.35" customHeight="1" thickBot="1" x14ac:dyDescent="0.25">
      <c r="A173" s="1"/>
      <c r="B173" s="223" t="s">
        <v>172</v>
      </c>
      <c r="C173" s="3826"/>
      <c r="D173" s="3587"/>
      <c r="E173" s="3587"/>
      <c r="F173" s="3828"/>
      <c r="G173" s="3826"/>
      <c r="H173" s="3587"/>
      <c r="I173" s="3587"/>
      <c r="J173" s="3828"/>
      <c r="K173" s="3826"/>
      <c r="L173" s="3587"/>
      <c r="M173" s="3587"/>
      <c r="N173" s="3828"/>
      <c r="O173" s="3826"/>
      <c r="P173" s="3587"/>
      <c r="Q173" s="3587"/>
      <c r="R173" s="3828"/>
      <c r="S173" s="3826"/>
      <c r="T173" s="3587"/>
      <c r="U173" s="3587"/>
      <c r="V173" s="3811"/>
      <c r="W173" s="3826"/>
      <c r="X173" s="3811"/>
      <c r="Y173" s="3587"/>
      <c r="Z173" s="3828"/>
      <c r="AA173" s="3826"/>
      <c r="AB173" s="3811"/>
      <c r="AC173" s="3587"/>
      <c r="AD173" s="3828"/>
      <c r="AE173" s="3839"/>
      <c r="AF173" s="3587"/>
      <c r="AG173" s="3587"/>
      <c r="AH173" s="3811"/>
      <c r="AI173" s="3594"/>
    </row>
    <row r="174" spans="1:35" ht="22.35" customHeight="1" x14ac:dyDescent="0.2">
      <c r="A174" s="108"/>
      <c r="B174" s="1"/>
      <c r="C174" s="72"/>
      <c r="D174" s="72"/>
      <c r="E174" s="72"/>
      <c r="F174" s="72"/>
      <c r="G174" s="72"/>
      <c r="H174" s="72"/>
      <c r="I174" s="72"/>
      <c r="J174" s="72"/>
      <c r="K174" s="72"/>
      <c r="L174" s="72"/>
      <c r="M174" s="72"/>
      <c r="N174" s="72"/>
      <c r="O174" s="72"/>
      <c r="P174" s="72"/>
      <c r="Q174" s="72"/>
      <c r="R174" s="72"/>
      <c r="S174" s="72"/>
      <c r="T174" s="72"/>
      <c r="U174" s="72"/>
      <c r="V174" s="72"/>
      <c r="W174" s="72"/>
      <c r="X174" s="72"/>
      <c r="Y174" s="72"/>
      <c r="Z174" s="72"/>
      <c r="AA174" s="72"/>
      <c r="AB174" s="72"/>
      <c r="AC174" s="72"/>
      <c r="AD174" s="72"/>
      <c r="AE174" s="72"/>
      <c r="AF174" s="72"/>
      <c r="AG174" s="72"/>
    </row>
    <row r="175" spans="1:35" ht="22.35" customHeight="1" thickBot="1" x14ac:dyDescent="0.25">
      <c r="A175" s="3718"/>
      <c r="B175" s="3596" t="s">
        <v>29</v>
      </c>
      <c r="C175" s="3840">
        <v>1</v>
      </c>
      <c r="D175" s="3840">
        <v>2</v>
      </c>
      <c r="E175" s="3840">
        <v>3</v>
      </c>
      <c r="F175" s="3841">
        <v>4</v>
      </c>
      <c r="G175" s="3841">
        <v>5</v>
      </c>
      <c r="H175" s="3840">
        <v>6</v>
      </c>
      <c r="I175" s="3840">
        <v>7</v>
      </c>
      <c r="J175" s="3840">
        <v>8</v>
      </c>
      <c r="K175" s="3840">
        <v>9</v>
      </c>
      <c r="L175" s="3840">
        <v>10</v>
      </c>
      <c r="M175" s="3841">
        <v>11</v>
      </c>
      <c r="N175" s="3841">
        <v>12</v>
      </c>
      <c r="O175" s="3840">
        <v>13</v>
      </c>
      <c r="P175" s="3840">
        <v>14</v>
      </c>
      <c r="Q175" s="3840">
        <v>15</v>
      </c>
      <c r="R175" s="3840">
        <v>16</v>
      </c>
      <c r="S175" s="3840">
        <v>17</v>
      </c>
      <c r="T175" s="3841">
        <v>18</v>
      </c>
      <c r="U175" s="3841">
        <v>19</v>
      </c>
      <c r="V175" s="3840">
        <v>20</v>
      </c>
      <c r="W175" s="3840">
        <v>21</v>
      </c>
      <c r="X175" s="3840">
        <v>22</v>
      </c>
      <c r="Y175" s="3840">
        <v>23</v>
      </c>
      <c r="Z175" s="3840">
        <v>24</v>
      </c>
      <c r="AA175" s="3841">
        <v>25</v>
      </c>
      <c r="AB175" s="3841">
        <v>26</v>
      </c>
      <c r="AC175" s="3840">
        <v>27</v>
      </c>
      <c r="AD175" s="3840">
        <v>28</v>
      </c>
      <c r="AE175" s="3840"/>
      <c r="AF175" s="3840"/>
      <c r="AG175" s="3842"/>
      <c r="AH175" s="173"/>
      <c r="AI175" s="174"/>
    </row>
    <row r="176" spans="1:35" ht="22.35" customHeight="1" x14ac:dyDescent="0.2">
      <c r="A176" s="3754">
        <v>1</v>
      </c>
      <c r="B176" s="3843" t="s">
        <v>223</v>
      </c>
      <c r="C176" s="3833" t="s">
        <v>32</v>
      </c>
      <c r="D176" s="3833" t="s">
        <v>32</v>
      </c>
      <c r="E176" s="3844" t="s">
        <v>32</v>
      </c>
      <c r="F176" s="3833"/>
      <c r="G176" s="3833"/>
      <c r="H176" s="3833" t="s">
        <v>32</v>
      </c>
      <c r="I176" s="3833" t="s">
        <v>32</v>
      </c>
      <c r="J176" s="3835" t="s">
        <v>32</v>
      </c>
      <c r="K176" s="3844" t="s">
        <v>32</v>
      </c>
      <c r="L176" s="3844" t="s">
        <v>32</v>
      </c>
      <c r="M176" s="3844"/>
      <c r="N176" s="3844"/>
      <c r="O176" s="3844" t="s">
        <v>32</v>
      </c>
      <c r="P176" s="3844" t="s">
        <v>32</v>
      </c>
      <c r="Q176" s="3844" t="s">
        <v>32</v>
      </c>
      <c r="R176" s="3845" t="s">
        <v>32</v>
      </c>
      <c r="S176" s="3845" t="s">
        <v>32</v>
      </c>
      <c r="T176" s="3846"/>
      <c r="U176" s="3846"/>
      <c r="V176" s="3847" t="s">
        <v>32</v>
      </c>
      <c r="W176" s="3847" t="s">
        <v>32</v>
      </c>
      <c r="X176" s="3847" t="s">
        <v>32</v>
      </c>
      <c r="Y176" s="3847" t="s">
        <v>32</v>
      </c>
      <c r="Z176" s="3845" t="s">
        <v>32</v>
      </c>
      <c r="AA176" s="3846"/>
      <c r="AB176" s="3835"/>
      <c r="AC176" s="3848" t="s">
        <v>32</v>
      </c>
      <c r="AD176" s="3848" t="s">
        <v>32</v>
      </c>
      <c r="AE176" s="3846"/>
      <c r="AF176" s="3846"/>
      <c r="AG176" s="3836"/>
      <c r="AH176" s="203"/>
      <c r="AI176" s="179"/>
    </row>
    <row r="177" spans="1:35" ht="22.35" customHeight="1" x14ac:dyDescent="0.2">
      <c r="A177" s="3757">
        <v>2</v>
      </c>
      <c r="B177" s="3849" t="s">
        <v>224</v>
      </c>
      <c r="C177" s="3664" t="s">
        <v>225</v>
      </c>
      <c r="D177" s="3664" t="s">
        <v>225</v>
      </c>
      <c r="E177" s="3664" t="s">
        <v>225</v>
      </c>
      <c r="F177" s="3664"/>
      <c r="G177" s="3664"/>
      <c r="H177" s="3664" t="s">
        <v>154</v>
      </c>
      <c r="I177" s="3664" t="s">
        <v>154</v>
      </c>
      <c r="J177" s="3850" t="s">
        <v>154</v>
      </c>
      <c r="K177" s="3664" t="s">
        <v>154</v>
      </c>
      <c r="L177" s="3664" t="s">
        <v>154</v>
      </c>
      <c r="M177" s="3664" t="s">
        <v>154</v>
      </c>
      <c r="N177" s="3664"/>
      <c r="O177" s="3851" t="s">
        <v>226</v>
      </c>
      <c r="P177" s="3851" t="s">
        <v>226</v>
      </c>
      <c r="Q177" s="3851" t="s">
        <v>226</v>
      </c>
      <c r="R177" s="3851" t="s">
        <v>226</v>
      </c>
      <c r="S177" s="3851" t="s">
        <v>36</v>
      </c>
      <c r="T177" s="3851"/>
      <c r="U177" s="3851"/>
      <c r="V177" s="3664" t="s">
        <v>225</v>
      </c>
      <c r="W177" s="3664" t="s">
        <v>225</v>
      </c>
      <c r="X177" s="3664" t="s">
        <v>225</v>
      </c>
      <c r="Y177" s="3664" t="s">
        <v>225</v>
      </c>
      <c r="Z177" s="3664" t="s">
        <v>225</v>
      </c>
      <c r="AA177" s="3664"/>
      <c r="AB177" s="3664"/>
      <c r="AC177" s="3664" t="s">
        <v>154</v>
      </c>
      <c r="AD177" s="3664" t="s">
        <v>154</v>
      </c>
      <c r="AE177" s="3664"/>
      <c r="AF177" s="3664"/>
      <c r="AG177" s="613"/>
      <c r="AH177" s="203"/>
      <c r="AI177" s="179"/>
    </row>
    <row r="178" spans="1:35" ht="22.35" customHeight="1" x14ac:dyDescent="0.2">
      <c r="A178" s="3757">
        <v>3</v>
      </c>
      <c r="B178" s="3852" t="s">
        <v>365</v>
      </c>
      <c r="C178" s="3853" t="s">
        <v>154</v>
      </c>
      <c r="D178" s="3664" t="s">
        <v>154</v>
      </c>
      <c r="E178" s="3664" t="s">
        <v>154</v>
      </c>
      <c r="F178" s="3664" t="s">
        <v>154</v>
      </c>
      <c r="G178" s="3664"/>
      <c r="H178" s="3854" t="s">
        <v>226</v>
      </c>
      <c r="I178" s="3664" t="s">
        <v>226</v>
      </c>
      <c r="J178" s="3664" t="s">
        <v>226</v>
      </c>
      <c r="K178" s="3664" t="s">
        <v>226</v>
      </c>
      <c r="L178" s="3664" t="s">
        <v>36</v>
      </c>
      <c r="M178" s="3664"/>
      <c r="N178" s="3664"/>
      <c r="O178" s="3664"/>
      <c r="P178" s="3664" t="s">
        <v>225</v>
      </c>
      <c r="Q178" s="3850" t="s">
        <v>225</v>
      </c>
      <c r="R178" s="3850" t="s">
        <v>225</v>
      </c>
      <c r="S178" s="3664" t="s">
        <v>225</v>
      </c>
      <c r="T178" s="3664"/>
      <c r="U178" s="3664"/>
      <c r="V178" s="3664" t="s">
        <v>154</v>
      </c>
      <c r="W178" s="3664" t="s">
        <v>154</v>
      </c>
      <c r="X178" s="3664" t="s">
        <v>154</v>
      </c>
      <c r="Y178" s="3664" t="s">
        <v>154</v>
      </c>
      <c r="Z178" s="3664" t="s">
        <v>154</v>
      </c>
      <c r="AA178" s="3850" t="s">
        <v>154</v>
      </c>
      <c r="AB178" s="3850"/>
      <c r="AC178" s="3664" t="s">
        <v>226</v>
      </c>
      <c r="AD178" s="3664" t="s">
        <v>226</v>
      </c>
      <c r="AE178" s="3664"/>
      <c r="AF178" s="3664"/>
      <c r="AG178" s="613"/>
      <c r="AH178" s="203"/>
      <c r="AI178" s="179"/>
    </row>
    <row r="179" spans="1:35" ht="22.35" customHeight="1" x14ac:dyDescent="0.2">
      <c r="A179" s="3757">
        <v>4</v>
      </c>
      <c r="B179" s="3852" t="s">
        <v>228</v>
      </c>
      <c r="C179" s="3664" t="s">
        <v>32</v>
      </c>
      <c r="D179" s="3664"/>
      <c r="E179" s="3855" t="s">
        <v>32</v>
      </c>
      <c r="F179" s="3664"/>
      <c r="G179" s="3664"/>
      <c r="H179" s="3664"/>
      <c r="I179" s="3664" t="s">
        <v>229</v>
      </c>
      <c r="J179" s="3664" t="s">
        <v>32</v>
      </c>
      <c r="K179" s="3664"/>
      <c r="L179" s="3855" t="s">
        <v>32</v>
      </c>
      <c r="M179" s="3855"/>
      <c r="N179" s="3664"/>
      <c r="O179" s="3664"/>
      <c r="P179" s="3664" t="s">
        <v>229</v>
      </c>
      <c r="Q179" s="3664"/>
      <c r="R179" s="3664"/>
      <c r="S179" s="3664" t="s">
        <v>32</v>
      </c>
      <c r="T179" s="3664" t="s">
        <v>154</v>
      </c>
      <c r="U179" s="3664"/>
      <c r="V179" s="3664"/>
      <c r="W179" s="3664" t="s">
        <v>229</v>
      </c>
      <c r="X179" s="964" t="s">
        <v>32</v>
      </c>
      <c r="Y179" s="964" t="s">
        <v>101</v>
      </c>
      <c r="Z179" s="3562" t="s">
        <v>32</v>
      </c>
      <c r="AA179" s="3664"/>
      <c r="AB179" s="3664"/>
      <c r="AC179" s="3664"/>
      <c r="AD179" s="3664" t="s">
        <v>229</v>
      </c>
      <c r="AE179" s="3664"/>
      <c r="AF179" s="3664"/>
      <c r="AG179" s="613"/>
      <c r="AH179" s="203"/>
      <c r="AI179" s="179"/>
    </row>
    <row r="180" spans="1:35" ht="22.35" customHeight="1" x14ac:dyDescent="0.2">
      <c r="A180" s="3757">
        <v>5</v>
      </c>
      <c r="B180" s="3852"/>
      <c r="C180" s="3664"/>
      <c r="D180" s="3855" t="s">
        <v>32</v>
      </c>
      <c r="E180" s="3664"/>
      <c r="F180" s="3664"/>
      <c r="G180" s="3664"/>
      <c r="H180" s="3664" t="s">
        <v>229</v>
      </c>
      <c r="I180" s="3664"/>
      <c r="J180" s="3664"/>
      <c r="K180" s="3855" t="s">
        <v>32</v>
      </c>
      <c r="L180" s="3664"/>
      <c r="M180" s="3664"/>
      <c r="N180" s="3664"/>
      <c r="O180" s="3664" t="s">
        <v>229</v>
      </c>
      <c r="P180" s="3664"/>
      <c r="Q180" s="3664"/>
      <c r="R180" s="3664" t="s">
        <v>32</v>
      </c>
      <c r="S180" s="3664"/>
      <c r="T180" s="3664"/>
      <c r="U180" s="3664"/>
      <c r="V180" s="3664" t="s">
        <v>229</v>
      </c>
      <c r="W180" s="3664"/>
      <c r="X180" s="3664"/>
      <c r="Y180" s="3664" t="s">
        <v>32</v>
      </c>
      <c r="Z180" s="3664"/>
      <c r="AA180" s="3664"/>
      <c r="AB180" s="3664"/>
      <c r="AC180" s="3664" t="s">
        <v>229</v>
      </c>
      <c r="AD180" s="3664"/>
      <c r="AE180" s="3664"/>
      <c r="AF180" s="3664"/>
      <c r="AG180" s="613"/>
      <c r="AH180" s="203"/>
      <c r="AI180" s="179"/>
    </row>
    <row r="181" spans="1:35" ht="22.35" customHeight="1" x14ac:dyDescent="0.2">
      <c r="A181" s="3757">
        <v>6</v>
      </c>
      <c r="B181" s="3746" t="s">
        <v>231</v>
      </c>
      <c r="C181" s="3664" t="s">
        <v>32</v>
      </c>
      <c r="D181" s="3664" t="s">
        <v>32</v>
      </c>
      <c r="E181" s="3664" t="s">
        <v>32</v>
      </c>
      <c r="F181" s="3664"/>
      <c r="G181" s="3664"/>
      <c r="H181" s="3664" t="s">
        <v>32</v>
      </c>
      <c r="I181" s="3664" t="s">
        <v>32</v>
      </c>
      <c r="J181" s="3855" t="s">
        <v>32</v>
      </c>
      <c r="K181" s="3855" t="s">
        <v>32</v>
      </c>
      <c r="L181" s="3855" t="s">
        <v>32</v>
      </c>
      <c r="M181" s="3855"/>
      <c r="N181" s="3855"/>
      <c r="O181" s="3664" t="s">
        <v>32</v>
      </c>
      <c r="P181" s="3664" t="s">
        <v>32</v>
      </c>
      <c r="Q181" s="3664" t="s">
        <v>32</v>
      </c>
      <c r="R181" s="3664" t="s">
        <v>32</v>
      </c>
      <c r="S181" s="3856" t="s">
        <v>32</v>
      </c>
      <c r="T181" s="3850"/>
      <c r="U181" s="3664"/>
      <c r="V181" s="3850" t="s">
        <v>32</v>
      </c>
      <c r="W181" s="3850" t="s">
        <v>32</v>
      </c>
      <c r="X181" s="3855" t="s">
        <v>32</v>
      </c>
      <c r="Y181" s="3664" t="s">
        <v>32</v>
      </c>
      <c r="Z181" s="3664" t="s">
        <v>32</v>
      </c>
      <c r="AA181" s="3664"/>
      <c r="AB181" s="3664"/>
      <c r="AC181" s="3856" t="s">
        <v>32</v>
      </c>
      <c r="AD181" s="3850" t="s">
        <v>32</v>
      </c>
      <c r="AE181" s="3664"/>
      <c r="AF181" s="3850"/>
      <c r="AG181" s="3857"/>
      <c r="AH181" s="191"/>
      <c r="AI181" s="107"/>
    </row>
    <row r="182" spans="1:35" ht="22.35" customHeight="1" thickBot="1" x14ac:dyDescent="0.25">
      <c r="A182" s="3760"/>
      <c r="B182" s="3750"/>
      <c r="C182" s="3858"/>
      <c r="D182" s="3858"/>
      <c r="E182" s="3858"/>
      <c r="F182" s="3858"/>
      <c r="G182" s="3858"/>
      <c r="H182" s="3858"/>
      <c r="I182" s="3858"/>
      <c r="J182" s="3858"/>
      <c r="K182" s="3858"/>
      <c r="L182" s="3858"/>
      <c r="M182" s="3858"/>
      <c r="N182" s="3858"/>
      <c r="O182" s="3858"/>
      <c r="P182" s="3858"/>
      <c r="Q182" s="3858"/>
      <c r="R182" s="3858"/>
      <c r="S182" s="3858"/>
      <c r="T182" s="3858"/>
      <c r="U182" s="3858"/>
      <c r="V182" s="3858"/>
      <c r="W182" s="3858"/>
      <c r="X182" s="3858"/>
      <c r="Y182" s="3858"/>
      <c r="Z182" s="3858"/>
      <c r="AA182" s="3858"/>
      <c r="AB182" s="3858"/>
      <c r="AC182" s="3858"/>
      <c r="AD182" s="3858"/>
      <c r="AE182" s="3858"/>
      <c r="AF182" s="3858"/>
      <c r="AG182" s="3859"/>
      <c r="AH182" s="107"/>
      <c r="AI182" s="107"/>
    </row>
    <row r="183" spans="1:35" ht="22.35" customHeight="1" x14ac:dyDescent="0.2">
      <c r="A183" s="200"/>
      <c r="B183" s="198"/>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07"/>
      <c r="AI183" s="107"/>
    </row>
    <row r="184" spans="1:35" ht="22.35" customHeight="1" x14ac:dyDescent="0.2">
      <c r="A184" s="200"/>
      <c r="B184" s="198"/>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c r="AA184" s="199"/>
      <c r="AB184" s="199"/>
      <c r="AC184" s="199"/>
      <c r="AD184" s="199"/>
      <c r="AE184" s="199"/>
      <c r="AF184" s="199"/>
      <c r="AG184" s="199"/>
      <c r="AH184" s="107"/>
      <c r="AI184" s="107"/>
    </row>
    <row r="185" spans="1:35" ht="22.35" customHeight="1" thickBot="1" x14ac:dyDescent="0.25">
      <c r="A185" s="148" t="s">
        <v>232</v>
      </c>
      <c r="B185" s="72"/>
      <c r="C185" s="106"/>
      <c r="D185" s="72"/>
      <c r="E185" s="72"/>
      <c r="F185" s="106"/>
      <c r="G185" s="72"/>
      <c r="H185" s="72"/>
      <c r="I185" s="106"/>
      <c r="J185" s="106"/>
      <c r="K185" s="72"/>
      <c r="L185" s="106"/>
      <c r="M185" s="72"/>
      <c r="N185" s="72"/>
      <c r="O185" s="106"/>
      <c r="P185" s="72"/>
      <c r="Q185" s="106"/>
      <c r="R185" s="106"/>
      <c r="S185" s="72"/>
      <c r="T185" s="72"/>
      <c r="U185" s="106"/>
      <c r="V185" s="72"/>
      <c r="W185" s="106"/>
      <c r="X185" s="106"/>
      <c r="Y185" s="72"/>
      <c r="Z185" s="72"/>
      <c r="AA185" s="72"/>
      <c r="AB185" s="72"/>
      <c r="AC185" s="72"/>
      <c r="AD185" s="72"/>
      <c r="AE185" s="106"/>
      <c r="AF185" s="72"/>
      <c r="AG185" s="72"/>
      <c r="AH185" s="107"/>
      <c r="AI185" s="107"/>
    </row>
    <row r="186" spans="1:35" ht="22.35" customHeight="1" x14ac:dyDescent="0.2">
      <c r="A186" s="109"/>
      <c r="B186" s="3860" t="s">
        <v>233</v>
      </c>
      <c r="C186" s="3861"/>
      <c r="D186" s="361" t="s">
        <v>107</v>
      </c>
      <c r="E186" s="362"/>
      <c r="F186" s="3862"/>
      <c r="G186" s="3863"/>
      <c r="H186" s="361" t="s">
        <v>108</v>
      </c>
      <c r="I186" s="362"/>
      <c r="J186" s="3862"/>
      <c r="K186" s="3863"/>
      <c r="L186" s="361" t="s">
        <v>109</v>
      </c>
      <c r="M186" s="362"/>
      <c r="N186" s="3862"/>
      <c r="O186" s="3863"/>
      <c r="P186" s="361" t="s">
        <v>110</v>
      </c>
      <c r="Q186" s="362"/>
      <c r="R186" s="3862"/>
      <c r="S186" s="3863"/>
      <c r="T186" s="361" t="s">
        <v>111</v>
      </c>
      <c r="U186" s="362"/>
      <c r="V186" s="3862"/>
      <c r="W186" s="3863"/>
      <c r="X186" s="361" t="s">
        <v>112</v>
      </c>
      <c r="Y186" s="362"/>
      <c r="Z186" s="3862"/>
      <c r="AA186" s="3863"/>
      <c r="AB186" s="361" t="s">
        <v>113</v>
      </c>
      <c r="AC186" s="362"/>
      <c r="AD186" s="362"/>
      <c r="AE186" s="3864" t="s">
        <v>114</v>
      </c>
      <c r="AF186" s="362"/>
      <c r="AG186" s="362"/>
      <c r="AH186" s="362"/>
      <c r="AI186" s="3865"/>
    </row>
    <row r="187" spans="1:35" ht="22.35" customHeight="1" x14ac:dyDescent="0.2">
      <c r="A187" s="109"/>
      <c r="B187" s="3866" t="s">
        <v>234</v>
      </c>
      <c r="C187" s="3867" t="s">
        <v>235</v>
      </c>
      <c r="D187" s="3868" t="s">
        <v>236</v>
      </c>
      <c r="E187" s="3869"/>
      <c r="F187" s="3870"/>
      <c r="G187" s="3871"/>
      <c r="H187" s="3868" t="s">
        <v>236</v>
      </c>
      <c r="I187" s="3869"/>
      <c r="J187" s="3870"/>
      <c r="K187" s="3871"/>
      <c r="L187" s="3868" t="s">
        <v>236</v>
      </c>
      <c r="M187" s="3869"/>
      <c r="N187" s="3870"/>
      <c r="O187" s="3871"/>
      <c r="P187" s="3868" t="s">
        <v>237</v>
      </c>
      <c r="Q187" s="3869"/>
      <c r="R187" s="3870"/>
      <c r="S187" s="3871"/>
      <c r="T187" s="3868" t="s">
        <v>238</v>
      </c>
      <c r="U187" s="3870"/>
      <c r="V187" s="3870"/>
      <c r="W187" s="3872"/>
      <c r="X187" s="3873"/>
      <c r="Y187" s="3873"/>
      <c r="Z187" s="3874"/>
      <c r="AA187" s="3872"/>
      <c r="AB187" s="3873"/>
      <c r="AC187" s="3873"/>
      <c r="AD187" s="3873"/>
      <c r="AE187" s="3872"/>
      <c r="AF187" s="3873"/>
      <c r="AG187" s="3873"/>
      <c r="AH187" s="3875"/>
      <c r="AI187" s="3876"/>
    </row>
    <row r="188" spans="1:35" ht="22.35" customHeight="1" x14ac:dyDescent="0.2">
      <c r="A188" s="109"/>
      <c r="B188" s="3866" t="s">
        <v>234</v>
      </c>
      <c r="C188" s="3867" t="s">
        <v>239</v>
      </c>
      <c r="D188" s="3868" t="s">
        <v>236</v>
      </c>
      <c r="E188" s="3869"/>
      <c r="F188" s="3870"/>
      <c r="G188" s="3871"/>
      <c r="H188" s="3868" t="s">
        <v>236</v>
      </c>
      <c r="I188" s="3869"/>
      <c r="J188" s="3870"/>
      <c r="K188" s="3871"/>
      <c r="L188" s="3868" t="s">
        <v>236</v>
      </c>
      <c r="M188" s="3869"/>
      <c r="N188" s="3870"/>
      <c r="O188" s="3871"/>
      <c r="P188" s="3868" t="s">
        <v>237</v>
      </c>
      <c r="Q188" s="3869"/>
      <c r="R188" s="3870"/>
      <c r="S188" s="3871"/>
      <c r="T188" s="3868" t="s">
        <v>238</v>
      </c>
      <c r="U188" s="3870"/>
      <c r="V188" s="3870"/>
      <c r="W188" s="3872"/>
      <c r="X188" s="3873"/>
      <c r="Y188" s="3873"/>
      <c r="Z188" s="3874"/>
      <c r="AA188" s="3872"/>
      <c r="AB188" s="3873"/>
      <c r="AC188" s="3873"/>
      <c r="AD188" s="3873"/>
      <c r="AE188" s="3872"/>
      <c r="AF188" s="3873"/>
      <c r="AG188" s="3873"/>
      <c r="AH188" s="3875"/>
      <c r="AI188" s="3876"/>
    </row>
    <row r="189" spans="1:35" ht="22.35" customHeight="1" x14ac:dyDescent="0.2">
      <c r="A189" s="109"/>
      <c r="B189" s="3866" t="s">
        <v>240</v>
      </c>
      <c r="C189" s="3867" t="s">
        <v>50</v>
      </c>
      <c r="D189" s="3868" t="s">
        <v>236</v>
      </c>
      <c r="E189" s="3869"/>
      <c r="F189" s="3870"/>
      <c r="G189" s="3871"/>
      <c r="H189" s="3868" t="s">
        <v>236</v>
      </c>
      <c r="I189" s="3869"/>
      <c r="J189" s="3870"/>
      <c r="K189" s="3871"/>
      <c r="L189" s="3868" t="s">
        <v>236</v>
      </c>
      <c r="M189" s="3869"/>
      <c r="N189" s="3870"/>
      <c r="O189" s="3871"/>
      <c r="P189" s="3868" t="s">
        <v>453</v>
      </c>
      <c r="Q189" s="3869"/>
      <c r="R189" s="3870"/>
      <c r="S189" s="3871"/>
      <c r="T189" s="3868" t="s">
        <v>238</v>
      </c>
      <c r="U189" s="3870"/>
      <c r="V189" s="3870"/>
      <c r="W189" s="3872"/>
      <c r="X189" s="3873"/>
      <c r="Y189" s="3873"/>
      <c r="Z189" s="3874"/>
      <c r="AA189" s="3872"/>
      <c r="AB189" s="3873"/>
      <c r="AC189" s="3873"/>
      <c r="AD189" s="3873"/>
      <c r="AE189" s="3872"/>
      <c r="AF189" s="3873"/>
      <c r="AG189" s="3873"/>
      <c r="AH189" s="3875"/>
      <c r="AI189" s="3876"/>
    </row>
    <row r="190" spans="1:35" ht="22.35" customHeight="1" x14ac:dyDescent="0.2">
      <c r="A190" s="109"/>
      <c r="B190" s="3866" t="s">
        <v>242</v>
      </c>
      <c r="C190" s="3867" t="s">
        <v>243</v>
      </c>
      <c r="D190" s="3868" t="s">
        <v>315</v>
      </c>
      <c r="E190" s="3869"/>
      <c r="F190" s="3870"/>
      <c r="G190" s="3871"/>
      <c r="H190" s="3868" t="s">
        <v>315</v>
      </c>
      <c r="I190" s="3869"/>
      <c r="J190" s="3870"/>
      <c r="K190" s="3871"/>
      <c r="L190" s="3868" t="s">
        <v>315</v>
      </c>
      <c r="M190" s="3869"/>
      <c r="N190" s="3870"/>
      <c r="O190" s="3871"/>
      <c r="P190" s="3868" t="s">
        <v>437</v>
      </c>
      <c r="Q190" s="3869"/>
      <c r="R190" s="3870"/>
      <c r="S190" s="3871"/>
      <c r="T190" s="3868" t="s">
        <v>438</v>
      </c>
      <c r="U190" s="3870"/>
      <c r="V190" s="3870"/>
      <c r="W190" s="3872"/>
      <c r="X190" s="3873"/>
      <c r="Y190" s="3873"/>
      <c r="Z190" s="3874"/>
      <c r="AA190" s="3872"/>
      <c r="AB190" s="3873"/>
      <c r="AC190" s="3873"/>
      <c r="AD190" s="3873"/>
      <c r="AE190" s="3872"/>
      <c r="AF190" s="3873"/>
      <c r="AG190" s="3873"/>
      <c r="AH190" s="3875"/>
      <c r="AI190" s="3876"/>
    </row>
    <row r="191" spans="1:35" ht="22.35" customHeight="1" x14ac:dyDescent="0.2">
      <c r="A191" s="109"/>
      <c r="B191" s="3866" t="s">
        <v>248</v>
      </c>
      <c r="C191" s="3867" t="s">
        <v>249</v>
      </c>
      <c r="D191" s="3868" t="s">
        <v>250</v>
      </c>
      <c r="E191" s="3869"/>
      <c r="F191" s="3870"/>
      <c r="G191" s="3871"/>
      <c r="H191" s="3868" t="s">
        <v>250</v>
      </c>
      <c r="I191" s="3869"/>
      <c r="J191" s="3870"/>
      <c r="K191" s="3871"/>
      <c r="L191" s="3868" t="s">
        <v>251</v>
      </c>
      <c r="M191" s="3869"/>
      <c r="N191" s="3870"/>
      <c r="O191" s="3871"/>
      <c r="P191" s="3868" t="s">
        <v>252</v>
      </c>
      <c r="Q191" s="3869"/>
      <c r="R191" s="3870"/>
      <c r="S191" s="3871"/>
      <c r="T191" s="3868" t="s">
        <v>253</v>
      </c>
      <c r="U191" s="3870"/>
      <c r="V191" s="3870"/>
      <c r="W191" s="3872"/>
      <c r="X191" s="3873"/>
      <c r="Y191" s="3873"/>
      <c r="Z191" s="3874"/>
      <c r="AA191" s="3872"/>
      <c r="AB191" s="3873"/>
      <c r="AC191" s="3873"/>
      <c r="AD191" s="3873"/>
      <c r="AE191" s="3872"/>
      <c r="AF191" s="3873"/>
      <c r="AG191" s="3873"/>
      <c r="AH191" s="3875"/>
      <c r="AI191" s="3876"/>
    </row>
    <row r="192" spans="1:35" ht="22.35" customHeight="1" x14ac:dyDescent="0.2">
      <c r="A192" s="109"/>
      <c r="B192" s="3866" t="s">
        <v>254</v>
      </c>
      <c r="C192" s="3867" t="s">
        <v>142</v>
      </c>
      <c r="D192" s="3868" t="s">
        <v>236</v>
      </c>
      <c r="E192" s="3869"/>
      <c r="F192" s="3870"/>
      <c r="G192" s="3871"/>
      <c r="H192" s="3868" t="s">
        <v>236</v>
      </c>
      <c r="I192" s="3869"/>
      <c r="J192" s="3870"/>
      <c r="K192" s="3871"/>
      <c r="L192" s="3868" t="s">
        <v>236</v>
      </c>
      <c r="M192" s="3869"/>
      <c r="N192" s="3870"/>
      <c r="O192" s="3871"/>
      <c r="P192" s="3868" t="s">
        <v>236</v>
      </c>
      <c r="Q192" s="3869"/>
      <c r="R192" s="3870"/>
      <c r="S192" s="3871"/>
      <c r="T192" s="3868" t="s">
        <v>250</v>
      </c>
      <c r="U192" s="3870"/>
      <c r="V192" s="3870"/>
      <c r="W192" s="3872"/>
      <c r="X192" s="3873"/>
      <c r="Y192" s="3873"/>
      <c r="Z192" s="3874"/>
      <c r="AA192" s="3872"/>
      <c r="AB192" s="3873"/>
      <c r="AC192" s="3873"/>
      <c r="AD192" s="3873"/>
      <c r="AE192" s="3872"/>
      <c r="AF192" s="3873"/>
      <c r="AG192" s="3873"/>
      <c r="AH192" s="3875"/>
      <c r="AI192" s="3876"/>
    </row>
    <row r="193" spans="1:36" ht="22.35" customHeight="1" x14ac:dyDescent="0.2">
      <c r="A193" s="109"/>
      <c r="B193" s="3866" t="s">
        <v>255</v>
      </c>
      <c r="C193" s="3867" t="s">
        <v>134</v>
      </c>
      <c r="D193" s="3868" t="s">
        <v>236</v>
      </c>
      <c r="E193" s="3869"/>
      <c r="F193" s="3870"/>
      <c r="G193" s="3871"/>
      <c r="H193" s="3868" t="s">
        <v>236</v>
      </c>
      <c r="I193" s="3869"/>
      <c r="J193" s="3870"/>
      <c r="K193" s="3871"/>
      <c r="L193" s="3868" t="s">
        <v>236</v>
      </c>
      <c r="M193" s="3869"/>
      <c r="N193" s="3870"/>
      <c r="O193" s="3871"/>
      <c r="P193" s="3868" t="s">
        <v>237</v>
      </c>
      <c r="Q193" s="3869"/>
      <c r="R193" s="3870"/>
      <c r="S193" s="3871"/>
      <c r="T193" s="3868" t="s">
        <v>238</v>
      </c>
      <c r="U193" s="3870"/>
      <c r="V193" s="3870"/>
      <c r="W193" s="3872"/>
      <c r="X193" s="3873"/>
      <c r="Y193" s="3873"/>
      <c r="Z193" s="3874"/>
      <c r="AA193" s="3872"/>
      <c r="AB193" s="3873"/>
      <c r="AC193" s="3873"/>
      <c r="AD193" s="3873"/>
      <c r="AE193" s="3872"/>
      <c r="AF193" s="3873"/>
      <c r="AG193" s="3873"/>
      <c r="AH193" s="3875"/>
      <c r="AI193" s="3876"/>
    </row>
    <row r="194" spans="1:36" ht="22.35" customHeight="1" x14ac:dyDescent="0.2">
      <c r="A194" s="109"/>
      <c r="B194" s="3866" t="s">
        <v>255</v>
      </c>
      <c r="C194" s="3867" t="s">
        <v>176</v>
      </c>
      <c r="D194" s="3868" t="s">
        <v>236</v>
      </c>
      <c r="E194" s="3869"/>
      <c r="F194" s="3870"/>
      <c r="G194" s="3871"/>
      <c r="H194" s="3868" t="s">
        <v>236</v>
      </c>
      <c r="I194" s="3869"/>
      <c r="J194" s="3870"/>
      <c r="K194" s="3871"/>
      <c r="L194" s="3868" t="s">
        <v>236</v>
      </c>
      <c r="M194" s="3869"/>
      <c r="N194" s="3870"/>
      <c r="O194" s="3871"/>
      <c r="P194" s="3868" t="s">
        <v>237</v>
      </c>
      <c r="Q194" s="3869"/>
      <c r="R194" s="3870"/>
      <c r="S194" s="3871"/>
      <c r="T194" s="3868" t="s">
        <v>238</v>
      </c>
      <c r="U194" s="3870"/>
      <c r="V194" s="3870"/>
      <c r="W194" s="3872"/>
      <c r="X194" s="3873"/>
      <c r="Y194" s="3873"/>
      <c r="Z194" s="3874"/>
      <c r="AA194" s="3872"/>
      <c r="AB194" s="3873"/>
      <c r="AC194" s="3873"/>
      <c r="AD194" s="3873"/>
      <c r="AE194" s="3872"/>
      <c r="AF194" s="3873"/>
      <c r="AG194" s="3873"/>
      <c r="AH194" s="3875"/>
      <c r="AI194" s="3876"/>
    </row>
    <row r="195" spans="1:36" ht="22.35" customHeight="1" x14ac:dyDescent="0.2">
      <c r="A195" s="109"/>
      <c r="B195" s="3866" t="s">
        <v>256</v>
      </c>
      <c r="C195" s="3867" t="s">
        <v>257</v>
      </c>
      <c r="D195" s="3868" t="s">
        <v>236</v>
      </c>
      <c r="E195" s="3869"/>
      <c r="F195" s="3870"/>
      <c r="G195" s="3871"/>
      <c r="H195" s="3868" t="s">
        <v>236</v>
      </c>
      <c r="I195" s="3869"/>
      <c r="J195" s="3870"/>
      <c r="K195" s="3871"/>
      <c r="L195" s="3868" t="s">
        <v>236</v>
      </c>
      <c r="M195" s="3869"/>
      <c r="N195" s="3870"/>
      <c r="O195" s="3871"/>
      <c r="P195" s="3868" t="s">
        <v>258</v>
      </c>
      <c r="Q195" s="3869"/>
      <c r="R195" s="3870"/>
      <c r="S195" s="3871"/>
      <c r="T195" s="3868" t="s">
        <v>253</v>
      </c>
      <c r="U195" s="3870"/>
      <c r="V195" s="3870"/>
      <c r="W195" s="3872"/>
      <c r="X195" s="3873"/>
      <c r="Y195" s="3873"/>
      <c r="Z195" s="3874"/>
      <c r="AA195" s="3872"/>
      <c r="AB195" s="3873"/>
      <c r="AC195" s="3873"/>
      <c r="AD195" s="3873"/>
      <c r="AE195" s="3872"/>
      <c r="AF195" s="3873"/>
      <c r="AG195" s="3873"/>
      <c r="AH195" s="3875"/>
      <c r="AI195" s="3876"/>
    </row>
    <row r="196" spans="1:36" ht="22.35" customHeight="1" x14ac:dyDescent="0.2">
      <c r="A196" s="109"/>
      <c r="B196" s="3877" t="s">
        <v>259</v>
      </c>
      <c r="C196" s="3878" t="s">
        <v>95</v>
      </c>
      <c r="D196" s="3879" t="s">
        <v>236</v>
      </c>
      <c r="E196" s="3880"/>
      <c r="F196" s="3881"/>
      <c r="G196" s="3878"/>
      <c r="H196" s="3879" t="s">
        <v>236</v>
      </c>
      <c r="I196" s="3880"/>
      <c r="J196" s="3881"/>
      <c r="K196" s="3878"/>
      <c r="L196" s="3879" t="s">
        <v>236</v>
      </c>
      <c r="M196" s="3880"/>
      <c r="N196" s="3881"/>
      <c r="O196" s="3878"/>
      <c r="P196" s="3879" t="s">
        <v>237</v>
      </c>
      <c r="Q196" s="3880"/>
      <c r="R196" s="3881"/>
      <c r="S196" s="3878"/>
      <c r="T196" s="3879" t="s">
        <v>238</v>
      </c>
      <c r="U196" s="3881"/>
      <c r="V196" s="388"/>
      <c r="W196" s="3882"/>
      <c r="X196" s="188"/>
      <c r="Y196" s="188"/>
      <c r="Z196" s="388"/>
      <c r="AA196" s="3882"/>
      <c r="AB196" s="188"/>
      <c r="AC196" s="188"/>
      <c r="AD196" s="188"/>
      <c r="AE196" s="3882"/>
      <c r="AF196" s="188"/>
      <c r="AG196" s="188"/>
      <c r="AH196" s="189"/>
      <c r="AI196" s="3883"/>
      <c r="AJ196" s="190"/>
    </row>
    <row r="197" spans="1:36" ht="22.35" customHeight="1" x14ac:dyDescent="0.2">
      <c r="A197" s="109"/>
      <c r="B197" s="3866" t="s">
        <v>260</v>
      </c>
      <c r="C197" s="3867" t="s">
        <v>177</v>
      </c>
      <c r="D197" s="3868" t="s">
        <v>236</v>
      </c>
      <c r="E197" s="3869"/>
      <c r="F197" s="3870"/>
      <c r="G197" s="3871"/>
      <c r="H197" s="3868" t="s">
        <v>236</v>
      </c>
      <c r="I197" s="3869"/>
      <c r="J197" s="3870"/>
      <c r="K197" s="3871"/>
      <c r="L197" s="3868" t="s">
        <v>236</v>
      </c>
      <c r="M197" s="3869"/>
      <c r="N197" s="3870"/>
      <c r="O197" s="3871"/>
      <c r="P197" s="3868" t="s">
        <v>237</v>
      </c>
      <c r="Q197" s="3869"/>
      <c r="R197" s="3870"/>
      <c r="S197" s="3871"/>
      <c r="T197" s="3868" t="s">
        <v>238</v>
      </c>
      <c r="U197" s="3870"/>
      <c r="V197" s="3869"/>
      <c r="W197" s="3872"/>
      <c r="X197" s="3873"/>
      <c r="Y197" s="3873"/>
      <c r="Z197" s="3873"/>
      <c r="AA197" s="3872"/>
      <c r="AB197" s="3873"/>
      <c r="AC197" s="3873"/>
      <c r="AD197" s="3873"/>
      <c r="AE197" s="3872"/>
      <c r="AF197" s="3873"/>
      <c r="AG197" s="3873"/>
      <c r="AH197" s="3875"/>
      <c r="AI197" s="3876"/>
      <c r="AJ197" s="190"/>
    </row>
    <row r="198" spans="1:36" ht="22.35" customHeight="1" x14ac:dyDescent="0.2">
      <c r="A198" s="109"/>
      <c r="B198" s="3866" t="s">
        <v>261</v>
      </c>
      <c r="C198" s="3867" t="s">
        <v>137</v>
      </c>
      <c r="D198" s="3868" t="s">
        <v>262</v>
      </c>
      <c r="E198" s="3869"/>
      <c r="F198" s="3870"/>
      <c r="G198" s="3871"/>
      <c r="H198" s="3868" t="s">
        <v>262</v>
      </c>
      <c r="I198" s="3869"/>
      <c r="J198" s="3870"/>
      <c r="K198" s="3871"/>
      <c r="L198" s="3868" t="s">
        <v>262</v>
      </c>
      <c r="M198" s="3869"/>
      <c r="N198" s="3869"/>
      <c r="O198" s="3871"/>
      <c r="P198" s="3868" t="s">
        <v>262</v>
      </c>
      <c r="Q198" s="3869"/>
      <c r="R198" s="3869"/>
      <c r="S198" s="3871"/>
      <c r="T198" s="3868" t="s">
        <v>253</v>
      </c>
      <c r="U198" s="3870"/>
      <c r="V198" s="3869"/>
      <c r="W198" s="3884"/>
      <c r="X198" s="3873"/>
      <c r="Y198" s="3873"/>
      <c r="Z198" s="3873"/>
      <c r="AA198" s="3872"/>
      <c r="AB198" s="3873"/>
      <c r="AC198" s="3873"/>
      <c r="AD198" s="3873"/>
      <c r="AE198" s="3872"/>
      <c r="AF198" s="3873"/>
      <c r="AG198" s="3873"/>
      <c r="AH198" s="3875"/>
      <c r="AI198" s="3876"/>
      <c r="AJ198" s="190"/>
    </row>
    <row r="199" spans="1:36" ht="22.35" customHeight="1" x14ac:dyDescent="0.2">
      <c r="A199" s="109"/>
      <c r="B199" s="3866" t="s">
        <v>263</v>
      </c>
      <c r="C199" s="3867" t="s">
        <v>264</v>
      </c>
      <c r="D199" s="3868" t="s">
        <v>262</v>
      </c>
      <c r="E199" s="3869"/>
      <c r="F199" s="3870"/>
      <c r="G199" s="3871"/>
      <c r="H199" s="3868" t="s">
        <v>262</v>
      </c>
      <c r="I199" s="3869"/>
      <c r="J199" s="3870"/>
      <c r="K199" s="3871"/>
      <c r="L199" s="3868" t="s">
        <v>262</v>
      </c>
      <c r="M199" s="3869"/>
      <c r="N199" s="3869"/>
      <c r="O199" s="3871"/>
      <c r="P199" s="3868" t="s">
        <v>262</v>
      </c>
      <c r="Q199" s="3869"/>
      <c r="R199" s="3869"/>
      <c r="S199" s="3871"/>
      <c r="T199" s="3868" t="s">
        <v>253</v>
      </c>
      <c r="U199" s="3870"/>
      <c r="V199" s="3869"/>
      <c r="W199" s="3884"/>
      <c r="X199" s="3873"/>
      <c r="Y199" s="3873"/>
      <c r="Z199" s="3874"/>
      <c r="AA199" s="3885"/>
      <c r="AB199" s="3873"/>
      <c r="AC199" s="3873"/>
      <c r="AD199" s="3873"/>
      <c r="AE199" s="3872"/>
      <c r="AF199" s="3873"/>
      <c r="AG199" s="3873"/>
      <c r="AH199" s="3875"/>
      <c r="AI199" s="3876"/>
      <c r="AJ199" s="190"/>
    </row>
    <row r="200" spans="1:36" ht="22.35" customHeight="1" thickBot="1" x14ac:dyDescent="0.25">
      <c r="A200" s="109"/>
      <c r="B200" s="3886" t="s">
        <v>265</v>
      </c>
      <c r="C200" s="3887" t="s">
        <v>266</v>
      </c>
      <c r="D200" s="3888" t="s">
        <v>262</v>
      </c>
      <c r="E200" s="3889"/>
      <c r="F200" s="3890"/>
      <c r="G200" s="3891"/>
      <c r="H200" s="3888" t="s">
        <v>262</v>
      </c>
      <c r="I200" s="3889"/>
      <c r="J200" s="3890"/>
      <c r="K200" s="3891"/>
      <c r="L200" s="3888" t="s">
        <v>262</v>
      </c>
      <c r="M200" s="3889"/>
      <c r="N200" s="3889"/>
      <c r="O200" s="3891"/>
      <c r="P200" s="3888" t="s">
        <v>262</v>
      </c>
      <c r="Q200" s="3889"/>
      <c r="R200" s="3889"/>
      <c r="S200" s="3891"/>
      <c r="T200" s="3888" t="s">
        <v>253</v>
      </c>
      <c r="U200" s="3890"/>
      <c r="V200" s="3889"/>
      <c r="W200" s="3892"/>
      <c r="X200" s="3893"/>
      <c r="Y200" s="3893"/>
      <c r="Z200" s="3894"/>
      <c r="AA200" s="3895"/>
      <c r="AB200" s="3893"/>
      <c r="AC200" s="3893"/>
      <c r="AD200" s="3893"/>
      <c r="AE200" s="3896"/>
      <c r="AF200" s="3893"/>
      <c r="AG200" s="3893"/>
      <c r="AH200" s="3897"/>
      <c r="AI200" s="3898"/>
      <c r="AJ200" s="190"/>
    </row>
    <row r="201" spans="1:36" ht="22.35" customHeight="1" x14ac:dyDescent="0.2">
      <c r="A201" s="109"/>
      <c r="B201" s="206"/>
      <c r="C201" s="207"/>
      <c r="D201" s="208"/>
      <c r="E201" s="209"/>
      <c r="F201" s="209"/>
      <c r="G201" s="210"/>
      <c r="H201" s="208"/>
      <c r="I201" s="209"/>
      <c r="J201" s="209"/>
      <c r="K201" s="210"/>
      <c r="L201" s="208"/>
      <c r="M201" s="209"/>
      <c r="N201" s="209"/>
      <c r="O201" s="210"/>
      <c r="P201" s="198"/>
      <c r="Q201" s="209"/>
      <c r="R201" s="209"/>
      <c r="S201" s="210"/>
      <c r="T201" s="198"/>
      <c r="U201" s="209"/>
      <c r="V201" s="209"/>
      <c r="W201" s="209"/>
      <c r="X201" s="209"/>
      <c r="Y201" s="209"/>
      <c r="Z201" s="209"/>
      <c r="AA201" s="210"/>
      <c r="AB201" s="209"/>
      <c r="AC201" s="209"/>
      <c r="AD201" s="209"/>
      <c r="AE201" s="210"/>
      <c r="AF201" s="209"/>
      <c r="AG201" s="209"/>
      <c r="AH201" s="191"/>
      <c r="AI201" s="191"/>
      <c r="AJ201" s="190"/>
    </row>
    <row r="202" spans="1:36" ht="22.35" customHeight="1" thickBot="1" x14ac:dyDescent="0.25">
      <c r="A202" s="147"/>
      <c r="B202" s="3899" t="s">
        <v>29</v>
      </c>
      <c r="C202" s="3528">
        <v>1</v>
      </c>
      <c r="D202" s="3528">
        <v>2</v>
      </c>
      <c r="E202" s="3528">
        <v>3</v>
      </c>
      <c r="F202" s="3529">
        <v>4</v>
      </c>
      <c r="G202" s="3529">
        <v>5</v>
      </c>
      <c r="H202" s="3528">
        <v>6</v>
      </c>
      <c r="I202" s="3528">
        <v>7</v>
      </c>
      <c r="J202" s="3528">
        <v>8</v>
      </c>
      <c r="K202" s="3528">
        <v>9</v>
      </c>
      <c r="L202" s="3528">
        <v>10</v>
      </c>
      <c r="M202" s="3529">
        <v>11</v>
      </c>
      <c r="N202" s="3529">
        <v>12</v>
      </c>
      <c r="O202" s="3528">
        <v>13</v>
      </c>
      <c r="P202" s="3528">
        <v>14</v>
      </c>
      <c r="Q202" s="3528">
        <v>15</v>
      </c>
      <c r="R202" s="3528">
        <v>16</v>
      </c>
      <c r="S202" s="3528">
        <v>17</v>
      </c>
      <c r="T202" s="3529">
        <v>18</v>
      </c>
      <c r="U202" s="3529">
        <v>19</v>
      </c>
      <c r="V202" s="3528">
        <v>20</v>
      </c>
      <c r="W202" s="3528">
        <v>21</v>
      </c>
      <c r="X202" s="3528">
        <v>22</v>
      </c>
      <c r="Y202" s="3528">
        <v>23</v>
      </c>
      <c r="Z202" s="3528">
        <v>24</v>
      </c>
      <c r="AA202" s="3529">
        <v>25</v>
      </c>
      <c r="AB202" s="3529">
        <v>26</v>
      </c>
      <c r="AC202" s="3528">
        <v>27</v>
      </c>
      <c r="AD202" s="3528">
        <v>28</v>
      </c>
      <c r="AE202" s="3528"/>
      <c r="AF202" s="3528"/>
      <c r="AG202" s="3530"/>
      <c r="AH202" s="180"/>
      <c r="AI202" s="174"/>
    </row>
    <row r="203" spans="1:36" ht="22.35" customHeight="1" thickBot="1" x14ac:dyDescent="0.25">
      <c r="A203" s="109"/>
      <c r="B203" s="3900" t="s">
        <v>267</v>
      </c>
      <c r="C203" s="3901" t="s">
        <v>235</v>
      </c>
      <c r="D203" s="3902" t="s">
        <v>235</v>
      </c>
      <c r="E203" s="3902" t="s">
        <v>235</v>
      </c>
      <c r="F203" s="3902"/>
      <c r="G203" s="3902"/>
      <c r="H203" s="3902" t="s">
        <v>235</v>
      </c>
      <c r="I203" s="3902" t="s">
        <v>235</v>
      </c>
      <c r="J203" s="3903" t="s">
        <v>235</v>
      </c>
      <c r="K203" s="3902" t="s">
        <v>235</v>
      </c>
      <c r="L203" s="3902" t="s">
        <v>235</v>
      </c>
      <c r="M203" s="3902"/>
      <c r="N203" s="3902"/>
      <c r="O203" s="3902" t="s">
        <v>235</v>
      </c>
      <c r="P203" s="3902" t="s">
        <v>235</v>
      </c>
      <c r="Q203" s="3902" t="s">
        <v>235</v>
      </c>
      <c r="R203" s="3902" t="s">
        <v>235</v>
      </c>
      <c r="S203" s="3902" t="s">
        <v>235</v>
      </c>
      <c r="T203" s="3902"/>
      <c r="U203" s="3902"/>
      <c r="V203" s="3902" t="s">
        <v>235</v>
      </c>
      <c r="W203" s="3902" t="s">
        <v>235</v>
      </c>
      <c r="X203" s="3902" t="s">
        <v>235</v>
      </c>
      <c r="Y203" s="3902" t="s">
        <v>235</v>
      </c>
      <c r="Z203" s="3902" t="s">
        <v>235</v>
      </c>
      <c r="AA203" s="3902"/>
      <c r="AB203" s="3902"/>
      <c r="AC203" s="3902" t="s">
        <v>235</v>
      </c>
      <c r="AD203" s="3902" t="s">
        <v>235</v>
      </c>
      <c r="AE203" s="3902"/>
      <c r="AF203" s="3902"/>
      <c r="AG203" s="3902"/>
      <c r="AH203" s="179"/>
      <c r="AI203" s="179"/>
    </row>
    <row r="204" spans="1:36" ht="22.35" customHeight="1" x14ac:dyDescent="0.2">
      <c r="A204" s="109"/>
      <c r="B204" s="3904" t="s">
        <v>268</v>
      </c>
      <c r="C204" s="3905" t="s">
        <v>235</v>
      </c>
      <c r="D204" s="3905" t="s">
        <v>235</v>
      </c>
      <c r="E204" s="3905" t="s">
        <v>235</v>
      </c>
      <c r="F204" s="3905"/>
      <c r="G204" s="3905"/>
      <c r="H204" s="3905" t="s">
        <v>235</v>
      </c>
      <c r="I204" s="3905" t="s">
        <v>235</v>
      </c>
      <c r="J204" s="3905" t="s">
        <v>235</v>
      </c>
      <c r="K204" s="3905" t="s">
        <v>235</v>
      </c>
      <c r="L204" s="3902" t="s">
        <v>235</v>
      </c>
      <c r="M204" s="3905"/>
      <c r="N204" s="3905"/>
      <c r="O204" s="3905" t="s">
        <v>235</v>
      </c>
      <c r="P204" s="3905" t="s">
        <v>235</v>
      </c>
      <c r="Q204" s="3905" t="s">
        <v>235</v>
      </c>
      <c r="R204" s="3905" t="s">
        <v>235</v>
      </c>
      <c r="S204" s="184" t="s">
        <v>32</v>
      </c>
      <c r="T204" s="3905"/>
      <c r="U204" s="3905"/>
      <c r="V204" s="3905" t="s">
        <v>235</v>
      </c>
      <c r="W204" s="3905" t="s">
        <v>235</v>
      </c>
      <c r="X204" s="3905" t="s">
        <v>235</v>
      </c>
      <c r="Y204" s="3905" t="s">
        <v>235</v>
      </c>
      <c r="Z204" s="3905" t="s">
        <v>235</v>
      </c>
      <c r="AA204" s="3905"/>
      <c r="AB204" s="3905"/>
      <c r="AC204" s="3905" t="s">
        <v>235</v>
      </c>
      <c r="AD204" s="3905" t="s">
        <v>235</v>
      </c>
      <c r="AE204" s="3905"/>
      <c r="AF204" s="3905"/>
      <c r="AG204" s="3905"/>
      <c r="AH204" s="179"/>
      <c r="AI204" s="179"/>
    </row>
    <row r="205" spans="1:36" ht="22.35" customHeight="1" x14ac:dyDescent="0.2">
      <c r="A205" s="109"/>
      <c r="B205" s="3904" t="s">
        <v>270</v>
      </c>
      <c r="C205" s="3905" t="s">
        <v>235</v>
      </c>
      <c r="D205" s="3905" t="s">
        <v>239</v>
      </c>
      <c r="E205" s="3905" t="s">
        <v>239</v>
      </c>
      <c r="F205" s="3905"/>
      <c r="G205" s="3905"/>
      <c r="H205" s="3905" t="s">
        <v>239</v>
      </c>
      <c r="I205" s="3905" t="s">
        <v>239</v>
      </c>
      <c r="J205" s="3905" t="s">
        <v>235</v>
      </c>
      <c r="K205" s="3905" t="s">
        <v>239</v>
      </c>
      <c r="L205" s="3905" t="s">
        <v>239</v>
      </c>
      <c r="M205" s="3906" t="s">
        <v>0</v>
      </c>
      <c r="N205" s="3905"/>
      <c r="O205" s="3907" t="s">
        <v>239</v>
      </c>
      <c r="P205" s="3905" t="s">
        <v>239</v>
      </c>
      <c r="Q205" s="3905" t="s">
        <v>235</v>
      </c>
      <c r="R205" s="3905" t="s">
        <v>239</v>
      </c>
      <c r="S205" s="3905" t="s">
        <v>239</v>
      </c>
      <c r="T205" s="3905"/>
      <c r="U205" s="3905"/>
      <c r="V205" s="3905" t="s">
        <v>239</v>
      </c>
      <c r="W205" s="3905" t="s">
        <v>239</v>
      </c>
      <c r="X205" s="3905" t="s">
        <v>235</v>
      </c>
      <c r="Y205" s="3905" t="s">
        <v>239</v>
      </c>
      <c r="Z205" s="3905" t="s">
        <v>239</v>
      </c>
      <c r="AA205" s="3905"/>
      <c r="AB205" s="3905"/>
      <c r="AC205" s="3905" t="s">
        <v>239</v>
      </c>
      <c r="AD205" s="3905" t="s">
        <v>239</v>
      </c>
      <c r="AE205" s="3905"/>
      <c r="AF205" s="3905"/>
      <c r="AG205" s="3905"/>
      <c r="AH205" s="179"/>
      <c r="AI205" s="179"/>
    </row>
    <row r="206" spans="1:36" ht="22.35" customHeight="1" x14ac:dyDescent="0.2">
      <c r="A206" s="109"/>
      <c r="B206" s="3904" t="s">
        <v>271</v>
      </c>
      <c r="C206" s="3905" t="s">
        <v>50</v>
      </c>
      <c r="D206" s="3905" t="s">
        <v>50</v>
      </c>
      <c r="E206" s="3905" t="s">
        <v>50</v>
      </c>
      <c r="F206" s="3905"/>
      <c r="G206" s="3905"/>
      <c r="H206" s="3905" t="s">
        <v>50</v>
      </c>
      <c r="I206" s="3905" t="s">
        <v>50</v>
      </c>
      <c r="J206" s="3905" t="s">
        <v>50</v>
      </c>
      <c r="K206" s="3905" t="s">
        <v>50</v>
      </c>
      <c r="L206" s="3905" t="s">
        <v>50</v>
      </c>
      <c r="M206" s="3905"/>
      <c r="N206" s="3905"/>
      <c r="O206" s="3908" t="s">
        <v>50</v>
      </c>
      <c r="P206" s="3908" t="s">
        <v>50</v>
      </c>
      <c r="Q206" s="3908" t="s">
        <v>50</v>
      </c>
      <c r="R206" s="3908" t="s">
        <v>50</v>
      </c>
      <c r="S206" s="3908" t="s">
        <v>50</v>
      </c>
      <c r="T206" s="3908"/>
      <c r="U206" s="3908"/>
      <c r="V206" s="3905" t="s">
        <v>50</v>
      </c>
      <c r="W206" s="3905" t="s">
        <v>50</v>
      </c>
      <c r="X206" s="3905" t="s">
        <v>50</v>
      </c>
      <c r="Y206" s="3905" t="s">
        <v>50</v>
      </c>
      <c r="Z206" s="3905" t="s">
        <v>50</v>
      </c>
      <c r="AA206" s="3905"/>
      <c r="AB206" s="3905"/>
      <c r="AC206" s="3905" t="s">
        <v>50</v>
      </c>
      <c r="AD206" s="3905" t="s">
        <v>50</v>
      </c>
      <c r="AE206" s="3905"/>
      <c r="AF206" s="3905"/>
      <c r="AG206" s="3905"/>
      <c r="AH206" s="179"/>
      <c r="AI206" s="179"/>
    </row>
    <row r="207" spans="1:36" ht="22.35" customHeight="1" x14ac:dyDescent="0.2">
      <c r="A207" s="109"/>
      <c r="B207" s="3909" t="s">
        <v>272</v>
      </c>
      <c r="C207" s="3905" t="s">
        <v>243</v>
      </c>
      <c r="D207" s="3905" t="s">
        <v>243</v>
      </c>
      <c r="E207" s="3905" t="s">
        <v>243</v>
      </c>
      <c r="F207" s="3905"/>
      <c r="G207" s="3905"/>
      <c r="H207" s="3905" t="s">
        <v>243</v>
      </c>
      <c r="I207" s="3905" t="s">
        <v>243</v>
      </c>
      <c r="J207" s="3905" t="s">
        <v>243</v>
      </c>
      <c r="K207" s="3905" t="s">
        <v>243</v>
      </c>
      <c r="L207" s="3905" t="s">
        <v>243</v>
      </c>
      <c r="M207" s="3905"/>
      <c r="N207" s="3905"/>
      <c r="O207" s="3908" t="s">
        <v>243</v>
      </c>
      <c r="P207" s="3908" t="s">
        <v>243</v>
      </c>
      <c r="Q207" s="3908" t="s">
        <v>243</v>
      </c>
      <c r="R207" s="3908" t="s">
        <v>243</v>
      </c>
      <c r="S207" s="3908" t="s">
        <v>243</v>
      </c>
      <c r="T207" s="3908"/>
      <c r="U207" s="3908"/>
      <c r="V207" s="3910" t="s">
        <v>243</v>
      </c>
      <c r="W207" s="3910" t="s">
        <v>391</v>
      </c>
      <c r="X207" s="3911" t="s">
        <v>243</v>
      </c>
      <c r="Y207" s="3911" t="s">
        <v>243</v>
      </c>
      <c r="Z207" s="3911" t="s">
        <v>243</v>
      </c>
      <c r="AA207" s="3905"/>
      <c r="AB207" s="3905"/>
      <c r="AC207" s="3905" t="s">
        <v>243</v>
      </c>
      <c r="AD207" s="3905" t="s">
        <v>243</v>
      </c>
      <c r="AE207" s="3905"/>
      <c r="AF207" s="3905"/>
      <c r="AG207" s="3905"/>
      <c r="AH207" s="179"/>
      <c r="AI207" s="179"/>
    </row>
    <row r="208" spans="1:36" ht="22.35" customHeight="1" x14ac:dyDescent="0.2">
      <c r="A208" s="109"/>
      <c r="B208" s="3912" t="s">
        <v>0</v>
      </c>
      <c r="C208" s="3905" t="s">
        <v>249</v>
      </c>
      <c r="D208" s="3905" t="s">
        <v>249</v>
      </c>
      <c r="E208" s="3905" t="s">
        <v>249</v>
      </c>
      <c r="F208" s="3905"/>
      <c r="G208" s="3905"/>
      <c r="H208" s="3905" t="s">
        <v>249</v>
      </c>
      <c r="I208" s="3905" t="s">
        <v>249</v>
      </c>
      <c r="J208" s="3905" t="s">
        <v>249</v>
      </c>
      <c r="K208" s="3905" t="s">
        <v>249</v>
      </c>
      <c r="L208" s="3905" t="s">
        <v>249</v>
      </c>
      <c r="M208" s="3905"/>
      <c r="N208" s="3905"/>
      <c r="O208" s="3905" t="s">
        <v>249</v>
      </c>
      <c r="P208" s="3905" t="s">
        <v>249</v>
      </c>
      <c r="Q208" s="3905" t="s">
        <v>249</v>
      </c>
      <c r="R208" s="3905" t="s">
        <v>249</v>
      </c>
      <c r="S208" s="3905" t="s">
        <v>249</v>
      </c>
      <c r="T208" s="3905"/>
      <c r="U208" s="3905"/>
      <c r="V208" s="3905" t="s">
        <v>249</v>
      </c>
      <c r="W208" s="3905" t="s">
        <v>249</v>
      </c>
      <c r="X208" s="3905" t="s">
        <v>249</v>
      </c>
      <c r="Y208" s="3905" t="s">
        <v>249</v>
      </c>
      <c r="Z208" s="3905" t="s">
        <v>249</v>
      </c>
      <c r="AA208" s="3905"/>
      <c r="AB208" s="3905"/>
      <c r="AC208" s="3905" t="s">
        <v>249</v>
      </c>
      <c r="AD208" s="3905" t="s">
        <v>249</v>
      </c>
      <c r="AE208" s="3905"/>
      <c r="AF208" s="3905"/>
      <c r="AG208" s="3905"/>
      <c r="AH208" s="179"/>
      <c r="AI208" s="179"/>
    </row>
    <row r="209" spans="1:35" ht="22.35" customHeight="1" x14ac:dyDescent="0.2">
      <c r="A209" s="109"/>
      <c r="B209" s="3904" t="s">
        <v>273</v>
      </c>
      <c r="C209" s="3913" t="s">
        <v>142</v>
      </c>
      <c r="D209" s="3913" t="s">
        <v>142</v>
      </c>
      <c r="E209" s="3913" t="s">
        <v>142</v>
      </c>
      <c r="F209" s="3913"/>
      <c r="G209" s="3913"/>
      <c r="H209" s="3913" t="s">
        <v>142</v>
      </c>
      <c r="I209" s="3913" t="s">
        <v>142</v>
      </c>
      <c r="J209" s="3913" t="s">
        <v>142</v>
      </c>
      <c r="K209" s="3913" t="s">
        <v>142</v>
      </c>
      <c r="L209" s="3913" t="s">
        <v>142</v>
      </c>
      <c r="M209" s="3913"/>
      <c r="N209" s="3913"/>
      <c r="O209" s="3913" t="s">
        <v>142</v>
      </c>
      <c r="P209" s="3913" t="s">
        <v>142</v>
      </c>
      <c r="Q209" s="3913" t="s">
        <v>142</v>
      </c>
      <c r="R209" s="3913" t="s">
        <v>142</v>
      </c>
      <c r="S209" s="3913" t="s">
        <v>142</v>
      </c>
      <c r="T209" s="3913"/>
      <c r="U209" s="3913"/>
      <c r="V209" s="3913" t="s">
        <v>142</v>
      </c>
      <c r="W209" s="3913" t="s">
        <v>142</v>
      </c>
      <c r="X209" s="3913" t="s">
        <v>142</v>
      </c>
      <c r="Y209" s="3913" t="s">
        <v>142</v>
      </c>
      <c r="Z209" s="3913" t="s">
        <v>142</v>
      </c>
      <c r="AA209" s="3913"/>
      <c r="AB209" s="3913"/>
      <c r="AC209" s="3914" t="s">
        <v>142</v>
      </c>
      <c r="AD209" s="3914" t="s">
        <v>142</v>
      </c>
      <c r="AE209" s="3913"/>
      <c r="AF209" s="3913"/>
      <c r="AG209" s="3913"/>
      <c r="AH209" s="179"/>
      <c r="AI209" s="179"/>
    </row>
    <row r="210" spans="1:35" ht="22.35" customHeight="1" x14ac:dyDescent="0.2">
      <c r="A210" s="109"/>
      <c r="B210" s="634" t="s">
        <v>0</v>
      </c>
      <c r="C210" s="3905" t="s">
        <v>134</v>
      </c>
      <c r="D210" s="3905" t="s">
        <v>134</v>
      </c>
      <c r="E210" s="3905" t="s">
        <v>134</v>
      </c>
      <c r="F210" s="3905"/>
      <c r="G210" s="3905"/>
      <c r="H210" s="3905" t="s">
        <v>134</v>
      </c>
      <c r="I210" s="3905" t="s">
        <v>134</v>
      </c>
      <c r="J210" s="3905" t="s">
        <v>134</v>
      </c>
      <c r="K210" s="3905" t="s">
        <v>134</v>
      </c>
      <c r="L210" s="3905" t="s">
        <v>134</v>
      </c>
      <c r="M210" s="3905"/>
      <c r="N210" s="3905"/>
      <c r="O210" s="3905" t="s">
        <v>134</v>
      </c>
      <c r="P210" s="3905" t="s">
        <v>134</v>
      </c>
      <c r="Q210" s="3905" t="s">
        <v>134</v>
      </c>
      <c r="R210" s="3905" t="s">
        <v>134</v>
      </c>
      <c r="S210" s="3905" t="s">
        <v>134</v>
      </c>
      <c r="T210" s="3905"/>
      <c r="U210" s="3905"/>
      <c r="V210" s="3905" t="s">
        <v>134</v>
      </c>
      <c r="W210" s="3905" t="s">
        <v>134</v>
      </c>
      <c r="X210" s="3905" t="s">
        <v>134</v>
      </c>
      <c r="Y210" s="3905" t="s">
        <v>134</v>
      </c>
      <c r="Z210" s="3905" t="s">
        <v>134</v>
      </c>
      <c r="AA210" s="3905"/>
      <c r="AB210" s="3905"/>
      <c r="AC210" s="3905" t="s">
        <v>134</v>
      </c>
      <c r="AD210" s="3905" t="s">
        <v>134</v>
      </c>
      <c r="AE210" s="3905"/>
      <c r="AF210" s="3905"/>
      <c r="AG210" s="3905"/>
      <c r="AH210" s="179"/>
      <c r="AI210" s="179"/>
    </row>
    <row r="211" spans="1:35" ht="22.35" customHeight="1" x14ac:dyDescent="0.2">
      <c r="A211" s="109"/>
      <c r="B211" s="3904" t="s">
        <v>274</v>
      </c>
      <c r="C211" s="292" t="s">
        <v>176</v>
      </c>
      <c r="D211" s="292" t="s">
        <v>176</v>
      </c>
      <c r="E211" s="292" t="s">
        <v>176</v>
      </c>
      <c r="F211" s="292"/>
      <c r="G211" s="292"/>
      <c r="H211" s="468" t="s">
        <v>176</v>
      </c>
      <c r="I211" s="468" t="s">
        <v>176</v>
      </c>
      <c r="J211" s="468" t="s">
        <v>176</v>
      </c>
      <c r="K211" s="468" t="s">
        <v>430</v>
      </c>
      <c r="L211" s="474" t="s">
        <v>176</v>
      </c>
      <c r="M211" s="292"/>
      <c r="N211" s="292"/>
      <c r="O211" s="292" t="s">
        <v>176</v>
      </c>
      <c r="P211" s="292" t="s">
        <v>176</v>
      </c>
      <c r="Q211" s="292" t="s">
        <v>176</v>
      </c>
      <c r="R211" s="292" t="s">
        <v>176</v>
      </c>
      <c r="S211" s="292" t="s">
        <v>176</v>
      </c>
      <c r="T211" s="292"/>
      <c r="U211" s="292"/>
      <c r="V211" s="292" t="s">
        <v>176</v>
      </c>
      <c r="W211" s="292" t="s">
        <v>176</v>
      </c>
      <c r="X211" s="292" t="s">
        <v>176</v>
      </c>
      <c r="Y211" s="292" t="s">
        <v>176</v>
      </c>
      <c r="Z211" s="292" t="s">
        <v>176</v>
      </c>
      <c r="AA211" s="292"/>
      <c r="AB211" s="292"/>
      <c r="AC211" s="292" t="s">
        <v>176</v>
      </c>
      <c r="AD211" s="292" t="s">
        <v>176</v>
      </c>
      <c r="AE211" s="292"/>
      <c r="AF211" s="292"/>
      <c r="AG211" s="292"/>
      <c r="AH211" s="179"/>
      <c r="AI211" s="179"/>
    </row>
    <row r="212" spans="1:35" ht="22.35" customHeight="1" x14ac:dyDescent="0.2">
      <c r="A212" s="109"/>
      <c r="B212" s="3904" t="s">
        <v>0</v>
      </c>
      <c r="C212" s="851" t="s">
        <v>257</v>
      </c>
      <c r="D212" s="851" t="s">
        <v>257</v>
      </c>
      <c r="E212" s="851" t="s">
        <v>257</v>
      </c>
      <c r="F212" s="851"/>
      <c r="G212" s="851"/>
      <c r="H212" s="851" t="s">
        <v>257</v>
      </c>
      <c r="I212" s="851" t="s">
        <v>257</v>
      </c>
      <c r="J212" s="851" t="s">
        <v>257</v>
      </c>
      <c r="K212" s="851" t="s">
        <v>257</v>
      </c>
      <c r="L212" s="851" t="s">
        <v>257</v>
      </c>
      <c r="M212" s="851"/>
      <c r="N212" s="851"/>
      <c r="O212" s="851" t="s">
        <v>257</v>
      </c>
      <c r="P212" s="851" t="s">
        <v>257</v>
      </c>
      <c r="Q212" s="851" t="s">
        <v>257</v>
      </c>
      <c r="R212" s="851" t="s">
        <v>257</v>
      </c>
      <c r="S212" s="851" t="s">
        <v>257</v>
      </c>
      <c r="T212" s="851"/>
      <c r="U212" s="851"/>
      <c r="V212" s="851" t="s">
        <v>257</v>
      </c>
      <c r="W212" s="851" t="s">
        <v>257</v>
      </c>
      <c r="X212" s="851" t="s">
        <v>257</v>
      </c>
      <c r="Y212" s="851" t="s">
        <v>257</v>
      </c>
      <c r="Z212" s="851" t="s">
        <v>257</v>
      </c>
      <c r="AA212" s="851"/>
      <c r="AB212" s="851"/>
      <c r="AC212" s="851" t="s">
        <v>257</v>
      </c>
      <c r="AD212" s="851" t="s">
        <v>257</v>
      </c>
      <c r="AE212" s="851"/>
      <c r="AF212" s="851"/>
      <c r="AG212" s="851"/>
      <c r="AH212" s="179"/>
      <c r="AI212" s="179"/>
    </row>
    <row r="213" spans="1:35" ht="22.35" customHeight="1" x14ac:dyDescent="0.2">
      <c r="A213" s="109"/>
      <c r="B213" s="634" t="s">
        <v>276</v>
      </c>
      <c r="C213" s="851" t="s">
        <v>95</v>
      </c>
      <c r="D213" s="851" t="s">
        <v>95</v>
      </c>
      <c r="E213" s="851" t="s">
        <v>95</v>
      </c>
      <c r="F213" s="851"/>
      <c r="G213" s="851"/>
      <c r="H213" s="851" t="s">
        <v>95</v>
      </c>
      <c r="I213" s="851" t="s">
        <v>95</v>
      </c>
      <c r="J213" s="851" t="s">
        <v>95</v>
      </c>
      <c r="K213" s="851" t="s">
        <v>95</v>
      </c>
      <c r="L213" s="851" t="s">
        <v>95</v>
      </c>
      <c r="M213" s="851"/>
      <c r="N213" s="851"/>
      <c r="O213" s="851" t="s">
        <v>95</v>
      </c>
      <c r="P213" s="851" t="s">
        <v>95</v>
      </c>
      <c r="Q213" s="851" t="s">
        <v>95</v>
      </c>
      <c r="R213" s="851" t="s">
        <v>95</v>
      </c>
      <c r="S213" s="851" t="s">
        <v>95</v>
      </c>
      <c r="T213" s="851"/>
      <c r="U213" s="851"/>
      <c r="V213" s="851" t="s">
        <v>95</v>
      </c>
      <c r="W213" s="851" t="s">
        <v>95</v>
      </c>
      <c r="X213" s="851" t="s">
        <v>95</v>
      </c>
      <c r="Y213" s="851" t="s">
        <v>95</v>
      </c>
      <c r="Z213" s="851" t="s">
        <v>95</v>
      </c>
      <c r="AA213" s="851"/>
      <c r="AB213" s="851"/>
      <c r="AC213" s="851" t="s">
        <v>95</v>
      </c>
      <c r="AD213" s="851" t="s">
        <v>95</v>
      </c>
      <c r="AE213" s="851"/>
      <c r="AF213" s="851"/>
      <c r="AG213" s="3915"/>
      <c r="AH213" s="179"/>
      <c r="AI213" s="179"/>
    </row>
    <row r="214" spans="1:35" ht="22.35" customHeight="1" x14ac:dyDescent="0.2">
      <c r="A214" s="109"/>
      <c r="B214" s="3904" t="s">
        <v>277</v>
      </c>
      <c r="C214" s="851" t="s">
        <v>177</v>
      </c>
      <c r="D214" s="851" t="s">
        <v>177</v>
      </c>
      <c r="E214" s="851" t="s">
        <v>177</v>
      </c>
      <c r="F214" s="851"/>
      <c r="G214" s="851"/>
      <c r="H214" s="851" t="s">
        <v>177</v>
      </c>
      <c r="I214" s="851" t="s">
        <v>177</v>
      </c>
      <c r="J214" s="851" t="s">
        <v>177</v>
      </c>
      <c r="K214" s="851" t="s">
        <v>177</v>
      </c>
      <c r="L214" s="851" t="s">
        <v>177</v>
      </c>
      <c r="M214" s="851"/>
      <c r="N214" s="851"/>
      <c r="O214" s="851" t="s">
        <v>177</v>
      </c>
      <c r="P214" s="851" t="s">
        <v>177</v>
      </c>
      <c r="Q214" s="851" t="s">
        <v>177</v>
      </c>
      <c r="R214" s="851" t="s">
        <v>177</v>
      </c>
      <c r="S214" s="851" t="s">
        <v>177</v>
      </c>
      <c r="T214" s="851"/>
      <c r="U214" s="851"/>
      <c r="V214" s="851" t="s">
        <v>177</v>
      </c>
      <c r="W214" s="851" t="s">
        <v>177</v>
      </c>
      <c r="X214" s="851" t="s">
        <v>177</v>
      </c>
      <c r="Y214" s="851" t="s">
        <v>177</v>
      </c>
      <c r="Z214" s="851" t="s">
        <v>177</v>
      </c>
      <c r="AA214" s="851"/>
      <c r="AB214" s="851"/>
      <c r="AC214" s="3567" t="s">
        <v>177</v>
      </c>
      <c r="AD214" s="3567" t="s">
        <v>177</v>
      </c>
      <c r="AE214" s="851"/>
      <c r="AF214" s="851"/>
      <c r="AG214" s="851"/>
      <c r="AH214" s="179"/>
      <c r="AI214" s="179"/>
    </row>
    <row r="215" spans="1:35" ht="22.35" customHeight="1" x14ac:dyDescent="0.2">
      <c r="A215" s="109"/>
      <c r="B215" s="634"/>
      <c r="C215" s="851" t="s">
        <v>137</v>
      </c>
      <c r="D215" s="851" t="s">
        <v>137</v>
      </c>
      <c r="E215" s="851" t="s">
        <v>137</v>
      </c>
      <c r="F215" s="851"/>
      <c r="G215" s="851"/>
      <c r="H215" s="851" t="s">
        <v>137</v>
      </c>
      <c r="I215" s="851" t="s">
        <v>137</v>
      </c>
      <c r="J215" s="851" t="s">
        <v>137</v>
      </c>
      <c r="K215" s="851" t="s">
        <v>137</v>
      </c>
      <c r="L215" s="851" t="s">
        <v>137</v>
      </c>
      <c r="M215" s="851"/>
      <c r="N215" s="851"/>
      <c r="O215" s="851" t="s">
        <v>137</v>
      </c>
      <c r="P215" s="851" t="s">
        <v>137</v>
      </c>
      <c r="Q215" s="851" t="s">
        <v>137</v>
      </c>
      <c r="R215" s="851" t="s">
        <v>137</v>
      </c>
      <c r="S215" s="851" t="s">
        <v>137</v>
      </c>
      <c r="T215" s="851"/>
      <c r="U215" s="851"/>
      <c r="V215" s="851" t="s">
        <v>137</v>
      </c>
      <c r="W215" s="851" t="s">
        <v>137</v>
      </c>
      <c r="X215" s="851" t="s">
        <v>137</v>
      </c>
      <c r="Y215" s="851" t="s">
        <v>137</v>
      </c>
      <c r="Z215" s="851" t="s">
        <v>137</v>
      </c>
      <c r="AA215" s="851"/>
      <c r="AB215" s="851"/>
      <c r="AC215" s="851" t="s">
        <v>137</v>
      </c>
      <c r="AD215" s="851" t="s">
        <v>137</v>
      </c>
      <c r="AE215" s="851"/>
      <c r="AF215" s="851"/>
      <c r="AG215" s="851"/>
      <c r="AH215" s="179"/>
      <c r="AI215" s="179"/>
    </row>
    <row r="216" spans="1:35" ht="22.35" customHeight="1" x14ac:dyDescent="0.2">
      <c r="A216" s="109"/>
      <c r="B216" s="634" t="s">
        <v>278</v>
      </c>
      <c r="C216" s="851" t="s">
        <v>264</v>
      </c>
      <c r="D216" s="851" t="s">
        <v>264</v>
      </c>
      <c r="E216" s="851" t="s">
        <v>264</v>
      </c>
      <c r="F216" s="851"/>
      <c r="G216" s="851"/>
      <c r="H216" s="851" t="s">
        <v>264</v>
      </c>
      <c r="I216" s="851" t="s">
        <v>264</v>
      </c>
      <c r="J216" s="851" t="s">
        <v>264</v>
      </c>
      <c r="K216" s="851" t="s">
        <v>264</v>
      </c>
      <c r="L216" s="851" t="s">
        <v>264</v>
      </c>
      <c r="M216" s="851"/>
      <c r="N216" s="851"/>
      <c r="O216" s="851" t="s">
        <v>264</v>
      </c>
      <c r="P216" s="851" t="s">
        <v>264</v>
      </c>
      <c r="Q216" s="851" t="s">
        <v>264</v>
      </c>
      <c r="R216" s="851" t="s">
        <v>264</v>
      </c>
      <c r="S216" s="851" t="s">
        <v>264</v>
      </c>
      <c r="T216" s="851"/>
      <c r="U216" s="851"/>
      <c r="V216" s="851" t="s">
        <v>264</v>
      </c>
      <c r="W216" s="851" t="s">
        <v>264</v>
      </c>
      <c r="X216" s="964" t="s">
        <v>367</v>
      </c>
      <c r="Y216" s="3566" t="s">
        <v>264</v>
      </c>
      <c r="Z216" s="3566" t="s">
        <v>264</v>
      </c>
      <c r="AA216" s="851"/>
      <c r="AB216" s="851"/>
      <c r="AC216" s="3916" t="s">
        <v>264</v>
      </c>
      <c r="AD216" s="3916" t="s">
        <v>264</v>
      </c>
      <c r="AE216" s="851"/>
      <c r="AF216" s="851"/>
      <c r="AG216" s="851"/>
      <c r="AH216" s="107"/>
      <c r="AI216" s="107"/>
    </row>
    <row r="217" spans="1:35" ht="21" customHeight="1" thickBot="1" x14ac:dyDescent="0.25">
      <c r="A217" s="147"/>
      <c r="B217" s="3917" t="s">
        <v>279</v>
      </c>
      <c r="C217" s="1092" t="s">
        <v>266</v>
      </c>
      <c r="D217" s="1092" t="s">
        <v>266</v>
      </c>
      <c r="E217" s="1092" t="s">
        <v>266</v>
      </c>
      <c r="F217" s="1092"/>
      <c r="G217" s="1092"/>
      <c r="H217" s="1092" t="s">
        <v>266</v>
      </c>
      <c r="I217" s="1092" t="s">
        <v>266</v>
      </c>
      <c r="J217" s="1092" t="s">
        <v>266</v>
      </c>
      <c r="K217" s="1092" t="s">
        <v>266</v>
      </c>
      <c r="L217" s="3918" t="s">
        <v>368</v>
      </c>
      <c r="M217" s="1092"/>
      <c r="N217" s="1092"/>
      <c r="O217" s="3919" t="s">
        <v>266</v>
      </c>
      <c r="P217" s="3919" t="s">
        <v>266</v>
      </c>
      <c r="Q217" s="3919" t="s">
        <v>266</v>
      </c>
      <c r="R217" s="3919" t="s">
        <v>266</v>
      </c>
      <c r="S217" s="3919" t="s">
        <v>266</v>
      </c>
      <c r="T217" s="3919"/>
      <c r="U217" s="3919"/>
      <c r="V217" s="1092" t="s">
        <v>266</v>
      </c>
      <c r="W217" s="1092" t="s">
        <v>266</v>
      </c>
      <c r="X217" s="1092" t="s">
        <v>266</v>
      </c>
      <c r="Y217" s="1092" t="s">
        <v>266</v>
      </c>
      <c r="Z217" s="1092" t="s">
        <v>266</v>
      </c>
      <c r="AA217" s="1092"/>
      <c r="AB217" s="1092"/>
      <c r="AC217" s="1092" t="s">
        <v>266</v>
      </c>
      <c r="AD217" s="1092" t="s">
        <v>266</v>
      </c>
      <c r="AE217" s="865"/>
      <c r="AF217" s="865"/>
      <c r="AG217" s="1092"/>
      <c r="AH217" s="114"/>
    </row>
    <row r="218" spans="1:35" ht="21" customHeight="1" x14ac:dyDescent="0.2">
      <c r="A218" s="147"/>
      <c r="B218" s="217"/>
      <c r="C218" s="216"/>
      <c r="D218" s="216"/>
      <c r="E218" s="216"/>
      <c r="F218" s="216"/>
      <c r="G218" s="216"/>
      <c r="H218" s="216"/>
      <c r="I218" s="216"/>
      <c r="J218" s="216"/>
      <c r="K218" s="216"/>
      <c r="L218" s="216"/>
      <c r="M218" s="216"/>
      <c r="N218" s="216"/>
      <c r="O218" s="216"/>
      <c r="P218" s="216"/>
      <c r="Q218" s="216"/>
      <c r="R218" s="216"/>
      <c r="S218" s="216"/>
      <c r="T218" s="216"/>
      <c r="U218" s="216"/>
      <c r="V218" s="216"/>
      <c r="W218" s="216"/>
      <c r="X218" s="216"/>
      <c r="Y218" s="216"/>
      <c r="Z218" s="216"/>
      <c r="AA218" s="216"/>
      <c r="AB218" s="216"/>
      <c r="AC218" s="216"/>
      <c r="AD218" s="216"/>
      <c r="AE218" s="216"/>
      <c r="AF218" s="216"/>
      <c r="AG218" s="216"/>
      <c r="AH218" s="114"/>
    </row>
    <row r="219" spans="1:35" ht="22.35" customHeight="1" x14ac:dyDescent="0.2">
      <c r="C219" s="37"/>
      <c r="D219" s="37"/>
      <c r="E219" s="37"/>
      <c r="F219" s="37"/>
      <c r="G219" s="37"/>
      <c r="H219" s="37"/>
      <c r="I219" s="37"/>
      <c r="J219" s="37"/>
      <c r="K219" s="37"/>
      <c r="L219" s="37"/>
      <c r="M219" s="37"/>
      <c r="N219" s="37"/>
      <c r="O219" s="37"/>
      <c r="P219" s="37"/>
      <c r="Q219" s="37"/>
      <c r="R219" s="37"/>
      <c r="S219" s="37"/>
      <c r="T219" s="37"/>
      <c r="U219" s="37"/>
      <c r="V219" s="37"/>
      <c r="W219" s="37"/>
      <c r="X219" s="37"/>
      <c r="Y219" s="37"/>
      <c r="Z219" s="37"/>
      <c r="AA219" s="37"/>
      <c r="AB219" s="37"/>
      <c r="AC219" s="37"/>
      <c r="AD219" s="37"/>
      <c r="AE219" s="37"/>
      <c r="AF219" s="37"/>
      <c r="AG219" s="37"/>
    </row>
    <row r="220" spans="1:35" ht="22.35" customHeight="1" thickBot="1" x14ac:dyDescent="0.25">
      <c r="A220" s="1" t="s">
        <v>280</v>
      </c>
      <c r="B220" s="59"/>
    </row>
    <row r="221" spans="1:35" ht="22.35" customHeight="1" x14ac:dyDescent="0.2">
      <c r="A221" s="1"/>
      <c r="B221" s="3920" t="s">
        <v>281</v>
      </c>
      <c r="C221" s="3921" t="s">
        <v>107</v>
      </c>
      <c r="D221" s="3738"/>
      <c r="E221" s="3738"/>
      <c r="F221" s="3738"/>
      <c r="G221" s="3921" t="s">
        <v>108</v>
      </c>
      <c r="H221" s="3738"/>
      <c r="I221" s="3738"/>
      <c r="J221" s="3738"/>
      <c r="K221" s="3921" t="s">
        <v>109</v>
      </c>
      <c r="L221" s="3738"/>
      <c r="M221" s="3738"/>
      <c r="N221" s="3738"/>
      <c r="O221" s="3921" t="s">
        <v>110</v>
      </c>
      <c r="P221" s="3738"/>
      <c r="Q221" s="3738"/>
      <c r="R221" s="3738"/>
      <c r="S221" s="3921" t="s">
        <v>111</v>
      </c>
      <c r="T221" s="3738"/>
      <c r="U221" s="3738"/>
      <c r="V221" s="3738"/>
      <c r="W221" s="3921" t="s">
        <v>112</v>
      </c>
      <c r="X221" s="3574"/>
      <c r="Y221" s="3738"/>
      <c r="Z221" s="3922"/>
      <c r="AA221" s="3921" t="s">
        <v>113</v>
      </c>
      <c r="AB221" s="3574"/>
      <c r="AC221" s="3738"/>
      <c r="AD221" s="3922"/>
      <c r="AE221" s="3923" t="s">
        <v>114</v>
      </c>
      <c r="AF221" s="3738"/>
      <c r="AG221" s="3738"/>
      <c r="AH221" s="3738"/>
      <c r="AI221" s="3575"/>
    </row>
    <row r="222" spans="1:35" ht="22.35" customHeight="1" x14ac:dyDescent="0.2">
      <c r="A222" s="1"/>
      <c r="B222" s="3924">
        <v>3701</v>
      </c>
      <c r="C222" s="110" t="s">
        <v>282</v>
      </c>
      <c r="D222" s="110"/>
      <c r="E222" s="110"/>
      <c r="F222" s="110"/>
      <c r="G222" s="534" t="s">
        <v>283</v>
      </c>
      <c r="H222" s="110"/>
      <c r="I222" s="110"/>
      <c r="J222" s="110"/>
      <c r="K222" s="534" t="s">
        <v>283</v>
      </c>
      <c r="L222" s="110"/>
      <c r="M222" s="110"/>
      <c r="N222" s="110"/>
      <c r="O222" s="534" t="s">
        <v>283</v>
      </c>
      <c r="P222" s="110"/>
      <c r="Q222" s="110"/>
      <c r="R222" s="110"/>
      <c r="S222" s="534" t="s">
        <v>284</v>
      </c>
      <c r="T222" s="110"/>
      <c r="U222" s="110"/>
      <c r="V222" s="110"/>
      <c r="W222" s="3746"/>
      <c r="X222" s="3925"/>
      <c r="Y222" s="3584"/>
      <c r="Z222" s="3926"/>
      <c r="AA222" s="3746"/>
      <c r="AB222" s="3925"/>
      <c r="AC222" s="3584"/>
      <c r="AD222" s="3926"/>
      <c r="AE222" s="3791"/>
      <c r="AF222" s="3584"/>
      <c r="AG222" s="3584"/>
      <c r="AH222" s="3584"/>
      <c r="AI222" s="3519"/>
    </row>
    <row r="223" spans="1:35" ht="22.35" customHeight="1" x14ac:dyDescent="0.2">
      <c r="B223" s="3920">
        <v>3700</v>
      </c>
      <c r="C223" s="3584" t="s">
        <v>182</v>
      </c>
      <c r="D223" s="3584"/>
      <c r="E223" s="3584"/>
      <c r="F223" s="3584"/>
      <c r="G223" s="3748" t="s">
        <v>182</v>
      </c>
      <c r="H223" s="3584"/>
      <c r="I223" s="3584"/>
      <c r="J223" s="3584"/>
      <c r="K223" s="3748" t="s">
        <v>182</v>
      </c>
      <c r="L223" s="3584"/>
      <c r="M223" s="3584"/>
      <c r="N223" s="3584"/>
      <c r="O223" s="3748" t="s">
        <v>182</v>
      </c>
      <c r="P223" s="3584"/>
      <c r="Q223" s="3584"/>
      <c r="R223" s="3584"/>
      <c r="S223" s="3748" t="s">
        <v>183</v>
      </c>
      <c r="T223" s="3584"/>
      <c r="U223" s="3584"/>
      <c r="V223" s="3584"/>
      <c r="W223" s="3746"/>
      <c r="X223" s="3584"/>
      <c r="Y223" s="3584"/>
      <c r="Z223" s="3793"/>
      <c r="AA223" s="3791"/>
      <c r="AB223" s="3584"/>
      <c r="AC223" s="3584"/>
      <c r="AD223" s="3644"/>
      <c r="AE223" s="3927"/>
      <c r="AF223" s="3584"/>
      <c r="AG223" s="3584"/>
      <c r="AH223" s="3644"/>
      <c r="AI223" s="3519"/>
    </row>
    <row r="224" spans="1:35" ht="22.35" customHeight="1" x14ac:dyDescent="0.2">
      <c r="A224" s="1"/>
      <c r="B224" s="3920">
        <v>8514</v>
      </c>
      <c r="C224" s="3584" t="s">
        <v>283</v>
      </c>
      <c r="D224" s="3584"/>
      <c r="E224" s="3584"/>
      <c r="F224" s="3584"/>
      <c r="G224" s="3748" t="s">
        <v>283</v>
      </c>
      <c r="H224" s="3584"/>
      <c r="I224" s="3584"/>
      <c r="J224" s="3584"/>
      <c r="K224" s="3748" t="s">
        <v>283</v>
      </c>
      <c r="L224" s="3584"/>
      <c r="M224" s="3584"/>
      <c r="N224" s="3584"/>
      <c r="O224" s="3748" t="s">
        <v>283</v>
      </c>
      <c r="P224" s="3584"/>
      <c r="Q224" s="3584"/>
      <c r="R224" s="3584"/>
      <c r="S224" s="3748" t="s">
        <v>285</v>
      </c>
      <c r="T224" s="3584"/>
      <c r="U224" s="3584"/>
      <c r="V224" s="3584"/>
      <c r="W224" s="3746"/>
      <c r="X224" s="3584"/>
      <c r="Y224" s="3584"/>
      <c r="Z224" s="3793"/>
      <c r="AA224" s="3643"/>
      <c r="AB224" s="3584"/>
      <c r="AC224" s="3584"/>
      <c r="AD224" s="3644"/>
      <c r="AE224" s="3643"/>
      <c r="AF224" s="3584"/>
      <c r="AG224" s="3584"/>
      <c r="AH224" s="3644"/>
      <c r="AI224" s="3519"/>
    </row>
    <row r="225" spans="1:35" ht="22.35" customHeight="1" x14ac:dyDescent="0.2">
      <c r="A225" s="1"/>
      <c r="B225" s="3920">
        <v>8500</v>
      </c>
      <c r="C225" s="162" t="s">
        <v>286</v>
      </c>
      <c r="D225" s="162"/>
      <c r="E225" s="162"/>
      <c r="F225" s="162"/>
      <c r="G225" s="163" t="s">
        <v>286</v>
      </c>
      <c r="H225" s="162"/>
      <c r="I225" s="162"/>
      <c r="J225" s="162"/>
      <c r="K225" s="163" t="s">
        <v>286</v>
      </c>
      <c r="L225" s="162"/>
      <c r="M225" s="162"/>
      <c r="N225" s="162"/>
      <c r="O225" s="163" t="s">
        <v>286</v>
      </c>
      <c r="P225" s="162"/>
      <c r="Q225" s="162"/>
      <c r="R225" s="162"/>
      <c r="S225" s="163" t="s">
        <v>287</v>
      </c>
      <c r="T225" s="162"/>
      <c r="U225" s="162"/>
      <c r="V225" s="162"/>
      <c r="W225" s="3746"/>
      <c r="X225" s="162"/>
      <c r="Y225" s="162"/>
      <c r="Z225" s="120"/>
      <c r="AA225" s="119"/>
      <c r="AB225" s="162"/>
      <c r="AC225" s="162"/>
      <c r="AD225" s="120"/>
      <c r="AE225" s="119"/>
      <c r="AF225" s="162"/>
      <c r="AG225" s="162"/>
      <c r="AH225" s="112"/>
      <c r="AI225" s="118"/>
    </row>
    <row r="226" spans="1:35" ht="22.35" customHeight="1" x14ac:dyDescent="0.2">
      <c r="A226" s="1"/>
      <c r="B226" s="3920">
        <v>8514</v>
      </c>
      <c r="C226" s="165" t="s">
        <v>283</v>
      </c>
      <c r="D226" s="165"/>
      <c r="E226" s="165"/>
      <c r="F226" s="165"/>
      <c r="G226" s="166" t="s">
        <v>283</v>
      </c>
      <c r="H226" s="165"/>
      <c r="I226" s="165"/>
      <c r="J226" s="165"/>
      <c r="K226" s="166" t="s">
        <v>283</v>
      </c>
      <c r="L226" s="165"/>
      <c r="M226" s="165"/>
      <c r="N226" s="165"/>
      <c r="O226" s="166" t="s">
        <v>283</v>
      </c>
      <c r="P226" s="165"/>
      <c r="Q226" s="165"/>
      <c r="R226" s="165"/>
      <c r="S226" s="166" t="s">
        <v>285</v>
      </c>
      <c r="T226" s="165"/>
      <c r="U226" s="165"/>
      <c r="V226" s="165"/>
      <c r="W226" s="3928"/>
      <c r="X226" s="116"/>
      <c r="Y226" s="162"/>
      <c r="Z226" s="164"/>
      <c r="AA226" s="154"/>
      <c r="AB226" s="116"/>
      <c r="AC226" s="162"/>
      <c r="AD226" s="162"/>
      <c r="AE226" s="117"/>
      <c r="AF226" s="162"/>
      <c r="AG226" s="162"/>
      <c r="AH226" s="162"/>
      <c r="AI226" s="118"/>
    </row>
    <row r="227" spans="1:35" ht="22.35" customHeight="1" thickBot="1" x14ac:dyDescent="0.25">
      <c r="A227" s="1"/>
      <c r="B227" s="3929" t="s">
        <v>288</v>
      </c>
      <c r="C227" s="3591" t="s">
        <v>289</v>
      </c>
      <c r="D227" s="3591"/>
      <c r="E227" s="3591"/>
      <c r="F227" s="3591"/>
      <c r="G227" s="3930" t="s">
        <v>289</v>
      </c>
      <c r="H227" s="3591"/>
      <c r="I227" s="3591"/>
      <c r="J227" s="3591"/>
      <c r="K227" s="3750" t="s">
        <v>289</v>
      </c>
      <c r="L227" s="3591"/>
      <c r="M227" s="3591"/>
      <c r="N227" s="3591"/>
      <c r="O227" s="3930" t="s">
        <v>289</v>
      </c>
      <c r="P227" s="3591"/>
      <c r="Q227" s="3591"/>
      <c r="R227" s="3591"/>
      <c r="S227" s="3930" t="s">
        <v>290</v>
      </c>
      <c r="T227" s="3591"/>
      <c r="U227" s="3591"/>
      <c r="V227" s="3591"/>
      <c r="W227" s="3750"/>
      <c r="X227" s="3591"/>
      <c r="Y227" s="3591"/>
      <c r="Z227" s="3828"/>
      <c r="AA227" s="3804"/>
      <c r="AB227" s="3591"/>
      <c r="AC227" s="3591"/>
      <c r="AD227" s="3811"/>
      <c r="AE227" s="3931"/>
      <c r="AF227" s="3591"/>
      <c r="AG227" s="3591"/>
      <c r="AH227" s="3811"/>
      <c r="AI227" s="3594"/>
    </row>
    <row r="228" spans="1:35" ht="22.35" customHeight="1" x14ac:dyDescent="0.2">
      <c r="A228" s="1"/>
      <c r="B228" s="18"/>
      <c r="C228" s="64"/>
      <c r="D228" s="110"/>
      <c r="E228" s="110"/>
      <c r="F228" s="69"/>
      <c r="G228" s="64"/>
      <c r="H228" s="110"/>
      <c r="I228" s="110"/>
      <c r="J228" s="69"/>
      <c r="K228" s="64"/>
      <c r="L228" s="110"/>
      <c r="M228" s="110"/>
      <c r="N228" s="69"/>
      <c r="O228" s="64"/>
      <c r="P228" s="110"/>
      <c r="Q228" s="110"/>
      <c r="R228" s="69"/>
      <c r="S228" s="64"/>
      <c r="T228" s="110"/>
      <c r="U228" s="110"/>
      <c r="V228" s="69"/>
      <c r="W228" s="69"/>
      <c r="Z228" s="69"/>
      <c r="AA228" s="69"/>
      <c r="AD228" s="69"/>
      <c r="AE228" s="69"/>
      <c r="AH228" s="69"/>
    </row>
    <row r="229" spans="1:35" ht="22.35" customHeight="1" x14ac:dyDescent="0.2">
      <c r="A229" s="1" t="s">
        <v>291</v>
      </c>
      <c r="B229" s="18"/>
      <c r="C229" s="64"/>
      <c r="D229" s="110"/>
      <c r="E229" s="110"/>
      <c r="F229" s="69"/>
      <c r="G229" s="64"/>
      <c r="H229" s="110"/>
      <c r="I229" s="110"/>
      <c r="J229" s="69"/>
      <c r="K229" s="64"/>
      <c r="L229" s="110"/>
      <c r="M229" s="110"/>
      <c r="N229" s="69"/>
      <c r="O229" s="64"/>
      <c r="P229" s="110"/>
      <c r="Q229" s="110"/>
      <c r="R229" s="69"/>
      <c r="S229" s="64"/>
      <c r="T229" s="110"/>
      <c r="U229" s="110"/>
      <c r="V229" s="69"/>
      <c r="W229" s="69"/>
      <c r="Z229" s="69"/>
      <c r="AA229" s="69"/>
      <c r="AD229" s="69"/>
      <c r="AE229" s="69"/>
      <c r="AH229" s="69"/>
    </row>
    <row r="230" spans="1:35" ht="22.35" customHeight="1" thickBot="1" x14ac:dyDescent="0.25">
      <c r="A230" s="3718"/>
      <c r="B230" s="3596" t="s">
        <v>29</v>
      </c>
      <c r="C230" s="3528">
        <v>1</v>
      </c>
      <c r="D230" s="3528">
        <v>2</v>
      </c>
      <c r="E230" s="3528">
        <v>3</v>
      </c>
      <c r="F230" s="3529">
        <v>4</v>
      </c>
      <c r="G230" s="3529">
        <v>5</v>
      </c>
      <c r="H230" s="3528">
        <v>6</v>
      </c>
      <c r="I230" s="3528">
        <v>7</v>
      </c>
      <c r="J230" s="3528">
        <v>8</v>
      </c>
      <c r="K230" s="3528">
        <v>9</v>
      </c>
      <c r="L230" s="3528">
        <v>10</v>
      </c>
      <c r="M230" s="3529">
        <v>11</v>
      </c>
      <c r="N230" s="3529">
        <v>12</v>
      </c>
      <c r="O230" s="3528">
        <v>13</v>
      </c>
      <c r="P230" s="3528">
        <v>14</v>
      </c>
      <c r="Q230" s="3528">
        <v>15</v>
      </c>
      <c r="R230" s="3528">
        <v>16</v>
      </c>
      <c r="S230" s="3528">
        <v>17</v>
      </c>
      <c r="T230" s="3529">
        <v>18</v>
      </c>
      <c r="U230" s="3529">
        <v>19</v>
      </c>
      <c r="V230" s="3528">
        <v>20</v>
      </c>
      <c r="W230" s="3528">
        <v>21</v>
      </c>
      <c r="X230" s="3528">
        <v>22</v>
      </c>
      <c r="Y230" s="3528">
        <v>23</v>
      </c>
      <c r="Z230" s="3528">
        <v>24</v>
      </c>
      <c r="AA230" s="3529">
        <v>25</v>
      </c>
      <c r="AB230" s="3529">
        <v>26</v>
      </c>
      <c r="AC230" s="3528">
        <v>27</v>
      </c>
      <c r="AD230" s="3528">
        <v>28</v>
      </c>
      <c r="AE230" s="3528"/>
      <c r="AF230" s="3528"/>
      <c r="AG230" s="3530"/>
      <c r="AH230" s="173"/>
      <c r="AI230" s="174"/>
    </row>
    <row r="231" spans="1:35" ht="22.35" customHeight="1" x14ac:dyDescent="0.2">
      <c r="A231" s="3932"/>
      <c r="B231" s="3933" t="s">
        <v>292</v>
      </c>
      <c r="C231" s="644" t="s">
        <v>32</v>
      </c>
      <c r="D231" s="644" t="s">
        <v>32</v>
      </c>
      <c r="E231" s="644" t="s">
        <v>32</v>
      </c>
      <c r="F231" s="644"/>
      <c r="G231" s="644"/>
      <c r="H231" s="644" t="s">
        <v>32</v>
      </c>
      <c r="I231" s="644" t="s">
        <v>32</v>
      </c>
      <c r="J231" s="644" t="s">
        <v>32</v>
      </c>
      <c r="K231" s="644" t="s">
        <v>32</v>
      </c>
      <c r="L231" s="644" t="s">
        <v>32</v>
      </c>
      <c r="M231" s="644"/>
      <c r="N231" s="848"/>
      <c r="O231" s="848" t="s">
        <v>32</v>
      </c>
      <c r="P231" s="848" t="s">
        <v>32</v>
      </c>
      <c r="Q231" s="975" t="s">
        <v>32</v>
      </c>
      <c r="R231" s="848" t="s">
        <v>32</v>
      </c>
      <c r="S231" s="848" t="s">
        <v>32</v>
      </c>
      <c r="T231" s="644"/>
      <c r="U231" s="848"/>
      <c r="V231" s="3934" t="s">
        <v>32</v>
      </c>
      <c r="W231" s="3934" t="s">
        <v>32</v>
      </c>
      <c r="X231" s="3934" t="s">
        <v>32</v>
      </c>
      <c r="Y231" s="848" t="s">
        <v>32</v>
      </c>
      <c r="Z231" s="644" t="s">
        <v>32</v>
      </c>
      <c r="AA231" s="644"/>
      <c r="AB231" s="644"/>
      <c r="AC231" s="848" t="s">
        <v>32</v>
      </c>
      <c r="AD231" s="848" t="s">
        <v>32</v>
      </c>
      <c r="AE231" s="848"/>
      <c r="AF231" s="848"/>
      <c r="AG231" s="293"/>
      <c r="AH231" s="173"/>
      <c r="AI231" s="174"/>
    </row>
    <row r="232" spans="1:35" ht="22.35" customHeight="1" x14ac:dyDescent="0.2">
      <c r="A232" s="3935"/>
      <c r="B232" s="3936" t="s">
        <v>293</v>
      </c>
      <c r="C232" s="644"/>
      <c r="D232" s="644"/>
      <c r="E232" s="644"/>
      <c r="F232" s="644"/>
      <c r="G232" s="644"/>
      <c r="H232" s="644"/>
      <c r="I232" s="644"/>
      <c r="J232" s="644"/>
      <c r="K232" s="644"/>
      <c r="L232" s="644"/>
      <c r="M232" s="644"/>
      <c r="N232" s="848"/>
      <c r="O232" s="848"/>
      <c r="P232" s="848"/>
      <c r="Q232" s="975"/>
      <c r="R232" s="848"/>
      <c r="S232" s="848"/>
      <c r="T232" s="644"/>
      <c r="U232" s="848"/>
      <c r="V232" s="3934"/>
      <c r="W232" s="3934"/>
      <c r="X232" s="3934"/>
      <c r="Y232" s="848"/>
      <c r="Z232" s="644"/>
      <c r="AA232" s="644"/>
      <c r="AB232" s="644"/>
      <c r="AC232" s="848"/>
      <c r="AD232" s="848"/>
      <c r="AE232" s="975"/>
      <c r="AF232" s="975"/>
      <c r="AG232" s="3937"/>
      <c r="AH232" s="173"/>
      <c r="AI232" s="174"/>
    </row>
    <row r="233" spans="1:35" ht="22.35" customHeight="1" x14ac:dyDescent="0.2">
      <c r="A233" s="3938">
        <v>8514</v>
      </c>
      <c r="B233" s="3939" t="s">
        <v>294</v>
      </c>
      <c r="C233" s="644" t="s">
        <v>32</v>
      </c>
      <c r="D233" s="644" t="s">
        <v>32</v>
      </c>
      <c r="E233" s="3940" t="s">
        <v>32</v>
      </c>
      <c r="F233" s="644"/>
      <c r="G233" s="644"/>
      <c r="H233" s="644" t="s">
        <v>32</v>
      </c>
      <c r="I233" s="644" t="s">
        <v>32</v>
      </c>
      <c r="J233" s="644" t="s">
        <v>32</v>
      </c>
      <c r="K233" s="644" t="s">
        <v>32</v>
      </c>
      <c r="L233" s="644" t="s">
        <v>32</v>
      </c>
      <c r="M233" s="644"/>
      <c r="N233" s="848"/>
      <c r="O233" s="848" t="s">
        <v>32</v>
      </c>
      <c r="P233" s="848" t="s">
        <v>32</v>
      </c>
      <c r="Q233" s="975" t="s">
        <v>32</v>
      </c>
      <c r="R233" s="848" t="s">
        <v>32</v>
      </c>
      <c r="S233" s="848" t="s">
        <v>32</v>
      </c>
      <c r="T233" s="644"/>
      <c r="U233" s="848"/>
      <c r="V233" s="3934" t="s">
        <v>32</v>
      </c>
      <c r="W233" s="3934" t="s">
        <v>32</v>
      </c>
      <c r="X233" s="3934" t="s">
        <v>32</v>
      </c>
      <c r="Y233" s="848" t="s">
        <v>32</v>
      </c>
      <c r="Z233" s="644" t="s">
        <v>32</v>
      </c>
      <c r="AA233" s="644"/>
      <c r="AB233" s="644"/>
      <c r="AC233" s="848" t="s">
        <v>32</v>
      </c>
      <c r="AD233" s="848" t="s">
        <v>32</v>
      </c>
      <c r="AE233" s="975"/>
      <c r="AF233" s="975"/>
      <c r="AG233" s="3937"/>
      <c r="AH233" s="178"/>
      <c r="AI233" s="179"/>
    </row>
    <row r="234" spans="1:35" ht="21" customHeight="1" x14ac:dyDescent="0.2">
      <c r="A234" s="3938">
        <v>3701</v>
      </c>
      <c r="B234" s="3941" t="s">
        <v>295</v>
      </c>
      <c r="C234" s="644"/>
      <c r="D234" s="644"/>
      <c r="E234" s="644"/>
      <c r="F234" s="644"/>
      <c r="G234" s="644"/>
      <c r="H234" s="644"/>
      <c r="I234" s="644"/>
      <c r="J234" s="644"/>
      <c r="K234" s="644"/>
      <c r="L234" s="644"/>
      <c r="M234" s="644"/>
      <c r="N234" s="848"/>
      <c r="O234" s="848"/>
      <c r="P234" s="848"/>
      <c r="Q234" s="975"/>
      <c r="R234" s="848"/>
      <c r="S234" s="848"/>
      <c r="T234" s="644"/>
      <c r="U234" s="848"/>
      <c r="V234" s="3934"/>
      <c r="W234" s="3934"/>
      <c r="X234" s="3934"/>
      <c r="Y234" s="848"/>
      <c r="Z234" s="644"/>
      <c r="AA234" s="644"/>
      <c r="AB234" s="644"/>
      <c r="AC234" s="848"/>
      <c r="AD234" s="848"/>
      <c r="AE234" s="848"/>
      <c r="AF234" s="848"/>
      <c r="AG234" s="3937"/>
      <c r="AH234" s="178"/>
      <c r="AI234" s="179"/>
    </row>
    <row r="235" spans="1:35" ht="21" customHeight="1" x14ac:dyDescent="0.2">
      <c r="A235" s="3938">
        <v>3701</v>
      </c>
      <c r="B235" s="3909" t="s">
        <v>296</v>
      </c>
      <c r="C235" s="644" t="s">
        <v>32</v>
      </c>
      <c r="D235" s="644" t="s">
        <v>32</v>
      </c>
      <c r="E235" s="644" t="s">
        <v>32</v>
      </c>
      <c r="F235" s="644"/>
      <c r="G235" s="644"/>
      <c r="H235" s="644" t="s">
        <v>32</v>
      </c>
      <c r="I235" s="644" t="s">
        <v>32</v>
      </c>
      <c r="J235" s="644" t="s">
        <v>32</v>
      </c>
      <c r="K235" s="644" t="s">
        <v>32</v>
      </c>
      <c r="L235" s="644" t="s">
        <v>32</v>
      </c>
      <c r="M235" s="644"/>
      <c r="N235" s="848"/>
      <c r="O235" s="848" t="s">
        <v>32</v>
      </c>
      <c r="P235" s="848" t="s">
        <v>32</v>
      </c>
      <c r="Q235" s="3567" t="s">
        <v>32</v>
      </c>
      <c r="R235" s="3567" t="s">
        <v>32</v>
      </c>
      <c r="S235" s="848" t="s">
        <v>32</v>
      </c>
      <c r="T235" s="644"/>
      <c r="U235" s="848"/>
      <c r="V235" s="3934" t="s">
        <v>32</v>
      </c>
      <c r="W235" s="3934" t="s">
        <v>32</v>
      </c>
      <c r="X235" s="3934" t="s">
        <v>32</v>
      </c>
      <c r="Y235" s="848" t="s">
        <v>32</v>
      </c>
      <c r="Z235" s="644" t="s">
        <v>32</v>
      </c>
      <c r="AA235" s="644"/>
      <c r="AB235" s="644"/>
      <c r="AC235" s="848" t="s">
        <v>32</v>
      </c>
      <c r="AD235" s="848" t="s">
        <v>32</v>
      </c>
      <c r="AE235" s="848"/>
      <c r="AF235" s="848"/>
      <c r="AG235" s="3937"/>
      <c r="AH235" s="178"/>
      <c r="AI235" s="179"/>
    </row>
    <row r="236" spans="1:35" ht="21" customHeight="1" x14ac:dyDescent="0.2">
      <c r="A236" s="3938">
        <v>3701</v>
      </c>
      <c r="B236" s="3909" t="s">
        <v>297</v>
      </c>
      <c r="C236" s="644" t="s">
        <v>32</v>
      </c>
      <c r="D236" s="644" t="s">
        <v>32</v>
      </c>
      <c r="E236" s="644" t="s">
        <v>32</v>
      </c>
      <c r="F236" s="644"/>
      <c r="G236" s="644"/>
      <c r="H236" s="644" t="s">
        <v>32</v>
      </c>
      <c r="I236" s="644" t="s">
        <v>32</v>
      </c>
      <c r="J236" s="644" t="s">
        <v>32</v>
      </c>
      <c r="K236" s="644" t="s">
        <v>32</v>
      </c>
      <c r="L236" s="644" t="s">
        <v>32</v>
      </c>
      <c r="M236" s="644"/>
      <c r="N236" s="848"/>
      <c r="O236" s="848" t="s">
        <v>32</v>
      </c>
      <c r="P236" s="848" t="s">
        <v>32</v>
      </c>
      <c r="Q236" s="975" t="s">
        <v>32</v>
      </c>
      <c r="R236" s="848" t="s">
        <v>32</v>
      </c>
      <c r="S236" s="848" t="s">
        <v>32</v>
      </c>
      <c r="T236" s="644"/>
      <c r="U236" s="848"/>
      <c r="V236" s="3934" t="s">
        <v>32</v>
      </c>
      <c r="W236" s="3934" t="s">
        <v>32</v>
      </c>
      <c r="X236" s="3934" t="s">
        <v>32</v>
      </c>
      <c r="Y236" s="848" t="s">
        <v>32</v>
      </c>
      <c r="Z236" s="644" t="s">
        <v>32</v>
      </c>
      <c r="AA236" s="644"/>
      <c r="AB236" s="644"/>
      <c r="AC236" s="848" t="s">
        <v>32</v>
      </c>
      <c r="AD236" s="848" t="s">
        <v>32</v>
      </c>
      <c r="AE236" s="975"/>
      <c r="AF236" s="975"/>
      <c r="AG236" s="3937"/>
      <c r="AH236" s="178"/>
      <c r="AI236" s="179"/>
    </row>
    <row r="237" spans="1:35" ht="21" customHeight="1" x14ac:dyDescent="0.2">
      <c r="A237" s="3938">
        <v>3701</v>
      </c>
      <c r="B237" s="3909" t="s">
        <v>298</v>
      </c>
      <c r="C237" s="644" t="s">
        <v>32</v>
      </c>
      <c r="D237" s="644" t="s">
        <v>32</v>
      </c>
      <c r="E237" s="644" t="s">
        <v>32</v>
      </c>
      <c r="F237" s="644"/>
      <c r="G237" s="644"/>
      <c r="H237" s="644" t="s">
        <v>32</v>
      </c>
      <c r="I237" s="644" t="s">
        <v>32</v>
      </c>
      <c r="J237" s="644" t="s">
        <v>32</v>
      </c>
      <c r="K237" s="3940" t="s">
        <v>32</v>
      </c>
      <c r="L237" s="3940" t="s">
        <v>32</v>
      </c>
      <c r="M237" s="644"/>
      <c r="N237" s="848"/>
      <c r="O237" s="3567" t="s">
        <v>32</v>
      </c>
      <c r="P237" s="3567" t="s">
        <v>32</v>
      </c>
      <c r="Q237" s="975" t="s">
        <v>32</v>
      </c>
      <c r="R237" s="848" t="s">
        <v>32</v>
      </c>
      <c r="S237" s="848" t="s">
        <v>32</v>
      </c>
      <c r="T237" s="644"/>
      <c r="U237" s="848"/>
      <c r="V237" s="3934" t="s">
        <v>32</v>
      </c>
      <c r="W237" s="3934" t="s">
        <v>32</v>
      </c>
      <c r="X237" s="3934" t="s">
        <v>32</v>
      </c>
      <c r="Y237" s="848" t="s">
        <v>32</v>
      </c>
      <c r="Z237" s="644" t="s">
        <v>32</v>
      </c>
      <c r="AA237" s="644"/>
      <c r="AB237" s="644"/>
      <c r="AC237" s="848" t="s">
        <v>32</v>
      </c>
      <c r="AD237" s="848" t="s">
        <v>32</v>
      </c>
      <c r="AE237" s="975"/>
      <c r="AF237" s="975"/>
      <c r="AG237" s="3937"/>
      <c r="AH237" s="178"/>
      <c r="AI237" s="179"/>
    </row>
    <row r="238" spans="1:35" ht="22.35" customHeight="1" x14ac:dyDescent="0.2">
      <c r="A238" s="3938">
        <v>3701</v>
      </c>
      <c r="B238" s="3941" t="s">
        <v>299</v>
      </c>
      <c r="C238" s="644"/>
      <c r="D238" s="644"/>
      <c r="E238" s="644"/>
      <c r="F238" s="644"/>
      <c r="G238" s="644"/>
      <c r="H238" s="644"/>
      <c r="I238" s="644"/>
      <c r="J238" s="644"/>
      <c r="K238" s="644"/>
      <c r="L238" s="644"/>
      <c r="M238" s="644"/>
      <c r="N238" s="848"/>
      <c r="O238" s="848"/>
      <c r="P238" s="848"/>
      <c r="Q238" s="975"/>
      <c r="R238" s="848"/>
      <c r="S238" s="848"/>
      <c r="T238" s="644"/>
      <c r="U238" s="848"/>
      <c r="V238" s="3934"/>
      <c r="W238" s="3934"/>
      <c r="X238" s="3934"/>
      <c r="Y238" s="848"/>
      <c r="Z238" s="644"/>
      <c r="AA238" s="644"/>
      <c r="AB238" s="644"/>
      <c r="AC238" s="848"/>
      <c r="AD238" s="848"/>
      <c r="AE238" s="848"/>
      <c r="AF238" s="848"/>
      <c r="AG238" s="3937"/>
      <c r="AH238" s="178"/>
      <c r="AI238" s="179"/>
    </row>
    <row r="239" spans="1:35" ht="22.35" customHeight="1" x14ac:dyDescent="0.2">
      <c r="A239" s="3938">
        <v>3701</v>
      </c>
      <c r="B239" s="3909" t="s">
        <v>300</v>
      </c>
      <c r="C239" s="644" t="s">
        <v>32</v>
      </c>
      <c r="D239" s="644" t="s">
        <v>32</v>
      </c>
      <c r="E239" s="644" t="s">
        <v>32</v>
      </c>
      <c r="F239" s="644"/>
      <c r="G239" s="644"/>
      <c r="H239" s="644" t="s">
        <v>32</v>
      </c>
      <c r="I239" s="644" t="s">
        <v>32</v>
      </c>
      <c r="J239" s="644" t="s">
        <v>32</v>
      </c>
      <c r="K239" s="644" t="s">
        <v>32</v>
      </c>
      <c r="L239" s="644" t="s">
        <v>32</v>
      </c>
      <c r="M239" s="644"/>
      <c r="N239" s="848"/>
      <c r="O239" s="848" t="s">
        <v>32</v>
      </c>
      <c r="P239" s="848" t="s">
        <v>32</v>
      </c>
      <c r="Q239" s="975" t="s">
        <v>32</v>
      </c>
      <c r="R239" s="848" t="s">
        <v>32</v>
      </c>
      <c r="S239" s="3567" t="s">
        <v>32</v>
      </c>
      <c r="T239" s="644"/>
      <c r="U239" s="848"/>
      <c r="V239" s="3942" t="s">
        <v>32</v>
      </c>
      <c r="W239" s="3942" t="s">
        <v>32</v>
      </c>
      <c r="X239" s="3942" t="s">
        <v>32</v>
      </c>
      <c r="Y239" s="964" t="s">
        <v>32</v>
      </c>
      <c r="Z239" s="964" t="s">
        <v>32</v>
      </c>
      <c r="AA239" s="964"/>
      <c r="AB239" s="964"/>
      <c r="AC239" s="964" t="s">
        <v>32</v>
      </c>
      <c r="AD239" s="964" t="s">
        <v>32</v>
      </c>
      <c r="AE239" s="848"/>
      <c r="AF239" s="848"/>
      <c r="AG239" s="3937"/>
      <c r="AH239" s="178"/>
      <c r="AI239" s="179"/>
    </row>
    <row r="240" spans="1:35" ht="22.35" customHeight="1" x14ac:dyDescent="0.2">
      <c r="A240" s="3938">
        <v>3701</v>
      </c>
      <c r="B240" s="3909" t="s">
        <v>301</v>
      </c>
      <c r="C240" s="644" t="s">
        <v>32</v>
      </c>
      <c r="D240" s="644" t="s">
        <v>32</v>
      </c>
      <c r="E240" s="644" t="s">
        <v>32</v>
      </c>
      <c r="F240" s="644"/>
      <c r="G240" s="644"/>
      <c r="H240" s="644" t="s">
        <v>32</v>
      </c>
      <c r="I240" s="644" t="s">
        <v>32</v>
      </c>
      <c r="J240" s="644" t="s">
        <v>32</v>
      </c>
      <c r="K240" s="644" t="s">
        <v>32</v>
      </c>
      <c r="L240" s="644" t="s">
        <v>32</v>
      </c>
      <c r="M240" s="644"/>
      <c r="N240" s="848"/>
      <c r="O240" s="848" t="s">
        <v>32</v>
      </c>
      <c r="P240" s="848" t="s">
        <v>32</v>
      </c>
      <c r="Q240" s="975" t="s">
        <v>32</v>
      </c>
      <c r="R240" s="3940" t="s">
        <v>32</v>
      </c>
      <c r="S240" s="3940" t="s">
        <v>32</v>
      </c>
      <c r="T240" s="644"/>
      <c r="U240" s="848"/>
      <c r="V240" s="3934" t="s">
        <v>32</v>
      </c>
      <c r="W240" s="3934" t="s">
        <v>32</v>
      </c>
      <c r="X240" s="3934" t="s">
        <v>32</v>
      </c>
      <c r="Y240" s="848" t="s">
        <v>32</v>
      </c>
      <c r="Z240" s="644" t="s">
        <v>32</v>
      </c>
      <c r="AA240" s="644"/>
      <c r="AB240" s="644"/>
      <c r="AC240" s="3567" t="s">
        <v>32</v>
      </c>
      <c r="AD240" s="3567" t="s">
        <v>32</v>
      </c>
      <c r="AE240" s="3943"/>
      <c r="AF240" s="3943"/>
      <c r="AG240" s="3937"/>
      <c r="AH240" s="178"/>
      <c r="AI240" s="179"/>
    </row>
    <row r="241" spans="1:35" ht="22.35" customHeight="1" x14ac:dyDescent="0.2">
      <c r="A241" s="3944">
        <v>3701</v>
      </c>
      <c r="B241" s="3909" t="s">
        <v>302</v>
      </c>
      <c r="C241" s="644" t="s">
        <v>32</v>
      </c>
      <c r="D241" s="644" t="s">
        <v>32</v>
      </c>
      <c r="E241" s="644" t="s">
        <v>32</v>
      </c>
      <c r="F241" s="644"/>
      <c r="G241" s="644"/>
      <c r="H241" s="644" t="s">
        <v>32</v>
      </c>
      <c r="I241" s="644" t="s">
        <v>32</v>
      </c>
      <c r="J241" s="644" t="s">
        <v>32</v>
      </c>
      <c r="K241" s="644" t="s">
        <v>32</v>
      </c>
      <c r="L241" s="644" t="s">
        <v>32</v>
      </c>
      <c r="M241" s="644"/>
      <c r="N241" s="848"/>
      <c r="O241" s="848" t="s">
        <v>32</v>
      </c>
      <c r="P241" s="848" t="s">
        <v>32</v>
      </c>
      <c r="Q241" s="975" t="s">
        <v>32</v>
      </c>
      <c r="R241" s="848" t="s">
        <v>32</v>
      </c>
      <c r="S241" s="848" t="s">
        <v>32</v>
      </c>
      <c r="T241" s="644"/>
      <c r="U241" s="848"/>
      <c r="V241" s="3934" t="s">
        <v>32</v>
      </c>
      <c r="W241" s="3934" t="s">
        <v>32</v>
      </c>
      <c r="X241" s="3934" t="s">
        <v>32</v>
      </c>
      <c r="Y241" s="848" t="s">
        <v>32</v>
      </c>
      <c r="Z241" s="644" t="s">
        <v>32</v>
      </c>
      <c r="AA241" s="644"/>
      <c r="AB241" s="644"/>
      <c r="AC241" s="848" t="s">
        <v>32</v>
      </c>
      <c r="AD241" s="848" t="s">
        <v>32</v>
      </c>
      <c r="AE241" s="848"/>
      <c r="AF241" s="848"/>
      <c r="AG241" s="3937"/>
      <c r="AH241" s="178"/>
      <c r="AI241" s="179"/>
    </row>
    <row r="242" spans="1:35" ht="22.35" customHeight="1" x14ac:dyDescent="0.2">
      <c r="A242" s="3938">
        <v>3701</v>
      </c>
      <c r="B242" s="3909" t="s">
        <v>485</v>
      </c>
      <c r="C242" s="644"/>
      <c r="D242" s="644"/>
      <c r="E242" s="644"/>
      <c r="F242" s="644"/>
      <c r="G242" s="644"/>
      <c r="H242" s="644" t="s">
        <v>32</v>
      </c>
      <c r="I242" s="644" t="s">
        <v>32</v>
      </c>
      <c r="J242" s="644" t="s">
        <v>32</v>
      </c>
      <c r="K242" s="644" t="s">
        <v>32</v>
      </c>
      <c r="L242" s="644" t="s">
        <v>32</v>
      </c>
      <c r="M242" s="644"/>
      <c r="N242" s="848"/>
      <c r="O242" s="848" t="s">
        <v>32</v>
      </c>
      <c r="P242" s="964" t="s">
        <v>32</v>
      </c>
      <c r="Q242" s="964" t="s">
        <v>32</v>
      </c>
      <c r="R242" s="964" t="s">
        <v>32</v>
      </c>
      <c r="S242" s="964" t="s">
        <v>32</v>
      </c>
      <c r="T242" s="964"/>
      <c r="U242" s="964"/>
      <c r="V242" s="3934" t="s">
        <v>32</v>
      </c>
      <c r="W242" s="3934" t="s">
        <v>32</v>
      </c>
      <c r="X242" s="3934" t="s">
        <v>32</v>
      </c>
      <c r="Y242" s="848" t="s">
        <v>32</v>
      </c>
      <c r="Z242" s="644" t="s">
        <v>32</v>
      </c>
      <c r="AA242" s="644"/>
      <c r="AB242" s="644"/>
      <c r="AC242" s="848" t="s">
        <v>32</v>
      </c>
      <c r="AD242" s="848" t="s">
        <v>32</v>
      </c>
      <c r="AE242" s="848"/>
      <c r="AF242" s="848"/>
      <c r="AG242" s="3945"/>
      <c r="AH242" s="178"/>
      <c r="AI242" s="179"/>
    </row>
    <row r="243" spans="1:35" ht="22.35" customHeight="1" x14ac:dyDescent="0.2">
      <c r="A243" s="3938">
        <v>3701</v>
      </c>
      <c r="B243" s="3909" t="s">
        <v>304</v>
      </c>
      <c r="C243" s="644" t="s">
        <v>32</v>
      </c>
      <c r="D243" s="644" t="s">
        <v>32</v>
      </c>
      <c r="E243" s="644" t="s">
        <v>32</v>
      </c>
      <c r="F243" s="644"/>
      <c r="G243" s="644"/>
      <c r="H243" s="644" t="s">
        <v>32</v>
      </c>
      <c r="I243" s="644" t="s">
        <v>32</v>
      </c>
      <c r="J243" s="644" t="s">
        <v>32</v>
      </c>
      <c r="K243" s="644" t="s">
        <v>32</v>
      </c>
      <c r="L243" s="644" t="s">
        <v>32</v>
      </c>
      <c r="M243" s="644"/>
      <c r="N243" s="848"/>
      <c r="O243" s="3946" t="s">
        <v>32</v>
      </c>
      <c r="P243" s="3946" t="s">
        <v>32</v>
      </c>
      <c r="Q243" s="3946" t="s">
        <v>32</v>
      </c>
      <c r="R243" s="3946" t="s">
        <v>32</v>
      </c>
      <c r="S243" s="3946" t="s">
        <v>32</v>
      </c>
      <c r="T243" s="644"/>
      <c r="U243" s="848"/>
      <c r="V243" s="3934" t="s">
        <v>32</v>
      </c>
      <c r="W243" s="3934" t="s">
        <v>32</v>
      </c>
      <c r="X243" s="3934" t="s">
        <v>32</v>
      </c>
      <c r="Y243" s="848" t="s">
        <v>32</v>
      </c>
      <c r="Z243" s="644" t="s">
        <v>32</v>
      </c>
      <c r="AA243" s="644"/>
      <c r="AB243" s="644"/>
      <c r="AC243" s="848" t="s">
        <v>32</v>
      </c>
      <c r="AD243" s="848" t="s">
        <v>32</v>
      </c>
      <c r="AE243" s="848"/>
      <c r="AF243" s="848"/>
      <c r="AG243" s="3947"/>
      <c r="AH243" s="178"/>
      <c r="AI243" s="179"/>
    </row>
    <row r="244" spans="1:35" ht="22.35" customHeight="1" x14ac:dyDescent="0.2">
      <c r="A244" s="3938"/>
      <c r="B244" s="3909"/>
      <c r="C244" s="644" t="s">
        <v>32</v>
      </c>
      <c r="D244" s="644" t="s">
        <v>32</v>
      </c>
      <c r="E244" s="644" t="s">
        <v>32</v>
      </c>
      <c r="F244" s="644"/>
      <c r="G244" s="644"/>
      <c r="H244" s="644" t="s">
        <v>32</v>
      </c>
      <c r="I244" s="644" t="s">
        <v>32</v>
      </c>
      <c r="J244" s="644" t="s">
        <v>32</v>
      </c>
      <c r="K244" s="644" t="s">
        <v>32</v>
      </c>
      <c r="L244" s="644" t="s">
        <v>32</v>
      </c>
      <c r="M244" s="644"/>
      <c r="N244" s="848"/>
      <c r="O244" s="848" t="s">
        <v>32</v>
      </c>
      <c r="P244" s="848" t="s">
        <v>32</v>
      </c>
      <c r="Q244" s="975" t="s">
        <v>32</v>
      </c>
      <c r="R244" s="848" t="s">
        <v>32</v>
      </c>
      <c r="S244" s="848" t="s">
        <v>32</v>
      </c>
      <c r="T244" s="644"/>
      <c r="U244" s="848"/>
      <c r="V244" s="3934" t="s">
        <v>32</v>
      </c>
      <c r="W244" s="3934" t="s">
        <v>32</v>
      </c>
      <c r="X244" s="3934" t="s">
        <v>32</v>
      </c>
      <c r="Y244" s="848" t="s">
        <v>32</v>
      </c>
      <c r="Z244" s="644" t="s">
        <v>32</v>
      </c>
      <c r="AA244" s="644"/>
      <c r="AB244" s="644"/>
      <c r="AC244" s="848" t="s">
        <v>32</v>
      </c>
      <c r="AD244" s="848" t="s">
        <v>32</v>
      </c>
      <c r="AE244" s="848"/>
      <c r="AF244" s="848"/>
      <c r="AG244" s="3937"/>
      <c r="AH244" s="178"/>
      <c r="AI244" s="179"/>
    </row>
    <row r="245" spans="1:35" ht="22.35" customHeight="1" x14ac:dyDescent="0.2">
      <c r="A245" s="3938"/>
      <c r="B245" s="3909" t="s">
        <v>306</v>
      </c>
      <c r="C245" s="644" t="s">
        <v>32</v>
      </c>
      <c r="D245" s="3567" t="s">
        <v>32</v>
      </c>
      <c r="E245" s="644" t="s">
        <v>32</v>
      </c>
      <c r="F245" s="644"/>
      <c r="G245" s="644"/>
      <c r="H245" s="644" t="s">
        <v>32</v>
      </c>
      <c r="I245" s="644" t="s">
        <v>32</v>
      </c>
      <c r="J245" s="644" t="s">
        <v>32</v>
      </c>
      <c r="K245" s="644" t="s">
        <v>32</v>
      </c>
      <c r="L245" s="644" t="s">
        <v>32</v>
      </c>
      <c r="M245" s="644"/>
      <c r="N245" s="848"/>
      <c r="O245" s="848" t="s">
        <v>32</v>
      </c>
      <c r="P245" s="848" t="s">
        <v>32</v>
      </c>
      <c r="Q245" s="975" t="s">
        <v>32</v>
      </c>
      <c r="R245" s="848" t="s">
        <v>32</v>
      </c>
      <c r="S245" s="848" t="s">
        <v>32</v>
      </c>
      <c r="T245" s="644"/>
      <c r="U245" s="848"/>
      <c r="V245" s="3934" t="s">
        <v>32</v>
      </c>
      <c r="W245" s="3934" t="s">
        <v>32</v>
      </c>
      <c r="X245" s="3948" t="s">
        <v>32</v>
      </c>
      <c r="Y245" s="3567" t="s">
        <v>32</v>
      </c>
      <c r="Z245" s="644" t="s">
        <v>32</v>
      </c>
      <c r="AA245" s="644"/>
      <c r="AB245" s="644"/>
      <c r="AC245" s="848" t="s">
        <v>32</v>
      </c>
      <c r="AD245" s="848" t="s">
        <v>32</v>
      </c>
      <c r="AE245" s="3570"/>
      <c r="AF245" s="644"/>
      <c r="AG245" s="3937"/>
      <c r="AH245" s="178"/>
      <c r="AI245" s="179"/>
    </row>
    <row r="246" spans="1:35" ht="22.35" customHeight="1" x14ac:dyDescent="0.2">
      <c r="A246" s="3938"/>
      <c r="B246" s="3941" t="s">
        <v>307</v>
      </c>
      <c r="C246" s="644"/>
      <c r="D246" s="644"/>
      <c r="E246" s="644"/>
      <c r="F246" s="644"/>
      <c r="G246" s="644"/>
      <c r="H246" s="644"/>
      <c r="I246" s="644"/>
      <c r="J246" s="644"/>
      <c r="K246" s="644"/>
      <c r="L246" s="644"/>
      <c r="M246" s="644"/>
      <c r="N246" s="848"/>
      <c r="O246" s="848"/>
      <c r="P246" s="848"/>
      <c r="Q246" s="975"/>
      <c r="R246" s="848"/>
      <c r="S246" s="848"/>
      <c r="T246" s="644"/>
      <c r="U246" s="848"/>
      <c r="V246" s="3934"/>
      <c r="W246" s="3934"/>
      <c r="X246" s="3934"/>
      <c r="Y246" s="848"/>
      <c r="Z246" s="644"/>
      <c r="AA246" s="644"/>
      <c r="AB246" s="644"/>
      <c r="AC246" s="848"/>
      <c r="AD246" s="848"/>
      <c r="AE246" s="644"/>
      <c r="AF246" s="644"/>
      <c r="AG246" s="3937"/>
      <c r="AH246" s="178"/>
      <c r="AI246" s="179"/>
    </row>
    <row r="247" spans="1:35" ht="22.35" customHeight="1" x14ac:dyDescent="0.2">
      <c r="A247" s="3938"/>
      <c r="B247" s="3909" t="s">
        <v>308</v>
      </c>
      <c r="C247" s="644" t="s">
        <v>32</v>
      </c>
      <c r="D247" s="644" t="s">
        <v>32</v>
      </c>
      <c r="E247" s="644" t="s">
        <v>32</v>
      </c>
      <c r="F247" s="644"/>
      <c r="G247" s="644"/>
      <c r="H247" s="644" t="s">
        <v>32</v>
      </c>
      <c r="I247" s="644" t="s">
        <v>32</v>
      </c>
      <c r="J247" s="644" t="s">
        <v>32</v>
      </c>
      <c r="K247" s="644" t="s">
        <v>32</v>
      </c>
      <c r="L247" s="644" t="s">
        <v>32</v>
      </c>
      <c r="M247" s="644"/>
      <c r="N247" s="848"/>
      <c r="O247" s="3567" t="s">
        <v>32</v>
      </c>
      <c r="P247" s="3567" t="s">
        <v>32</v>
      </c>
      <c r="Q247" s="3567" t="s">
        <v>32</v>
      </c>
      <c r="R247" s="3567" t="s">
        <v>32</v>
      </c>
      <c r="S247" s="3567" t="s">
        <v>32</v>
      </c>
      <c r="T247" s="644"/>
      <c r="U247" s="848"/>
      <c r="V247" s="3934" t="s">
        <v>32</v>
      </c>
      <c r="W247" s="3934" t="s">
        <v>32</v>
      </c>
      <c r="X247" s="3934" t="s">
        <v>32</v>
      </c>
      <c r="Y247" s="848" t="s">
        <v>32</v>
      </c>
      <c r="Z247" s="644" t="s">
        <v>32</v>
      </c>
      <c r="AA247" s="644"/>
      <c r="AB247" s="644"/>
      <c r="AC247" s="848" t="s">
        <v>32</v>
      </c>
      <c r="AD247" s="3949" t="s">
        <v>32</v>
      </c>
      <c r="AE247" s="644"/>
      <c r="AF247" s="644"/>
      <c r="AG247" s="3937"/>
      <c r="AH247" s="178"/>
      <c r="AI247" s="179"/>
    </row>
    <row r="248" spans="1:35" ht="22.35" customHeight="1" x14ac:dyDescent="0.2">
      <c r="A248" s="3938"/>
      <c r="B248" s="3909" t="s">
        <v>309</v>
      </c>
      <c r="C248" s="644" t="s">
        <v>32</v>
      </c>
      <c r="D248" s="644" t="s">
        <v>32</v>
      </c>
      <c r="E248" s="644" t="s">
        <v>32</v>
      </c>
      <c r="F248" s="644"/>
      <c r="G248" s="644"/>
      <c r="H248" s="644" t="s">
        <v>32</v>
      </c>
      <c r="I248" s="644" t="s">
        <v>32</v>
      </c>
      <c r="J248" s="644" t="s">
        <v>32</v>
      </c>
      <c r="K248" s="644" t="s">
        <v>32</v>
      </c>
      <c r="L248" s="644" t="s">
        <v>32</v>
      </c>
      <c r="M248" s="644"/>
      <c r="N248" s="848"/>
      <c r="O248" s="848" t="s">
        <v>32</v>
      </c>
      <c r="P248" s="848" t="s">
        <v>32</v>
      </c>
      <c r="Q248" s="975" t="s">
        <v>32</v>
      </c>
      <c r="R248" s="848" t="s">
        <v>32</v>
      </c>
      <c r="S248" s="848" t="s">
        <v>32</v>
      </c>
      <c r="T248" s="644"/>
      <c r="U248" s="848"/>
      <c r="V248" s="3942" t="s">
        <v>32</v>
      </c>
      <c r="W248" s="3942" t="s">
        <v>32</v>
      </c>
      <c r="X248" s="3942" t="s">
        <v>51</v>
      </c>
      <c r="Y248" s="848" t="s">
        <v>32</v>
      </c>
      <c r="Z248" s="644" t="s">
        <v>32</v>
      </c>
      <c r="AA248" s="644"/>
      <c r="AB248" s="644"/>
      <c r="AC248" s="848" t="s">
        <v>32</v>
      </c>
      <c r="AD248" s="848" t="s">
        <v>32</v>
      </c>
      <c r="AE248" s="644"/>
      <c r="AF248" s="848"/>
      <c r="AG248" s="3945"/>
      <c r="AH248" s="178"/>
      <c r="AI248" s="179"/>
    </row>
    <row r="249" spans="1:35" ht="22.35" customHeight="1" x14ac:dyDescent="0.2">
      <c r="A249" s="3938"/>
      <c r="B249" s="3909"/>
      <c r="C249" s="644" t="s">
        <v>32</v>
      </c>
      <c r="D249" s="644" t="s">
        <v>32</v>
      </c>
      <c r="E249" s="644" t="s">
        <v>32</v>
      </c>
      <c r="F249" s="644"/>
      <c r="G249" s="644"/>
      <c r="H249" s="644" t="s">
        <v>32</v>
      </c>
      <c r="I249" s="644" t="s">
        <v>32</v>
      </c>
      <c r="J249" s="644" t="s">
        <v>32</v>
      </c>
      <c r="K249" s="644" t="s">
        <v>32</v>
      </c>
      <c r="L249" s="644" t="s">
        <v>32</v>
      </c>
      <c r="M249" s="644"/>
      <c r="N249" s="848"/>
      <c r="O249" s="848" t="s">
        <v>32</v>
      </c>
      <c r="P249" s="848" t="s">
        <v>32</v>
      </c>
      <c r="Q249" s="975" t="s">
        <v>32</v>
      </c>
      <c r="R249" s="848" t="s">
        <v>32</v>
      </c>
      <c r="S249" s="848" t="s">
        <v>32</v>
      </c>
      <c r="T249" s="644"/>
      <c r="U249" s="848"/>
      <c r="V249" s="3934" t="s">
        <v>32</v>
      </c>
      <c r="W249" s="3934" t="s">
        <v>32</v>
      </c>
      <c r="X249" s="3934" t="s">
        <v>32</v>
      </c>
      <c r="Y249" s="848" t="s">
        <v>32</v>
      </c>
      <c r="Z249" s="644" t="s">
        <v>32</v>
      </c>
      <c r="AA249" s="644"/>
      <c r="AB249" s="644"/>
      <c r="AC249" s="848" t="s">
        <v>32</v>
      </c>
      <c r="AD249" s="848" t="s">
        <v>32</v>
      </c>
      <c r="AE249" s="848"/>
      <c r="AF249" s="848"/>
      <c r="AG249" s="3945"/>
      <c r="AH249" s="175"/>
      <c r="AI249" s="107"/>
    </row>
    <row r="250" spans="1:35" ht="22.35" customHeight="1" x14ac:dyDescent="0.2">
      <c r="A250" s="3938"/>
      <c r="B250" s="3909" t="s">
        <v>311</v>
      </c>
      <c r="C250" s="644" t="s">
        <v>32</v>
      </c>
      <c r="D250" s="644" t="s">
        <v>32</v>
      </c>
      <c r="E250" s="644" t="s">
        <v>32</v>
      </c>
      <c r="F250" s="644"/>
      <c r="G250" s="644"/>
      <c r="H250" s="644" t="s">
        <v>32</v>
      </c>
      <c r="I250" s="644" t="s">
        <v>32</v>
      </c>
      <c r="J250" s="644" t="s">
        <v>32</v>
      </c>
      <c r="K250" s="644" t="s">
        <v>32</v>
      </c>
      <c r="L250" s="644" t="s">
        <v>32</v>
      </c>
      <c r="M250" s="644"/>
      <c r="N250" s="848"/>
      <c r="O250" s="848" t="s">
        <v>32</v>
      </c>
      <c r="P250" s="848" t="s">
        <v>32</v>
      </c>
      <c r="Q250" s="3567" t="s">
        <v>32</v>
      </c>
      <c r="R250" s="3567" t="s">
        <v>32</v>
      </c>
      <c r="S250" s="3567" t="s">
        <v>32</v>
      </c>
      <c r="T250" s="644"/>
      <c r="U250" s="848"/>
      <c r="V250" s="3934" t="s">
        <v>32</v>
      </c>
      <c r="W250" s="3934" t="s">
        <v>32</v>
      </c>
      <c r="X250" s="3934" t="s">
        <v>32</v>
      </c>
      <c r="Y250" s="964" t="s">
        <v>32</v>
      </c>
      <c r="Z250" s="964" t="s">
        <v>51</v>
      </c>
      <c r="AA250" s="644"/>
      <c r="AB250" s="644"/>
      <c r="AC250" s="848" t="s">
        <v>32</v>
      </c>
      <c r="AD250" s="848" t="s">
        <v>32</v>
      </c>
      <c r="AE250" s="848"/>
      <c r="AF250" s="848"/>
      <c r="AG250" s="3945"/>
      <c r="AH250" s="175"/>
      <c r="AI250" s="107"/>
    </row>
    <row r="251" spans="1:35" ht="22.35" customHeight="1" x14ac:dyDescent="0.2">
      <c r="A251" s="3562"/>
      <c r="B251" s="3950"/>
      <c r="C251" s="644"/>
      <c r="D251" s="644"/>
      <c r="E251" s="644"/>
      <c r="F251" s="644"/>
      <c r="G251" s="644"/>
      <c r="H251" s="644"/>
      <c r="I251" s="644"/>
      <c r="J251" s="644"/>
      <c r="K251" s="644"/>
      <c r="L251" s="644"/>
      <c r="M251" s="644"/>
      <c r="N251" s="644"/>
      <c r="O251" s="644"/>
      <c r="P251" s="644"/>
      <c r="Q251" s="644"/>
      <c r="R251" s="644"/>
      <c r="S251" s="644"/>
      <c r="T251" s="644"/>
      <c r="U251" s="644"/>
      <c r="V251" s="644"/>
      <c r="W251" s="644"/>
      <c r="X251" s="644"/>
      <c r="Y251" s="644"/>
      <c r="Z251" s="644"/>
      <c r="AA251" s="644"/>
      <c r="AB251" s="644"/>
      <c r="AC251" s="644"/>
      <c r="AD251" s="644"/>
      <c r="AE251" s="644"/>
      <c r="AF251" s="644"/>
      <c r="AG251" s="3937"/>
      <c r="AH251" s="175"/>
      <c r="AI251" s="107"/>
    </row>
    <row r="252" spans="1:35" ht="22.35" customHeight="1" x14ac:dyDescent="0.2">
      <c r="A252" s="3562"/>
      <c r="B252" s="3909"/>
      <c r="C252" s="644"/>
      <c r="D252" s="644"/>
      <c r="E252" s="644"/>
      <c r="F252" s="644"/>
      <c r="G252" s="644"/>
      <c r="H252" s="644"/>
      <c r="I252" s="644"/>
      <c r="J252" s="644"/>
      <c r="K252" s="644"/>
      <c r="L252" s="644"/>
      <c r="M252" s="644"/>
      <c r="N252" s="848"/>
      <c r="O252" s="848"/>
      <c r="P252" s="848"/>
      <c r="Q252" s="975"/>
      <c r="R252" s="848"/>
      <c r="S252" s="644"/>
      <c r="T252" s="644"/>
      <c r="U252" s="848"/>
      <c r="V252" s="848"/>
      <c r="W252" s="848"/>
      <c r="X252" s="644"/>
      <c r="Y252" s="848"/>
      <c r="Z252" s="644"/>
      <c r="AA252" s="644"/>
      <c r="AB252" s="644"/>
      <c r="AC252" s="644"/>
      <c r="AD252" s="644"/>
      <c r="AE252" s="644"/>
      <c r="AF252" s="848"/>
      <c r="AG252" s="3945"/>
      <c r="AH252" s="175"/>
      <c r="AI252" s="107"/>
    </row>
    <row r="253" spans="1:35" ht="22.35" customHeight="1" x14ac:dyDescent="0.2">
      <c r="A253" s="3562"/>
      <c r="B253" s="3562"/>
      <c r="C253" s="644"/>
      <c r="D253" s="644"/>
      <c r="E253" s="644"/>
      <c r="F253" s="644"/>
      <c r="G253" s="644"/>
      <c r="H253" s="644"/>
      <c r="I253" s="644"/>
      <c r="J253" s="644"/>
      <c r="K253" s="644"/>
      <c r="L253" s="644"/>
      <c r="M253" s="644"/>
      <c r="N253" s="644"/>
      <c r="O253" s="644"/>
      <c r="P253" s="644"/>
      <c r="Q253" s="644"/>
      <c r="R253" s="644"/>
      <c r="S253" s="644"/>
      <c r="T253" s="644"/>
      <c r="U253" s="644"/>
      <c r="V253" s="644"/>
      <c r="W253" s="644"/>
      <c r="X253" s="644"/>
      <c r="Y253" s="644"/>
      <c r="Z253" s="644"/>
      <c r="AA253" s="644"/>
      <c r="AB253" s="644"/>
      <c r="AC253" s="644"/>
      <c r="AD253" s="644"/>
      <c r="AE253" s="644"/>
      <c r="AF253" s="644"/>
      <c r="AG253" s="3937"/>
      <c r="AH253" s="175"/>
      <c r="AI253" s="107"/>
    </row>
    <row r="254" spans="1:35" ht="22.35" customHeight="1" x14ac:dyDescent="0.2">
      <c r="A254" s="3562"/>
      <c r="B254" s="3562"/>
      <c r="C254" s="644"/>
      <c r="D254" s="644"/>
      <c r="E254" s="644"/>
      <c r="F254" s="644"/>
      <c r="G254" s="644"/>
      <c r="H254" s="3951"/>
      <c r="I254" s="644"/>
      <c r="J254" s="644"/>
      <c r="K254" s="644"/>
      <c r="L254" s="644"/>
      <c r="M254" s="644"/>
      <c r="N254" s="644"/>
      <c r="O254" s="644"/>
      <c r="P254" s="644"/>
      <c r="Q254" s="644"/>
      <c r="R254" s="644"/>
      <c r="S254" s="644"/>
      <c r="T254" s="644"/>
      <c r="U254" s="644"/>
      <c r="V254" s="644"/>
      <c r="W254" s="644"/>
      <c r="X254" s="644"/>
      <c r="Y254" s="644"/>
      <c r="Z254" s="644"/>
      <c r="AA254" s="644"/>
      <c r="AB254" s="644"/>
      <c r="AC254" s="644"/>
      <c r="AD254" s="644"/>
      <c r="AE254" s="644"/>
      <c r="AF254" s="644"/>
      <c r="AG254" s="3952"/>
      <c r="AH254" s="175"/>
      <c r="AI254" s="107"/>
    </row>
    <row r="255" spans="1:35" ht="22.35" customHeight="1" x14ac:dyDescent="0.2">
      <c r="A255" s="3938"/>
      <c r="B255" s="3953"/>
      <c r="C255" s="644"/>
      <c r="D255" s="644"/>
      <c r="E255" s="644"/>
      <c r="F255" s="644"/>
      <c r="G255" s="644"/>
      <c r="H255" s="644"/>
      <c r="I255" s="644"/>
      <c r="J255" s="644"/>
      <c r="K255" s="644"/>
      <c r="L255" s="644"/>
      <c r="M255" s="644"/>
      <c r="N255" s="644"/>
      <c r="O255" s="644"/>
      <c r="P255" s="644"/>
      <c r="Q255" s="644"/>
      <c r="R255" s="644"/>
      <c r="S255" s="644"/>
      <c r="T255" s="644"/>
      <c r="U255" s="644"/>
      <c r="V255" s="644"/>
      <c r="W255" s="644"/>
      <c r="X255" s="644"/>
      <c r="Y255" s="644"/>
      <c r="Z255" s="644"/>
      <c r="AA255" s="644"/>
      <c r="AB255" s="644"/>
      <c r="AC255" s="644"/>
      <c r="AD255" s="644"/>
      <c r="AE255" s="644"/>
      <c r="AF255" s="644"/>
      <c r="AG255" s="3952"/>
      <c r="AH255" s="175"/>
      <c r="AI255" s="107"/>
    </row>
    <row r="256" spans="1:35" ht="22.35" customHeight="1" x14ac:dyDescent="0.2">
      <c r="A256" s="3938"/>
      <c r="B256" s="3954"/>
      <c r="C256" s="644"/>
      <c r="D256" s="644"/>
      <c r="E256" s="644"/>
      <c r="F256" s="644"/>
      <c r="G256" s="644"/>
      <c r="H256" s="644"/>
      <c r="I256" s="644"/>
      <c r="J256" s="644"/>
      <c r="K256" s="644"/>
      <c r="L256" s="644"/>
      <c r="M256" s="644"/>
      <c r="N256" s="644"/>
      <c r="O256" s="644"/>
      <c r="P256" s="644"/>
      <c r="Q256" s="644"/>
      <c r="R256" s="644"/>
      <c r="S256" s="644"/>
      <c r="T256" s="644"/>
      <c r="U256" s="644"/>
      <c r="V256" s="644"/>
      <c r="W256" s="644"/>
      <c r="X256" s="644"/>
      <c r="Y256" s="644"/>
      <c r="Z256" s="644"/>
      <c r="AA256" s="644"/>
      <c r="AB256" s="644"/>
      <c r="AC256" s="644"/>
      <c r="AD256" s="644"/>
      <c r="AE256" s="644"/>
      <c r="AF256" s="644"/>
      <c r="AG256" s="3952"/>
      <c r="AH256" s="175"/>
      <c r="AI256" s="107"/>
    </row>
    <row r="257" spans="1:35" ht="22.35" customHeight="1" x14ac:dyDescent="0.2">
      <c r="A257" s="108"/>
      <c r="B257" s="121"/>
      <c r="C257" s="106"/>
      <c r="D257" s="106"/>
      <c r="E257" s="106"/>
      <c r="F257" s="106"/>
      <c r="G257" s="106"/>
      <c r="H257" s="106"/>
      <c r="I257" s="106"/>
      <c r="J257" s="106"/>
      <c r="L257" s="106"/>
      <c r="M257" s="106"/>
      <c r="N257" s="106"/>
      <c r="O257" s="106"/>
      <c r="P257" s="72"/>
      <c r="Q257" s="72"/>
      <c r="R257" s="72"/>
      <c r="S257" s="106"/>
      <c r="T257" s="106"/>
      <c r="U257" s="106"/>
      <c r="V257" s="106"/>
      <c r="W257" s="106"/>
      <c r="X257" s="106"/>
      <c r="Y257" s="106"/>
      <c r="Z257" s="106"/>
      <c r="AA257" s="106"/>
      <c r="AB257" s="106"/>
      <c r="AC257" s="106"/>
      <c r="AD257" s="106"/>
      <c r="AE257" s="106"/>
      <c r="AF257" s="106"/>
      <c r="AG257" s="106"/>
      <c r="AH257" s="107"/>
      <c r="AI257" s="107"/>
    </row>
    <row r="261" spans="1:35" ht="21" customHeight="1" thickBot="1" x14ac:dyDescent="0.25">
      <c r="A261" s="158" t="s">
        <v>312</v>
      </c>
    </row>
    <row r="262" spans="1:35" ht="21" customHeight="1" x14ac:dyDescent="0.2">
      <c r="B262" s="3955" t="s">
        <v>281</v>
      </c>
      <c r="C262" s="3744"/>
      <c r="D262" s="3785" t="s">
        <v>107</v>
      </c>
      <c r="E262" s="3574"/>
      <c r="F262" s="3737"/>
      <c r="G262" s="3744"/>
      <c r="H262" s="3785" t="s">
        <v>108</v>
      </c>
      <c r="I262" s="3574"/>
      <c r="J262" s="3737"/>
      <c r="K262" s="3744"/>
      <c r="L262" s="3785" t="s">
        <v>109</v>
      </c>
      <c r="M262" s="3574"/>
      <c r="N262" s="3737"/>
      <c r="O262" s="3744"/>
      <c r="P262" s="3785" t="s">
        <v>110</v>
      </c>
      <c r="Q262" s="3574"/>
      <c r="R262" s="3737"/>
      <c r="S262" s="3744"/>
      <c r="T262" s="3785" t="s">
        <v>111</v>
      </c>
      <c r="U262" s="3574"/>
      <c r="V262" s="3737"/>
      <c r="W262" s="3744"/>
      <c r="X262" s="3785" t="s">
        <v>112</v>
      </c>
      <c r="Y262" s="3574"/>
      <c r="Z262" s="3737"/>
      <c r="AA262" s="3744"/>
      <c r="AB262" s="3785" t="s">
        <v>113</v>
      </c>
      <c r="AC262" s="3574"/>
      <c r="AD262" s="3574"/>
      <c r="AE262" s="3788" t="s">
        <v>114</v>
      </c>
      <c r="AF262" s="3574"/>
      <c r="AG262" s="3574"/>
      <c r="AH262" s="3574"/>
      <c r="AI262" s="3575"/>
    </row>
    <row r="263" spans="1:35" ht="21" customHeight="1" x14ac:dyDescent="0.2">
      <c r="B263" s="3"/>
      <c r="C263" s="287" t="s">
        <v>313</v>
      </c>
      <c r="D263" s="116"/>
      <c r="E263" s="283"/>
      <c r="F263" s="284"/>
      <c r="G263" s="287" t="s">
        <v>313</v>
      </c>
      <c r="H263" s="116"/>
      <c r="I263" s="283"/>
      <c r="J263" s="284"/>
      <c r="K263" s="287" t="s">
        <v>313</v>
      </c>
      <c r="L263" s="116"/>
      <c r="M263" s="283"/>
      <c r="N263" s="284"/>
      <c r="O263" s="287" t="s">
        <v>313</v>
      </c>
      <c r="P263" s="282"/>
      <c r="Q263" s="283"/>
      <c r="R263" s="284"/>
      <c r="S263" s="288" t="s">
        <v>314</v>
      </c>
      <c r="T263" s="116"/>
      <c r="U263" s="283"/>
      <c r="V263" s="284"/>
      <c r="W263" s="154"/>
      <c r="X263" s="116"/>
      <c r="Y263" s="162"/>
      <c r="Z263" s="164"/>
      <c r="AA263" s="154"/>
      <c r="AB263" s="116"/>
      <c r="AC263" s="162"/>
      <c r="AD263" s="162"/>
      <c r="AE263" s="117"/>
      <c r="AF263" s="162"/>
      <c r="AG263" s="14"/>
      <c r="AH263" s="14"/>
      <c r="AI263" s="118"/>
    </row>
    <row r="264" spans="1:35" ht="21" customHeight="1" x14ac:dyDescent="0.2">
      <c r="A264" s="110"/>
      <c r="B264" s="3956"/>
      <c r="C264" s="3837" t="s">
        <v>189</v>
      </c>
      <c r="D264" s="3957"/>
      <c r="E264" s="283"/>
      <c r="F264" s="284"/>
      <c r="G264" s="3837" t="s">
        <v>189</v>
      </c>
      <c r="H264" s="116"/>
      <c r="I264" s="283"/>
      <c r="J264" s="284"/>
      <c r="K264" s="3837" t="s">
        <v>189</v>
      </c>
      <c r="L264" s="116"/>
      <c r="M264" s="283"/>
      <c r="N264" s="284"/>
      <c r="O264" s="3837" t="s">
        <v>189</v>
      </c>
      <c r="P264" s="116"/>
      <c r="Q264" s="283"/>
      <c r="R264" s="284"/>
      <c r="S264" s="287" t="s">
        <v>315</v>
      </c>
      <c r="T264" s="116"/>
      <c r="U264" s="283"/>
      <c r="V264" s="284"/>
      <c r="W264" s="154"/>
      <c r="X264" s="116"/>
      <c r="Y264" s="162"/>
      <c r="Z264" s="164"/>
      <c r="AA264" s="154"/>
      <c r="AB264" s="116"/>
      <c r="AC264" s="162"/>
      <c r="AD264" s="162"/>
      <c r="AE264" s="117"/>
      <c r="AF264" s="162"/>
      <c r="AG264" s="14"/>
      <c r="AH264" s="14"/>
      <c r="AI264" s="118"/>
    </row>
    <row r="265" spans="1:35" ht="21" customHeight="1" x14ac:dyDescent="0.2">
      <c r="B265" s="3956"/>
      <c r="C265" s="3837" t="s">
        <v>192</v>
      </c>
      <c r="D265" s="3957"/>
      <c r="E265" s="283"/>
      <c r="F265" s="284"/>
      <c r="G265" s="3837" t="s">
        <v>192</v>
      </c>
      <c r="H265" s="116"/>
      <c r="I265" s="283"/>
      <c r="J265" s="284"/>
      <c r="K265" s="3837" t="s">
        <v>192</v>
      </c>
      <c r="L265" s="116"/>
      <c r="M265" s="283"/>
      <c r="N265" s="284"/>
      <c r="O265" s="3837" t="s">
        <v>192</v>
      </c>
      <c r="P265" s="116"/>
      <c r="Q265" s="283"/>
      <c r="R265" s="284"/>
      <c r="S265" s="3837" t="s">
        <v>187</v>
      </c>
      <c r="T265" s="116"/>
      <c r="U265" s="283"/>
      <c r="V265" s="284"/>
      <c r="W265" s="154"/>
      <c r="X265" s="116"/>
      <c r="Y265" s="162"/>
      <c r="Z265" s="164"/>
      <c r="AA265" s="154"/>
      <c r="AB265" s="116"/>
      <c r="AC265" s="162"/>
      <c r="AD265" s="162"/>
      <c r="AE265" s="117"/>
      <c r="AF265" s="162"/>
      <c r="AG265" s="14"/>
      <c r="AH265" s="14"/>
      <c r="AI265" s="118"/>
    </row>
    <row r="266" spans="1:35" ht="21" customHeight="1" x14ac:dyDescent="0.2">
      <c r="B266" s="3956"/>
      <c r="C266" s="3643"/>
      <c r="D266" s="3644"/>
      <c r="E266" s="162"/>
      <c r="F266" s="164"/>
      <c r="G266" s="3643"/>
      <c r="H266" s="3644"/>
      <c r="I266" s="162"/>
      <c r="J266" s="164"/>
      <c r="K266" s="3643"/>
      <c r="L266" s="3644"/>
      <c r="M266" s="162"/>
      <c r="N266" s="164"/>
      <c r="O266" s="3643"/>
      <c r="P266" s="3644"/>
      <c r="Q266" s="162"/>
      <c r="R266" s="164"/>
      <c r="S266" s="3643"/>
      <c r="T266" s="3644"/>
      <c r="U266" s="162"/>
      <c r="V266" s="164"/>
      <c r="W266" s="154"/>
      <c r="X266" s="116"/>
      <c r="Y266" s="162"/>
      <c r="Z266" s="164"/>
      <c r="AA266" s="154"/>
      <c r="AB266" s="116"/>
      <c r="AC266" s="162"/>
      <c r="AD266" s="162"/>
      <c r="AE266" s="117"/>
      <c r="AF266" s="162"/>
      <c r="AG266" s="14"/>
      <c r="AH266" s="14"/>
      <c r="AI266" s="118"/>
    </row>
    <row r="267" spans="1:35" ht="21" customHeight="1" x14ac:dyDescent="0.2">
      <c r="B267" s="3956"/>
      <c r="C267" s="3791"/>
      <c r="D267" s="3644"/>
      <c r="E267" s="162"/>
      <c r="F267" s="164"/>
      <c r="G267" s="116"/>
      <c r="H267" s="116"/>
      <c r="I267" s="162"/>
      <c r="J267" s="164"/>
      <c r="K267" s="116"/>
      <c r="L267" s="116"/>
      <c r="M267" s="162"/>
      <c r="N267" s="164"/>
      <c r="O267" s="116"/>
      <c r="P267" s="116"/>
      <c r="Q267" s="162"/>
      <c r="R267" s="164"/>
      <c r="S267" s="116"/>
      <c r="T267" s="116"/>
      <c r="U267" s="162"/>
      <c r="V267" s="164"/>
      <c r="W267" s="154"/>
      <c r="X267" s="116"/>
      <c r="Y267" s="162"/>
      <c r="Z267" s="164"/>
      <c r="AA267" s="154"/>
      <c r="AB267" s="116"/>
      <c r="AC267" s="162"/>
      <c r="AD267" s="162"/>
      <c r="AE267" s="117"/>
      <c r="AF267" s="162"/>
      <c r="AG267" s="14"/>
      <c r="AH267" s="14"/>
      <c r="AI267" s="118"/>
    </row>
    <row r="268" spans="1:35" ht="21" customHeight="1" x14ac:dyDescent="0.2">
      <c r="B268" s="3956" t="s">
        <v>159</v>
      </c>
      <c r="C268" s="3791" t="s">
        <v>316</v>
      </c>
      <c r="D268" s="3957"/>
      <c r="E268" s="283"/>
      <c r="F268" s="284"/>
      <c r="G268" s="3791" t="s">
        <v>316</v>
      </c>
      <c r="H268" s="3957"/>
      <c r="I268" s="283"/>
      <c r="J268" s="284"/>
      <c r="K268" s="3791" t="s">
        <v>316</v>
      </c>
      <c r="L268" s="3957"/>
      <c r="M268" s="283"/>
      <c r="N268" s="284"/>
      <c r="O268" s="3791" t="s">
        <v>316</v>
      </c>
      <c r="P268" s="3957"/>
      <c r="Q268" s="283"/>
      <c r="R268" s="284"/>
      <c r="S268" s="116" t="s">
        <v>317</v>
      </c>
      <c r="T268" s="116"/>
      <c r="U268" s="283"/>
      <c r="V268" s="284"/>
      <c r="W268" s="154"/>
      <c r="X268" s="116"/>
      <c r="Y268" s="162"/>
      <c r="Z268" s="164"/>
      <c r="AA268" s="154"/>
      <c r="AB268" s="116"/>
      <c r="AC268" s="162"/>
      <c r="AD268" s="162"/>
      <c r="AE268" s="117"/>
      <c r="AF268" s="162"/>
      <c r="AG268" s="14"/>
      <c r="AH268" s="14"/>
      <c r="AI268" s="118"/>
    </row>
    <row r="269" spans="1:35" ht="21" customHeight="1" x14ac:dyDescent="0.2">
      <c r="B269" s="3956" t="s">
        <v>163</v>
      </c>
      <c r="C269" s="3791" t="s">
        <v>318</v>
      </c>
      <c r="D269" s="3957"/>
      <c r="E269" s="283"/>
      <c r="F269" s="284"/>
      <c r="G269" s="3791" t="s">
        <v>318</v>
      </c>
      <c r="H269" s="3957"/>
      <c r="I269" s="283"/>
      <c r="J269" s="284"/>
      <c r="K269" s="3791" t="s">
        <v>318</v>
      </c>
      <c r="L269" s="3957"/>
      <c r="M269" s="283"/>
      <c r="N269" s="284"/>
      <c r="O269" s="3791" t="s">
        <v>318</v>
      </c>
      <c r="P269" s="3957"/>
      <c r="Q269" s="283"/>
      <c r="R269" s="284"/>
      <c r="S269" s="116" t="s">
        <v>319</v>
      </c>
      <c r="T269" s="116"/>
      <c r="U269" s="283"/>
      <c r="V269" s="284"/>
      <c r="W269" s="154"/>
      <c r="X269" s="116"/>
      <c r="Y269" s="162"/>
      <c r="Z269" s="164"/>
      <c r="AA269" s="154"/>
      <c r="AB269" s="116"/>
      <c r="AC269" s="162"/>
      <c r="AD269" s="162"/>
      <c r="AE269" s="117"/>
      <c r="AF269" s="162"/>
      <c r="AG269" s="14"/>
      <c r="AH269" s="14"/>
      <c r="AI269" s="118"/>
    </row>
    <row r="270" spans="1:35" ht="21" customHeight="1" thickBot="1" x14ac:dyDescent="0.25">
      <c r="B270" s="3958" t="s">
        <v>170</v>
      </c>
      <c r="C270" s="3804" t="s">
        <v>320</v>
      </c>
      <c r="D270" s="3959"/>
      <c r="E270" s="285"/>
      <c r="F270" s="286"/>
      <c r="G270" s="3804" t="s">
        <v>320</v>
      </c>
      <c r="H270" s="3959"/>
      <c r="I270" s="285"/>
      <c r="J270" s="286"/>
      <c r="K270" s="3804" t="s">
        <v>320</v>
      </c>
      <c r="L270" s="3959"/>
      <c r="M270" s="285"/>
      <c r="N270" s="286"/>
      <c r="O270" s="3804" t="s">
        <v>320</v>
      </c>
      <c r="P270" s="3959"/>
      <c r="Q270" s="285"/>
      <c r="R270" s="286"/>
      <c r="S270" s="225" t="s">
        <v>321</v>
      </c>
      <c r="T270" s="225"/>
      <c r="U270" s="285"/>
      <c r="V270" s="286"/>
      <c r="W270" s="277"/>
      <c r="X270" s="225"/>
      <c r="Y270" s="278"/>
      <c r="Z270" s="279"/>
      <c r="AA270" s="280"/>
      <c r="AB270" s="225"/>
      <c r="AC270" s="278"/>
      <c r="AD270" s="278"/>
      <c r="AE270" s="281"/>
      <c r="AF270" s="278"/>
      <c r="AG270" s="276"/>
      <c r="AH270" s="276"/>
      <c r="AI270" s="222"/>
    </row>
    <row r="271" spans="1:35" ht="21" customHeight="1" x14ac:dyDescent="0.2">
      <c r="B271" s="59"/>
      <c r="C271" s="64"/>
      <c r="D271" s="18"/>
      <c r="G271" s="64"/>
      <c r="H271" s="18"/>
      <c r="K271" s="64"/>
      <c r="L271" s="18"/>
      <c r="O271" s="64"/>
      <c r="P271" s="18"/>
      <c r="S271" s="64"/>
      <c r="T271" s="64"/>
      <c r="X271" s="64"/>
      <c r="AB271" s="64"/>
      <c r="AE271" s="64"/>
    </row>
    <row r="272" spans="1:35" ht="21" customHeight="1" x14ac:dyDescent="0.2">
      <c r="A272" s="122" t="s">
        <v>322</v>
      </c>
    </row>
    <row r="273" spans="1:35" ht="21" customHeight="1" thickBot="1" x14ac:dyDescent="0.25">
      <c r="A273" s="3718"/>
      <c r="B273" s="3656" t="s">
        <v>29</v>
      </c>
      <c r="C273" s="3528">
        <v>1</v>
      </c>
      <c r="D273" s="3528">
        <v>2</v>
      </c>
      <c r="E273" s="3528">
        <v>3</v>
      </c>
      <c r="F273" s="3529">
        <v>4</v>
      </c>
      <c r="G273" s="3529">
        <v>5</v>
      </c>
      <c r="H273" s="3528">
        <v>6</v>
      </c>
      <c r="I273" s="3528">
        <v>7</v>
      </c>
      <c r="J273" s="3528">
        <v>8</v>
      </c>
      <c r="K273" s="3528">
        <v>9</v>
      </c>
      <c r="L273" s="3528">
        <v>10</v>
      </c>
      <c r="M273" s="3529">
        <v>11</v>
      </c>
      <c r="N273" s="3529">
        <v>12</v>
      </c>
      <c r="O273" s="3528">
        <v>13</v>
      </c>
      <c r="P273" s="3528">
        <v>14</v>
      </c>
      <c r="Q273" s="3528">
        <v>15</v>
      </c>
      <c r="R273" s="3528">
        <v>16</v>
      </c>
      <c r="S273" s="3528">
        <v>17</v>
      </c>
      <c r="T273" s="3529">
        <v>18</v>
      </c>
      <c r="U273" s="3529">
        <v>19</v>
      </c>
      <c r="V273" s="3528">
        <v>20</v>
      </c>
      <c r="W273" s="3528">
        <v>21</v>
      </c>
      <c r="X273" s="3528">
        <v>22</v>
      </c>
      <c r="Y273" s="3528">
        <v>23</v>
      </c>
      <c r="Z273" s="3528">
        <v>24</v>
      </c>
      <c r="AA273" s="3529">
        <v>25</v>
      </c>
      <c r="AB273" s="3529">
        <v>26</v>
      </c>
      <c r="AC273" s="3528">
        <v>27</v>
      </c>
      <c r="AD273" s="3528">
        <v>28</v>
      </c>
      <c r="AE273" s="3528"/>
      <c r="AF273" s="3528"/>
      <c r="AG273" s="3530"/>
      <c r="AH273" s="173"/>
      <c r="AI273" s="174"/>
    </row>
    <row r="274" spans="1:35" ht="21" customHeight="1" x14ac:dyDescent="0.2">
      <c r="A274" s="3960">
        <v>3702</v>
      </c>
      <c r="B274" s="172" t="s">
        <v>486</v>
      </c>
      <c r="C274" s="644" t="s">
        <v>32</v>
      </c>
      <c r="D274" s="644" t="s">
        <v>32</v>
      </c>
      <c r="E274" s="644" t="s">
        <v>32</v>
      </c>
      <c r="F274" s="644"/>
      <c r="G274" s="644"/>
      <c r="H274" s="644" t="s">
        <v>32</v>
      </c>
      <c r="I274" s="644" t="s">
        <v>32</v>
      </c>
      <c r="J274" s="644" t="s">
        <v>32</v>
      </c>
      <c r="K274" s="644" t="s">
        <v>32</v>
      </c>
      <c r="L274" s="644" t="s">
        <v>32</v>
      </c>
      <c r="M274" s="644"/>
      <c r="N274" s="644"/>
      <c r="O274" s="644" t="s">
        <v>32</v>
      </c>
      <c r="P274" s="644" t="s">
        <v>32</v>
      </c>
      <c r="Q274" s="644" t="s">
        <v>32</v>
      </c>
      <c r="R274" s="644" t="s">
        <v>32</v>
      </c>
      <c r="S274" s="644" t="s">
        <v>32</v>
      </c>
      <c r="T274" s="644"/>
      <c r="U274" s="644"/>
      <c r="V274" s="644" t="s">
        <v>32</v>
      </c>
      <c r="W274" s="644" t="s">
        <v>32</v>
      </c>
      <c r="X274" s="644" t="s">
        <v>32</v>
      </c>
      <c r="Y274" s="644" t="s">
        <v>32</v>
      </c>
      <c r="Z274" s="644" t="s">
        <v>32</v>
      </c>
      <c r="AA274" s="644"/>
      <c r="AB274" s="644"/>
      <c r="AC274" s="644" t="s">
        <v>32</v>
      </c>
      <c r="AD274" s="644" t="s">
        <v>32</v>
      </c>
      <c r="AE274" s="644"/>
      <c r="AF274" s="644"/>
      <c r="AG274" s="644"/>
      <c r="AH274" s="178"/>
      <c r="AI274" s="179"/>
    </row>
    <row r="275" spans="1:35" ht="21" customHeight="1" x14ac:dyDescent="0.2">
      <c r="A275" s="3534"/>
      <c r="B275" s="3685"/>
      <c r="C275" s="644" t="s">
        <v>32</v>
      </c>
      <c r="D275" s="644" t="s">
        <v>32</v>
      </c>
      <c r="E275" s="644" t="s">
        <v>32</v>
      </c>
      <c r="F275" s="644"/>
      <c r="G275" s="644"/>
      <c r="H275" s="644" t="s">
        <v>32</v>
      </c>
      <c r="I275" s="644" t="s">
        <v>32</v>
      </c>
      <c r="J275" s="644" t="s">
        <v>32</v>
      </c>
      <c r="K275" s="644" t="s">
        <v>32</v>
      </c>
      <c r="L275" s="644" t="s">
        <v>32</v>
      </c>
      <c r="M275" s="644"/>
      <c r="N275" s="644"/>
      <c r="O275" s="644" t="s">
        <v>32</v>
      </c>
      <c r="P275" s="644" t="s">
        <v>32</v>
      </c>
      <c r="Q275" s="644" t="s">
        <v>32</v>
      </c>
      <c r="R275" s="644" t="s">
        <v>32</v>
      </c>
      <c r="S275" s="644" t="s">
        <v>32</v>
      </c>
      <c r="T275" s="644"/>
      <c r="U275" s="644"/>
      <c r="V275" s="644" t="s">
        <v>32</v>
      </c>
      <c r="W275" s="644" t="s">
        <v>32</v>
      </c>
      <c r="X275" s="644" t="s">
        <v>32</v>
      </c>
      <c r="Y275" s="644" t="s">
        <v>32</v>
      </c>
      <c r="Z275" s="644" t="s">
        <v>32</v>
      </c>
      <c r="AA275" s="644"/>
      <c r="AB275" s="644"/>
      <c r="AC275" s="644" t="s">
        <v>32</v>
      </c>
      <c r="AD275" s="644" t="s">
        <v>32</v>
      </c>
      <c r="AE275" s="644"/>
      <c r="AF275" s="644"/>
      <c r="AG275" s="644"/>
      <c r="AH275" s="178"/>
      <c r="AI275" s="179"/>
    </row>
    <row r="276" spans="1:35" ht="21" customHeight="1" x14ac:dyDescent="0.2">
      <c r="A276" s="3961"/>
      <c r="B276" s="3685"/>
      <c r="C276" s="644" t="s">
        <v>32</v>
      </c>
      <c r="D276" s="644" t="s">
        <v>32</v>
      </c>
      <c r="E276" s="644" t="s">
        <v>32</v>
      </c>
      <c r="F276" s="644"/>
      <c r="G276" s="644"/>
      <c r="H276" s="644" t="s">
        <v>32</v>
      </c>
      <c r="I276" s="644" t="s">
        <v>32</v>
      </c>
      <c r="J276" s="644" t="s">
        <v>32</v>
      </c>
      <c r="K276" s="644" t="s">
        <v>32</v>
      </c>
      <c r="L276" s="644" t="s">
        <v>32</v>
      </c>
      <c r="M276" s="644"/>
      <c r="N276" s="644"/>
      <c r="O276" s="644" t="s">
        <v>32</v>
      </c>
      <c r="P276" s="644" t="s">
        <v>32</v>
      </c>
      <c r="Q276" s="644" t="s">
        <v>32</v>
      </c>
      <c r="R276" s="644" t="s">
        <v>32</v>
      </c>
      <c r="S276" s="644" t="s">
        <v>32</v>
      </c>
      <c r="T276" s="644"/>
      <c r="U276" s="644"/>
      <c r="V276" s="644" t="s">
        <v>32</v>
      </c>
      <c r="W276" s="644" t="s">
        <v>32</v>
      </c>
      <c r="X276" s="644" t="s">
        <v>32</v>
      </c>
      <c r="Y276" s="644" t="s">
        <v>32</v>
      </c>
      <c r="Z276" s="644" t="s">
        <v>32</v>
      </c>
      <c r="AA276" s="644"/>
      <c r="AB276" s="644"/>
      <c r="AC276" s="644" t="s">
        <v>32</v>
      </c>
      <c r="AD276" s="644" t="s">
        <v>32</v>
      </c>
      <c r="AE276" s="644"/>
      <c r="AF276" s="644"/>
      <c r="AG276" s="644"/>
      <c r="AH276" s="178"/>
      <c r="AI276" s="179"/>
    </row>
    <row r="277" spans="1:35" ht="21" customHeight="1" thickBot="1" x14ac:dyDescent="0.25">
      <c r="A277" s="3962"/>
      <c r="B277" s="3963"/>
      <c r="C277" s="3528"/>
      <c r="D277" s="3528"/>
      <c r="E277" s="3528"/>
      <c r="F277" s="3528"/>
      <c r="G277" s="3528"/>
      <c r="H277" s="3528"/>
      <c r="I277" s="3528"/>
      <c r="J277" s="3528"/>
      <c r="K277" s="3528"/>
      <c r="L277" s="3528"/>
      <c r="M277" s="3528"/>
      <c r="N277" s="3528"/>
      <c r="O277" s="3528"/>
      <c r="P277" s="3528"/>
      <c r="Q277" s="3528"/>
      <c r="R277" s="3528"/>
      <c r="S277" s="3528"/>
      <c r="T277" s="3528"/>
      <c r="U277" s="3528"/>
      <c r="V277" s="3528"/>
      <c r="W277" s="3528"/>
      <c r="X277" s="3528"/>
      <c r="Y277" s="3528"/>
      <c r="Z277" s="3528"/>
      <c r="AA277" s="3528"/>
      <c r="AB277" s="3528"/>
      <c r="AC277" s="3528"/>
      <c r="AD277" s="3528"/>
      <c r="AE277" s="3528"/>
      <c r="AF277" s="3528"/>
      <c r="AG277" s="3530"/>
      <c r="AH277" s="178"/>
      <c r="AI277" s="179"/>
    </row>
    <row r="278" spans="1:35" ht="21" customHeight="1" x14ac:dyDescent="0.2">
      <c r="A278" s="214"/>
      <c r="B278" s="667" t="s">
        <v>324</v>
      </c>
      <c r="C278" s="668"/>
      <c r="D278" s="668"/>
      <c r="E278" s="668"/>
      <c r="F278" s="668"/>
      <c r="G278" s="668"/>
      <c r="H278" s="668"/>
      <c r="I278" s="668"/>
      <c r="J278" s="668"/>
      <c r="K278" s="668"/>
      <c r="L278" s="668"/>
      <c r="M278" s="668"/>
      <c r="N278" s="668"/>
      <c r="O278" s="668"/>
      <c r="P278" s="668"/>
      <c r="Q278" s="668"/>
      <c r="R278" s="668"/>
      <c r="S278" s="668"/>
      <c r="T278" s="668"/>
      <c r="U278" s="668"/>
      <c r="V278" s="668"/>
      <c r="W278" s="668"/>
      <c r="X278" s="668"/>
      <c r="Y278" s="668"/>
      <c r="Z278" s="668"/>
      <c r="AA278" s="668"/>
      <c r="AB278" s="668"/>
      <c r="AC278" s="668"/>
      <c r="AD278" s="668"/>
      <c r="AE278" s="668"/>
      <c r="AF278" s="668"/>
      <c r="AG278" s="669"/>
      <c r="AH278" s="176"/>
      <c r="AI278" s="177"/>
    </row>
    <row r="279" spans="1:35" ht="21" customHeight="1" x14ac:dyDescent="0.2">
      <c r="A279" s="3960">
        <v>3702</v>
      </c>
      <c r="B279" s="3964" t="s">
        <v>325</v>
      </c>
      <c r="C279" s="3616" t="s">
        <v>326</v>
      </c>
      <c r="D279" s="3616" t="s">
        <v>326</v>
      </c>
      <c r="E279" s="3616" t="s">
        <v>326</v>
      </c>
      <c r="F279" s="3616"/>
      <c r="G279" s="3616"/>
      <c r="H279" s="3616" t="s">
        <v>326</v>
      </c>
      <c r="I279" s="3616" t="s">
        <v>326</v>
      </c>
      <c r="J279" s="3616" t="s">
        <v>326</v>
      </c>
      <c r="K279" s="3616" t="s">
        <v>326</v>
      </c>
      <c r="L279" s="3616" t="s">
        <v>326</v>
      </c>
      <c r="M279" s="3616"/>
      <c r="N279" s="3616"/>
      <c r="O279" s="3616" t="s">
        <v>326</v>
      </c>
      <c r="P279" s="3616" t="s">
        <v>326</v>
      </c>
      <c r="Q279" s="3616" t="s">
        <v>326</v>
      </c>
      <c r="R279" s="3616" t="s">
        <v>326</v>
      </c>
      <c r="S279" s="3616" t="s">
        <v>326</v>
      </c>
      <c r="T279" s="3616"/>
      <c r="U279" s="3616"/>
      <c r="V279" s="3616" t="s">
        <v>326</v>
      </c>
      <c r="W279" s="3616" t="s">
        <v>326</v>
      </c>
      <c r="X279" s="3616" t="s">
        <v>326</v>
      </c>
      <c r="Y279" s="3616" t="s">
        <v>326</v>
      </c>
      <c r="Z279" s="3616" t="s">
        <v>326</v>
      </c>
      <c r="AA279" s="3616"/>
      <c r="AB279" s="3616"/>
      <c r="AC279" s="3616" t="s">
        <v>326</v>
      </c>
      <c r="AD279" s="3616" t="s">
        <v>326</v>
      </c>
      <c r="AE279" s="3616"/>
      <c r="AF279" s="3550"/>
      <c r="AG279" s="3550"/>
      <c r="AH279" s="178"/>
      <c r="AI279" s="179"/>
    </row>
    <row r="280" spans="1:35" ht="21" customHeight="1" x14ac:dyDescent="0.2">
      <c r="A280" s="3960"/>
      <c r="B280" s="3746" t="s">
        <v>327</v>
      </c>
      <c r="C280" s="3616" t="s">
        <v>328</v>
      </c>
      <c r="D280" s="3616" t="s">
        <v>328</v>
      </c>
      <c r="E280" s="3616" t="s">
        <v>328</v>
      </c>
      <c r="F280" s="3616"/>
      <c r="G280" s="3616"/>
      <c r="H280" s="3616" t="s">
        <v>328</v>
      </c>
      <c r="I280" s="3616" t="s">
        <v>328</v>
      </c>
      <c r="J280" s="3616" t="s">
        <v>328</v>
      </c>
      <c r="K280" s="3616" t="s">
        <v>328</v>
      </c>
      <c r="L280" s="3616" t="s">
        <v>328</v>
      </c>
      <c r="M280" s="3616"/>
      <c r="N280" s="3616"/>
      <c r="O280" s="3616" t="s">
        <v>328</v>
      </c>
      <c r="P280" s="3616" t="s">
        <v>328</v>
      </c>
      <c r="Q280" s="3616" t="s">
        <v>328</v>
      </c>
      <c r="R280" s="3616" t="s">
        <v>328</v>
      </c>
      <c r="S280" s="3616" t="s">
        <v>328</v>
      </c>
      <c r="T280" s="3616"/>
      <c r="U280" s="3616"/>
      <c r="V280" s="3616" t="s">
        <v>328</v>
      </c>
      <c r="W280" s="3616" t="s">
        <v>328</v>
      </c>
      <c r="X280" s="3616" t="s">
        <v>328</v>
      </c>
      <c r="Y280" s="3616" t="s">
        <v>328</v>
      </c>
      <c r="Z280" s="3616" t="s">
        <v>328</v>
      </c>
      <c r="AA280" s="3616"/>
      <c r="AB280" s="3616"/>
      <c r="AC280" s="3616" t="s">
        <v>328</v>
      </c>
      <c r="AD280" s="3616" t="s">
        <v>328</v>
      </c>
      <c r="AE280" s="3550"/>
      <c r="AF280" s="3539"/>
      <c r="AG280" s="3539"/>
      <c r="AH280" s="178"/>
      <c r="AI280" s="179"/>
    </row>
    <row r="281" spans="1:35" ht="21" customHeight="1" thickBot="1" x14ac:dyDescent="0.25">
      <c r="A281" s="3965"/>
      <c r="B281" s="3966" t="s">
        <v>329</v>
      </c>
      <c r="C281" s="3632" t="s">
        <v>330</v>
      </c>
      <c r="D281" s="3632" t="s">
        <v>330</v>
      </c>
      <c r="E281" s="3632" t="s">
        <v>330</v>
      </c>
      <c r="F281" s="3610"/>
      <c r="G281" s="3611"/>
      <c r="H281" s="3632" t="s">
        <v>330</v>
      </c>
      <c r="I281" s="3632" t="s">
        <v>330</v>
      </c>
      <c r="J281" s="3632" t="s">
        <v>330</v>
      </c>
      <c r="K281" s="3632" t="s">
        <v>330</v>
      </c>
      <c r="L281" s="3632" t="s">
        <v>330</v>
      </c>
      <c r="M281" s="3632"/>
      <c r="N281" s="3632"/>
      <c r="O281" s="3611" t="s">
        <v>330</v>
      </c>
      <c r="P281" s="3611" t="s">
        <v>330</v>
      </c>
      <c r="Q281" s="3610" t="s">
        <v>330</v>
      </c>
      <c r="R281" s="3610" t="s">
        <v>330</v>
      </c>
      <c r="S281" s="3967" t="s">
        <v>330</v>
      </c>
      <c r="T281" s="3610"/>
      <c r="U281" s="3611"/>
      <c r="V281" s="3611" t="s">
        <v>330</v>
      </c>
      <c r="W281" s="3611" t="s">
        <v>330</v>
      </c>
      <c r="X281" s="3610" t="s">
        <v>330</v>
      </c>
      <c r="Y281" s="3610" t="s">
        <v>330</v>
      </c>
      <c r="Z281" s="3610" t="s">
        <v>330</v>
      </c>
      <c r="AA281" s="3610"/>
      <c r="AB281" s="3611"/>
      <c r="AC281" s="3611" t="s">
        <v>330</v>
      </c>
      <c r="AD281" s="3611" t="s">
        <v>330</v>
      </c>
      <c r="AE281" s="3614"/>
      <c r="AF281" s="3614"/>
      <c r="AG281" s="3614"/>
      <c r="AH281" s="178"/>
      <c r="AI281" s="179"/>
    </row>
    <row r="282" spans="1:35" ht="21" customHeight="1" x14ac:dyDescent="0.2"/>
    <row r="283" spans="1:35" ht="24" customHeight="1" x14ac:dyDescent="0.2"/>
    <row r="284" spans="1:35" ht="25.5" customHeight="1" thickBot="1" x14ac:dyDescent="0.25">
      <c r="A284" s="158" t="s">
        <v>331</v>
      </c>
    </row>
    <row r="285" spans="1:35" ht="21" customHeight="1" x14ac:dyDescent="0.2">
      <c r="A285" s="1"/>
      <c r="B285" s="3955" t="s">
        <v>281</v>
      </c>
      <c r="C285" s="3744"/>
      <c r="D285" s="3785" t="s">
        <v>107</v>
      </c>
      <c r="E285" s="3574"/>
      <c r="F285" s="3737"/>
      <c r="G285" s="3744"/>
      <c r="H285" s="3785" t="s">
        <v>108</v>
      </c>
      <c r="I285" s="3574"/>
      <c r="J285" s="3737"/>
      <c r="K285" s="3744"/>
      <c r="L285" s="3785" t="s">
        <v>109</v>
      </c>
      <c r="M285" s="3574"/>
      <c r="N285" s="3737"/>
      <c r="O285" s="3744"/>
      <c r="P285" s="3785" t="s">
        <v>110</v>
      </c>
      <c r="Q285" s="3574"/>
      <c r="R285" s="3737"/>
      <c r="S285" s="3744"/>
      <c r="T285" s="3785" t="s">
        <v>111</v>
      </c>
      <c r="U285" s="3574"/>
      <c r="V285" s="3737"/>
      <c r="W285" s="3744"/>
      <c r="X285" s="3785" t="s">
        <v>112</v>
      </c>
      <c r="Y285" s="3574"/>
      <c r="Z285" s="3737"/>
      <c r="AA285" s="3744"/>
      <c r="AB285" s="3785" t="s">
        <v>113</v>
      </c>
      <c r="AC285" s="3574"/>
      <c r="AD285" s="3574"/>
      <c r="AE285" s="3788" t="s">
        <v>114</v>
      </c>
      <c r="AF285" s="3574"/>
      <c r="AG285" s="3574"/>
      <c r="AH285" s="3574"/>
      <c r="AI285" s="3575"/>
    </row>
    <row r="286" spans="1:35" ht="21" customHeight="1" x14ac:dyDescent="0.2">
      <c r="A286" s="1"/>
      <c r="B286" s="3"/>
      <c r="C286" s="8"/>
      <c r="D286" s="116"/>
      <c r="E286" s="14"/>
      <c r="F286" s="115"/>
      <c r="G286" s="8"/>
      <c r="H286" s="116"/>
      <c r="I286" s="14"/>
      <c r="J286" s="115"/>
      <c r="K286" s="8"/>
      <c r="L286" s="116"/>
      <c r="M286" s="14"/>
      <c r="N286" s="115"/>
      <c r="O286" s="8"/>
      <c r="P286" s="116"/>
      <c r="Q286" s="14"/>
      <c r="R286" s="115"/>
      <c r="S286" s="8"/>
      <c r="T286" s="116"/>
      <c r="U286" s="14"/>
      <c r="V286" s="115"/>
      <c r="W286" s="8"/>
      <c r="X286" s="116"/>
      <c r="Y286" s="14"/>
      <c r="Z286" s="115"/>
      <c r="AA286" s="8"/>
      <c r="AB286" s="116"/>
      <c r="AC286" s="14"/>
      <c r="AD286" s="14"/>
      <c r="AE286" s="117"/>
      <c r="AF286" s="14"/>
      <c r="AG286" s="14"/>
      <c r="AH286" s="14"/>
      <c r="AI286" s="118"/>
    </row>
    <row r="287" spans="1:35" ht="21" customHeight="1" x14ac:dyDescent="0.2">
      <c r="A287" s="110"/>
      <c r="B287" s="3956"/>
      <c r="C287" s="3643"/>
      <c r="D287" s="3510"/>
      <c r="E287" s="3510"/>
      <c r="F287" s="3793"/>
      <c r="G287" s="3643"/>
      <c r="H287" s="3510"/>
      <c r="I287" s="3510"/>
      <c r="J287" s="3793"/>
      <c r="K287" s="3643"/>
      <c r="L287" s="3510"/>
      <c r="M287" s="3510"/>
      <c r="N287" s="3793"/>
      <c r="O287" s="3643"/>
      <c r="P287" s="3510"/>
      <c r="Q287" s="3510"/>
      <c r="R287" s="3793"/>
      <c r="S287" s="3643"/>
      <c r="T287" s="3510"/>
      <c r="U287" s="3510"/>
      <c r="V287" s="3793"/>
      <c r="W287" s="3643"/>
      <c r="X287" s="3510"/>
      <c r="Y287" s="3510"/>
      <c r="Z287" s="3793"/>
      <c r="AA287" s="3791"/>
      <c r="AB287" s="3510"/>
      <c r="AC287" s="3510"/>
      <c r="AD287" s="3644"/>
      <c r="AE287" s="3968"/>
      <c r="AF287" s="3510"/>
      <c r="AG287" s="3510"/>
      <c r="AH287" s="3644"/>
      <c r="AI287" s="3519"/>
    </row>
    <row r="288" spans="1:35" ht="21" customHeight="1" thickBot="1" x14ac:dyDescent="0.25">
      <c r="A288" s="1"/>
      <c r="B288" s="3803"/>
      <c r="C288" s="3804"/>
      <c r="D288" s="3587"/>
      <c r="E288" s="3587"/>
      <c r="F288" s="3828"/>
      <c r="G288" s="3804"/>
      <c r="H288" s="3587"/>
      <c r="I288" s="3587"/>
      <c r="J288" s="3828"/>
      <c r="K288" s="3804"/>
      <c r="L288" s="3587"/>
      <c r="M288" s="3587"/>
      <c r="N288" s="3828"/>
      <c r="O288" s="3804"/>
      <c r="P288" s="3587"/>
      <c r="Q288" s="3587"/>
      <c r="R288" s="3828"/>
      <c r="S288" s="3804"/>
      <c r="T288" s="3587"/>
      <c r="U288" s="3587"/>
      <c r="V288" s="3828"/>
      <c r="W288" s="3826"/>
      <c r="X288" s="3587"/>
      <c r="Y288" s="3587"/>
      <c r="Z288" s="3828"/>
      <c r="AA288" s="3826"/>
      <c r="AB288" s="3587"/>
      <c r="AC288" s="3587"/>
      <c r="AD288" s="3811"/>
      <c r="AE288" s="3826"/>
      <c r="AF288" s="3587"/>
      <c r="AG288" s="3587"/>
      <c r="AH288" s="3811"/>
      <c r="AI288" s="3594"/>
    </row>
    <row r="289" spans="1:36" ht="21" customHeight="1" x14ac:dyDescent="0.2">
      <c r="A289" s="1"/>
      <c r="B289" s="18"/>
      <c r="C289" s="64"/>
      <c r="F289" s="69"/>
      <c r="G289" s="64"/>
      <c r="J289" s="69"/>
      <c r="K289" s="64"/>
      <c r="N289" s="69"/>
      <c r="O289" s="64"/>
      <c r="R289" s="69"/>
      <c r="S289" s="64"/>
      <c r="V289" s="69"/>
      <c r="W289" s="69"/>
      <c r="Z289" s="69"/>
      <c r="AA289" s="69"/>
      <c r="AD289" s="69"/>
      <c r="AE289" s="69"/>
      <c r="AH289" s="69"/>
    </row>
    <row r="290" spans="1:36" ht="33" customHeight="1" x14ac:dyDescent="0.2">
      <c r="A290" s="158" t="s">
        <v>332</v>
      </c>
      <c r="B290" s="18"/>
      <c r="C290" s="64"/>
      <c r="F290" s="69"/>
      <c r="G290" s="64"/>
      <c r="J290" s="69"/>
      <c r="K290" s="64"/>
      <c r="N290" s="69"/>
      <c r="O290" s="64"/>
      <c r="R290" s="69"/>
      <c r="S290" s="64"/>
      <c r="V290" s="69"/>
      <c r="W290" s="69"/>
      <c r="Z290" s="69"/>
      <c r="AA290" s="69"/>
      <c r="AD290" s="69"/>
      <c r="AE290" s="69"/>
      <c r="AH290" s="294"/>
      <c r="AI290" s="190"/>
      <c r="AJ290" s="190"/>
    </row>
    <row r="291" spans="1:36" ht="21" customHeight="1" thickBot="1" x14ac:dyDescent="0.25">
      <c r="A291" s="3969" t="s">
        <v>28</v>
      </c>
      <c r="B291" s="3970" t="s">
        <v>29</v>
      </c>
      <c r="C291" s="3528">
        <v>1</v>
      </c>
      <c r="D291" s="3528">
        <v>2</v>
      </c>
      <c r="E291" s="3528">
        <v>3</v>
      </c>
      <c r="F291" s="3529">
        <v>4</v>
      </c>
      <c r="G291" s="3529">
        <v>5</v>
      </c>
      <c r="H291" s="3528">
        <v>6</v>
      </c>
      <c r="I291" s="3528">
        <v>7</v>
      </c>
      <c r="J291" s="3528">
        <v>8</v>
      </c>
      <c r="K291" s="3528">
        <v>9</v>
      </c>
      <c r="L291" s="3528">
        <v>10</v>
      </c>
      <c r="M291" s="3529">
        <v>11</v>
      </c>
      <c r="N291" s="3529">
        <v>12</v>
      </c>
      <c r="O291" s="3528">
        <v>13</v>
      </c>
      <c r="P291" s="3528">
        <v>14</v>
      </c>
      <c r="Q291" s="3528">
        <v>15</v>
      </c>
      <c r="R291" s="3528">
        <v>16</v>
      </c>
      <c r="S291" s="3528">
        <v>17</v>
      </c>
      <c r="T291" s="3529">
        <v>18</v>
      </c>
      <c r="U291" s="3529">
        <v>19</v>
      </c>
      <c r="V291" s="3528">
        <v>20</v>
      </c>
      <c r="W291" s="3528">
        <v>21</v>
      </c>
      <c r="X291" s="3528">
        <v>22</v>
      </c>
      <c r="Y291" s="3528">
        <v>23</v>
      </c>
      <c r="Z291" s="3528">
        <v>24</v>
      </c>
      <c r="AA291" s="3529">
        <v>25</v>
      </c>
      <c r="AB291" s="3529">
        <v>26</v>
      </c>
      <c r="AC291" s="3528">
        <v>27</v>
      </c>
      <c r="AD291" s="3528">
        <v>28</v>
      </c>
      <c r="AE291" s="3528"/>
      <c r="AF291" s="3528"/>
      <c r="AG291" s="3530"/>
      <c r="AH291" s="295"/>
      <c r="AI291" s="296"/>
      <c r="AJ291" s="190"/>
    </row>
    <row r="292" spans="1:36" ht="21" customHeight="1" x14ac:dyDescent="0.2">
      <c r="A292" s="88"/>
      <c r="B292" s="3971" t="s">
        <v>333</v>
      </c>
      <c r="C292" s="1110" t="s">
        <v>32</v>
      </c>
      <c r="D292" s="1110" t="s">
        <v>32</v>
      </c>
      <c r="E292" s="1110" t="s">
        <v>32</v>
      </c>
      <c r="F292" s="1110"/>
      <c r="G292" s="644"/>
      <c r="H292" s="848" t="s">
        <v>32</v>
      </c>
      <c r="I292" s="644" t="s">
        <v>32</v>
      </c>
      <c r="J292" s="644" t="s">
        <v>32</v>
      </c>
      <c r="K292" s="644" t="s">
        <v>32</v>
      </c>
      <c r="L292" s="644" t="s">
        <v>32</v>
      </c>
      <c r="M292" s="644"/>
      <c r="N292" s="848"/>
      <c r="O292" s="848" t="s">
        <v>32</v>
      </c>
      <c r="P292" s="848" t="s">
        <v>32</v>
      </c>
      <c r="Q292" s="975" t="s">
        <v>32</v>
      </c>
      <c r="R292" s="848" t="s">
        <v>32</v>
      </c>
      <c r="S292" s="644" t="s">
        <v>32</v>
      </c>
      <c r="T292" s="644"/>
      <c r="U292" s="848"/>
      <c r="V292" s="848" t="s">
        <v>32</v>
      </c>
      <c r="W292" s="848" t="s">
        <v>32</v>
      </c>
      <c r="X292" s="644" t="s">
        <v>32</v>
      </c>
      <c r="Y292" s="848" t="s">
        <v>32</v>
      </c>
      <c r="Z292" s="644" t="s">
        <v>32</v>
      </c>
      <c r="AA292" s="644"/>
      <c r="AB292" s="644"/>
      <c r="AC292" s="644" t="s">
        <v>32</v>
      </c>
      <c r="AD292" s="848" t="s">
        <v>32</v>
      </c>
      <c r="AE292" s="848"/>
      <c r="AF292" s="848"/>
      <c r="AG292" s="300"/>
      <c r="AH292" s="297"/>
      <c r="AI292" s="298"/>
      <c r="AJ292" s="190"/>
    </row>
    <row r="293" spans="1:36" ht="21" customHeight="1" x14ac:dyDescent="0.2">
      <c r="A293" s="3972"/>
      <c r="B293" s="3973" t="s">
        <v>334</v>
      </c>
      <c r="C293" s="644" t="s">
        <v>32</v>
      </c>
      <c r="D293" s="644" t="s">
        <v>32</v>
      </c>
      <c r="E293" s="644" t="s">
        <v>32</v>
      </c>
      <c r="F293" s="644"/>
      <c r="G293" s="644"/>
      <c r="H293" s="644" t="s">
        <v>32</v>
      </c>
      <c r="I293" s="644" t="s">
        <v>32</v>
      </c>
      <c r="J293" s="644" t="s">
        <v>32</v>
      </c>
      <c r="K293" s="644" t="s">
        <v>32</v>
      </c>
      <c r="L293" s="3946" t="s">
        <v>32</v>
      </c>
      <c r="M293" s="644"/>
      <c r="N293" s="848"/>
      <c r="O293" s="848" t="s">
        <v>32</v>
      </c>
      <c r="P293" s="3946" t="s">
        <v>32</v>
      </c>
      <c r="Q293" s="3946" t="s">
        <v>32</v>
      </c>
      <c r="R293" s="848" t="s">
        <v>32</v>
      </c>
      <c r="S293" s="644" t="s">
        <v>32</v>
      </c>
      <c r="T293" s="644"/>
      <c r="U293" s="848"/>
      <c r="V293" s="848" t="s">
        <v>32</v>
      </c>
      <c r="W293" s="848" t="s">
        <v>32</v>
      </c>
      <c r="X293" s="644" t="s">
        <v>32</v>
      </c>
      <c r="Y293" s="848" t="s">
        <v>32</v>
      </c>
      <c r="Z293" s="644" t="s">
        <v>32</v>
      </c>
      <c r="AA293" s="644"/>
      <c r="AB293" s="644"/>
      <c r="AC293" s="644" t="s">
        <v>32</v>
      </c>
      <c r="AD293" s="848" t="s">
        <v>32</v>
      </c>
      <c r="AE293" s="848"/>
      <c r="AF293" s="848"/>
      <c r="AG293" s="3974"/>
      <c r="AH293" s="297"/>
      <c r="AI293" s="298"/>
      <c r="AJ293" s="190"/>
    </row>
    <row r="294" spans="1:36" ht="21" customHeight="1" x14ac:dyDescent="0.2">
      <c r="A294" s="3595"/>
      <c r="B294" s="3973" t="s">
        <v>335</v>
      </c>
      <c r="C294" s="1110" t="s">
        <v>32</v>
      </c>
      <c r="D294" s="1110" t="s">
        <v>32</v>
      </c>
      <c r="E294" s="1110" t="s">
        <v>32</v>
      </c>
      <c r="F294" s="1110"/>
      <c r="G294" s="644"/>
      <c r="H294" s="848" t="s">
        <v>32</v>
      </c>
      <c r="I294" s="644" t="s">
        <v>32</v>
      </c>
      <c r="J294" s="644" t="s">
        <v>32</v>
      </c>
      <c r="K294" s="644" t="s">
        <v>32</v>
      </c>
      <c r="L294" s="644" t="s">
        <v>32</v>
      </c>
      <c r="M294" s="644"/>
      <c r="N294" s="848"/>
      <c r="O294" s="848" t="s">
        <v>32</v>
      </c>
      <c r="P294" s="848" t="s">
        <v>32</v>
      </c>
      <c r="Q294" s="975" t="s">
        <v>32</v>
      </c>
      <c r="R294" s="848" t="s">
        <v>32</v>
      </c>
      <c r="S294" s="644" t="s">
        <v>32</v>
      </c>
      <c r="T294" s="644"/>
      <c r="U294" s="848"/>
      <c r="V294" s="3567" t="s">
        <v>32</v>
      </c>
      <c r="W294" s="848" t="s">
        <v>32</v>
      </c>
      <c r="X294" s="644" t="s">
        <v>32</v>
      </c>
      <c r="Y294" s="848" t="s">
        <v>32</v>
      </c>
      <c r="Z294" s="644" t="s">
        <v>32</v>
      </c>
      <c r="AA294" s="644"/>
      <c r="AB294" s="644"/>
      <c r="AC294" s="644" t="s">
        <v>32</v>
      </c>
      <c r="AD294" s="848" t="s">
        <v>32</v>
      </c>
      <c r="AE294" s="644"/>
      <c r="AF294" s="644"/>
      <c r="AG294" s="3974"/>
      <c r="AH294" s="297"/>
      <c r="AI294" s="298"/>
      <c r="AJ294" s="190"/>
    </row>
    <row r="295" spans="1:36" ht="21" customHeight="1" x14ac:dyDescent="0.2">
      <c r="A295" s="3975"/>
      <c r="B295" s="3973" t="s">
        <v>336</v>
      </c>
      <c r="C295" s="644" t="s">
        <v>32</v>
      </c>
      <c r="D295" s="644" t="s">
        <v>32</v>
      </c>
      <c r="E295" s="644" t="s">
        <v>32</v>
      </c>
      <c r="F295" s="644"/>
      <c r="G295" s="644"/>
      <c r="H295" s="644" t="s">
        <v>32</v>
      </c>
      <c r="I295" s="644" t="s">
        <v>32</v>
      </c>
      <c r="J295" s="644" t="s">
        <v>32</v>
      </c>
      <c r="K295" s="644" t="s">
        <v>32</v>
      </c>
      <c r="L295" s="3976" t="s">
        <v>32</v>
      </c>
      <c r="M295" s="644"/>
      <c r="N295" s="848"/>
      <c r="O295" s="848" t="s">
        <v>32</v>
      </c>
      <c r="P295" s="848" t="s">
        <v>32</v>
      </c>
      <c r="Q295" s="975" t="s">
        <v>32</v>
      </c>
      <c r="R295" s="848" t="s">
        <v>32</v>
      </c>
      <c r="S295" s="644" t="s">
        <v>32</v>
      </c>
      <c r="T295" s="644"/>
      <c r="U295" s="848"/>
      <c r="V295" s="848" t="s">
        <v>32</v>
      </c>
      <c r="W295" s="848" t="s">
        <v>32</v>
      </c>
      <c r="X295" s="644" t="s">
        <v>32</v>
      </c>
      <c r="Y295" s="848" t="s">
        <v>32</v>
      </c>
      <c r="Z295" s="644" t="s">
        <v>32</v>
      </c>
      <c r="AA295" s="644"/>
      <c r="AB295" s="644"/>
      <c r="AC295" s="644" t="s">
        <v>32</v>
      </c>
      <c r="AD295" s="848" t="s">
        <v>32</v>
      </c>
      <c r="AE295" s="848"/>
      <c r="AF295" s="848"/>
      <c r="AG295" s="3974"/>
      <c r="AH295" s="297"/>
      <c r="AI295" s="298"/>
      <c r="AJ295" s="190"/>
    </row>
    <row r="296" spans="1:36" ht="21" customHeight="1" x14ac:dyDescent="0.2">
      <c r="A296" s="3975"/>
      <c r="B296" s="3973" t="s">
        <v>337</v>
      </c>
      <c r="C296" s="1110" t="s">
        <v>32</v>
      </c>
      <c r="D296" s="1110" t="s">
        <v>32</v>
      </c>
      <c r="E296" s="1110" t="s">
        <v>32</v>
      </c>
      <c r="F296" s="1110"/>
      <c r="G296" s="644"/>
      <c r="H296" s="848" t="s">
        <v>32</v>
      </c>
      <c r="I296" s="644" t="s">
        <v>32</v>
      </c>
      <c r="J296" s="3940" t="s">
        <v>32</v>
      </c>
      <c r="K296" s="644" t="s">
        <v>32</v>
      </c>
      <c r="L296" s="3567" t="s">
        <v>32</v>
      </c>
      <c r="M296" s="644"/>
      <c r="N296" s="848"/>
      <c r="O296" s="848" t="s">
        <v>32</v>
      </c>
      <c r="P296" s="848" t="s">
        <v>32</v>
      </c>
      <c r="Q296" s="975" t="s">
        <v>32</v>
      </c>
      <c r="R296" s="848" t="s">
        <v>32</v>
      </c>
      <c r="S296" s="3567" t="s">
        <v>32</v>
      </c>
      <c r="T296" s="644"/>
      <c r="U296" s="848"/>
      <c r="V296" s="848" t="s">
        <v>32</v>
      </c>
      <c r="W296" s="848" t="s">
        <v>32</v>
      </c>
      <c r="X296" s="644" t="s">
        <v>32</v>
      </c>
      <c r="Y296" s="848" t="s">
        <v>32</v>
      </c>
      <c r="Z296" s="644" t="s">
        <v>32</v>
      </c>
      <c r="AA296" s="644"/>
      <c r="AB296" s="644"/>
      <c r="AC296" s="644" t="s">
        <v>32</v>
      </c>
      <c r="AD296" s="848" t="s">
        <v>32</v>
      </c>
      <c r="AE296" s="848"/>
      <c r="AF296" s="848"/>
      <c r="AG296" s="3661"/>
      <c r="AH296" s="297"/>
      <c r="AI296" s="298"/>
      <c r="AJ296" s="190"/>
    </row>
    <row r="297" spans="1:36" ht="21" customHeight="1" x14ac:dyDescent="0.2">
      <c r="A297" s="3975"/>
      <c r="B297" s="3973" t="s">
        <v>338</v>
      </c>
      <c r="C297" s="644" t="s">
        <v>32</v>
      </c>
      <c r="D297" s="644" t="s">
        <v>32</v>
      </c>
      <c r="E297" s="644" t="s">
        <v>32</v>
      </c>
      <c r="F297" s="644"/>
      <c r="G297" s="644"/>
      <c r="H297" s="644" t="s">
        <v>32</v>
      </c>
      <c r="I297" s="644" t="s">
        <v>32</v>
      </c>
      <c r="J297" s="644" t="s">
        <v>32</v>
      </c>
      <c r="K297" s="644" t="s">
        <v>32</v>
      </c>
      <c r="L297" s="644" t="s">
        <v>32</v>
      </c>
      <c r="M297" s="644"/>
      <c r="N297" s="848"/>
      <c r="O297" s="848" t="s">
        <v>32</v>
      </c>
      <c r="P297" s="848" t="s">
        <v>32</v>
      </c>
      <c r="Q297" s="975" t="s">
        <v>32</v>
      </c>
      <c r="R297" s="964" t="s">
        <v>51</v>
      </c>
      <c r="S297" s="3562" t="s">
        <v>32</v>
      </c>
      <c r="T297" s="3562"/>
      <c r="U297" s="3562"/>
      <c r="V297" s="848" t="s">
        <v>32</v>
      </c>
      <c r="W297" s="848" t="s">
        <v>32</v>
      </c>
      <c r="X297" s="644" t="s">
        <v>32</v>
      </c>
      <c r="Y297" s="848" t="s">
        <v>32</v>
      </c>
      <c r="Z297" s="644" t="s">
        <v>32</v>
      </c>
      <c r="AA297" s="644"/>
      <c r="AB297" s="644"/>
      <c r="AC297" s="644" t="s">
        <v>32</v>
      </c>
      <c r="AD297" s="848" t="s">
        <v>32</v>
      </c>
      <c r="AE297" s="848"/>
      <c r="AF297" s="848"/>
      <c r="AG297" s="3617"/>
      <c r="AH297" s="297"/>
      <c r="AI297" s="298"/>
      <c r="AJ297" s="190"/>
    </row>
    <row r="298" spans="1:36" ht="21" customHeight="1" x14ac:dyDescent="0.2">
      <c r="A298" s="3975"/>
      <c r="B298" s="3973" t="s">
        <v>339</v>
      </c>
      <c r="C298" s="1110" t="s">
        <v>32</v>
      </c>
      <c r="D298" s="1110" t="s">
        <v>32</v>
      </c>
      <c r="E298" s="1110" t="s">
        <v>32</v>
      </c>
      <c r="F298" s="1110"/>
      <c r="G298" s="644"/>
      <c r="H298" s="848" t="s">
        <v>32</v>
      </c>
      <c r="I298" s="644" t="s">
        <v>32</v>
      </c>
      <c r="J298" s="644" t="s">
        <v>32</v>
      </c>
      <c r="K298" s="644" t="s">
        <v>32</v>
      </c>
      <c r="L298" s="644" t="s">
        <v>32</v>
      </c>
      <c r="M298" s="644"/>
      <c r="N298" s="848"/>
      <c r="O298" s="848" t="s">
        <v>32</v>
      </c>
      <c r="P298" s="848" t="s">
        <v>32</v>
      </c>
      <c r="Q298" s="975" t="s">
        <v>32</v>
      </c>
      <c r="R298" s="848" t="s">
        <v>32</v>
      </c>
      <c r="S298" s="644" t="s">
        <v>32</v>
      </c>
      <c r="T298" s="644"/>
      <c r="U298" s="848"/>
      <c r="V298" s="3976" t="s">
        <v>32</v>
      </c>
      <c r="W298" s="848" t="s">
        <v>32</v>
      </c>
      <c r="X298" s="644" t="s">
        <v>32</v>
      </c>
      <c r="Y298" s="848" t="s">
        <v>32</v>
      </c>
      <c r="Z298" s="644" t="s">
        <v>32</v>
      </c>
      <c r="AA298" s="644"/>
      <c r="AB298" s="644"/>
      <c r="AC298" s="644" t="s">
        <v>32</v>
      </c>
      <c r="AD298" s="848" t="s">
        <v>32</v>
      </c>
      <c r="AE298" s="848"/>
      <c r="AF298" s="848"/>
      <c r="AG298" s="3617"/>
      <c r="AH298" s="297"/>
      <c r="AI298" s="298"/>
      <c r="AJ298" s="190"/>
    </row>
    <row r="299" spans="1:36" ht="21" customHeight="1" x14ac:dyDescent="0.2">
      <c r="A299" s="3975"/>
      <c r="B299" s="3973" t="s">
        <v>370</v>
      </c>
      <c r="C299" s="644" t="s">
        <v>32</v>
      </c>
      <c r="D299" s="644" t="s">
        <v>32</v>
      </c>
      <c r="E299" s="644" t="s">
        <v>32</v>
      </c>
      <c r="F299" s="644"/>
      <c r="G299" s="644"/>
      <c r="H299" s="644" t="s">
        <v>32</v>
      </c>
      <c r="I299" s="644" t="s">
        <v>32</v>
      </c>
      <c r="J299" s="644" t="s">
        <v>32</v>
      </c>
      <c r="K299" s="644" t="s">
        <v>32</v>
      </c>
      <c r="L299" s="644" t="s">
        <v>32</v>
      </c>
      <c r="M299" s="644"/>
      <c r="N299" s="848"/>
      <c r="O299" s="848" t="s">
        <v>32</v>
      </c>
      <c r="P299" s="848" t="s">
        <v>32</v>
      </c>
      <c r="Q299" s="975" t="s">
        <v>32</v>
      </c>
      <c r="R299" s="848" t="s">
        <v>32</v>
      </c>
      <c r="S299" s="644" t="s">
        <v>32</v>
      </c>
      <c r="T299" s="644"/>
      <c r="U299" s="848"/>
      <c r="V299" s="848" t="s">
        <v>32</v>
      </c>
      <c r="W299" s="848" t="s">
        <v>32</v>
      </c>
      <c r="X299" s="644" t="s">
        <v>32</v>
      </c>
      <c r="Y299" s="848" t="s">
        <v>32</v>
      </c>
      <c r="Z299" s="644" t="s">
        <v>32</v>
      </c>
      <c r="AA299" s="644"/>
      <c r="AB299" s="644"/>
      <c r="AC299" s="644" t="s">
        <v>32</v>
      </c>
      <c r="AD299" s="848" t="s">
        <v>32</v>
      </c>
      <c r="AE299" s="644"/>
      <c r="AF299" s="644"/>
      <c r="AG299" s="3617"/>
      <c r="AH299" s="297"/>
      <c r="AI299" s="298"/>
      <c r="AJ299" s="190"/>
    </row>
    <row r="300" spans="1:36" ht="21" customHeight="1" x14ac:dyDescent="0.2">
      <c r="A300" s="3975"/>
      <c r="B300" s="3973" t="s">
        <v>340</v>
      </c>
      <c r="C300" s="1110" t="s">
        <v>32</v>
      </c>
      <c r="D300" s="3946" t="s">
        <v>32</v>
      </c>
      <c r="E300" s="1110" t="s">
        <v>32</v>
      </c>
      <c r="F300" s="1110"/>
      <c r="G300" s="644"/>
      <c r="H300" s="848" t="s">
        <v>32</v>
      </c>
      <c r="I300" s="644" t="s">
        <v>32</v>
      </c>
      <c r="J300" s="644" t="s">
        <v>32</v>
      </c>
      <c r="K300" s="644" t="s">
        <v>32</v>
      </c>
      <c r="L300" s="644" t="s">
        <v>32</v>
      </c>
      <c r="M300" s="644"/>
      <c r="N300" s="848"/>
      <c r="O300" s="848" t="s">
        <v>32</v>
      </c>
      <c r="P300" s="848" t="s">
        <v>32</v>
      </c>
      <c r="Q300" s="975" t="s">
        <v>32</v>
      </c>
      <c r="R300" s="848" t="s">
        <v>32</v>
      </c>
      <c r="S300" s="644" t="s">
        <v>32</v>
      </c>
      <c r="T300" s="644"/>
      <c r="U300" s="848"/>
      <c r="V300" s="848" t="s">
        <v>32</v>
      </c>
      <c r="W300" s="848" t="s">
        <v>32</v>
      </c>
      <c r="X300" s="644" t="s">
        <v>32</v>
      </c>
      <c r="Y300" s="848" t="s">
        <v>32</v>
      </c>
      <c r="Z300" s="644" t="s">
        <v>32</v>
      </c>
      <c r="AA300" s="644"/>
      <c r="AB300" s="644"/>
      <c r="AC300" s="644" t="s">
        <v>32</v>
      </c>
      <c r="AD300" s="848" t="s">
        <v>32</v>
      </c>
      <c r="AE300" s="848"/>
      <c r="AF300" s="848"/>
      <c r="AG300" s="3617"/>
      <c r="AH300" s="297"/>
      <c r="AI300" s="298"/>
      <c r="AJ300" s="190"/>
    </row>
    <row r="301" spans="1:36" ht="21" customHeight="1" x14ac:dyDescent="0.2">
      <c r="A301" s="3975"/>
      <c r="B301" s="3973" t="s">
        <v>341</v>
      </c>
      <c r="C301" s="644" t="s">
        <v>32</v>
      </c>
      <c r="D301" s="644" t="s">
        <v>32</v>
      </c>
      <c r="E301" s="644" t="s">
        <v>32</v>
      </c>
      <c r="F301" s="644"/>
      <c r="G301" s="644"/>
      <c r="H301" s="644" t="s">
        <v>32</v>
      </c>
      <c r="I301" s="644" t="s">
        <v>32</v>
      </c>
      <c r="J301" s="644" t="s">
        <v>32</v>
      </c>
      <c r="K301" s="644" t="s">
        <v>32</v>
      </c>
      <c r="L301" s="644" t="s">
        <v>32</v>
      </c>
      <c r="M301" s="644"/>
      <c r="N301" s="848"/>
      <c r="O301" s="848" t="s">
        <v>32</v>
      </c>
      <c r="P301" s="848" t="s">
        <v>32</v>
      </c>
      <c r="Q301" s="975" t="s">
        <v>32</v>
      </c>
      <c r="R301" s="848" t="s">
        <v>32</v>
      </c>
      <c r="S301" s="644" t="s">
        <v>32</v>
      </c>
      <c r="T301" s="644"/>
      <c r="U301" s="848"/>
      <c r="V301" s="848" t="s">
        <v>32</v>
      </c>
      <c r="W301" s="848" t="s">
        <v>32</v>
      </c>
      <c r="X301" s="644" t="s">
        <v>32</v>
      </c>
      <c r="Y301" s="848" t="s">
        <v>32</v>
      </c>
      <c r="Z301" s="644" t="s">
        <v>32</v>
      </c>
      <c r="AA301" s="644"/>
      <c r="AB301" s="644"/>
      <c r="AC301" s="644" t="s">
        <v>32</v>
      </c>
      <c r="AD301" s="848" t="s">
        <v>32</v>
      </c>
      <c r="AE301" s="848"/>
      <c r="AF301" s="848"/>
      <c r="AG301" s="3617"/>
      <c r="AH301" s="297"/>
      <c r="AI301" s="298"/>
      <c r="AJ301" s="190"/>
    </row>
    <row r="302" spans="1:36" ht="21" customHeight="1" x14ac:dyDescent="0.2">
      <c r="A302" s="3975"/>
      <c r="B302" s="3973" t="s">
        <v>342</v>
      </c>
      <c r="C302" s="1110" t="s">
        <v>32</v>
      </c>
      <c r="D302" s="1110" t="s">
        <v>32</v>
      </c>
      <c r="E302" s="1110" t="s">
        <v>32</v>
      </c>
      <c r="F302" s="1110"/>
      <c r="G302" s="644"/>
      <c r="H302" s="848" t="s">
        <v>32</v>
      </c>
      <c r="I302" s="644" t="s">
        <v>32</v>
      </c>
      <c r="J302" s="644" t="s">
        <v>32</v>
      </c>
      <c r="K302" s="644" t="s">
        <v>32</v>
      </c>
      <c r="L302" s="644" t="s">
        <v>32</v>
      </c>
      <c r="M302" s="644"/>
      <c r="N302" s="848"/>
      <c r="O302" s="848" t="s">
        <v>32</v>
      </c>
      <c r="P302" s="848" t="s">
        <v>32</v>
      </c>
      <c r="Q302" s="975" t="s">
        <v>32</v>
      </c>
      <c r="R302" s="848" t="s">
        <v>32</v>
      </c>
      <c r="S302" s="644" t="s">
        <v>32</v>
      </c>
      <c r="T302" s="644"/>
      <c r="U302" s="848"/>
      <c r="V302" s="848" t="s">
        <v>32</v>
      </c>
      <c r="W302" s="848" t="s">
        <v>32</v>
      </c>
      <c r="X302" s="644" t="s">
        <v>32</v>
      </c>
      <c r="Y302" s="848" t="s">
        <v>32</v>
      </c>
      <c r="Z302" s="644" t="s">
        <v>32</v>
      </c>
      <c r="AA302" s="644"/>
      <c r="AB302" s="644"/>
      <c r="AC302" s="644" t="s">
        <v>32</v>
      </c>
      <c r="AD302" s="848" t="s">
        <v>32</v>
      </c>
      <c r="AE302" s="644"/>
      <c r="AF302" s="644"/>
      <c r="AG302" s="3617"/>
      <c r="AH302" s="297"/>
      <c r="AI302" s="298"/>
      <c r="AJ302" s="190"/>
    </row>
    <row r="303" spans="1:36" ht="21" customHeight="1" x14ac:dyDescent="0.2">
      <c r="A303" s="3975"/>
      <c r="B303" s="3973"/>
      <c r="C303" s="644"/>
      <c r="D303" s="3569"/>
      <c r="E303" s="644"/>
      <c r="F303" s="644"/>
      <c r="G303" s="644"/>
      <c r="H303" s="644"/>
      <c r="I303" s="644"/>
      <c r="J303" s="644"/>
      <c r="K303" s="644"/>
      <c r="L303" s="644"/>
      <c r="M303" s="644"/>
      <c r="N303" s="644"/>
      <c r="O303" s="644"/>
      <c r="P303" s="644"/>
      <c r="Q303" s="644"/>
      <c r="R303" s="644"/>
      <c r="S303" s="644"/>
      <c r="T303" s="644"/>
      <c r="U303" s="644"/>
      <c r="V303" s="644"/>
      <c r="W303" s="644"/>
      <c r="X303" s="644"/>
      <c r="Y303" s="644"/>
      <c r="Z303" s="644"/>
      <c r="AA303" s="644"/>
      <c r="AB303" s="644"/>
      <c r="AC303" s="644"/>
      <c r="AD303" s="644"/>
      <c r="AE303" s="644"/>
      <c r="AF303" s="644"/>
      <c r="AG303" s="3617"/>
      <c r="AH303" s="297"/>
      <c r="AI303" s="298"/>
      <c r="AJ303" s="190"/>
    </row>
    <row r="304" spans="1:36" ht="21" customHeight="1" x14ac:dyDescent="0.2">
      <c r="A304" s="3562"/>
      <c r="B304" s="3977"/>
      <c r="C304" s="3616"/>
      <c r="D304" s="3616"/>
      <c r="E304" s="3616"/>
      <c r="F304" s="3616"/>
      <c r="G304" s="3616"/>
      <c r="H304" s="3616"/>
      <c r="I304" s="3616"/>
      <c r="J304" s="3616"/>
      <c r="K304" s="3616"/>
      <c r="L304" s="3616"/>
      <c r="M304" s="3616"/>
      <c r="N304" s="3538"/>
      <c r="O304" s="3538"/>
      <c r="P304" s="3616"/>
      <c r="Q304" s="3616"/>
      <c r="R304" s="3616"/>
      <c r="S304" s="3616"/>
      <c r="T304" s="3616"/>
      <c r="U304" s="3616"/>
      <c r="V304" s="3616"/>
      <c r="W304" s="3616"/>
      <c r="X304" s="3616"/>
      <c r="Y304" s="3616"/>
      <c r="Z304" s="3616"/>
      <c r="AA304" s="3616"/>
      <c r="AB304" s="3538"/>
      <c r="AC304" s="3538"/>
      <c r="AD304" s="3616"/>
      <c r="AE304" s="3616"/>
      <c r="AF304" s="3616"/>
      <c r="AG304" s="3617"/>
      <c r="AH304" s="297"/>
      <c r="AI304" s="299"/>
      <c r="AJ304" s="190"/>
    </row>
    <row r="305" spans="1:36" ht="21" customHeight="1" thickBot="1" x14ac:dyDescent="0.25">
      <c r="A305" s="3978"/>
      <c r="B305" s="3979"/>
      <c r="C305" s="3980"/>
      <c r="D305" s="3981"/>
      <c r="E305" s="3981"/>
      <c r="F305" s="3981"/>
      <c r="G305" s="3981"/>
      <c r="H305" s="3981"/>
      <c r="I305" s="3981"/>
      <c r="J305" s="3981"/>
      <c r="K305" s="3981"/>
      <c r="L305" s="3981"/>
      <c r="M305" s="3981"/>
      <c r="N305" s="3982"/>
      <c r="O305" s="3982"/>
      <c r="P305" s="3981"/>
      <c r="Q305" s="3981"/>
      <c r="R305" s="3981"/>
      <c r="S305" s="3981"/>
      <c r="T305" s="3981"/>
      <c r="U305" s="3981"/>
      <c r="V305" s="3981"/>
      <c r="W305" s="3981"/>
      <c r="X305" s="3981"/>
      <c r="Y305" s="3981"/>
      <c r="Z305" s="3981"/>
      <c r="AA305" s="3981"/>
      <c r="AB305" s="3982"/>
      <c r="AC305" s="3982"/>
      <c r="AD305" s="3981"/>
      <c r="AE305" s="3981"/>
      <c r="AF305" s="3981"/>
      <c r="AG305" s="3983"/>
      <c r="AH305" s="297"/>
      <c r="AI305" s="299"/>
      <c r="AJ305" s="190"/>
    </row>
    <row r="306" spans="1:36" x14ac:dyDescent="0.2">
      <c r="AH306" s="190"/>
      <c r="AI306" s="190"/>
      <c r="AJ306" s="190"/>
    </row>
    <row r="307" spans="1:36" x14ac:dyDescent="0.2">
      <c r="AH307" s="190"/>
      <c r="AI307" s="190"/>
      <c r="AJ307" s="190"/>
    </row>
    <row r="308" spans="1:36" x14ac:dyDescent="0.2">
      <c r="AH308" s="190"/>
      <c r="AI308" s="190"/>
      <c r="AJ308" s="190"/>
    </row>
    <row r="309" spans="1:36" x14ac:dyDescent="0.2">
      <c r="AH309" s="190"/>
      <c r="AI309" s="190"/>
      <c r="AJ309" s="190"/>
    </row>
  </sheetData>
  <sheetProtection algorithmName="SHA-512" hashValue="ImS7MHXReJE5wOcLNgeOgGMHEIJtSqKvrRKwJHWRCOh0gyc8HX13D2dSgBL8DPFpJaLd+0LX58kvIOrRC66SEQ==" saltValue="dGONqnfCPdL5a0WKlJlnrg==" spinCount="100000" sheet="1" objects="1" scenarios="1"/>
  <protectedRanges>
    <protectedRange sqref="B143:B144"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5 B147:B148"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0C51D-9B80-4935-B641-7B39F4996168}">
  <sheetPr codeName="Ark79"/>
  <dimension ref="A1:AR306"/>
  <sheetViews>
    <sheetView zoomScale="90" zoomScaleNormal="90" workbookViewId="0">
      <pane xSplit="2" ySplit="3" topLeftCell="C78" activePane="bottomRight" state="frozen"/>
      <selection pane="topRight" activeCell="AE74" sqref="AE74"/>
      <selection pane="bottomLeft" activeCell="AE74" sqref="AE74"/>
      <selection pane="bottomRight" activeCell="N99" sqref="N99"/>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2" width="11.140625" bestFit="1" customWidth="1"/>
  </cols>
  <sheetData>
    <row r="1" spans="1:41" ht="13.35" customHeight="1" x14ac:dyDescent="0.2">
      <c r="A1" t="s">
        <v>0</v>
      </c>
      <c r="B1" s="1" t="s">
        <v>1</v>
      </c>
    </row>
    <row r="2" spans="1:41" ht="13.35" customHeight="1" x14ac:dyDescent="0.2">
      <c r="B2" s="3984" t="s">
        <v>2</v>
      </c>
      <c r="C2" s="3985" t="s">
        <v>3</v>
      </c>
      <c r="D2" s="3986"/>
      <c r="E2" s="3987" t="s">
        <v>4</v>
      </c>
      <c r="F2" s="3988"/>
      <c r="G2" s="3989"/>
      <c r="H2" s="3989"/>
      <c r="I2" s="3989"/>
      <c r="J2" s="3989"/>
      <c r="K2" s="3990"/>
      <c r="L2" s="3991" t="s">
        <v>5</v>
      </c>
      <c r="M2" s="3992"/>
      <c r="N2" s="3993"/>
      <c r="O2" s="3994" t="s">
        <v>6</v>
      </c>
      <c r="P2" s="3995"/>
      <c r="Q2" s="3996"/>
      <c r="R2" s="3997"/>
      <c r="S2" s="3998" t="s">
        <v>7</v>
      </c>
      <c r="T2" s="3999"/>
      <c r="U2" s="4000"/>
      <c r="V2" s="3999"/>
      <c r="W2" s="4001" t="s">
        <v>8</v>
      </c>
      <c r="X2" s="4002"/>
      <c r="Y2" s="4003"/>
      <c r="Z2" s="160" t="s">
        <v>9</v>
      </c>
      <c r="AA2" s="4004"/>
      <c r="AB2" s="4005"/>
      <c r="AC2" s="4006"/>
      <c r="AD2" s="4007" t="s">
        <v>10</v>
      </c>
      <c r="AE2" s="4008"/>
      <c r="AF2" s="4008"/>
      <c r="AG2" s="4009"/>
      <c r="AO2" t="s">
        <v>487</v>
      </c>
    </row>
    <row r="3" spans="1:41" ht="13.35" customHeight="1" x14ac:dyDescent="0.2">
      <c r="A3" s="1"/>
      <c r="B3" s="4010" t="s">
        <v>11</v>
      </c>
      <c r="C3" s="4011" t="s">
        <v>12</v>
      </c>
      <c r="D3" s="4012"/>
      <c r="E3" s="91"/>
      <c r="F3" s="92"/>
      <c r="G3" s="92"/>
      <c r="H3" s="161" t="s">
        <v>13</v>
      </c>
      <c r="I3" s="93"/>
      <c r="J3" s="93"/>
      <c r="K3" s="94"/>
      <c r="L3" s="4013" t="s">
        <v>14</v>
      </c>
      <c r="M3" s="4014"/>
      <c r="N3" s="4015"/>
      <c r="O3" s="93"/>
      <c r="P3" s="93"/>
      <c r="Q3" s="93"/>
      <c r="R3" s="93"/>
      <c r="S3" s="14"/>
      <c r="T3" s="95" t="s">
        <v>15</v>
      </c>
      <c r="U3" s="96"/>
      <c r="V3" s="97"/>
      <c r="W3" s="98"/>
      <c r="X3" s="99"/>
      <c r="Y3" s="161" t="s">
        <v>16</v>
      </c>
      <c r="Z3" s="4014"/>
      <c r="AA3" s="4014"/>
      <c r="AB3" s="4016"/>
      <c r="AC3" s="4017"/>
      <c r="AD3" s="4018" t="s">
        <v>17</v>
      </c>
      <c r="AE3" s="4019"/>
      <c r="AF3" s="4019"/>
      <c r="AG3" s="4020"/>
    </row>
    <row r="4" spans="1:41"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41" ht="22.35" customHeight="1" x14ac:dyDescent="0.2">
      <c r="A5" s="158" t="s">
        <v>19</v>
      </c>
      <c r="B5" s="1"/>
    </row>
    <row r="6" spans="1:41" ht="22.35" customHeight="1" x14ac:dyDescent="0.2">
      <c r="A6" s="4021" t="s">
        <v>20</v>
      </c>
      <c r="B6" s="4014"/>
      <c r="C6" s="4022"/>
      <c r="D6" s="4021" t="s">
        <v>21</v>
      </c>
      <c r="E6" s="4014"/>
      <c r="F6" s="4014"/>
      <c r="G6" s="4014"/>
      <c r="H6" s="4023"/>
      <c r="I6" s="4014"/>
      <c r="J6" s="4014"/>
      <c r="K6" s="4014"/>
      <c r="L6" s="4024" t="s">
        <v>22</v>
      </c>
      <c r="M6" s="4014"/>
      <c r="N6" s="4014"/>
      <c r="O6" s="4014"/>
      <c r="P6" s="4014"/>
      <c r="Q6" s="4014"/>
      <c r="R6" s="4014"/>
      <c r="S6" s="4022"/>
      <c r="T6" s="4025"/>
      <c r="U6" s="4014"/>
      <c r="V6" s="4014"/>
      <c r="W6" s="4014"/>
      <c r="X6" s="4014"/>
      <c r="Y6" s="4014"/>
      <c r="Z6" s="4014"/>
      <c r="AA6" s="4022"/>
      <c r="AB6" s="4026"/>
      <c r="AC6" s="4027"/>
      <c r="AD6" s="4027"/>
      <c r="AE6" s="4027"/>
      <c r="AF6" s="4027"/>
      <c r="AG6" s="4028"/>
    </row>
    <row r="7" spans="1:41" ht="22.35" customHeight="1" x14ac:dyDescent="0.2">
      <c r="A7" s="4021" t="s">
        <v>23</v>
      </c>
      <c r="B7" s="4014"/>
      <c r="C7" s="4014"/>
      <c r="D7" s="4014"/>
      <c r="E7" s="4014"/>
      <c r="F7" s="4014"/>
      <c r="G7" s="4014"/>
      <c r="H7" s="4014"/>
      <c r="I7" s="4014"/>
      <c r="J7" s="4014"/>
      <c r="K7" s="4022"/>
      <c r="L7" s="153" t="s">
        <v>24</v>
      </c>
      <c r="M7" s="14"/>
      <c r="N7" s="14"/>
      <c r="O7" s="14"/>
      <c r="P7" s="14"/>
      <c r="Q7" s="14"/>
      <c r="R7" s="14"/>
      <c r="S7" s="14"/>
      <c r="T7" s="14"/>
      <c r="U7" s="4014"/>
      <c r="V7" s="4014"/>
      <c r="W7" s="4014"/>
      <c r="X7" s="4014"/>
      <c r="Y7" s="4014"/>
      <c r="Z7" s="4014"/>
      <c r="AA7" s="4014"/>
      <c r="AB7" s="4029"/>
      <c r="AC7" s="4014"/>
      <c r="AD7" s="4014"/>
      <c r="AE7" s="4014"/>
      <c r="AF7" s="4014"/>
      <c r="AG7" s="4022"/>
    </row>
    <row r="8" spans="1:41" ht="22.35" customHeight="1" x14ac:dyDescent="0.2">
      <c r="A8" s="158" t="s">
        <v>25</v>
      </c>
      <c r="L8" s="100"/>
      <c r="AB8" s="1"/>
    </row>
    <row r="9" spans="1:41" ht="22.35" customHeight="1" x14ac:dyDescent="0.2">
      <c r="A9" s="158" t="s">
        <v>26</v>
      </c>
      <c r="L9" s="100"/>
      <c r="AB9" s="1"/>
    </row>
    <row r="10" spans="1:41"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41" ht="22.35" customHeight="1" thickBot="1" x14ac:dyDescent="0.25">
      <c r="A11" s="4030" t="s">
        <v>28</v>
      </c>
      <c r="B11" s="4031" t="s">
        <v>29</v>
      </c>
      <c r="C11" s="4032">
        <v>1</v>
      </c>
      <c r="D11" s="4032">
        <v>2</v>
      </c>
      <c r="E11" s="4032">
        <v>3</v>
      </c>
      <c r="F11" s="4033">
        <v>4</v>
      </c>
      <c r="G11" s="4033">
        <v>5</v>
      </c>
      <c r="H11" s="4032">
        <v>6</v>
      </c>
      <c r="I11" s="4032">
        <v>7</v>
      </c>
      <c r="J11" s="4032">
        <v>8</v>
      </c>
      <c r="K11" s="4032">
        <v>9</v>
      </c>
      <c r="L11" s="4032">
        <v>10</v>
      </c>
      <c r="M11" s="4033">
        <v>11</v>
      </c>
      <c r="N11" s="4033">
        <v>12</v>
      </c>
      <c r="O11" s="4032">
        <v>13</v>
      </c>
      <c r="P11" s="4032">
        <v>14</v>
      </c>
      <c r="Q11" s="4032">
        <v>15</v>
      </c>
      <c r="R11" s="4032">
        <v>16</v>
      </c>
      <c r="S11" s="4032">
        <v>17</v>
      </c>
      <c r="T11" s="4033">
        <v>18</v>
      </c>
      <c r="U11" s="4033">
        <v>19</v>
      </c>
      <c r="V11" s="4032">
        <v>20</v>
      </c>
      <c r="W11" s="4032">
        <v>21</v>
      </c>
      <c r="X11" s="4032">
        <v>22</v>
      </c>
      <c r="Y11" s="4032">
        <v>23</v>
      </c>
      <c r="Z11" s="4032">
        <v>24</v>
      </c>
      <c r="AA11" s="4033">
        <v>25</v>
      </c>
      <c r="AB11" s="4033">
        <v>26</v>
      </c>
      <c r="AC11" s="4032">
        <v>27</v>
      </c>
      <c r="AD11" s="4032">
        <v>28</v>
      </c>
      <c r="AE11" s="4032">
        <v>29</v>
      </c>
      <c r="AF11" s="4032">
        <v>30</v>
      </c>
      <c r="AG11" s="4034">
        <v>31</v>
      </c>
      <c r="AH11" s="173"/>
      <c r="AI11" s="174"/>
      <c r="AJ11" s="4035" t="s">
        <v>30</v>
      </c>
    </row>
    <row r="12" spans="1:41" ht="22.35" customHeight="1" x14ac:dyDescent="0.2">
      <c r="A12" s="4036">
        <v>8500</v>
      </c>
      <c r="B12" s="4037" t="s">
        <v>31</v>
      </c>
      <c r="C12" s="4038" t="s">
        <v>32</v>
      </c>
      <c r="D12" s="4038" t="s">
        <v>32</v>
      </c>
      <c r="E12" s="4038" t="s">
        <v>32</v>
      </c>
      <c r="F12" s="4039"/>
      <c r="G12" s="4039"/>
      <c r="H12" s="4038" t="s">
        <v>32</v>
      </c>
      <c r="I12" s="4040" t="s">
        <v>32</v>
      </c>
      <c r="J12" s="4038" t="s">
        <v>32</v>
      </c>
      <c r="K12" s="4038" t="s">
        <v>32</v>
      </c>
      <c r="L12" s="4038" t="s">
        <v>32</v>
      </c>
      <c r="M12" s="4039"/>
      <c r="N12" s="4039"/>
      <c r="O12" s="4038" t="s">
        <v>32</v>
      </c>
      <c r="P12" s="4038" t="s">
        <v>32</v>
      </c>
      <c r="Q12" s="4038" t="s">
        <v>32</v>
      </c>
      <c r="R12" s="4038" t="s">
        <v>32</v>
      </c>
      <c r="S12" s="4038" t="s">
        <v>32</v>
      </c>
      <c r="T12" s="4039"/>
      <c r="U12" s="4039"/>
      <c r="V12" s="4039" t="s">
        <v>32</v>
      </c>
      <c r="W12" s="4039" t="s">
        <v>32</v>
      </c>
      <c r="X12" s="4039" t="s">
        <v>32</v>
      </c>
      <c r="Y12" s="4041" t="s">
        <v>32</v>
      </c>
      <c r="Z12" s="4041" t="s">
        <v>32</v>
      </c>
      <c r="AA12" s="4039"/>
      <c r="AB12" s="4039"/>
      <c r="AC12" s="4038" t="s">
        <v>32</v>
      </c>
      <c r="AD12" s="4038" t="s">
        <v>32</v>
      </c>
      <c r="AE12" s="4038" t="s">
        <v>32</v>
      </c>
      <c r="AF12" s="4038" t="s">
        <v>32</v>
      </c>
      <c r="AG12" s="4042" t="s">
        <v>32</v>
      </c>
      <c r="AH12" s="179"/>
      <c r="AI12" s="179"/>
      <c r="AJ12" s="4035">
        <v>160.33000000000001</v>
      </c>
    </row>
    <row r="13" spans="1:41" ht="22.35" customHeight="1" x14ac:dyDescent="0.2">
      <c r="A13" s="4043" t="s">
        <v>33</v>
      </c>
      <c r="B13" s="4044"/>
      <c r="C13" s="4044"/>
      <c r="D13" s="4044"/>
      <c r="E13" s="4044"/>
      <c r="F13" s="4044"/>
      <c r="G13" s="4044"/>
      <c r="H13" s="4044"/>
      <c r="I13" s="4044"/>
      <c r="J13" s="4044"/>
      <c r="K13" s="4044"/>
      <c r="L13" s="4044"/>
      <c r="M13" s="4044"/>
      <c r="N13" s="4044"/>
      <c r="O13" s="4044"/>
      <c r="P13" s="4044"/>
      <c r="Q13" s="4044"/>
      <c r="R13" s="4044"/>
      <c r="S13" s="4044"/>
      <c r="T13" s="4044"/>
      <c r="U13" s="4044"/>
      <c r="V13" s="4044"/>
      <c r="W13" s="4044"/>
      <c r="X13" s="4044"/>
      <c r="Y13" s="4044"/>
      <c r="Z13" s="4044"/>
      <c r="AA13" s="4044"/>
      <c r="AB13" s="4044"/>
      <c r="AC13" s="4044"/>
      <c r="AD13" s="4044"/>
      <c r="AE13" s="4044"/>
      <c r="AF13" s="4044"/>
      <c r="AG13" s="4045"/>
      <c r="AH13" s="177"/>
      <c r="AI13" s="177"/>
    </row>
    <row r="14" spans="1:41" ht="22.35" customHeight="1" x14ac:dyDescent="0.2">
      <c r="A14" s="4046">
        <v>8546</v>
      </c>
      <c r="B14" s="4037" t="s">
        <v>34</v>
      </c>
      <c r="C14" s="4047" t="s">
        <v>36</v>
      </c>
      <c r="D14" s="4047" t="s">
        <v>36</v>
      </c>
      <c r="E14" s="4047" t="s">
        <v>36</v>
      </c>
      <c r="F14" s="4047"/>
      <c r="G14" s="4047"/>
      <c r="H14" s="4048">
        <v>4</v>
      </c>
      <c r="I14" s="4048">
        <v>4</v>
      </c>
      <c r="J14" s="4048">
        <v>4</v>
      </c>
      <c r="K14" s="4048">
        <v>4</v>
      </c>
      <c r="L14" s="4048">
        <v>4</v>
      </c>
      <c r="M14" s="4049" t="s">
        <v>35</v>
      </c>
      <c r="N14" s="4049" t="s">
        <v>35</v>
      </c>
      <c r="O14" s="4047" t="s">
        <v>36</v>
      </c>
      <c r="P14" s="4050" t="s">
        <v>36</v>
      </c>
      <c r="Q14" s="4050" t="s">
        <v>36</v>
      </c>
      <c r="R14" s="4051" t="s">
        <v>36</v>
      </c>
      <c r="S14" s="4052" t="s">
        <v>36</v>
      </c>
      <c r="T14" s="4050"/>
      <c r="U14" s="4050"/>
      <c r="V14" s="4051">
        <v>1</v>
      </c>
      <c r="W14" s="4051">
        <v>1</v>
      </c>
      <c r="X14" s="4051">
        <v>1</v>
      </c>
      <c r="Y14" s="4051">
        <v>1</v>
      </c>
      <c r="Z14" s="4051">
        <v>1</v>
      </c>
      <c r="AA14" s="4051"/>
      <c r="AB14" s="4051"/>
      <c r="AC14" s="4051">
        <v>2</v>
      </c>
      <c r="AD14" s="4050">
        <v>2</v>
      </c>
      <c r="AE14" s="4051">
        <v>2</v>
      </c>
      <c r="AF14" s="4051">
        <v>2</v>
      </c>
      <c r="AG14" s="4053">
        <v>2</v>
      </c>
      <c r="AH14" s="179"/>
      <c r="AI14" s="179"/>
      <c r="AL14" s="449"/>
    </row>
    <row r="15" spans="1:41" ht="22.35" customHeight="1" x14ac:dyDescent="0.2">
      <c r="A15" s="4046">
        <v>8546</v>
      </c>
      <c r="B15" s="4054" t="s">
        <v>38</v>
      </c>
      <c r="C15" s="4055" t="s">
        <v>455</v>
      </c>
      <c r="D15" s="4056">
        <v>2</v>
      </c>
      <c r="E15" s="4051">
        <v>2</v>
      </c>
      <c r="F15" s="4050" t="s">
        <v>37</v>
      </c>
      <c r="G15" s="4050" t="s">
        <v>37</v>
      </c>
      <c r="H15" s="4050" t="s">
        <v>36</v>
      </c>
      <c r="I15" s="4051" t="s">
        <v>36</v>
      </c>
      <c r="J15" s="4057" t="s">
        <v>36</v>
      </c>
      <c r="K15" s="4050" t="s">
        <v>36</v>
      </c>
      <c r="L15" s="4051" t="s">
        <v>36</v>
      </c>
      <c r="M15" s="4051"/>
      <c r="N15" s="4051"/>
      <c r="O15" s="4051">
        <v>4</v>
      </c>
      <c r="P15" s="4051">
        <v>4</v>
      </c>
      <c r="Q15" s="4051">
        <v>4</v>
      </c>
      <c r="R15" s="4051">
        <v>4</v>
      </c>
      <c r="S15" s="4051">
        <v>4</v>
      </c>
      <c r="T15" s="4051" t="s">
        <v>35</v>
      </c>
      <c r="U15" s="4051" t="s">
        <v>35</v>
      </c>
      <c r="V15" s="4051" t="s">
        <v>36</v>
      </c>
      <c r="W15" s="4051" t="s">
        <v>36</v>
      </c>
      <c r="X15" s="4051" t="s">
        <v>36</v>
      </c>
      <c r="Y15" s="4051" t="s">
        <v>36</v>
      </c>
      <c r="Z15" s="4051" t="s">
        <v>36</v>
      </c>
      <c r="AA15" s="4051"/>
      <c r="AB15" s="4051"/>
      <c r="AC15" s="4051">
        <v>1</v>
      </c>
      <c r="AD15" s="4051">
        <v>1</v>
      </c>
      <c r="AE15" s="4051">
        <v>1</v>
      </c>
      <c r="AF15" s="4051">
        <v>1</v>
      </c>
      <c r="AG15" s="4053">
        <v>1</v>
      </c>
      <c r="AH15" s="179"/>
      <c r="AI15" s="179"/>
      <c r="AL15" t="s">
        <v>0</v>
      </c>
    </row>
    <row r="16" spans="1:41" ht="22.35" customHeight="1" thickBot="1" x14ac:dyDescent="0.25">
      <c r="A16" s="4046">
        <v>8546</v>
      </c>
      <c r="B16" s="4058" t="s">
        <v>40</v>
      </c>
      <c r="C16" s="4059" t="s">
        <v>36</v>
      </c>
      <c r="D16" s="4060" t="s">
        <v>36</v>
      </c>
      <c r="E16" s="4060" t="s">
        <v>36</v>
      </c>
      <c r="F16" s="4060"/>
      <c r="G16" s="4060"/>
      <c r="H16" s="4060">
        <v>1</v>
      </c>
      <c r="I16" s="4061">
        <v>1</v>
      </c>
      <c r="J16" s="4060">
        <v>1</v>
      </c>
      <c r="K16" s="4060">
        <v>1</v>
      </c>
      <c r="L16" s="4060">
        <v>1</v>
      </c>
      <c r="M16" s="4060"/>
      <c r="N16" s="4059"/>
      <c r="O16" s="4059">
        <v>2</v>
      </c>
      <c r="P16" s="4059">
        <v>2</v>
      </c>
      <c r="Q16" s="4059">
        <v>2</v>
      </c>
      <c r="R16" s="4059">
        <v>2</v>
      </c>
      <c r="S16" s="4060">
        <v>2</v>
      </c>
      <c r="T16" s="4060" t="s">
        <v>37</v>
      </c>
      <c r="U16" s="4060" t="s">
        <v>37</v>
      </c>
      <c r="V16" s="4060" t="s">
        <v>36</v>
      </c>
      <c r="W16" s="4055" t="s">
        <v>36</v>
      </c>
      <c r="X16" s="4060" t="s">
        <v>36</v>
      </c>
      <c r="Y16" s="4059" t="s">
        <v>36</v>
      </c>
      <c r="Z16" s="4059" t="s">
        <v>36</v>
      </c>
      <c r="AA16" s="4059"/>
      <c r="AB16" s="4059"/>
      <c r="AC16" s="4059">
        <v>4</v>
      </c>
      <c r="AD16" s="4060">
        <v>4</v>
      </c>
      <c r="AE16" s="4060">
        <v>4</v>
      </c>
      <c r="AF16" s="4060">
        <v>4</v>
      </c>
      <c r="AG16" s="4062">
        <v>4</v>
      </c>
      <c r="AH16" s="179"/>
      <c r="AI16" s="179"/>
    </row>
    <row r="17" spans="1:40" ht="22.35" customHeight="1" x14ac:dyDescent="0.2">
      <c r="A17" s="4046">
        <v>8546</v>
      </c>
      <c r="B17" s="4054" t="s">
        <v>41</v>
      </c>
      <c r="C17" s="4051">
        <v>4</v>
      </c>
      <c r="D17" s="4057">
        <v>4</v>
      </c>
      <c r="E17" s="4051">
        <v>4</v>
      </c>
      <c r="F17" s="4050" t="s">
        <v>35</v>
      </c>
      <c r="G17" s="4051" t="s">
        <v>35</v>
      </c>
      <c r="H17" s="4051" t="s">
        <v>36</v>
      </c>
      <c r="I17" s="4057" t="s">
        <v>36</v>
      </c>
      <c r="J17" s="4051" t="s">
        <v>36</v>
      </c>
      <c r="K17" s="4051" t="s">
        <v>36</v>
      </c>
      <c r="L17" s="4051" t="s">
        <v>36</v>
      </c>
      <c r="M17" s="4047"/>
      <c r="N17" s="4047"/>
      <c r="O17" s="4047">
        <v>1</v>
      </c>
      <c r="P17" s="4047">
        <v>1</v>
      </c>
      <c r="Q17" s="4047">
        <v>1</v>
      </c>
      <c r="R17" s="4047">
        <v>1</v>
      </c>
      <c r="S17" s="4047">
        <v>1</v>
      </c>
      <c r="T17" s="4051"/>
      <c r="U17" s="4051"/>
      <c r="V17" s="4063">
        <v>2</v>
      </c>
      <c r="W17" s="4051">
        <v>2</v>
      </c>
      <c r="X17" s="4057">
        <v>2</v>
      </c>
      <c r="Y17" s="4051">
        <v>2</v>
      </c>
      <c r="Z17" s="4051">
        <v>2</v>
      </c>
      <c r="AA17" s="4064" t="s">
        <v>37</v>
      </c>
      <c r="AB17" s="4064" t="s">
        <v>37</v>
      </c>
      <c r="AC17" s="4064" t="s">
        <v>36</v>
      </c>
      <c r="AD17" s="4064" t="s">
        <v>36</v>
      </c>
      <c r="AE17" s="4064" t="s">
        <v>36</v>
      </c>
      <c r="AF17" s="4064" t="s">
        <v>36</v>
      </c>
      <c r="AG17" s="4053" t="s">
        <v>36</v>
      </c>
      <c r="AH17" s="179"/>
      <c r="AI17" s="179"/>
    </row>
    <row r="18" spans="1:40" ht="22.35" customHeight="1" x14ac:dyDescent="0.2">
      <c r="A18" s="4046">
        <v>8546</v>
      </c>
      <c r="B18" s="4058" t="s">
        <v>42</v>
      </c>
      <c r="C18" s="4065">
        <v>1</v>
      </c>
      <c r="D18" s="4065">
        <v>1</v>
      </c>
      <c r="E18" s="4065">
        <v>1</v>
      </c>
      <c r="F18" s="4065"/>
      <c r="G18" s="4065"/>
      <c r="H18" s="4065">
        <v>2</v>
      </c>
      <c r="I18" s="4065">
        <v>2</v>
      </c>
      <c r="J18" s="4065">
        <v>2</v>
      </c>
      <c r="K18" s="4065">
        <v>2</v>
      </c>
      <c r="L18" s="4065">
        <v>2</v>
      </c>
      <c r="M18" s="4065" t="s">
        <v>37</v>
      </c>
      <c r="N18" s="4065" t="s">
        <v>37</v>
      </c>
      <c r="O18" s="4051" t="s">
        <v>36</v>
      </c>
      <c r="P18" s="4050" t="s">
        <v>36</v>
      </c>
      <c r="Q18" s="4050" t="s">
        <v>36</v>
      </c>
      <c r="R18" s="4050" t="s">
        <v>36</v>
      </c>
      <c r="S18" s="4050" t="s">
        <v>36</v>
      </c>
      <c r="T18" s="4050"/>
      <c r="U18" s="4066"/>
      <c r="V18" s="4066">
        <v>4</v>
      </c>
      <c r="W18" s="4051">
        <v>4</v>
      </c>
      <c r="X18" s="4051">
        <v>4</v>
      </c>
      <c r="Y18" s="4051">
        <v>4</v>
      </c>
      <c r="Z18" s="4051">
        <v>4</v>
      </c>
      <c r="AA18" s="4051" t="s">
        <v>35</v>
      </c>
      <c r="AB18" s="4051" t="s">
        <v>35</v>
      </c>
      <c r="AC18" s="4067" t="s">
        <v>36</v>
      </c>
      <c r="AD18" s="4051" t="s">
        <v>36</v>
      </c>
      <c r="AE18" s="4051" t="s">
        <v>36</v>
      </c>
      <c r="AF18" s="4051" t="s">
        <v>36</v>
      </c>
      <c r="AG18" s="4053" t="s">
        <v>36</v>
      </c>
      <c r="AH18" s="179"/>
      <c r="AI18" s="179"/>
    </row>
    <row r="19" spans="1:40" ht="22.35" customHeight="1" thickBot="1" x14ac:dyDescent="0.25">
      <c r="A19" s="4068" t="s">
        <v>43</v>
      </c>
      <c r="B19" s="4069"/>
      <c r="C19" s="4070"/>
      <c r="D19" s="4070"/>
      <c r="E19" s="4070"/>
      <c r="F19" s="4070"/>
      <c r="G19" s="4070"/>
      <c r="H19" s="4070"/>
      <c r="I19" s="4070"/>
      <c r="J19" s="4070"/>
      <c r="K19" s="4070"/>
      <c r="L19" s="4070"/>
      <c r="M19" s="4070"/>
      <c r="N19" s="4070"/>
      <c r="O19" s="4070"/>
      <c r="P19" s="4070"/>
      <c r="Q19" s="4070"/>
      <c r="R19" s="4070"/>
      <c r="S19" s="4070"/>
      <c r="T19" s="4070"/>
      <c r="U19" s="4070"/>
      <c r="V19" s="4070"/>
      <c r="W19" s="4070"/>
      <c r="X19" s="4070"/>
      <c r="Y19" s="4070"/>
      <c r="Z19" s="4070"/>
      <c r="AA19" s="4070"/>
      <c r="AB19" s="4070"/>
      <c r="AC19" s="4070"/>
      <c r="AD19" s="4070"/>
      <c r="AE19" s="4070"/>
      <c r="AF19" s="4070"/>
      <c r="AG19" s="4071"/>
      <c r="AH19" s="177"/>
      <c r="AI19" s="177"/>
      <c r="AJ19" s="4035" t="s">
        <v>30</v>
      </c>
      <c r="AK19" s="4035" t="s">
        <v>44</v>
      </c>
      <c r="AL19" s="4035" t="s">
        <v>45</v>
      </c>
      <c r="AM19" s="4035" t="s">
        <v>46</v>
      </c>
      <c r="AN19" s="4035" t="s">
        <v>47</v>
      </c>
    </row>
    <row r="20" spans="1:40" ht="22.35" customHeight="1" x14ac:dyDescent="0.2">
      <c r="A20" s="4072">
        <v>8500</v>
      </c>
      <c r="B20" s="4073" t="s">
        <v>49</v>
      </c>
      <c r="C20" s="4063">
        <v>1</v>
      </c>
      <c r="D20" s="4063">
        <v>1</v>
      </c>
      <c r="E20" s="4063">
        <v>1</v>
      </c>
      <c r="F20" s="4063"/>
      <c r="G20" s="4063"/>
      <c r="H20" s="4063" t="s">
        <v>32</v>
      </c>
      <c r="I20" s="4074" t="s">
        <v>32</v>
      </c>
      <c r="J20" s="4063" t="s">
        <v>32</v>
      </c>
      <c r="K20" s="4063" t="s">
        <v>32</v>
      </c>
      <c r="L20" s="4063" t="s">
        <v>32</v>
      </c>
      <c r="M20" s="4063"/>
      <c r="N20" s="4063"/>
      <c r="O20" s="4063" t="s">
        <v>32</v>
      </c>
      <c r="P20" s="4063" t="s">
        <v>32</v>
      </c>
      <c r="Q20" s="4063" t="s">
        <v>32</v>
      </c>
      <c r="R20" s="4063" t="s">
        <v>32</v>
      </c>
      <c r="S20" s="4063" t="s">
        <v>32</v>
      </c>
      <c r="T20" s="4063"/>
      <c r="U20" s="4063"/>
      <c r="V20" s="4063" t="s">
        <v>32</v>
      </c>
      <c r="W20" s="4075" t="s">
        <v>32</v>
      </c>
      <c r="X20" s="4063" t="s">
        <v>32</v>
      </c>
      <c r="Y20" s="4063" t="s">
        <v>32</v>
      </c>
      <c r="Z20" s="4063" t="s">
        <v>32</v>
      </c>
      <c r="AA20" s="4063"/>
      <c r="AB20" s="4063"/>
      <c r="AC20" s="4063" t="s">
        <v>32</v>
      </c>
      <c r="AD20" s="4063" t="s">
        <v>32</v>
      </c>
      <c r="AE20" s="4063" t="s">
        <v>32</v>
      </c>
      <c r="AF20" s="4063" t="s">
        <v>32</v>
      </c>
      <c r="AG20" s="4076" t="s">
        <v>32</v>
      </c>
      <c r="AH20" s="179"/>
      <c r="AI20" s="179"/>
      <c r="AJ20" s="4077">
        <f>$AJ$12</f>
        <v>160.33000000000001</v>
      </c>
      <c r="AK20" s="4077"/>
      <c r="AL20" s="4077">
        <v>170</v>
      </c>
      <c r="AM20" s="4078">
        <f>IF(AJ20="","",AL20-AJ20)</f>
        <v>9.6699999999999875</v>
      </c>
      <c r="AN20" s="4078">
        <f>IF(AM20="","",AM20+'Februar 2023'!AN20)</f>
        <v>9.6699999999999875</v>
      </c>
    </row>
    <row r="21" spans="1:40" ht="22.35" customHeight="1" x14ac:dyDescent="0.2">
      <c r="A21" s="4079">
        <v>8500</v>
      </c>
      <c r="B21" s="4080" t="s">
        <v>52</v>
      </c>
      <c r="C21" s="4050" t="s">
        <v>36</v>
      </c>
      <c r="D21" s="4051" t="s">
        <v>36</v>
      </c>
      <c r="E21" s="4051" t="s">
        <v>36</v>
      </c>
      <c r="F21" s="4039"/>
      <c r="G21" s="4039"/>
      <c r="H21" s="4050">
        <v>2</v>
      </c>
      <c r="I21" s="4050">
        <v>2</v>
      </c>
      <c r="J21" s="4050">
        <v>2</v>
      </c>
      <c r="K21" s="4050">
        <v>2</v>
      </c>
      <c r="L21" s="4051">
        <v>2</v>
      </c>
      <c r="M21" s="4051" t="s">
        <v>37</v>
      </c>
      <c r="N21" s="4051" t="s">
        <v>37</v>
      </c>
      <c r="O21" s="4038" t="s">
        <v>36</v>
      </c>
      <c r="P21" s="4038" t="s">
        <v>36</v>
      </c>
      <c r="Q21" s="4038" t="s">
        <v>36</v>
      </c>
      <c r="R21" s="4038" t="s">
        <v>36</v>
      </c>
      <c r="S21" s="4038" t="s">
        <v>36</v>
      </c>
      <c r="T21" s="4039"/>
      <c r="U21" s="4081"/>
      <c r="V21" s="4038">
        <v>2</v>
      </c>
      <c r="W21" s="4038" t="s">
        <v>32</v>
      </c>
      <c r="X21" s="4038" t="s">
        <v>32</v>
      </c>
      <c r="Y21" s="4038">
        <v>2</v>
      </c>
      <c r="Z21" s="4039" t="s">
        <v>32</v>
      </c>
      <c r="AA21" s="4039"/>
      <c r="AB21" s="4039"/>
      <c r="AC21" s="4082" t="s">
        <v>134</v>
      </c>
      <c r="AD21" s="4082" t="s">
        <v>32</v>
      </c>
      <c r="AE21" s="4082" t="s">
        <v>36</v>
      </c>
      <c r="AF21" s="4082" t="s">
        <v>32</v>
      </c>
      <c r="AG21" s="4042">
        <v>7</v>
      </c>
      <c r="AH21" s="179"/>
      <c r="AI21" s="179"/>
      <c r="AJ21" s="4077">
        <v>141.25</v>
      </c>
      <c r="AK21" s="4077">
        <v>6</v>
      </c>
      <c r="AL21" s="4077">
        <f>IF(AJ21="","",SUM(AJ21:AK21))</f>
        <v>147.25</v>
      </c>
      <c r="AM21" s="4078">
        <f>IF(AJ21="","",AL21-NormTid)</f>
        <v>-13.080000000000013</v>
      </c>
      <c r="AN21" s="4078">
        <f>IF(AM21="","",AM21+'Februar 2023'!AN21)</f>
        <v>3.2599999999999625</v>
      </c>
    </row>
    <row r="22" spans="1:40" ht="22.35" customHeight="1" x14ac:dyDescent="0.2">
      <c r="A22" s="4079">
        <v>8500</v>
      </c>
      <c r="B22" s="4037" t="s">
        <v>54</v>
      </c>
      <c r="C22" s="4083" t="s">
        <v>36</v>
      </c>
      <c r="D22" s="4083" t="s">
        <v>36</v>
      </c>
      <c r="E22" s="4083" t="s">
        <v>36</v>
      </c>
      <c r="F22" s="4083"/>
      <c r="G22" s="4083"/>
      <c r="H22" s="4051">
        <v>1</v>
      </c>
      <c r="I22" s="4047">
        <v>1</v>
      </c>
      <c r="J22" s="4051">
        <v>1</v>
      </c>
      <c r="K22" s="4051">
        <v>1</v>
      </c>
      <c r="L22" s="4051">
        <v>1</v>
      </c>
      <c r="M22" s="4051"/>
      <c r="N22" s="4050"/>
      <c r="O22" s="4050">
        <v>2</v>
      </c>
      <c r="P22" s="4050">
        <v>2</v>
      </c>
      <c r="Q22" s="4050">
        <v>2</v>
      </c>
      <c r="R22" s="4050">
        <v>2</v>
      </c>
      <c r="S22" s="4051">
        <v>2</v>
      </c>
      <c r="T22" s="4051" t="s">
        <v>37</v>
      </c>
      <c r="U22" s="4051" t="s">
        <v>37</v>
      </c>
      <c r="V22" s="4084">
        <v>1</v>
      </c>
      <c r="W22" s="4057" t="s">
        <v>36</v>
      </c>
      <c r="X22" s="4051" t="s">
        <v>36</v>
      </c>
      <c r="Y22" s="4050" t="s">
        <v>36</v>
      </c>
      <c r="Z22" s="4050" t="s">
        <v>36</v>
      </c>
      <c r="AA22" s="4050"/>
      <c r="AB22" s="4050"/>
      <c r="AC22" s="4050">
        <v>4</v>
      </c>
      <c r="AD22" s="4051">
        <v>4</v>
      </c>
      <c r="AE22" s="4051">
        <v>4</v>
      </c>
      <c r="AF22" s="4051">
        <v>4</v>
      </c>
      <c r="AG22" s="4053">
        <v>4</v>
      </c>
      <c r="AH22" s="179"/>
      <c r="AI22" s="179"/>
      <c r="AJ22" s="4077">
        <v>147</v>
      </c>
      <c r="AK22" s="4077">
        <v>7.5</v>
      </c>
      <c r="AL22" s="4077">
        <f>IF(AJ22="","",SUM(AJ22:AK22))</f>
        <v>154.5</v>
      </c>
      <c r="AM22" s="4078">
        <f>IF(AJ22="","",AL22-NormTid)</f>
        <v>-5.8300000000000125</v>
      </c>
      <c r="AN22" s="4078">
        <f>IF(AM22="","",AM22+'Februar 2023'!AN22)</f>
        <v>-9.2400000000000375</v>
      </c>
    </row>
    <row r="23" spans="1:40" ht="22.35" customHeight="1" x14ac:dyDescent="0.2">
      <c r="A23" s="4079"/>
      <c r="B23" s="4080"/>
      <c r="C23" s="4040" t="s">
        <v>32</v>
      </c>
      <c r="D23" s="4041" t="s">
        <v>32</v>
      </c>
      <c r="E23" s="4039" t="s">
        <v>32</v>
      </c>
      <c r="F23" s="4039"/>
      <c r="G23" s="4039"/>
      <c r="H23" s="4082" t="s">
        <v>32</v>
      </c>
      <c r="I23" s="4082" t="s">
        <v>32</v>
      </c>
      <c r="J23" s="4082" t="s">
        <v>32</v>
      </c>
      <c r="K23" s="4085" t="s">
        <v>32</v>
      </c>
      <c r="L23" s="4082" t="s">
        <v>32</v>
      </c>
      <c r="M23" s="4039"/>
      <c r="N23" s="4038"/>
      <c r="O23" s="4038" t="s">
        <v>32</v>
      </c>
      <c r="P23" s="4039" t="s">
        <v>32</v>
      </c>
      <c r="Q23" s="4039" t="s">
        <v>32</v>
      </c>
      <c r="R23" s="4086" t="s">
        <v>32</v>
      </c>
      <c r="S23" s="4086" t="s">
        <v>32</v>
      </c>
      <c r="T23" s="4039"/>
      <c r="U23" s="4039"/>
      <c r="V23" s="4082" t="s">
        <v>32</v>
      </c>
      <c r="W23" s="4082" t="s">
        <v>32</v>
      </c>
      <c r="X23" s="4082" t="s">
        <v>32</v>
      </c>
      <c r="Y23" s="4082" t="s">
        <v>32</v>
      </c>
      <c r="Z23" s="4082" t="s">
        <v>32</v>
      </c>
      <c r="AA23" s="4082"/>
      <c r="AB23" s="4082"/>
      <c r="AC23" s="4082" t="s">
        <v>32</v>
      </c>
      <c r="AD23" s="4041" t="s">
        <v>32</v>
      </c>
      <c r="AE23" s="4082" t="s">
        <v>32</v>
      </c>
      <c r="AF23" s="4082" t="s">
        <v>32</v>
      </c>
      <c r="AG23" s="4087" t="s">
        <v>32</v>
      </c>
      <c r="AJ23" s="4077">
        <f t="shared" ref="AJ23" si="0">$AJ$12</f>
        <v>160.33000000000001</v>
      </c>
      <c r="AK23" s="4077"/>
      <c r="AL23" s="4077">
        <f t="shared" ref="AL23" si="1">IF(AJ23="","",SUM(AJ23:AK23))</f>
        <v>160.33000000000001</v>
      </c>
      <c r="AM23" s="4078">
        <f t="shared" ref="AM23" si="2">IF(AJ23="","",AL23-AJ23)</f>
        <v>0</v>
      </c>
      <c r="AN23" s="4078">
        <f>IF(AM23="","",AM23+'Februar 2023'!AN23)</f>
        <v>0</v>
      </c>
    </row>
    <row r="24" spans="1:40" ht="22.35" customHeight="1" thickBot="1" x14ac:dyDescent="0.25">
      <c r="A24" s="4088"/>
      <c r="B24" s="4089" t="s">
        <v>56</v>
      </c>
      <c r="C24" s="4090" t="s">
        <v>32</v>
      </c>
      <c r="D24" s="4090" t="s">
        <v>32</v>
      </c>
      <c r="E24" s="4090" t="s">
        <v>32</v>
      </c>
      <c r="F24" s="4090"/>
      <c r="G24" s="4090"/>
      <c r="H24" s="4090" t="s">
        <v>32</v>
      </c>
      <c r="I24" s="4090" t="s">
        <v>32</v>
      </c>
      <c r="J24" s="4090" t="s">
        <v>32</v>
      </c>
      <c r="K24" s="4090" t="s">
        <v>32</v>
      </c>
      <c r="L24" s="4090" t="s">
        <v>32</v>
      </c>
      <c r="M24" s="4090"/>
      <c r="N24" s="4090"/>
      <c r="O24" s="4091" t="s">
        <v>32</v>
      </c>
      <c r="P24" s="4091" t="s">
        <v>32</v>
      </c>
      <c r="Q24" s="4092" t="s">
        <v>32</v>
      </c>
      <c r="R24" s="4091" t="s">
        <v>32</v>
      </c>
      <c r="S24" s="3858" t="s">
        <v>32</v>
      </c>
      <c r="T24" s="3858"/>
      <c r="U24" s="4091"/>
      <c r="V24" s="4091" t="s">
        <v>32</v>
      </c>
      <c r="W24" s="4091" t="s">
        <v>32</v>
      </c>
      <c r="X24" s="3858" t="s">
        <v>32</v>
      </c>
      <c r="Y24" s="4091" t="s">
        <v>32</v>
      </c>
      <c r="Z24" s="3858" t="s">
        <v>32</v>
      </c>
      <c r="AA24" s="3858"/>
      <c r="AB24" s="3858"/>
      <c r="AC24" s="3858">
        <v>1</v>
      </c>
      <c r="AD24" s="3858" t="s">
        <v>32</v>
      </c>
      <c r="AE24" s="3858" t="s">
        <v>32</v>
      </c>
      <c r="AF24" s="3858" t="s">
        <v>32</v>
      </c>
      <c r="AG24" s="3859" t="s">
        <v>32</v>
      </c>
    </row>
    <row r="25" spans="1:40" ht="22.35" customHeight="1" x14ac:dyDescent="0.2">
      <c r="A25" s="363"/>
      <c r="B25" s="364"/>
      <c r="D25" t="s">
        <v>0</v>
      </c>
      <c r="E25" t="s">
        <v>0</v>
      </c>
      <c r="L25" t="s">
        <v>0</v>
      </c>
      <c r="Q25" t="s">
        <v>0</v>
      </c>
      <c r="R25" t="s">
        <v>0</v>
      </c>
      <c r="S25" t="s">
        <v>0</v>
      </c>
      <c r="Y25" s="362"/>
      <c r="AB25" s="183"/>
      <c r="AC25" s="471" t="s">
        <v>0</v>
      </c>
      <c r="AD25" s="471" t="s">
        <v>0</v>
      </c>
      <c r="AE25" s="471" t="s">
        <v>0</v>
      </c>
      <c r="AF25" s="471" t="s">
        <v>0</v>
      </c>
      <c r="AG25" s="471"/>
    </row>
    <row r="26" spans="1:40" ht="22.35" customHeight="1" x14ac:dyDescent="0.2">
      <c r="A26" s="291"/>
      <c r="B26" s="199"/>
      <c r="C26" t="s">
        <v>0</v>
      </c>
      <c r="D26" t="s">
        <v>0</v>
      </c>
      <c r="E26" t="s">
        <v>0</v>
      </c>
      <c r="K26" t="s">
        <v>0</v>
      </c>
      <c r="L26" s="471" t="s">
        <v>0</v>
      </c>
      <c r="M26" t="s">
        <v>0</v>
      </c>
      <c r="N26" t="s">
        <v>0</v>
      </c>
      <c r="Q26" s="192"/>
      <c r="W26" t="s">
        <v>0</v>
      </c>
      <c r="X26" t="s">
        <v>0</v>
      </c>
      <c r="Y26" s="220" t="s">
        <v>0</v>
      </c>
      <c r="Z26" s="199" t="s">
        <v>0</v>
      </c>
      <c r="AA26" s="4039" t="s">
        <v>0</v>
      </c>
      <c r="AB26" s="4039" t="s">
        <v>0</v>
      </c>
      <c r="AC26" s="4039" t="s">
        <v>0</v>
      </c>
      <c r="AD26" s="4039" t="s">
        <v>0</v>
      </c>
      <c r="AE26" s="4039" t="s">
        <v>0</v>
      </c>
      <c r="AF26" s="4039" t="s">
        <v>0</v>
      </c>
      <c r="AG26" s="4042" t="s">
        <v>0</v>
      </c>
    </row>
    <row r="27" spans="1:40" ht="22.35" customHeight="1" x14ac:dyDescent="0.2">
      <c r="A27" s="291"/>
      <c r="B27" s="199"/>
      <c r="C27" t="s">
        <v>0</v>
      </c>
      <c r="E27" t="s">
        <v>0</v>
      </c>
      <c r="W27" t="s">
        <v>0</v>
      </c>
      <c r="Y27" s="190" t="s">
        <v>0</v>
      </c>
      <c r="Z27" s="190"/>
      <c r="AC27" t="s">
        <v>58</v>
      </c>
      <c r="AD27" t="s">
        <v>58</v>
      </c>
      <c r="AE27" s="471" t="s">
        <v>58</v>
      </c>
      <c r="AF27" t="s">
        <v>0</v>
      </c>
      <c r="AG27" t="s">
        <v>0</v>
      </c>
    </row>
    <row r="28" spans="1:40" ht="22.35" customHeight="1" x14ac:dyDescent="0.2">
      <c r="A28" s="291"/>
      <c r="B28" s="199"/>
      <c r="C28" t="s">
        <v>0</v>
      </c>
      <c r="D28" t="s">
        <v>0</v>
      </c>
      <c r="E28" t="s">
        <v>0</v>
      </c>
      <c r="X28" t="s">
        <v>0</v>
      </c>
      <c r="Y28" s="190" t="s">
        <v>0</v>
      </c>
      <c r="Z28" s="190"/>
      <c r="AC28" t="s">
        <v>0</v>
      </c>
      <c r="AD28" s="199" t="s">
        <v>0</v>
      </c>
      <c r="AE28">
        <v>89</v>
      </c>
      <c r="AF28" t="s">
        <v>0</v>
      </c>
      <c r="AG28" t="s">
        <v>0</v>
      </c>
    </row>
    <row r="29" spans="1:40" ht="22.35" customHeight="1" x14ac:dyDescent="0.2">
      <c r="A29" s="291"/>
      <c r="B29" s="199"/>
      <c r="Y29" s="190"/>
    </row>
    <row r="30" spans="1:40" ht="12.75" customHeight="1" thickBot="1" x14ac:dyDescent="0.25">
      <c r="A30" s="158" t="s">
        <v>61</v>
      </c>
      <c r="Y30" s="72"/>
      <c r="Z30" s="72"/>
      <c r="AA30" s="72"/>
      <c r="AB30" s="72"/>
      <c r="AC30" s="72"/>
      <c r="AD30" s="72"/>
      <c r="AE30" s="72"/>
      <c r="AF30" s="72"/>
      <c r="AG30" s="72"/>
      <c r="AK30" s="1"/>
    </row>
    <row r="31" spans="1:40" ht="28.5" customHeight="1" x14ac:dyDescent="0.2">
      <c r="A31" s="4093" t="s">
        <v>62</v>
      </c>
      <c r="B31" s="4094"/>
      <c r="C31" s="4094"/>
      <c r="D31" s="4095" t="s">
        <v>63</v>
      </c>
      <c r="E31" s="4096"/>
      <c r="F31" s="4096"/>
      <c r="G31" s="4096"/>
      <c r="H31" s="4096"/>
      <c r="I31" s="4096"/>
      <c r="J31" s="4096"/>
      <c r="K31" s="4096"/>
      <c r="L31" s="4096"/>
      <c r="M31" s="4097" t="s">
        <v>65</v>
      </c>
      <c r="N31" s="4096"/>
      <c r="O31" s="4096"/>
      <c r="P31" s="4096"/>
      <c r="Q31" s="4096"/>
      <c r="R31" s="4096"/>
      <c r="S31" s="4098"/>
      <c r="T31" s="4954" t="s">
        <v>66</v>
      </c>
      <c r="U31" s="4955"/>
      <c r="V31" s="4955"/>
      <c r="W31" s="4955"/>
      <c r="X31" s="4955"/>
      <c r="Y31" s="4955"/>
      <c r="Z31" s="4956"/>
      <c r="AA31" s="4099" t="s">
        <v>67</v>
      </c>
      <c r="AB31" s="4100"/>
      <c r="AC31" s="4100"/>
      <c r="AD31" s="4100"/>
      <c r="AE31" s="4100"/>
      <c r="AF31" s="4100"/>
      <c r="AG31" s="4101"/>
      <c r="AK31" s="1"/>
    </row>
    <row r="32" spans="1:40" ht="22.35" customHeight="1" x14ac:dyDescent="0.2">
      <c r="A32" s="3576" t="s">
        <v>68</v>
      </c>
      <c r="B32" s="4027"/>
      <c r="C32" s="4027"/>
      <c r="D32" s="3577" t="s">
        <v>69</v>
      </c>
      <c r="E32" s="3578"/>
      <c r="F32" s="4014"/>
      <c r="G32" s="4014"/>
      <c r="H32" s="4014"/>
      <c r="I32" s="4014"/>
      <c r="J32" s="4014"/>
      <c r="K32" s="4014"/>
      <c r="L32" s="4022"/>
      <c r="M32" s="4102" t="s">
        <v>70</v>
      </c>
      <c r="N32" s="4027"/>
      <c r="O32" s="4103"/>
      <c r="P32" s="4027"/>
      <c r="Q32" s="4027"/>
      <c r="R32" s="4027"/>
      <c r="S32" s="4104"/>
      <c r="T32" s="3577" t="s">
        <v>71</v>
      </c>
      <c r="U32" s="4014"/>
      <c r="V32" s="3578"/>
      <c r="W32" s="4014"/>
      <c r="X32" s="4014"/>
      <c r="Y32" s="4014"/>
      <c r="Z32" s="4022"/>
      <c r="AA32" s="159" t="s">
        <v>72</v>
      </c>
      <c r="AD32" s="100"/>
      <c r="AG32" s="103"/>
      <c r="AK32" s="1"/>
    </row>
    <row r="33" spans="1:38" ht="22.35" customHeight="1" x14ac:dyDescent="0.2">
      <c r="A33" s="3582" t="s">
        <v>73</v>
      </c>
      <c r="B33" s="4014"/>
      <c r="C33" s="4014"/>
      <c r="D33" s="3583"/>
      <c r="E33" s="4014"/>
      <c r="F33" s="4014"/>
      <c r="G33" s="4022"/>
      <c r="H33" s="4029" t="s">
        <v>74</v>
      </c>
      <c r="I33" s="4014"/>
      <c r="J33" s="4014"/>
      <c r="K33" s="4014"/>
      <c r="L33" s="4014"/>
      <c r="M33" s="3584"/>
      <c r="N33" s="4014"/>
      <c r="O33" s="4014"/>
      <c r="P33" s="4014"/>
      <c r="Q33" s="4014"/>
      <c r="R33" s="4014"/>
      <c r="S33" s="4014"/>
      <c r="T33" s="3583"/>
      <c r="U33" s="158" t="s">
        <v>75</v>
      </c>
      <c r="AA33" s="4103"/>
      <c r="AB33" s="4027"/>
      <c r="AC33" s="4027"/>
      <c r="AD33" s="4027"/>
      <c r="AE33" s="4027"/>
      <c r="AF33" s="4027"/>
      <c r="AG33" s="4105"/>
      <c r="AK33" s="64"/>
    </row>
    <row r="34" spans="1:38" ht="22.35" customHeight="1" thickBot="1" x14ac:dyDescent="0.25">
      <c r="A34" s="3586" t="s">
        <v>76</v>
      </c>
      <c r="B34" s="3587"/>
      <c r="C34" s="3587"/>
      <c r="D34" s="3588"/>
      <c r="E34" s="3587"/>
      <c r="F34" s="3587"/>
      <c r="G34" s="3589"/>
      <c r="H34" s="3590" t="s">
        <v>77</v>
      </c>
      <c r="I34" s="3589"/>
      <c r="J34" s="3587"/>
      <c r="K34" s="3587"/>
      <c r="L34" s="3587"/>
      <c r="M34" s="3591"/>
      <c r="N34" s="3587"/>
      <c r="O34" s="3587"/>
      <c r="P34" s="3587"/>
      <c r="Q34" s="3592"/>
      <c r="R34" s="3592"/>
      <c r="S34" s="3592"/>
      <c r="T34" s="3588"/>
      <c r="U34" s="3593" t="s">
        <v>78</v>
      </c>
      <c r="V34" s="3587"/>
      <c r="W34" s="3587"/>
      <c r="X34" s="3587"/>
      <c r="Y34" s="3587"/>
      <c r="Z34" s="3587"/>
      <c r="AA34" s="3587"/>
      <c r="AB34" s="3587"/>
      <c r="AC34" s="3587"/>
      <c r="AD34" s="3587"/>
      <c r="AE34" s="3587"/>
      <c r="AF34" s="3587"/>
      <c r="AG34" s="359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4106" t="s">
        <v>28</v>
      </c>
      <c r="B36" s="4107" t="s">
        <v>29</v>
      </c>
      <c r="C36" s="4032">
        <v>1</v>
      </c>
      <c r="D36" s="4032">
        <v>2</v>
      </c>
      <c r="E36" s="4032">
        <v>3</v>
      </c>
      <c r="F36" s="4033">
        <v>4</v>
      </c>
      <c r="G36" s="4033">
        <v>5</v>
      </c>
      <c r="H36" s="4032">
        <v>6</v>
      </c>
      <c r="I36" s="4032">
        <v>7</v>
      </c>
      <c r="J36" s="4032">
        <v>8</v>
      </c>
      <c r="K36" s="4032">
        <v>9</v>
      </c>
      <c r="L36" s="4032">
        <v>10</v>
      </c>
      <c r="M36" s="4033">
        <v>11</v>
      </c>
      <c r="N36" s="4033">
        <v>12</v>
      </c>
      <c r="O36" s="4032">
        <v>13</v>
      </c>
      <c r="P36" s="4032">
        <v>14</v>
      </c>
      <c r="Q36" s="4032">
        <v>15</v>
      </c>
      <c r="R36" s="4032">
        <v>16</v>
      </c>
      <c r="S36" s="4032">
        <v>17</v>
      </c>
      <c r="T36" s="4033">
        <v>18</v>
      </c>
      <c r="U36" s="4033">
        <v>19</v>
      </c>
      <c r="V36" s="4032">
        <v>20</v>
      </c>
      <c r="W36" s="4032">
        <v>21</v>
      </c>
      <c r="X36" s="4032">
        <v>22</v>
      </c>
      <c r="Y36" s="4032">
        <v>23</v>
      </c>
      <c r="Z36" s="4032">
        <v>24</v>
      </c>
      <c r="AA36" s="4033">
        <v>25</v>
      </c>
      <c r="AB36" s="4033">
        <v>26</v>
      </c>
      <c r="AC36" s="4032">
        <v>27</v>
      </c>
      <c r="AD36" s="4032">
        <v>28</v>
      </c>
      <c r="AE36" s="4032">
        <v>29</v>
      </c>
      <c r="AF36" s="4032">
        <v>30</v>
      </c>
      <c r="AG36" s="4034">
        <v>31</v>
      </c>
      <c r="AH36" s="173"/>
      <c r="AI36" s="174"/>
      <c r="AL36" t="s">
        <v>0</v>
      </c>
    </row>
    <row r="37" spans="1:38" ht="22.35" customHeight="1" x14ac:dyDescent="0.2">
      <c r="A37" s="4108">
        <v>1</v>
      </c>
      <c r="B37" s="4109" t="s">
        <v>79</v>
      </c>
      <c r="C37" s="4110" t="s">
        <v>36</v>
      </c>
      <c r="D37" s="4111" t="s">
        <v>36</v>
      </c>
      <c r="E37" s="4112" t="s">
        <v>36</v>
      </c>
      <c r="F37" s="4110"/>
      <c r="G37" s="4110"/>
      <c r="H37" s="3815">
        <v>1</v>
      </c>
      <c r="I37" s="3815">
        <v>1</v>
      </c>
      <c r="J37" s="4111">
        <v>1</v>
      </c>
      <c r="K37" s="4110">
        <v>1</v>
      </c>
      <c r="L37" s="4110">
        <v>1</v>
      </c>
      <c r="M37" s="4110"/>
      <c r="N37" s="4113"/>
      <c r="O37" s="4111">
        <v>9</v>
      </c>
      <c r="P37" s="4110">
        <v>9</v>
      </c>
      <c r="Q37" s="4114">
        <v>9</v>
      </c>
      <c r="R37" s="4111">
        <v>9</v>
      </c>
      <c r="S37" s="4110">
        <v>9</v>
      </c>
      <c r="T37" s="4110" t="s">
        <v>80</v>
      </c>
      <c r="U37" s="4110" t="s">
        <v>81</v>
      </c>
      <c r="V37" s="4110" t="s">
        <v>36</v>
      </c>
      <c r="W37" s="4110" t="s">
        <v>36</v>
      </c>
      <c r="X37" s="4114" t="s">
        <v>36</v>
      </c>
      <c r="Y37" s="4114" t="s">
        <v>36</v>
      </c>
      <c r="Z37" s="4110" t="s">
        <v>36</v>
      </c>
      <c r="AA37" s="4110" t="s">
        <v>82</v>
      </c>
      <c r="AB37" s="4114" t="s">
        <v>83</v>
      </c>
      <c r="AC37" s="4114">
        <v>6</v>
      </c>
      <c r="AD37" s="4114">
        <v>6</v>
      </c>
      <c r="AE37" s="4110">
        <v>6</v>
      </c>
      <c r="AF37" s="4110">
        <v>6</v>
      </c>
      <c r="AG37" s="4115">
        <v>6</v>
      </c>
      <c r="AH37" s="178"/>
      <c r="AI37" s="179"/>
    </row>
    <row r="38" spans="1:38" ht="22.35" customHeight="1" x14ac:dyDescent="0.2">
      <c r="A38" s="3601">
        <v>6</v>
      </c>
      <c r="B38" s="4037" t="s">
        <v>84</v>
      </c>
      <c r="C38" s="4047" t="s">
        <v>36</v>
      </c>
      <c r="D38" s="4047" t="s">
        <v>36</v>
      </c>
      <c r="E38" s="4047" t="s">
        <v>36</v>
      </c>
      <c r="F38" s="4047"/>
      <c r="G38" s="4047"/>
      <c r="H38" s="4084">
        <v>5</v>
      </c>
      <c r="I38" s="4084">
        <v>5</v>
      </c>
      <c r="J38" s="3605">
        <v>5</v>
      </c>
      <c r="K38" s="4047">
        <v>5</v>
      </c>
      <c r="L38" s="4047">
        <v>5</v>
      </c>
      <c r="M38" s="4047"/>
      <c r="N38" s="4084" t="s">
        <v>57</v>
      </c>
      <c r="O38" s="4047">
        <v>10</v>
      </c>
      <c r="P38" s="4047">
        <v>10</v>
      </c>
      <c r="Q38" s="4084">
        <v>10</v>
      </c>
      <c r="R38" s="4047">
        <v>10</v>
      </c>
      <c r="S38" s="4047">
        <v>10</v>
      </c>
      <c r="T38" s="4047" t="s">
        <v>81</v>
      </c>
      <c r="U38" s="4047" t="s">
        <v>81</v>
      </c>
      <c r="V38" s="4047" t="s">
        <v>36</v>
      </c>
      <c r="W38" s="4047" t="s">
        <v>36</v>
      </c>
      <c r="X38" s="4047" t="s">
        <v>36</v>
      </c>
      <c r="Y38" s="4047" t="s">
        <v>36</v>
      </c>
      <c r="Z38" s="4047" t="s">
        <v>36</v>
      </c>
      <c r="AA38" s="4047" t="s">
        <v>57</v>
      </c>
      <c r="AB38" s="4047" t="s">
        <v>57</v>
      </c>
      <c r="AC38" s="4061">
        <v>7</v>
      </c>
      <c r="AD38" s="4061">
        <v>7</v>
      </c>
      <c r="AE38" s="4061">
        <v>7</v>
      </c>
      <c r="AF38" s="4061">
        <v>7</v>
      </c>
      <c r="AG38" s="4116">
        <v>7</v>
      </c>
      <c r="AH38" s="178"/>
      <c r="AI38" s="179"/>
    </row>
    <row r="39" spans="1:38" ht="22.35" customHeight="1" thickBot="1" x14ac:dyDescent="0.25">
      <c r="A39" s="3607">
        <v>11</v>
      </c>
      <c r="B39" s="3608" t="s">
        <v>85</v>
      </c>
      <c r="C39" s="4066" t="s">
        <v>32</v>
      </c>
      <c r="D39" s="4066" t="s">
        <v>32</v>
      </c>
      <c r="E39" s="4066" t="s">
        <v>32</v>
      </c>
      <c r="F39" s="4066"/>
      <c r="G39" s="4066"/>
      <c r="H39" s="4047" t="s">
        <v>32</v>
      </c>
      <c r="I39" s="4047" t="s">
        <v>32</v>
      </c>
      <c r="J39" s="4047" t="s">
        <v>32</v>
      </c>
      <c r="K39" s="4047" t="s">
        <v>32</v>
      </c>
      <c r="L39" s="4047" t="s">
        <v>32</v>
      </c>
      <c r="M39" s="3616"/>
      <c r="N39" s="3616"/>
      <c r="O39" s="4066" t="s">
        <v>32</v>
      </c>
      <c r="P39" s="4066" t="s">
        <v>32</v>
      </c>
      <c r="Q39" s="4066" t="s">
        <v>32</v>
      </c>
      <c r="R39" s="4066" t="s">
        <v>32</v>
      </c>
      <c r="S39" s="4066" t="s">
        <v>32</v>
      </c>
      <c r="T39" s="4066"/>
      <c r="U39" s="4066"/>
      <c r="V39" s="3550" t="s">
        <v>32</v>
      </c>
      <c r="W39" s="4066" t="s">
        <v>32</v>
      </c>
      <c r="X39" s="4066" t="s">
        <v>32</v>
      </c>
      <c r="Y39" s="4066" t="s">
        <v>32</v>
      </c>
      <c r="Z39" s="3550" t="s">
        <v>32</v>
      </c>
      <c r="AA39" s="4066"/>
      <c r="AB39" s="4066"/>
      <c r="AC39" s="4066" t="s">
        <v>32</v>
      </c>
      <c r="AD39" s="4066" t="s">
        <v>32</v>
      </c>
      <c r="AE39" s="4066" t="s">
        <v>32</v>
      </c>
      <c r="AF39" s="4066" t="s">
        <v>32</v>
      </c>
      <c r="AG39" s="3661" t="s">
        <v>32</v>
      </c>
      <c r="AH39" s="178"/>
      <c r="AI39" s="179"/>
    </row>
    <row r="40" spans="1:38" ht="22.35" customHeight="1" x14ac:dyDescent="0.2">
      <c r="A40" s="4108">
        <v>2</v>
      </c>
      <c r="B40" s="172" t="s">
        <v>88</v>
      </c>
      <c r="C40" s="4117">
        <v>1</v>
      </c>
      <c r="D40" s="4117">
        <v>1</v>
      </c>
      <c r="E40" s="4117">
        <v>1</v>
      </c>
      <c r="F40" s="4117"/>
      <c r="G40" s="4117"/>
      <c r="H40" s="4118">
        <v>9</v>
      </c>
      <c r="I40" s="4118">
        <v>9</v>
      </c>
      <c r="J40" s="4118" t="s">
        <v>488</v>
      </c>
      <c r="K40" s="4119">
        <v>9</v>
      </c>
      <c r="L40" s="4119">
        <v>9</v>
      </c>
      <c r="M40" s="4119" t="s">
        <v>80</v>
      </c>
      <c r="N40" s="4119" t="s">
        <v>81</v>
      </c>
      <c r="O40" s="4114" t="s">
        <v>36</v>
      </c>
      <c r="P40" s="4110" t="s">
        <v>36</v>
      </c>
      <c r="Q40" s="4114" t="s">
        <v>36</v>
      </c>
      <c r="R40" s="4114" t="s">
        <v>36</v>
      </c>
      <c r="S40" s="4111" t="s">
        <v>36</v>
      </c>
      <c r="T40" s="4114" t="s">
        <v>82</v>
      </c>
      <c r="U40" s="4114" t="s">
        <v>83</v>
      </c>
      <c r="V40" s="4114">
        <v>6</v>
      </c>
      <c r="W40" s="4114">
        <v>6</v>
      </c>
      <c r="X40" s="4114">
        <v>6</v>
      </c>
      <c r="Y40" s="4110">
        <v>6</v>
      </c>
      <c r="Z40" s="4110">
        <v>6</v>
      </c>
      <c r="AA40" s="4110"/>
      <c r="AB40" s="4110"/>
      <c r="AC40" s="4114" t="s">
        <v>36</v>
      </c>
      <c r="AD40" s="4114" t="s">
        <v>36</v>
      </c>
      <c r="AE40" s="4110" t="s">
        <v>36</v>
      </c>
      <c r="AF40" s="4110" t="s">
        <v>36</v>
      </c>
      <c r="AG40" s="4115" t="s">
        <v>36</v>
      </c>
      <c r="AH40" s="178"/>
      <c r="AI40" s="179"/>
    </row>
    <row r="41" spans="1:38" ht="22.35" customHeight="1" x14ac:dyDescent="0.2">
      <c r="A41" s="3601">
        <v>7</v>
      </c>
      <c r="B41" s="4054" t="s">
        <v>91</v>
      </c>
      <c r="C41" s="4050">
        <v>2</v>
      </c>
      <c r="D41" s="4050">
        <v>2</v>
      </c>
      <c r="E41" s="4050">
        <v>5</v>
      </c>
      <c r="F41" s="4050"/>
      <c r="G41" s="3616"/>
      <c r="H41" s="3616" t="s">
        <v>92</v>
      </c>
      <c r="I41" s="4066">
        <v>4</v>
      </c>
      <c r="J41" s="3550">
        <v>4</v>
      </c>
      <c r="K41" s="3550">
        <v>4</v>
      </c>
      <c r="L41" s="3550">
        <v>4</v>
      </c>
      <c r="M41" s="3550" t="s">
        <v>35</v>
      </c>
      <c r="N41" s="3550" t="s">
        <v>35</v>
      </c>
      <c r="O41" s="3550" t="s">
        <v>36</v>
      </c>
      <c r="P41" s="4050" t="s">
        <v>36</v>
      </c>
      <c r="Q41" s="4050" t="s">
        <v>36</v>
      </c>
      <c r="R41" s="4050" t="s">
        <v>36</v>
      </c>
      <c r="S41" s="4050" t="s">
        <v>36</v>
      </c>
      <c r="T41" s="4050" t="s">
        <v>57</v>
      </c>
      <c r="U41" s="3571" t="s">
        <v>57</v>
      </c>
      <c r="V41" s="3571">
        <v>7</v>
      </c>
      <c r="W41" s="3571">
        <v>7</v>
      </c>
      <c r="X41" s="3616">
        <v>7</v>
      </c>
      <c r="Y41" s="3616">
        <v>7</v>
      </c>
      <c r="Z41" s="3616">
        <v>7</v>
      </c>
      <c r="AA41" s="3616"/>
      <c r="AB41" s="3616"/>
      <c r="AC41" s="4065">
        <v>4</v>
      </c>
      <c r="AD41" s="4065">
        <v>4</v>
      </c>
      <c r="AE41" s="4065">
        <v>4</v>
      </c>
      <c r="AF41" s="4065">
        <v>4</v>
      </c>
      <c r="AG41" s="4120">
        <v>4</v>
      </c>
      <c r="AH41" s="178"/>
      <c r="AI41" s="179"/>
    </row>
    <row r="42" spans="1:38" ht="22.35" customHeight="1" thickBot="1" x14ac:dyDescent="0.25">
      <c r="A42" s="3607">
        <v>12</v>
      </c>
      <c r="B42" s="634" t="s">
        <v>93</v>
      </c>
      <c r="C42" s="3611">
        <v>3</v>
      </c>
      <c r="D42" s="3611">
        <v>3</v>
      </c>
      <c r="E42" s="3611">
        <v>3</v>
      </c>
      <c r="F42" s="3611"/>
      <c r="G42" s="3611"/>
      <c r="H42" s="3611">
        <v>11</v>
      </c>
      <c r="I42" s="3610">
        <v>11</v>
      </c>
      <c r="J42" s="3610">
        <v>11</v>
      </c>
      <c r="K42" s="4032">
        <v>11</v>
      </c>
      <c r="L42" s="3610">
        <v>11</v>
      </c>
      <c r="M42" s="3610" t="s">
        <v>94</v>
      </c>
      <c r="N42" s="3610" t="s">
        <v>94</v>
      </c>
      <c r="O42" s="3610" t="s">
        <v>36</v>
      </c>
      <c r="P42" s="3610" t="s">
        <v>36</v>
      </c>
      <c r="Q42" s="3610" t="s">
        <v>36</v>
      </c>
      <c r="R42" s="3610" t="s">
        <v>36</v>
      </c>
      <c r="S42" s="3610" t="s">
        <v>36</v>
      </c>
      <c r="T42" s="3610" t="s">
        <v>83</v>
      </c>
      <c r="U42" s="4121" t="s">
        <v>83</v>
      </c>
      <c r="V42" s="4121">
        <v>8</v>
      </c>
      <c r="W42" s="4121">
        <v>8</v>
      </c>
      <c r="X42" s="4121">
        <v>8</v>
      </c>
      <c r="Y42" s="4121">
        <v>8</v>
      </c>
      <c r="Z42" s="4121" t="s">
        <v>356</v>
      </c>
      <c r="AA42" s="3610"/>
      <c r="AB42" s="3610"/>
      <c r="AC42" s="4032" t="s">
        <v>36</v>
      </c>
      <c r="AD42" s="4032" t="s">
        <v>36</v>
      </c>
      <c r="AE42" s="4032" t="s">
        <v>36</v>
      </c>
      <c r="AF42" s="4032" t="s">
        <v>36</v>
      </c>
      <c r="AG42" s="4034" t="s">
        <v>36</v>
      </c>
      <c r="AH42" s="178"/>
      <c r="AI42" s="179"/>
    </row>
    <row r="43" spans="1:38" ht="22.35" customHeight="1" x14ac:dyDescent="0.2">
      <c r="A43" s="4108">
        <v>3</v>
      </c>
      <c r="B43" s="4122" t="s">
        <v>96</v>
      </c>
      <c r="C43" s="4111">
        <v>9</v>
      </c>
      <c r="D43" s="4114">
        <v>9</v>
      </c>
      <c r="E43" s="4110">
        <v>9</v>
      </c>
      <c r="F43" s="4110" t="s">
        <v>80</v>
      </c>
      <c r="G43" s="4110" t="s">
        <v>81</v>
      </c>
      <c r="H43" s="4110" t="s">
        <v>36</v>
      </c>
      <c r="I43" s="4110" t="s">
        <v>36</v>
      </c>
      <c r="J43" s="4114" t="s">
        <v>36</v>
      </c>
      <c r="K43" s="4114" t="s">
        <v>36</v>
      </c>
      <c r="L43" s="4114" t="s">
        <v>36</v>
      </c>
      <c r="M43" s="4114" t="s">
        <v>82</v>
      </c>
      <c r="N43" s="4114" t="s">
        <v>83</v>
      </c>
      <c r="O43" s="4114">
        <v>6</v>
      </c>
      <c r="P43" s="4114">
        <v>6</v>
      </c>
      <c r="Q43" s="4114">
        <v>6</v>
      </c>
      <c r="R43" s="4110">
        <v>6</v>
      </c>
      <c r="S43" s="4110">
        <v>6</v>
      </c>
      <c r="T43" s="4110"/>
      <c r="U43" s="4110"/>
      <c r="V43" s="4114" t="s">
        <v>36</v>
      </c>
      <c r="W43" s="4114" t="s">
        <v>36</v>
      </c>
      <c r="X43" s="4111" t="s">
        <v>36</v>
      </c>
      <c r="Y43" s="4110" t="s">
        <v>36</v>
      </c>
      <c r="Z43" s="4110" t="s">
        <v>36</v>
      </c>
      <c r="AA43" s="4110"/>
      <c r="AB43" s="4110"/>
      <c r="AC43" s="4123">
        <v>5</v>
      </c>
      <c r="AD43" s="4124">
        <v>5</v>
      </c>
      <c r="AE43" s="4124">
        <v>5</v>
      </c>
      <c r="AF43" s="4124">
        <v>5</v>
      </c>
      <c r="AG43" s="4125">
        <v>5</v>
      </c>
      <c r="AH43" s="178"/>
      <c r="AI43" s="179"/>
    </row>
    <row r="44" spans="1:38" ht="22.35" customHeight="1" x14ac:dyDescent="0.2">
      <c r="A44" s="3601">
        <v>8</v>
      </c>
      <c r="B44" s="4054" t="s">
        <v>97</v>
      </c>
      <c r="C44" s="4052">
        <v>10</v>
      </c>
      <c r="D44" s="4052">
        <v>10</v>
      </c>
      <c r="E44" s="4052">
        <v>10</v>
      </c>
      <c r="F44" s="4052" t="s">
        <v>81</v>
      </c>
      <c r="G44" s="4050" t="s">
        <v>81</v>
      </c>
      <c r="H44" s="4050" t="s">
        <v>36</v>
      </c>
      <c r="I44" s="3616" t="s">
        <v>36</v>
      </c>
      <c r="J44" s="4066" t="s">
        <v>36</v>
      </c>
      <c r="K44" s="4047" t="s">
        <v>36</v>
      </c>
      <c r="L44" s="4047" t="s">
        <v>432</v>
      </c>
      <c r="M44" s="4048" t="s">
        <v>57</v>
      </c>
      <c r="N44" s="4048" t="s">
        <v>57</v>
      </c>
      <c r="O44" s="4048">
        <v>7</v>
      </c>
      <c r="P44" s="4048">
        <v>7</v>
      </c>
      <c r="Q44" s="4048">
        <v>7</v>
      </c>
      <c r="R44" s="4048" t="s">
        <v>489</v>
      </c>
      <c r="S44" s="3605">
        <v>7</v>
      </c>
      <c r="T44" s="3550"/>
      <c r="U44" s="3550"/>
      <c r="V44" s="3616" t="s">
        <v>92</v>
      </c>
      <c r="W44" s="3616">
        <v>4</v>
      </c>
      <c r="X44" s="4066">
        <v>4</v>
      </c>
      <c r="Y44" s="4066">
        <v>4</v>
      </c>
      <c r="Z44" s="4066">
        <v>4</v>
      </c>
      <c r="AA44" s="3616"/>
      <c r="AB44" s="3616"/>
      <c r="AC44" s="3616">
        <v>3</v>
      </c>
      <c r="AD44" s="3616">
        <v>3</v>
      </c>
      <c r="AE44" s="3616">
        <v>3</v>
      </c>
      <c r="AF44" s="3616">
        <v>3</v>
      </c>
      <c r="AG44" s="3616">
        <v>3</v>
      </c>
      <c r="AH44" s="178"/>
      <c r="AI44" s="179"/>
    </row>
    <row r="45" spans="1:38" ht="22.35" customHeight="1" thickBot="1" x14ac:dyDescent="0.25">
      <c r="A45" s="3607">
        <v>13</v>
      </c>
      <c r="B45" s="3608" t="s">
        <v>98</v>
      </c>
      <c r="C45" s="4126">
        <v>11</v>
      </c>
      <c r="D45" s="4126">
        <v>11</v>
      </c>
      <c r="E45" s="4126">
        <v>11</v>
      </c>
      <c r="F45" s="4126" t="s">
        <v>94</v>
      </c>
      <c r="G45" s="4126" t="s">
        <v>94</v>
      </c>
      <c r="H45" s="4126" t="s">
        <v>36</v>
      </c>
      <c r="I45" s="4126" t="s">
        <v>36</v>
      </c>
      <c r="J45" s="4126" t="s">
        <v>36</v>
      </c>
      <c r="K45" s="4126" t="s">
        <v>36</v>
      </c>
      <c r="L45" s="4126" t="s">
        <v>36</v>
      </c>
      <c r="M45" s="4126" t="s">
        <v>83</v>
      </c>
      <c r="N45" s="4126" t="s">
        <v>83</v>
      </c>
      <c r="O45" s="4126">
        <v>8</v>
      </c>
      <c r="P45" s="4126">
        <v>8</v>
      </c>
      <c r="Q45" s="4126">
        <v>8</v>
      </c>
      <c r="R45" s="4126">
        <v>8</v>
      </c>
      <c r="S45" s="4126">
        <v>8</v>
      </c>
      <c r="T45" s="4126"/>
      <c r="U45" s="4126"/>
      <c r="V45" s="4126" t="s">
        <v>36</v>
      </c>
      <c r="W45" s="4126" t="s">
        <v>36</v>
      </c>
      <c r="X45" s="4126" t="s">
        <v>36</v>
      </c>
      <c r="Y45" s="4126" t="s">
        <v>36</v>
      </c>
      <c r="Z45" s="4126" t="s">
        <v>36</v>
      </c>
      <c r="AA45" s="4126"/>
      <c r="AB45" s="4126"/>
      <c r="AC45" s="4127" t="s">
        <v>86</v>
      </c>
      <c r="AD45" s="4127" t="s">
        <v>86</v>
      </c>
      <c r="AE45" s="4127" t="s">
        <v>86</v>
      </c>
      <c r="AF45" s="4127" t="s">
        <v>86</v>
      </c>
      <c r="AG45" s="4128" t="s">
        <v>86</v>
      </c>
      <c r="AH45" s="178"/>
      <c r="AI45" s="179"/>
    </row>
    <row r="46" spans="1:38" ht="22.35" customHeight="1" x14ac:dyDescent="0.2">
      <c r="A46" s="4108">
        <v>4</v>
      </c>
      <c r="B46" s="4109" t="s">
        <v>465</v>
      </c>
      <c r="C46" s="4110" t="s">
        <v>36</v>
      </c>
      <c r="D46" s="4129" t="s">
        <v>36</v>
      </c>
      <c r="E46" s="4110" t="s">
        <v>36</v>
      </c>
      <c r="F46" s="4111" t="s">
        <v>82</v>
      </c>
      <c r="G46" s="4111" t="s">
        <v>83</v>
      </c>
      <c r="H46" s="4111">
        <v>6</v>
      </c>
      <c r="I46" s="4111">
        <v>6</v>
      </c>
      <c r="J46" s="4111">
        <v>6</v>
      </c>
      <c r="K46" s="4111">
        <v>6</v>
      </c>
      <c r="L46" s="4111">
        <v>6</v>
      </c>
      <c r="M46" s="4111"/>
      <c r="N46" s="4111"/>
      <c r="O46" s="4111" t="s">
        <v>36</v>
      </c>
      <c r="P46" s="4111" t="s">
        <v>36</v>
      </c>
      <c r="Q46" s="4111" t="s">
        <v>36</v>
      </c>
      <c r="R46" s="4111" t="s">
        <v>36</v>
      </c>
      <c r="S46" s="4111" t="s">
        <v>36</v>
      </c>
      <c r="T46" s="4110"/>
      <c r="U46" s="4110"/>
      <c r="V46" s="4118">
        <v>5</v>
      </c>
      <c r="W46" s="4118">
        <v>5</v>
      </c>
      <c r="X46" s="4118">
        <v>5</v>
      </c>
      <c r="Y46" s="4118">
        <v>5</v>
      </c>
      <c r="Z46" s="4118" t="s">
        <v>89</v>
      </c>
      <c r="AA46" s="4110"/>
      <c r="AB46" s="4110"/>
      <c r="AC46" s="4110">
        <v>10</v>
      </c>
      <c r="AD46" s="4110">
        <v>10</v>
      </c>
      <c r="AE46" s="4114">
        <v>10</v>
      </c>
      <c r="AF46" s="4110">
        <v>10</v>
      </c>
      <c r="AG46" s="4115">
        <v>10</v>
      </c>
      <c r="AH46" s="178"/>
      <c r="AI46" s="179"/>
    </row>
    <row r="47" spans="1:38" ht="22.35" customHeight="1" x14ac:dyDescent="0.2">
      <c r="A47" s="3601">
        <v>9</v>
      </c>
      <c r="B47" s="4054" t="s">
        <v>100</v>
      </c>
      <c r="C47" s="3616" t="s">
        <v>36</v>
      </c>
      <c r="D47" s="3616" t="s">
        <v>36</v>
      </c>
      <c r="E47" s="3616" t="s">
        <v>36</v>
      </c>
      <c r="F47" s="3616" t="s">
        <v>57</v>
      </c>
      <c r="G47" s="3616" t="s">
        <v>57</v>
      </c>
      <c r="H47" s="3616">
        <v>7</v>
      </c>
      <c r="I47" s="3616">
        <v>7</v>
      </c>
      <c r="J47" s="3616">
        <v>7</v>
      </c>
      <c r="K47" s="3616">
        <v>7</v>
      </c>
      <c r="L47" s="3616">
        <v>7</v>
      </c>
      <c r="M47" s="3616"/>
      <c r="N47" s="3616"/>
      <c r="O47" s="4065">
        <v>4</v>
      </c>
      <c r="P47" s="4065">
        <v>4</v>
      </c>
      <c r="Q47" s="4065">
        <v>4</v>
      </c>
      <c r="R47" s="4065">
        <v>4</v>
      </c>
      <c r="S47" s="4065">
        <v>4</v>
      </c>
      <c r="T47" s="4065"/>
      <c r="U47" s="4065"/>
      <c r="V47" s="3616">
        <v>3</v>
      </c>
      <c r="W47" s="3616">
        <v>3</v>
      </c>
      <c r="X47" s="3616">
        <v>3</v>
      </c>
      <c r="Y47" s="3616">
        <v>3</v>
      </c>
      <c r="Z47" s="3616">
        <v>3</v>
      </c>
      <c r="AA47" s="3616"/>
      <c r="AB47" s="3616"/>
      <c r="AC47" s="3616">
        <v>11</v>
      </c>
      <c r="AD47" s="3616">
        <v>11</v>
      </c>
      <c r="AE47" s="3616">
        <v>11</v>
      </c>
      <c r="AF47" s="3616">
        <v>11</v>
      </c>
      <c r="AG47" s="3617">
        <v>11</v>
      </c>
      <c r="AH47" s="178"/>
      <c r="AI47" s="179"/>
    </row>
    <row r="48" spans="1:38" ht="22.35" customHeight="1" thickBot="1" x14ac:dyDescent="0.25">
      <c r="A48" s="3607">
        <v>14</v>
      </c>
      <c r="B48" s="3608" t="s">
        <v>102</v>
      </c>
      <c r="C48" s="323" t="s">
        <v>36</v>
      </c>
      <c r="D48" s="3672" t="s">
        <v>32</v>
      </c>
      <c r="E48" s="3672" t="s">
        <v>32</v>
      </c>
      <c r="F48" s="323" t="s">
        <v>83</v>
      </c>
      <c r="G48" s="323" t="s">
        <v>83</v>
      </c>
      <c r="H48" s="4130">
        <v>8</v>
      </c>
      <c r="I48" s="3632">
        <v>8</v>
      </c>
      <c r="J48" s="3632">
        <v>8</v>
      </c>
      <c r="K48" s="3632">
        <v>8</v>
      </c>
      <c r="L48" s="3632">
        <v>8</v>
      </c>
      <c r="M48" s="3632"/>
      <c r="N48" s="3632"/>
      <c r="O48" s="4032" t="s">
        <v>36</v>
      </c>
      <c r="P48" s="3610" t="s">
        <v>36</v>
      </c>
      <c r="Q48" s="3610" t="s">
        <v>36</v>
      </c>
      <c r="R48" s="4032" t="s">
        <v>36</v>
      </c>
      <c r="S48" s="3610" t="s">
        <v>36</v>
      </c>
      <c r="T48" s="3610"/>
      <c r="U48" s="3610"/>
      <c r="V48" s="4131">
        <v>1</v>
      </c>
      <c r="W48" s="4131">
        <v>1</v>
      </c>
      <c r="X48" s="4131">
        <v>1</v>
      </c>
      <c r="Y48" s="4131">
        <v>1</v>
      </c>
      <c r="Z48" s="4131">
        <v>1</v>
      </c>
      <c r="AA48" s="4131"/>
      <c r="AB48" s="4131"/>
      <c r="AC48" s="4032">
        <v>9</v>
      </c>
      <c r="AD48" s="3610">
        <v>9</v>
      </c>
      <c r="AE48" s="3610">
        <v>9</v>
      </c>
      <c r="AF48" s="4032">
        <v>9</v>
      </c>
      <c r="AG48" s="4034">
        <v>9</v>
      </c>
      <c r="AH48" s="178"/>
      <c r="AI48" s="179"/>
    </row>
    <row r="49" spans="1:44" ht="22.35" customHeight="1" x14ac:dyDescent="0.2">
      <c r="A49" s="4108">
        <v>5</v>
      </c>
      <c r="B49" s="4054" t="s">
        <v>103</v>
      </c>
      <c r="C49" s="4114">
        <v>6</v>
      </c>
      <c r="D49" s="4110">
        <v>6</v>
      </c>
      <c r="E49" s="4132">
        <v>6</v>
      </c>
      <c r="F49" s="4114"/>
      <c r="G49" s="4114"/>
      <c r="H49" s="4114" t="s">
        <v>36</v>
      </c>
      <c r="I49" s="4114" t="s">
        <v>36</v>
      </c>
      <c r="J49" s="4114" t="s">
        <v>36</v>
      </c>
      <c r="K49" s="4110" t="s">
        <v>36</v>
      </c>
      <c r="L49" s="4110" t="s">
        <v>36</v>
      </c>
      <c r="M49" s="4110"/>
      <c r="N49" s="4133"/>
      <c r="O49" s="3815">
        <v>5</v>
      </c>
      <c r="P49" s="3815">
        <v>5</v>
      </c>
      <c r="Q49" s="3815">
        <v>5</v>
      </c>
      <c r="R49" s="3815">
        <v>5</v>
      </c>
      <c r="S49" s="3815">
        <v>5</v>
      </c>
      <c r="T49" s="3815"/>
      <c r="U49" s="3815"/>
      <c r="V49" s="4114">
        <v>10</v>
      </c>
      <c r="W49" s="4114">
        <v>10</v>
      </c>
      <c r="X49" s="4114">
        <v>10</v>
      </c>
      <c r="Y49" s="4133">
        <v>10</v>
      </c>
      <c r="Z49" s="4114">
        <v>10</v>
      </c>
      <c r="AA49" s="4114" t="s">
        <v>81</v>
      </c>
      <c r="AB49" s="4114" t="s">
        <v>81</v>
      </c>
      <c r="AC49" s="4114" t="s">
        <v>36</v>
      </c>
      <c r="AD49" s="4110" t="s">
        <v>36</v>
      </c>
      <c r="AE49" s="4110" t="s">
        <v>36</v>
      </c>
      <c r="AF49" s="4111" t="s">
        <v>36</v>
      </c>
      <c r="AG49" s="4134" t="s">
        <v>36</v>
      </c>
      <c r="AH49" s="178"/>
      <c r="AI49" s="179"/>
    </row>
    <row r="50" spans="1:44" ht="22.35" customHeight="1" x14ac:dyDescent="0.2">
      <c r="A50" s="3601">
        <v>10</v>
      </c>
      <c r="B50" s="4054" t="s">
        <v>104</v>
      </c>
      <c r="C50" s="3616">
        <v>7</v>
      </c>
      <c r="D50" s="3616">
        <v>7</v>
      </c>
      <c r="E50" s="3616">
        <v>7</v>
      </c>
      <c r="F50" s="4050"/>
      <c r="G50" s="4047"/>
      <c r="H50" s="4065">
        <v>4</v>
      </c>
      <c r="I50" s="4065">
        <v>4</v>
      </c>
      <c r="J50" s="4065">
        <v>4</v>
      </c>
      <c r="K50" s="4065">
        <v>4</v>
      </c>
      <c r="L50" s="4065">
        <v>4</v>
      </c>
      <c r="M50" s="4065"/>
      <c r="N50" s="4065"/>
      <c r="O50" s="4047">
        <v>3</v>
      </c>
      <c r="P50" s="4047">
        <v>3</v>
      </c>
      <c r="Q50" s="4047">
        <v>3</v>
      </c>
      <c r="R50" s="4047">
        <v>3</v>
      </c>
      <c r="S50" s="4047">
        <v>3</v>
      </c>
      <c r="T50" s="4047"/>
      <c r="U50" s="4047"/>
      <c r="V50" s="4047">
        <v>11</v>
      </c>
      <c r="W50" s="4050">
        <v>11</v>
      </c>
      <c r="X50" s="3616">
        <v>11</v>
      </c>
      <c r="Y50" s="4066">
        <v>11</v>
      </c>
      <c r="Z50" s="3616">
        <v>11</v>
      </c>
      <c r="AA50" s="3616" t="s">
        <v>94</v>
      </c>
      <c r="AB50" s="3616" t="s">
        <v>94</v>
      </c>
      <c r="AC50" s="3616" t="s">
        <v>36</v>
      </c>
      <c r="AD50" s="3616" t="s">
        <v>36</v>
      </c>
      <c r="AE50" s="3616" t="s">
        <v>36</v>
      </c>
      <c r="AF50" s="3616" t="s">
        <v>36</v>
      </c>
      <c r="AG50" s="3617" t="s">
        <v>36</v>
      </c>
      <c r="AH50" s="178"/>
      <c r="AI50" s="179"/>
    </row>
    <row r="51" spans="1:44" ht="22.35" customHeight="1" thickBot="1" x14ac:dyDescent="0.25">
      <c r="A51" s="3607">
        <v>15</v>
      </c>
      <c r="B51" s="3608" t="s">
        <v>105</v>
      </c>
      <c r="C51" s="4121">
        <v>8</v>
      </c>
      <c r="D51" s="4121">
        <v>8</v>
      </c>
      <c r="E51" s="4121">
        <v>8</v>
      </c>
      <c r="F51" s="4121"/>
      <c r="G51" s="4121"/>
      <c r="H51" s="4121" t="s">
        <v>36</v>
      </c>
      <c r="I51" s="4121" t="s">
        <v>36</v>
      </c>
      <c r="J51" s="4121" t="s">
        <v>36</v>
      </c>
      <c r="K51" s="4121" t="s">
        <v>39</v>
      </c>
      <c r="L51" s="3610" t="s">
        <v>36</v>
      </c>
      <c r="M51" s="3610"/>
      <c r="N51" s="3610"/>
      <c r="O51" s="3611">
        <v>1</v>
      </c>
      <c r="P51" s="3611">
        <v>1</v>
      </c>
      <c r="Q51" s="3611">
        <v>1</v>
      </c>
      <c r="R51" s="3611">
        <v>1</v>
      </c>
      <c r="S51" s="3611">
        <v>1</v>
      </c>
      <c r="T51" s="3611"/>
      <c r="U51" s="3611"/>
      <c r="V51" s="3610">
        <v>9</v>
      </c>
      <c r="W51" s="3610">
        <v>9</v>
      </c>
      <c r="X51" s="3610">
        <v>9</v>
      </c>
      <c r="Y51" s="4032">
        <v>9</v>
      </c>
      <c r="Z51" s="3610">
        <v>9</v>
      </c>
      <c r="AA51" s="3610" t="s">
        <v>80</v>
      </c>
      <c r="AB51" s="3610" t="s">
        <v>81</v>
      </c>
      <c r="AC51" s="3610" t="s">
        <v>36</v>
      </c>
      <c r="AD51" s="3610" t="s">
        <v>36</v>
      </c>
      <c r="AE51" s="4032" t="s">
        <v>36</v>
      </c>
      <c r="AF51" s="3614" t="s">
        <v>36</v>
      </c>
      <c r="AG51" s="3633" t="s">
        <v>36</v>
      </c>
      <c r="AH51" s="178"/>
      <c r="AI51" s="179"/>
    </row>
    <row r="52" spans="1:44"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1"/>
      <c r="AJ52" t="s">
        <v>0</v>
      </c>
    </row>
    <row r="53" spans="1:44"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4" ht="22.35" customHeight="1" x14ac:dyDescent="0.2">
      <c r="A54" s="3635" t="s">
        <v>28</v>
      </c>
      <c r="B54" s="3635"/>
      <c r="C54" s="3605"/>
      <c r="D54" s="3635" t="s">
        <v>107</v>
      </c>
      <c r="E54" s="3636"/>
      <c r="F54" s="3605"/>
      <c r="G54" s="3635" t="s">
        <v>108</v>
      </c>
      <c r="H54" s="3636"/>
      <c r="I54" s="3605"/>
      <c r="J54" s="3635" t="s">
        <v>109</v>
      </c>
      <c r="K54" s="3636"/>
      <c r="L54" s="3605"/>
      <c r="M54" s="3635" t="s">
        <v>110</v>
      </c>
      <c r="N54" s="3636"/>
      <c r="O54" s="3605"/>
      <c r="P54" s="3635" t="s">
        <v>111</v>
      </c>
      <c r="Q54" s="3636"/>
      <c r="R54" s="4135"/>
      <c r="S54" s="4136" t="s">
        <v>112</v>
      </c>
      <c r="T54" s="3636"/>
      <c r="U54" s="3605"/>
      <c r="V54" s="3635" t="s">
        <v>113</v>
      </c>
      <c r="W54" s="3636"/>
      <c r="X54" s="3639" t="s">
        <v>114</v>
      </c>
      <c r="Y54" s="3636"/>
      <c r="Z54" s="3636"/>
      <c r="AA54" s="3640"/>
      <c r="AB54" s="4016"/>
      <c r="AC54" s="4016"/>
      <c r="AD54" s="4016"/>
      <c r="AE54" s="4016"/>
      <c r="AF54" s="4016"/>
      <c r="AG54" s="4017"/>
      <c r="AH54" s="1"/>
    </row>
    <row r="55" spans="1:44" ht="22.35" customHeight="1" x14ac:dyDescent="0.2">
      <c r="A55" s="3641">
        <v>8517</v>
      </c>
      <c r="B55" s="3642" t="s">
        <v>115</v>
      </c>
      <c r="C55" s="3643" t="s">
        <v>116</v>
      </c>
      <c r="D55" s="3644"/>
      <c r="E55" s="4015"/>
      <c r="F55" s="3643" t="s">
        <v>116</v>
      </c>
      <c r="G55" s="3644"/>
      <c r="H55" s="4015"/>
      <c r="I55" s="3643" t="s">
        <v>116</v>
      </c>
      <c r="J55" s="3644"/>
      <c r="K55" s="4015"/>
      <c r="L55" s="3643" t="s">
        <v>116</v>
      </c>
      <c r="M55" s="3644"/>
      <c r="N55" s="4015"/>
      <c r="O55" s="3643" t="s">
        <v>117</v>
      </c>
      <c r="P55" s="3644"/>
      <c r="Q55" s="4015"/>
      <c r="R55" s="3643"/>
      <c r="S55" s="3644"/>
      <c r="T55" s="4015"/>
      <c r="U55" s="3643" t="s">
        <v>118</v>
      </c>
      <c r="V55" s="3644"/>
      <c r="W55" s="4015"/>
      <c r="X55" s="4013"/>
      <c r="Y55" s="4016"/>
      <c r="Z55" s="4016"/>
      <c r="AA55" s="4016"/>
      <c r="AB55" s="4016"/>
      <c r="AC55" s="4016"/>
      <c r="AD55" s="4016"/>
      <c r="AE55" s="4016"/>
      <c r="AF55" s="4016"/>
      <c r="AG55" s="4017"/>
      <c r="AH55" s="1"/>
    </row>
    <row r="56" spans="1:44" ht="22.35" customHeight="1" x14ac:dyDescent="0.2">
      <c r="B56" s="4046" t="s">
        <v>119</v>
      </c>
      <c r="C56" s="4137" t="s">
        <v>120</v>
      </c>
      <c r="D56" s="4138"/>
      <c r="E56" s="4139"/>
      <c r="F56" s="4137" t="s">
        <v>120</v>
      </c>
      <c r="G56" s="4140"/>
      <c r="H56" s="4139"/>
      <c r="I56" s="3643" t="s">
        <v>120</v>
      </c>
      <c r="J56" s="3644"/>
      <c r="K56" s="3649"/>
      <c r="L56" s="3643" t="s">
        <v>120</v>
      </c>
      <c r="M56" s="3644"/>
      <c r="N56" s="3649"/>
      <c r="O56" s="3643" t="s">
        <v>121</v>
      </c>
      <c r="P56" s="3644"/>
      <c r="Q56" s="4015"/>
      <c r="R56" s="3650" t="s">
        <v>0</v>
      </c>
      <c r="S56" s="3644"/>
      <c r="T56" s="3649"/>
      <c r="U56" s="3644" t="s">
        <v>0</v>
      </c>
      <c r="V56" s="3644"/>
      <c r="W56" s="4015"/>
      <c r="X56" s="675" t="s">
        <v>0</v>
      </c>
      <c r="Y56" s="72"/>
      <c r="Z56" s="72"/>
      <c r="AA56" s="72"/>
      <c r="AB56" s="72"/>
      <c r="AC56" s="72"/>
      <c r="AD56" s="72"/>
      <c r="AE56" s="72"/>
      <c r="AF56" s="72"/>
      <c r="AG56" s="111"/>
      <c r="AH56" s="1"/>
    </row>
    <row r="57" spans="1:44" ht="22.35" customHeight="1" x14ac:dyDescent="0.2">
      <c r="A57" s="3651"/>
      <c r="B57" s="3642" t="s">
        <v>122</v>
      </c>
      <c r="C57" s="4137" t="s">
        <v>123</v>
      </c>
      <c r="D57" s="4138"/>
      <c r="E57" s="4140"/>
      <c r="F57" s="4137" t="s">
        <v>123</v>
      </c>
      <c r="G57" s="4138"/>
      <c r="H57" s="4140"/>
      <c r="I57" s="4137" t="s">
        <v>123</v>
      </c>
      <c r="J57" s="4138"/>
      <c r="K57" s="4140"/>
      <c r="L57" s="4137" t="s">
        <v>123</v>
      </c>
      <c r="M57" s="4138"/>
      <c r="N57" s="4140"/>
      <c r="O57" s="4137" t="s">
        <v>124</v>
      </c>
      <c r="P57" s="4138"/>
      <c r="Q57" s="4140"/>
      <c r="R57" s="676"/>
      <c r="S57" s="294"/>
      <c r="T57" s="4139"/>
      <c r="U57" s="4138"/>
      <c r="V57" s="4138"/>
      <c r="W57" s="4140"/>
      <c r="X57" s="4013"/>
      <c r="Y57" s="4016"/>
      <c r="Z57" s="4016"/>
      <c r="AA57" s="4016"/>
      <c r="AB57" s="4016"/>
      <c r="AC57" s="4016"/>
      <c r="AD57" s="4016"/>
      <c r="AE57" s="4016"/>
      <c r="AF57" s="4016"/>
      <c r="AG57" s="4017"/>
      <c r="AH57" s="1"/>
    </row>
    <row r="58" spans="1:44" ht="22.35" customHeight="1" x14ac:dyDescent="0.2">
      <c r="A58" s="3635"/>
      <c r="B58" s="3642"/>
      <c r="C58" s="4141"/>
      <c r="D58" s="4142"/>
      <c r="E58" s="4143"/>
      <c r="F58" s="4141"/>
      <c r="G58" s="4142"/>
      <c r="H58" s="4143"/>
      <c r="I58" s="4141"/>
      <c r="J58" s="4142"/>
      <c r="K58" s="4143"/>
      <c r="L58" s="4141"/>
      <c r="M58" s="4142"/>
      <c r="N58" s="4143"/>
      <c r="O58" s="4141"/>
      <c r="P58" s="4142"/>
      <c r="Q58" s="4143"/>
      <c r="R58" s="4141"/>
      <c r="S58" s="4142"/>
      <c r="T58" s="4143"/>
      <c r="U58" s="4141"/>
      <c r="V58" s="4142"/>
      <c r="W58" s="4143"/>
      <c r="X58" s="4015"/>
      <c r="Y58" s="4016"/>
      <c r="Z58" s="4016"/>
      <c r="AA58" s="4016"/>
      <c r="AB58" s="4016"/>
      <c r="AC58" s="4016"/>
      <c r="AD58" s="4016"/>
      <c r="AE58" s="4016"/>
      <c r="AF58" s="4016"/>
      <c r="AG58" s="4017"/>
      <c r="AH58" s="1"/>
      <c r="AJ58" t="s">
        <v>125</v>
      </c>
    </row>
    <row r="59" spans="1:44"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4" ht="22.35" customHeight="1" thickBot="1" x14ac:dyDescent="0.25">
      <c r="A60" s="3655"/>
      <c r="B60" s="3656" t="s">
        <v>29</v>
      </c>
      <c r="C60" s="4032">
        <v>1</v>
      </c>
      <c r="D60" s="4032">
        <v>2</v>
      </c>
      <c r="E60" s="4032">
        <v>3</v>
      </c>
      <c r="F60" s="4033">
        <v>4</v>
      </c>
      <c r="G60" s="4033">
        <v>5</v>
      </c>
      <c r="H60" s="4032">
        <v>6</v>
      </c>
      <c r="I60" s="4032">
        <v>7</v>
      </c>
      <c r="J60" s="4032">
        <v>8</v>
      </c>
      <c r="K60" s="4032">
        <v>9</v>
      </c>
      <c r="L60" s="4032">
        <v>10</v>
      </c>
      <c r="M60" s="4033">
        <v>11</v>
      </c>
      <c r="N60" s="4033">
        <v>12</v>
      </c>
      <c r="O60" s="4032">
        <v>13</v>
      </c>
      <c r="P60" s="4032">
        <v>14</v>
      </c>
      <c r="Q60" s="4032">
        <v>15</v>
      </c>
      <c r="R60" s="4032">
        <v>16</v>
      </c>
      <c r="S60" s="4032">
        <v>17</v>
      </c>
      <c r="T60" s="4033">
        <v>18</v>
      </c>
      <c r="U60" s="4033">
        <v>19</v>
      </c>
      <c r="V60" s="4032">
        <v>20</v>
      </c>
      <c r="W60" s="4032">
        <v>21</v>
      </c>
      <c r="X60" s="4032">
        <v>22</v>
      </c>
      <c r="Y60" s="4032">
        <v>23</v>
      </c>
      <c r="Z60" s="4032">
        <v>24</v>
      </c>
      <c r="AA60" s="4033">
        <v>25</v>
      </c>
      <c r="AB60" s="4033">
        <v>26</v>
      </c>
      <c r="AC60" s="4032">
        <v>27</v>
      </c>
      <c r="AD60" s="4032">
        <v>28</v>
      </c>
      <c r="AE60" s="4032">
        <v>29</v>
      </c>
      <c r="AF60" s="4032">
        <v>30</v>
      </c>
      <c r="AG60" s="4034">
        <v>31</v>
      </c>
      <c r="AH60" s="1"/>
      <c r="AJ60" s="4035" t="s">
        <v>30</v>
      </c>
      <c r="AK60" s="4035" t="s">
        <v>44</v>
      </c>
      <c r="AL60" s="4035" t="s">
        <v>45</v>
      </c>
      <c r="AM60" s="4035" t="s">
        <v>46</v>
      </c>
      <c r="AN60" s="4035" t="s">
        <v>47</v>
      </c>
    </row>
    <row r="61" spans="1:44" ht="22.35" customHeight="1" x14ac:dyDescent="0.2">
      <c r="A61" s="4144"/>
      <c r="B61" s="4145" t="s">
        <v>126</v>
      </c>
      <c r="C61" s="4111">
        <v>89</v>
      </c>
      <c r="D61" s="4111">
        <v>5</v>
      </c>
      <c r="E61" s="4111" t="s">
        <v>36</v>
      </c>
      <c r="F61" s="4111" t="s">
        <v>127</v>
      </c>
      <c r="G61" s="4111" t="s">
        <v>127</v>
      </c>
      <c r="H61" s="3550" t="s">
        <v>36</v>
      </c>
      <c r="I61" s="3550" t="s">
        <v>36</v>
      </c>
      <c r="J61" s="4066" t="s">
        <v>36</v>
      </c>
      <c r="K61" s="4066" t="s">
        <v>36</v>
      </c>
      <c r="L61" s="4066" t="s">
        <v>36</v>
      </c>
      <c r="M61" s="4111"/>
      <c r="N61" s="4117"/>
      <c r="O61" s="4117">
        <v>5</v>
      </c>
      <c r="P61" s="4117">
        <v>5</v>
      </c>
      <c r="Q61" s="4117">
        <v>5</v>
      </c>
      <c r="R61" s="4117">
        <v>5</v>
      </c>
      <c r="S61" s="4146">
        <v>5</v>
      </c>
      <c r="T61" s="4114"/>
      <c r="U61" s="4114"/>
      <c r="V61" s="4111">
        <v>25</v>
      </c>
      <c r="W61" s="4111">
        <v>25</v>
      </c>
      <c r="X61" s="4111">
        <v>25</v>
      </c>
      <c r="Y61" s="4111">
        <v>25</v>
      </c>
      <c r="Z61" s="4111">
        <v>25</v>
      </c>
      <c r="AA61" s="4111" t="s">
        <v>127</v>
      </c>
      <c r="AB61" s="4111" t="s">
        <v>127</v>
      </c>
      <c r="AC61" s="4047" t="s">
        <v>36</v>
      </c>
      <c r="AD61" s="4047" t="s">
        <v>36</v>
      </c>
      <c r="AE61" s="4047" t="s">
        <v>36</v>
      </c>
      <c r="AF61" s="4047" t="s">
        <v>36</v>
      </c>
      <c r="AG61" s="4047" t="s">
        <v>36</v>
      </c>
      <c r="AH61" s="1"/>
      <c r="AJ61" s="4077">
        <v>144.5</v>
      </c>
      <c r="AK61" s="4077">
        <v>9.25</v>
      </c>
      <c r="AL61" s="4077">
        <f>IF(AJ61="","",SUM(AJ61:AK61))</f>
        <v>153.75</v>
      </c>
      <c r="AM61" s="4078">
        <f>IF(AJ61="","",AL61-NormTid)</f>
        <v>-6.5800000000000125</v>
      </c>
      <c r="AN61" s="4078">
        <f>IF(AM61="","",AM61+'Februar 2023'!AN61)</f>
        <v>33.259999999999962</v>
      </c>
    </row>
    <row r="62" spans="1:44" ht="22.35" customHeight="1" thickBot="1" x14ac:dyDescent="0.25">
      <c r="A62" s="1175"/>
      <c r="B62" s="4054" t="s">
        <v>129</v>
      </c>
      <c r="C62" s="4066" t="s">
        <v>32</v>
      </c>
      <c r="D62" s="4066" t="s">
        <v>134</v>
      </c>
      <c r="E62" s="3671" t="s">
        <v>134</v>
      </c>
      <c r="F62" s="4066"/>
      <c r="G62" s="4066"/>
      <c r="H62" s="644">
        <v>10</v>
      </c>
      <c r="I62" s="644">
        <v>10</v>
      </c>
      <c r="J62" s="644">
        <v>9</v>
      </c>
      <c r="K62" s="644">
        <v>23</v>
      </c>
      <c r="L62" s="644">
        <v>10</v>
      </c>
      <c r="M62" s="644" t="s">
        <v>81</v>
      </c>
      <c r="N62" s="644" t="s">
        <v>81</v>
      </c>
      <c r="O62" s="4047" t="s">
        <v>36</v>
      </c>
      <c r="P62" s="4047" t="s">
        <v>36</v>
      </c>
      <c r="Q62" s="4047" t="s">
        <v>36</v>
      </c>
      <c r="R62" s="4047" t="s">
        <v>36</v>
      </c>
      <c r="S62" s="4047" t="s">
        <v>36</v>
      </c>
      <c r="T62" s="4066"/>
      <c r="U62" s="4066"/>
      <c r="V62" s="3550">
        <v>21</v>
      </c>
      <c r="W62" s="4066" t="s">
        <v>36</v>
      </c>
      <c r="X62" s="4066" t="s">
        <v>32</v>
      </c>
      <c r="Y62" s="4066" t="s">
        <v>176</v>
      </c>
      <c r="Z62" s="3550" t="s">
        <v>36</v>
      </c>
      <c r="AA62" s="4039"/>
      <c r="AB62" s="4066"/>
      <c r="AC62" s="4066" t="s">
        <v>128</v>
      </c>
      <c r="AD62" s="4066" t="s">
        <v>128</v>
      </c>
      <c r="AE62" s="4066" t="s">
        <v>128</v>
      </c>
      <c r="AF62" s="4066" t="s">
        <v>128</v>
      </c>
      <c r="AG62" s="4048" t="s">
        <v>128</v>
      </c>
      <c r="AH62" s="1"/>
      <c r="AJ62" s="4077">
        <v>167.25</v>
      </c>
      <c r="AK62" s="4077">
        <v>9.75</v>
      </c>
      <c r="AL62" s="4077">
        <f>IF(AJ62="","",SUM(AJ62:AK62))</f>
        <v>177</v>
      </c>
      <c r="AM62" s="4078">
        <f t="shared" ref="AM62:AM74" si="3">IF(AJ62="","",AL62-NormTid)</f>
        <v>16.669999999999987</v>
      </c>
      <c r="AN62" s="4078">
        <f>IF(AM62="","",AM62+'Februar 2023'!AN62)</f>
        <v>9.5099999999999625</v>
      </c>
      <c r="AR62" t="s">
        <v>490</v>
      </c>
    </row>
    <row r="63" spans="1:44" ht="22.35" customHeight="1" x14ac:dyDescent="0.2">
      <c r="A63" s="1175"/>
      <c r="B63" s="4054" t="s">
        <v>130</v>
      </c>
      <c r="C63" s="4047" t="s">
        <v>36</v>
      </c>
      <c r="D63" s="4047" t="s">
        <v>36</v>
      </c>
      <c r="E63" s="3597" t="s">
        <v>36</v>
      </c>
      <c r="F63" s="4047"/>
      <c r="G63" s="4047"/>
      <c r="H63" s="4147">
        <v>21</v>
      </c>
      <c r="I63" s="4147">
        <v>21</v>
      </c>
      <c r="J63" s="4147">
        <v>21</v>
      </c>
      <c r="K63" s="4147">
        <v>21</v>
      </c>
      <c r="L63" s="4147">
        <v>21</v>
      </c>
      <c r="M63" s="4147">
        <v>21</v>
      </c>
      <c r="N63" s="4147">
        <v>21</v>
      </c>
      <c r="O63" s="4047" t="s">
        <v>36</v>
      </c>
      <c r="P63" s="4047" t="s">
        <v>36</v>
      </c>
      <c r="Q63" s="4047" t="s">
        <v>36</v>
      </c>
      <c r="R63" s="4047" t="s">
        <v>36</v>
      </c>
      <c r="S63" s="4047" t="s">
        <v>36</v>
      </c>
      <c r="T63" s="4047"/>
      <c r="U63" s="4047"/>
      <c r="V63" s="3833" t="s">
        <v>32</v>
      </c>
      <c r="W63" s="644">
        <v>21</v>
      </c>
      <c r="X63" s="644">
        <v>21</v>
      </c>
      <c r="Y63" s="644">
        <v>21</v>
      </c>
      <c r="Z63" s="644">
        <v>21</v>
      </c>
      <c r="AA63" s="644">
        <v>21</v>
      </c>
      <c r="AB63" s="644">
        <v>21</v>
      </c>
      <c r="AC63" s="4047" t="s">
        <v>36</v>
      </c>
      <c r="AD63" s="4047" t="s">
        <v>36</v>
      </c>
      <c r="AE63" s="4047" t="s">
        <v>36</v>
      </c>
      <c r="AF63" s="4047" t="s">
        <v>36</v>
      </c>
      <c r="AG63" s="4047" t="s">
        <v>36</v>
      </c>
      <c r="AH63" s="1"/>
      <c r="AJ63" s="4077">
        <v>135.75</v>
      </c>
      <c r="AK63" s="4077">
        <v>10.25</v>
      </c>
      <c r="AL63" s="4077">
        <f>IF(AJ63="","",SUM(AJ63:AK63))</f>
        <v>146</v>
      </c>
      <c r="AM63" s="4078">
        <f t="shared" si="3"/>
        <v>-14.330000000000013</v>
      </c>
      <c r="AN63" s="4078">
        <f>IF(AM63="","",AM63+'Februar 2023'!AN63)</f>
        <v>14.259999999999962</v>
      </c>
    </row>
    <row r="64" spans="1:44" ht="22.35" customHeight="1" x14ac:dyDescent="0.2">
      <c r="A64" s="1175"/>
      <c r="B64" s="3663" t="s">
        <v>132</v>
      </c>
      <c r="C64" s="4066">
        <v>25</v>
      </c>
      <c r="D64" s="3550">
        <v>25</v>
      </c>
      <c r="E64" s="4066">
        <v>25</v>
      </c>
      <c r="F64" s="4066" t="s">
        <v>0</v>
      </c>
      <c r="G64" s="4066" t="s">
        <v>0</v>
      </c>
      <c r="H64" s="4039" t="s">
        <v>420</v>
      </c>
      <c r="I64" s="4039" t="s">
        <v>420</v>
      </c>
      <c r="J64" s="4039" t="s">
        <v>420</v>
      </c>
      <c r="K64" s="4039" t="s">
        <v>420</v>
      </c>
      <c r="L64" s="4039" t="s">
        <v>420</v>
      </c>
      <c r="M64" s="4066"/>
      <c r="N64" s="4066"/>
      <c r="O64" s="4039" t="s">
        <v>400</v>
      </c>
      <c r="P64" s="4039" t="s">
        <v>400</v>
      </c>
      <c r="Q64" s="4148" t="s">
        <v>400</v>
      </c>
      <c r="R64" s="4039" t="s">
        <v>400</v>
      </c>
      <c r="S64" s="4039" t="s">
        <v>400</v>
      </c>
      <c r="T64" s="4039" t="s">
        <v>409</v>
      </c>
      <c r="U64" s="4039" t="s">
        <v>409</v>
      </c>
      <c r="V64" s="3550" t="s">
        <v>36</v>
      </c>
      <c r="W64" s="3550" t="s">
        <v>36</v>
      </c>
      <c r="X64" s="4066" t="s">
        <v>36</v>
      </c>
      <c r="Y64" s="3550" t="s">
        <v>36</v>
      </c>
      <c r="Z64" s="3687" t="s">
        <v>36</v>
      </c>
      <c r="AA64" s="4039" t="s">
        <v>32</v>
      </c>
      <c r="AB64" s="4039" t="s">
        <v>32</v>
      </c>
      <c r="AC64" s="4039" t="s">
        <v>32</v>
      </c>
      <c r="AD64" s="4039" t="s">
        <v>32</v>
      </c>
      <c r="AE64" s="4039" t="s">
        <v>32</v>
      </c>
      <c r="AF64" s="4149" t="s">
        <v>36</v>
      </c>
      <c r="AG64" s="4149" t="s">
        <v>36</v>
      </c>
      <c r="AH64" s="1"/>
      <c r="AJ64" s="4077">
        <v>195.25</v>
      </c>
      <c r="AK64" s="4077">
        <v>13.5</v>
      </c>
      <c r="AL64" s="4077">
        <f>IF(AJ64="","",SUM(AJ64:AK64))</f>
        <v>208.75</v>
      </c>
      <c r="AM64" s="4078">
        <f>IF(AJ64="","",AL64-NormTid)</f>
        <v>48.419999999999987</v>
      </c>
      <c r="AN64" s="4078">
        <f>IF(AM64="","",AM64+'Februar 2023'!AN64)</f>
        <v>47.509999999999962</v>
      </c>
      <c r="AO64" t="s">
        <v>491</v>
      </c>
    </row>
    <row r="65" spans="1:41" ht="22.35" customHeight="1" x14ac:dyDescent="0.2">
      <c r="A65" s="4150"/>
      <c r="B65" s="4054" t="s">
        <v>133</v>
      </c>
      <c r="C65" s="4061" t="s">
        <v>134</v>
      </c>
      <c r="D65" s="4061" t="s">
        <v>134</v>
      </c>
      <c r="E65" s="4061" t="s">
        <v>134</v>
      </c>
      <c r="F65" s="4151"/>
      <c r="G65" s="4151"/>
      <c r="H65" s="4061" t="s">
        <v>134</v>
      </c>
      <c r="I65" s="4061" t="s">
        <v>134</v>
      </c>
      <c r="J65" s="4061" t="s">
        <v>134</v>
      </c>
      <c r="K65" s="4061" t="s">
        <v>134</v>
      </c>
      <c r="L65" s="4061" t="s">
        <v>134</v>
      </c>
      <c r="M65" s="3667"/>
      <c r="N65" s="3667"/>
      <c r="O65" s="4061" t="s">
        <v>32</v>
      </c>
      <c r="P65" s="4061" t="s">
        <v>32</v>
      </c>
      <c r="Q65" s="4061" t="s">
        <v>32</v>
      </c>
      <c r="R65" s="4061" t="s">
        <v>32</v>
      </c>
      <c r="S65" s="4061" t="s">
        <v>32</v>
      </c>
      <c r="T65" s="3667"/>
      <c r="U65" s="4152"/>
      <c r="V65" s="4061" t="s">
        <v>32</v>
      </c>
      <c r="W65" s="4061" t="s">
        <v>32</v>
      </c>
      <c r="X65" s="4061" t="s">
        <v>32</v>
      </c>
      <c r="Y65" s="4061" t="s">
        <v>32</v>
      </c>
      <c r="Z65" s="4061" t="s">
        <v>32</v>
      </c>
      <c r="AA65" s="3667"/>
      <c r="AB65" s="3667"/>
      <c r="AC65" s="4061" t="s">
        <v>32</v>
      </c>
      <c r="AD65" s="4061" t="s">
        <v>32</v>
      </c>
      <c r="AE65" s="4061" t="s">
        <v>32</v>
      </c>
      <c r="AF65" s="4061" t="s">
        <v>32</v>
      </c>
      <c r="AG65" s="4061" t="s">
        <v>32</v>
      </c>
      <c r="AH65" s="1"/>
      <c r="AJ65" s="4077" t="str">
        <f t="shared" ref="AJ65" si="4">IF(AH65="","",SUM(AH65:AI65))</f>
        <v/>
      </c>
      <c r="AK65" s="4077"/>
      <c r="AL65" s="4077" t="str">
        <f t="shared" ref="AL65:AL81" si="5">IF(AJ65="","",SUM(AJ65:AK65))</f>
        <v/>
      </c>
      <c r="AM65" s="4078" t="str">
        <f t="shared" si="3"/>
        <v/>
      </c>
      <c r="AN65" s="4078" t="str">
        <f>IF(AM65="","",AM65+'Februar 2023'!AN65)</f>
        <v/>
      </c>
    </row>
    <row r="66" spans="1:41" ht="22.35" customHeight="1" x14ac:dyDescent="0.2">
      <c r="A66" s="1175"/>
      <c r="B66" s="4054" t="s">
        <v>136</v>
      </c>
      <c r="C66" s="3662" t="s">
        <v>137</v>
      </c>
      <c r="D66" s="3662" t="s">
        <v>137</v>
      </c>
      <c r="E66" s="3662" t="s">
        <v>137</v>
      </c>
      <c r="F66" s="4047"/>
      <c r="G66" s="4066"/>
      <c r="H66" s="3662" t="s">
        <v>137</v>
      </c>
      <c r="I66" s="3662" t="s">
        <v>137</v>
      </c>
      <c r="J66" s="3662" t="s">
        <v>137</v>
      </c>
      <c r="K66" s="3662" t="s">
        <v>137</v>
      </c>
      <c r="L66" s="3662" t="s">
        <v>137</v>
      </c>
      <c r="M66" s="4066"/>
      <c r="N66" s="3550"/>
      <c r="O66" s="3662" t="s">
        <v>137</v>
      </c>
      <c r="P66" s="3662" t="s">
        <v>137</v>
      </c>
      <c r="Q66" s="3662" t="s">
        <v>137</v>
      </c>
      <c r="R66" s="3662" t="s">
        <v>137</v>
      </c>
      <c r="S66" s="3662" t="s">
        <v>137</v>
      </c>
      <c r="T66" s="3550"/>
      <c r="U66" s="3550"/>
      <c r="V66" s="3662" t="s">
        <v>137</v>
      </c>
      <c r="W66" s="3662" t="s">
        <v>137</v>
      </c>
      <c r="X66" s="3662" t="s">
        <v>137</v>
      </c>
      <c r="Y66" s="3662" t="s">
        <v>137</v>
      </c>
      <c r="Z66" s="3662" t="s">
        <v>137</v>
      </c>
      <c r="AA66" s="4066"/>
      <c r="AB66" s="4066"/>
      <c r="AC66" s="3662" t="s">
        <v>137</v>
      </c>
      <c r="AD66" s="3662" t="s">
        <v>137</v>
      </c>
      <c r="AE66" s="3662" t="s">
        <v>137</v>
      </c>
      <c r="AF66" s="3662" t="s">
        <v>137</v>
      </c>
      <c r="AG66" s="3662" t="s">
        <v>137</v>
      </c>
      <c r="AH66" s="1"/>
      <c r="AJ66" s="4077">
        <v>169.5</v>
      </c>
      <c r="AK66" s="4077">
        <v>0</v>
      </c>
      <c r="AL66" s="4077">
        <f t="shared" si="5"/>
        <v>169.5</v>
      </c>
      <c r="AM66" s="4078">
        <f t="shared" si="3"/>
        <v>9.1699999999999875</v>
      </c>
      <c r="AN66" s="4078">
        <f>IF(AM66="","",AM66+'Februar 2023'!AN66)</f>
        <v>9.9999999999624833E-3</v>
      </c>
    </row>
    <row r="67" spans="1:41" ht="22.35" customHeight="1" thickBot="1" x14ac:dyDescent="0.25">
      <c r="A67" s="1175"/>
      <c r="B67" s="3663" t="s">
        <v>443</v>
      </c>
      <c r="C67" s="4032">
        <v>4</v>
      </c>
      <c r="D67" s="3610">
        <v>4</v>
      </c>
      <c r="E67" s="3610">
        <v>4</v>
      </c>
      <c r="F67" s="3610"/>
      <c r="G67" s="3610"/>
      <c r="H67" s="3610" t="s">
        <v>95</v>
      </c>
      <c r="I67" s="3610" t="s">
        <v>95</v>
      </c>
      <c r="J67" s="3610" t="s">
        <v>95</v>
      </c>
      <c r="K67" s="3610" t="s">
        <v>264</v>
      </c>
      <c r="L67" s="3610" t="s">
        <v>264</v>
      </c>
      <c r="M67" s="3611"/>
      <c r="N67" s="3611"/>
      <c r="O67" s="3611">
        <v>11</v>
      </c>
      <c r="P67" s="3610">
        <v>11</v>
      </c>
      <c r="Q67" s="4032">
        <v>11</v>
      </c>
      <c r="R67" s="4032">
        <v>11</v>
      </c>
      <c r="S67" s="3610">
        <v>11</v>
      </c>
      <c r="T67" s="3613" t="s">
        <v>94</v>
      </c>
      <c r="U67" s="3613" t="s">
        <v>94</v>
      </c>
      <c r="V67" s="3613" t="s">
        <v>36</v>
      </c>
      <c r="W67" s="3613" t="s">
        <v>36</v>
      </c>
      <c r="X67" s="3613" t="s">
        <v>36</v>
      </c>
      <c r="Y67" s="3610" t="s">
        <v>36</v>
      </c>
      <c r="Z67" s="3610" t="s">
        <v>36</v>
      </c>
      <c r="AA67" s="3610" t="s">
        <v>83</v>
      </c>
      <c r="AB67" s="3614" t="s">
        <v>83</v>
      </c>
      <c r="AC67" s="3614">
        <v>8</v>
      </c>
      <c r="AD67" s="3614">
        <v>8</v>
      </c>
      <c r="AE67" s="3610">
        <v>8</v>
      </c>
      <c r="AF67" s="3610">
        <v>8</v>
      </c>
      <c r="AG67" s="3615">
        <v>8</v>
      </c>
      <c r="AH67" s="1"/>
      <c r="AJ67" s="4077">
        <v>184.5</v>
      </c>
      <c r="AK67" s="4077">
        <v>9.25</v>
      </c>
      <c r="AL67" s="4077">
        <f t="shared" si="5"/>
        <v>193.75</v>
      </c>
      <c r="AM67" s="4078">
        <f t="shared" si="3"/>
        <v>33.419999999999987</v>
      </c>
      <c r="AN67" s="4078">
        <f>IF(AM67="","",AM67+'Februar 2023'!AN67)</f>
        <v>27.759999999999962</v>
      </c>
    </row>
    <row r="68" spans="1:41" ht="22.35" customHeight="1" x14ac:dyDescent="0.2">
      <c r="A68" s="1175"/>
      <c r="B68" s="3663" t="s">
        <v>444</v>
      </c>
      <c r="C68" s="4066" t="s">
        <v>32</v>
      </c>
      <c r="D68" s="4066" t="s">
        <v>32</v>
      </c>
      <c r="E68" s="4048" t="s">
        <v>431</v>
      </c>
      <c r="F68" s="4066"/>
      <c r="G68" s="4066"/>
      <c r="H68" s="4066">
        <v>25</v>
      </c>
      <c r="I68" s="4066">
        <v>25</v>
      </c>
      <c r="J68" s="4066">
        <v>25</v>
      </c>
      <c r="K68" s="4066">
        <v>25</v>
      </c>
      <c r="L68" s="4066">
        <v>25</v>
      </c>
      <c r="M68" s="4066"/>
      <c r="N68" s="3550"/>
      <c r="O68" s="3571" t="s">
        <v>32</v>
      </c>
      <c r="P68" s="3571" t="s">
        <v>32</v>
      </c>
      <c r="Q68" s="3571" t="s">
        <v>32</v>
      </c>
      <c r="R68" s="3571" t="s">
        <v>32</v>
      </c>
      <c r="S68" s="3571" t="s">
        <v>32</v>
      </c>
      <c r="T68" s="3672" t="s">
        <v>32</v>
      </c>
      <c r="U68" s="4066" t="s">
        <v>0</v>
      </c>
      <c r="V68" s="3571" t="s">
        <v>32</v>
      </c>
      <c r="W68" s="3571" t="s">
        <v>32</v>
      </c>
      <c r="X68" s="3571" t="s">
        <v>32</v>
      </c>
      <c r="Y68" s="4153" t="s">
        <v>32</v>
      </c>
      <c r="Z68" s="3571" t="s">
        <v>32</v>
      </c>
      <c r="AA68" s="4039"/>
      <c r="AB68" s="4066"/>
      <c r="AC68" s="3571" t="s">
        <v>32</v>
      </c>
      <c r="AD68" s="3571" t="s">
        <v>32</v>
      </c>
      <c r="AE68" s="3571" t="s">
        <v>32</v>
      </c>
      <c r="AF68" s="3571" t="s">
        <v>32</v>
      </c>
      <c r="AG68" s="3571" t="s">
        <v>32</v>
      </c>
      <c r="AH68" s="1"/>
      <c r="AJ68" s="4077">
        <v>168</v>
      </c>
      <c r="AK68" s="4077">
        <v>8</v>
      </c>
      <c r="AL68" s="4077">
        <f t="shared" si="5"/>
        <v>176</v>
      </c>
      <c r="AM68" s="4078">
        <f t="shared" si="3"/>
        <v>15.669999999999987</v>
      </c>
      <c r="AN68" s="4078">
        <f>IF(AM68="","",AM68+'Februar 2023'!AN68)</f>
        <v>-39.990000000000038</v>
      </c>
    </row>
    <row r="69" spans="1:41" ht="22.35" customHeight="1" x14ac:dyDescent="0.2">
      <c r="A69" s="1175"/>
      <c r="B69" s="3663" t="s">
        <v>445</v>
      </c>
      <c r="C69" s="3681" t="s">
        <v>32</v>
      </c>
      <c r="D69" s="3681" t="s">
        <v>32</v>
      </c>
      <c r="E69" s="4066">
        <v>89</v>
      </c>
      <c r="F69" s="4066"/>
      <c r="G69" s="4066"/>
      <c r="H69" s="3571" t="s">
        <v>32</v>
      </c>
      <c r="I69" s="3571" t="s">
        <v>32</v>
      </c>
      <c r="J69" s="3571" t="s">
        <v>32</v>
      </c>
      <c r="K69" s="3571" t="s">
        <v>32</v>
      </c>
      <c r="L69" s="3571" t="s">
        <v>32</v>
      </c>
      <c r="M69" s="4066"/>
      <c r="N69" s="3550"/>
      <c r="O69" s="3571" t="s">
        <v>32</v>
      </c>
      <c r="P69" s="3571" t="s">
        <v>32</v>
      </c>
      <c r="Q69" s="3571" t="s">
        <v>32</v>
      </c>
      <c r="R69" s="3571" t="s">
        <v>32</v>
      </c>
      <c r="S69" s="3571" t="s">
        <v>32</v>
      </c>
      <c r="T69" s="3571" t="s">
        <v>0</v>
      </c>
      <c r="U69" s="3603"/>
      <c r="V69" s="3571" t="s">
        <v>32</v>
      </c>
      <c r="W69" s="3571">
        <v>8</v>
      </c>
      <c r="X69" s="3571">
        <v>5</v>
      </c>
      <c r="Y69" s="3571">
        <v>8</v>
      </c>
      <c r="Z69" s="3571" t="s">
        <v>32</v>
      </c>
      <c r="AA69" s="4066"/>
      <c r="AB69" s="4047" t="s">
        <v>0</v>
      </c>
      <c r="AC69" s="4148" t="s">
        <v>36</v>
      </c>
      <c r="AD69" s="3571" t="s">
        <v>36</v>
      </c>
      <c r="AE69" s="3571" t="s">
        <v>36</v>
      </c>
      <c r="AF69" s="3571" t="s">
        <v>398</v>
      </c>
      <c r="AG69" s="3571" t="s">
        <v>398</v>
      </c>
      <c r="AH69" s="1"/>
      <c r="AJ69" s="4077">
        <v>127.5</v>
      </c>
      <c r="AK69" s="4077">
        <v>3.5</v>
      </c>
      <c r="AL69" s="4077">
        <f t="shared" si="5"/>
        <v>131</v>
      </c>
      <c r="AM69" s="4078">
        <f t="shared" si="3"/>
        <v>-29.330000000000013</v>
      </c>
      <c r="AN69" s="4078">
        <f>IF(AM69="","",AM69+'Februar 2023'!AN69)</f>
        <v>-53.240000000000038</v>
      </c>
    </row>
    <row r="70" spans="1:41" ht="22.35" customHeight="1" thickBot="1" x14ac:dyDescent="0.25">
      <c r="A70" s="3674"/>
      <c r="B70" s="3663" t="s">
        <v>143</v>
      </c>
      <c r="C70" s="3571" t="s">
        <v>32</v>
      </c>
      <c r="D70" s="3571" t="s">
        <v>32</v>
      </c>
      <c r="E70" s="3571" t="s">
        <v>32</v>
      </c>
      <c r="F70" s="3571" t="s">
        <v>0</v>
      </c>
      <c r="G70" s="4066"/>
      <c r="H70" s="4066">
        <v>1</v>
      </c>
      <c r="I70" s="4066">
        <v>1</v>
      </c>
      <c r="J70" s="4066">
        <v>10</v>
      </c>
      <c r="K70" s="4066">
        <v>10</v>
      </c>
      <c r="L70" s="4066" t="s">
        <v>36</v>
      </c>
      <c r="M70" s="3571" t="s">
        <v>0</v>
      </c>
      <c r="N70" s="3550"/>
      <c r="O70" s="3550">
        <v>7</v>
      </c>
      <c r="P70" s="3616" t="s">
        <v>352</v>
      </c>
      <c r="Q70" s="4154" t="s">
        <v>32</v>
      </c>
      <c r="R70" s="4066">
        <v>99</v>
      </c>
      <c r="S70" s="3616" t="s">
        <v>90</v>
      </c>
      <c r="T70" s="4047"/>
      <c r="U70" s="4047"/>
      <c r="V70" s="4155" t="s">
        <v>32</v>
      </c>
      <c r="W70" s="4066" t="s">
        <v>60</v>
      </c>
      <c r="X70" s="4066" t="s">
        <v>60</v>
      </c>
      <c r="Y70" s="4066" t="s">
        <v>32</v>
      </c>
      <c r="Z70" s="4066">
        <v>5</v>
      </c>
      <c r="AA70" s="3571" t="s">
        <v>0</v>
      </c>
      <c r="AB70" s="4066"/>
      <c r="AC70" s="4066">
        <v>3</v>
      </c>
      <c r="AD70" s="4066">
        <v>3</v>
      </c>
      <c r="AE70" s="4066">
        <v>3</v>
      </c>
      <c r="AF70" s="4066">
        <v>3</v>
      </c>
      <c r="AG70" s="3661">
        <v>3</v>
      </c>
      <c r="AJ70" s="4077">
        <v>172.5</v>
      </c>
      <c r="AK70" s="4077">
        <v>4</v>
      </c>
      <c r="AL70" s="4077">
        <f t="shared" si="5"/>
        <v>176.5</v>
      </c>
      <c r="AM70" s="4078">
        <f t="shared" si="3"/>
        <v>16.169999999999987</v>
      </c>
      <c r="AN70" s="4078">
        <f>IF(AM70="","",AM70+'Februar 2023'!AN70)</f>
        <v>10.509999999999962</v>
      </c>
    </row>
    <row r="71" spans="1:41" ht="22.35" customHeight="1" x14ac:dyDescent="0.2">
      <c r="A71" s="3356"/>
      <c r="B71" s="3663" t="s">
        <v>144</v>
      </c>
      <c r="C71" s="4048" t="s">
        <v>398</v>
      </c>
      <c r="D71" s="4066" t="s">
        <v>398</v>
      </c>
      <c r="E71" s="4066" t="s">
        <v>398</v>
      </c>
      <c r="F71" s="4066"/>
      <c r="G71" s="4066"/>
      <c r="H71" s="4066" t="s">
        <v>134</v>
      </c>
      <c r="I71" s="4048" t="s">
        <v>32</v>
      </c>
      <c r="J71" s="4048" t="s">
        <v>32</v>
      </c>
      <c r="K71" s="4066" t="s">
        <v>266</v>
      </c>
      <c r="L71" s="4066" t="s">
        <v>266</v>
      </c>
      <c r="M71" s="3722" t="s">
        <v>0</v>
      </c>
      <c r="N71" s="3722" t="s">
        <v>0</v>
      </c>
      <c r="O71" s="3550" t="s">
        <v>266</v>
      </c>
      <c r="P71" s="4048" t="s">
        <v>32</v>
      </c>
      <c r="Q71" s="4048" t="s">
        <v>32</v>
      </c>
      <c r="R71" s="4066" t="s">
        <v>266</v>
      </c>
      <c r="S71" s="4066" t="s">
        <v>266</v>
      </c>
      <c r="T71" s="4047"/>
      <c r="U71" s="4047"/>
      <c r="V71" s="4066" t="s">
        <v>266</v>
      </c>
      <c r="W71" s="4152" t="s">
        <v>32</v>
      </c>
      <c r="X71" s="4156" t="s">
        <v>32</v>
      </c>
      <c r="Y71" s="4066" t="s">
        <v>266</v>
      </c>
      <c r="Z71" s="4066" t="s">
        <v>266</v>
      </c>
      <c r="AA71" s="4066"/>
      <c r="AB71" s="4066"/>
      <c r="AC71" s="4066" t="s">
        <v>266</v>
      </c>
      <c r="AD71" s="4066" t="s">
        <v>266</v>
      </c>
      <c r="AE71" s="4066" t="s">
        <v>266</v>
      </c>
      <c r="AF71" s="4066" t="s">
        <v>266</v>
      </c>
      <c r="AG71" s="4066" t="s">
        <v>266</v>
      </c>
      <c r="AJ71" s="4077">
        <v>172.5</v>
      </c>
      <c r="AK71" s="4077">
        <v>0</v>
      </c>
      <c r="AL71" s="4077">
        <f t="shared" si="5"/>
        <v>172.5</v>
      </c>
      <c r="AM71" s="4078">
        <f t="shared" si="3"/>
        <v>12.169999999999987</v>
      </c>
      <c r="AN71" s="4078">
        <f>IF(AM71="","",AM71+'Februar 2023'!AN71)</f>
        <v>-60.240000000000038</v>
      </c>
      <c r="AO71" t="s">
        <v>492</v>
      </c>
    </row>
    <row r="72" spans="1:41" ht="22.35" customHeight="1" thickBot="1" x14ac:dyDescent="0.25">
      <c r="A72" s="453"/>
      <c r="B72" s="3663" t="s">
        <v>354</v>
      </c>
      <c r="C72" s="4149">
        <v>5</v>
      </c>
      <c r="D72" s="3675">
        <v>8</v>
      </c>
      <c r="E72" s="478">
        <v>6</v>
      </c>
      <c r="F72" s="3675" t="s">
        <v>83</v>
      </c>
      <c r="G72" s="4066"/>
      <c r="H72" s="4048" t="s">
        <v>51</v>
      </c>
      <c r="I72" s="4066" t="s">
        <v>32</v>
      </c>
      <c r="J72" s="4066" t="s">
        <v>32</v>
      </c>
      <c r="K72" s="4066" t="s">
        <v>32</v>
      </c>
      <c r="L72" s="4066" t="s">
        <v>32</v>
      </c>
      <c r="M72" s="3610" t="s">
        <v>0</v>
      </c>
      <c r="N72" s="4066">
        <v>26</v>
      </c>
      <c r="O72" s="3550">
        <v>25</v>
      </c>
      <c r="P72" s="4065">
        <v>25</v>
      </c>
      <c r="Q72" s="3550">
        <v>25</v>
      </c>
      <c r="R72" s="3550">
        <v>25</v>
      </c>
      <c r="S72" s="3550">
        <v>25</v>
      </c>
      <c r="T72" s="4047"/>
      <c r="U72" s="4047" t="s">
        <v>0</v>
      </c>
      <c r="V72" s="4065">
        <v>22</v>
      </c>
      <c r="W72" s="4066" t="s">
        <v>36</v>
      </c>
      <c r="X72" s="4066" t="s">
        <v>36</v>
      </c>
      <c r="Y72" s="4066" t="s">
        <v>36</v>
      </c>
      <c r="Z72" s="4066" t="s">
        <v>36</v>
      </c>
      <c r="AA72" s="4039"/>
      <c r="AB72" s="4066">
        <v>26</v>
      </c>
      <c r="AC72" s="4066" t="s">
        <v>32</v>
      </c>
      <c r="AD72" s="4066">
        <v>26</v>
      </c>
      <c r="AE72" s="471">
        <v>26</v>
      </c>
      <c r="AF72" s="4066" t="s">
        <v>36</v>
      </c>
      <c r="AG72" s="3661" t="s">
        <v>36</v>
      </c>
      <c r="AH72" s="1"/>
      <c r="AJ72" s="4077">
        <v>183.75</v>
      </c>
      <c r="AK72" s="4077">
        <v>8.75</v>
      </c>
      <c r="AL72" s="4077">
        <f t="shared" si="5"/>
        <v>192.5</v>
      </c>
      <c r="AM72" s="4078">
        <f t="shared" si="3"/>
        <v>32.169999999999987</v>
      </c>
      <c r="AN72" s="4078">
        <f>IF(AM72="","",AM72+'Februar 2023'!AN72)</f>
        <v>-3.9900000000000375</v>
      </c>
    </row>
    <row r="73" spans="1:41" ht="22.35" customHeight="1" x14ac:dyDescent="0.2">
      <c r="A73" s="3356"/>
      <c r="B73" s="3677" t="s">
        <v>357</v>
      </c>
      <c r="C73" s="4066" t="s">
        <v>36</v>
      </c>
      <c r="D73" s="4066" t="s">
        <v>32</v>
      </c>
      <c r="E73" s="4066" t="s">
        <v>36</v>
      </c>
      <c r="F73" s="4066" t="s">
        <v>32</v>
      </c>
      <c r="G73" s="4066" t="s">
        <v>32</v>
      </c>
      <c r="H73" s="3550" t="s">
        <v>36</v>
      </c>
      <c r="I73" s="3550" t="s">
        <v>36</v>
      </c>
      <c r="J73" s="3550" t="s">
        <v>36</v>
      </c>
      <c r="K73" s="3550" t="s">
        <v>36</v>
      </c>
      <c r="L73" s="3550" t="s">
        <v>36</v>
      </c>
      <c r="M73" s="4066" t="s">
        <v>32</v>
      </c>
      <c r="N73" s="3550"/>
      <c r="O73" s="4066" t="s">
        <v>134</v>
      </c>
      <c r="P73" s="4066" t="s">
        <v>134</v>
      </c>
      <c r="Q73" s="4066" t="s">
        <v>134</v>
      </c>
      <c r="R73" s="4066" t="s">
        <v>134</v>
      </c>
      <c r="S73" s="4066" t="s">
        <v>134</v>
      </c>
      <c r="T73" s="4047"/>
      <c r="U73" s="4047"/>
      <c r="V73" s="4066" t="s">
        <v>60</v>
      </c>
      <c r="W73" s="4066" t="s">
        <v>134</v>
      </c>
      <c r="X73" s="4066" t="s">
        <v>134</v>
      </c>
      <c r="Y73" s="3571" t="s">
        <v>32</v>
      </c>
      <c r="Z73" s="4066">
        <v>8</v>
      </c>
      <c r="AA73" s="3672" t="s">
        <v>0</v>
      </c>
      <c r="AB73" s="4066" t="s">
        <v>0</v>
      </c>
      <c r="AC73" s="4148" t="s">
        <v>36</v>
      </c>
      <c r="AD73" s="4066" t="s">
        <v>36</v>
      </c>
      <c r="AE73" s="4066" t="s">
        <v>36</v>
      </c>
      <c r="AF73" s="4066" t="s">
        <v>36</v>
      </c>
      <c r="AG73" s="3661" t="s">
        <v>32</v>
      </c>
      <c r="AH73" s="1"/>
      <c r="AJ73" s="4077">
        <v>100.75</v>
      </c>
      <c r="AK73" s="4077">
        <v>3</v>
      </c>
      <c r="AL73" s="4077">
        <f t="shared" si="5"/>
        <v>103.75</v>
      </c>
      <c r="AM73" s="4078">
        <f t="shared" si="3"/>
        <v>-56.580000000000013</v>
      </c>
      <c r="AN73" s="4078">
        <f>IF(AM73="","",AM73+'Februar 2023'!AN73)</f>
        <v>-138.49000000000004</v>
      </c>
    </row>
    <row r="74" spans="1:41" ht="22.35" customHeight="1" x14ac:dyDescent="0.2">
      <c r="A74" s="3356"/>
      <c r="B74" s="4054" t="s">
        <v>380</v>
      </c>
      <c r="C74" s="4066" t="s">
        <v>36</v>
      </c>
      <c r="D74" s="4066" t="s">
        <v>32</v>
      </c>
      <c r="E74" s="4066" t="s">
        <v>36</v>
      </c>
      <c r="F74" s="4066">
        <v>89</v>
      </c>
      <c r="G74" s="4066"/>
      <c r="H74" s="4048" t="s">
        <v>134</v>
      </c>
      <c r="I74" s="4048" t="s">
        <v>134</v>
      </c>
      <c r="J74" s="4048" t="s">
        <v>135</v>
      </c>
      <c r="K74" s="4048" t="s">
        <v>32</v>
      </c>
      <c r="L74" s="4048" t="s">
        <v>32</v>
      </c>
      <c r="M74" s="4048"/>
      <c r="N74" s="4048" t="s">
        <v>101</v>
      </c>
      <c r="O74" s="340" t="s">
        <v>32</v>
      </c>
      <c r="P74" s="3616" t="s">
        <v>266</v>
      </c>
      <c r="Q74" s="4066" t="s">
        <v>266</v>
      </c>
      <c r="R74" s="4066">
        <v>4</v>
      </c>
      <c r="S74" s="4157" t="s">
        <v>32</v>
      </c>
      <c r="T74" s="3571" t="s">
        <v>0</v>
      </c>
      <c r="U74" s="4047">
        <v>26</v>
      </c>
      <c r="V74" s="4066">
        <v>26</v>
      </c>
      <c r="W74" s="4066">
        <v>26</v>
      </c>
      <c r="X74" s="4066">
        <v>8</v>
      </c>
      <c r="Y74" s="4066">
        <v>26</v>
      </c>
      <c r="Z74" s="4066">
        <v>26</v>
      </c>
      <c r="AA74" s="4066" t="s">
        <v>0</v>
      </c>
      <c r="AC74" s="4066">
        <v>26</v>
      </c>
      <c r="AD74" s="4066" t="s">
        <v>134</v>
      </c>
      <c r="AE74" s="4066" t="s">
        <v>134</v>
      </c>
      <c r="AF74" s="4066" t="s">
        <v>134</v>
      </c>
      <c r="AG74" s="4066" t="s">
        <v>134</v>
      </c>
      <c r="AH74" s="1"/>
      <c r="AJ74" s="4077">
        <v>166</v>
      </c>
      <c r="AK74" s="4077">
        <v>5.5</v>
      </c>
      <c r="AL74" s="4077">
        <f t="shared" si="5"/>
        <v>171.5</v>
      </c>
      <c r="AM74" s="4078">
        <f t="shared" si="3"/>
        <v>11.169999999999987</v>
      </c>
      <c r="AN74" s="4078">
        <f>IF(AM74="","",AM74+'Februar 2023'!AN74)</f>
        <v>-22.990000000000038</v>
      </c>
    </row>
    <row r="75" spans="1:41" ht="22.35" customHeight="1" x14ac:dyDescent="0.25">
      <c r="A75" s="3356"/>
      <c r="B75" s="4054" t="s">
        <v>379</v>
      </c>
      <c r="C75" s="4066">
        <v>26</v>
      </c>
      <c r="D75" s="4066">
        <v>26</v>
      </c>
      <c r="E75" s="4066">
        <v>26</v>
      </c>
      <c r="F75" s="4066"/>
      <c r="G75" s="4066">
        <v>26</v>
      </c>
      <c r="H75" s="4066" t="s">
        <v>36</v>
      </c>
      <c r="I75" s="4066" t="s">
        <v>36</v>
      </c>
      <c r="J75" s="4066" t="s">
        <v>36</v>
      </c>
      <c r="K75" s="4066" t="s">
        <v>36</v>
      </c>
      <c r="L75" s="4066" t="s">
        <v>36</v>
      </c>
      <c r="M75" s="316" t="s">
        <v>57</v>
      </c>
      <c r="N75" s="3675" t="s">
        <v>127</v>
      </c>
      <c r="O75" s="3675" t="s">
        <v>128</v>
      </c>
      <c r="P75" s="3603">
        <v>25</v>
      </c>
      <c r="Q75" s="3675" t="s">
        <v>128</v>
      </c>
      <c r="R75" s="3675" t="s">
        <v>128</v>
      </c>
      <c r="S75" s="4157" t="s">
        <v>32</v>
      </c>
      <c r="T75" s="4047"/>
      <c r="U75" s="4066" t="s">
        <v>0</v>
      </c>
      <c r="V75" s="3550">
        <v>23</v>
      </c>
      <c r="W75" s="4066" t="s">
        <v>36</v>
      </c>
      <c r="X75" s="4066">
        <v>26</v>
      </c>
      <c r="Y75" s="4066" t="s">
        <v>32</v>
      </c>
      <c r="Z75" s="4066" t="s">
        <v>36</v>
      </c>
      <c r="AA75" s="4039"/>
      <c r="AB75" s="4066"/>
      <c r="AC75" s="4066" t="s">
        <v>32</v>
      </c>
      <c r="AD75" s="3571" t="s">
        <v>32</v>
      </c>
      <c r="AE75" s="3675" t="s">
        <v>128</v>
      </c>
      <c r="AF75" s="4066">
        <v>26</v>
      </c>
      <c r="AG75" s="3667">
        <v>26</v>
      </c>
      <c r="AH75" s="1"/>
      <c r="AJ75" s="4077">
        <v>162.25</v>
      </c>
      <c r="AK75" s="4077">
        <v>11.75</v>
      </c>
      <c r="AL75" s="4077">
        <f t="shared" si="5"/>
        <v>174</v>
      </c>
      <c r="AM75" s="4078">
        <f t="shared" ref="AM75:AM81" si="6">IF(AJ75="","",AL75-NormTid)</f>
        <v>13.669999999999987</v>
      </c>
      <c r="AN75" s="4078">
        <f>IF(AM75="","",AM75+'Februar 2023'!AN75)</f>
        <v>-15.990000000000038</v>
      </c>
    </row>
    <row r="76" spans="1:41" ht="22.35" customHeight="1" x14ac:dyDescent="0.2">
      <c r="A76" s="3362"/>
      <c r="B76" s="3685" t="s">
        <v>446</v>
      </c>
      <c r="C76" s="4066" t="s">
        <v>134</v>
      </c>
      <c r="D76" s="3681" t="s">
        <v>32</v>
      </c>
      <c r="E76" s="3681" t="s">
        <v>32</v>
      </c>
      <c r="F76" s="4066"/>
      <c r="G76" s="4066"/>
      <c r="H76" s="4066">
        <v>26</v>
      </c>
      <c r="I76" s="4066">
        <v>26</v>
      </c>
      <c r="J76" s="4066">
        <v>26</v>
      </c>
      <c r="K76" s="4066">
        <v>26</v>
      </c>
      <c r="L76" s="4066">
        <v>26</v>
      </c>
      <c r="M76" s="4066"/>
      <c r="N76" s="4066" t="s">
        <v>53</v>
      </c>
      <c r="O76" s="3550">
        <v>26</v>
      </c>
      <c r="P76" s="3616" t="s">
        <v>393</v>
      </c>
      <c r="Q76" s="4066">
        <v>26</v>
      </c>
      <c r="R76" s="4066">
        <v>26</v>
      </c>
      <c r="S76" s="3616" t="s">
        <v>393</v>
      </c>
      <c r="T76" s="4047" t="s">
        <v>53</v>
      </c>
      <c r="U76" s="4047" t="s">
        <v>53</v>
      </c>
      <c r="V76" s="647">
        <v>22</v>
      </c>
      <c r="W76" s="644">
        <v>22</v>
      </c>
      <c r="X76" s="644">
        <v>22</v>
      </c>
      <c r="Y76" s="644">
        <v>22</v>
      </c>
      <c r="Z76" s="644">
        <v>22</v>
      </c>
      <c r="AA76" s="644">
        <v>22</v>
      </c>
      <c r="AB76" s="644">
        <v>22</v>
      </c>
      <c r="AC76" s="4066" t="s">
        <v>36</v>
      </c>
      <c r="AD76" s="4066" t="s">
        <v>36</v>
      </c>
      <c r="AE76" s="4066" t="s">
        <v>36</v>
      </c>
      <c r="AF76" s="3571" t="s">
        <v>32</v>
      </c>
      <c r="AG76" s="4158" t="s">
        <v>32</v>
      </c>
      <c r="AH76" s="1"/>
      <c r="AJ76" s="4077">
        <v>176</v>
      </c>
      <c r="AK76" s="4077">
        <v>10</v>
      </c>
      <c r="AL76" s="4077">
        <f t="shared" si="5"/>
        <v>186</v>
      </c>
      <c r="AM76" s="4078">
        <f t="shared" si="6"/>
        <v>25.669999999999987</v>
      </c>
      <c r="AN76" s="4078">
        <f>IF(AM76="","",AM76+'Februar 2023'!AN76)</f>
        <v>21.009999999999962</v>
      </c>
    </row>
    <row r="77" spans="1:41" ht="22.35" customHeight="1" thickBot="1" x14ac:dyDescent="0.25">
      <c r="A77" s="3362"/>
      <c r="B77" s="4054" t="s">
        <v>447</v>
      </c>
      <c r="C77" s="4048" t="s">
        <v>461</v>
      </c>
      <c r="D77" s="3605" t="s">
        <v>32</v>
      </c>
      <c r="E77" s="3605" t="s">
        <v>177</v>
      </c>
      <c r="F77" s="4066"/>
      <c r="G77" s="4066"/>
      <c r="H77" s="4066" t="s">
        <v>266</v>
      </c>
      <c r="I77" s="4066" t="s">
        <v>266</v>
      </c>
      <c r="J77" s="4066" t="s">
        <v>266</v>
      </c>
      <c r="K77" s="4066" t="s">
        <v>266</v>
      </c>
      <c r="L77" s="4066" t="s">
        <v>134</v>
      </c>
      <c r="M77" s="4066" t="s">
        <v>0</v>
      </c>
      <c r="N77" s="4066" t="s">
        <v>0</v>
      </c>
      <c r="O77" s="3550" t="s">
        <v>36</v>
      </c>
      <c r="P77" s="4048" t="s">
        <v>368</v>
      </c>
      <c r="Q77" s="4065" t="s">
        <v>266</v>
      </c>
      <c r="R77" s="3550" t="s">
        <v>36</v>
      </c>
      <c r="S77" s="3550" t="s">
        <v>36</v>
      </c>
      <c r="T77" s="4047"/>
      <c r="U77" s="4047"/>
      <c r="V77" s="4066" t="s">
        <v>134</v>
      </c>
      <c r="W77" s="4066" t="s">
        <v>266</v>
      </c>
      <c r="X77" s="4066" t="s">
        <v>266</v>
      </c>
      <c r="Y77" s="4066" t="s">
        <v>134</v>
      </c>
      <c r="Z77" s="4066" t="s">
        <v>134</v>
      </c>
      <c r="AA77" s="4066"/>
      <c r="AB77" s="4066"/>
      <c r="AC77" s="4066" t="s">
        <v>32</v>
      </c>
      <c r="AD77" s="3571">
        <v>7</v>
      </c>
      <c r="AE77" s="3571">
        <v>7</v>
      </c>
      <c r="AF77" s="3571">
        <v>7</v>
      </c>
      <c r="AG77" s="3661" t="s">
        <v>36</v>
      </c>
      <c r="AH77" s="1"/>
      <c r="AJ77" s="4077">
        <v>141.25</v>
      </c>
      <c r="AK77" s="4077">
        <v>1.75</v>
      </c>
      <c r="AL77" s="4077">
        <f t="shared" si="5"/>
        <v>143</v>
      </c>
      <c r="AM77" s="4078">
        <f>IF(AJ77="","",AL77-NormTid)</f>
        <v>-17.330000000000013</v>
      </c>
      <c r="AN77" s="4078">
        <f>IF(AM77="","",AM77+'Februar 2023'!AN77)</f>
        <v>7.5099999999999625</v>
      </c>
    </row>
    <row r="78" spans="1:41" ht="22.35" customHeight="1" x14ac:dyDescent="0.2">
      <c r="A78" s="3362"/>
      <c r="B78" s="4054" t="s">
        <v>478</v>
      </c>
      <c r="C78" s="4039" t="s">
        <v>420</v>
      </c>
      <c r="D78" s="4039" t="s">
        <v>420</v>
      </c>
      <c r="E78" s="4039" t="s">
        <v>420</v>
      </c>
      <c r="F78" s="4066"/>
      <c r="G78" s="4066"/>
      <c r="H78" s="4159" t="s">
        <v>32</v>
      </c>
      <c r="I78" s="4066" t="s">
        <v>134</v>
      </c>
      <c r="J78" s="4066" t="s">
        <v>134</v>
      </c>
      <c r="K78" s="4066" t="s">
        <v>36</v>
      </c>
      <c r="L78" s="4066" t="s">
        <v>36</v>
      </c>
      <c r="M78" s="3722" t="s">
        <v>405</v>
      </c>
      <c r="N78" s="3722" t="s">
        <v>405</v>
      </c>
      <c r="O78" s="4160" t="s">
        <v>398</v>
      </c>
      <c r="P78" s="4161" t="s">
        <v>398</v>
      </c>
      <c r="Q78" s="4161" t="s">
        <v>398</v>
      </c>
      <c r="R78" s="4147" t="s">
        <v>398</v>
      </c>
      <c r="S78" s="4161" t="s">
        <v>398</v>
      </c>
      <c r="T78" s="4047"/>
      <c r="U78" s="4047"/>
      <c r="V78" s="4039" t="s">
        <v>400</v>
      </c>
      <c r="W78" s="4039" t="s">
        <v>400</v>
      </c>
      <c r="X78" s="4039" t="s">
        <v>400</v>
      </c>
      <c r="Y78" s="4039" t="s">
        <v>400</v>
      </c>
      <c r="Z78" s="4039" t="s">
        <v>400</v>
      </c>
      <c r="AA78" s="4039" t="s">
        <v>409</v>
      </c>
      <c r="AB78" s="4039" t="s">
        <v>409</v>
      </c>
      <c r="AC78" s="4149" t="s">
        <v>400</v>
      </c>
      <c r="AD78" s="4149" t="s">
        <v>400</v>
      </c>
      <c r="AE78" s="4149" t="s">
        <v>400</v>
      </c>
      <c r="AF78" s="4066" t="s">
        <v>36</v>
      </c>
      <c r="AG78" s="4066" t="s">
        <v>36</v>
      </c>
      <c r="AH78" s="1"/>
      <c r="AJ78" s="4162">
        <v>178.5</v>
      </c>
      <c r="AK78" s="4162">
        <v>8.25</v>
      </c>
      <c r="AL78" s="4077">
        <f t="shared" si="5"/>
        <v>186.75</v>
      </c>
      <c r="AM78" s="4078">
        <f>IF(AJ78="","",AL78-NormTid)</f>
        <v>26.419999999999987</v>
      </c>
      <c r="AN78" s="4163">
        <f>IF(AM78="","",AM78+'Februar 2023'!AN79)</f>
        <v>40.009999999999962</v>
      </c>
    </row>
    <row r="79" spans="1:41" ht="22.35" customHeight="1" thickBot="1" x14ac:dyDescent="0.25">
      <c r="A79" s="3362"/>
      <c r="B79" s="4054" t="s">
        <v>450</v>
      </c>
      <c r="C79" s="3605" t="s">
        <v>264</v>
      </c>
      <c r="D79" s="3605" t="s">
        <v>264</v>
      </c>
      <c r="E79" s="3605" t="s">
        <v>264</v>
      </c>
      <c r="F79" s="3610" t="s">
        <v>0</v>
      </c>
      <c r="G79" s="3610" t="s">
        <v>0</v>
      </c>
      <c r="H79" s="4066" t="s">
        <v>36</v>
      </c>
      <c r="I79" s="4066" t="s">
        <v>36</v>
      </c>
      <c r="J79" s="4066" t="s">
        <v>36</v>
      </c>
      <c r="K79" s="4066" t="s">
        <v>134</v>
      </c>
      <c r="L79" s="4065" t="s">
        <v>32</v>
      </c>
      <c r="M79" s="4066" t="s">
        <v>53</v>
      </c>
      <c r="N79" s="3550" t="s">
        <v>53</v>
      </c>
      <c r="O79" s="4164" t="s">
        <v>225</v>
      </c>
      <c r="P79" s="4164" t="s">
        <v>225</v>
      </c>
      <c r="Q79" s="4066" t="s">
        <v>36</v>
      </c>
      <c r="R79" s="4164" t="s">
        <v>225</v>
      </c>
      <c r="S79" s="4164" t="s">
        <v>225</v>
      </c>
      <c r="T79" s="4047"/>
      <c r="U79" s="4047"/>
      <c r="V79" s="4165" t="s">
        <v>225</v>
      </c>
      <c r="W79" s="4162" t="s">
        <v>493</v>
      </c>
      <c r="X79" s="4162" t="s">
        <v>493</v>
      </c>
      <c r="Y79" s="4149" t="s">
        <v>493</v>
      </c>
      <c r="Z79" s="4162" t="s">
        <v>493</v>
      </c>
      <c r="AA79" s="4039"/>
      <c r="AB79" s="4039" t="s">
        <v>0</v>
      </c>
      <c r="AC79" s="4039">
        <v>25</v>
      </c>
      <c r="AD79" s="4039">
        <v>25</v>
      </c>
      <c r="AE79" s="471">
        <v>25</v>
      </c>
      <c r="AF79" s="4039">
        <v>25</v>
      </c>
      <c r="AG79" s="4039">
        <v>25</v>
      </c>
      <c r="AH79" s="1"/>
      <c r="AJ79" s="4077">
        <v>162</v>
      </c>
      <c r="AK79" s="4077">
        <v>4</v>
      </c>
      <c r="AL79" s="4077">
        <f t="shared" si="5"/>
        <v>166</v>
      </c>
      <c r="AM79" s="4078">
        <f t="shared" si="6"/>
        <v>5.6699999999999875</v>
      </c>
      <c r="AN79" s="4078">
        <f>IF(AM79="","",AM79+'Februar 2023'!AN78)</f>
        <v>5.7599999999999625</v>
      </c>
    </row>
    <row r="80" spans="1:41" ht="22.35" customHeight="1" thickBot="1" x14ac:dyDescent="0.25">
      <c r="B80" s="4166" t="s">
        <v>471</v>
      </c>
      <c r="C80" s="4111" t="s">
        <v>128</v>
      </c>
      <c r="D80" s="4111" t="s">
        <v>128</v>
      </c>
      <c r="E80" s="4111" t="s">
        <v>128</v>
      </c>
      <c r="F80" s="3840"/>
      <c r="G80" s="3840"/>
      <c r="H80" s="3614">
        <v>8</v>
      </c>
      <c r="I80" s="3614">
        <v>8</v>
      </c>
      <c r="J80" s="3610">
        <v>8</v>
      </c>
      <c r="K80" s="3610">
        <v>8</v>
      </c>
      <c r="L80" s="3610">
        <v>8</v>
      </c>
      <c r="M80" s="3840"/>
      <c r="N80" s="3694"/>
      <c r="O80" s="3616">
        <v>4</v>
      </c>
      <c r="P80" s="3616">
        <v>4</v>
      </c>
      <c r="Q80" s="4066">
        <v>7</v>
      </c>
      <c r="R80" s="3616" t="s">
        <v>352</v>
      </c>
      <c r="S80" s="3616" t="s">
        <v>32</v>
      </c>
      <c r="T80" s="4167"/>
      <c r="U80" s="4167"/>
      <c r="V80" s="3762" t="s">
        <v>128</v>
      </c>
      <c r="W80" s="3762" t="s">
        <v>128</v>
      </c>
      <c r="X80" s="3762" t="s">
        <v>128</v>
      </c>
      <c r="Y80" s="3762" t="s">
        <v>128</v>
      </c>
      <c r="Z80" s="3762" t="s">
        <v>128</v>
      </c>
      <c r="AA80" s="4168" t="s">
        <v>127</v>
      </c>
      <c r="AB80" s="4168" t="s">
        <v>127</v>
      </c>
      <c r="AC80" s="3840" t="s">
        <v>36</v>
      </c>
      <c r="AD80" s="3840" t="s">
        <v>36</v>
      </c>
      <c r="AE80" s="3840" t="s">
        <v>36</v>
      </c>
      <c r="AF80" s="3840" t="s">
        <v>36</v>
      </c>
      <c r="AG80" s="3695" t="s">
        <v>36</v>
      </c>
      <c r="AH80" s="1"/>
      <c r="AJ80" s="4077">
        <v>166.25</v>
      </c>
      <c r="AK80" s="4077">
        <v>10.25</v>
      </c>
      <c r="AL80" s="4077">
        <f t="shared" si="5"/>
        <v>176.5</v>
      </c>
      <c r="AM80" s="4078">
        <f t="shared" si="6"/>
        <v>16.169999999999987</v>
      </c>
      <c r="AN80" s="4078">
        <f>IF(AM80="","",AM80+'Februar 2023'!AN80)</f>
        <v>43.009999999999962</v>
      </c>
    </row>
    <row r="81" spans="1:40" ht="22.35" customHeight="1" thickBot="1" x14ac:dyDescent="0.25">
      <c r="A81" s="4169"/>
      <c r="B81" s="4170" t="s">
        <v>279</v>
      </c>
      <c r="C81" s="3978"/>
      <c r="D81" s="3978"/>
      <c r="E81" s="3978"/>
      <c r="F81" s="3978"/>
      <c r="G81" s="3978"/>
      <c r="H81" s="3978">
        <v>99</v>
      </c>
      <c r="I81" s="3978">
        <v>99</v>
      </c>
      <c r="J81" s="3978">
        <v>99</v>
      </c>
      <c r="K81" s="3918" t="s">
        <v>402</v>
      </c>
      <c r="L81" s="3605" t="s">
        <v>32</v>
      </c>
      <c r="M81" s="3978"/>
      <c r="N81" s="3978"/>
      <c r="O81" s="4171" t="s">
        <v>58</v>
      </c>
      <c r="P81" s="3571" t="s">
        <v>32</v>
      </c>
      <c r="Q81" s="3571" t="s">
        <v>60</v>
      </c>
      <c r="R81" s="3571">
        <v>89</v>
      </c>
      <c r="S81" s="3571">
        <v>4</v>
      </c>
      <c r="T81" s="3978"/>
      <c r="U81" s="3978"/>
      <c r="V81" s="3571" t="s">
        <v>239</v>
      </c>
      <c r="W81" s="3571" t="s">
        <v>32</v>
      </c>
      <c r="X81" s="3571">
        <v>4</v>
      </c>
      <c r="Y81" s="3571">
        <v>4</v>
      </c>
      <c r="Z81" s="3571">
        <v>4</v>
      </c>
      <c r="AA81" s="3978"/>
      <c r="AB81" s="3978"/>
      <c r="AC81" s="4172">
        <v>4</v>
      </c>
      <c r="AD81" s="4066">
        <v>4</v>
      </c>
      <c r="AE81" s="4066">
        <v>4</v>
      </c>
      <c r="AF81" s="4066">
        <v>4</v>
      </c>
      <c r="AG81" s="3661">
        <v>4</v>
      </c>
      <c r="AH81" s="1"/>
      <c r="AJ81" s="4077">
        <v>175.5</v>
      </c>
      <c r="AK81" s="4077">
        <v>0.5</v>
      </c>
      <c r="AL81" s="4077">
        <f t="shared" si="5"/>
        <v>176</v>
      </c>
      <c r="AM81" s="4078">
        <f t="shared" si="6"/>
        <v>15.669999999999987</v>
      </c>
      <c r="AN81" s="4078">
        <f>IF(AM81="","",AM81+'Februar 2023'!AN81)</f>
        <v>15.669999999999987</v>
      </c>
    </row>
    <row r="82" spans="1:40" ht="22.35" customHeight="1" x14ac:dyDescent="0.2">
      <c r="A82" s="4173"/>
      <c r="B82" s="4174" t="s">
        <v>147</v>
      </c>
      <c r="C82" s="680">
        <v>1</v>
      </c>
      <c r="D82" s="680">
        <v>2</v>
      </c>
      <c r="E82" s="680">
        <v>3</v>
      </c>
      <c r="F82" s="679">
        <v>4</v>
      </c>
      <c r="G82" s="679">
        <v>5</v>
      </c>
      <c r="H82" s="680">
        <v>6</v>
      </c>
      <c r="I82" s="680">
        <v>7</v>
      </c>
      <c r="J82" s="680">
        <v>8</v>
      </c>
      <c r="K82" s="680">
        <v>9</v>
      </c>
      <c r="L82" s="680">
        <v>10</v>
      </c>
      <c r="M82" s="679">
        <v>11</v>
      </c>
      <c r="N82" s="679">
        <v>12</v>
      </c>
      <c r="O82" s="680">
        <v>13</v>
      </c>
      <c r="P82" s="680">
        <v>14</v>
      </c>
      <c r="Q82" s="680">
        <v>15</v>
      </c>
      <c r="R82" s="680">
        <v>16</v>
      </c>
      <c r="S82" s="680">
        <v>17</v>
      </c>
      <c r="T82" s="679">
        <v>18</v>
      </c>
      <c r="U82" s="679">
        <v>19</v>
      </c>
      <c r="V82" s="680">
        <v>20</v>
      </c>
      <c r="W82" s="680">
        <v>21</v>
      </c>
      <c r="X82" s="680">
        <v>22</v>
      </c>
      <c r="Y82" s="680">
        <v>23</v>
      </c>
      <c r="Z82" s="680">
        <v>24</v>
      </c>
      <c r="AA82" s="679">
        <v>25</v>
      </c>
      <c r="AB82" s="679">
        <v>26</v>
      </c>
      <c r="AC82" s="680">
        <v>27</v>
      </c>
      <c r="AD82" s="680">
        <v>28</v>
      </c>
      <c r="AE82" s="680">
        <v>29</v>
      </c>
      <c r="AF82" s="680">
        <v>30</v>
      </c>
      <c r="AG82" s="681">
        <v>31</v>
      </c>
      <c r="AH82" s="1"/>
      <c r="AJ82" s="4077"/>
      <c r="AK82" s="4077"/>
      <c r="AL82" s="4077"/>
      <c r="AM82" s="4078" t="str">
        <f t="shared" ref="AM82:AM89" si="7">IF(AJ82="","",AL82-NormTid)</f>
        <v/>
      </c>
      <c r="AN82" s="4078"/>
    </row>
    <row r="83" spans="1:40" ht="22.35" customHeight="1" thickBot="1" x14ac:dyDescent="0.25">
      <c r="A83" s="977"/>
      <c r="B83" s="4037" t="s">
        <v>359</v>
      </c>
      <c r="C83" s="3528">
        <v>11</v>
      </c>
      <c r="D83" s="3528">
        <v>11</v>
      </c>
      <c r="E83" s="3610">
        <v>11</v>
      </c>
      <c r="F83" s="3610" t="s">
        <v>94</v>
      </c>
      <c r="G83" s="3610" t="s">
        <v>94</v>
      </c>
      <c r="H83" s="3610" t="s">
        <v>36</v>
      </c>
      <c r="I83" s="3610" t="s">
        <v>36</v>
      </c>
      <c r="J83" s="3528" t="s">
        <v>36</v>
      </c>
      <c r="K83" s="3610" t="s">
        <v>36</v>
      </c>
      <c r="L83" s="3614" t="s">
        <v>36</v>
      </c>
      <c r="M83" s="3610" t="s">
        <v>83</v>
      </c>
      <c r="N83" s="3614" t="s">
        <v>83</v>
      </c>
      <c r="O83" s="3614">
        <v>8</v>
      </c>
      <c r="P83" s="3614">
        <v>8</v>
      </c>
      <c r="Q83" s="3610">
        <v>8</v>
      </c>
      <c r="R83" s="3610">
        <v>8</v>
      </c>
      <c r="S83" s="3610">
        <v>8</v>
      </c>
      <c r="T83" s="3610"/>
      <c r="U83" s="3610"/>
      <c r="V83" s="3629" t="s">
        <v>36</v>
      </c>
      <c r="W83" s="3629" t="s">
        <v>36</v>
      </c>
      <c r="X83" s="3610" t="s">
        <v>36</v>
      </c>
      <c r="Y83" s="3528" t="s">
        <v>36</v>
      </c>
      <c r="Z83" s="3610" t="s">
        <v>36</v>
      </c>
      <c r="AA83" s="3610"/>
      <c r="AB83" s="3610"/>
      <c r="AC83" s="3610">
        <v>5</v>
      </c>
      <c r="AD83" s="3610">
        <v>5</v>
      </c>
      <c r="AE83" s="3610">
        <v>5</v>
      </c>
      <c r="AF83" s="3610">
        <v>5</v>
      </c>
      <c r="AG83" s="3610">
        <v>5</v>
      </c>
      <c r="AH83" s="1"/>
      <c r="AJ83" s="4077"/>
      <c r="AK83" s="4077"/>
      <c r="AL83" s="4077"/>
      <c r="AM83" s="4078" t="str">
        <f t="shared" si="7"/>
        <v/>
      </c>
      <c r="AN83" s="4078"/>
    </row>
    <row r="84" spans="1:40" ht="22.35" customHeight="1" x14ac:dyDescent="0.2">
      <c r="A84" s="977"/>
      <c r="B84" s="4037"/>
      <c r="C84" s="4077"/>
      <c r="D84" s="4077"/>
      <c r="E84" s="4077"/>
      <c r="F84" s="4077"/>
      <c r="G84" s="4077"/>
      <c r="H84" s="4077"/>
      <c r="I84" s="4077"/>
      <c r="J84" s="4077"/>
      <c r="K84" s="4077"/>
      <c r="L84" s="4077"/>
      <c r="M84" s="4077"/>
      <c r="N84" s="4077"/>
      <c r="O84" s="4077"/>
      <c r="P84" s="4077"/>
      <c r="Q84" s="4077"/>
      <c r="R84" s="4077"/>
      <c r="S84" s="4077"/>
      <c r="T84" s="4077"/>
      <c r="U84" s="4077"/>
      <c r="V84" s="4077"/>
      <c r="W84" s="4077"/>
      <c r="X84" s="4077"/>
      <c r="Y84" s="4077"/>
      <c r="Z84" s="4077"/>
      <c r="AA84" s="4077"/>
      <c r="AB84" s="4077"/>
      <c r="AC84" s="4077"/>
      <c r="AD84" s="4077"/>
      <c r="AE84" s="4077"/>
      <c r="AF84" s="4077"/>
      <c r="AG84" s="1312"/>
      <c r="AH84" s="1"/>
      <c r="AJ84" s="4077"/>
      <c r="AK84" s="4077"/>
      <c r="AL84" s="4077"/>
      <c r="AM84" s="4078" t="str">
        <f t="shared" si="7"/>
        <v/>
      </c>
      <c r="AN84" s="4078"/>
    </row>
    <row r="85" spans="1:40" ht="22.35" customHeight="1" x14ac:dyDescent="0.2">
      <c r="A85" s="977"/>
      <c r="B85" s="4037"/>
      <c r="C85" s="4077"/>
      <c r="D85" s="4077"/>
      <c r="E85" s="4077"/>
      <c r="F85" s="4077"/>
      <c r="G85" s="4077"/>
      <c r="H85" s="4077"/>
      <c r="I85" s="4077"/>
      <c r="J85" s="4077"/>
      <c r="K85" s="4077"/>
      <c r="L85" s="4077"/>
      <c r="M85" s="4077"/>
      <c r="N85" s="4077"/>
      <c r="O85" s="4077"/>
      <c r="P85" s="4077"/>
      <c r="Q85" s="4077"/>
      <c r="R85" s="4077"/>
      <c r="S85" s="4077"/>
      <c r="T85" s="4077"/>
      <c r="U85" s="4077"/>
      <c r="V85" s="4077"/>
      <c r="W85" s="4077"/>
      <c r="X85" s="4077"/>
      <c r="Y85" s="4077"/>
      <c r="Z85" s="4077"/>
      <c r="AA85" s="4077"/>
      <c r="AB85" s="4077"/>
      <c r="AC85" s="4077"/>
      <c r="AD85" s="4077"/>
      <c r="AE85" s="4077"/>
      <c r="AF85" s="4077"/>
      <c r="AG85" s="1312"/>
      <c r="AH85" s="1"/>
      <c r="AJ85" s="4077"/>
      <c r="AK85" s="4077"/>
      <c r="AL85" s="4077"/>
      <c r="AM85" s="4078" t="str">
        <f t="shared" si="7"/>
        <v/>
      </c>
      <c r="AN85" s="4078"/>
    </row>
    <row r="86" spans="1:40" ht="22.35" customHeight="1" x14ac:dyDescent="0.2">
      <c r="A86" s="977"/>
      <c r="B86" s="4037"/>
      <c r="C86" s="4039"/>
      <c r="D86" s="4039"/>
      <c r="E86" s="4039"/>
      <c r="F86" s="4085"/>
      <c r="G86" s="4085"/>
      <c r="H86" s="4038"/>
      <c r="I86" s="4038"/>
      <c r="J86" s="4038"/>
      <c r="K86" s="4038"/>
      <c r="L86" s="4038"/>
      <c r="M86" s="4038"/>
      <c r="N86" s="4038"/>
      <c r="O86" s="4038"/>
      <c r="P86" s="4038"/>
      <c r="Q86" s="4038"/>
      <c r="R86" s="4038"/>
      <c r="S86" s="4038"/>
      <c r="T86" s="4038"/>
      <c r="U86" s="4038"/>
      <c r="V86" s="4038"/>
      <c r="W86" s="4038"/>
      <c r="X86" s="4038"/>
      <c r="Y86" s="4038"/>
      <c r="Z86" s="4038"/>
      <c r="AA86" s="4038"/>
      <c r="AB86" s="4038"/>
      <c r="AC86" s="4038"/>
      <c r="AD86" s="4038"/>
      <c r="AE86" s="4038"/>
      <c r="AF86" s="4038"/>
      <c r="AG86" s="4042"/>
      <c r="AH86" s="1"/>
      <c r="AJ86" s="4077"/>
      <c r="AK86" s="4077"/>
      <c r="AL86" s="4077"/>
      <c r="AM86" s="4078" t="str">
        <f t="shared" si="7"/>
        <v/>
      </c>
      <c r="AN86" s="4078"/>
    </row>
    <row r="87" spans="1:40" ht="22.35" customHeight="1" x14ac:dyDescent="0.2">
      <c r="A87" s="3701"/>
      <c r="B87" s="4037"/>
      <c r="C87" s="4039"/>
      <c r="D87" s="4039"/>
      <c r="E87" s="4039"/>
      <c r="F87" s="4085"/>
      <c r="G87" s="4085"/>
      <c r="H87" s="4038"/>
      <c r="I87" s="4038"/>
      <c r="J87" s="4038"/>
      <c r="K87" s="4038"/>
      <c r="L87" s="4038"/>
      <c r="M87" s="4038"/>
      <c r="N87" s="4038"/>
      <c r="O87" s="4038"/>
      <c r="P87" s="4038"/>
      <c r="Q87" s="4038"/>
      <c r="R87" s="4038"/>
      <c r="S87" s="4038"/>
      <c r="T87" s="4038"/>
      <c r="U87" s="4038"/>
      <c r="V87" s="4038"/>
      <c r="W87" s="4038"/>
      <c r="X87" s="4038"/>
      <c r="Y87" s="4038"/>
      <c r="Z87" s="4038"/>
      <c r="AA87" s="4038"/>
      <c r="AB87" s="4038"/>
      <c r="AC87" s="4038"/>
      <c r="AD87" s="4038"/>
      <c r="AE87" s="4038"/>
      <c r="AF87" s="4038"/>
      <c r="AG87" s="4042"/>
      <c r="AH87" s="1"/>
      <c r="AJ87" s="4077"/>
      <c r="AK87" s="4077"/>
      <c r="AL87" s="4077"/>
      <c r="AM87" s="4078" t="str">
        <f t="shared" si="7"/>
        <v/>
      </c>
      <c r="AN87" s="4078"/>
    </row>
    <row r="88" spans="1:40" ht="22.35" customHeight="1" x14ac:dyDescent="0.2">
      <c r="A88" s="3701"/>
      <c r="B88" s="4037"/>
      <c r="C88" s="4039"/>
      <c r="D88" s="4039"/>
      <c r="E88" s="4039"/>
      <c r="F88" s="4085"/>
      <c r="G88" s="4085"/>
      <c r="H88" s="4038"/>
      <c r="I88" s="4038"/>
      <c r="J88" s="4038"/>
      <c r="K88" s="4038"/>
      <c r="L88" s="4038"/>
      <c r="M88" s="4038"/>
      <c r="N88" s="4038"/>
      <c r="O88" s="4038"/>
      <c r="P88" s="4038"/>
      <c r="Q88" s="4038"/>
      <c r="R88" s="4038"/>
      <c r="S88" s="4038"/>
      <c r="T88" s="4038"/>
      <c r="U88" s="4038"/>
      <c r="V88" s="4038"/>
      <c r="W88" s="4038"/>
      <c r="X88" s="4038"/>
      <c r="Y88" s="4038"/>
      <c r="Z88" s="4038"/>
      <c r="AA88" s="4038"/>
      <c r="AB88" s="4038"/>
      <c r="AC88" s="4038"/>
      <c r="AD88" s="4038"/>
      <c r="AE88" s="4038"/>
      <c r="AF88" s="4038"/>
      <c r="AG88" s="4042"/>
      <c r="AH88" s="1"/>
      <c r="AJ88" s="4077"/>
      <c r="AK88" s="4077"/>
      <c r="AL88" s="4077"/>
      <c r="AM88" s="4078" t="str">
        <f t="shared" si="7"/>
        <v/>
      </c>
      <c r="AN88" s="4078"/>
    </row>
    <row r="89" spans="1:40" ht="22.35" customHeight="1" thickBot="1" x14ac:dyDescent="0.25">
      <c r="A89" s="979"/>
      <c r="B89" s="1091"/>
      <c r="C89" s="3858"/>
      <c r="D89" s="3858"/>
      <c r="E89" s="3858"/>
      <c r="F89" s="1693"/>
      <c r="G89" s="1693"/>
      <c r="H89" s="1093"/>
      <c r="I89" s="1093"/>
      <c r="J89" s="1093"/>
      <c r="K89" s="1093"/>
      <c r="L89" s="1093"/>
      <c r="M89" s="1093"/>
      <c r="N89" s="1093"/>
      <c r="O89" s="1093"/>
      <c r="P89" s="1093"/>
      <c r="Q89" s="1093"/>
      <c r="R89" s="1093"/>
      <c r="S89" s="1093"/>
      <c r="T89" s="1093"/>
      <c r="U89" s="1093"/>
      <c r="V89" s="1093"/>
      <c r="W89" s="1093"/>
      <c r="X89" s="1093"/>
      <c r="Y89" s="1093"/>
      <c r="Z89" s="1093"/>
      <c r="AA89" s="1093"/>
      <c r="AB89" s="1093"/>
      <c r="AC89" s="1093"/>
      <c r="AD89" s="1093"/>
      <c r="AE89" s="1093"/>
      <c r="AF89" s="1093"/>
      <c r="AG89" s="3859"/>
      <c r="AH89" s="1"/>
      <c r="AJ89" s="4077"/>
      <c r="AK89" s="4077"/>
      <c r="AL89" s="4077"/>
      <c r="AM89" s="4078" t="str">
        <f t="shared" si="7"/>
        <v/>
      </c>
      <c r="AN89" s="4078"/>
    </row>
    <row r="90" spans="1:40" ht="22.35" customHeight="1" thickBot="1" x14ac:dyDescent="0.25">
      <c r="A90" s="64"/>
      <c r="B90" s="4175" t="s">
        <v>150</v>
      </c>
      <c r="C90" s="4032">
        <v>1</v>
      </c>
      <c r="D90" s="4032">
        <v>2</v>
      </c>
      <c r="E90" s="4032">
        <v>3</v>
      </c>
      <c r="F90" s="4033">
        <v>4</v>
      </c>
      <c r="G90" s="4033">
        <v>5</v>
      </c>
      <c r="H90" s="4032">
        <v>6</v>
      </c>
      <c r="I90" s="4032">
        <v>7</v>
      </c>
      <c r="J90" s="4032">
        <v>8</v>
      </c>
      <c r="K90" s="4032">
        <v>9</v>
      </c>
      <c r="L90" s="4032">
        <v>10</v>
      </c>
      <c r="M90" s="4033">
        <v>11</v>
      </c>
      <c r="N90" s="4033">
        <v>12</v>
      </c>
      <c r="O90" s="4032">
        <v>13</v>
      </c>
      <c r="P90" s="4032">
        <v>14</v>
      </c>
      <c r="Q90" s="4032">
        <v>15</v>
      </c>
      <c r="R90" s="4032">
        <v>16</v>
      </c>
      <c r="S90" s="4032">
        <v>17</v>
      </c>
      <c r="T90" s="4033">
        <v>18</v>
      </c>
      <c r="U90" s="4033">
        <v>19</v>
      </c>
      <c r="V90" s="4032">
        <v>20</v>
      </c>
      <c r="W90" s="4032">
        <v>21</v>
      </c>
      <c r="X90" s="4032">
        <v>22</v>
      </c>
      <c r="Y90" s="4032">
        <v>23</v>
      </c>
      <c r="Z90" s="4032">
        <v>24</v>
      </c>
      <c r="AA90" s="4033">
        <v>25</v>
      </c>
      <c r="AB90" s="4033">
        <v>26</v>
      </c>
      <c r="AC90" s="4032">
        <v>27</v>
      </c>
      <c r="AD90" s="4032">
        <v>28</v>
      </c>
      <c r="AE90" s="4032">
        <v>29</v>
      </c>
      <c r="AF90" s="4032">
        <v>30</v>
      </c>
      <c r="AG90" s="4034">
        <v>31</v>
      </c>
      <c r="AH90" s="1"/>
      <c r="AJ90" s="3706"/>
      <c r="AK90" s="3706"/>
      <c r="AL90" s="3706"/>
      <c r="AM90" s="3707"/>
      <c r="AN90" s="3707"/>
    </row>
    <row r="91" spans="1:40" ht="22.35" customHeight="1" thickBot="1" x14ac:dyDescent="0.25">
      <c r="A91" s="4176"/>
      <c r="B91" s="481" t="s">
        <v>479</v>
      </c>
      <c r="C91" s="482" t="s">
        <v>352</v>
      </c>
      <c r="D91" s="483">
        <v>7</v>
      </c>
      <c r="E91" s="482" t="s">
        <v>352</v>
      </c>
      <c r="F91" s="484"/>
      <c r="G91" s="484"/>
      <c r="H91" s="484">
        <v>3</v>
      </c>
      <c r="I91" s="484" t="s">
        <v>32</v>
      </c>
      <c r="J91" s="484">
        <v>3</v>
      </c>
      <c r="K91" s="484">
        <v>3</v>
      </c>
      <c r="L91" s="484">
        <v>3</v>
      </c>
      <c r="M91" s="484"/>
      <c r="N91" s="484"/>
      <c r="O91" s="484">
        <v>3</v>
      </c>
      <c r="P91" s="484" t="s">
        <v>32</v>
      </c>
      <c r="Q91" s="484">
        <v>3</v>
      </c>
      <c r="R91" s="484">
        <v>3</v>
      </c>
      <c r="S91" s="484">
        <v>3</v>
      </c>
      <c r="T91" s="482"/>
      <c r="U91" s="482"/>
      <c r="V91" s="485" t="s">
        <v>32</v>
      </c>
      <c r="W91" s="482" t="s">
        <v>32</v>
      </c>
      <c r="X91" s="482" t="s">
        <v>346</v>
      </c>
      <c r="Y91" s="484">
        <v>11</v>
      </c>
      <c r="Z91" s="482" t="s">
        <v>346</v>
      </c>
      <c r="AA91" s="482" t="s">
        <v>94</v>
      </c>
      <c r="AB91" s="482" t="s">
        <v>94</v>
      </c>
      <c r="AC91" s="482" t="s">
        <v>36</v>
      </c>
      <c r="AD91" s="482" t="s">
        <v>36</v>
      </c>
      <c r="AE91" s="483" t="s">
        <v>36</v>
      </c>
      <c r="AF91" s="482" t="s">
        <v>36</v>
      </c>
      <c r="AG91" s="486" t="s">
        <v>36</v>
      </c>
      <c r="AH91" s="1"/>
      <c r="AJ91" s="190"/>
      <c r="AK91" s="190"/>
      <c r="AL91" s="190"/>
      <c r="AM91" s="328"/>
      <c r="AN91" s="328"/>
    </row>
    <row r="92" spans="1:40" ht="22.35" customHeight="1" x14ac:dyDescent="0.2">
      <c r="A92" s="324"/>
      <c r="AH92" s="1"/>
      <c r="AJ92" s="190"/>
      <c r="AK92" s="190"/>
      <c r="AL92" s="190"/>
      <c r="AM92" s="190"/>
      <c r="AN92" s="190"/>
    </row>
    <row r="93" spans="1:40" ht="22.35" customHeight="1" x14ac:dyDescent="0.2">
      <c r="A93" s="3715"/>
      <c r="AH93" s="1"/>
    </row>
    <row r="94" spans="1:40" ht="22.35" customHeight="1" thickBot="1" x14ac:dyDescent="0.25">
      <c r="A94" s="3715"/>
      <c r="B94" s="4107" t="s">
        <v>29</v>
      </c>
      <c r="C94" s="4032">
        <v>1</v>
      </c>
      <c r="D94" s="4032">
        <v>2</v>
      </c>
      <c r="E94" s="4032">
        <v>3</v>
      </c>
      <c r="F94" s="4033">
        <v>4</v>
      </c>
      <c r="G94" s="4033">
        <v>5</v>
      </c>
      <c r="H94" s="4032">
        <v>6</v>
      </c>
      <c r="I94" s="4032">
        <v>7</v>
      </c>
      <c r="J94" s="4032">
        <v>8</v>
      </c>
      <c r="K94" s="4032">
        <v>9</v>
      </c>
      <c r="L94" s="4032">
        <v>10</v>
      </c>
      <c r="M94" s="4033">
        <v>11</v>
      </c>
      <c r="N94" s="4033">
        <v>12</v>
      </c>
      <c r="O94" s="4032">
        <v>13</v>
      </c>
      <c r="P94" s="4032">
        <v>14</v>
      </c>
      <c r="Q94" s="4032">
        <v>15</v>
      </c>
      <c r="R94" s="4032">
        <v>16</v>
      </c>
      <c r="S94" s="4032">
        <v>17</v>
      </c>
      <c r="T94" s="4033">
        <v>18</v>
      </c>
      <c r="U94" s="4033">
        <v>19</v>
      </c>
      <c r="V94" s="4032">
        <v>20</v>
      </c>
      <c r="W94" s="4032">
        <v>21</v>
      </c>
      <c r="X94" s="4032">
        <v>22</v>
      </c>
      <c r="Y94" s="4032">
        <v>23</v>
      </c>
      <c r="Z94" s="4032">
        <v>24</v>
      </c>
      <c r="AA94" s="4033">
        <v>25</v>
      </c>
      <c r="AB94" s="4033">
        <v>26</v>
      </c>
      <c r="AC94" s="4032">
        <v>27</v>
      </c>
      <c r="AD94" s="4032">
        <v>28</v>
      </c>
      <c r="AE94" s="4032">
        <v>29</v>
      </c>
      <c r="AF94" s="4032">
        <v>30</v>
      </c>
      <c r="AG94" s="4034">
        <v>31</v>
      </c>
      <c r="AH94" s="1"/>
    </row>
    <row r="95" spans="1:40" ht="22.35" customHeight="1" x14ac:dyDescent="0.2">
      <c r="A95" s="3715"/>
      <c r="B95" s="4177" t="s">
        <v>152</v>
      </c>
      <c r="C95" s="4111"/>
      <c r="D95" s="4178"/>
      <c r="E95" s="4111"/>
      <c r="F95" s="4111"/>
      <c r="G95" s="4111"/>
      <c r="H95" s="4111"/>
      <c r="I95" s="4111"/>
      <c r="J95" s="4111"/>
      <c r="K95" s="4111"/>
      <c r="L95" s="4111"/>
      <c r="M95" s="4111"/>
      <c r="N95" s="4111"/>
      <c r="O95" s="4111"/>
      <c r="P95" s="4111"/>
      <c r="Q95" s="4111"/>
      <c r="R95" s="4111"/>
      <c r="S95" s="4111"/>
      <c r="T95" s="4111"/>
      <c r="U95" s="4111"/>
      <c r="V95" s="4111"/>
      <c r="W95" s="4111"/>
      <c r="X95" s="4111"/>
      <c r="Y95" s="4111"/>
      <c r="Z95" s="4111"/>
      <c r="AA95" s="4111"/>
      <c r="AB95" s="4111"/>
      <c r="AC95" s="4111"/>
      <c r="AD95" s="4111"/>
      <c r="AE95" s="4111"/>
      <c r="AF95" s="4111"/>
      <c r="AG95" s="4134"/>
      <c r="AH95" s="1"/>
    </row>
    <row r="96" spans="1:40" ht="22.35" customHeight="1" x14ac:dyDescent="0.2">
      <c r="A96" s="3715"/>
      <c r="B96" s="4054" t="s">
        <v>480</v>
      </c>
      <c r="C96" s="3675" t="s">
        <v>58</v>
      </c>
      <c r="D96" s="3675">
        <v>79</v>
      </c>
      <c r="E96" s="3675">
        <v>69</v>
      </c>
      <c r="F96" s="4047"/>
      <c r="G96" s="4047"/>
      <c r="H96" s="3690"/>
      <c r="I96" s="3690"/>
      <c r="J96" s="3690"/>
      <c r="K96" s="3690"/>
      <c r="L96" s="3690"/>
      <c r="M96" s="3690"/>
      <c r="N96" s="3690"/>
      <c r="O96" s="3690"/>
      <c r="P96" s="3690"/>
      <c r="Q96" s="3690"/>
      <c r="R96" s="3690"/>
      <c r="S96" s="3690"/>
      <c r="T96" s="4066"/>
      <c r="U96" s="3690"/>
      <c r="V96" s="3690"/>
      <c r="W96" s="3690"/>
      <c r="X96" s="3690"/>
      <c r="Y96" s="3690"/>
      <c r="Z96" s="3690"/>
      <c r="AA96" s="3690"/>
      <c r="AB96" s="3690"/>
      <c r="AC96" s="3690"/>
      <c r="AD96" s="3690"/>
      <c r="AE96" s="3690"/>
      <c r="AF96" s="3690"/>
      <c r="AG96" s="3717"/>
      <c r="AH96" s="1"/>
    </row>
    <row r="97" spans="1:40" ht="22.35" customHeight="1" x14ac:dyDescent="0.2">
      <c r="A97" s="197"/>
      <c r="B97" s="335" t="s">
        <v>481</v>
      </c>
      <c r="C97" s="3675">
        <v>79</v>
      </c>
      <c r="D97" s="3675" t="s">
        <v>32</v>
      </c>
      <c r="E97" s="3675" t="s">
        <v>58</v>
      </c>
      <c r="F97" s="4066"/>
      <c r="G97" s="4066"/>
      <c r="H97" s="4066"/>
      <c r="I97" s="4066"/>
      <c r="J97" s="4066"/>
      <c r="K97" s="4066"/>
      <c r="L97" s="4066"/>
      <c r="M97" s="4066"/>
      <c r="N97" s="4066"/>
      <c r="O97" s="4066"/>
      <c r="P97" s="4066"/>
      <c r="Q97" s="4066"/>
      <c r="R97" s="4066"/>
      <c r="S97" s="4066"/>
      <c r="T97" s="4066"/>
      <c r="U97" s="4066"/>
      <c r="V97" s="4066"/>
      <c r="W97" s="4066"/>
      <c r="X97" s="4066"/>
      <c r="Y97" s="4066"/>
      <c r="Z97" s="4066"/>
      <c r="AA97" s="4066"/>
      <c r="AB97" s="4066"/>
      <c r="AC97" s="4066"/>
      <c r="AD97" s="4066"/>
      <c r="AE97" s="4066"/>
      <c r="AF97" s="4066"/>
      <c r="AG97" s="3606"/>
      <c r="AH97" s="1"/>
    </row>
    <row r="98" spans="1:40" ht="22.35" customHeight="1" thickBot="1" x14ac:dyDescent="0.25">
      <c r="A98" s="197"/>
      <c r="B98" s="3608" t="s">
        <v>482</v>
      </c>
      <c r="C98" s="4168" t="s">
        <v>58</v>
      </c>
      <c r="D98" s="3675" t="s">
        <v>32</v>
      </c>
      <c r="E98" s="4168">
        <v>69</v>
      </c>
      <c r="F98" s="3721"/>
      <c r="G98" s="3721"/>
      <c r="H98" s="3721"/>
      <c r="I98" s="3721"/>
      <c r="J98" s="3721"/>
      <c r="K98" s="3721"/>
      <c r="L98" s="3721"/>
      <c r="M98" s="3721"/>
      <c r="N98" s="3721"/>
      <c r="O98" s="3721"/>
      <c r="P98" s="3721"/>
      <c r="Q98" s="3721"/>
      <c r="R98" s="3721"/>
      <c r="S98" s="3721"/>
      <c r="T98" s="3721"/>
      <c r="U98" s="3721"/>
      <c r="V98" s="3721"/>
      <c r="W98" s="3721"/>
      <c r="X98" s="3721"/>
      <c r="Y98" s="3721"/>
      <c r="Z98" s="3721"/>
      <c r="AA98" s="3721"/>
      <c r="AB98" s="3721"/>
      <c r="AC98" s="3721"/>
      <c r="AD98" s="3721"/>
      <c r="AE98" s="3721"/>
      <c r="AF98" s="3721"/>
      <c r="AG98" s="4034"/>
      <c r="AH98" s="1"/>
    </row>
    <row r="99" spans="1:40" ht="22.35" customHeight="1" thickBot="1" x14ac:dyDescent="0.25">
      <c r="A99" s="345" t="s">
        <v>395</v>
      </c>
      <c r="B99" s="198"/>
      <c r="C99" s="218"/>
      <c r="D99" s="218"/>
      <c r="E99" s="218"/>
      <c r="F99" s="218"/>
      <c r="G99" s="218"/>
      <c r="H99" s="218"/>
      <c r="I99" s="218"/>
      <c r="J99" s="218"/>
      <c r="K99" s="218"/>
      <c r="L99" s="218"/>
      <c r="M99" s="218"/>
      <c r="N99" s="218"/>
      <c r="O99" s="218"/>
      <c r="P99" s="218"/>
      <c r="Q99" s="218"/>
      <c r="R99" s="218"/>
      <c r="S99" s="218"/>
      <c r="T99" s="218"/>
      <c r="U99" s="218"/>
      <c r="V99" s="218"/>
      <c r="W99" s="218"/>
      <c r="X99" s="218"/>
      <c r="Y99" s="218"/>
      <c r="Z99" s="218"/>
      <c r="AA99" s="218"/>
      <c r="AB99" s="218"/>
      <c r="AC99" s="218"/>
      <c r="AD99" s="218"/>
      <c r="AE99" s="218"/>
      <c r="AF99" s="218"/>
      <c r="AG99" s="199"/>
      <c r="AH99" s="1"/>
    </row>
    <row r="100" spans="1:40" ht="22.35" customHeight="1" thickBot="1" x14ac:dyDescent="0.3">
      <c r="A100" s="197"/>
      <c r="B100" s="346" t="s">
        <v>411</v>
      </c>
      <c r="C100" s="347"/>
      <c r="D100" s="347"/>
      <c r="E100" s="348" t="s">
        <v>456</v>
      </c>
      <c r="F100" s="347"/>
      <c r="G100" s="347"/>
      <c r="H100" s="347"/>
      <c r="I100" s="347"/>
      <c r="J100" s="347"/>
      <c r="K100" s="348" t="s">
        <v>457</v>
      </c>
      <c r="L100" s="347"/>
      <c r="M100" s="347"/>
      <c r="N100" s="347"/>
      <c r="O100" s="347"/>
      <c r="P100" s="347"/>
      <c r="Q100" s="348" t="s">
        <v>458</v>
      </c>
      <c r="R100" s="347"/>
      <c r="S100" s="347"/>
      <c r="T100" s="349"/>
      <c r="U100" s="170"/>
      <c r="V100" s="170"/>
      <c r="W100" s="170"/>
      <c r="X100" s="170"/>
      <c r="Y100" s="170"/>
      <c r="Z100" s="170"/>
      <c r="AA100" s="170"/>
      <c r="AB100" s="170"/>
      <c r="AC100" s="170"/>
      <c r="AD100" s="170"/>
      <c r="AE100" s="170"/>
      <c r="AF100" s="170"/>
      <c r="AG100" s="170"/>
      <c r="AH100" s="1"/>
    </row>
    <row r="101" spans="1:40" ht="22.35" customHeight="1" thickBot="1" x14ac:dyDescent="0.3">
      <c r="A101" s="197"/>
      <c r="B101" s="346" t="s">
        <v>415</v>
      </c>
      <c r="C101" s="347"/>
      <c r="D101" s="347"/>
      <c r="E101" s="350" t="s">
        <v>459</v>
      </c>
      <c r="F101" s="347"/>
      <c r="G101" s="347"/>
      <c r="H101" s="347"/>
      <c r="I101" s="347"/>
      <c r="J101" s="347"/>
      <c r="K101" s="347" t="s">
        <v>460</v>
      </c>
      <c r="L101" s="347"/>
      <c r="M101" s="347"/>
      <c r="N101" s="347"/>
      <c r="O101" s="347"/>
      <c r="P101" s="347"/>
      <c r="Q101" s="347"/>
      <c r="R101" s="347"/>
      <c r="S101" s="347"/>
      <c r="T101" s="349"/>
      <c r="U101" s="170"/>
      <c r="V101" s="170"/>
      <c r="W101" s="170"/>
      <c r="X101" s="170"/>
      <c r="Y101" s="170"/>
      <c r="Z101" s="170"/>
      <c r="AA101" s="170"/>
      <c r="AB101" s="170"/>
      <c r="AC101" s="170"/>
      <c r="AD101" s="170"/>
      <c r="AE101" s="170"/>
      <c r="AF101" s="170"/>
      <c r="AG101" s="170"/>
      <c r="AH101" s="1"/>
    </row>
    <row r="102" spans="1:40" ht="22.35" customHeight="1" thickBot="1" x14ac:dyDescent="0.3">
      <c r="A102" s="197"/>
      <c r="B102" s="346"/>
      <c r="C102" s="347"/>
      <c r="D102" s="347"/>
      <c r="E102" s="350" t="s">
        <v>418</v>
      </c>
      <c r="F102" s="347"/>
      <c r="G102" s="347"/>
      <c r="H102" s="347"/>
      <c r="I102" s="347"/>
      <c r="J102" s="347"/>
      <c r="K102" s="369" t="s">
        <v>17</v>
      </c>
      <c r="L102" s="351"/>
      <c r="M102" s="351"/>
      <c r="N102" s="351"/>
      <c r="O102" s="351"/>
      <c r="P102" s="351"/>
      <c r="Q102" s="351"/>
      <c r="R102" s="351"/>
      <c r="S102" s="351"/>
      <c r="T102" s="352"/>
      <c r="U102" s="170"/>
      <c r="V102" s="170"/>
      <c r="W102" s="170"/>
      <c r="X102" s="170"/>
      <c r="Y102" s="170"/>
      <c r="Z102" s="170"/>
      <c r="AA102" s="170"/>
      <c r="AB102" s="170"/>
      <c r="AC102" s="170"/>
      <c r="AD102" s="170"/>
      <c r="AE102" s="170"/>
      <c r="AF102" s="170"/>
      <c r="AG102" s="170"/>
      <c r="AH102" s="1"/>
    </row>
    <row r="103" spans="1:40" ht="22.35" customHeight="1" x14ac:dyDescent="0.25">
      <c r="A103" s="197"/>
      <c r="B103" s="170"/>
      <c r="C103" s="170"/>
      <c r="D103" s="170"/>
      <c r="E103" s="370"/>
      <c r="F103" s="170"/>
      <c r="G103" s="170"/>
      <c r="H103" s="170"/>
      <c r="I103" s="170"/>
      <c r="J103" s="170"/>
      <c r="K103" s="370"/>
      <c r="L103" s="170"/>
      <c r="M103" s="170"/>
      <c r="N103" s="170"/>
      <c r="O103" s="170"/>
      <c r="P103" s="170"/>
      <c r="Q103" s="170"/>
      <c r="R103" s="170"/>
      <c r="S103" s="170"/>
      <c r="T103" s="170"/>
      <c r="U103" s="170"/>
      <c r="V103" s="170"/>
      <c r="W103" s="170"/>
      <c r="X103" s="170"/>
      <c r="Y103" s="170"/>
      <c r="Z103" s="170"/>
      <c r="AA103" s="170"/>
      <c r="AB103" s="170"/>
      <c r="AC103" s="170"/>
      <c r="AD103" s="170"/>
      <c r="AE103" s="170"/>
      <c r="AF103" s="170"/>
      <c r="AG103" s="170"/>
      <c r="AH103" s="1"/>
    </row>
    <row r="104" spans="1:40" ht="22.35" customHeight="1" thickBot="1" x14ac:dyDescent="0.3">
      <c r="A104" s="197"/>
      <c r="B104" s="4179" t="s">
        <v>29</v>
      </c>
      <c r="C104" s="4032">
        <v>1</v>
      </c>
      <c r="D104" s="4032">
        <v>2</v>
      </c>
      <c r="E104" s="4032">
        <v>3</v>
      </c>
      <c r="F104" s="4033">
        <v>4</v>
      </c>
      <c r="G104" s="4033">
        <v>5</v>
      </c>
      <c r="H104" s="4032">
        <v>6</v>
      </c>
      <c r="I104" s="4032">
        <v>7</v>
      </c>
      <c r="J104" s="4032">
        <v>8</v>
      </c>
      <c r="K104" s="4032">
        <v>9</v>
      </c>
      <c r="L104" s="4032">
        <v>10</v>
      </c>
      <c r="M104" s="4033">
        <v>11</v>
      </c>
      <c r="N104" s="4033">
        <v>12</v>
      </c>
      <c r="O104" s="4032">
        <v>13</v>
      </c>
      <c r="P104" s="4032">
        <v>14</v>
      </c>
      <c r="Q104" s="4032">
        <v>15</v>
      </c>
      <c r="R104" s="4032">
        <v>16</v>
      </c>
      <c r="S104" s="4032">
        <v>17</v>
      </c>
      <c r="T104" s="4033">
        <v>18</v>
      </c>
      <c r="U104" s="4033">
        <v>19</v>
      </c>
      <c r="V104" s="4032">
        <v>20</v>
      </c>
      <c r="W104" s="4032">
        <v>21</v>
      </c>
      <c r="X104" s="4032">
        <v>22</v>
      </c>
      <c r="Y104" s="4032">
        <v>23</v>
      </c>
      <c r="Z104" s="4032">
        <v>24</v>
      </c>
      <c r="AA104" s="4033">
        <v>25</v>
      </c>
      <c r="AB104" s="4033">
        <v>26</v>
      </c>
      <c r="AC104" s="4032">
        <v>27</v>
      </c>
      <c r="AD104" s="4032">
        <v>28</v>
      </c>
      <c r="AE104" s="4032">
        <v>29</v>
      </c>
      <c r="AF104" s="4032">
        <v>30</v>
      </c>
      <c r="AG104" s="4034">
        <v>31</v>
      </c>
      <c r="AH104" s="1"/>
      <c r="AJ104" s="4035" t="s">
        <v>30</v>
      </c>
      <c r="AK104" s="4035" t="s">
        <v>44</v>
      </c>
      <c r="AL104" s="4035" t="s">
        <v>45</v>
      </c>
      <c r="AM104" s="4035" t="s">
        <v>46</v>
      </c>
      <c r="AN104" s="4035" t="s">
        <v>47</v>
      </c>
    </row>
    <row r="105" spans="1:40" ht="22.35" customHeight="1" thickBot="1" x14ac:dyDescent="0.25">
      <c r="B105" s="4180" t="s">
        <v>419</v>
      </c>
      <c r="C105" s="4181" t="s">
        <v>36</v>
      </c>
      <c r="D105" s="4182" t="s">
        <v>36</v>
      </c>
      <c r="E105" s="4181" t="s">
        <v>36</v>
      </c>
      <c r="F105" s="4147" t="s">
        <v>405</v>
      </c>
      <c r="G105" s="4147" t="s">
        <v>405</v>
      </c>
      <c r="H105" s="4063" t="s">
        <v>398</v>
      </c>
      <c r="I105" s="4063" t="s">
        <v>398</v>
      </c>
      <c r="J105" s="4183" t="s">
        <v>398</v>
      </c>
      <c r="K105" s="4063" t="s">
        <v>398</v>
      </c>
      <c r="L105" s="4063" t="s">
        <v>398</v>
      </c>
      <c r="M105" s="4063"/>
      <c r="N105" s="4063"/>
      <c r="O105" s="4063" t="s">
        <v>420</v>
      </c>
      <c r="P105" s="4063" t="s">
        <v>420</v>
      </c>
      <c r="Q105" s="4063" t="s">
        <v>420</v>
      </c>
      <c r="R105" s="4063" t="s">
        <v>420</v>
      </c>
      <c r="S105" s="4063" t="s">
        <v>420</v>
      </c>
      <c r="T105" s="4181" t="s">
        <v>0</v>
      </c>
      <c r="U105" s="4181" t="s">
        <v>0</v>
      </c>
      <c r="V105" s="4184" t="s">
        <v>36</v>
      </c>
      <c r="W105" s="4181" t="s">
        <v>36</v>
      </c>
      <c r="X105" s="4181" t="s">
        <v>36</v>
      </c>
      <c r="Y105" s="4063" t="s">
        <v>36</v>
      </c>
      <c r="Z105" s="4181" t="s">
        <v>36</v>
      </c>
      <c r="AA105" s="4181"/>
      <c r="AB105" s="4181"/>
      <c r="AC105" s="4185" t="s">
        <v>400</v>
      </c>
      <c r="AD105" s="4185" t="s">
        <v>400</v>
      </c>
      <c r="AE105" s="4186" t="s">
        <v>400</v>
      </c>
      <c r="AF105" s="4185" t="s">
        <v>400</v>
      </c>
      <c r="AG105" s="4187" t="s">
        <v>400</v>
      </c>
      <c r="AH105" s="1"/>
      <c r="AJ105" s="4077">
        <f>$AJ$12</f>
        <v>160.33000000000001</v>
      </c>
      <c r="AK105" s="4077"/>
      <c r="AL105" s="4077">
        <v>147</v>
      </c>
      <c r="AM105" s="4078">
        <f t="shared" ref="AM105:AM109" si="8">IF(AJ105="","",AL105-NormTid)</f>
        <v>-13.330000000000013</v>
      </c>
      <c r="AN105" s="4078">
        <f>IF(AM105="","",AM105+'Februar 2023'!AN107)</f>
        <v>-13.330000000000013</v>
      </c>
    </row>
    <row r="106" spans="1:40" ht="22.35" customHeight="1" x14ac:dyDescent="0.2">
      <c r="B106" s="4188" t="s">
        <v>397</v>
      </c>
      <c r="C106" s="4165" t="s">
        <v>398</v>
      </c>
      <c r="D106" s="4189" t="s">
        <v>36</v>
      </c>
      <c r="E106" s="4161" t="s">
        <v>36</v>
      </c>
      <c r="F106" s="4147" t="s">
        <v>0</v>
      </c>
      <c r="G106" s="4147" t="s">
        <v>0</v>
      </c>
      <c r="H106" s="4147" t="s">
        <v>400</v>
      </c>
      <c r="I106" s="4147" t="s">
        <v>400</v>
      </c>
      <c r="J106" s="4147" t="s">
        <v>400</v>
      </c>
      <c r="K106" s="4147" t="s">
        <v>400</v>
      </c>
      <c r="L106" s="4147" t="s">
        <v>400</v>
      </c>
      <c r="M106" s="4147" t="s">
        <v>409</v>
      </c>
      <c r="N106" s="4147" t="s">
        <v>409</v>
      </c>
      <c r="O106" s="4147" t="s">
        <v>36</v>
      </c>
      <c r="P106" s="4147" t="s">
        <v>36</v>
      </c>
      <c r="Q106" s="4147" t="s">
        <v>36</v>
      </c>
      <c r="R106" s="4147" t="s">
        <v>36</v>
      </c>
      <c r="S106" s="4147" t="s">
        <v>36</v>
      </c>
      <c r="T106" s="3722" t="s">
        <v>405</v>
      </c>
      <c r="U106" s="3722" t="s">
        <v>405</v>
      </c>
      <c r="V106" s="4160" t="s">
        <v>398</v>
      </c>
      <c r="W106" s="4161" t="s">
        <v>398</v>
      </c>
      <c r="X106" s="4161" t="s">
        <v>398</v>
      </c>
      <c r="Y106" s="4147" t="s">
        <v>398</v>
      </c>
      <c r="Z106" s="4161" t="s">
        <v>398</v>
      </c>
      <c r="AA106" s="4161"/>
      <c r="AB106" s="4149" t="s">
        <v>405</v>
      </c>
      <c r="AC106" s="4190" t="s">
        <v>420</v>
      </c>
      <c r="AD106" s="4161" t="s">
        <v>420</v>
      </c>
      <c r="AE106" s="4189" t="s">
        <v>420</v>
      </c>
      <c r="AF106" s="4161" t="s">
        <v>420</v>
      </c>
      <c r="AG106" s="4191" t="s">
        <v>420</v>
      </c>
      <c r="AH106" s="1"/>
      <c r="AJ106" s="4077">
        <f t="shared" ref="AJ106:AJ109" si="9">$AJ$12</f>
        <v>160.33000000000001</v>
      </c>
      <c r="AK106" s="4077"/>
      <c r="AL106" s="4077">
        <v>171.3</v>
      </c>
      <c r="AM106" s="4078">
        <f t="shared" si="8"/>
        <v>10.969999999999999</v>
      </c>
      <c r="AN106" s="4078">
        <f>IF(AM106="","",AM106+'Februar 2023'!AN108)</f>
        <v>10.969999999999999</v>
      </c>
    </row>
    <row r="107" spans="1:40" ht="22.35" customHeight="1" x14ac:dyDescent="0.2">
      <c r="B107" s="3730" t="s">
        <v>0</v>
      </c>
      <c r="C107" s="4161" t="s">
        <v>398</v>
      </c>
      <c r="D107" s="4189" t="s">
        <v>398</v>
      </c>
      <c r="E107" s="4161" t="s">
        <v>398</v>
      </c>
      <c r="F107" s="4147"/>
      <c r="G107" s="4147"/>
      <c r="H107" s="4147" t="s">
        <v>420</v>
      </c>
      <c r="I107" s="4147" t="s">
        <v>420</v>
      </c>
      <c r="J107" s="4147" t="s">
        <v>420</v>
      </c>
      <c r="K107" s="4147" t="s">
        <v>420</v>
      </c>
      <c r="L107" s="4147" t="s">
        <v>420</v>
      </c>
      <c r="M107" s="4147" t="s">
        <v>0</v>
      </c>
      <c r="N107" s="4147" t="s">
        <v>0</v>
      </c>
      <c r="O107" s="4147" t="s">
        <v>36</v>
      </c>
      <c r="P107" s="4147" t="s">
        <v>36</v>
      </c>
      <c r="Q107" s="4147" t="s">
        <v>36</v>
      </c>
      <c r="R107" s="4147" t="s">
        <v>36</v>
      </c>
      <c r="S107" s="4147" t="s">
        <v>36</v>
      </c>
      <c r="T107" s="4161"/>
      <c r="U107" s="4161"/>
      <c r="V107" s="4160" t="s">
        <v>400</v>
      </c>
      <c r="W107" s="4161" t="s">
        <v>400</v>
      </c>
      <c r="X107" s="4161" t="s">
        <v>400</v>
      </c>
      <c r="Y107" s="4147" t="s">
        <v>400</v>
      </c>
      <c r="Z107" s="4161" t="s">
        <v>400</v>
      </c>
      <c r="AA107" s="4161" t="s">
        <v>409</v>
      </c>
      <c r="AB107" s="4161" t="s">
        <v>409</v>
      </c>
      <c r="AC107" s="4161" t="s">
        <v>36</v>
      </c>
      <c r="AD107" s="4161" t="s">
        <v>36</v>
      </c>
      <c r="AE107" s="4189" t="s">
        <v>36</v>
      </c>
      <c r="AF107" s="4161" t="s">
        <v>36</v>
      </c>
      <c r="AG107" s="4191" t="s">
        <v>36</v>
      </c>
      <c r="AH107" s="1"/>
      <c r="AJ107" s="4077">
        <f t="shared" si="9"/>
        <v>160.33000000000001</v>
      </c>
      <c r="AK107" s="4077"/>
      <c r="AL107" s="4077">
        <f t="shared" ref="AL107:AL108" si="10">IF(AJ107="","",SUM(AJ107:AK107))</f>
        <v>160.33000000000001</v>
      </c>
      <c r="AM107" s="4078">
        <f t="shared" si="8"/>
        <v>0</v>
      </c>
      <c r="AN107" s="4078">
        <f>IF(AM107="","",AM107+'Februar 2023'!AN109)</f>
        <v>0</v>
      </c>
    </row>
    <row r="108" spans="1:40" ht="22.35" customHeight="1" thickBot="1" x14ac:dyDescent="0.25">
      <c r="B108" s="4192" t="s">
        <v>0</v>
      </c>
      <c r="C108" s="4147" t="s">
        <v>420</v>
      </c>
      <c r="D108" s="4147" t="s">
        <v>420</v>
      </c>
      <c r="E108" s="4147" t="s">
        <v>420</v>
      </c>
      <c r="F108" s="4147" t="s">
        <v>0</v>
      </c>
      <c r="G108" s="4147" t="s">
        <v>0</v>
      </c>
      <c r="H108" s="4147" t="s">
        <v>36</v>
      </c>
      <c r="I108" s="4147" t="s">
        <v>36</v>
      </c>
      <c r="J108" s="4147" t="s">
        <v>36</v>
      </c>
      <c r="K108" s="4147" t="s">
        <v>36</v>
      </c>
      <c r="L108" s="4147" t="s">
        <v>36</v>
      </c>
      <c r="M108" s="4147"/>
      <c r="N108" s="4147"/>
      <c r="O108" s="4147" t="s">
        <v>400</v>
      </c>
      <c r="P108" s="4147" t="s">
        <v>400</v>
      </c>
      <c r="Q108" s="4147" t="s">
        <v>400</v>
      </c>
      <c r="R108" s="4147" t="s">
        <v>400</v>
      </c>
      <c r="S108" s="4147" t="s">
        <v>400</v>
      </c>
      <c r="T108" s="4147" t="s">
        <v>409</v>
      </c>
      <c r="U108" s="4147" t="s">
        <v>409</v>
      </c>
      <c r="V108" s="4147" t="s">
        <v>36</v>
      </c>
      <c r="W108" s="4147" t="s">
        <v>36</v>
      </c>
      <c r="X108" s="4147" t="s">
        <v>36</v>
      </c>
      <c r="Y108" s="4147" t="s">
        <v>36</v>
      </c>
      <c r="Z108" s="4147" t="s">
        <v>36</v>
      </c>
      <c r="AA108" s="4147" t="s">
        <v>405</v>
      </c>
      <c r="AB108" s="4147" t="s">
        <v>405</v>
      </c>
      <c r="AC108" s="4147" t="s">
        <v>398</v>
      </c>
      <c r="AD108" s="4147" t="s">
        <v>398</v>
      </c>
      <c r="AE108" s="4147" t="s">
        <v>398</v>
      </c>
      <c r="AF108" s="4147" t="s">
        <v>398</v>
      </c>
      <c r="AG108" s="4042" t="s">
        <v>398</v>
      </c>
      <c r="AH108" s="1"/>
      <c r="AJ108" s="4077">
        <f t="shared" si="9"/>
        <v>160.33000000000001</v>
      </c>
      <c r="AK108" s="4077"/>
      <c r="AL108" s="4077">
        <f t="shared" si="10"/>
        <v>160.33000000000001</v>
      </c>
      <c r="AM108" s="4078">
        <f t="shared" si="8"/>
        <v>0</v>
      </c>
      <c r="AN108" s="4078">
        <f>IF(AM108="","",AM108+'Februar 2023'!AN110)</f>
        <v>0</v>
      </c>
    </row>
    <row r="109" spans="1:40" ht="22.35" customHeight="1" x14ac:dyDescent="0.2">
      <c r="B109" s="353" t="s">
        <v>424</v>
      </c>
      <c r="C109" s="4147" t="s">
        <v>400</v>
      </c>
      <c r="D109" s="4147" t="s">
        <v>400</v>
      </c>
      <c r="E109" s="4147" t="s">
        <v>400</v>
      </c>
      <c r="F109" s="4147" t="s">
        <v>409</v>
      </c>
      <c r="G109" s="4147" t="s">
        <v>409</v>
      </c>
      <c r="H109" s="4193" t="s">
        <v>36</v>
      </c>
      <c r="I109" s="4193" t="s">
        <v>36</v>
      </c>
      <c r="J109" s="4193" t="s">
        <v>36</v>
      </c>
      <c r="K109" s="4193" t="s">
        <v>36</v>
      </c>
      <c r="L109" s="4193" t="s">
        <v>36</v>
      </c>
      <c r="M109" s="4193" t="s">
        <v>405</v>
      </c>
      <c r="N109" s="4193" t="s">
        <v>405</v>
      </c>
      <c r="O109" s="4193" t="s">
        <v>398</v>
      </c>
      <c r="P109" s="4193" t="s">
        <v>398</v>
      </c>
      <c r="Q109" s="4193" t="s">
        <v>398</v>
      </c>
      <c r="R109" s="4193" t="s">
        <v>398</v>
      </c>
      <c r="S109" s="4193" t="s">
        <v>398</v>
      </c>
      <c r="T109" s="4193"/>
      <c r="U109" s="4193"/>
      <c r="V109" s="4147" t="s">
        <v>420</v>
      </c>
      <c r="W109" s="4147" t="s">
        <v>420</v>
      </c>
      <c r="X109" s="4147" t="s">
        <v>420</v>
      </c>
      <c r="Y109" s="4147" t="s">
        <v>420</v>
      </c>
      <c r="Z109" s="4147" t="s">
        <v>420</v>
      </c>
      <c r="AA109" s="4149" t="s">
        <v>405</v>
      </c>
      <c r="AB109" s="4147" t="s">
        <v>0</v>
      </c>
      <c r="AC109" s="4066" t="s">
        <v>32</v>
      </c>
      <c r="AD109" s="4149" t="s">
        <v>398</v>
      </c>
      <c r="AE109" s="4149" t="s">
        <v>398</v>
      </c>
      <c r="AF109" s="4194" t="s">
        <v>400</v>
      </c>
      <c r="AG109" s="4194" t="s">
        <v>400</v>
      </c>
      <c r="AH109" s="1"/>
      <c r="AJ109" s="4077">
        <f t="shared" si="9"/>
        <v>160.33000000000001</v>
      </c>
      <c r="AK109" s="4077"/>
      <c r="AL109" s="4077">
        <v>162.44999999999999</v>
      </c>
      <c r="AM109" s="4078">
        <f t="shared" si="8"/>
        <v>2.1199999999999761</v>
      </c>
      <c r="AN109" s="4078">
        <f>IF(AM109="","",AM109+'Februar 2023'!AN111)</f>
        <v>2.1199999999999761</v>
      </c>
    </row>
    <row r="110" spans="1:40" ht="22.35" customHeight="1" thickBot="1" x14ac:dyDescent="0.25">
      <c r="B110" s="355"/>
      <c r="C110" s="356"/>
      <c r="D110" s="356"/>
      <c r="E110" s="356"/>
      <c r="F110" s="356"/>
      <c r="G110" s="356"/>
      <c r="H110" s="356"/>
      <c r="I110" s="356"/>
      <c r="J110" s="356"/>
      <c r="K110" s="356"/>
      <c r="L110" s="356"/>
      <c r="M110" s="356"/>
      <c r="N110" s="356"/>
      <c r="O110" s="356"/>
      <c r="P110" s="356"/>
      <c r="Q110" s="356"/>
      <c r="R110" s="356"/>
      <c r="S110" s="356"/>
      <c r="T110" s="356"/>
      <c r="U110" s="356"/>
      <c r="V110" s="356"/>
      <c r="W110" s="356"/>
      <c r="X110" s="356"/>
      <c r="Y110" s="356"/>
      <c r="Z110" s="356"/>
      <c r="AA110" s="356"/>
      <c r="AB110" s="356"/>
      <c r="AC110" s="356"/>
      <c r="AD110" s="356"/>
      <c r="AE110" s="356"/>
      <c r="AF110" s="356"/>
      <c r="AG110" s="356"/>
      <c r="AH110" s="1"/>
      <c r="AJ110" s="4077"/>
      <c r="AK110" s="4077"/>
      <c r="AL110" s="4077"/>
      <c r="AM110" s="4078"/>
      <c r="AN110" s="4078"/>
    </row>
    <row r="111" spans="1:40" ht="22.35" customHeight="1" x14ac:dyDescent="0.2">
      <c r="AH111" s="1"/>
    </row>
    <row r="112" spans="1:40" ht="22.35" customHeight="1" thickBot="1" x14ac:dyDescent="0.25">
      <c r="A112" s="169" t="s">
        <v>156</v>
      </c>
      <c r="B112" s="198"/>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c r="AA112" s="199"/>
      <c r="AB112" s="199"/>
      <c r="AC112" s="199"/>
      <c r="AD112" s="199"/>
      <c r="AE112" s="199"/>
      <c r="AF112" s="199"/>
      <c r="AG112" s="199"/>
    </row>
    <row r="113" spans="1:35" ht="22.35" customHeight="1" thickBot="1" x14ac:dyDescent="0.25">
      <c r="B113" s="4195" t="s">
        <v>157</v>
      </c>
      <c r="C113" s="4196"/>
      <c r="D113" s="4096" t="s">
        <v>107</v>
      </c>
      <c r="E113" s="4096"/>
      <c r="F113" s="4197"/>
      <c r="G113" s="4196"/>
      <c r="H113" s="4096" t="s">
        <v>108</v>
      </c>
      <c r="I113" s="4096"/>
      <c r="J113" s="4197"/>
      <c r="K113" s="4196"/>
      <c r="L113" s="4096" t="s">
        <v>109</v>
      </c>
      <c r="M113" s="4096"/>
      <c r="N113" s="4197"/>
      <c r="O113" s="4196"/>
      <c r="P113" s="4096" t="s">
        <v>110</v>
      </c>
      <c r="Q113" s="4096"/>
      <c r="R113" s="4197"/>
      <c r="S113" s="4196"/>
      <c r="T113" s="4096" t="s">
        <v>111</v>
      </c>
      <c r="U113" s="4096"/>
      <c r="V113" s="4197"/>
      <c r="W113" s="4196"/>
      <c r="X113" s="4096" t="s">
        <v>112</v>
      </c>
      <c r="Y113" s="4096"/>
      <c r="Z113" s="4197"/>
      <c r="AA113" s="4196"/>
      <c r="AB113" s="4096" t="s">
        <v>113</v>
      </c>
      <c r="AC113" s="4096"/>
      <c r="AD113" s="4096"/>
      <c r="AE113" s="4096" t="s">
        <v>158</v>
      </c>
      <c r="AF113" s="4096"/>
      <c r="AG113" s="4096"/>
      <c r="AH113" s="4096"/>
      <c r="AI113" s="4198"/>
    </row>
    <row r="114" spans="1:35" ht="22.35" customHeight="1" x14ac:dyDescent="0.2">
      <c r="B114" s="4199" t="s">
        <v>159</v>
      </c>
      <c r="C114" s="4200" t="s">
        <v>160</v>
      </c>
      <c r="D114" s="4096"/>
      <c r="E114" s="4100"/>
      <c r="F114" s="4201"/>
      <c r="G114" s="4200" t="s">
        <v>160</v>
      </c>
      <c r="H114" s="4202"/>
      <c r="I114" s="4100"/>
      <c r="J114" s="4201"/>
      <c r="K114" s="4203" t="s">
        <v>160</v>
      </c>
      <c r="L114" s="4096"/>
      <c r="M114" s="4096"/>
      <c r="N114" s="4197"/>
      <c r="O114" s="4203" t="s">
        <v>161</v>
      </c>
      <c r="P114" s="4204"/>
      <c r="Q114" s="4100"/>
      <c r="R114" s="4201"/>
      <c r="S114" s="4200" t="s">
        <v>162</v>
      </c>
      <c r="T114" s="4100"/>
      <c r="U114" s="4100"/>
      <c r="V114" s="4100"/>
      <c r="W114" s="4205"/>
      <c r="X114" s="4206"/>
      <c r="Y114" s="4206"/>
      <c r="Z114" s="4207"/>
      <c r="AA114" s="4100"/>
      <c r="AB114" s="4100"/>
      <c r="AC114" s="4100"/>
      <c r="AD114" s="4100"/>
      <c r="AE114" s="4208">
        <v>37</v>
      </c>
      <c r="AF114" s="4096"/>
      <c r="AG114" s="4100"/>
      <c r="AH114" s="4100"/>
      <c r="AI114" s="4101"/>
    </row>
    <row r="115" spans="1:35" ht="22.35" customHeight="1" x14ac:dyDescent="0.2">
      <c r="B115" s="3745" t="s">
        <v>163</v>
      </c>
      <c r="C115" s="3746" t="s">
        <v>164</v>
      </c>
      <c r="D115" s="4014"/>
      <c r="E115" s="4014"/>
      <c r="F115" s="4022"/>
      <c r="G115" s="3746" t="s">
        <v>165</v>
      </c>
      <c r="H115" s="3584"/>
      <c r="I115" s="4014"/>
      <c r="J115" s="4022"/>
      <c r="K115" s="3746" t="s">
        <v>166</v>
      </c>
      <c r="L115" s="4014" t="s">
        <v>167</v>
      </c>
      <c r="M115" s="4014"/>
      <c r="N115" s="4022"/>
      <c r="O115" s="3746" t="s">
        <v>166</v>
      </c>
      <c r="P115" s="3584" t="s">
        <v>167</v>
      </c>
      <c r="Q115" s="4014"/>
      <c r="R115" s="4022"/>
      <c r="S115" s="3746" t="s">
        <v>165</v>
      </c>
      <c r="T115" s="4014" t="s">
        <v>168</v>
      </c>
      <c r="U115" s="4014"/>
      <c r="V115" s="4022"/>
      <c r="W115" s="8" t="s">
        <v>127</v>
      </c>
      <c r="X115" s="14" t="s">
        <v>169</v>
      </c>
      <c r="Y115" s="14"/>
      <c r="Z115" s="14"/>
      <c r="AA115" s="3747" t="s">
        <v>127</v>
      </c>
      <c r="AB115" s="4014" t="s">
        <v>169</v>
      </c>
      <c r="AC115" s="3747"/>
      <c r="AD115" s="3747"/>
      <c r="AE115" s="3747">
        <v>68</v>
      </c>
      <c r="AF115" s="4014"/>
      <c r="AG115" s="4014"/>
      <c r="AH115" s="4014"/>
      <c r="AI115" s="4023"/>
    </row>
    <row r="116" spans="1:35" ht="22.35" customHeight="1" x14ac:dyDescent="0.2">
      <c r="B116" s="3745" t="s">
        <v>170</v>
      </c>
      <c r="C116" s="3748" t="s">
        <v>171</v>
      </c>
      <c r="D116" s="4014"/>
      <c r="E116" s="4014"/>
      <c r="F116" s="4022"/>
      <c r="G116" s="3584" t="s">
        <v>171</v>
      </c>
      <c r="H116" s="3584"/>
      <c r="I116" s="4014"/>
      <c r="J116" s="4022"/>
      <c r="K116" s="3584" t="s">
        <v>171</v>
      </c>
      <c r="L116" s="4014"/>
      <c r="M116" s="4014"/>
      <c r="N116" s="4022"/>
      <c r="O116" s="3584" t="s">
        <v>171</v>
      </c>
      <c r="P116" s="3584"/>
      <c r="Q116" s="4014"/>
      <c r="R116" s="4022"/>
      <c r="S116" s="3584" t="s">
        <v>171</v>
      </c>
      <c r="T116" s="4014"/>
      <c r="U116" s="4014"/>
      <c r="V116" s="4022"/>
      <c r="W116" s="3747"/>
      <c r="X116" s="4014"/>
      <c r="Y116" s="4014"/>
      <c r="Z116" s="4022"/>
      <c r="AA116" s="3747"/>
      <c r="AB116" s="4014"/>
      <c r="AC116" s="4014"/>
      <c r="AD116" s="4014"/>
      <c r="AE116" s="3747">
        <v>0</v>
      </c>
      <c r="AF116" s="4014"/>
      <c r="AG116" s="4014"/>
      <c r="AH116" s="4014"/>
      <c r="AI116" s="4023"/>
    </row>
    <row r="117" spans="1:35" ht="22.35" customHeight="1" thickBot="1" x14ac:dyDescent="0.25">
      <c r="B117" s="3749" t="s">
        <v>172</v>
      </c>
      <c r="C117" s="3750" t="s">
        <v>160</v>
      </c>
      <c r="D117" s="276"/>
      <c r="E117" s="3587"/>
      <c r="F117" s="3589"/>
      <c r="G117" s="3750" t="s">
        <v>160</v>
      </c>
      <c r="H117" s="278"/>
      <c r="I117" s="3587"/>
      <c r="J117" s="3589"/>
      <c r="K117" s="3750" t="s">
        <v>160</v>
      </c>
      <c r="L117" s="276"/>
      <c r="M117" s="3587"/>
      <c r="N117" s="3589"/>
      <c r="O117" s="3750" t="s">
        <v>161</v>
      </c>
      <c r="P117" s="3591"/>
      <c r="Q117" s="3587"/>
      <c r="R117" s="3589"/>
      <c r="S117" s="3750" t="s">
        <v>162</v>
      </c>
      <c r="T117" s="3587"/>
      <c r="U117" s="3587"/>
      <c r="V117" s="3587"/>
      <c r="W117" s="3751"/>
      <c r="X117" s="3587"/>
      <c r="Y117" s="3587"/>
      <c r="Z117" s="3752"/>
      <c r="AA117" s="3587"/>
      <c r="AB117" s="3587"/>
      <c r="AC117" s="3587"/>
      <c r="AD117" s="3587"/>
      <c r="AE117" s="3753">
        <v>37</v>
      </c>
      <c r="AF117" s="3587"/>
      <c r="AG117" s="3587"/>
      <c r="AH117" s="3587"/>
      <c r="AI117" s="3594"/>
    </row>
    <row r="118" spans="1:35" ht="22.35" customHeight="1" x14ac:dyDescent="0.2">
      <c r="D118" s="14"/>
    </row>
    <row r="119" spans="1:35" ht="22.35" customHeight="1" thickBot="1" x14ac:dyDescent="0.25">
      <c r="A119" s="4135"/>
      <c r="B119" s="4135" t="s">
        <v>29</v>
      </c>
      <c r="C119" s="4032">
        <v>1</v>
      </c>
      <c r="D119" s="4032">
        <v>2</v>
      </c>
      <c r="E119" s="4032">
        <v>3</v>
      </c>
      <c r="F119" s="4033">
        <v>4</v>
      </c>
      <c r="G119" s="4033">
        <v>5</v>
      </c>
      <c r="H119" s="4032">
        <v>6</v>
      </c>
      <c r="I119" s="4032">
        <v>7</v>
      </c>
      <c r="J119" s="4032">
        <v>8</v>
      </c>
      <c r="K119" s="4032">
        <v>9</v>
      </c>
      <c r="L119" s="4032">
        <v>10</v>
      </c>
      <c r="M119" s="4033">
        <v>11</v>
      </c>
      <c r="N119" s="4033">
        <v>12</v>
      </c>
      <c r="O119" s="4032">
        <v>13</v>
      </c>
      <c r="P119" s="4032">
        <v>14</v>
      </c>
      <c r="Q119" s="4032">
        <v>15</v>
      </c>
      <c r="R119" s="4032">
        <v>16</v>
      </c>
      <c r="S119" s="4032">
        <v>17</v>
      </c>
      <c r="T119" s="4033">
        <v>18</v>
      </c>
      <c r="U119" s="4033">
        <v>19</v>
      </c>
      <c r="V119" s="4032">
        <v>20</v>
      </c>
      <c r="W119" s="4032">
        <v>21</v>
      </c>
      <c r="X119" s="4032">
        <v>22</v>
      </c>
      <c r="Y119" s="4032">
        <v>23</v>
      </c>
      <c r="Z119" s="4032">
        <v>24</v>
      </c>
      <c r="AA119" s="4033">
        <v>25</v>
      </c>
      <c r="AB119" s="4033">
        <v>26</v>
      </c>
      <c r="AC119" s="4032">
        <v>27</v>
      </c>
      <c r="AD119" s="4032">
        <v>28</v>
      </c>
      <c r="AE119" s="4032">
        <v>29</v>
      </c>
      <c r="AF119" s="4032">
        <v>30</v>
      </c>
      <c r="AG119" s="4034">
        <v>31</v>
      </c>
      <c r="AH119" s="173"/>
      <c r="AI119" s="174"/>
    </row>
    <row r="120" spans="1:35" ht="22.35" customHeight="1" x14ac:dyDescent="0.2">
      <c r="A120" s="4209">
        <v>1</v>
      </c>
      <c r="B120" s="4210" t="s">
        <v>173</v>
      </c>
      <c r="C120" s="4111" t="s">
        <v>128</v>
      </c>
      <c r="D120" s="4111" t="s">
        <v>128</v>
      </c>
      <c r="E120" s="4111" t="s">
        <v>128</v>
      </c>
      <c r="F120" s="4111" t="s">
        <v>127</v>
      </c>
      <c r="G120" s="4111" t="s">
        <v>127</v>
      </c>
      <c r="H120" s="4111" t="s">
        <v>36</v>
      </c>
      <c r="I120" s="4111" t="s">
        <v>36</v>
      </c>
      <c r="J120" s="4111" t="s">
        <v>36</v>
      </c>
      <c r="K120" s="4111" t="s">
        <v>36</v>
      </c>
      <c r="L120" s="4111" t="s">
        <v>36</v>
      </c>
      <c r="M120" s="4111"/>
      <c r="N120" s="4111"/>
      <c r="O120" s="4111" t="s">
        <v>174</v>
      </c>
      <c r="P120" s="4117" t="s">
        <v>174</v>
      </c>
      <c r="Q120" s="4111" t="s">
        <v>174</v>
      </c>
      <c r="R120" s="4111" t="s">
        <v>174</v>
      </c>
      <c r="S120" s="4111" t="s">
        <v>174</v>
      </c>
      <c r="T120" s="4111"/>
      <c r="U120" s="4111"/>
      <c r="V120" s="3550" t="s">
        <v>174</v>
      </c>
      <c r="W120" s="4111" t="s">
        <v>174</v>
      </c>
      <c r="X120" s="4211" t="s">
        <v>174</v>
      </c>
      <c r="Y120" s="4211" t="s">
        <v>174</v>
      </c>
      <c r="Z120" s="4211" t="s">
        <v>174</v>
      </c>
      <c r="AA120" s="4211"/>
      <c r="AB120" s="4111"/>
      <c r="AC120" s="4111" t="s">
        <v>128</v>
      </c>
      <c r="AD120" s="4111" t="s">
        <v>128</v>
      </c>
      <c r="AE120" s="4111" t="s">
        <v>128</v>
      </c>
      <c r="AF120" s="4111" t="s">
        <v>128</v>
      </c>
      <c r="AG120" s="4111" t="s">
        <v>128</v>
      </c>
      <c r="AH120" s="178"/>
      <c r="AI120" s="179"/>
    </row>
    <row r="121" spans="1:35" ht="22.35" customHeight="1" x14ac:dyDescent="0.2">
      <c r="A121" s="3757">
        <v>2</v>
      </c>
      <c r="B121" s="3685" t="s">
        <v>175</v>
      </c>
      <c r="C121" s="3538" t="s">
        <v>142</v>
      </c>
      <c r="D121" s="3538" t="s">
        <v>142</v>
      </c>
      <c r="E121" s="3538" t="s">
        <v>142</v>
      </c>
      <c r="F121" s="3758"/>
      <c r="G121" s="3758"/>
      <c r="H121" s="3758" t="s">
        <v>128</v>
      </c>
      <c r="I121" s="3758" t="s">
        <v>128</v>
      </c>
      <c r="J121" s="3758" t="s">
        <v>128</v>
      </c>
      <c r="K121" s="3758" t="s">
        <v>128</v>
      </c>
      <c r="L121" s="3758" t="s">
        <v>128</v>
      </c>
      <c r="M121" s="4039" t="s">
        <v>127</v>
      </c>
      <c r="N121" s="4066" t="s">
        <v>127</v>
      </c>
      <c r="O121" s="4066" t="s">
        <v>36</v>
      </c>
      <c r="P121" s="4066" t="s">
        <v>36</v>
      </c>
      <c r="Q121" s="4066" t="s">
        <v>36</v>
      </c>
      <c r="R121" s="4066" t="s">
        <v>36</v>
      </c>
      <c r="S121" s="4066" t="s">
        <v>36</v>
      </c>
      <c r="T121" s="4066"/>
      <c r="U121" s="4066"/>
      <c r="V121" s="3550">
        <v>1</v>
      </c>
      <c r="W121" s="3550">
        <v>1</v>
      </c>
      <c r="X121" s="4066">
        <v>1</v>
      </c>
      <c r="Y121" s="4066">
        <v>1</v>
      </c>
      <c r="Z121" s="4066">
        <v>1</v>
      </c>
      <c r="AA121" s="4066"/>
      <c r="AB121" s="4066"/>
      <c r="AC121" s="4066" t="s">
        <v>264</v>
      </c>
      <c r="AD121" s="4066">
        <v>1</v>
      </c>
      <c r="AE121" s="4066">
        <v>1</v>
      </c>
      <c r="AF121" s="4066">
        <v>1</v>
      </c>
      <c r="AG121" s="3672">
        <v>1</v>
      </c>
      <c r="AH121" s="178"/>
      <c r="AI121" s="179"/>
    </row>
    <row r="122" spans="1:35" ht="22.35" customHeight="1" x14ac:dyDescent="0.2">
      <c r="A122" s="3757">
        <v>3</v>
      </c>
      <c r="B122" s="3685" t="s">
        <v>178</v>
      </c>
      <c r="C122" s="341" t="s">
        <v>177</v>
      </c>
      <c r="D122" s="341" t="s">
        <v>177</v>
      </c>
      <c r="E122" s="341" t="s">
        <v>179</v>
      </c>
      <c r="F122" s="3571"/>
      <c r="G122" s="183"/>
      <c r="H122" s="4066">
        <v>4</v>
      </c>
      <c r="I122" s="4066">
        <v>4</v>
      </c>
      <c r="J122" s="4066">
        <v>4</v>
      </c>
      <c r="K122" s="4066">
        <v>4</v>
      </c>
      <c r="L122" s="4066">
        <v>4</v>
      </c>
      <c r="M122" s="3758"/>
      <c r="N122" s="183"/>
      <c r="O122" s="4066" t="s">
        <v>128</v>
      </c>
      <c r="P122" s="4066" t="s">
        <v>128</v>
      </c>
      <c r="Q122" s="4066" t="s">
        <v>128</v>
      </c>
      <c r="R122" s="4066" t="s">
        <v>128</v>
      </c>
      <c r="S122" s="4066" t="s">
        <v>128</v>
      </c>
      <c r="T122" s="4066" t="s">
        <v>127</v>
      </c>
      <c r="U122" s="4066" t="s">
        <v>127</v>
      </c>
      <c r="V122" s="4066" t="s">
        <v>36</v>
      </c>
      <c r="W122" s="4084" t="s">
        <v>36</v>
      </c>
      <c r="X122" s="4084" t="s">
        <v>36</v>
      </c>
      <c r="Y122" s="4066" t="s">
        <v>36</v>
      </c>
      <c r="Z122" s="4066" t="s">
        <v>36</v>
      </c>
      <c r="AA122" s="4066"/>
      <c r="AB122" s="4066"/>
      <c r="AC122" s="3672" t="s">
        <v>142</v>
      </c>
      <c r="AD122" s="4066" t="s">
        <v>142</v>
      </c>
      <c r="AE122" s="4066" t="s">
        <v>142</v>
      </c>
      <c r="AF122" s="4066" t="s">
        <v>58</v>
      </c>
      <c r="AG122" s="4066" t="s">
        <v>58</v>
      </c>
      <c r="AH122" s="178"/>
      <c r="AI122" s="179"/>
    </row>
    <row r="123" spans="1:35" ht="22.35" customHeight="1" thickBot="1" x14ac:dyDescent="0.25">
      <c r="A123" s="3760">
        <v>4</v>
      </c>
      <c r="B123" s="3761" t="s">
        <v>173</v>
      </c>
      <c r="C123" s="3762" t="s">
        <v>36</v>
      </c>
      <c r="D123" s="3762" t="s">
        <v>36</v>
      </c>
      <c r="E123" s="3762" t="s">
        <v>36</v>
      </c>
      <c r="F123" s="3762"/>
      <c r="G123" s="3762"/>
      <c r="H123" s="3762" t="s">
        <v>174</v>
      </c>
      <c r="I123" s="3762" t="s">
        <v>174</v>
      </c>
      <c r="J123" s="3762" t="s">
        <v>174</v>
      </c>
      <c r="K123" s="3762" t="s">
        <v>174</v>
      </c>
      <c r="L123" s="3762" t="s">
        <v>174</v>
      </c>
      <c r="M123" s="3762"/>
      <c r="N123" s="3762"/>
      <c r="O123" s="3762" t="s">
        <v>174</v>
      </c>
      <c r="P123" s="3762" t="s">
        <v>174</v>
      </c>
      <c r="Q123" s="3762" t="s">
        <v>174</v>
      </c>
      <c r="R123" s="3762" t="s">
        <v>174</v>
      </c>
      <c r="S123" s="3762" t="s">
        <v>174</v>
      </c>
      <c r="T123" s="3762" t="s">
        <v>0</v>
      </c>
      <c r="U123" s="3762" t="s">
        <v>0</v>
      </c>
      <c r="V123" s="3762" t="s">
        <v>128</v>
      </c>
      <c r="W123" s="3762" t="s">
        <v>128</v>
      </c>
      <c r="X123" s="3762" t="s">
        <v>128</v>
      </c>
      <c r="Y123" s="3762" t="s">
        <v>128</v>
      </c>
      <c r="Z123" s="3762" t="s">
        <v>128</v>
      </c>
      <c r="AA123" s="4032" t="s">
        <v>127</v>
      </c>
      <c r="AB123" s="4032" t="s">
        <v>127</v>
      </c>
      <c r="AC123" s="4032" t="s">
        <v>36</v>
      </c>
      <c r="AD123" s="4032" t="s">
        <v>36</v>
      </c>
      <c r="AE123" s="4032" t="s">
        <v>36</v>
      </c>
      <c r="AF123" s="3762" t="s">
        <v>36</v>
      </c>
      <c r="AG123" s="4034" t="s">
        <v>36</v>
      </c>
      <c r="AH123" s="178"/>
      <c r="AI123" s="179"/>
    </row>
    <row r="124" spans="1:35" ht="22.35" customHeight="1" thickBot="1" x14ac:dyDescent="0.25">
      <c r="A124" s="200"/>
      <c r="AH124" s="203"/>
      <c r="AI124" s="179"/>
    </row>
    <row r="125" spans="1:35" ht="22.35" customHeight="1" x14ac:dyDescent="0.2">
      <c r="A125" s="72"/>
      <c r="B125" s="4212" t="s">
        <v>180</v>
      </c>
      <c r="C125" s="4208"/>
      <c r="D125" s="4213" t="s">
        <v>107</v>
      </c>
      <c r="E125" s="4214"/>
      <c r="F125" s="4208"/>
      <c r="G125" s="4215" t="s">
        <v>108</v>
      </c>
      <c r="H125" s="4201"/>
      <c r="I125" s="4216"/>
      <c r="J125" s="4215" t="s">
        <v>109</v>
      </c>
      <c r="K125" s="4217"/>
      <c r="L125" s="4216"/>
      <c r="M125" s="4218" t="s">
        <v>110</v>
      </c>
      <c r="N125" s="4217"/>
      <c r="O125" s="4216"/>
      <c r="P125" s="4215" t="s">
        <v>111</v>
      </c>
      <c r="Q125" s="4219"/>
      <c r="R125" s="4216"/>
      <c r="S125" s="4215" t="s">
        <v>112</v>
      </c>
      <c r="T125" s="4220"/>
      <c r="U125" s="4216"/>
      <c r="V125" s="4215" t="s">
        <v>113</v>
      </c>
      <c r="W125" s="4219"/>
      <c r="X125" s="4221" t="s">
        <v>158</v>
      </c>
      <c r="Y125" s="4222"/>
      <c r="Z125" s="4222"/>
      <c r="AA125" s="4223"/>
      <c r="AB125" s="4203" t="s">
        <v>114</v>
      </c>
      <c r="AC125" s="4224"/>
      <c r="AD125" s="4224"/>
      <c r="AE125" s="4225"/>
      <c r="AF125" s="4225"/>
      <c r="AG125" s="4226"/>
      <c r="AH125" s="203"/>
      <c r="AI125" s="179"/>
    </row>
    <row r="126" spans="1:35" ht="22.35" customHeight="1" x14ac:dyDescent="0.2">
      <c r="A126" s="72"/>
      <c r="B126" s="3778" t="s">
        <v>181</v>
      </c>
      <c r="C126" s="3779" t="s">
        <v>182</v>
      </c>
      <c r="D126" s="4016"/>
      <c r="E126" s="4017"/>
      <c r="F126" s="3779" t="s">
        <v>182</v>
      </c>
      <c r="G126" s="4016"/>
      <c r="H126" s="4017"/>
      <c r="I126" s="3779" t="s">
        <v>182</v>
      </c>
      <c r="J126" s="4016"/>
      <c r="K126" s="4017"/>
      <c r="L126" s="3779" t="s">
        <v>182</v>
      </c>
      <c r="M126" s="4016"/>
      <c r="N126" s="4017"/>
      <c r="O126" s="3779" t="s">
        <v>183</v>
      </c>
      <c r="P126" s="4016"/>
      <c r="Q126" s="4017"/>
      <c r="R126" s="3779"/>
      <c r="S126" s="4016"/>
      <c r="T126" s="4017"/>
      <c r="U126" s="3779"/>
      <c r="V126" s="4016"/>
      <c r="W126" s="4017"/>
      <c r="X126" s="3779"/>
      <c r="Y126" s="3780"/>
      <c r="Z126" s="3780"/>
      <c r="AA126" s="3780"/>
      <c r="AB126" s="4013"/>
      <c r="AC126" s="3780"/>
      <c r="AD126" s="3780"/>
      <c r="AE126" s="3780"/>
      <c r="AF126" s="3780"/>
      <c r="AG126" s="3781"/>
      <c r="AH126" s="203"/>
      <c r="AI126" s="179"/>
    </row>
    <row r="127" spans="1:35" ht="22.35" customHeight="1" x14ac:dyDescent="0.2">
      <c r="A127" s="72"/>
      <c r="B127" s="17"/>
      <c r="C127" s="72"/>
      <c r="D127" s="72"/>
      <c r="E127" s="72"/>
      <c r="F127" s="72"/>
      <c r="G127" s="72"/>
      <c r="H127" s="72"/>
      <c r="I127" s="72"/>
      <c r="J127" s="72"/>
      <c r="K127" s="72"/>
      <c r="L127" s="72"/>
      <c r="M127" s="72"/>
      <c r="N127" s="72"/>
      <c r="O127" s="72"/>
      <c r="P127" s="72"/>
      <c r="Q127" s="72"/>
      <c r="R127" s="72"/>
      <c r="S127" s="72"/>
      <c r="T127" s="72"/>
      <c r="U127" s="72"/>
      <c r="V127" s="72"/>
      <c r="W127" s="72"/>
      <c r="X127" s="72"/>
      <c r="Y127" s="72"/>
      <c r="Z127" s="72"/>
      <c r="AA127" s="72"/>
      <c r="AB127" s="72"/>
      <c r="AC127" s="72"/>
      <c r="AD127" s="72"/>
      <c r="AE127" s="72"/>
      <c r="AF127" s="72"/>
      <c r="AG127" s="72"/>
      <c r="AH127" s="203"/>
      <c r="AI127" s="179"/>
    </row>
    <row r="128" spans="1:35" ht="22.35" customHeight="1" thickBot="1" x14ac:dyDescent="0.25">
      <c r="A128" s="3718" t="s">
        <v>28</v>
      </c>
      <c r="B128" s="4107" t="s">
        <v>29</v>
      </c>
      <c r="C128" s="4032">
        <v>1</v>
      </c>
      <c r="D128" s="4032">
        <v>2</v>
      </c>
      <c r="E128" s="4032">
        <v>3</v>
      </c>
      <c r="F128" s="4033">
        <v>4</v>
      </c>
      <c r="G128" s="4033">
        <v>5</v>
      </c>
      <c r="H128" s="4032">
        <v>6</v>
      </c>
      <c r="I128" s="4032">
        <v>7</v>
      </c>
      <c r="J128" s="4032">
        <v>8</v>
      </c>
      <c r="K128" s="4032">
        <v>9</v>
      </c>
      <c r="L128" s="4032">
        <v>10</v>
      </c>
      <c r="M128" s="4033">
        <v>11</v>
      </c>
      <c r="N128" s="4033">
        <v>12</v>
      </c>
      <c r="O128" s="4032">
        <v>13</v>
      </c>
      <c r="P128" s="4032">
        <v>14</v>
      </c>
      <c r="Q128" s="4032">
        <v>15</v>
      </c>
      <c r="R128" s="4032">
        <v>16</v>
      </c>
      <c r="S128" s="4032">
        <v>17</v>
      </c>
      <c r="T128" s="4033">
        <v>18</v>
      </c>
      <c r="U128" s="4033">
        <v>19</v>
      </c>
      <c r="V128" s="4032">
        <v>20</v>
      </c>
      <c r="W128" s="4032">
        <v>21</v>
      </c>
      <c r="X128" s="4032">
        <v>22</v>
      </c>
      <c r="Y128" s="4032">
        <v>23</v>
      </c>
      <c r="Z128" s="4032">
        <v>24</v>
      </c>
      <c r="AA128" s="4033">
        <v>25</v>
      </c>
      <c r="AB128" s="4033">
        <v>26</v>
      </c>
      <c r="AC128" s="4032">
        <v>27</v>
      </c>
      <c r="AD128" s="4032">
        <v>28</v>
      </c>
      <c r="AE128" s="4032">
        <v>29</v>
      </c>
      <c r="AF128" s="4032">
        <v>30</v>
      </c>
      <c r="AG128" s="4034">
        <v>31</v>
      </c>
      <c r="AH128" s="203"/>
      <c r="AI128" s="179"/>
    </row>
    <row r="129" spans="1:35" ht="22.35" customHeight="1" x14ac:dyDescent="0.2">
      <c r="A129" s="4227">
        <v>8520</v>
      </c>
      <c r="B129" s="4228" t="s">
        <v>184</v>
      </c>
      <c r="C129" s="4132" t="s">
        <v>358</v>
      </c>
      <c r="D129" s="4111" t="s">
        <v>358</v>
      </c>
      <c r="E129" s="4111" t="s">
        <v>358</v>
      </c>
      <c r="F129" s="4111"/>
      <c r="G129" s="4111"/>
      <c r="H129" s="4111" t="s">
        <v>358</v>
      </c>
      <c r="I129" s="4111" t="s">
        <v>358</v>
      </c>
      <c r="J129" s="4111" t="s">
        <v>358</v>
      </c>
      <c r="K129" s="4111" t="s">
        <v>358</v>
      </c>
      <c r="L129" s="4111" t="s">
        <v>358</v>
      </c>
      <c r="M129" s="4111"/>
      <c r="N129" s="4111"/>
      <c r="O129" s="4111" t="s">
        <v>358</v>
      </c>
      <c r="P129" s="4111" t="s">
        <v>358</v>
      </c>
      <c r="Q129" s="4132" t="s">
        <v>358</v>
      </c>
      <c r="R129" s="4111" t="s">
        <v>358</v>
      </c>
      <c r="S129" s="4111" t="s">
        <v>358</v>
      </c>
      <c r="T129" s="4111"/>
      <c r="U129" s="4111"/>
      <c r="V129" s="4229" t="s">
        <v>358</v>
      </c>
      <c r="W129" s="4229" t="s">
        <v>358</v>
      </c>
      <c r="X129" s="4229" t="s">
        <v>358</v>
      </c>
      <c r="Y129" s="4111" t="s">
        <v>358</v>
      </c>
      <c r="Z129" s="4111" t="s">
        <v>358</v>
      </c>
      <c r="AA129" s="4111"/>
      <c r="AB129" s="4111"/>
      <c r="AC129" s="4111" t="s">
        <v>358</v>
      </c>
      <c r="AD129" s="4111" t="s">
        <v>358</v>
      </c>
      <c r="AE129" s="4111" t="s">
        <v>358</v>
      </c>
      <c r="AF129" s="4111" t="s">
        <v>358</v>
      </c>
      <c r="AG129" s="4134" t="s">
        <v>358</v>
      </c>
      <c r="AH129" s="203"/>
      <c r="AI129" s="179"/>
    </row>
    <row r="130" spans="1:35" ht="22.35" customHeight="1" x14ac:dyDescent="0.2">
      <c r="A130" s="209"/>
      <c r="AH130" s="203"/>
      <c r="AI130" s="179"/>
    </row>
    <row r="131" spans="1:35" ht="22.35" customHeight="1" x14ac:dyDescent="0.2">
      <c r="B131" s="208"/>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c r="AA131" s="199"/>
      <c r="AB131" s="199"/>
      <c r="AC131" s="199"/>
      <c r="AD131" s="199"/>
      <c r="AE131" s="199"/>
      <c r="AF131" s="199"/>
      <c r="AG131" s="199"/>
      <c r="AH131" s="107"/>
      <c r="AI131" s="107"/>
    </row>
    <row r="132" spans="1:35" ht="22.35" customHeight="1" thickBot="1" x14ac:dyDescent="0.25">
      <c r="A132" s="169" t="s">
        <v>185</v>
      </c>
      <c r="AH132" s="170"/>
      <c r="AI132" s="170"/>
    </row>
    <row r="133" spans="1:35" ht="22.35" customHeight="1" x14ac:dyDescent="0.2">
      <c r="A133" s="169"/>
      <c r="B133" s="4212" t="s">
        <v>186</v>
      </c>
      <c r="C133" s="4230"/>
      <c r="D133" s="4231" t="s">
        <v>107</v>
      </c>
      <c r="E133" s="4232"/>
      <c r="F133" s="4233"/>
      <c r="G133" s="4230"/>
      <c r="H133" s="4231" t="s">
        <v>108</v>
      </c>
      <c r="I133" s="4232"/>
      <c r="J133" s="4233"/>
      <c r="K133" s="4230"/>
      <c r="L133" s="4231" t="s">
        <v>109</v>
      </c>
      <c r="M133" s="4232"/>
      <c r="N133" s="4233"/>
      <c r="O133" s="4230"/>
      <c r="P133" s="4231" t="s">
        <v>110</v>
      </c>
      <c r="Q133" s="4232"/>
      <c r="R133" s="4233"/>
      <c r="S133" s="4230"/>
      <c r="T133" s="4231" t="s">
        <v>111</v>
      </c>
      <c r="U133" s="4232"/>
      <c r="V133" s="4233"/>
      <c r="W133" s="4230"/>
      <c r="X133" s="4231" t="s">
        <v>112</v>
      </c>
      <c r="Y133" s="4232"/>
      <c r="Z133" s="4233"/>
      <c r="AA133" s="4230"/>
      <c r="AB133" s="4231" t="s">
        <v>113</v>
      </c>
      <c r="AC133" s="4232"/>
      <c r="AD133" s="4232"/>
      <c r="AE133" s="4234" t="s">
        <v>114</v>
      </c>
      <c r="AF133" s="4232"/>
      <c r="AG133" s="4232"/>
      <c r="AH133" s="4232"/>
      <c r="AI133" s="4235"/>
    </row>
    <row r="134" spans="1:35" ht="22.35" customHeight="1" x14ac:dyDescent="0.2">
      <c r="A134" s="169"/>
      <c r="B134" s="3790" t="s">
        <v>159</v>
      </c>
      <c r="C134" s="3791">
        <v>69</v>
      </c>
      <c r="D134" s="3792" t="s">
        <v>187</v>
      </c>
      <c r="E134" s="3792"/>
      <c r="F134" s="3793"/>
      <c r="G134" s="3791">
        <v>69</v>
      </c>
      <c r="H134" s="3792" t="s">
        <v>187</v>
      </c>
      <c r="I134" s="3792"/>
      <c r="J134" s="3793"/>
      <c r="K134" s="3791">
        <v>69</v>
      </c>
      <c r="L134" s="3792" t="s">
        <v>187</v>
      </c>
      <c r="M134" s="3792"/>
      <c r="N134" s="3793"/>
      <c r="O134" s="3791">
        <v>69</v>
      </c>
      <c r="P134" s="3792" t="s">
        <v>187</v>
      </c>
      <c r="Q134" s="3792"/>
      <c r="R134" s="3793"/>
      <c r="S134" s="3791">
        <v>69</v>
      </c>
      <c r="T134" s="3792" t="s">
        <v>187</v>
      </c>
      <c r="U134" s="3792"/>
      <c r="V134" s="3793"/>
      <c r="W134" s="3791"/>
      <c r="X134" s="3794"/>
      <c r="Y134" s="3794"/>
      <c r="Z134" s="3795"/>
      <c r="AA134" s="3791"/>
      <c r="AB134" s="3792"/>
      <c r="AC134" s="3792"/>
      <c r="AD134" s="3644"/>
      <c r="AE134" s="3796">
        <v>35</v>
      </c>
      <c r="AF134" s="3792"/>
      <c r="AG134" s="3792"/>
      <c r="AH134" s="3644"/>
      <c r="AI134" s="3797"/>
    </row>
    <row r="135" spans="1:35" ht="22.35" customHeight="1" x14ac:dyDescent="0.2">
      <c r="A135" s="169"/>
      <c r="B135" s="3790" t="s">
        <v>163</v>
      </c>
      <c r="C135" s="3791">
        <v>79</v>
      </c>
      <c r="D135" s="3792" t="s">
        <v>188</v>
      </c>
      <c r="E135" s="3792"/>
      <c r="F135" s="3793"/>
      <c r="G135" s="3791">
        <v>79</v>
      </c>
      <c r="H135" s="3792" t="s">
        <v>188</v>
      </c>
      <c r="I135" s="3792"/>
      <c r="J135" s="3793"/>
      <c r="K135" s="3791">
        <v>79</v>
      </c>
      <c r="L135" s="3792" t="s">
        <v>188</v>
      </c>
      <c r="M135" s="3792"/>
      <c r="N135" s="3793"/>
      <c r="O135" s="3791">
        <v>79</v>
      </c>
      <c r="P135" s="3792" t="s">
        <v>188</v>
      </c>
      <c r="Q135" s="3792"/>
      <c r="R135" s="3793"/>
      <c r="S135" s="3791">
        <v>79</v>
      </c>
      <c r="T135" s="3792" t="s">
        <v>188</v>
      </c>
      <c r="U135" s="3792"/>
      <c r="V135" s="3793"/>
      <c r="W135" s="3791"/>
      <c r="X135" s="3792"/>
      <c r="Y135" s="3792"/>
      <c r="Z135" s="3793"/>
      <c r="AA135" s="3792"/>
      <c r="AB135" s="3792"/>
      <c r="AC135" s="3792"/>
      <c r="AD135" s="3644"/>
      <c r="AE135" s="3796">
        <v>40</v>
      </c>
      <c r="AF135" s="3792"/>
      <c r="AG135" s="3792"/>
      <c r="AH135" s="3644"/>
      <c r="AI135" s="3797"/>
    </row>
    <row r="136" spans="1:35" ht="22.35" customHeight="1" x14ac:dyDescent="0.2">
      <c r="A136" s="169"/>
      <c r="B136" s="3790" t="s">
        <v>170</v>
      </c>
      <c r="C136" s="3791">
        <v>89</v>
      </c>
      <c r="D136" s="3792" t="s">
        <v>189</v>
      </c>
      <c r="E136" s="3792"/>
      <c r="F136" s="3793"/>
      <c r="G136" s="3791">
        <v>89</v>
      </c>
      <c r="H136" s="3792" t="s">
        <v>189</v>
      </c>
      <c r="I136" s="3792"/>
      <c r="J136" s="3793"/>
      <c r="K136" s="3791">
        <v>89</v>
      </c>
      <c r="L136" s="3792" t="s">
        <v>189</v>
      </c>
      <c r="M136" s="3792"/>
      <c r="N136" s="3793"/>
      <c r="O136" s="3791">
        <v>89</v>
      </c>
      <c r="P136" s="3792" t="s">
        <v>189</v>
      </c>
      <c r="Q136" s="3792"/>
      <c r="R136" s="3793"/>
      <c r="S136" s="3791">
        <v>89</v>
      </c>
      <c r="T136" s="3792" t="s">
        <v>190</v>
      </c>
      <c r="U136" s="3792"/>
      <c r="V136" s="3793"/>
      <c r="W136" s="3798"/>
      <c r="X136" s="4236" t="s">
        <v>191</v>
      </c>
      <c r="Y136" s="4236"/>
      <c r="Z136" s="3800"/>
      <c r="AA136" s="3798"/>
      <c r="AB136" s="4236"/>
      <c r="AC136" s="4236"/>
      <c r="AD136" s="4138"/>
      <c r="AE136" s="3796">
        <v>44</v>
      </c>
      <c r="AF136" s="3792"/>
      <c r="AG136" s="3792"/>
      <c r="AH136" s="3644"/>
      <c r="AI136" s="3797"/>
    </row>
    <row r="137" spans="1:35" ht="22.35" customHeight="1" x14ac:dyDescent="0.2">
      <c r="A137" s="169"/>
      <c r="B137" s="38" t="s">
        <v>172</v>
      </c>
      <c r="C137" s="3798">
        <v>99</v>
      </c>
      <c r="D137" s="4236" t="s">
        <v>192</v>
      </c>
      <c r="E137" s="4236"/>
      <c r="F137" s="3800"/>
      <c r="G137" s="3798">
        <v>99</v>
      </c>
      <c r="H137" s="4236" t="s">
        <v>192</v>
      </c>
      <c r="I137" s="4236"/>
      <c r="J137" s="3800"/>
      <c r="K137" s="3798">
        <v>99</v>
      </c>
      <c r="L137" s="4236" t="s">
        <v>192</v>
      </c>
      <c r="M137" s="4236"/>
      <c r="N137" s="3800"/>
      <c r="O137" s="3798">
        <v>99</v>
      </c>
      <c r="P137" s="4236" t="s">
        <v>192</v>
      </c>
      <c r="Q137" s="4236"/>
      <c r="R137" s="3800"/>
      <c r="S137" s="3798">
        <v>99</v>
      </c>
      <c r="T137" s="4236" t="s">
        <v>171</v>
      </c>
      <c r="U137" s="4236"/>
      <c r="V137" s="4138"/>
      <c r="W137" s="4137"/>
      <c r="X137" s="4138"/>
      <c r="Y137" s="4236"/>
      <c r="Z137" s="3800"/>
      <c r="AA137" s="4137"/>
      <c r="AB137" s="4138"/>
      <c r="AC137" s="4236"/>
      <c r="AD137" s="3800"/>
      <c r="AE137" s="3801">
        <v>28</v>
      </c>
      <c r="AF137" s="4236"/>
      <c r="AG137" s="4236"/>
      <c r="AH137" s="4138"/>
      <c r="AI137" s="3802"/>
    </row>
    <row r="138" spans="1:35" ht="22.35" customHeight="1" thickBot="1" x14ac:dyDescent="0.25">
      <c r="A138" s="169"/>
      <c r="B138" s="3803" t="s">
        <v>193</v>
      </c>
      <c r="C138" s="3804" t="s">
        <v>58</v>
      </c>
      <c r="D138" s="3805" t="s">
        <v>194</v>
      </c>
      <c r="E138" s="3806"/>
      <c r="F138" s="3589"/>
      <c r="G138" s="3804" t="s">
        <v>58</v>
      </c>
      <c r="H138" s="3805" t="s">
        <v>194</v>
      </c>
      <c r="I138" s="3587"/>
      <c r="J138" s="3806"/>
      <c r="K138" s="3804" t="s">
        <v>58</v>
      </c>
      <c r="L138" s="3805" t="s">
        <v>194</v>
      </c>
      <c r="M138" s="3806"/>
      <c r="N138" s="3807"/>
      <c r="O138" s="3804" t="s">
        <v>58</v>
      </c>
      <c r="P138" s="3805" t="s">
        <v>194</v>
      </c>
      <c r="Q138" s="3806"/>
      <c r="R138" s="3805"/>
      <c r="S138" s="3804" t="s">
        <v>58</v>
      </c>
      <c r="T138" s="3591" t="s">
        <v>195</v>
      </c>
      <c r="U138" s="3805"/>
      <c r="V138" s="3807"/>
      <c r="W138" s="3806"/>
      <c r="X138" s="3805"/>
      <c r="Y138" s="3805"/>
      <c r="Z138" s="3805"/>
      <c r="AA138" s="3808"/>
      <c r="AB138" s="3809"/>
      <c r="AC138" s="3805"/>
      <c r="AD138" s="3810"/>
      <c r="AE138" s="3805"/>
      <c r="AF138" s="3805"/>
      <c r="AG138" s="3805"/>
      <c r="AH138" s="3811"/>
      <c r="AI138" s="3812"/>
    </row>
    <row r="139" spans="1:35" ht="22.35" customHeight="1" x14ac:dyDescent="0.2">
      <c r="A139" s="108"/>
      <c r="B139" s="169"/>
      <c r="C139" s="171"/>
      <c r="D139" s="171"/>
      <c r="E139" s="171"/>
      <c r="F139" s="171"/>
      <c r="G139" s="171"/>
      <c r="H139" s="171"/>
      <c r="I139" s="171"/>
      <c r="J139" s="171"/>
      <c r="K139" s="171"/>
      <c r="L139" s="171"/>
      <c r="M139" s="171"/>
      <c r="N139" s="171"/>
      <c r="O139" s="171"/>
      <c r="P139" s="171"/>
      <c r="Q139" s="171"/>
      <c r="R139" s="171"/>
      <c r="S139" s="171"/>
      <c r="T139" s="171"/>
      <c r="U139" s="171"/>
      <c r="V139" s="171"/>
      <c r="W139" s="171"/>
      <c r="X139" s="171"/>
      <c r="Y139" s="171"/>
      <c r="Z139" s="171"/>
      <c r="AA139" s="171"/>
      <c r="AB139" s="171"/>
      <c r="AC139" s="171"/>
      <c r="AD139" s="171"/>
      <c r="AE139" s="171"/>
      <c r="AF139" s="171"/>
      <c r="AG139" s="171"/>
      <c r="AH139" s="170"/>
      <c r="AI139" s="170"/>
    </row>
    <row r="140" spans="1:35" ht="22.35" customHeight="1" thickBot="1" x14ac:dyDescent="0.25">
      <c r="A140" s="3718"/>
      <c r="B140" s="4107" t="s">
        <v>29</v>
      </c>
      <c r="C140" s="4032">
        <v>1</v>
      </c>
      <c r="D140" s="4032">
        <v>2</v>
      </c>
      <c r="E140" s="4032">
        <v>3</v>
      </c>
      <c r="F140" s="4033">
        <v>4</v>
      </c>
      <c r="G140" s="4033">
        <v>5</v>
      </c>
      <c r="H140" s="4032">
        <v>6</v>
      </c>
      <c r="I140" s="4032">
        <v>7</v>
      </c>
      <c r="J140" s="4032">
        <v>8</v>
      </c>
      <c r="K140" s="4032">
        <v>9</v>
      </c>
      <c r="L140" s="4032">
        <v>10</v>
      </c>
      <c r="M140" s="4033">
        <v>11</v>
      </c>
      <c r="N140" s="4033">
        <v>12</v>
      </c>
      <c r="O140" s="4032">
        <v>13</v>
      </c>
      <c r="P140" s="4032">
        <v>14</v>
      </c>
      <c r="Q140" s="4032">
        <v>15</v>
      </c>
      <c r="R140" s="4032">
        <v>16</v>
      </c>
      <c r="S140" s="4032">
        <v>17</v>
      </c>
      <c r="T140" s="4033">
        <v>18</v>
      </c>
      <c r="U140" s="4033">
        <v>19</v>
      </c>
      <c r="V140" s="4032">
        <v>20</v>
      </c>
      <c r="W140" s="4032">
        <v>21</v>
      </c>
      <c r="X140" s="4032">
        <v>22</v>
      </c>
      <c r="Y140" s="4032">
        <v>23</v>
      </c>
      <c r="Z140" s="4032">
        <v>24</v>
      </c>
      <c r="AA140" s="4033">
        <v>25</v>
      </c>
      <c r="AB140" s="4033">
        <v>26</v>
      </c>
      <c r="AC140" s="4032">
        <v>27</v>
      </c>
      <c r="AD140" s="4032">
        <v>28</v>
      </c>
      <c r="AE140" s="4032">
        <v>29</v>
      </c>
      <c r="AF140" s="4032">
        <v>30</v>
      </c>
      <c r="AG140" s="4034">
        <v>31</v>
      </c>
      <c r="AH140" s="173"/>
      <c r="AI140" s="174"/>
    </row>
    <row r="141" spans="1:35" ht="22.35" customHeight="1" x14ac:dyDescent="0.2">
      <c r="A141" s="4209">
        <v>1</v>
      </c>
      <c r="B141" s="4237" t="s">
        <v>196</v>
      </c>
      <c r="C141" s="3815">
        <v>89</v>
      </c>
      <c r="D141" s="3815">
        <v>89</v>
      </c>
      <c r="E141" s="3815">
        <v>89</v>
      </c>
      <c r="F141" s="3815">
        <v>89</v>
      </c>
      <c r="G141" s="3815"/>
      <c r="H141" s="4238">
        <v>99</v>
      </c>
      <c r="I141" s="4239">
        <v>99</v>
      </c>
      <c r="J141" s="4239">
        <v>99</v>
      </c>
      <c r="K141" s="4238">
        <v>99</v>
      </c>
      <c r="L141" s="4114" t="s">
        <v>36</v>
      </c>
      <c r="M141" s="4111"/>
      <c r="N141" s="4110"/>
      <c r="O141" s="4110" t="s">
        <v>58</v>
      </c>
      <c r="P141" s="4110" t="s">
        <v>58</v>
      </c>
      <c r="Q141" s="4110" t="s">
        <v>58</v>
      </c>
      <c r="R141" s="4110" t="s">
        <v>58</v>
      </c>
      <c r="S141" s="4111" t="s">
        <v>58</v>
      </c>
      <c r="T141" s="4111"/>
      <c r="U141" s="4110"/>
      <c r="V141" s="4110">
        <v>69</v>
      </c>
      <c r="W141" s="4110">
        <v>69</v>
      </c>
      <c r="X141" s="4110">
        <v>69</v>
      </c>
      <c r="Y141" s="4110">
        <v>69</v>
      </c>
      <c r="Z141" s="4110">
        <v>69</v>
      </c>
      <c r="AA141" s="4114"/>
      <c r="AB141" s="4110"/>
      <c r="AC141" s="4110">
        <v>79</v>
      </c>
      <c r="AD141" s="4110">
        <v>79</v>
      </c>
      <c r="AE141" s="4110">
        <v>79</v>
      </c>
      <c r="AF141" s="4240">
        <v>79</v>
      </c>
      <c r="AG141" s="4115">
        <v>79</v>
      </c>
      <c r="AH141" s="191"/>
      <c r="AI141" s="107"/>
    </row>
    <row r="142" spans="1:35" ht="22.35" customHeight="1" x14ac:dyDescent="0.2">
      <c r="A142" s="3757">
        <v>2</v>
      </c>
      <c r="B142" s="3663" t="s">
        <v>197</v>
      </c>
      <c r="C142" s="4047">
        <v>99</v>
      </c>
      <c r="D142" s="4047">
        <v>99</v>
      </c>
      <c r="E142" s="4047" t="s">
        <v>36</v>
      </c>
      <c r="F142" s="4047"/>
      <c r="G142" s="4047"/>
      <c r="H142" s="3616" t="s">
        <v>58</v>
      </c>
      <c r="I142" s="3616" t="s">
        <v>58</v>
      </c>
      <c r="J142" s="3616" t="s">
        <v>58</v>
      </c>
      <c r="K142" s="3616" t="s">
        <v>58</v>
      </c>
      <c r="L142" s="3616" t="s">
        <v>58</v>
      </c>
      <c r="M142" s="4066"/>
      <c r="N142" s="3616"/>
      <c r="O142" s="3616">
        <v>69</v>
      </c>
      <c r="P142" s="3616">
        <v>69</v>
      </c>
      <c r="Q142" s="3616">
        <v>69</v>
      </c>
      <c r="R142" s="4050">
        <v>69</v>
      </c>
      <c r="S142" s="3616">
        <v>69</v>
      </c>
      <c r="T142" s="4066"/>
      <c r="U142" s="3616"/>
      <c r="V142" s="3616">
        <v>79</v>
      </c>
      <c r="W142" s="3616">
        <v>79</v>
      </c>
      <c r="X142" s="3616">
        <v>79</v>
      </c>
      <c r="Y142" s="3616">
        <v>79</v>
      </c>
      <c r="Z142" s="3616">
        <v>79</v>
      </c>
      <c r="AA142" s="4066"/>
      <c r="AB142" s="4050"/>
      <c r="AC142" s="3550">
        <v>89</v>
      </c>
      <c r="AD142" s="3550">
        <v>89</v>
      </c>
      <c r="AE142" s="3818">
        <v>89</v>
      </c>
      <c r="AF142" s="3550">
        <v>89</v>
      </c>
      <c r="AG142" s="3661">
        <v>89</v>
      </c>
      <c r="AH142" s="192"/>
      <c r="AI142" s="168"/>
    </row>
    <row r="143" spans="1:35" ht="22.35" customHeight="1" x14ac:dyDescent="0.2">
      <c r="A143" s="3757">
        <v>3</v>
      </c>
      <c r="B143" s="3663" t="s">
        <v>360</v>
      </c>
      <c r="C143" s="3666" t="s">
        <v>58</v>
      </c>
      <c r="D143" s="3666" t="s">
        <v>58</v>
      </c>
      <c r="E143" s="3666" t="s">
        <v>58</v>
      </c>
      <c r="F143" s="3666"/>
      <c r="G143" s="3666"/>
      <c r="H143" s="3666">
        <v>69</v>
      </c>
      <c r="I143" s="3666">
        <v>69</v>
      </c>
      <c r="J143" s="3666">
        <v>69</v>
      </c>
      <c r="K143" s="3666">
        <v>69</v>
      </c>
      <c r="L143" s="3666">
        <v>69</v>
      </c>
      <c r="M143" s="3666"/>
      <c r="N143" s="3666"/>
      <c r="O143" s="3550">
        <v>79</v>
      </c>
      <c r="P143" s="3550">
        <v>79</v>
      </c>
      <c r="Q143" s="3550">
        <v>79</v>
      </c>
      <c r="R143" s="3550">
        <v>79</v>
      </c>
      <c r="S143" s="3550">
        <v>79</v>
      </c>
      <c r="T143" s="3550"/>
      <c r="U143" s="3550"/>
      <c r="V143" s="3818">
        <v>89</v>
      </c>
      <c r="W143" s="3666">
        <v>89</v>
      </c>
      <c r="X143" s="3666">
        <v>89</v>
      </c>
      <c r="Y143" s="3666">
        <v>89</v>
      </c>
      <c r="Z143" s="3666">
        <v>89</v>
      </c>
      <c r="AA143" s="4241">
        <v>89</v>
      </c>
      <c r="AB143" s="3666"/>
      <c r="AC143" s="3666">
        <v>99</v>
      </c>
      <c r="AD143" s="3666">
        <v>99</v>
      </c>
      <c r="AE143" s="3666">
        <v>99</v>
      </c>
      <c r="AF143" s="3666">
        <v>99</v>
      </c>
      <c r="AG143" s="3819" t="s">
        <v>36</v>
      </c>
      <c r="AH143" s="191"/>
      <c r="AI143" s="107"/>
    </row>
    <row r="144" spans="1:35" ht="22.35" customHeight="1" x14ac:dyDescent="0.2">
      <c r="A144" s="3757">
        <v>4</v>
      </c>
      <c r="B144" s="3820" t="s">
        <v>473</v>
      </c>
      <c r="C144" s="4066">
        <v>69</v>
      </c>
      <c r="D144" s="4066">
        <v>69</v>
      </c>
      <c r="E144" s="4066">
        <v>69</v>
      </c>
      <c r="F144" s="4066"/>
      <c r="G144" s="4066"/>
      <c r="H144" s="4066">
        <v>79</v>
      </c>
      <c r="I144" s="4066">
        <v>79</v>
      </c>
      <c r="J144" s="4066">
        <v>79</v>
      </c>
      <c r="K144" s="4066">
        <v>79</v>
      </c>
      <c r="L144" s="4066">
        <v>79</v>
      </c>
      <c r="M144" s="4066"/>
      <c r="N144" s="4066"/>
      <c r="O144" s="4066">
        <v>89</v>
      </c>
      <c r="P144" s="4066">
        <v>89</v>
      </c>
      <c r="Q144" s="3690">
        <v>89</v>
      </c>
      <c r="R144" s="3683">
        <v>89</v>
      </c>
      <c r="S144" s="4066">
        <v>89</v>
      </c>
      <c r="T144" s="4066">
        <v>89</v>
      </c>
      <c r="U144" s="4066"/>
      <c r="V144" s="4066">
        <v>99</v>
      </c>
      <c r="W144" s="4066">
        <v>99</v>
      </c>
      <c r="X144" s="4066">
        <v>99</v>
      </c>
      <c r="Y144" s="3690">
        <v>99</v>
      </c>
      <c r="Z144" s="3690" t="s">
        <v>36</v>
      </c>
      <c r="AA144" s="4066"/>
      <c r="AB144" s="4066"/>
      <c r="AC144" s="4065" t="s">
        <v>58</v>
      </c>
      <c r="AD144" s="4065" t="s">
        <v>58</v>
      </c>
      <c r="AE144" s="4065" t="s">
        <v>58</v>
      </c>
      <c r="AF144" s="4065" t="s">
        <v>201</v>
      </c>
      <c r="AG144" s="4120" t="s">
        <v>201</v>
      </c>
      <c r="AH144" s="191"/>
      <c r="AI144" s="107"/>
    </row>
    <row r="145" spans="1:35" ht="22.35" customHeight="1" thickBot="1" x14ac:dyDescent="0.25">
      <c r="A145" s="3760">
        <v>5</v>
      </c>
      <c r="B145" s="3821" t="s">
        <v>202</v>
      </c>
      <c r="C145" s="3721">
        <v>79</v>
      </c>
      <c r="D145" s="3721">
        <v>79</v>
      </c>
      <c r="E145" s="3721">
        <v>79</v>
      </c>
      <c r="F145" s="4032"/>
      <c r="G145" s="4032"/>
      <c r="H145" s="3610">
        <v>89</v>
      </c>
      <c r="I145" s="3610">
        <v>89</v>
      </c>
      <c r="J145" s="3610">
        <v>89</v>
      </c>
      <c r="K145" s="3610">
        <v>89</v>
      </c>
      <c r="L145" s="4032">
        <v>89</v>
      </c>
      <c r="M145" s="4032">
        <v>89</v>
      </c>
      <c r="N145" s="3721"/>
      <c r="O145" s="3721">
        <v>99</v>
      </c>
      <c r="P145" s="3721">
        <v>99</v>
      </c>
      <c r="Q145" s="3721">
        <v>99</v>
      </c>
      <c r="R145" s="4242">
        <v>99</v>
      </c>
      <c r="S145" s="4032" t="s">
        <v>36</v>
      </c>
      <c r="T145" s="3822"/>
      <c r="U145" s="3721"/>
      <c r="V145" s="3721" t="s">
        <v>58</v>
      </c>
      <c r="W145" s="3721" t="s">
        <v>58</v>
      </c>
      <c r="X145" s="3721" t="s">
        <v>58</v>
      </c>
      <c r="Y145" s="3721" t="s">
        <v>58</v>
      </c>
      <c r="Z145" s="3721" t="s">
        <v>58</v>
      </c>
      <c r="AA145" s="3611"/>
      <c r="AB145" s="3721"/>
      <c r="AC145" s="3721">
        <v>69</v>
      </c>
      <c r="AD145" s="3721">
        <v>69</v>
      </c>
      <c r="AE145" s="3721">
        <v>69</v>
      </c>
      <c r="AF145" s="3721">
        <v>69</v>
      </c>
      <c r="AG145" s="3825">
        <v>69</v>
      </c>
      <c r="AH145" s="191"/>
      <c r="AI145" s="107"/>
    </row>
    <row r="146" spans="1:35" ht="22.35" customHeight="1" x14ac:dyDescent="0.2">
      <c r="A146" s="200"/>
      <c r="AH146" s="191"/>
      <c r="AI146" s="107"/>
    </row>
    <row r="147" spans="1:35" ht="22.35" customHeight="1" x14ac:dyDescent="0.2">
      <c r="A147" s="109"/>
      <c r="B147" s="217" t="s">
        <v>0</v>
      </c>
      <c r="C147" s="218"/>
      <c r="D147" s="218"/>
      <c r="E147" s="218"/>
      <c r="F147" s="199"/>
      <c r="G147" s="216"/>
      <c r="H147" s="216"/>
      <c r="I147" s="216"/>
      <c r="J147" s="216"/>
      <c r="K147" s="216"/>
      <c r="L147" s="199"/>
      <c r="M147" s="199"/>
      <c r="N147" s="218"/>
      <c r="O147" s="218"/>
      <c r="P147" s="218"/>
      <c r="Q147" s="218"/>
      <c r="R147" s="218"/>
      <c r="S147" s="199"/>
      <c r="T147" s="219"/>
      <c r="U147" s="218"/>
      <c r="V147" s="218"/>
      <c r="W147" s="218"/>
      <c r="X147" s="218"/>
      <c r="Y147" s="218"/>
      <c r="Z147" s="220"/>
      <c r="AA147" s="220"/>
      <c r="AB147" s="218"/>
      <c r="AC147" s="218"/>
      <c r="AD147" s="218"/>
      <c r="AE147" s="218"/>
      <c r="AF147" s="218"/>
      <c r="AG147" s="220"/>
      <c r="AH147" s="107"/>
      <c r="AI147" s="107"/>
    </row>
    <row r="148" spans="1:35" ht="22.35" customHeight="1" thickBot="1" x14ac:dyDescent="0.25">
      <c r="A148" s="169" t="s">
        <v>204</v>
      </c>
      <c r="B148" s="110"/>
      <c r="C148" s="106"/>
      <c r="D148" s="106"/>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c r="AD148" s="106"/>
      <c r="AE148" s="106"/>
      <c r="AF148" s="106"/>
      <c r="AG148" s="106"/>
      <c r="AH148" s="170"/>
      <c r="AI148" s="170"/>
    </row>
    <row r="149" spans="1:35" ht="22.35" customHeight="1" x14ac:dyDescent="0.2">
      <c r="A149" s="169"/>
      <c r="B149" s="4212" t="s">
        <v>186</v>
      </c>
      <c r="C149" s="4230"/>
      <c r="D149" s="4231" t="s">
        <v>107</v>
      </c>
      <c r="E149" s="4232"/>
      <c r="F149" s="4233"/>
      <c r="G149" s="4230"/>
      <c r="H149" s="4231" t="s">
        <v>108</v>
      </c>
      <c r="I149" s="4232"/>
      <c r="J149" s="4233"/>
      <c r="K149" s="4230"/>
      <c r="L149" s="4231" t="s">
        <v>109</v>
      </c>
      <c r="M149" s="4232"/>
      <c r="N149" s="4233"/>
      <c r="O149" s="4230"/>
      <c r="P149" s="4231" t="s">
        <v>110</v>
      </c>
      <c r="Q149" s="4232"/>
      <c r="R149" s="4233"/>
      <c r="S149" s="4230"/>
      <c r="T149" s="4231" t="s">
        <v>111</v>
      </c>
      <c r="U149" s="4232"/>
      <c r="V149" s="4233"/>
      <c r="W149" s="4230"/>
      <c r="X149" s="4231" t="s">
        <v>112</v>
      </c>
      <c r="Y149" s="4232"/>
      <c r="Z149" s="4233"/>
      <c r="AA149" s="4230"/>
      <c r="AB149" s="4231" t="s">
        <v>113</v>
      </c>
      <c r="AC149" s="4232"/>
      <c r="AD149" s="4232"/>
      <c r="AE149" s="4234" t="s">
        <v>114</v>
      </c>
      <c r="AF149" s="4232"/>
      <c r="AG149" s="4232"/>
      <c r="AH149" s="4232"/>
      <c r="AI149" s="4235"/>
    </row>
    <row r="150" spans="1:35" ht="22.35" customHeight="1" x14ac:dyDescent="0.2">
      <c r="A150" s="169"/>
      <c r="B150" s="3790" t="s">
        <v>205</v>
      </c>
      <c r="C150" s="3643" t="s">
        <v>206</v>
      </c>
      <c r="D150" s="3792"/>
      <c r="E150" s="3792"/>
      <c r="F150" s="3793"/>
      <c r="G150" s="3643" t="s">
        <v>206</v>
      </c>
      <c r="H150" s="3792"/>
      <c r="I150" s="3792"/>
      <c r="J150" s="3793"/>
      <c r="K150" s="3643" t="s">
        <v>206</v>
      </c>
      <c r="L150" s="3792"/>
      <c r="M150" s="3792"/>
      <c r="N150" s="3793"/>
      <c r="O150" s="3643" t="s">
        <v>206</v>
      </c>
      <c r="P150" s="3792"/>
      <c r="Q150" s="3792"/>
      <c r="R150" s="3793"/>
      <c r="S150" s="3643" t="s">
        <v>206</v>
      </c>
      <c r="T150" s="3792"/>
      <c r="U150" s="3792"/>
      <c r="V150" s="3793"/>
      <c r="W150" s="3643" t="s">
        <v>207</v>
      </c>
      <c r="X150" s="3794"/>
      <c r="Y150" s="3794"/>
      <c r="Z150" s="3795"/>
      <c r="AA150" s="3643" t="s">
        <v>207</v>
      </c>
      <c r="AB150" s="3792"/>
      <c r="AC150" s="3792"/>
      <c r="AD150" s="3644"/>
      <c r="AE150" s="3796">
        <v>69</v>
      </c>
      <c r="AF150" s="185"/>
      <c r="AG150" s="185"/>
      <c r="AH150" s="185"/>
      <c r="AI150" s="186"/>
    </row>
    <row r="151" spans="1:35" ht="22.35" customHeight="1" x14ac:dyDescent="0.2">
      <c r="A151" s="169"/>
      <c r="B151" s="3790" t="s">
        <v>163</v>
      </c>
      <c r="C151" s="3643" t="s">
        <v>171</v>
      </c>
      <c r="D151" s="3792"/>
      <c r="E151" s="3792"/>
      <c r="F151" s="3793"/>
      <c r="G151" s="3643" t="s">
        <v>171</v>
      </c>
      <c r="H151" s="3792"/>
      <c r="I151" s="3792"/>
      <c r="J151" s="3793"/>
      <c r="K151" s="3643" t="s">
        <v>171</v>
      </c>
      <c r="L151" s="3792"/>
      <c r="M151" s="3792"/>
      <c r="N151" s="3793"/>
      <c r="O151" s="3643" t="s">
        <v>171</v>
      </c>
      <c r="P151" s="3792"/>
      <c r="Q151" s="3792"/>
      <c r="R151" s="3793"/>
      <c r="S151" s="3643" t="s">
        <v>171</v>
      </c>
      <c r="T151" s="3792"/>
      <c r="U151" s="3792"/>
      <c r="V151" s="3793"/>
      <c r="W151" s="3643" t="s">
        <v>171</v>
      </c>
      <c r="X151" s="3792"/>
      <c r="Y151" s="3792"/>
      <c r="Z151" s="3793"/>
      <c r="AA151" s="3792" t="s">
        <v>171</v>
      </c>
      <c r="AB151" s="3792"/>
      <c r="AC151" s="3792"/>
      <c r="AD151" s="3644"/>
      <c r="AE151" s="3796">
        <v>0</v>
      </c>
      <c r="AF151" s="185"/>
      <c r="AG151" s="185"/>
      <c r="AH151" s="185"/>
      <c r="AI151" s="186"/>
    </row>
    <row r="152" spans="1:35" ht="22.35" customHeight="1" x14ac:dyDescent="0.2">
      <c r="A152" s="169"/>
      <c r="B152" s="3790" t="s">
        <v>208</v>
      </c>
      <c r="C152" s="3643" t="s">
        <v>206</v>
      </c>
      <c r="D152" s="3792"/>
      <c r="E152" s="3792"/>
      <c r="F152" s="3793"/>
      <c r="G152" s="3643" t="s">
        <v>206</v>
      </c>
      <c r="H152" s="3792"/>
      <c r="I152" s="3792"/>
      <c r="J152" s="3793"/>
      <c r="K152" s="3643" t="s">
        <v>206</v>
      </c>
      <c r="L152" s="3792"/>
      <c r="M152" s="3792"/>
      <c r="N152" s="3793"/>
      <c r="O152" s="3643" t="s">
        <v>206</v>
      </c>
      <c r="P152" s="3792"/>
      <c r="Q152" s="3792"/>
      <c r="R152" s="3793"/>
      <c r="S152" s="3643" t="s">
        <v>206</v>
      </c>
      <c r="T152" s="3792"/>
      <c r="U152" s="3792"/>
      <c r="V152" s="3793"/>
      <c r="W152" s="3643" t="s">
        <v>207</v>
      </c>
      <c r="X152" s="3794"/>
      <c r="Y152" s="3794"/>
      <c r="Z152" s="3795"/>
      <c r="AA152" s="3643" t="s">
        <v>207</v>
      </c>
      <c r="AB152" s="3792"/>
      <c r="AC152" s="3792"/>
      <c r="AD152" s="3644"/>
      <c r="AE152" s="3796">
        <v>69</v>
      </c>
      <c r="AF152" s="3792"/>
      <c r="AG152" s="3792" t="s">
        <v>0</v>
      </c>
      <c r="AH152" s="3644"/>
      <c r="AI152" s="3797"/>
    </row>
    <row r="153" spans="1:35" ht="22.35" customHeight="1" x14ac:dyDescent="0.2">
      <c r="A153" s="169"/>
      <c r="B153" s="3790" t="s">
        <v>172</v>
      </c>
      <c r="C153" s="3643" t="s">
        <v>171</v>
      </c>
      <c r="D153" s="3792"/>
      <c r="E153" s="3792"/>
      <c r="F153" s="3793"/>
      <c r="G153" s="3643" t="s">
        <v>171</v>
      </c>
      <c r="H153" s="3792"/>
      <c r="I153" s="3792"/>
      <c r="J153" s="3793"/>
      <c r="K153" s="3643" t="s">
        <v>171</v>
      </c>
      <c r="L153" s="3792"/>
      <c r="M153" s="3792"/>
      <c r="N153" s="3793"/>
      <c r="O153" s="3643" t="s">
        <v>171</v>
      </c>
      <c r="P153" s="3792"/>
      <c r="Q153" s="3792"/>
      <c r="R153" s="3793"/>
      <c r="S153" s="3643" t="s">
        <v>171</v>
      </c>
      <c r="T153" s="3792"/>
      <c r="U153" s="3792"/>
      <c r="V153" s="3793"/>
      <c r="W153" s="3643" t="s">
        <v>171</v>
      </c>
      <c r="X153" s="3792"/>
      <c r="Y153" s="3792"/>
      <c r="Z153" s="3793"/>
      <c r="AA153" s="3792" t="s">
        <v>171</v>
      </c>
      <c r="AB153" s="3792"/>
      <c r="AC153" s="3792"/>
      <c r="AD153" s="3644"/>
      <c r="AE153" s="3796">
        <v>0</v>
      </c>
      <c r="AF153" s="3792"/>
      <c r="AG153" s="3792"/>
      <c r="AH153" s="3644"/>
      <c r="AI153" s="3797"/>
    </row>
    <row r="154" spans="1:35" ht="22.35" customHeight="1" x14ac:dyDescent="0.2">
      <c r="A154" s="169"/>
      <c r="B154" s="3790" t="s">
        <v>209</v>
      </c>
      <c r="C154" s="3643" t="s">
        <v>206</v>
      </c>
      <c r="D154" s="3792"/>
      <c r="E154" s="3792"/>
      <c r="F154" s="3793"/>
      <c r="G154" s="3643" t="s">
        <v>206</v>
      </c>
      <c r="H154" s="3792"/>
      <c r="I154" s="3792"/>
      <c r="J154" s="3793"/>
      <c r="K154" s="3643" t="s">
        <v>206</v>
      </c>
      <c r="L154" s="3792"/>
      <c r="M154" s="3792"/>
      <c r="N154" s="3793"/>
      <c r="O154" s="3643" t="s">
        <v>206</v>
      </c>
      <c r="P154" s="3792"/>
      <c r="Q154" s="3792"/>
      <c r="R154" s="3793"/>
      <c r="S154" s="3643" t="s">
        <v>206</v>
      </c>
      <c r="T154" s="3792"/>
      <c r="U154" s="3792"/>
      <c r="V154" s="3793"/>
      <c r="W154" s="3643" t="s">
        <v>210</v>
      </c>
      <c r="X154" s="4236"/>
      <c r="Y154" s="4236"/>
      <c r="Z154" s="3800"/>
      <c r="AA154" s="3643" t="s">
        <v>210</v>
      </c>
      <c r="AB154" s="4236"/>
      <c r="AC154" s="4236"/>
      <c r="AD154" s="4138"/>
      <c r="AE154" s="3796">
        <v>66</v>
      </c>
      <c r="AF154" s="3792"/>
      <c r="AG154" s="3792"/>
      <c r="AH154" s="3644"/>
      <c r="AI154" s="3797"/>
    </row>
    <row r="155" spans="1:35" ht="22.35" customHeight="1" thickBot="1" x14ac:dyDescent="0.25">
      <c r="A155" s="169"/>
      <c r="B155" s="3790" t="s">
        <v>211</v>
      </c>
      <c r="C155" s="3826" t="s">
        <v>171</v>
      </c>
      <c r="D155" s="3827"/>
      <c r="E155" s="3827"/>
      <c r="F155" s="3828"/>
      <c r="G155" s="3826" t="s">
        <v>171</v>
      </c>
      <c r="H155" s="3827"/>
      <c r="I155" s="3827"/>
      <c r="J155" s="3828"/>
      <c r="K155" s="3826" t="s">
        <v>171</v>
      </c>
      <c r="L155" s="3827"/>
      <c r="M155" s="3827"/>
      <c r="N155" s="3828"/>
      <c r="O155" s="3826" t="s">
        <v>171</v>
      </c>
      <c r="P155" s="3827"/>
      <c r="Q155" s="3827"/>
      <c r="R155" s="3828"/>
      <c r="S155" s="3826" t="s">
        <v>171</v>
      </c>
      <c r="T155" s="3827"/>
      <c r="U155" s="3827"/>
      <c r="V155" s="3811"/>
      <c r="W155" s="3826" t="s">
        <v>171</v>
      </c>
      <c r="X155" s="3811"/>
      <c r="Y155" s="3827"/>
      <c r="Z155" s="3828"/>
      <c r="AA155" s="3826" t="s">
        <v>171</v>
      </c>
      <c r="AB155" s="3811"/>
      <c r="AC155" s="3827"/>
      <c r="AD155" s="3828"/>
      <c r="AE155" s="3829" t="s">
        <v>212</v>
      </c>
      <c r="AF155" s="3827"/>
      <c r="AG155" s="3827"/>
      <c r="AH155" s="3811"/>
      <c r="AI155" s="3812"/>
    </row>
    <row r="156" spans="1:35" ht="22.35" customHeight="1" x14ac:dyDescent="0.2">
      <c r="A156" s="108"/>
      <c r="B156" s="169"/>
      <c r="C156" s="171"/>
      <c r="D156" s="171"/>
      <c r="E156" s="171"/>
      <c r="F156" s="171"/>
      <c r="G156" s="171"/>
      <c r="H156" s="171"/>
      <c r="I156" s="171"/>
      <c r="J156" s="171"/>
      <c r="K156" s="171"/>
      <c r="L156" s="171"/>
      <c r="M156" s="171"/>
      <c r="N156" s="171"/>
      <c r="O156" s="171"/>
      <c r="P156" s="171"/>
      <c r="Q156" s="171"/>
      <c r="R156" s="171"/>
      <c r="S156" s="171"/>
      <c r="T156" s="171"/>
      <c r="U156" s="171"/>
      <c r="V156" s="171"/>
      <c r="W156" s="171"/>
      <c r="X156" s="171"/>
      <c r="Y156" s="171"/>
      <c r="Z156" s="171"/>
      <c r="AA156" s="171"/>
      <c r="AB156" s="171"/>
      <c r="AC156" s="171"/>
      <c r="AD156" s="171"/>
      <c r="AE156" s="171"/>
      <c r="AF156" s="171"/>
      <c r="AG156" s="171"/>
      <c r="AH156" s="170"/>
      <c r="AI156" s="170"/>
    </row>
    <row r="157" spans="1:35" ht="22.35" customHeight="1" thickBot="1" x14ac:dyDescent="0.25">
      <c r="A157" s="3718"/>
      <c r="B157" s="3656" t="s">
        <v>29</v>
      </c>
      <c r="C157" s="4032">
        <v>1</v>
      </c>
      <c r="D157" s="4032">
        <v>2</v>
      </c>
      <c r="E157" s="4032">
        <v>3</v>
      </c>
      <c r="F157" s="4033">
        <v>4</v>
      </c>
      <c r="G157" s="4033">
        <v>5</v>
      </c>
      <c r="H157" s="4032">
        <v>6</v>
      </c>
      <c r="I157" s="4032">
        <v>7</v>
      </c>
      <c r="J157" s="4032">
        <v>8</v>
      </c>
      <c r="K157" s="4032">
        <v>9</v>
      </c>
      <c r="L157" s="4032">
        <v>10</v>
      </c>
      <c r="M157" s="4033">
        <v>11</v>
      </c>
      <c r="N157" s="4033">
        <v>12</v>
      </c>
      <c r="O157" s="4032">
        <v>13</v>
      </c>
      <c r="P157" s="4032">
        <v>14</v>
      </c>
      <c r="Q157" s="4032">
        <v>15</v>
      </c>
      <c r="R157" s="4032">
        <v>16</v>
      </c>
      <c r="S157" s="4032">
        <v>17</v>
      </c>
      <c r="T157" s="4033">
        <v>18</v>
      </c>
      <c r="U157" s="4033">
        <v>19</v>
      </c>
      <c r="V157" s="4032">
        <v>20</v>
      </c>
      <c r="W157" s="4032">
        <v>21</v>
      </c>
      <c r="X157" s="4032">
        <v>22</v>
      </c>
      <c r="Y157" s="4032">
        <v>23</v>
      </c>
      <c r="Z157" s="4032">
        <v>24</v>
      </c>
      <c r="AA157" s="4033">
        <v>25</v>
      </c>
      <c r="AB157" s="4033">
        <v>26</v>
      </c>
      <c r="AC157" s="4032">
        <v>27</v>
      </c>
      <c r="AD157" s="4032">
        <v>28</v>
      </c>
      <c r="AE157" s="4032">
        <v>29</v>
      </c>
      <c r="AF157" s="4032">
        <v>30</v>
      </c>
      <c r="AG157" s="4034">
        <v>31</v>
      </c>
      <c r="AH157" s="173"/>
      <c r="AI157" s="174"/>
    </row>
    <row r="158" spans="1:35" ht="22.35" customHeight="1" thickBot="1" x14ac:dyDescent="0.25">
      <c r="A158" s="4243">
        <v>1</v>
      </c>
      <c r="B158" s="215" t="s">
        <v>213</v>
      </c>
      <c r="C158" s="3833">
        <v>23</v>
      </c>
      <c r="D158" s="3833">
        <v>23</v>
      </c>
      <c r="E158" s="3833">
        <v>23</v>
      </c>
      <c r="F158" s="3833">
        <v>23</v>
      </c>
      <c r="G158" s="4244">
        <v>23</v>
      </c>
      <c r="H158" s="3833" t="s">
        <v>36</v>
      </c>
      <c r="I158" s="4245" t="s">
        <v>36</v>
      </c>
      <c r="J158" s="4244" t="s">
        <v>36</v>
      </c>
      <c r="K158" s="3833" t="s">
        <v>36</v>
      </c>
      <c r="L158" s="4245" t="s">
        <v>36</v>
      </c>
      <c r="M158" s="4244"/>
      <c r="N158" s="4244"/>
      <c r="O158" s="3833">
        <v>21</v>
      </c>
      <c r="P158" s="3833">
        <v>21</v>
      </c>
      <c r="Q158" s="3833">
        <v>21</v>
      </c>
      <c r="R158" s="3833">
        <v>21</v>
      </c>
      <c r="S158" s="3833">
        <v>21</v>
      </c>
      <c r="T158" s="3833">
        <v>21</v>
      </c>
      <c r="U158" s="3833">
        <v>21</v>
      </c>
      <c r="V158" s="3833" t="s">
        <v>36</v>
      </c>
      <c r="W158" s="4245" t="s">
        <v>36</v>
      </c>
      <c r="X158" s="3833" t="s">
        <v>36</v>
      </c>
      <c r="Y158" s="3833" t="s">
        <v>36</v>
      </c>
      <c r="Z158" s="4245" t="s">
        <v>36</v>
      </c>
      <c r="AA158" s="3833"/>
      <c r="AB158" s="3833"/>
      <c r="AC158" s="3833">
        <v>22</v>
      </c>
      <c r="AD158" s="4246">
        <v>22</v>
      </c>
      <c r="AE158" s="4246" t="s">
        <v>215</v>
      </c>
      <c r="AF158" s="4247">
        <v>22</v>
      </c>
      <c r="AG158" s="4248">
        <v>22</v>
      </c>
      <c r="AH158" s="107"/>
      <c r="AI158" s="107"/>
    </row>
    <row r="159" spans="1:35" ht="22.35" customHeight="1" thickBot="1" x14ac:dyDescent="0.25">
      <c r="A159" s="1086">
        <v>2</v>
      </c>
      <c r="B159" s="4037" t="s">
        <v>214</v>
      </c>
      <c r="C159" s="4039">
        <v>21</v>
      </c>
      <c r="D159" s="4039">
        <v>21</v>
      </c>
      <c r="E159" s="4039">
        <v>21</v>
      </c>
      <c r="F159" s="4039">
        <v>21</v>
      </c>
      <c r="G159" s="4039">
        <v>21</v>
      </c>
      <c r="H159" s="4039" t="s">
        <v>36</v>
      </c>
      <c r="I159" s="851" t="s">
        <v>36</v>
      </c>
      <c r="J159" s="4039" t="s">
        <v>36</v>
      </c>
      <c r="K159" s="4039" t="s">
        <v>36</v>
      </c>
      <c r="L159" s="851" t="s">
        <v>36</v>
      </c>
      <c r="M159" s="4041"/>
      <c r="N159" s="4041"/>
      <c r="O159" s="4041">
        <v>22</v>
      </c>
      <c r="P159" s="4041">
        <v>22</v>
      </c>
      <c r="Q159" s="4041">
        <v>22</v>
      </c>
      <c r="R159" s="4041">
        <v>22</v>
      </c>
      <c r="S159" s="4041">
        <v>22</v>
      </c>
      <c r="T159" s="4041">
        <v>22</v>
      </c>
      <c r="U159" s="4041">
        <v>22</v>
      </c>
      <c r="V159" s="3833" t="s">
        <v>36</v>
      </c>
      <c r="W159" s="851" t="s">
        <v>36</v>
      </c>
      <c r="X159" s="4039" t="s">
        <v>36</v>
      </c>
      <c r="Y159" s="4039" t="s">
        <v>36</v>
      </c>
      <c r="Z159" s="851" t="s">
        <v>36</v>
      </c>
      <c r="AA159" s="4041"/>
      <c r="AB159" s="4041"/>
      <c r="AC159" s="4041">
        <v>23</v>
      </c>
      <c r="AD159" s="4041">
        <v>23</v>
      </c>
      <c r="AE159" s="4041">
        <v>23</v>
      </c>
      <c r="AF159" s="4041">
        <v>23</v>
      </c>
      <c r="AG159" s="4042">
        <v>23</v>
      </c>
      <c r="AH159" s="107"/>
      <c r="AI159" s="107"/>
    </row>
    <row r="160" spans="1:35" ht="22.35" customHeight="1" x14ac:dyDescent="0.2">
      <c r="A160" s="1086">
        <v>3</v>
      </c>
      <c r="B160" s="4037" t="s">
        <v>362</v>
      </c>
      <c r="C160" s="4039">
        <v>22</v>
      </c>
      <c r="D160" s="4039">
        <v>22</v>
      </c>
      <c r="E160" s="4039">
        <v>22</v>
      </c>
      <c r="F160" s="4039">
        <v>22</v>
      </c>
      <c r="G160" s="4041">
        <v>22</v>
      </c>
      <c r="H160" s="4041" t="s">
        <v>36</v>
      </c>
      <c r="I160" s="4081" t="s">
        <v>36</v>
      </c>
      <c r="J160" s="4081" t="s">
        <v>36</v>
      </c>
      <c r="K160" s="4081" t="s">
        <v>36</v>
      </c>
      <c r="L160" s="4081" t="s">
        <v>36</v>
      </c>
      <c r="M160" s="4081"/>
      <c r="N160" s="4081"/>
      <c r="O160" s="4081">
        <v>23</v>
      </c>
      <c r="P160" s="4039">
        <v>23</v>
      </c>
      <c r="Q160" s="4039">
        <v>23</v>
      </c>
      <c r="R160" s="4086">
        <v>23</v>
      </c>
      <c r="S160" s="4086">
        <v>23</v>
      </c>
      <c r="T160" s="4039">
        <v>23</v>
      </c>
      <c r="U160" s="4041">
        <v>23</v>
      </c>
      <c r="V160" s="3833" t="s">
        <v>36</v>
      </c>
      <c r="W160" s="851" t="s">
        <v>36</v>
      </c>
      <c r="X160" s="4039" t="s">
        <v>36</v>
      </c>
      <c r="Y160" s="4039" t="s">
        <v>36</v>
      </c>
      <c r="Z160" s="851" t="s">
        <v>36</v>
      </c>
      <c r="AA160" s="4039"/>
      <c r="AB160" s="4039"/>
      <c r="AC160" s="4039">
        <v>21</v>
      </c>
      <c r="AD160" s="4039">
        <v>21</v>
      </c>
      <c r="AE160" s="4039">
        <v>21</v>
      </c>
      <c r="AF160" s="4039">
        <v>21</v>
      </c>
      <c r="AG160" s="4042">
        <v>21</v>
      </c>
      <c r="AH160" s="107"/>
      <c r="AI160" s="107"/>
    </row>
    <row r="161" spans="1:35" ht="22.35" customHeight="1" x14ac:dyDescent="0.2">
      <c r="A161" s="1086">
        <v>4</v>
      </c>
      <c r="B161" s="4037" t="s">
        <v>0</v>
      </c>
      <c r="C161" s="4039" t="s">
        <v>36</v>
      </c>
      <c r="D161" s="4039" t="s">
        <v>36</v>
      </c>
      <c r="E161" s="851" t="s">
        <v>36</v>
      </c>
      <c r="F161" s="4039"/>
      <c r="G161" s="4039"/>
      <c r="H161" s="4039">
        <v>23</v>
      </c>
      <c r="I161" s="4039">
        <v>23</v>
      </c>
      <c r="J161" s="4039">
        <v>23</v>
      </c>
      <c r="K161" s="4039">
        <v>23</v>
      </c>
      <c r="L161" s="4039">
        <v>23</v>
      </c>
      <c r="M161" s="4039">
        <v>23</v>
      </c>
      <c r="N161" s="4039">
        <v>23</v>
      </c>
      <c r="O161" s="4081" t="s">
        <v>36</v>
      </c>
      <c r="P161" s="4081" t="s">
        <v>36</v>
      </c>
      <c r="Q161" s="4081" t="s">
        <v>36</v>
      </c>
      <c r="R161" s="4081" t="s">
        <v>36</v>
      </c>
      <c r="S161" s="4081" t="s">
        <v>36</v>
      </c>
      <c r="T161" s="4081"/>
      <c r="U161" s="4081"/>
      <c r="V161" s="4081">
        <v>21</v>
      </c>
      <c r="W161" s="4039">
        <v>21</v>
      </c>
      <c r="X161" s="4039">
        <v>21</v>
      </c>
      <c r="Y161" s="4039">
        <v>21</v>
      </c>
      <c r="Z161" s="4039">
        <v>21</v>
      </c>
      <c r="AA161" s="4039">
        <v>21</v>
      </c>
      <c r="AB161" s="4039">
        <v>21</v>
      </c>
      <c r="AC161" s="4039" t="s">
        <v>36</v>
      </c>
      <c r="AD161" s="851" t="s">
        <v>36</v>
      </c>
      <c r="AE161" s="4039" t="s">
        <v>36</v>
      </c>
      <c r="AF161" s="4039" t="s">
        <v>36</v>
      </c>
      <c r="AG161" s="4191" t="s">
        <v>36</v>
      </c>
      <c r="AH161" s="107"/>
      <c r="AI161" s="107"/>
    </row>
    <row r="162" spans="1:35" ht="22.35" customHeight="1" thickBot="1" x14ac:dyDescent="0.25">
      <c r="A162" s="1086">
        <v>5</v>
      </c>
      <c r="B162" s="4037" t="s">
        <v>0</v>
      </c>
      <c r="C162" s="4039" t="s">
        <v>36</v>
      </c>
      <c r="D162" s="4039" t="s">
        <v>36</v>
      </c>
      <c r="E162" s="851" t="s">
        <v>36</v>
      </c>
      <c r="F162" s="4041"/>
      <c r="G162" s="4039"/>
      <c r="H162" s="4039">
        <v>21</v>
      </c>
      <c r="I162" s="4039">
        <v>21</v>
      </c>
      <c r="J162" s="4039">
        <v>21</v>
      </c>
      <c r="K162" s="4039">
        <v>21</v>
      </c>
      <c r="L162" s="4039">
        <v>21</v>
      </c>
      <c r="M162" s="4039">
        <v>21</v>
      </c>
      <c r="N162" s="4039">
        <v>21</v>
      </c>
      <c r="O162" s="4039" t="s">
        <v>36</v>
      </c>
      <c r="P162" s="851" t="s">
        <v>36</v>
      </c>
      <c r="Q162" s="4039" t="s">
        <v>36</v>
      </c>
      <c r="R162" s="4039" t="s">
        <v>36</v>
      </c>
      <c r="S162" s="851" t="s">
        <v>36</v>
      </c>
      <c r="T162" s="4039"/>
      <c r="U162" s="4039"/>
      <c r="V162" s="4039">
        <v>22</v>
      </c>
      <c r="W162" s="4039">
        <v>22</v>
      </c>
      <c r="X162" s="4039">
        <v>22</v>
      </c>
      <c r="Y162" s="4039">
        <v>22</v>
      </c>
      <c r="Z162" s="4039">
        <v>22</v>
      </c>
      <c r="AA162" s="4039">
        <v>22</v>
      </c>
      <c r="AB162" s="4039">
        <v>22</v>
      </c>
      <c r="AC162" s="4041" t="s">
        <v>36</v>
      </c>
      <c r="AD162" s="4041" t="s">
        <v>36</v>
      </c>
      <c r="AE162" s="4041" t="s">
        <v>36</v>
      </c>
      <c r="AF162" s="4039" t="s">
        <v>36</v>
      </c>
      <c r="AG162" s="4191" t="s">
        <v>36</v>
      </c>
      <c r="AH162" s="107"/>
      <c r="AI162" s="107"/>
    </row>
    <row r="163" spans="1:35" ht="22.35" customHeight="1" thickBot="1" x14ac:dyDescent="0.25">
      <c r="A163" s="1090">
        <v>6</v>
      </c>
      <c r="B163" s="1091" t="s">
        <v>218</v>
      </c>
      <c r="C163" s="3858" t="s">
        <v>36</v>
      </c>
      <c r="D163" s="3858" t="s">
        <v>36</v>
      </c>
      <c r="E163" s="1092" t="s">
        <v>36</v>
      </c>
      <c r="F163" s="3858"/>
      <c r="G163" s="3858"/>
      <c r="H163" s="1093">
        <v>22</v>
      </c>
      <c r="I163" s="1093">
        <v>22</v>
      </c>
      <c r="J163" s="1093">
        <v>22</v>
      </c>
      <c r="K163" s="1093">
        <v>22</v>
      </c>
      <c r="L163" s="1093">
        <v>22</v>
      </c>
      <c r="M163" s="1093">
        <v>22</v>
      </c>
      <c r="N163" s="4092">
        <v>22</v>
      </c>
      <c r="O163" s="4092" t="s">
        <v>36</v>
      </c>
      <c r="P163" s="1092" t="s">
        <v>36</v>
      </c>
      <c r="Q163" s="3858" t="s">
        <v>36</v>
      </c>
      <c r="R163" s="3858" t="s">
        <v>36</v>
      </c>
      <c r="S163" s="1092" t="s">
        <v>36</v>
      </c>
      <c r="T163" s="3858"/>
      <c r="U163" s="3858"/>
      <c r="V163" s="3833">
        <v>23</v>
      </c>
      <c r="W163" s="3858">
        <v>23</v>
      </c>
      <c r="X163" s="3858">
        <v>23</v>
      </c>
      <c r="Y163" s="3858">
        <v>23</v>
      </c>
      <c r="Z163" s="3858">
        <v>23</v>
      </c>
      <c r="AA163" s="3858">
        <v>23</v>
      </c>
      <c r="AB163" s="4092">
        <v>23</v>
      </c>
      <c r="AC163" s="4092" t="s">
        <v>36</v>
      </c>
      <c r="AD163" s="1092" t="s">
        <v>36</v>
      </c>
      <c r="AE163" s="3858" t="s">
        <v>36</v>
      </c>
      <c r="AF163" s="3858" t="s">
        <v>36</v>
      </c>
      <c r="AG163" s="1094" t="s">
        <v>36</v>
      </c>
      <c r="AH163" s="107"/>
      <c r="AI163" s="107"/>
    </row>
    <row r="164" spans="1:35" ht="22.35" customHeight="1" x14ac:dyDescent="0.2">
      <c r="A164" s="200"/>
      <c r="AH164" s="107"/>
      <c r="AI164" s="107"/>
    </row>
    <row r="165" spans="1:35" ht="22.35" customHeight="1" x14ac:dyDescent="0.2">
      <c r="A165" s="109"/>
      <c r="B165" s="198"/>
      <c r="C165" s="199"/>
      <c r="D165" s="199"/>
      <c r="E165" s="216"/>
      <c r="F165" s="199"/>
      <c r="G165" s="199"/>
      <c r="H165" s="221"/>
      <c r="I165" s="221"/>
      <c r="J165" s="221"/>
      <c r="K165" s="221"/>
      <c r="L165" s="221"/>
      <c r="M165" s="221"/>
      <c r="N165" s="192"/>
      <c r="O165" s="192"/>
      <c r="P165" s="216"/>
      <c r="Q165" s="199"/>
      <c r="R165" s="199"/>
      <c r="S165" s="216"/>
      <c r="T165" s="199"/>
      <c r="U165" s="199"/>
      <c r="V165" s="199"/>
      <c r="W165" s="199"/>
      <c r="X165" s="199"/>
      <c r="Y165" s="199"/>
      <c r="Z165" s="199"/>
      <c r="AA165" s="199"/>
      <c r="AB165" s="192"/>
      <c r="AC165" s="192"/>
      <c r="AD165" s="216"/>
      <c r="AE165" s="199"/>
      <c r="AF165" s="199"/>
      <c r="AG165" s="216"/>
      <c r="AH165" s="107"/>
      <c r="AI165" s="107"/>
    </row>
    <row r="166" spans="1:35" ht="22.35" customHeight="1" thickBot="1" x14ac:dyDescent="0.25">
      <c r="A166" s="158" t="s">
        <v>219</v>
      </c>
      <c r="B166" s="110"/>
      <c r="C166" s="183"/>
      <c r="D166" s="183"/>
      <c r="E166" s="168"/>
      <c r="F166" s="183"/>
      <c r="G166" s="183"/>
      <c r="H166" s="183"/>
      <c r="I166" s="183"/>
      <c r="J166" s="183"/>
      <c r="K166" s="183"/>
      <c r="L166" s="183"/>
      <c r="M166" s="183"/>
      <c r="N166" s="183"/>
      <c r="O166" s="183"/>
      <c r="P166" s="168"/>
      <c r="Q166" s="183"/>
      <c r="R166" s="183"/>
      <c r="S166" s="168"/>
      <c r="T166" s="183"/>
      <c r="U166" s="183"/>
      <c r="V166" s="183"/>
      <c r="W166" s="183"/>
      <c r="X166" s="183"/>
      <c r="Y166" s="183"/>
      <c r="Z166" s="183"/>
      <c r="AA166" s="183"/>
      <c r="AB166" s="183"/>
      <c r="AC166" s="184"/>
      <c r="AD166" s="184"/>
      <c r="AE166" s="184"/>
      <c r="AF166" s="183"/>
      <c r="AG166" s="168"/>
    </row>
    <row r="167" spans="1:35" ht="22.35" customHeight="1" x14ac:dyDescent="0.2">
      <c r="A167" s="1"/>
      <c r="B167" s="4212" t="s">
        <v>186</v>
      </c>
      <c r="C167" s="4208"/>
      <c r="D167" s="4231" t="s">
        <v>107</v>
      </c>
      <c r="E167" s="4100"/>
      <c r="F167" s="4201"/>
      <c r="G167" s="4208"/>
      <c r="H167" s="4231" t="s">
        <v>108</v>
      </c>
      <c r="I167" s="4100"/>
      <c r="J167" s="4201"/>
      <c r="K167" s="4208"/>
      <c r="L167" s="4231" t="s">
        <v>109</v>
      </c>
      <c r="M167" s="4100"/>
      <c r="N167" s="4201"/>
      <c r="O167" s="4208"/>
      <c r="P167" s="4231" t="s">
        <v>110</v>
      </c>
      <c r="Q167" s="4100"/>
      <c r="R167" s="4201"/>
      <c r="S167" s="4208"/>
      <c r="T167" s="4231" t="s">
        <v>111</v>
      </c>
      <c r="U167" s="4100"/>
      <c r="V167" s="4201"/>
      <c r="W167" s="4208"/>
      <c r="X167" s="4231" t="s">
        <v>112</v>
      </c>
      <c r="Y167" s="4100"/>
      <c r="Z167" s="4201"/>
      <c r="AA167" s="4208"/>
      <c r="AB167" s="4231" t="s">
        <v>113</v>
      </c>
      <c r="AC167" s="4100"/>
      <c r="AD167" s="4100"/>
      <c r="AE167" s="4234" t="s">
        <v>114</v>
      </c>
      <c r="AF167" s="4100"/>
      <c r="AG167" s="4100"/>
      <c r="AH167" s="4100"/>
      <c r="AI167" s="4101"/>
    </row>
    <row r="168" spans="1:35" ht="22.35" customHeight="1" x14ac:dyDescent="0.2">
      <c r="A168" s="1"/>
      <c r="B168" s="3790" t="s">
        <v>159</v>
      </c>
      <c r="C168" s="3643" t="s">
        <v>187</v>
      </c>
      <c r="D168" s="4014"/>
      <c r="E168" s="4014"/>
      <c r="F168" s="3793"/>
      <c r="G168" s="3643" t="s">
        <v>187</v>
      </c>
      <c r="H168" s="4014"/>
      <c r="I168" s="4014"/>
      <c r="J168" s="3793"/>
      <c r="K168" s="3643" t="s">
        <v>187</v>
      </c>
      <c r="L168" s="4014"/>
      <c r="M168" s="4014"/>
      <c r="N168" s="3793"/>
      <c r="O168" s="3643" t="s">
        <v>220</v>
      </c>
      <c r="P168" s="4014"/>
      <c r="Q168" s="4014"/>
      <c r="R168" s="3793"/>
      <c r="S168" s="3643" t="s">
        <v>171</v>
      </c>
      <c r="T168" s="4014"/>
      <c r="U168" s="4014"/>
      <c r="V168" s="3793"/>
      <c r="W168" s="3837"/>
      <c r="X168" s="3838"/>
      <c r="Y168" s="3838"/>
      <c r="Z168" s="3795"/>
      <c r="AA168" s="3791"/>
      <c r="AB168" s="4014"/>
      <c r="AC168" s="4014"/>
      <c r="AD168" s="3644"/>
      <c r="AE168" s="3796">
        <v>27</v>
      </c>
      <c r="AF168" s="4014"/>
      <c r="AG168" s="4014"/>
      <c r="AH168" s="3644"/>
      <c r="AI168" s="4023"/>
    </row>
    <row r="169" spans="1:35" ht="22.35" customHeight="1" x14ac:dyDescent="0.2">
      <c r="A169" s="1"/>
      <c r="B169" s="3790" t="s">
        <v>163</v>
      </c>
      <c r="C169" s="3643" t="s">
        <v>221</v>
      </c>
      <c r="D169" s="4014"/>
      <c r="E169" s="4014"/>
      <c r="F169" s="3793"/>
      <c r="G169" s="3643" t="s">
        <v>221</v>
      </c>
      <c r="H169" s="4014"/>
      <c r="I169" s="4014"/>
      <c r="J169" s="3793"/>
      <c r="K169" s="3643" t="s">
        <v>221</v>
      </c>
      <c r="L169" s="4014"/>
      <c r="M169" s="4014"/>
      <c r="N169" s="3793"/>
      <c r="O169" s="3643" t="s">
        <v>221</v>
      </c>
      <c r="P169" s="4014"/>
      <c r="Q169" s="4014"/>
      <c r="R169" s="3793"/>
      <c r="S169" s="3643" t="s">
        <v>187</v>
      </c>
      <c r="T169" s="4014"/>
      <c r="U169" s="4014"/>
      <c r="V169" s="3793"/>
      <c r="W169" s="3643"/>
      <c r="X169" s="4014"/>
      <c r="Y169" s="4014"/>
      <c r="Z169" s="3793"/>
      <c r="AA169" s="4014"/>
      <c r="AB169" s="4014"/>
      <c r="AC169" s="4014"/>
      <c r="AD169" s="3644"/>
      <c r="AE169" s="3796">
        <v>39</v>
      </c>
      <c r="AF169" s="4014"/>
      <c r="AG169" s="4014"/>
      <c r="AH169" s="3644"/>
      <c r="AI169" s="4023"/>
    </row>
    <row r="170" spans="1:35" ht="22.35" customHeight="1" x14ac:dyDescent="0.2">
      <c r="A170" s="1"/>
      <c r="B170" s="3790" t="s">
        <v>170</v>
      </c>
      <c r="C170" s="3643" t="s">
        <v>221</v>
      </c>
      <c r="D170" s="4014"/>
      <c r="E170" s="4014"/>
      <c r="F170" s="3793"/>
      <c r="G170" s="3643" t="s">
        <v>221</v>
      </c>
      <c r="H170" s="4014"/>
      <c r="I170" s="4014"/>
      <c r="J170" s="3793"/>
      <c r="K170" s="3643" t="s">
        <v>221</v>
      </c>
      <c r="L170" s="4014"/>
      <c r="M170" s="4014"/>
      <c r="N170" s="3793"/>
      <c r="O170" s="3643" t="s">
        <v>221</v>
      </c>
      <c r="P170" s="4014"/>
      <c r="Q170" s="4014"/>
      <c r="R170" s="3793"/>
      <c r="S170" s="3643" t="s">
        <v>221</v>
      </c>
      <c r="T170" s="4014"/>
      <c r="U170" s="4014"/>
      <c r="V170" s="3793"/>
      <c r="W170" s="4137" t="s">
        <v>222</v>
      </c>
      <c r="X170" s="4027"/>
      <c r="Y170" s="4027"/>
      <c r="Z170" s="3800"/>
      <c r="AA170" s="3798"/>
      <c r="AB170" s="4027"/>
      <c r="AC170" s="4027"/>
      <c r="AD170" s="4138"/>
      <c r="AE170" s="3796">
        <v>45</v>
      </c>
      <c r="AF170" s="4014"/>
      <c r="AG170" s="4014"/>
      <c r="AH170" s="3644"/>
      <c r="AI170" s="4023"/>
    </row>
    <row r="171" spans="1:35" ht="22.35" customHeight="1" thickBot="1" x14ac:dyDescent="0.25">
      <c r="A171" s="1"/>
      <c r="B171" s="223" t="s">
        <v>172</v>
      </c>
      <c r="C171" s="3826"/>
      <c r="D171" s="3587"/>
      <c r="E171" s="3587"/>
      <c r="F171" s="3828"/>
      <c r="G171" s="3826"/>
      <c r="H171" s="3587"/>
      <c r="I171" s="3587"/>
      <c r="J171" s="3828"/>
      <c r="K171" s="3826"/>
      <c r="L171" s="3587"/>
      <c r="M171" s="3587"/>
      <c r="N171" s="3828"/>
      <c r="O171" s="3826"/>
      <c r="P171" s="3587"/>
      <c r="Q171" s="3587"/>
      <c r="R171" s="3828"/>
      <c r="S171" s="3826"/>
      <c r="T171" s="3587"/>
      <c r="U171" s="3587"/>
      <c r="V171" s="3811"/>
      <c r="W171" s="3826"/>
      <c r="X171" s="3811"/>
      <c r="Y171" s="3587"/>
      <c r="Z171" s="3828"/>
      <c r="AA171" s="3826"/>
      <c r="AB171" s="3811"/>
      <c r="AC171" s="3587"/>
      <c r="AD171" s="3828"/>
      <c r="AE171" s="3839"/>
      <c r="AF171" s="3587"/>
      <c r="AG171" s="3587"/>
      <c r="AH171" s="3811"/>
      <c r="AI171" s="3594"/>
    </row>
    <row r="172" spans="1:35" ht="22.35" customHeight="1" x14ac:dyDescent="0.2">
      <c r="A172" s="108"/>
      <c r="B172" s="1"/>
      <c r="C172" s="72"/>
      <c r="D172" s="72"/>
      <c r="E172" s="72"/>
      <c r="F172" s="72"/>
      <c r="G172" s="72"/>
      <c r="H172" s="72"/>
      <c r="I172" s="72"/>
      <c r="J172" s="72"/>
      <c r="K172" s="72"/>
      <c r="L172" s="72"/>
      <c r="M172" s="72"/>
      <c r="N172" s="72"/>
      <c r="O172" s="72"/>
      <c r="P172" s="72"/>
      <c r="Q172" s="72"/>
      <c r="R172" s="72"/>
      <c r="S172" s="72"/>
      <c r="T172" s="72"/>
      <c r="U172" s="72"/>
      <c r="V172" s="72"/>
      <c r="W172" s="72"/>
      <c r="X172" s="72"/>
      <c r="Y172" s="72"/>
      <c r="Z172" s="72"/>
      <c r="AA172" s="72"/>
      <c r="AB172" s="72"/>
      <c r="AC172" s="72"/>
      <c r="AD172" s="72"/>
      <c r="AE172" s="72"/>
      <c r="AF172" s="72"/>
      <c r="AG172" s="72"/>
    </row>
    <row r="173" spans="1:35" ht="22.35" customHeight="1" thickBot="1" x14ac:dyDescent="0.25">
      <c r="A173" s="3718"/>
      <c r="B173" s="4107" t="s">
        <v>29</v>
      </c>
      <c r="C173" s="3840">
        <v>1</v>
      </c>
      <c r="D173" s="3840">
        <v>2</v>
      </c>
      <c r="E173" s="3840">
        <v>3</v>
      </c>
      <c r="F173" s="3841">
        <v>4</v>
      </c>
      <c r="G173" s="3841">
        <v>5</v>
      </c>
      <c r="H173" s="3840">
        <v>6</v>
      </c>
      <c r="I173" s="3840">
        <v>7</v>
      </c>
      <c r="J173" s="3840">
        <v>8</v>
      </c>
      <c r="K173" s="3840">
        <v>9</v>
      </c>
      <c r="L173" s="3840">
        <v>10</v>
      </c>
      <c r="M173" s="3841">
        <v>11</v>
      </c>
      <c r="N173" s="3841">
        <v>12</v>
      </c>
      <c r="O173" s="3840">
        <v>13</v>
      </c>
      <c r="P173" s="3840">
        <v>14</v>
      </c>
      <c r="Q173" s="3840">
        <v>15</v>
      </c>
      <c r="R173" s="3840">
        <v>16</v>
      </c>
      <c r="S173" s="3840">
        <v>17</v>
      </c>
      <c r="T173" s="3841">
        <v>18</v>
      </c>
      <c r="U173" s="3841">
        <v>19</v>
      </c>
      <c r="V173" s="3840">
        <v>20</v>
      </c>
      <c r="W173" s="3840">
        <v>21</v>
      </c>
      <c r="X173" s="3840">
        <v>22</v>
      </c>
      <c r="Y173" s="3840">
        <v>23</v>
      </c>
      <c r="Z173" s="3840">
        <v>24</v>
      </c>
      <c r="AA173" s="3841">
        <v>25</v>
      </c>
      <c r="AB173" s="3841">
        <v>26</v>
      </c>
      <c r="AC173" s="3840">
        <v>27</v>
      </c>
      <c r="AD173" s="3840">
        <v>28</v>
      </c>
      <c r="AE173" s="3840">
        <v>29</v>
      </c>
      <c r="AF173" s="3840">
        <v>30</v>
      </c>
      <c r="AG173" s="3842">
        <v>31</v>
      </c>
      <c r="AH173" s="173"/>
      <c r="AI173" s="174"/>
    </row>
    <row r="174" spans="1:35" ht="22.35" customHeight="1" x14ac:dyDescent="0.2">
      <c r="A174" s="4209">
        <v>1</v>
      </c>
      <c r="B174" s="4249" t="s">
        <v>223</v>
      </c>
      <c r="C174" s="4250" t="s">
        <v>32</v>
      </c>
      <c r="D174" s="4250" t="s">
        <v>32</v>
      </c>
      <c r="E174" s="4250" t="s">
        <v>32</v>
      </c>
      <c r="F174" s="4250"/>
      <c r="G174" s="4250"/>
      <c r="H174" s="4250" t="s">
        <v>32</v>
      </c>
      <c r="I174" s="4250" t="s">
        <v>32</v>
      </c>
      <c r="J174" s="4250" t="s">
        <v>32</v>
      </c>
      <c r="K174" s="4250" t="s">
        <v>32</v>
      </c>
      <c r="L174" s="4250" t="s">
        <v>32</v>
      </c>
      <c r="M174" s="3833"/>
      <c r="N174" s="3833"/>
      <c r="O174" s="4251" t="s">
        <v>32</v>
      </c>
      <c r="P174" s="4251" t="s">
        <v>32</v>
      </c>
      <c r="Q174" s="4251" t="s">
        <v>32</v>
      </c>
      <c r="R174" s="4251" t="s">
        <v>32</v>
      </c>
      <c r="S174" s="4251" t="s">
        <v>32</v>
      </c>
      <c r="T174" s="4251"/>
      <c r="U174" s="4251"/>
      <c r="V174" s="4251" t="s">
        <v>32</v>
      </c>
      <c r="W174" s="4251" t="s">
        <v>32</v>
      </c>
      <c r="X174" s="4251" t="s">
        <v>32</v>
      </c>
      <c r="Y174" s="4251" t="s">
        <v>32</v>
      </c>
      <c r="Z174" s="4251" t="s">
        <v>32</v>
      </c>
      <c r="AA174" s="4251"/>
      <c r="AB174" s="4251"/>
      <c r="AC174" s="4251" t="s">
        <v>32</v>
      </c>
      <c r="AD174" s="4251" t="s">
        <v>32</v>
      </c>
      <c r="AE174" s="4251" t="s">
        <v>32</v>
      </c>
      <c r="AF174" s="4251" t="s">
        <v>32</v>
      </c>
      <c r="AG174" s="4252" t="s">
        <v>51</v>
      </c>
      <c r="AH174" s="203"/>
      <c r="AI174" s="179"/>
    </row>
    <row r="175" spans="1:35" ht="22.35" customHeight="1" x14ac:dyDescent="0.2">
      <c r="A175" s="3757">
        <v>2</v>
      </c>
      <c r="B175" s="3849" t="s">
        <v>224</v>
      </c>
      <c r="C175" s="4147" t="s">
        <v>154</v>
      </c>
      <c r="D175" s="4147" t="s">
        <v>154</v>
      </c>
      <c r="E175" s="4147" t="s">
        <v>154</v>
      </c>
      <c r="F175" s="4147" t="s">
        <v>154</v>
      </c>
      <c r="G175" s="4147"/>
      <c r="H175" s="4147" t="s">
        <v>226</v>
      </c>
      <c r="I175" s="4147" t="s">
        <v>226</v>
      </c>
      <c r="J175" s="4147" t="s">
        <v>226</v>
      </c>
      <c r="K175" s="4147" t="s">
        <v>226</v>
      </c>
      <c r="L175" s="4147" t="s">
        <v>36</v>
      </c>
      <c r="M175" s="4147"/>
      <c r="N175" s="4147"/>
      <c r="O175" s="4147" t="s">
        <v>225</v>
      </c>
      <c r="P175" s="4147" t="s">
        <v>225</v>
      </c>
      <c r="Q175" s="4147" t="s">
        <v>225</v>
      </c>
      <c r="R175" s="4147" t="s">
        <v>225</v>
      </c>
      <c r="S175" s="4147" t="s">
        <v>225</v>
      </c>
      <c r="T175" s="3850"/>
      <c r="U175" s="4147"/>
      <c r="V175" s="4147" t="s">
        <v>154</v>
      </c>
      <c r="W175" s="4147" t="s">
        <v>154</v>
      </c>
      <c r="X175" s="4147" t="s">
        <v>154</v>
      </c>
      <c r="Y175" s="4147" t="s">
        <v>154</v>
      </c>
      <c r="Z175" s="4147" t="s">
        <v>154</v>
      </c>
      <c r="AA175" s="4147" t="s">
        <v>154</v>
      </c>
      <c r="AB175" s="4147"/>
      <c r="AC175" s="4147" t="s">
        <v>226</v>
      </c>
      <c r="AD175" s="4147" t="s">
        <v>226</v>
      </c>
      <c r="AE175" s="4147" t="s">
        <v>226</v>
      </c>
      <c r="AF175" s="4147" t="s">
        <v>226</v>
      </c>
      <c r="AG175" s="4253" t="s">
        <v>36</v>
      </c>
      <c r="AH175" s="203"/>
      <c r="AI175" s="179"/>
    </row>
    <row r="176" spans="1:35" ht="22.35" customHeight="1" x14ac:dyDescent="0.2">
      <c r="A176" s="3757">
        <v>3</v>
      </c>
      <c r="B176" s="3852" t="s">
        <v>365</v>
      </c>
      <c r="C176" s="4147" t="s">
        <v>226</v>
      </c>
      <c r="D176" s="4254" t="s">
        <v>226</v>
      </c>
      <c r="E176" s="4147" t="s">
        <v>36</v>
      </c>
      <c r="F176" s="4147"/>
      <c r="G176" s="4147"/>
      <c r="H176" s="4162" t="s">
        <v>225</v>
      </c>
      <c r="I176" s="4255" t="s">
        <v>225</v>
      </c>
      <c r="J176" s="4255" t="s">
        <v>225</v>
      </c>
      <c r="K176" s="4255" t="s">
        <v>436</v>
      </c>
      <c r="L176" s="4162" t="s">
        <v>225</v>
      </c>
      <c r="M176" s="4256"/>
      <c r="N176" s="4256"/>
      <c r="O176" s="4256" t="s">
        <v>154</v>
      </c>
      <c r="P176" s="3851" t="s">
        <v>154</v>
      </c>
      <c r="Q176" s="3851" t="s">
        <v>154</v>
      </c>
      <c r="R176" s="4256" t="s">
        <v>154</v>
      </c>
      <c r="S176" s="4256" t="s">
        <v>154</v>
      </c>
      <c r="T176" s="4256" t="s">
        <v>154</v>
      </c>
      <c r="U176" s="4256"/>
      <c r="V176" s="4256" t="s">
        <v>226</v>
      </c>
      <c r="W176" s="4256" t="s">
        <v>226</v>
      </c>
      <c r="X176" s="4256" t="s">
        <v>226</v>
      </c>
      <c r="Y176" s="4256" t="s">
        <v>226</v>
      </c>
      <c r="Z176" s="4256" t="s">
        <v>36</v>
      </c>
      <c r="AA176" s="4256"/>
      <c r="AB176" s="4256"/>
      <c r="AC176" s="4147" t="s">
        <v>225</v>
      </c>
      <c r="AD176" s="4147" t="s">
        <v>225</v>
      </c>
      <c r="AE176" s="4147" t="s">
        <v>225</v>
      </c>
      <c r="AF176" s="4147" t="s">
        <v>225</v>
      </c>
      <c r="AG176" s="4253" t="s">
        <v>225</v>
      </c>
      <c r="AH176" s="203"/>
      <c r="AI176" s="179"/>
    </row>
    <row r="177" spans="1:35" ht="22.35" customHeight="1" x14ac:dyDescent="0.2">
      <c r="A177" s="3757">
        <v>4</v>
      </c>
      <c r="B177" s="3852" t="s">
        <v>228</v>
      </c>
      <c r="C177" s="4147" t="s">
        <v>32</v>
      </c>
      <c r="D177" s="4147"/>
      <c r="E177" s="3855" t="s">
        <v>32</v>
      </c>
      <c r="F177" s="3855"/>
      <c r="G177" s="4147"/>
      <c r="H177" s="4147"/>
      <c r="I177" s="4147" t="s">
        <v>229</v>
      </c>
      <c r="J177" s="4147"/>
      <c r="K177" s="4147"/>
      <c r="L177" s="4147" t="s">
        <v>32</v>
      </c>
      <c r="M177" s="4147" t="s">
        <v>154</v>
      </c>
      <c r="N177" s="4147"/>
      <c r="O177" s="4147"/>
      <c r="P177" s="4147" t="s">
        <v>229</v>
      </c>
      <c r="Q177" s="4147" t="s">
        <v>32</v>
      </c>
      <c r="R177" s="4147"/>
      <c r="S177" s="4147" t="s">
        <v>32</v>
      </c>
      <c r="T177" s="4147"/>
      <c r="U177" s="4147"/>
      <c r="V177" s="4147"/>
      <c r="W177" s="4147" t="s">
        <v>229</v>
      </c>
      <c r="X177" s="4147" t="s">
        <v>32</v>
      </c>
      <c r="Y177" s="4147"/>
      <c r="Z177" s="3855" t="s">
        <v>32</v>
      </c>
      <c r="AA177" s="3855"/>
      <c r="AB177" s="4147"/>
      <c r="AC177" s="4147"/>
      <c r="AD177" s="4147" t="s">
        <v>229</v>
      </c>
      <c r="AE177" s="4147"/>
      <c r="AF177" s="4147"/>
      <c r="AG177" s="4253" t="s">
        <v>32</v>
      </c>
      <c r="AH177" s="203"/>
      <c r="AI177" s="179"/>
    </row>
    <row r="178" spans="1:35" ht="22.35" customHeight="1" x14ac:dyDescent="0.2">
      <c r="A178" s="3757">
        <v>5</v>
      </c>
      <c r="B178" s="3852" t="s">
        <v>230</v>
      </c>
      <c r="C178" s="4147"/>
      <c r="D178" s="3855" t="s">
        <v>32</v>
      </c>
      <c r="E178" s="4147"/>
      <c r="F178" s="4147"/>
      <c r="G178" s="4147"/>
      <c r="H178" s="4147" t="s">
        <v>229</v>
      </c>
      <c r="I178" s="4147"/>
      <c r="J178" s="4147"/>
      <c r="K178" s="4147" t="s">
        <v>32</v>
      </c>
      <c r="L178" s="4147"/>
      <c r="M178" s="4147"/>
      <c r="N178" s="4147"/>
      <c r="O178" s="4147" t="s">
        <v>229</v>
      </c>
      <c r="P178" s="4147"/>
      <c r="Q178" s="4147"/>
      <c r="R178" s="4147" t="s">
        <v>32</v>
      </c>
      <c r="S178" s="4147"/>
      <c r="T178" s="4147"/>
      <c r="U178" s="4147"/>
      <c r="V178" s="4147" t="s">
        <v>229</v>
      </c>
      <c r="W178" s="4147"/>
      <c r="X178" s="4147"/>
      <c r="Y178" s="3855" t="s">
        <v>32</v>
      </c>
      <c r="Z178" s="4147"/>
      <c r="AA178" s="4147"/>
      <c r="AB178" s="4147"/>
      <c r="AC178" s="4147" t="s">
        <v>229</v>
      </c>
      <c r="AD178" s="4147"/>
      <c r="AE178" s="4147"/>
      <c r="AF178" s="4147" t="s">
        <v>32</v>
      </c>
      <c r="AG178" s="4253"/>
      <c r="AH178" s="203"/>
      <c r="AI178" s="179"/>
    </row>
    <row r="179" spans="1:35" ht="22.35" customHeight="1" x14ac:dyDescent="0.2">
      <c r="A179" s="3757">
        <v>6</v>
      </c>
      <c r="B179" s="3746" t="s">
        <v>231</v>
      </c>
      <c r="C179" s="4147" t="s">
        <v>32</v>
      </c>
      <c r="D179" s="4147" t="s">
        <v>32</v>
      </c>
      <c r="E179" s="4189" t="s">
        <v>32</v>
      </c>
      <c r="F179" s="4147"/>
      <c r="G179" s="4147"/>
      <c r="H179" s="4147" t="s">
        <v>32</v>
      </c>
      <c r="I179" s="4147" t="s">
        <v>32</v>
      </c>
      <c r="J179" s="4189" t="s">
        <v>32</v>
      </c>
      <c r="K179" s="4147" t="s">
        <v>32</v>
      </c>
      <c r="L179" s="3851" t="s">
        <v>32</v>
      </c>
      <c r="M179" s="4147"/>
      <c r="N179" s="4147"/>
      <c r="O179" s="4147" t="s">
        <v>32</v>
      </c>
      <c r="P179" s="4147" t="s">
        <v>32</v>
      </c>
      <c r="Q179" s="4147" t="s">
        <v>32</v>
      </c>
      <c r="R179" s="4147" t="s">
        <v>32</v>
      </c>
      <c r="S179" s="4147" t="s">
        <v>32</v>
      </c>
      <c r="T179" s="3855"/>
      <c r="U179" s="3855"/>
      <c r="V179" s="4256" t="s">
        <v>32</v>
      </c>
      <c r="W179" s="3851" t="s">
        <v>32</v>
      </c>
      <c r="X179" s="3855" t="s">
        <v>32</v>
      </c>
      <c r="Y179" s="4147" t="s">
        <v>32</v>
      </c>
      <c r="Z179" s="4147" t="s">
        <v>32</v>
      </c>
      <c r="AA179" s="4147"/>
      <c r="AB179" s="4147"/>
      <c r="AC179" s="3856" t="s">
        <v>32</v>
      </c>
      <c r="AD179" s="3850" t="s">
        <v>32</v>
      </c>
      <c r="AE179" s="4147" t="s">
        <v>32</v>
      </c>
      <c r="AF179" s="3850" t="s">
        <v>32</v>
      </c>
      <c r="AG179" s="4257" t="s">
        <v>32</v>
      </c>
      <c r="AH179" s="191"/>
      <c r="AI179" s="107"/>
    </row>
    <row r="180" spans="1:35" ht="22.35" customHeight="1" thickBot="1" x14ac:dyDescent="0.25">
      <c r="A180" s="3760"/>
      <c r="B180" s="3750"/>
      <c r="C180" s="3858"/>
      <c r="D180" s="3858"/>
      <c r="E180" s="3858"/>
      <c r="F180" s="3858"/>
      <c r="G180" s="3858"/>
      <c r="H180" s="3858"/>
      <c r="I180" s="3858"/>
      <c r="J180" s="3858"/>
      <c r="K180" s="3858"/>
      <c r="L180" s="3858"/>
      <c r="M180" s="3858"/>
      <c r="N180" s="3858"/>
      <c r="O180" s="3858"/>
      <c r="P180" s="3858"/>
      <c r="Q180" s="3858"/>
      <c r="R180" s="3858"/>
      <c r="S180" s="3858"/>
      <c r="T180" s="3858"/>
      <c r="U180" s="3858"/>
      <c r="V180" s="3858"/>
      <c r="W180" s="3858"/>
      <c r="X180" s="3858"/>
      <c r="Y180" s="3858"/>
      <c r="Z180" s="3858"/>
      <c r="AA180" s="3858"/>
      <c r="AB180" s="3858"/>
      <c r="AC180" s="3858"/>
      <c r="AD180" s="3858"/>
      <c r="AE180" s="3858"/>
      <c r="AF180" s="3858"/>
      <c r="AG180" s="3859"/>
      <c r="AH180" s="107"/>
      <c r="AI180" s="107"/>
    </row>
    <row r="181" spans="1:35" ht="22.35" customHeight="1" x14ac:dyDescent="0.2">
      <c r="A181" s="200"/>
      <c r="AH181" s="107"/>
      <c r="AI181" s="107"/>
    </row>
    <row r="182" spans="1:35" ht="22.35" customHeight="1" x14ac:dyDescent="0.2">
      <c r="A182" s="200"/>
      <c r="B182" s="198"/>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c r="AA182" s="199"/>
      <c r="AB182" s="199"/>
      <c r="AC182" s="199"/>
      <c r="AD182" s="199"/>
      <c r="AE182" s="199"/>
      <c r="AF182" s="199"/>
      <c r="AG182" s="199"/>
      <c r="AH182" s="107"/>
      <c r="AI182" s="107"/>
    </row>
    <row r="183" spans="1:35" ht="22.35" customHeight="1" thickBot="1" x14ac:dyDescent="0.25">
      <c r="A183" s="148" t="s">
        <v>232</v>
      </c>
      <c r="B183" s="198"/>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07"/>
      <c r="AI183" s="107"/>
    </row>
    <row r="184" spans="1:35" ht="22.35" customHeight="1" x14ac:dyDescent="0.2">
      <c r="A184" s="109"/>
      <c r="B184" s="4258" t="s">
        <v>233</v>
      </c>
      <c r="C184" s="4259"/>
      <c r="D184" s="361" t="s">
        <v>107</v>
      </c>
      <c r="E184" s="362"/>
      <c r="F184" s="4260"/>
      <c r="G184" s="4261"/>
      <c r="H184" s="361" t="s">
        <v>108</v>
      </c>
      <c r="I184" s="362"/>
      <c r="J184" s="4260"/>
      <c r="K184" s="4261"/>
      <c r="L184" s="361" t="s">
        <v>109</v>
      </c>
      <c r="M184" s="362"/>
      <c r="N184" s="4260"/>
      <c r="O184" s="4261"/>
      <c r="P184" s="361" t="s">
        <v>110</v>
      </c>
      <c r="Q184" s="362"/>
      <c r="R184" s="4260"/>
      <c r="S184" s="4261"/>
      <c r="T184" s="361" t="s">
        <v>111</v>
      </c>
      <c r="U184" s="362"/>
      <c r="V184" s="4260"/>
      <c r="W184" s="4261"/>
      <c r="X184" s="361" t="s">
        <v>112</v>
      </c>
      <c r="Y184" s="362"/>
      <c r="Z184" s="4260"/>
      <c r="AA184" s="4261"/>
      <c r="AB184" s="361" t="s">
        <v>113</v>
      </c>
      <c r="AC184" s="362"/>
      <c r="AD184" s="362"/>
      <c r="AE184" s="4262" t="s">
        <v>114</v>
      </c>
      <c r="AF184" s="362"/>
      <c r="AG184" s="362"/>
      <c r="AH184" s="362"/>
      <c r="AI184" s="4263"/>
    </row>
    <row r="185" spans="1:35" ht="22.35" customHeight="1" x14ac:dyDescent="0.2">
      <c r="A185" s="109"/>
      <c r="B185" s="3866" t="s">
        <v>234</v>
      </c>
      <c r="C185" s="3867" t="s">
        <v>235</v>
      </c>
      <c r="D185" s="3868" t="s">
        <v>236</v>
      </c>
      <c r="E185" s="3869"/>
      <c r="F185" s="3870"/>
      <c r="G185" s="3871"/>
      <c r="H185" s="3868" t="s">
        <v>236</v>
      </c>
      <c r="I185" s="3869"/>
      <c r="J185" s="3870"/>
      <c r="K185" s="3871"/>
      <c r="L185" s="3868" t="s">
        <v>236</v>
      </c>
      <c r="M185" s="3869"/>
      <c r="N185" s="3870"/>
      <c r="O185" s="3871"/>
      <c r="P185" s="3868" t="s">
        <v>237</v>
      </c>
      <c r="Q185" s="3869"/>
      <c r="R185" s="3870"/>
      <c r="S185" s="3871"/>
      <c r="T185" s="3868" t="s">
        <v>238</v>
      </c>
      <c r="U185" s="3870"/>
      <c r="V185" s="3870"/>
      <c r="W185" s="3872"/>
      <c r="X185" s="3873"/>
      <c r="Y185" s="3873"/>
      <c r="Z185" s="3874"/>
      <c r="AA185" s="3872"/>
      <c r="AB185" s="3873"/>
      <c r="AC185" s="3873"/>
      <c r="AD185" s="3873"/>
      <c r="AE185" s="3872"/>
      <c r="AF185" s="3873"/>
      <c r="AG185" s="3873"/>
      <c r="AH185" s="3875"/>
      <c r="AI185" s="3876"/>
    </row>
    <row r="186" spans="1:35" ht="22.35" customHeight="1" x14ac:dyDescent="0.2">
      <c r="A186" s="109"/>
      <c r="B186" s="3866" t="s">
        <v>234</v>
      </c>
      <c r="C186" s="3867" t="s">
        <v>239</v>
      </c>
      <c r="D186" s="3868" t="s">
        <v>236</v>
      </c>
      <c r="E186" s="3869"/>
      <c r="F186" s="3870"/>
      <c r="G186" s="3871"/>
      <c r="H186" s="3868" t="s">
        <v>236</v>
      </c>
      <c r="I186" s="3869"/>
      <c r="J186" s="3870"/>
      <c r="K186" s="3871"/>
      <c r="L186" s="3868" t="s">
        <v>236</v>
      </c>
      <c r="M186" s="3869"/>
      <c r="N186" s="3870"/>
      <c r="O186" s="3871"/>
      <c r="P186" s="3868" t="s">
        <v>237</v>
      </c>
      <c r="Q186" s="3869"/>
      <c r="R186" s="3870"/>
      <c r="S186" s="3871"/>
      <c r="T186" s="3868" t="s">
        <v>238</v>
      </c>
      <c r="U186" s="3870"/>
      <c r="V186" s="3870"/>
      <c r="W186" s="3872"/>
      <c r="X186" s="3873"/>
      <c r="Y186" s="3873"/>
      <c r="Z186" s="3874"/>
      <c r="AA186" s="3872"/>
      <c r="AB186" s="3873"/>
      <c r="AC186" s="3873"/>
      <c r="AD186" s="3873"/>
      <c r="AE186" s="3872"/>
      <c r="AF186" s="3873"/>
      <c r="AG186" s="3873"/>
      <c r="AH186" s="3875"/>
      <c r="AI186" s="3876"/>
    </row>
    <row r="187" spans="1:35" ht="22.35" customHeight="1" x14ac:dyDescent="0.2">
      <c r="A187" s="109"/>
      <c r="B187" s="3866" t="s">
        <v>240</v>
      </c>
      <c r="C187" s="3867" t="s">
        <v>50</v>
      </c>
      <c r="D187" s="3868" t="s">
        <v>236</v>
      </c>
      <c r="E187" s="3869"/>
      <c r="F187" s="3870"/>
      <c r="G187" s="3871"/>
      <c r="H187" s="3868" t="s">
        <v>236</v>
      </c>
      <c r="I187" s="3869"/>
      <c r="J187" s="3870"/>
      <c r="K187" s="3871"/>
      <c r="L187" s="3868" t="s">
        <v>236</v>
      </c>
      <c r="M187" s="3869"/>
      <c r="N187" s="3870"/>
      <c r="O187" s="3871"/>
      <c r="P187" s="3868" t="s">
        <v>453</v>
      </c>
      <c r="Q187" s="3869"/>
      <c r="R187" s="3870"/>
      <c r="S187" s="3871"/>
      <c r="T187" s="3868" t="s">
        <v>238</v>
      </c>
      <c r="U187" s="3870"/>
      <c r="V187" s="3870"/>
      <c r="W187" s="3872"/>
      <c r="X187" s="3873"/>
      <c r="Y187" s="3873"/>
      <c r="Z187" s="3874"/>
      <c r="AA187" s="3872"/>
      <c r="AB187" s="3873"/>
      <c r="AC187" s="3873"/>
      <c r="AD187" s="3873"/>
      <c r="AE187" s="3872"/>
      <c r="AF187" s="3873"/>
      <c r="AG187" s="3873"/>
      <c r="AH187" s="3875"/>
      <c r="AI187" s="3876"/>
    </row>
    <row r="188" spans="1:35" ht="22.35" customHeight="1" x14ac:dyDescent="0.2">
      <c r="A188" s="109"/>
      <c r="B188" s="3866" t="s">
        <v>242</v>
      </c>
      <c r="C188" s="3867" t="s">
        <v>243</v>
      </c>
      <c r="D188" s="3868" t="s">
        <v>494</v>
      </c>
      <c r="E188" s="3869"/>
      <c r="F188" s="3870"/>
      <c r="G188" s="3871"/>
      <c r="H188" s="3868" t="s">
        <v>494</v>
      </c>
      <c r="I188" s="3869"/>
      <c r="J188" s="3870"/>
      <c r="K188" s="3871"/>
      <c r="L188" s="3868" t="s">
        <v>494</v>
      </c>
      <c r="M188" s="3869"/>
      <c r="N188" s="3870"/>
      <c r="O188" s="3871"/>
      <c r="P188" s="3868" t="s">
        <v>495</v>
      </c>
      <c r="Q188" s="3869"/>
      <c r="R188" s="3870"/>
      <c r="S188" s="3871"/>
      <c r="T188" s="3868" t="s">
        <v>496</v>
      </c>
      <c r="U188" s="3870"/>
      <c r="V188" s="3870"/>
      <c r="W188" s="3872"/>
      <c r="X188" s="3873"/>
      <c r="Y188" s="3873"/>
      <c r="Z188" s="3874"/>
      <c r="AA188" s="3872"/>
      <c r="AB188" s="3873"/>
      <c r="AC188" s="3873"/>
      <c r="AD188" s="3873"/>
      <c r="AE188" s="3872"/>
      <c r="AF188" s="3873"/>
      <c r="AG188" s="3873"/>
      <c r="AH188" s="3875"/>
      <c r="AI188" s="3876"/>
    </row>
    <row r="189" spans="1:35" ht="22.35" customHeight="1" x14ac:dyDescent="0.2">
      <c r="A189" s="109"/>
      <c r="B189" s="3866" t="s">
        <v>248</v>
      </c>
      <c r="C189" s="3867" t="s">
        <v>249</v>
      </c>
      <c r="D189" s="3868" t="s">
        <v>250</v>
      </c>
      <c r="E189" s="3869"/>
      <c r="F189" s="3870"/>
      <c r="G189" s="3871"/>
      <c r="H189" s="3868" t="s">
        <v>250</v>
      </c>
      <c r="I189" s="3869"/>
      <c r="J189" s="3870"/>
      <c r="K189" s="3871"/>
      <c r="L189" s="3868" t="s">
        <v>251</v>
      </c>
      <c r="M189" s="3869"/>
      <c r="N189" s="3870"/>
      <c r="O189" s="3871"/>
      <c r="P189" s="3868" t="s">
        <v>252</v>
      </c>
      <c r="Q189" s="3869"/>
      <c r="R189" s="3870"/>
      <c r="S189" s="3871"/>
      <c r="T189" s="3868" t="s">
        <v>253</v>
      </c>
      <c r="U189" s="3870"/>
      <c r="V189" s="3870"/>
      <c r="W189" s="3872"/>
      <c r="X189" s="3873"/>
      <c r="Y189" s="3873"/>
      <c r="Z189" s="3874"/>
      <c r="AA189" s="3872"/>
      <c r="AB189" s="3873"/>
      <c r="AC189" s="3873"/>
      <c r="AD189" s="3873"/>
      <c r="AE189" s="3872"/>
      <c r="AF189" s="3873"/>
      <c r="AG189" s="3873"/>
      <c r="AH189" s="3875"/>
      <c r="AI189" s="3876"/>
    </row>
    <row r="190" spans="1:35" ht="22.35" customHeight="1" x14ac:dyDescent="0.2">
      <c r="A190" s="109"/>
      <c r="B190" s="3866" t="s">
        <v>254</v>
      </c>
      <c r="C190" s="3867" t="s">
        <v>142</v>
      </c>
      <c r="D190" s="3868" t="s">
        <v>236</v>
      </c>
      <c r="E190" s="3869"/>
      <c r="F190" s="3870"/>
      <c r="G190" s="3871"/>
      <c r="H190" s="3868" t="s">
        <v>236</v>
      </c>
      <c r="I190" s="3869"/>
      <c r="J190" s="3870"/>
      <c r="K190" s="3871"/>
      <c r="L190" s="3868" t="s">
        <v>236</v>
      </c>
      <c r="M190" s="3869"/>
      <c r="N190" s="3870"/>
      <c r="O190" s="3871"/>
      <c r="P190" s="3868" t="s">
        <v>236</v>
      </c>
      <c r="Q190" s="3869"/>
      <c r="R190" s="3870"/>
      <c r="S190" s="3871"/>
      <c r="T190" s="3868" t="s">
        <v>250</v>
      </c>
      <c r="U190" s="3870"/>
      <c r="V190" s="3870"/>
      <c r="W190" s="3872"/>
      <c r="X190" s="3873"/>
      <c r="Y190" s="3873"/>
      <c r="Z190" s="3874"/>
      <c r="AA190" s="3872"/>
      <c r="AB190" s="3873"/>
      <c r="AC190" s="3873"/>
      <c r="AD190" s="3873"/>
      <c r="AE190" s="3872"/>
      <c r="AF190" s="3873"/>
      <c r="AG190" s="3873"/>
      <c r="AH190" s="3875"/>
      <c r="AI190" s="3876"/>
    </row>
    <row r="191" spans="1:35" ht="22.35" customHeight="1" x14ac:dyDescent="0.2">
      <c r="A191" s="109"/>
      <c r="B191" s="3866" t="s">
        <v>255</v>
      </c>
      <c r="C191" s="3867" t="s">
        <v>134</v>
      </c>
      <c r="D191" s="3868" t="s">
        <v>236</v>
      </c>
      <c r="E191" s="3869"/>
      <c r="F191" s="3870"/>
      <c r="G191" s="3871"/>
      <c r="H191" s="3868" t="s">
        <v>236</v>
      </c>
      <c r="I191" s="3869"/>
      <c r="J191" s="3870"/>
      <c r="K191" s="3871"/>
      <c r="L191" s="3868" t="s">
        <v>236</v>
      </c>
      <c r="M191" s="3869"/>
      <c r="N191" s="3870"/>
      <c r="O191" s="3871"/>
      <c r="P191" s="3868" t="s">
        <v>237</v>
      </c>
      <c r="Q191" s="3869"/>
      <c r="R191" s="3870"/>
      <c r="S191" s="3871"/>
      <c r="T191" s="3868" t="s">
        <v>238</v>
      </c>
      <c r="U191" s="3870"/>
      <c r="V191" s="3870"/>
      <c r="W191" s="3872"/>
      <c r="X191" s="3873"/>
      <c r="Y191" s="3873"/>
      <c r="Z191" s="3874"/>
      <c r="AA191" s="3872"/>
      <c r="AB191" s="3873"/>
      <c r="AC191" s="3873"/>
      <c r="AD191" s="3873"/>
      <c r="AE191" s="3872"/>
      <c r="AF191" s="3873"/>
      <c r="AG191" s="3873"/>
      <c r="AH191" s="3875"/>
      <c r="AI191" s="3876"/>
    </row>
    <row r="192" spans="1:35" ht="22.35" customHeight="1" x14ac:dyDescent="0.2">
      <c r="A192" s="109"/>
      <c r="B192" s="3866" t="s">
        <v>255</v>
      </c>
      <c r="C192" s="3867" t="s">
        <v>176</v>
      </c>
      <c r="D192" s="3868" t="s">
        <v>236</v>
      </c>
      <c r="E192" s="3869"/>
      <c r="F192" s="3870"/>
      <c r="G192" s="3871"/>
      <c r="H192" s="3868" t="s">
        <v>236</v>
      </c>
      <c r="I192" s="3869"/>
      <c r="J192" s="3870"/>
      <c r="K192" s="3871"/>
      <c r="L192" s="3868" t="s">
        <v>236</v>
      </c>
      <c r="M192" s="3869"/>
      <c r="N192" s="3870"/>
      <c r="O192" s="3871"/>
      <c r="P192" s="3868" t="s">
        <v>237</v>
      </c>
      <c r="Q192" s="3869"/>
      <c r="R192" s="3870"/>
      <c r="S192" s="3871"/>
      <c r="T192" s="3868" t="s">
        <v>238</v>
      </c>
      <c r="U192" s="3870"/>
      <c r="V192" s="3870"/>
      <c r="W192" s="3872"/>
      <c r="X192" s="3873"/>
      <c r="Y192" s="3873"/>
      <c r="Z192" s="3874"/>
      <c r="AA192" s="3872"/>
      <c r="AB192" s="3873"/>
      <c r="AC192" s="3873"/>
      <c r="AD192" s="3873"/>
      <c r="AE192" s="3872"/>
      <c r="AF192" s="3873"/>
      <c r="AG192" s="3873"/>
      <c r="AH192" s="3875"/>
      <c r="AI192" s="3876"/>
    </row>
    <row r="193" spans="1:36" ht="22.35" customHeight="1" x14ac:dyDescent="0.2">
      <c r="A193" s="109"/>
      <c r="B193" s="3866" t="s">
        <v>256</v>
      </c>
      <c r="C193" s="3867" t="s">
        <v>257</v>
      </c>
      <c r="D193" s="3868" t="s">
        <v>236</v>
      </c>
      <c r="E193" s="3869"/>
      <c r="F193" s="3870"/>
      <c r="G193" s="3871"/>
      <c r="H193" s="3868" t="s">
        <v>236</v>
      </c>
      <c r="I193" s="3869"/>
      <c r="J193" s="3870"/>
      <c r="K193" s="3871"/>
      <c r="L193" s="3868" t="s">
        <v>236</v>
      </c>
      <c r="M193" s="3869"/>
      <c r="N193" s="3870"/>
      <c r="O193" s="3871"/>
      <c r="P193" s="3868" t="s">
        <v>258</v>
      </c>
      <c r="Q193" s="3869"/>
      <c r="R193" s="3870"/>
      <c r="S193" s="3871"/>
      <c r="T193" s="3868" t="s">
        <v>253</v>
      </c>
      <c r="U193" s="3870"/>
      <c r="V193" s="3870"/>
      <c r="W193" s="3872"/>
      <c r="X193" s="3873"/>
      <c r="Y193" s="3873"/>
      <c r="Z193" s="3874"/>
      <c r="AA193" s="3872"/>
      <c r="AB193" s="3873"/>
      <c r="AC193" s="3873"/>
      <c r="AD193" s="3873"/>
      <c r="AE193" s="3872"/>
      <c r="AF193" s="3873"/>
      <c r="AG193" s="3873"/>
      <c r="AH193" s="3875"/>
      <c r="AI193" s="3876"/>
    </row>
    <row r="194" spans="1:36" ht="22.35" customHeight="1" x14ac:dyDescent="0.2">
      <c r="A194" s="109"/>
      <c r="B194" s="3877" t="s">
        <v>259</v>
      </c>
      <c r="C194" s="3878" t="s">
        <v>95</v>
      </c>
      <c r="D194" s="3879" t="s">
        <v>236</v>
      </c>
      <c r="E194" s="3880"/>
      <c r="F194" s="3881"/>
      <c r="G194" s="3878"/>
      <c r="H194" s="3879" t="s">
        <v>236</v>
      </c>
      <c r="I194" s="3880"/>
      <c r="J194" s="3881"/>
      <c r="K194" s="3878"/>
      <c r="L194" s="3879" t="s">
        <v>236</v>
      </c>
      <c r="M194" s="3880"/>
      <c r="N194" s="3881"/>
      <c r="O194" s="3878"/>
      <c r="P194" s="3879" t="s">
        <v>237</v>
      </c>
      <c r="Q194" s="3880"/>
      <c r="R194" s="3881"/>
      <c r="S194" s="3878"/>
      <c r="T194" s="3879" t="s">
        <v>238</v>
      </c>
      <c r="U194" s="3881"/>
      <c r="V194" s="388"/>
      <c r="W194" s="3882"/>
      <c r="X194" s="188"/>
      <c r="Y194" s="188"/>
      <c r="Z194" s="388"/>
      <c r="AA194" s="3882"/>
      <c r="AB194" s="188"/>
      <c r="AC194" s="188"/>
      <c r="AD194" s="188"/>
      <c r="AE194" s="3882"/>
      <c r="AF194" s="188"/>
      <c r="AG194" s="188"/>
      <c r="AH194" s="189"/>
      <c r="AI194" s="3883"/>
      <c r="AJ194" s="190"/>
    </row>
    <row r="195" spans="1:36" ht="22.35" customHeight="1" x14ac:dyDescent="0.2">
      <c r="A195" s="109"/>
      <c r="B195" s="3866" t="s">
        <v>260</v>
      </c>
      <c r="C195" s="3867" t="s">
        <v>177</v>
      </c>
      <c r="D195" s="3868" t="s">
        <v>236</v>
      </c>
      <c r="E195" s="3869"/>
      <c r="F195" s="3870"/>
      <c r="G195" s="3871"/>
      <c r="H195" s="3868" t="s">
        <v>236</v>
      </c>
      <c r="I195" s="3869"/>
      <c r="J195" s="3870"/>
      <c r="K195" s="3871"/>
      <c r="L195" s="3868" t="s">
        <v>236</v>
      </c>
      <c r="M195" s="3869"/>
      <c r="N195" s="3870"/>
      <c r="O195" s="3871"/>
      <c r="P195" s="3868" t="s">
        <v>237</v>
      </c>
      <c r="Q195" s="3869"/>
      <c r="R195" s="3870"/>
      <c r="S195" s="3871"/>
      <c r="T195" s="3868" t="s">
        <v>238</v>
      </c>
      <c r="U195" s="3870"/>
      <c r="V195" s="3869"/>
      <c r="W195" s="3872"/>
      <c r="X195" s="3873"/>
      <c r="Y195" s="3873"/>
      <c r="Z195" s="3873"/>
      <c r="AA195" s="3872"/>
      <c r="AB195" s="3873"/>
      <c r="AC195" s="3873"/>
      <c r="AD195" s="3873"/>
      <c r="AE195" s="3872"/>
      <c r="AF195" s="3873"/>
      <c r="AG195" s="3873"/>
      <c r="AH195" s="3875"/>
      <c r="AI195" s="3876"/>
      <c r="AJ195" s="190"/>
    </row>
    <row r="196" spans="1:36" ht="22.35" customHeight="1" x14ac:dyDescent="0.2">
      <c r="A196" s="109"/>
      <c r="B196" s="3866" t="s">
        <v>261</v>
      </c>
      <c r="C196" s="3867" t="s">
        <v>137</v>
      </c>
      <c r="D196" s="3868" t="s">
        <v>262</v>
      </c>
      <c r="E196" s="3869"/>
      <c r="F196" s="3870"/>
      <c r="G196" s="3871"/>
      <c r="H196" s="3868" t="s">
        <v>262</v>
      </c>
      <c r="I196" s="3869"/>
      <c r="J196" s="3870"/>
      <c r="K196" s="3871"/>
      <c r="L196" s="3868" t="s">
        <v>262</v>
      </c>
      <c r="M196" s="3869"/>
      <c r="N196" s="3869"/>
      <c r="O196" s="3871"/>
      <c r="P196" s="3868" t="s">
        <v>262</v>
      </c>
      <c r="Q196" s="3869"/>
      <c r="R196" s="3869"/>
      <c r="S196" s="3871"/>
      <c r="T196" s="3868" t="s">
        <v>253</v>
      </c>
      <c r="U196" s="3870"/>
      <c r="V196" s="3869"/>
      <c r="W196" s="3884"/>
      <c r="X196" s="3873"/>
      <c r="Y196" s="3873"/>
      <c r="Z196" s="3873"/>
      <c r="AA196" s="3872"/>
      <c r="AB196" s="3873"/>
      <c r="AC196" s="3873"/>
      <c r="AD196" s="3873"/>
      <c r="AE196" s="3872"/>
      <c r="AF196" s="3873"/>
      <c r="AG196" s="3873"/>
      <c r="AH196" s="3875"/>
      <c r="AI196" s="3876"/>
      <c r="AJ196" s="190"/>
    </row>
    <row r="197" spans="1:36" ht="22.35" customHeight="1" x14ac:dyDescent="0.2">
      <c r="A197" s="109"/>
      <c r="B197" s="3866" t="s">
        <v>263</v>
      </c>
      <c r="C197" s="3867" t="s">
        <v>264</v>
      </c>
      <c r="D197" s="3868" t="s">
        <v>262</v>
      </c>
      <c r="E197" s="3869"/>
      <c r="F197" s="3870"/>
      <c r="G197" s="3871"/>
      <c r="H197" s="3868" t="s">
        <v>262</v>
      </c>
      <c r="I197" s="3869"/>
      <c r="J197" s="3870"/>
      <c r="K197" s="3871"/>
      <c r="L197" s="3868" t="s">
        <v>262</v>
      </c>
      <c r="M197" s="3869"/>
      <c r="N197" s="3869"/>
      <c r="O197" s="3871"/>
      <c r="P197" s="3868" t="s">
        <v>262</v>
      </c>
      <c r="Q197" s="3869"/>
      <c r="R197" s="3869"/>
      <c r="S197" s="3871"/>
      <c r="T197" s="3868" t="s">
        <v>253</v>
      </c>
      <c r="U197" s="3870"/>
      <c r="V197" s="3869"/>
      <c r="W197" s="3884"/>
      <c r="X197" s="3873"/>
      <c r="Y197" s="3873"/>
      <c r="Z197" s="3874"/>
      <c r="AA197" s="3885"/>
      <c r="AB197" s="3873"/>
      <c r="AC197" s="3873"/>
      <c r="AD197" s="3873"/>
      <c r="AE197" s="3872"/>
      <c r="AF197" s="3873"/>
      <c r="AG197" s="3873"/>
      <c r="AH197" s="3875"/>
      <c r="AI197" s="3876"/>
      <c r="AJ197" s="190"/>
    </row>
    <row r="198" spans="1:36" ht="22.35" customHeight="1" thickBot="1" x14ac:dyDescent="0.25">
      <c r="A198" s="109"/>
      <c r="B198" s="1119" t="s">
        <v>265</v>
      </c>
      <c r="C198" s="1120" t="s">
        <v>266</v>
      </c>
      <c r="D198" s="3888" t="s">
        <v>262</v>
      </c>
      <c r="E198" s="3889"/>
      <c r="F198" s="1123"/>
      <c r="G198" s="1124"/>
      <c r="H198" s="3888" t="s">
        <v>262</v>
      </c>
      <c r="I198" s="3889"/>
      <c r="J198" s="1123"/>
      <c r="K198" s="1124"/>
      <c r="L198" s="3888" t="s">
        <v>262</v>
      </c>
      <c r="M198" s="3889"/>
      <c r="N198" s="3889"/>
      <c r="O198" s="1124"/>
      <c r="P198" s="3888" t="s">
        <v>262</v>
      </c>
      <c r="Q198" s="3889"/>
      <c r="R198" s="3889"/>
      <c r="S198" s="1124"/>
      <c r="T198" s="3888" t="s">
        <v>253</v>
      </c>
      <c r="U198" s="1123"/>
      <c r="V198" s="3889"/>
      <c r="W198" s="1125"/>
      <c r="X198" s="3893"/>
      <c r="Y198" s="3893"/>
      <c r="Z198" s="1127"/>
      <c r="AA198" s="3895"/>
      <c r="AB198" s="3893"/>
      <c r="AC198" s="3893"/>
      <c r="AD198" s="3893"/>
      <c r="AE198" s="1129"/>
      <c r="AF198" s="3893"/>
      <c r="AG198" s="3893"/>
      <c r="AH198" s="3897"/>
      <c r="AI198" s="1131"/>
      <c r="AJ198" s="190"/>
    </row>
    <row r="199" spans="1:36" ht="22.35" customHeight="1" x14ac:dyDescent="0.2">
      <c r="A199" s="109"/>
      <c r="B199" s="206"/>
      <c r="C199" s="207"/>
      <c r="D199" s="208"/>
      <c r="E199" s="209"/>
      <c r="F199" s="209"/>
      <c r="G199" s="210"/>
      <c r="H199" s="208"/>
      <c r="I199" s="209"/>
      <c r="J199" s="209"/>
      <c r="K199" s="210"/>
      <c r="L199" s="208"/>
      <c r="M199" s="209"/>
      <c r="N199" s="209"/>
      <c r="O199" s="210"/>
      <c r="P199" s="198"/>
      <c r="Q199" s="209"/>
      <c r="R199" s="209"/>
      <c r="S199" s="210"/>
      <c r="T199" s="198"/>
      <c r="U199" s="209"/>
      <c r="V199" s="209"/>
      <c r="W199" s="209"/>
      <c r="X199" s="209"/>
      <c r="Y199" s="209"/>
      <c r="Z199" s="209"/>
      <c r="AA199" s="210"/>
      <c r="AB199" s="209"/>
      <c r="AC199" s="209"/>
      <c r="AD199" s="209"/>
      <c r="AE199" s="210"/>
      <c r="AF199" s="209"/>
      <c r="AG199" s="209"/>
      <c r="AH199" s="191"/>
      <c r="AI199" s="191"/>
      <c r="AJ199" s="190"/>
    </row>
    <row r="200" spans="1:36" ht="22.35" customHeight="1" thickBot="1" x14ac:dyDescent="0.25">
      <c r="A200" s="147"/>
      <c r="B200" s="3899" t="s">
        <v>29</v>
      </c>
      <c r="C200" s="4032">
        <v>1</v>
      </c>
      <c r="D200" s="4032">
        <v>2</v>
      </c>
      <c r="E200" s="4032">
        <v>3</v>
      </c>
      <c r="F200" s="4033">
        <v>4</v>
      </c>
      <c r="G200" s="4033">
        <v>5</v>
      </c>
      <c r="H200" s="4032">
        <v>6</v>
      </c>
      <c r="I200" s="4032">
        <v>7</v>
      </c>
      <c r="J200" s="4032">
        <v>8</v>
      </c>
      <c r="K200" s="4032">
        <v>9</v>
      </c>
      <c r="L200" s="4032">
        <v>10</v>
      </c>
      <c r="M200" s="4033">
        <v>11</v>
      </c>
      <c r="N200" s="4033">
        <v>12</v>
      </c>
      <c r="O200" s="4032">
        <v>13</v>
      </c>
      <c r="P200" s="4032">
        <v>14</v>
      </c>
      <c r="Q200" s="4032">
        <v>15</v>
      </c>
      <c r="R200" s="4032">
        <v>16</v>
      </c>
      <c r="S200" s="4032">
        <v>17</v>
      </c>
      <c r="T200" s="4033">
        <v>18</v>
      </c>
      <c r="U200" s="4033">
        <v>19</v>
      </c>
      <c r="V200" s="4032">
        <v>20</v>
      </c>
      <c r="W200" s="4032">
        <v>21</v>
      </c>
      <c r="X200" s="4032">
        <v>22</v>
      </c>
      <c r="Y200" s="4032">
        <v>23</v>
      </c>
      <c r="Z200" s="4032">
        <v>24</v>
      </c>
      <c r="AA200" s="4033">
        <v>25</v>
      </c>
      <c r="AB200" s="4033">
        <v>26</v>
      </c>
      <c r="AC200" s="4032">
        <v>27</v>
      </c>
      <c r="AD200" s="4032">
        <v>28</v>
      </c>
      <c r="AE200" s="4032">
        <v>29</v>
      </c>
      <c r="AF200" s="4032">
        <v>30</v>
      </c>
      <c r="AG200" s="4034">
        <v>31</v>
      </c>
      <c r="AH200" s="180"/>
      <c r="AI200" s="174"/>
    </row>
    <row r="201" spans="1:36" ht="22.35" customHeight="1" thickBot="1" x14ac:dyDescent="0.25">
      <c r="A201" s="109"/>
      <c r="B201" s="4264" t="s">
        <v>267</v>
      </c>
      <c r="C201" s="4265" t="s">
        <v>235</v>
      </c>
      <c r="D201" s="4265" t="s">
        <v>235</v>
      </c>
      <c r="E201" s="4265" t="s">
        <v>235</v>
      </c>
      <c r="F201" s="4265"/>
      <c r="G201" s="4265"/>
      <c r="H201" s="4265" t="s">
        <v>235</v>
      </c>
      <c r="I201" s="4265" t="s">
        <v>235</v>
      </c>
      <c r="J201" s="4265" t="s">
        <v>235</v>
      </c>
      <c r="K201" s="4265" t="s">
        <v>235</v>
      </c>
      <c r="L201" s="4265" t="s">
        <v>235</v>
      </c>
      <c r="M201" s="4265"/>
      <c r="N201" s="4265"/>
      <c r="O201" s="4265" t="s">
        <v>235</v>
      </c>
      <c r="P201" s="4265" t="s">
        <v>235</v>
      </c>
      <c r="Q201" s="4265" t="s">
        <v>235</v>
      </c>
      <c r="R201" s="4265" t="s">
        <v>235</v>
      </c>
      <c r="S201" s="4265" t="s">
        <v>235</v>
      </c>
      <c r="T201" s="4265"/>
      <c r="U201" s="4265"/>
      <c r="V201" s="4265" t="s">
        <v>235</v>
      </c>
      <c r="W201" s="4265" t="s">
        <v>235</v>
      </c>
      <c r="X201" s="4265" t="s">
        <v>235</v>
      </c>
      <c r="Y201" s="4265" t="s">
        <v>235</v>
      </c>
      <c r="Z201" s="4265" t="s">
        <v>235</v>
      </c>
      <c r="AA201" s="4265"/>
      <c r="AB201" s="4265"/>
      <c r="AC201" s="4265" t="s">
        <v>235</v>
      </c>
      <c r="AD201" s="4265" t="s">
        <v>235</v>
      </c>
      <c r="AE201" s="4265" t="s">
        <v>235</v>
      </c>
      <c r="AF201" s="4265" t="s">
        <v>235</v>
      </c>
      <c r="AG201" s="4265" t="s">
        <v>235</v>
      </c>
      <c r="AH201" s="179"/>
      <c r="AI201" s="179"/>
    </row>
    <row r="202" spans="1:36" ht="22.35" customHeight="1" thickBot="1" x14ac:dyDescent="0.25">
      <c r="A202" s="109"/>
      <c r="B202" s="3904" t="s">
        <v>268</v>
      </c>
      <c r="C202" s="3434" t="s">
        <v>235</v>
      </c>
      <c r="D202" s="3434" t="s">
        <v>235</v>
      </c>
      <c r="E202" s="3434" t="s">
        <v>235</v>
      </c>
      <c r="F202" s="3434"/>
      <c r="G202" s="3434"/>
      <c r="H202" s="3434" t="s">
        <v>235</v>
      </c>
      <c r="I202" s="3434" t="s">
        <v>235</v>
      </c>
      <c r="J202" s="3434" t="s">
        <v>235</v>
      </c>
      <c r="K202" s="3434" t="s">
        <v>235</v>
      </c>
      <c r="L202" s="3434" t="s">
        <v>235</v>
      </c>
      <c r="M202" s="3434"/>
      <c r="N202" s="3434"/>
      <c r="O202" s="3434" t="s">
        <v>235</v>
      </c>
      <c r="P202" s="3434" t="s">
        <v>235</v>
      </c>
      <c r="Q202" s="4265" t="s">
        <v>235</v>
      </c>
      <c r="R202" s="3434" t="s">
        <v>235</v>
      </c>
      <c r="S202" s="3434" t="s">
        <v>235</v>
      </c>
      <c r="T202" s="3434"/>
      <c r="U202" s="3434"/>
      <c r="V202" s="3434" t="s">
        <v>235</v>
      </c>
      <c r="W202" s="4265" t="s">
        <v>235</v>
      </c>
      <c r="X202" s="3434" t="s">
        <v>235</v>
      </c>
      <c r="Y202" s="3434" t="s">
        <v>235</v>
      </c>
      <c r="Z202" s="4265" t="s">
        <v>235</v>
      </c>
      <c r="AA202" s="3434"/>
      <c r="AB202" s="3434"/>
      <c r="AC202" s="3434" t="s">
        <v>235</v>
      </c>
      <c r="AD202" s="3434" t="s">
        <v>235</v>
      </c>
      <c r="AE202" s="3434" t="s">
        <v>235</v>
      </c>
      <c r="AF202" s="3434" t="s">
        <v>235</v>
      </c>
      <c r="AG202" s="3434" t="s">
        <v>235</v>
      </c>
      <c r="AH202" s="179"/>
      <c r="AI202" s="179"/>
    </row>
    <row r="203" spans="1:36" ht="22.35" customHeight="1" thickBot="1" x14ac:dyDescent="0.25">
      <c r="A203" s="109"/>
      <c r="B203" s="3904" t="s">
        <v>270</v>
      </c>
      <c r="C203" s="3434" t="s">
        <v>235</v>
      </c>
      <c r="D203" s="3434" t="s">
        <v>239</v>
      </c>
      <c r="E203" s="3434" t="s">
        <v>239</v>
      </c>
      <c r="F203" s="3434"/>
      <c r="G203" s="3434"/>
      <c r="H203" s="3434" t="s">
        <v>239</v>
      </c>
      <c r="I203" s="3434" t="s">
        <v>239</v>
      </c>
      <c r="J203" s="3434" t="s">
        <v>235</v>
      </c>
      <c r="K203" s="3434" t="s">
        <v>239</v>
      </c>
      <c r="L203" s="3434" t="s">
        <v>239</v>
      </c>
      <c r="M203" s="3434"/>
      <c r="N203" s="3434"/>
      <c r="O203" s="3434" t="s">
        <v>239</v>
      </c>
      <c r="P203" s="3434" t="s">
        <v>239</v>
      </c>
      <c r="Q203" s="4265" t="s">
        <v>239</v>
      </c>
      <c r="R203" s="3434" t="s">
        <v>239</v>
      </c>
      <c r="S203" s="3434" t="s">
        <v>239</v>
      </c>
      <c r="T203" s="3434"/>
      <c r="U203" s="3434"/>
      <c r="V203" s="4266" t="s">
        <v>463</v>
      </c>
      <c r="W203" s="4267" t="s">
        <v>239</v>
      </c>
      <c r="X203" s="4267" t="s">
        <v>235</v>
      </c>
      <c r="Y203" s="4267" t="s">
        <v>239</v>
      </c>
      <c r="Z203" s="4267" t="s">
        <v>239</v>
      </c>
      <c r="AA203" s="3434"/>
      <c r="AB203" s="3434"/>
      <c r="AC203" s="3434" t="s">
        <v>239</v>
      </c>
      <c r="AD203" s="3434" t="s">
        <v>239</v>
      </c>
      <c r="AE203" s="3434" t="s">
        <v>235</v>
      </c>
      <c r="AF203" s="3434" t="s">
        <v>239</v>
      </c>
      <c r="AG203" s="3434" t="s">
        <v>239</v>
      </c>
      <c r="AH203" s="179"/>
      <c r="AI203" s="179"/>
    </row>
    <row r="204" spans="1:36" ht="22.35" customHeight="1" thickBot="1" x14ac:dyDescent="0.25">
      <c r="A204" s="109"/>
      <c r="B204" s="3904" t="s">
        <v>271</v>
      </c>
      <c r="C204" s="3434" t="s">
        <v>50</v>
      </c>
      <c r="D204" s="3434" t="s">
        <v>50</v>
      </c>
      <c r="E204" s="3434" t="s">
        <v>50</v>
      </c>
      <c r="F204" s="3434"/>
      <c r="G204" s="3434"/>
      <c r="H204" s="3434" t="s">
        <v>50</v>
      </c>
      <c r="I204" s="3434" t="s">
        <v>50</v>
      </c>
      <c r="J204" s="3434" t="s">
        <v>50</v>
      </c>
      <c r="K204" s="3434" t="s">
        <v>50</v>
      </c>
      <c r="L204" s="3434" t="s">
        <v>50</v>
      </c>
      <c r="M204" s="3434"/>
      <c r="N204" s="3434"/>
      <c r="O204" s="3434" t="s">
        <v>50</v>
      </c>
      <c r="P204" s="3434" t="s">
        <v>50</v>
      </c>
      <c r="Q204" s="4265" t="s">
        <v>50</v>
      </c>
      <c r="R204" s="3434" t="s">
        <v>50</v>
      </c>
      <c r="S204" s="3434" t="s">
        <v>50</v>
      </c>
      <c r="T204" s="3434"/>
      <c r="U204" s="3434"/>
      <c r="V204" s="3434" t="s">
        <v>50</v>
      </c>
      <c r="W204" s="3434" t="s">
        <v>50</v>
      </c>
      <c r="X204" s="3434" t="s">
        <v>50</v>
      </c>
      <c r="Y204" s="3434" t="s">
        <v>50</v>
      </c>
      <c r="Z204" s="3434" t="s">
        <v>50</v>
      </c>
      <c r="AA204" s="3434"/>
      <c r="AB204" s="3434"/>
      <c r="AC204" s="3434" t="s">
        <v>50</v>
      </c>
      <c r="AD204" s="3434" t="s">
        <v>50</v>
      </c>
      <c r="AE204" s="3434" t="s">
        <v>50</v>
      </c>
      <c r="AF204" s="3434" t="s">
        <v>50</v>
      </c>
      <c r="AG204" s="3434" t="s">
        <v>50</v>
      </c>
      <c r="AH204" s="179"/>
      <c r="AI204" s="179"/>
    </row>
    <row r="205" spans="1:36" ht="22.35" customHeight="1" thickBot="1" x14ac:dyDescent="0.25">
      <c r="A205" s="109"/>
      <c r="B205" s="933" t="s">
        <v>272</v>
      </c>
      <c r="C205" s="3434" t="s">
        <v>243</v>
      </c>
      <c r="D205" s="3434" t="s">
        <v>243</v>
      </c>
      <c r="E205" s="3434" t="s">
        <v>243</v>
      </c>
      <c r="F205" s="3434"/>
      <c r="G205" s="3434"/>
      <c r="H205" s="3434" t="s">
        <v>243</v>
      </c>
      <c r="I205" s="3434" t="s">
        <v>243</v>
      </c>
      <c r="J205" s="3434" t="s">
        <v>243</v>
      </c>
      <c r="K205" s="3434" t="s">
        <v>243</v>
      </c>
      <c r="L205" s="3434" t="s">
        <v>243</v>
      </c>
      <c r="M205" s="3434"/>
      <c r="N205" s="3434"/>
      <c r="O205" s="3435" t="s">
        <v>243</v>
      </c>
      <c r="P205" s="3435" t="s">
        <v>243</v>
      </c>
      <c r="Q205" s="4265" t="s">
        <v>243</v>
      </c>
      <c r="R205" s="3435" t="s">
        <v>243</v>
      </c>
      <c r="S205" s="3435" t="s">
        <v>243</v>
      </c>
      <c r="T205" s="3435"/>
      <c r="U205" s="3435"/>
      <c r="V205" s="3434" t="s">
        <v>243</v>
      </c>
      <c r="W205" s="4268" t="s">
        <v>243</v>
      </c>
      <c r="X205" s="4268" t="s">
        <v>243</v>
      </c>
      <c r="Y205" s="3434" t="s">
        <v>243</v>
      </c>
      <c r="Z205" s="3434" t="s">
        <v>243</v>
      </c>
      <c r="AA205" s="3434"/>
      <c r="AB205" s="3434"/>
      <c r="AC205" s="3434" t="s">
        <v>243</v>
      </c>
      <c r="AD205" s="3434" t="s">
        <v>243</v>
      </c>
      <c r="AE205" s="3434" t="s">
        <v>243</v>
      </c>
      <c r="AF205" s="3434" t="s">
        <v>243</v>
      </c>
      <c r="AG205" s="3434" t="s">
        <v>243</v>
      </c>
      <c r="AH205" s="179"/>
      <c r="AI205" s="179"/>
    </row>
    <row r="206" spans="1:36" ht="22.35" customHeight="1" thickBot="1" x14ac:dyDescent="0.25">
      <c r="A206" s="109"/>
      <c r="B206" s="3904" t="s">
        <v>273</v>
      </c>
      <c r="C206" s="4269" t="s">
        <v>142</v>
      </c>
      <c r="D206" s="4269" t="s">
        <v>142</v>
      </c>
      <c r="E206" s="4269" t="s">
        <v>142</v>
      </c>
      <c r="F206" s="3437"/>
      <c r="G206" s="3437"/>
      <c r="H206" s="3437" t="s">
        <v>142</v>
      </c>
      <c r="I206" s="3437" t="s">
        <v>142</v>
      </c>
      <c r="J206" s="3437" t="s">
        <v>142</v>
      </c>
      <c r="K206" s="3437" t="s">
        <v>142</v>
      </c>
      <c r="L206" s="3437" t="s">
        <v>142</v>
      </c>
      <c r="M206" s="3437"/>
      <c r="N206" s="3437"/>
      <c r="O206" s="3437" t="s">
        <v>142</v>
      </c>
      <c r="P206" s="3437" t="s">
        <v>142</v>
      </c>
      <c r="Q206" s="4265" t="s">
        <v>142</v>
      </c>
      <c r="R206" s="3437" t="s">
        <v>142</v>
      </c>
      <c r="S206" s="3437" t="s">
        <v>142</v>
      </c>
      <c r="T206" s="3437"/>
      <c r="U206" s="3437"/>
      <c r="V206" s="4266" t="s">
        <v>142</v>
      </c>
      <c r="W206" s="4266" t="s">
        <v>142</v>
      </c>
      <c r="X206" s="4266" t="s">
        <v>142</v>
      </c>
      <c r="Y206" s="4266" t="s">
        <v>142</v>
      </c>
      <c r="Z206" s="4266" t="s">
        <v>142</v>
      </c>
      <c r="AA206" s="4270"/>
      <c r="AB206" s="4270"/>
      <c r="AC206" s="4270" t="s">
        <v>142</v>
      </c>
      <c r="AD206" s="4270" t="s">
        <v>142</v>
      </c>
      <c r="AE206" s="4270" t="s">
        <v>497</v>
      </c>
      <c r="AF206" s="3437" t="s">
        <v>142</v>
      </c>
      <c r="AG206" s="3437" t="s">
        <v>142</v>
      </c>
      <c r="AH206" s="179"/>
      <c r="AI206" s="179"/>
    </row>
    <row r="207" spans="1:36" ht="22.35" customHeight="1" thickBot="1" x14ac:dyDescent="0.25">
      <c r="A207" s="109"/>
      <c r="B207" s="634" t="s">
        <v>0</v>
      </c>
      <c r="C207" s="3434" t="s">
        <v>134</v>
      </c>
      <c r="D207" s="3434" t="s">
        <v>134</v>
      </c>
      <c r="E207" s="3434" t="s">
        <v>134</v>
      </c>
      <c r="F207" s="3434"/>
      <c r="G207" s="3434"/>
      <c r="H207" s="3434" t="s">
        <v>134</v>
      </c>
      <c r="I207" s="3434" t="s">
        <v>134</v>
      </c>
      <c r="J207" s="3434" t="s">
        <v>134</v>
      </c>
      <c r="K207" s="3434" t="s">
        <v>134</v>
      </c>
      <c r="L207" s="3434" t="s">
        <v>134</v>
      </c>
      <c r="M207" s="3434"/>
      <c r="N207" s="3434"/>
      <c r="O207" s="3434" t="s">
        <v>134</v>
      </c>
      <c r="P207" s="3434" t="s">
        <v>134</v>
      </c>
      <c r="Q207" s="4265" t="s">
        <v>134</v>
      </c>
      <c r="R207" s="3434" t="s">
        <v>134</v>
      </c>
      <c r="S207" s="3434" t="s">
        <v>134</v>
      </c>
      <c r="T207" s="3434"/>
      <c r="U207" s="3434"/>
      <c r="V207" s="3434" t="s">
        <v>134</v>
      </c>
      <c r="W207" s="3434" t="s">
        <v>134</v>
      </c>
      <c r="X207" s="3434" t="s">
        <v>134</v>
      </c>
      <c r="Y207" s="3434" t="s">
        <v>134</v>
      </c>
      <c r="Z207" s="3434" t="s">
        <v>134</v>
      </c>
      <c r="AA207" s="3434"/>
      <c r="AB207" s="3434"/>
      <c r="AC207" s="3434" t="s">
        <v>134</v>
      </c>
      <c r="AD207" s="3434" t="s">
        <v>134</v>
      </c>
      <c r="AE207" s="3434" t="s">
        <v>134</v>
      </c>
      <c r="AF207" s="3434" t="s">
        <v>134</v>
      </c>
      <c r="AG207" s="3434" t="s">
        <v>134</v>
      </c>
      <c r="AH207" s="179"/>
      <c r="AI207" s="179"/>
    </row>
    <row r="208" spans="1:36" ht="22.35" customHeight="1" thickBot="1" x14ac:dyDescent="0.25">
      <c r="A208" s="109"/>
      <c r="B208" s="3904" t="s">
        <v>274</v>
      </c>
      <c r="C208" s="292" t="s">
        <v>176</v>
      </c>
      <c r="D208" s="292" t="s">
        <v>176</v>
      </c>
      <c r="E208" s="292" t="s">
        <v>176</v>
      </c>
      <c r="F208" s="292"/>
      <c r="G208" s="292"/>
      <c r="H208" s="292" t="s">
        <v>176</v>
      </c>
      <c r="I208" s="292" t="s">
        <v>176</v>
      </c>
      <c r="J208" s="292" t="s">
        <v>176</v>
      </c>
      <c r="K208" s="292" t="s">
        <v>176</v>
      </c>
      <c r="L208" s="292" t="s">
        <v>176</v>
      </c>
      <c r="M208" s="292"/>
      <c r="N208" s="292"/>
      <c r="O208" s="292" t="s">
        <v>176</v>
      </c>
      <c r="P208" s="292" t="s">
        <v>176</v>
      </c>
      <c r="Q208" s="4265" t="s">
        <v>176</v>
      </c>
      <c r="R208" s="292" t="s">
        <v>176</v>
      </c>
      <c r="S208" s="292" t="s">
        <v>176</v>
      </c>
      <c r="T208" s="292"/>
      <c r="U208" s="292"/>
      <c r="V208" s="292" t="s">
        <v>176</v>
      </c>
      <c r="W208" s="292" t="s">
        <v>176</v>
      </c>
      <c r="X208" s="292" t="s">
        <v>176</v>
      </c>
      <c r="Y208" s="479" t="s">
        <v>176</v>
      </c>
      <c r="Z208" s="292" t="s">
        <v>176</v>
      </c>
      <c r="AA208" s="292"/>
      <c r="AB208" s="292"/>
      <c r="AC208" s="292" t="s">
        <v>176</v>
      </c>
      <c r="AD208" s="292" t="s">
        <v>176</v>
      </c>
      <c r="AE208" s="292" t="s">
        <v>176</v>
      </c>
      <c r="AF208" s="292" t="s">
        <v>176</v>
      </c>
      <c r="AG208" s="292" t="s">
        <v>176</v>
      </c>
      <c r="AH208" s="179"/>
      <c r="AI208" s="179"/>
    </row>
    <row r="209" spans="1:35" ht="22.35" customHeight="1" thickBot="1" x14ac:dyDescent="0.25">
      <c r="A209" s="109"/>
      <c r="B209" s="3904" t="s">
        <v>275</v>
      </c>
      <c r="C209" s="851" t="s">
        <v>257</v>
      </c>
      <c r="D209" s="851" t="s">
        <v>257</v>
      </c>
      <c r="E209" s="851" t="s">
        <v>257</v>
      </c>
      <c r="F209" s="851"/>
      <c r="G209" s="851"/>
      <c r="H209" s="851" t="s">
        <v>257</v>
      </c>
      <c r="I209" s="851" t="s">
        <v>257</v>
      </c>
      <c r="J209" s="851" t="s">
        <v>257</v>
      </c>
      <c r="K209" s="851" t="s">
        <v>257</v>
      </c>
      <c r="L209" s="851" t="s">
        <v>257</v>
      </c>
      <c r="M209" s="851"/>
      <c r="N209" s="851"/>
      <c r="O209" s="851" t="s">
        <v>257</v>
      </c>
      <c r="P209" s="851" t="s">
        <v>257</v>
      </c>
      <c r="Q209" s="4265" t="s">
        <v>235</v>
      </c>
      <c r="R209" s="851" t="s">
        <v>257</v>
      </c>
      <c r="S209" s="851" t="s">
        <v>257</v>
      </c>
      <c r="T209" s="851"/>
      <c r="U209" s="851"/>
      <c r="V209" s="851" t="s">
        <v>257</v>
      </c>
      <c r="W209" s="851" t="s">
        <v>257</v>
      </c>
      <c r="X209" s="851" t="s">
        <v>257</v>
      </c>
      <c r="Y209" s="851" t="s">
        <v>257</v>
      </c>
      <c r="Z209" s="851" t="s">
        <v>257</v>
      </c>
      <c r="AA209" s="851"/>
      <c r="AB209" s="851"/>
      <c r="AC209" s="851" t="s">
        <v>257</v>
      </c>
      <c r="AD209" s="851" t="s">
        <v>257</v>
      </c>
      <c r="AE209" s="851" t="s">
        <v>257</v>
      </c>
      <c r="AF209" s="851" t="s">
        <v>257</v>
      </c>
      <c r="AG209" s="851" t="s">
        <v>257</v>
      </c>
      <c r="AH209" s="179"/>
      <c r="AI209" s="179"/>
    </row>
    <row r="210" spans="1:35" ht="22.35" customHeight="1" thickBot="1" x14ac:dyDescent="0.25">
      <c r="A210" s="109"/>
      <c r="B210" s="634" t="s">
        <v>276</v>
      </c>
      <c r="C210" s="851" t="s">
        <v>95</v>
      </c>
      <c r="D210" s="851" t="s">
        <v>95</v>
      </c>
      <c r="E210" s="851" t="s">
        <v>95</v>
      </c>
      <c r="F210" s="851"/>
      <c r="G210" s="4255"/>
      <c r="H210" s="4255" t="s">
        <v>95</v>
      </c>
      <c r="I210" s="4255" t="s">
        <v>95</v>
      </c>
      <c r="J210" s="4255" t="s">
        <v>404</v>
      </c>
      <c r="K210" s="851" t="s">
        <v>95</v>
      </c>
      <c r="L210" s="851" t="s">
        <v>95</v>
      </c>
      <c r="M210" s="851"/>
      <c r="N210" s="851"/>
      <c r="O210" s="851" t="s">
        <v>95</v>
      </c>
      <c r="P210" s="851" t="s">
        <v>95</v>
      </c>
      <c r="Q210" s="4265" t="s">
        <v>95</v>
      </c>
      <c r="R210" s="851" t="s">
        <v>95</v>
      </c>
      <c r="S210" s="851" t="s">
        <v>95</v>
      </c>
      <c r="T210" s="851"/>
      <c r="U210" s="851"/>
      <c r="V210" s="851" t="s">
        <v>95</v>
      </c>
      <c r="W210" s="851" t="s">
        <v>95</v>
      </c>
      <c r="X210" s="851" t="s">
        <v>95</v>
      </c>
      <c r="Y210" s="851" t="s">
        <v>95</v>
      </c>
      <c r="Z210" s="851" t="s">
        <v>95</v>
      </c>
      <c r="AA210" s="851"/>
      <c r="AB210" s="851"/>
      <c r="AC210" s="851" t="s">
        <v>95</v>
      </c>
      <c r="AD210" s="851" t="s">
        <v>95</v>
      </c>
      <c r="AE210" s="851" t="s">
        <v>95</v>
      </c>
      <c r="AF210" s="851" t="s">
        <v>95</v>
      </c>
      <c r="AG210" s="3915" t="s">
        <v>95</v>
      </c>
      <c r="AH210" s="179"/>
      <c r="AI210" s="179"/>
    </row>
    <row r="211" spans="1:35" ht="22.35" customHeight="1" thickBot="1" x14ac:dyDescent="0.25">
      <c r="A211" s="109"/>
      <c r="B211" s="3904" t="s">
        <v>277</v>
      </c>
      <c r="C211" s="4083" t="s">
        <v>177</v>
      </c>
      <c r="D211" s="4083" t="s">
        <v>177</v>
      </c>
      <c r="E211" s="4083" t="s">
        <v>177</v>
      </c>
      <c r="F211" s="4083"/>
      <c r="G211" s="4083"/>
      <c r="H211" s="851" t="s">
        <v>177</v>
      </c>
      <c r="I211" s="851" t="s">
        <v>177</v>
      </c>
      <c r="J211" s="851" t="s">
        <v>177</v>
      </c>
      <c r="K211" s="851" t="s">
        <v>177</v>
      </c>
      <c r="L211" s="851" t="s">
        <v>177</v>
      </c>
      <c r="M211" s="851"/>
      <c r="N211" s="851"/>
      <c r="O211" s="851" t="s">
        <v>177</v>
      </c>
      <c r="P211" s="851" t="s">
        <v>177</v>
      </c>
      <c r="Q211" s="4265" t="s">
        <v>177</v>
      </c>
      <c r="R211" s="851" t="s">
        <v>177</v>
      </c>
      <c r="S211" s="851" t="s">
        <v>177</v>
      </c>
      <c r="T211" s="851"/>
      <c r="U211" s="851"/>
      <c r="V211" s="851" t="s">
        <v>177</v>
      </c>
      <c r="W211" s="851" t="s">
        <v>177</v>
      </c>
      <c r="X211" s="851" t="s">
        <v>177</v>
      </c>
      <c r="Y211" s="851" t="s">
        <v>177</v>
      </c>
      <c r="Z211" s="851" t="s">
        <v>177</v>
      </c>
      <c r="AA211" s="851"/>
      <c r="AB211" s="851"/>
      <c r="AC211" s="851" t="s">
        <v>177</v>
      </c>
      <c r="AD211" s="851" t="s">
        <v>177</v>
      </c>
      <c r="AE211" s="851" t="s">
        <v>177</v>
      </c>
      <c r="AF211" s="851" t="s">
        <v>177</v>
      </c>
      <c r="AG211" s="851" t="s">
        <v>177</v>
      </c>
      <c r="AH211" s="179"/>
      <c r="AI211" s="179"/>
    </row>
    <row r="212" spans="1:35" ht="22.35" customHeight="1" thickBot="1" x14ac:dyDescent="0.25">
      <c r="A212" s="109"/>
      <c r="B212" s="634"/>
      <c r="C212" s="851" t="s">
        <v>137</v>
      </c>
      <c r="D212" s="851" t="s">
        <v>137</v>
      </c>
      <c r="E212" s="851" t="s">
        <v>137</v>
      </c>
      <c r="F212" s="851"/>
      <c r="G212" s="851"/>
      <c r="H212" s="851" t="s">
        <v>137</v>
      </c>
      <c r="I212" s="851" t="s">
        <v>137</v>
      </c>
      <c r="J212" s="851" t="s">
        <v>137</v>
      </c>
      <c r="K212" s="851" t="s">
        <v>137</v>
      </c>
      <c r="L212" s="851" t="s">
        <v>137</v>
      </c>
      <c r="M212" s="851"/>
      <c r="N212" s="851"/>
      <c r="O212" s="851" t="s">
        <v>137</v>
      </c>
      <c r="P212" s="851" t="s">
        <v>137</v>
      </c>
      <c r="Q212" s="4265" t="s">
        <v>137</v>
      </c>
      <c r="R212" s="851" t="s">
        <v>137</v>
      </c>
      <c r="S212" s="851" t="s">
        <v>137</v>
      </c>
      <c r="T212" s="851"/>
      <c r="U212" s="851"/>
      <c r="V212" s="851" t="s">
        <v>137</v>
      </c>
      <c r="W212" s="851" t="s">
        <v>137</v>
      </c>
      <c r="X212" s="851" t="s">
        <v>137</v>
      </c>
      <c r="Y212" s="851" t="s">
        <v>137</v>
      </c>
      <c r="Z212" s="851" t="s">
        <v>137</v>
      </c>
      <c r="AA212" s="851"/>
      <c r="AB212" s="851"/>
      <c r="AC212" s="851" t="s">
        <v>137</v>
      </c>
      <c r="AD212" s="851" t="s">
        <v>137</v>
      </c>
      <c r="AE212" s="851" t="s">
        <v>137</v>
      </c>
      <c r="AF212" s="851" t="s">
        <v>137</v>
      </c>
      <c r="AG212" s="851" t="s">
        <v>137</v>
      </c>
      <c r="AH212" s="179"/>
      <c r="AI212" s="179"/>
    </row>
    <row r="213" spans="1:35" ht="22.35" customHeight="1" thickBot="1" x14ac:dyDescent="0.25">
      <c r="A213" s="109"/>
      <c r="B213" s="634" t="s">
        <v>278</v>
      </c>
      <c r="C213" s="3916" t="s">
        <v>264</v>
      </c>
      <c r="D213" s="3916" t="s">
        <v>264</v>
      </c>
      <c r="E213" s="3916" t="s">
        <v>264</v>
      </c>
      <c r="F213" s="851"/>
      <c r="G213" s="851"/>
      <c r="H213" s="851" t="s">
        <v>264</v>
      </c>
      <c r="I213" s="851" t="s">
        <v>264</v>
      </c>
      <c r="J213" s="851" t="s">
        <v>264</v>
      </c>
      <c r="K213" s="4271" t="s">
        <v>264</v>
      </c>
      <c r="L213" s="4271" t="s">
        <v>264</v>
      </c>
      <c r="M213" s="851"/>
      <c r="N213" s="851" t="s">
        <v>101</v>
      </c>
      <c r="O213" s="851" t="s">
        <v>264</v>
      </c>
      <c r="P213" s="851" t="s">
        <v>264</v>
      </c>
      <c r="Q213" s="4265" t="s">
        <v>264</v>
      </c>
      <c r="R213" s="851" t="s">
        <v>264</v>
      </c>
      <c r="S213" s="851" t="s">
        <v>264</v>
      </c>
      <c r="T213" s="851"/>
      <c r="U213" s="851"/>
      <c r="V213" s="851" t="s">
        <v>264</v>
      </c>
      <c r="W213" s="851" t="s">
        <v>264</v>
      </c>
      <c r="X213" s="851" t="s">
        <v>264</v>
      </c>
      <c r="Y213" s="851" t="s">
        <v>264</v>
      </c>
      <c r="Z213" s="851" t="s">
        <v>264</v>
      </c>
      <c r="AA213" s="851"/>
      <c r="AB213" s="851"/>
      <c r="AC213" s="4272" t="s">
        <v>264</v>
      </c>
      <c r="AD213" s="4272" t="s">
        <v>264</v>
      </c>
      <c r="AE213" s="4272" t="s">
        <v>264</v>
      </c>
      <c r="AF213" s="4272" t="s">
        <v>264</v>
      </c>
      <c r="AG213" s="4272" t="s">
        <v>264</v>
      </c>
      <c r="AH213" s="107"/>
      <c r="AI213" s="107"/>
    </row>
    <row r="214" spans="1:35" ht="21" customHeight="1" thickBot="1" x14ac:dyDescent="0.25">
      <c r="A214" s="147"/>
      <c r="B214" s="3917" t="s">
        <v>279</v>
      </c>
      <c r="C214" s="1092" t="s">
        <v>266</v>
      </c>
      <c r="D214" s="1092" t="s">
        <v>266</v>
      </c>
      <c r="E214" s="1092" t="s">
        <v>266</v>
      </c>
      <c r="F214" s="1092"/>
      <c r="G214" s="1092"/>
      <c r="H214" s="1092" t="s">
        <v>266</v>
      </c>
      <c r="I214" s="1092" t="s">
        <v>266</v>
      </c>
      <c r="J214" s="1092" t="s">
        <v>266</v>
      </c>
      <c r="K214" s="1092" t="s">
        <v>266</v>
      </c>
      <c r="L214" s="1092" t="s">
        <v>266</v>
      </c>
      <c r="M214" s="1092"/>
      <c r="N214" s="1092"/>
      <c r="O214" s="1092" t="s">
        <v>266</v>
      </c>
      <c r="P214" s="1092" t="s">
        <v>266</v>
      </c>
      <c r="Q214" s="4265" t="s">
        <v>266</v>
      </c>
      <c r="R214" s="1092" t="s">
        <v>266</v>
      </c>
      <c r="S214" s="1092" t="s">
        <v>266</v>
      </c>
      <c r="T214" s="1092"/>
      <c r="U214" s="1092"/>
      <c r="V214" s="1092" t="s">
        <v>266</v>
      </c>
      <c r="W214" s="1092" t="s">
        <v>266</v>
      </c>
      <c r="X214" s="1092" t="s">
        <v>266</v>
      </c>
      <c r="Y214" s="1092" t="s">
        <v>266</v>
      </c>
      <c r="Z214" s="1092" t="s">
        <v>266</v>
      </c>
      <c r="AA214" s="1092"/>
      <c r="AB214" s="1092"/>
      <c r="AC214" s="1092" t="s">
        <v>266</v>
      </c>
      <c r="AD214" s="4092" t="s">
        <v>266</v>
      </c>
      <c r="AE214" s="4092" t="s">
        <v>266</v>
      </c>
      <c r="AF214" s="4092" t="s">
        <v>266</v>
      </c>
      <c r="AG214" s="1092" t="s">
        <v>266</v>
      </c>
      <c r="AH214" s="114"/>
    </row>
    <row r="215" spans="1:35" ht="21" customHeight="1" x14ac:dyDescent="0.2">
      <c r="A215" s="147"/>
      <c r="AH215" s="114"/>
    </row>
    <row r="216" spans="1:35" ht="22.35" customHeight="1" x14ac:dyDescent="0.2">
      <c r="B216" s="217"/>
      <c r="C216" s="216"/>
      <c r="D216" s="216"/>
      <c r="E216" s="216"/>
      <c r="F216" s="216"/>
      <c r="G216" s="216"/>
      <c r="H216" s="216"/>
      <c r="I216" s="216"/>
      <c r="J216" s="216"/>
      <c r="K216" s="216"/>
      <c r="L216" s="216"/>
      <c r="M216" s="216"/>
      <c r="N216" s="216"/>
      <c r="O216" s="216"/>
      <c r="P216" s="216"/>
      <c r="Q216" s="216"/>
      <c r="R216" s="216"/>
      <c r="S216" s="216"/>
      <c r="T216" s="216"/>
      <c r="U216" s="216"/>
      <c r="V216" s="216"/>
      <c r="W216" s="216"/>
      <c r="X216" s="216"/>
      <c r="Y216" s="216"/>
      <c r="Z216" s="216"/>
      <c r="AA216" s="216"/>
      <c r="AB216" s="216"/>
      <c r="AC216" s="216"/>
      <c r="AD216" s="216"/>
      <c r="AE216" s="216"/>
      <c r="AF216" s="216"/>
      <c r="AG216" s="216"/>
    </row>
    <row r="217" spans="1:35" ht="22.35" customHeight="1" thickBot="1" x14ac:dyDescent="0.25">
      <c r="A217" s="1" t="s">
        <v>280</v>
      </c>
      <c r="C217" s="37"/>
      <c r="D217" s="37"/>
      <c r="E217" s="37"/>
      <c r="F217" s="37"/>
      <c r="G217" s="37"/>
      <c r="H217" s="37"/>
      <c r="I217" s="37"/>
      <c r="J217" s="37"/>
      <c r="K217" s="37"/>
      <c r="L217" s="37"/>
      <c r="M217" s="37"/>
      <c r="N217" s="37"/>
      <c r="O217" s="37"/>
      <c r="P217" s="37"/>
      <c r="Q217" s="37"/>
      <c r="R217" s="37"/>
      <c r="S217" s="37"/>
      <c r="T217" s="37"/>
      <c r="U217" s="37"/>
      <c r="V217" s="37"/>
      <c r="W217" s="37"/>
      <c r="X217" s="37"/>
      <c r="Y217" s="37"/>
      <c r="Z217" s="37"/>
      <c r="AA217" s="37"/>
      <c r="AB217" s="37"/>
      <c r="AC217" s="37"/>
      <c r="AD217" s="37"/>
      <c r="AE217" s="37"/>
      <c r="AF217" s="37"/>
      <c r="AG217" s="37"/>
    </row>
    <row r="218" spans="1:35" ht="22.35" customHeight="1" x14ac:dyDescent="0.2">
      <c r="A218" s="1"/>
      <c r="B218" s="3920" t="s">
        <v>281</v>
      </c>
      <c r="C218" s="4273" t="s">
        <v>107</v>
      </c>
      <c r="D218" s="4202"/>
      <c r="E218" s="4202"/>
      <c r="F218" s="4202"/>
      <c r="G218" s="4273" t="s">
        <v>108</v>
      </c>
      <c r="H218" s="4202"/>
      <c r="I218" s="4202"/>
      <c r="J218" s="4202"/>
      <c r="K218" s="4273" t="s">
        <v>109</v>
      </c>
      <c r="L218" s="4202"/>
      <c r="M218" s="4202"/>
      <c r="N218" s="4202"/>
      <c r="O218" s="4273" t="s">
        <v>110</v>
      </c>
      <c r="P218" s="4202"/>
      <c r="Q218" s="4202"/>
      <c r="R218" s="4202"/>
      <c r="S218" s="4273" t="s">
        <v>111</v>
      </c>
      <c r="T218" s="4202"/>
      <c r="U218" s="4202"/>
      <c r="V218" s="4202"/>
      <c r="W218" s="4273" t="s">
        <v>112</v>
      </c>
      <c r="X218" s="4100"/>
      <c r="Y218" s="4202"/>
      <c r="Z218" s="4274"/>
      <c r="AA218" s="4273" t="s">
        <v>113</v>
      </c>
      <c r="AB218" s="4100"/>
      <c r="AC218" s="4202"/>
      <c r="AD218" s="4274"/>
      <c r="AE218" s="4275" t="s">
        <v>114</v>
      </c>
      <c r="AF218" s="4202"/>
      <c r="AG218" s="4202"/>
      <c r="AH218" s="4202"/>
      <c r="AI218" s="4101"/>
    </row>
    <row r="219" spans="1:35" ht="22.35" customHeight="1" x14ac:dyDescent="0.2">
      <c r="A219" s="1"/>
      <c r="B219" s="4276">
        <v>3701</v>
      </c>
      <c r="C219" s="110" t="s">
        <v>282</v>
      </c>
      <c r="D219" s="110"/>
      <c r="E219" s="110"/>
      <c r="F219" s="110"/>
      <c r="G219" s="4277" t="s">
        <v>283</v>
      </c>
      <c r="H219" s="110"/>
      <c r="I219" s="110"/>
      <c r="J219" s="110"/>
      <c r="K219" s="4277" t="s">
        <v>283</v>
      </c>
      <c r="L219" s="110"/>
      <c r="M219" s="110"/>
      <c r="N219" s="110"/>
      <c r="O219" s="4277" t="s">
        <v>283</v>
      </c>
      <c r="P219" s="110"/>
      <c r="Q219" s="110"/>
      <c r="R219" s="110"/>
      <c r="S219" s="4277" t="s">
        <v>284</v>
      </c>
      <c r="T219" s="110"/>
      <c r="U219" s="110"/>
      <c r="V219" s="110"/>
      <c r="W219" s="3746"/>
      <c r="X219" s="3445"/>
      <c r="Y219" s="3584"/>
      <c r="Z219" s="3446"/>
      <c r="AA219" s="3746"/>
      <c r="AB219" s="3445"/>
      <c r="AC219" s="3584"/>
      <c r="AD219" s="3446"/>
      <c r="AE219" s="3791"/>
      <c r="AF219" s="3584"/>
      <c r="AG219" s="3584"/>
      <c r="AH219" s="3584"/>
      <c r="AI219" s="4023"/>
    </row>
    <row r="220" spans="1:35" ht="22.35" customHeight="1" x14ac:dyDescent="0.2">
      <c r="B220" s="3920">
        <v>3700</v>
      </c>
      <c r="C220" s="3584" t="s">
        <v>182</v>
      </c>
      <c r="D220" s="3584"/>
      <c r="E220" s="3584"/>
      <c r="F220" s="3584"/>
      <c r="G220" s="3748" t="s">
        <v>182</v>
      </c>
      <c r="H220" s="3584"/>
      <c r="I220" s="3584"/>
      <c r="J220" s="3584"/>
      <c r="K220" s="3748" t="s">
        <v>182</v>
      </c>
      <c r="L220" s="3584"/>
      <c r="M220" s="3584"/>
      <c r="N220" s="3584"/>
      <c r="O220" s="3748" t="s">
        <v>182</v>
      </c>
      <c r="P220" s="3584"/>
      <c r="Q220" s="3584"/>
      <c r="R220" s="3584"/>
      <c r="S220" s="3748" t="s">
        <v>183</v>
      </c>
      <c r="T220" s="3584"/>
      <c r="U220" s="3584"/>
      <c r="V220" s="3584"/>
      <c r="W220" s="3746"/>
      <c r="X220" s="3584"/>
      <c r="Y220" s="3584"/>
      <c r="Z220" s="3793"/>
      <c r="AA220" s="3791"/>
      <c r="AB220" s="3584"/>
      <c r="AC220" s="3584"/>
      <c r="AD220" s="3644"/>
      <c r="AE220" s="3447"/>
      <c r="AF220" s="3584"/>
      <c r="AG220" s="3584"/>
      <c r="AH220" s="3644"/>
      <c r="AI220" s="4023"/>
    </row>
    <row r="221" spans="1:35" ht="22.35" customHeight="1" x14ac:dyDescent="0.2">
      <c r="A221" s="1"/>
      <c r="B221" s="3920">
        <v>8514</v>
      </c>
      <c r="C221" s="3584" t="s">
        <v>283</v>
      </c>
      <c r="D221" s="3584"/>
      <c r="E221" s="3584"/>
      <c r="F221" s="3584"/>
      <c r="G221" s="3748" t="s">
        <v>283</v>
      </c>
      <c r="H221" s="3584"/>
      <c r="I221" s="3584"/>
      <c r="J221" s="3584"/>
      <c r="K221" s="3748" t="s">
        <v>283</v>
      </c>
      <c r="L221" s="3584"/>
      <c r="M221" s="3584"/>
      <c r="N221" s="3584"/>
      <c r="O221" s="3748" t="s">
        <v>283</v>
      </c>
      <c r="P221" s="3584"/>
      <c r="Q221" s="3584"/>
      <c r="R221" s="3584"/>
      <c r="S221" s="3748" t="s">
        <v>285</v>
      </c>
      <c r="T221" s="3584"/>
      <c r="U221" s="3584"/>
      <c r="V221" s="3584"/>
      <c r="W221" s="3746"/>
      <c r="X221" s="3584"/>
      <c r="Y221" s="3584"/>
      <c r="Z221" s="3793"/>
      <c r="AA221" s="3643"/>
      <c r="AB221" s="3584"/>
      <c r="AC221" s="3584"/>
      <c r="AD221" s="3644"/>
      <c r="AE221" s="3643"/>
      <c r="AF221" s="3584"/>
      <c r="AG221" s="3584"/>
      <c r="AH221" s="3644"/>
      <c r="AI221" s="4023"/>
    </row>
    <row r="222" spans="1:35" ht="22.35" customHeight="1" x14ac:dyDescent="0.2">
      <c r="A222" s="1"/>
      <c r="B222" s="3920">
        <v>8500</v>
      </c>
      <c r="C222" s="162" t="s">
        <v>286</v>
      </c>
      <c r="D222" s="162"/>
      <c r="E222" s="162"/>
      <c r="F222" s="162"/>
      <c r="G222" s="163" t="s">
        <v>286</v>
      </c>
      <c r="H222" s="162"/>
      <c r="I222" s="162"/>
      <c r="J222" s="162"/>
      <c r="K222" s="163" t="s">
        <v>286</v>
      </c>
      <c r="L222" s="162"/>
      <c r="M222" s="162"/>
      <c r="N222" s="162"/>
      <c r="O222" s="163" t="s">
        <v>286</v>
      </c>
      <c r="P222" s="162"/>
      <c r="Q222" s="162"/>
      <c r="R222" s="162"/>
      <c r="S222" s="163" t="s">
        <v>287</v>
      </c>
      <c r="T222" s="162"/>
      <c r="U222" s="162"/>
      <c r="V222" s="162"/>
      <c r="W222" s="3746"/>
      <c r="X222" s="162"/>
      <c r="Y222" s="162"/>
      <c r="Z222" s="120"/>
      <c r="AA222" s="119"/>
      <c r="AB222" s="162"/>
      <c r="AC222" s="162"/>
      <c r="AD222" s="120"/>
      <c r="AE222" s="119"/>
      <c r="AF222" s="162"/>
      <c r="AG222" s="162"/>
      <c r="AH222" s="112"/>
      <c r="AI222" s="118"/>
    </row>
    <row r="223" spans="1:35" ht="22.35" customHeight="1" x14ac:dyDescent="0.2">
      <c r="A223" s="1"/>
      <c r="B223" s="3920">
        <v>8514</v>
      </c>
      <c r="C223" s="165" t="s">
        <v>283</v>
      </c>
      <c r="D223" s="165"/>
      <c r="E223" s="165"/>
      <c r="F223" s="165"/>
      <c r="G223" s="166" t="s">
        <v>283</v>
      </c>
      <c r="H223" s="165"/>
      <c r="I223" s="165"/>
      <c r="J223" s="165"/>
      <c r="K223" s="166" t="s">
        <v>283</v>
      </c>
      <c r="L223" s="165"/>
      <c r="M223" s="165"/>
      <c r="N223" s="165"/>
      <c r="O223" s="166" t="s">
        <v>283</v>
      </c>
      <c r="P223" s="165"/>
      <c r="Q223" s="165"/>
      <c r="R223" s="165"/>
      <c r="S223" s="166" t="s">
        <v>285</v>
      </c>
      <c r="T223" s="165"/>
      <c r="U223" s="165"/>
      <c r="V223" s="165"/>
      <c r="W223" s="3448"/>
      <c r="X223" s="116"/>
      <c r="Y223" s="162"/>
      <c r="Z223" s="164"/>
      <c r="AA223" s="154"/>
      <c r="AB223" s="116"/>
      <c r="AC223" s="162"/>
      <c r="AD223" s="162"/>
      <c r="AE223" s="117"/>
      <c r="AF223" s="162"/>
      <c r="AG223" s="162"/>
      <c r="AH223" s="162"/>
      <c r="AI223" s="118"/>
    </row>
    <row r="224" spans="1:35" ht="22.35" customHeight="1" thickBot="1" x14ac:dyDescent="0.25">
      <c r="A224" s="1"/>
      <c r="B224" s="1149" t="s">
        <v>288</v>
      </c>
      <c r="C224" s="3591" t="s">
        <v>289</v>
      </c>
      <c r="D224" s="3591"/>
      <c r="E224" s="3591"/>
      <c r="F224" s="3591"/>
      <c r="G224" s="3449" t="s">
        <v>289</v>
      </c>
      <c r="H224" s="3591"/>
      <c r="I224" s="3591"/>
      <c r="J224" s="3591"/>
      <c r="K224" s="3750" t="s">
        <v>289</v>
      </c>
      <c r="L224" s="3591"/>
      <c r="M224" s="3591"/>
      <c r="N224" s="3591"/>
      <c r="O224" s="3449" t="s">
        <v>289</v>
      </c>
      <c r="P224" s="3591"/>
      <c r="Q224" s="3591"/>
      <c r="R224" s="3591"/>
      <c r="S224" s="3449" t="s">
        <v>290</v>
      </c>
      <c r="T224" s="3591"/>
      <c r="U224" s="3591"/>
      <c r="V224" s="3591"/>
      <c r="W224" s="3750"/>
      <c r="X224" s="3591"/>
      <c r="Y224" s="3591"/>
      <c r="Z224" s="3828"/>
      <c r="AA224" s="3804"/>
      <c r="AB224" s="3591"/>
      <c r="AC224" s="3591"/>
      <c r="AD224" s="3811"/>
      <c r="AE224" s="3450"/>
      <c r="AF224" s="3591"/>
      <c r="AG224" s="3591"/>
      <c r="AH224" s="3811"/>
      <c r="AI224" s="3594"/>
    </row>
    <row r="225" spans="1:35" ht="22.35" customHeight="1" x14ac:dyDescent="0.2">
      <c r="A225" s="1"/>
      <c r="B225" s="18"/>
      <c r="C225" s="64"/>
      <c r="D225" s="110"/>
      <c r="E225" s="110"/>
      <c r="F225" s="69"/>
      <c r="G225" s="64"/>
      <c r="H225" s="110"/>
      <c r="I225" s="110"/>
      <c r="J225" s="69"/>
      <c r="K225" s="64"/>
      <c r="L225" s="110"/>
      <c r="M225" s="110"/>
      <c r="N225" s="69"/>
      <c r="O225" s="64"/>
      <c r="P225" s="110"/>
      <c r="Q225" s="110"/>
      <c r="R225" s="69"/>
      <c r="S225" s="64"/>
      <c r="T225" s="110"/>
      <c r="U225" s="110"/>
      <c r="V225" s="69"/>
      <c r="W225" s="69"/>
      <c r="Z225" s="69"/>
      <c r="AA225" s="69"/>
      <c r="AD225" s="69"/>
      <c r="AE225" s="69"/>
      <c r="AH225" s="69"/>
    </row>
    <row r="226" spans="1:35" ht="22.35" customHeight="1" x14ac:dyDescent="0.2">
      <c r="A226" s="1" t="s">
        <v>291</v>
      </c>
      <c r="B226" s="18"/>
      <c r="C226" s="64"/>
      <c r="D226" s="110"/>
      <c r="E226" s="110"/>
      <c r="F226" s="69"/>
      <c r="G226" s="64"/>
      <c r="H226" s="110"/>
      <c r="I226" s="110"/>
      <c r="J226" s="69"/>
      <c r="K226" s="64"/>
      <c r="L226" s="110"/>
      <c r="M226" s="110"/>
      <c r="N226" s="69"/>
      <c r="O226" s="64"/>
      <c r="P226" s="110"/>
      <c r="Q226" s="110"/>
      <c r="R226" s="69"/>
      <c r="S226" s="64"/>
      <c r="T226" s="110"/>
      <c r="U226" s="110"/>
      <c r="V226" s="69"/>
      <c r="W226" s="69"/>
      <c r="Z226" s="69"/>
      <c r="AA226" s="69"/>
      <c r="AD226" s="69"/>
      <c r="AE226" s="69"/>
      <c r="AH226" s="69"/>
    </row>
    <row r="227" spans="1:35" ht="22.35" customHeight="1" thickBot="1" x14ac:dyDescent="0.25">
      <c r="A227" s="3718"/>
      <c r="B227" s="4107" t="s">
        <v>29</v>
      </c>
      <c r="C227" s="4032">
        <v>1</v>
      </c>
      <c r="D227" s="4032">
        <v>2</v>
      </c>
      <c r="E227" s="4032">
        <v>3</v>
      </c>
      <c r="F227" s="4033">
        <v>4</v>
      </c>
      <c r="G227" s="4033">
        <v>5</v>
      </c>
      <c r="H227" s="4032">
        <v>6</v>
      </c>
      <c r="I227" s="4032">
        <v>7</v>
      </c>
      <c r="J227" s="4032">
        <v>8</v>
      </c>
      <c r="K227" s="4032">
        <v>9</v>
      </c>
      <c r="L227" s="4032">
        <v>10</v>
      </c>
      <c r="M227" s="4033">
        <v>11</v>
      </c>
      <c r="N227" s="4033">
        <v>12</v>
      </c>
      <c r="O227" s="4032">
        <v>13</v>
      </c>
      <c r="P227" s="4032">
        <v>14</v>
      </c>
      <c r="Q227" s="4032">
        <v>15</v>
      </c>
      <c r="R227" s="4032">
        <v>16</v>
      </c>
      <c r="S227" s="4032">
        <v>17</v>
      </c>
      <c r="T227" s="4033">
        <v>18</v>
      </c>
      <c r="U227" s="4033">
        <v>19</v>
      </c>
      <c r="V227" s="4032">
        <v>20</v>
      </c>
      <c r="W227" s="4032">
        <v>21</v>
      </c>
      <c r="X227" s="4032">
        <v>22</v>
      </c>
      <c r="Y227" s="4032">
        <v>23</v>
      </c>
      <c r="Z227" s="4032">
        <v>24</v>
      </c>
      <c r="AA227" s="4033">
        <v>25</v>
      </c>
      <c r="AB227" s="4033">
        <v>26</v>
      </c>
      <c r="AC227" s="4032">
        <v>27</v>
      </c>
      <c r="AD227" s="4032">
        <v>28</v>
      </c>
      <c r="AE227" s="4032">
        <v>29</v>
      </c>
      <c r="AF227" s="4032">
        <v>30</v>
      </c>
      <c r="AG227" s="4034">
        <v>31</v>
      </c>
      <c r="AH227" s="173"/>
      <c r="AI227" s="174"/>
    </row>
    <row r="228" spans="1:35" ht="22.35" customHeight="1" x14ac:dyDescent="0.2">
      <c r="A228" s="4278"/>
      <c r="B228" s="4279" t="s">
        <v>292</v>
      </c>
      <c r="C228" s="4039" t="s">
        <v>32</v>
      </c>
      <c r="D228" s="4039" t="s">
        <v>32</v>
      </c>
      <c r="E228" s="4039" t="s">
        <v>32</v>
      </c>
      <c r="F228" s="4039"/>
      <c r="G228" s="4039"/>
      <c r="H228" s="4039" t="s">
        <v>32</v>
      </c>
      <c r="I228" s="4039" t="s">
        <v>32</v>
      </c>
      <c r="J228" s="4039" t="s">
        <v>32</v>
      </c>
      <c r="K228" s="4039" t="s">
        <v>32</v>
      </c>
      <c r="L228" s="4039" t="s">
        <v>32</v>
      </c>
      <c r="M228" s="4039"/>
      <c r="N228" s="4081"/>
      <c r="O228" s="4081" t="s">
        <v>32</v>
      </c>
      <c r="P228" s="4081" t="s">
        <v>32</v>
      </c>
      <c r="Q228" s="4041" t="s">
        <v>32</v>
      </c>
      <c r="R228" s="4081" t="s">
        <v>32</v>
      </c>
      <c r="S228" s="4081" t="s">
        <v>32</v>
      </c>
      <c r="T228" s="4039"/>
      <c r="U228" s="4081"/>
      <c r="V228" s="1152" t="s">
        <v>32</v>
      </c>
      <c r="W228" s="1152" t="s">
        <v>32</v>
      </c>
      <c r="X228" s="1152" t="s">
        <v>32</v>
      </c>
      <c r="Y228" s="4081" t="s">
        <v>32</v>
      </c>
      <c r="Z228" s="4039" t="s">
        <v>32</v>
      </c>
      <c r="AA228" s="4039"/>
      <c r="AB228" s="4039"/>
      <c r="AC228" s="4081" t="s">
        <v>32</v>
      </c>
      <c r="AD228" s="4081" t="s">
        <v>32</v>
      </c>
      <c r="AE228" s="4081" t="s">
        <v>32</v>
      </c>
      <c r="AF228" s="4081" t="s">
        <v>32</v>
      </c>
      <c r="AG228" s="293" t="s">
        <v>32</v>
      </c>
      <c r="AH228" s="173"/>
      <c r="AI228" s="174"/>
    </row>
    <row r="229" spans="1:35" ht="22.35" customHeight="1" x14ac:dyDescent="0.2">
      <c r="A229" s="1153"/>
      <c r="B229" s="1154" t="s">
        <v>293</v>
      </c>
      <c r="C229" s="4039"/>
      <c r="D229" s="4039"/>
      <c r="E229" s="4039"/>
      <c r="F229" s="4039"/>
      <c r="G229" s="4039"/>
      <c r="H229" s="4039"/>
      <c r="I229" s="4039"/>
      <c r="J229" s="4039"/>
      <c r="K229" s="4039"/>
      <c r="L229" s="4039"/>
      <c r="M229" s="4039"/>
      <c r="N229" s="4081"/>
      <c r="O229" s="4081"/>
      <c r="P229" s="4081"/>
      <c r="Q229" s="4041"/>
      <c r="R229" s="4081"/>
      <c r="S229" s="4039"/>
      <c r="T229" s="4039"/>
      <c r="U229" s="4081"/>
      <c r="V229" s="4081"/>
      <c r="W229" s="4081"/>
      <c r="X229" s="4039"/>
      <c r="Y229" s="4081"/>
      <c r="Z229" s="4039"/>
      <c r="AA229" s="4039"/>
      <c r="AB229" s="4039"/>
      <c r="AC229" s="4039"/>
      <c r="AD229" s="4041"/>
      <c r="AE229" s="4041"/>
      <c r="AF229" s="4041"/>
      <c r="AG229" s="585"/>
      <c r="AH229" s="173"/>
      <c r="AI229" s="174"/>
    </row>
    <row r="230" spans="1:35" ht="22.35" customHeight="1" x14ac:dyDescent="0.2">
      <c r="A230" s="1155">
        <v>8514</v>
      </c>
      <c r="B230" s="1156" t="s">
        <v>294</v>
      </c>
      <c r="C230" s="4039" t="s">
        <v>32</v>
      </c>
      <c r="D230" s="4039" t="s">
        <v>32</v>
      </c>
      <c r="E230" s="4039" t="s">
        <v>32</v>
      </c>
      <c r="F230" s="4039"/>
      <c r="G230" s="4039"/>
      <c r="H230" s="4039" t="s">
        <v>32</v>
      </c>
      <c r="I230" s="4039" t="s">
        <v>32</v>
      </c>
      <c r="J230" s="4039" t="s">
        <v>32</v>
      </c>
      <c r="K230" s="4039" t="s">
        <v>32</v>
      </c>
      <c r="L230" s="4039" t="s">
        <v>32</v>
      </c>
      <c r="M230" s="4039"/>
      <c r="N230" s="4081"/>
      <c r="O230" s="4081" t="s">
        <v>32</v>
      </c>
      <c r="P230" s="4081" t="s">
        <v>32</v>
      </c>
      <c r="Q230" s="4041" t="s">
        <v>32</v>
      </c>
      <c r="R230" s="4081" t="s">
        <v>32</v>
      </c>
      <c r="S230" s="4039" t="s">
        <v>32</v>
      </c>
      <c r="T230" s="4039"/>
      <c r="U230" s="4081"/>
      <c r="V230" s="4081" t="s">
        <v>32</v>
      </c>
      <c r="W230" s="4081" t="s">
        <v>32</v>
      </c>
      <c r="X230" s="4081" t="s">
        <v>32</v>
      </c>
      <c r="Y230" s="4081" t="s">
        <v>32</v>
      </c>
      <c r="Z230" s="4039" t="s">
        <v>32</v>
      </c>
      <c r="AA230" s="4039"/>
      <c r="AB230" s="4039"/>
      <c r="AC230" s="4039" t="s">
        <v>32</v>
      </c>
      <c r="AD230" s="4041" t="s">
        <v>32</v>
      </c>
      <c r="AE230" s="4041" t="s">
        <v>32</v>
      </c>
      <c r="AF230" s="4041" t="s">
        <v>32</v>
      </c>
      <c r="AG230" s="585" t="s">
        <v>32</v>
      </c>
      <c r="AH230" s="178"/>
      <c r="AI230" s="179"/>
    </row>
    <row r="231" spans="1:35" ht="21" customHeight="1" x14ac:dyDescent="0.2">
      <c r="A231" s="1155">
        <v>3701</v>
      </c>
      <c r="B231" s="1157" t="s">
        <v>295</v>
      </c>
      <c r="C231" s="4039"/>
      <c r="D231" s="4039"/>
      <c r="E231" s="4039"/>
      <c r="F231" s="4039"/>
      <c r="G231" s="4039"/>
      <c r="H231" s="4039"/>
      <c r="I231" s="4039"/>
      <c r="J231" s="4039"/>
      <c r="K231" s="4039"/>
      <c r="L231" s="4039"/>
      <c r="M231" s="4039"/>
      <c r="N231" s="4081"/>
      <c r="O231" s="4081"/>
      <c r="P231" s="4081"/>
      <c r="Q231" s="4041"/>
      <c r="R231" s="4081"/>
      <c r="S231" s="4039"/>
      <c r="T231" s="4039"/>
      <c r="U231" s="4081"/>
      <c r="V231" s="4081"/>
      <c r="W231" s="4081"/>
      <c r="X231" s="4039"/>
      <c r="Y231" s="4081"/>
      <c r="Z231" s="4039"/>
      <c r="AA231" s="4039"/>
      <c r="AB231" s="4039"/>
      <c r="AC231" s="4039"/>
      <c r="AD231" s="4081"/>
      <c r="AE231" s="4081"/>
      <c r="AF231" s="4081"/>
      <c r="AG231" s="585"/>
      <c r="AH231" s="178"/>
      <c r="AI231" s="179"/>
    </row>
    <row r="232" spans="1:35" ht="21" customHeight="1" x14ac:dyDescent="0.2">
      <c r="A232" s="1155">
        <v>3701</v>
      </c>
      <c r="B232" s="933" t="s">
        <v>296</v>
      </c>
      <c r="C232" s="4039" t="s">
        <v>32</v>
      </c>
      <c r="D232" s="4039" t="s">
        <v>32</v>
      </c>
      <c r="E232" s="4039" t="s">
        <v>32</v>
      </c>
      <c r="F232" s="4039"/>
      <c r="G232" s="4039"/>
      <c r="H232" s="4280" t="s">
        <v>32</v>
      </c>
      <c r="I232" s="4039" t="s">
        <v>32</v>
      </c>
      <c r="J232" s="4039" t="s">
        <v>32</v>
      </c>
      <c r="K232" s="1158" t="s">
        <v>32</v>
      </c>
      <c r="L232" s="1158" t="s">
        <v>32</v>
      </c>
      <c r="M232" s="4039"/>
      <c r="N232" s="4081"/>
      <c r="O232" s="4081" t="s">
        <v>32</v>
      </c>
      <c r="P232" s="4081" t="s">
        <v>32</v>
      </c>
      <c r="Q232" s="4041" t="s">
        <v>32</v>
      </c>
      <c r="R232" s="4081" t="s">
        <v>32</v>
      </c>
      <c r="S232" s="4039" t="s">
        <v>32</v>
      </c>
      <c r="T232" s="4039"/>
      <c r="U232" s="4081"/>
      <c r="V232" s="4081" t="s">
        <v>32</v>
      </c>
      <c r="W232" s="4081" t="s">
        <v>32</v>
      </c>
      <c r="X232" s="4081" t="s">
        <v>32</v>
      </c>
      <c r="Y232" s="4081" t="s">
        <v>32</v>
      </c>
      <c r="Z232" s="4039" t="s">
        <v>32</v>
      </c>
      <c r="AA232" s="4039"/>
      <c r="AB232" s="4039"/>
      <c r="AC232" s="4039" t="s">
        <v>32</v>
      </c>
      <c r="AD232" s="4081" t="s">
        <v>32</v>
      </c>
      <c r="AE232" s="4081" t="s">
        <v>32</v>
      </c>
      <c r="AF232" s="4081" t="s">
        <v>32</v>
      </c>
      <c r="AG232" s="585" t="s">
        <v>32</v>
      </c>
      <c r="AH232" s="178"/>
      <c r="AI232" s="179"/>
    </row>
    <row r="233" spans="1:35" ht="21" customHeight="1" x14ac:dyDescent="0.2">
      <c r="A233" s="1155">
        <v>3701</v>
      </c>
      <c r="B233" s="933" t="s">
        <v>297</v>
      </c>
      <c r="C233" s="4039" t="s">
        <v>32</v>
      </c>
      <c r="D233" s="4039" t="s">
        <v>32</v>
      </c>
      <c r="E233" s="4039" t="s">
        <v>32</v>
      </c>
      <c r="F233" s="4039"/>
      <c r="G233" s="4039"/>
      <c r="H233" s="4039" t="s">
        <v>32</v>
      </c>
      <c r="I233" s="4039" t="s">
        <v>32</v>
      </c>
      <c r="J233" s="4039" t="s">
        <v>32</v>
      </c>
      <c r="K233" s="4039" t="s">
        <v>32</v>
      </c>
      <c r="L233" s="4039" t="s">
        <v>32</v>
      </c>
      <c r="M233" s="4039"/>
      <c r="N233" s="4081"/>
      <c r="O233" s="4081" t="s">
        <v>32</v>
      </c>
      <c r="P233" s="4081" t="s">
        <v>32</v>
      </c>
      <c r="Q233" s="4041" t="s">
        <v>32</v>
      </c>
      <c r="R233" s="4081" t="s">
        <v>32</v>
      </c>
      <c r="S233" s="4039" t="s">
        <v>32</v>
      </c>
      <c r="T233" s="4039"/>
      <c r="U233" s="4081"/>
      <c r="V233" s="4081" t="s">
        <v>32</v>
      </c>
      <c r="W233" s="4081" t="s">
        <v>32</v>
      </c>
      <c r="X233" s="4039" t="s">
        <v>32</v>
      </c>
      <c r="Y233" s="4086" t="s">
        <v>32</v>
      </c>
      <c r="Z233" s="4039" t="s">
        <v>32</v>
      </c>
      <c r="AA233" s="4039"/>
      <c r="AB233" s="4039"/>
      <c r="AC233" s="4039" t="s">
        <v>32</v>
      </c>
      <c r="AD233" s="4086" t="s">
        <v>32</v>
      </c>
      <c r="AE233" s="4041" t="s">
        <v>32</v>
      </c>
      <c r="AF233" s="4041" t="s">
        <v>32</v>
      </c>
      <c r="AG233" s="585" t="s">
        <v>32</v>
      </c>
      <c r="AH233" s="178"/>
      <c r="AI233" s="179"/>
    </row>
    <row r="234" spans="1:35" ht="21" customHeight="1" x14ac:dyDescent="0.2">
      <c r="A234" s="1155">
        <v>3701</v>
      </c>
      <c r="B234" s="933" t="s">
        <v>298</v>
      </c>
      <c r="C234" s="4039" t="s">
        <v>32</v>
      </c>
      <c r="D234" s="4039" t="s">
        <v>32</v>
      </c>
      <c r="E234" s="4039" t="s">
        <v>32</v>
      </c>
      <c r="F234" s="4039"/>
      <c r="G234" s="4039"/>
      <c r="H234" s="4039" t="s">
        <v>32</v>
      </c>
      <c r="I234" s="4039" t="s">
        <v>32</v>
      </c>
      <c r="J234" s="4039" t="s">
        <v>32</v>
      </c>
      <c r="K234" s="4039" t="s">
        <v>32</v>
      </c>
      <c r="L234" s="4039" t="s">
        <v>32</v>
      </c>
      <c r="M234" s="4039"/>
      <c r="N234" s="4081"/>
      <c r="O234" s="4081" t="s">
        <v>32</v>
      </c>
      <c r="P234" s="4081" t="s">
        <v>32</v>
      </c>
      <c r="Q234" s="4041" t="s">
        <v>32</v>
      </c>
      <c r="R234" s="4081" t="s">
        <v>32</v>
      </c>
      <c r="S234" s="4039" t="s">
        <v>32</v>
      </c>
      <c r="T234" s="4039"/>
      <c r="U234" s="4081"/>
      <c r="V234" s="4081" t="s">
        <v>32</v>
      </c>
      <c r="W234" s="4081" t="s">
        <v>32</v>
      </c>
      <c r="X234" s="4039" t="s">
        <v>32</v>
      </c>
      <c r="Y234" s="4086" t="s">
        <v>32</v>
      </c>
      <c r="Z234" s="1158" t="s">
        <v>32</v>
      </c>
      <c r="AA234" s="4039"/>
      <c r="AB234" s="4039"/>
      <c r="AC234" s="4281" t="s">
        <v>32</v>
      </c>
      <c r="AD234" s="4282" t="s">
        <v>32</v>
      </c>
      <c r="AE234" s="1087" t="s">
        <v>32</v>
      </c>
      <c r="AF234" s="1087" t="s">
        <v>51</v>
      </c>
      <c r="AG234" s="585" t="s">
        <v>32</v>
      </c>
      <c r="AH234" s="178"/>
      <c r="AI234" s="179"/>
    </row>
    <row r="235" spans="1:35" ht="22.35" customHeight="1" x14ac:dyDescent="0.2">
      <c r="A235" s="1155">
        <v>3701</v>
      </c>
      <c r="B235" s="1157" t="s">
        <v>299</v>
      </c>
      <c r="C235" s="4039"/>
      <c r="D235" s="4039"/>
      <c r="E235" s="4039"/>
      <c r="F235" s="4039"/>
      <c r="G235" s="4039"/>
      <c r="H235" s="4081"/>
      <c r="I235" s="4081"/>
      <c r="J235" s="4039"/>
      <c r="K235" s="4039"/>
      <c r="L235" s="4039"/>
      <c r="M235" s="4039"/>
      <c r="N235" s="4081"/>
      <c r="O235" s="4081"/>
      <c r="P235" s="4081"/>
      <c r="Q235" s="4041"/>
      <c r="R235" s="4081"/>
      <c r="S235" s="4039"/>
      <c r="T235" s="4039"/>
      <c r="U235" s="4081"/>
      <c r="V235" s="4081"/>
      <c r="W235" s="4081"/>
      <c r="X235" s="4039"/>
      <c r="Y235" s="4081"/>
      <c r="Z235" s="4039"/>
      <c r="AA235" s="4039"/>
      <c r="AB235" s="4039"/>
      <c r="AC235" s="4039"/>
      <c r="AD235" s="4081"/>
      <c r="AE235" s="4081"/>
      <c r="AF235" s="4081"/>
      <c r="AG235" s="585"/>
      <c r="AH235" s="178"/>
      <c r="AI235" s="179"/>
    </row>
    <row r="236" spans="1:35" ht="22.35" customHeight="1" x14ac:dyDescent="0.2">
      <c r="A236" s="1155">
        <v>3701</v>
      </c>
      <c r="B236" s="933" t="s">
        <v>300</v>
      </c>
      <c r="C236" s="4039" t="s">
        <v>32</v>
      </c>
      <c r="D236" s="4039" t="s">
        <v>32</v>
      </c>
      <c r="E236" s="4039" t="s">
        <v>32</v>
      </c>
      <c r="F236" s="4039"/>
      <c r="G236" s="4039"/>
      <c r="H236" s="4039" t="s">
        <v>32</v>
      </c>
      <c r="I236" s="4039" t="s">
        <v>32</v>
      </c>
      <c r="J236" s="4039" t="s">
        <v>32</v>
      </c>
      <c r="K236" s="4039" t="s">
        <v>32</v>
      </c>
      <c r="L236" s="4039" t="s">
        <v>32</v>
      </c>
      <c r="M236" s="4039"/>
      <c r="N236" s="4081"/>
      <c r="O236" s="4081" t="s">
        <v>32</v>
      </c>
      <c r="P236" s="4081" t="s">
        <v>32</v>
      </c>
      <c r="Q236" s="4041" t="s">
        <v>32</v>
      </c>
      <c r="R236" s="4081" t="s">
        <v>32</v>
      </c>
      <c r="S236" s="4039" t="s">
        <v>32</v>
      </c>
      <c r="T236" s="4039"/>
      <c r="U236" s="4081"/>
      <c r="V236" s="4081" t="s">
        <v>32</v>
      </c>
      <c r="W236" s="4081" t="s">
        <v>32</v>
      </c>
      <c r="X236" s="4039" t="s">
        <v>32</v>
      </c>
      <c r="Y236" s="4081" t="s">
        <v>32</v>
      </c>
      <c r="Z236" s="4039" t="s">
        <v>32</v>
      </c>
      <c r="AA236" s="4039"/>
      <c r="AB236" s="4039"/>
      <c r="AC236" s="4039" t="s">
        <v>32</v>
      </c>
      <c r="AD236" s="4081" t="s">
        <v>32</v>
      </c>
      <c r="AE236" s="4081" t="s">
        <v>32</v>
      </c>
      <c r="AF236" s="4081" t="s">
        <v>32</v>
      </c>
      <c r="AG236" s="585" t="s">
        <v>32</v>
      </c>
      <c r="AH236" s="178"/>
      <c r="AI236" s="179"/>
    </row>
    <row r="237" spans="1:35" ht="22.35" customHeight="1" x14ac:dyDescent="0.2">
      <c r="A237" s="1155">
        <v>3701</v>
      </c>
      <c r="B237" s="933" t="s">
        <v>301</v>
      </c>
      <c r="C237" s="4083" t="s">
        <v>32</v>
      </c>
      <c r="D237" s="4083" t="s">
        <v>32</v>
      </c>
      <c r="E237" s="4083" t="s">
        <v>32</v>
      </c>
      <c r="F237" s="4039"/>
      <c r="G237" s="4039"/>
      <c r="H237" s="857" t="s">
        <v>32</v>
      </c>
      <c r="I237" s="857" t="s">
        <v>32</v>
      </c>
      <c r="J237" s="857" t="s">
        <v>32</v>
      </c>
      <c r="K237" s="857" t="s">
        <v>32</v>
      </c>
      <c r="L237" s="857" t="s">
        <v>32</v>
      </c>
      <c r="M237" s="4039"/>
      <c r="N237" s="4081"/>
      <c r="O237" s="4081" t="s">
        <v>32</v>
      </c>
      <c r="P237" s="4081" t="s">
        <v>32</v>
      </c>
      <c r="Q237" s="4041" t="s">
        <v>32</v>
      </c>
      <c r="R237" s="4081" t="s">
        <v>32</v>
      </c>
      <c r="S237" s="1159" t="s">
        <v>32</v>
      </c>
      <c r="T237" s="4039"/>
      <c r="U237" s="4081"/>
      <c r="V237" s="4081" t="s">
        <v>32</v>
      </c>
      <c r="W237" s="4081" t="s">
        <v>32</v>
      </c>
      <c r="X237" s="4081" t="s">
        <v>32</v>
      </c>
      <c r="Y237" s="4081" t="s">
        <v>32</v>
      </c>
      <c r="Z237" s="858" t="s">
        <v>32</v>
      </c>
      <c r="AA237" s="4039"/>
      <c r="AB237" s="4039"/>
      <c r="AC237" s="1159" t="s">
        <v>32</v>
      </c>
      <c r="AD237" s="1159" t="s">
        <v>32</v>
      </c>
      <c r="AE237" s="1159" t="s">
        <v>32</v>
      </c>
      <c r="AF237" s="1159" t="s">
        <v>32</v>
      </c>
      <c r="AG237" s="585" t="s">
        <v>32</v>
      </c>
      <c r="AH237" s="178"/>
      <c r="AI237" s="179"/>
    </row>
    <row r="238" spans="1:35" ht="22.35" customHeight="1" x14ac:dyDescent="0.2">
      <c r="A238" s="1160">
        <v>3701</v>
      </c>
      <c r="B238" s="933" t="s">
        <v>302</v>
      </c>
      <c r="C238" s="4039" t="s">
        <v>32</v>
      </c>
      <c r="D238" s="4039" t="s">
        <v>32</v>
      </c>
      <c r="E238" s="4039" t="s">
        <v>32</v>
      </c>
      <c r="F238" s="4039"/>
      <c r="G238" s="4039"/>
      <c r="H238" s="4039" t="s">
        <v>32</v>
      </c>
      <c r="I238" s="4039" t="s">
        <v>32</v>
      </c>
      <c r="J238" s="4039" t="s">
        <v>32</v>
      </c>
      <c r="K238" s="4039" t="s">
        <v>32</v>
      </c>
      <c r="L238" s="4039" t="s">
        <v>32</v>
      </c>
      <c r="M238" s="4039"/>
      <c r="N238" s="4081"/>
      <c r="O238" s="4081" t="s">
        <v>32</v>
      </c>
      <c r="P238" s="4081" t="s">
        <v>32</v>
      </c>
      <c r="Q238" s="4041" t="s">
        <v>32</v>
      </c>
      <c r="R238" s="4081" t="s">
        <v>32</v>
      </c>
      <c r="S238" s="4039" t="s">
        <v>32</v>
      </c>
      <c r="T238" s="4039"/>
      <c r="U238" s="4081"/>
      <c r="V238" s="4081" t="s">
        <v>32</v>
      </c>
      <c r="W238" s="4081" t="s">
        <v>32</v>
      </c>
      <c r="X238" s="4039" t="s">
        <v>32</v>
      </c>
      <c r="Y238" s="4081" t="s">
        <v>32</v>
      </c>
      <c r="Z238" s="4039" t="s">
        <v>32</v>
      </c>
      <c r="AA238" s="4039"/>
      <c r="AB238" s="4039"/>
      <c r="AC238" s="4039" t="s">
        <v>32</v>
      </c>
      <c r="AD238" s="4081" t="s">
        <v>32</v>
      </c>
      <c r="AE238" s="4081" t="s">
        <v>32</v>
      </c>
      <c r="AF238" s="4081" t="s">
        <v>32</v>
      </c>
      <c r="AG238" s="585" t="s">
        <v>32</v>
      </c>
      <c r="AH238" s="178"/>
      <c r="AI238" s="179"/>
    </row>
    <row r="239" spans="1:35" ht="22.35" customHeight="1" x14ac:dyDescent="0.2">
      <c r="A239" s="1155">
        <v>3701</v>
      </c>
      <c r="B239" s="933"/>
      <c r="C239" s="4039" t="s">
        <v>32</v>
      </c>
      <c r="D239" s="4039" t="s">
        <v>32</v>
      </c>
      <c r="E239" s="4039" t="s">
        <v>32</v>
      </c>
      <c r="F239" s="4039"/>
      <c r="G239" s="4039"/>
      <c r="H239" s="4039" t="s">
        <v>32</v>
      </c>
      <c r="I239" s="4039" t="s">
        <v>32</v>
      </c>
      <c r="J239" s="4039" t="s">
        <v>32</v>
      </c>
      <c r="K239" s="4039" t="s">
        <v>32</v>
      </c>
      <c r="L239" s="4039" t="s">
        <v>32</v>
      </c>
      <c r="M239" s="4039"/>
      <c r="N239" s="4081"/>
      <c r="O239" s="4081" t="s">
        <v>32</v>
      </c>
      <c r="P239" s="4081" t="s">
        <v>32</v>
      </c>
      <c r="Q239" s="4041" t="s">
        <v>32</v>
      </c>
      <c r="R239" s="4081" t="s">
        <v>32</v>
      </c>
      <c r="S239" s="4039" t="s">
        <v>32</v>
      </c>
      <c r="T239" s="4039"/>
      <c r="U239" s="4081"/>
      <c r="V239" s="4081" t="s">
        <v>32</v>
      </c>
      <c r="W239" s="4081" t="s">
        <v>32</v>
      </c>
      <c r="X239" s="4039" t="s">
        <v>32</v>
      </c>
      <c r="Y239" s="4081" t="s">
        <v>32</v>
      </c>
      <c r="Z239" s="4039" t="s">
        <v>32</v>
      </c>
      <c r="AA239" s="4039"/>
      <c r="AB239" s="4039"/>
      <c r="AC239" s="4039" t="s">
        <v>32</v>
      </c>
      <c r="AD239" s="4081" t="s">
        <v>32</v>
      </c>
      <c r="AE239" s="4081" t="s">
        <v>32</v>
      </c>
      <c r="AF239" s="4081" t="s">
        <v>32</v>
      </c>
      <c r="AG239" s="586" t="s">
        <v>32</v>
      </c>
      <c r="AH239" s="178"/>
      <c r="AI239" s="179"/>
    </row>
    <row r="240" spans="1:35" ht="22.35" customHeight="1" x14ac:dyDescent="0.2">
      <c r="A240" s="1155">
        <v>3701</v>
      </c>
      <c r="B240" s="933" t="s">
        <v>304</v>
      </c>
      <c r="C240" s="4039" t="s">
        <v>32</v>
      </c>
      <c r="D240" s="4039" t="s">
        <v>32</v>
      </c>
      <c r="E240" s="4039" t="s">
        <v>32</v>
      </c>
      <c r="F240" s="4039"/>
      <c r="G240" s="4039"/>
      <c r="H240" s="4280" t="s">
        <v>32</v>
      </c>
      <c r="I240" s="4039" t="s">
        <v>32</v>
      </c>
      <c r="J240" s="4039" t="s">
        <v>32</v>
      </c>
      <c r="K240" s="4039" t="s">
        <v>32</v>
      </c>
      <c r="L240" s="4039" t="s">
        <v>32</v>
      </c>
      <c r="M240" s="4039"/>
      <c r="N240" s="4081"/>
      <c r="O240" s="4081" t="s">
        <v>32</v>
      </c>
      <c r="P240" s="4081" t="s">
        <v>32</v>
      </c>
      <c r="Q240" s="4041" t="s">
        <v>32</v>
      </c>
      <c r="R240" s="4081" t="s">
        <v>32</v>
      </c>
      <c r="S240" s="4039" t="s">
        <v>32</v>
      </c>
      <c r="T240" s="4039"/>
      <c r="U240" s="4081"/>
      <c r="V240" s="4081" t="s">
        <v>32</v>
      </c>
      <c r="W240" s="4081" t="s">
        <v>32</v>
      </c>
      <c r="X240" s="4039" t="s">
        <v>32</v>
      </c>
      <c r="Y240" s="4081" t="s">
        <v>32</v>
      </c>
      <c r="Z240" s="4039" t="s">
        <v>32</v>
      </c>
      <c r="AA240" s="4039"/>
      <c r="AB240" s="4039"/>
      <c r="AC240" s="4039" t="s">
        <v>32</v>
      </c>
      <c r="AD240" s="4081" t="s">
        <v>32</v>
      </c>
      <c r="AE240" s="4081" t="s">
        <v>32</v>
      </c>
      <c r="AF240" s="4081" t="s">
        <v>32</v>
      </c>
      <c r="AG240" s="587" t="s">
        <v>32</v>
      </c>
      <c r="AH240" s="178"/>
      <c r="AI240" s="179"/>
    </row>
    <row r="241" spans="1:35" ht="22.35" customHeight="1" x14ac:dyDescent="0.2">
      <c r="A241" s="1155"/>
      <c r="B241" s="933"/>
      <c r="C241" s="4039" t="s">
        <v>32</v>
      </c>
      <c r="D241" s="4039" t="s">
        <v>32</v>
      </c>
      <c r="E241" s="4039" t="s">
        <v>32</v>
      </c>
      <c r="F241" s="4039"/>
      <c r="G241" s="4039"/>
      <c r="H241" s="4039" t="s">
        <v>32</v>
      </c>
      <c r="I241" s="4039" t="s">
        <v>32</v>
      </c>
      <c r="J241" s="4039" t="s">
        <v>32</v>
      </c>
      <c r="K241" s="4039" t="s">
        <v>32</v>
      </c>
      <c r="L241" s="4039" t="s">
        <v>32</v>
      </c>
      <c r="M241" s="4039"/>
      <c r="N241" s="4081"/>
      <c r="O241" s="4081" t="s">
        <v>32</v>
      </c>
      <c r="P241" s="4081" t="s">
        <v>32</v>
      </c>
      <c r="Q241" s="4041" t="s">
        <v>32</v>
      </c>
      <c r="R241" s="4081" t="s">
        <v>32</v>
      </c>
      <c r="S241" s="4039" t="s">
        <v>32</v>
      </c>
      <c r="T241" s="4039"/>
      <c r="U241" s="4081"/>
      <c r="V241" s="4081" t="s">
        <v>32</v>
      </c>
      <c r="W241" s="4081" t="s">
        <v>32</v>
      </c>
      <c r="X241" s="4081" t="s">
        <v>32</v>
      </c>
      <c r="Y241" s="4081" t="s">
        <v>32</v>
      </c>
      <c r="Z241" s="4039" t="s">
        <v>32</v>
      </c>
      <c r="AA241" s="4039"/>
      <c r="AB241" s="4039"/>
      <c r="AC241" s="4081" t="s">
        <v>32</v>
      </c>
      <c r="AD241" s="4081" t="s">
        <v>32</v>
      </c>
      <c r="AE241" s="4081" t="s">
        <v>32</v>
      </c>
      <c r="AF241" s="4081" t="s">
        <v>32</v>
      </c>
      <c r="AG241" s="585" t="s">
        <v>32</v>
      </c>
      <c r="AH241" s="178"/>
      <c r="AI241" s="179"/>
    </row>
    <row r="242" spans="1:35" ht="22.35" customHeight="1" x14ac:dyDescent="0.2">
      <c r="A242" s="1155"/>
      <c r="B242" s="933" t="s">
        <v>306</v>
      </c>
      <c r="C242" s="4039" t="s">
        <v>32</v>
      </c>
      <c r="D242" s="4039" t="s">
        <v>32</v>
      </c>
      <c r="E242" s="4039" t="s">
        <v>32</v>
      </c>
      <c r="F242" s="4039"/>
      <c r="G242" s="4039"/>
      <c r="H242" s="4039" t="s">
        <v>32</v>
      </c>
      <c r="I242" s="965" t="s">
        <v>498</v>
      </c>
      <c r="J242" s="859" t="s">
        <v>32</v>
      </c>
      <c r="K242" s="4039" t="s">
        <v>32</v>
      </c>
      <c r="L242" s="4083" t="s">
        <v>32</v>
      </c>
      <c r="M242" s="4077"/>
      <c r="N242" s="4077"/>
      <c r="O242" s="4083" t="s">
        <v>32</v>
      </c>
      <c r="P242" s="4083" t="s">
        <v>32</v>
      </c>
      <c r="Q242" s="4041" t="s">
        <v>32</v>
      </c>
      <c r="R242" s="4081" t="s">
        <v>32</v>
      </c>
      <c r="S242" s="4039" t="s">
        <v>498</v>
      </c>
      <c r="T242" s="4039"/>
      <c r="U242" s="4081"/>
      <c r="V242" s="4081" t="s">
        <v>32</v>
      </c>
      <c r="W242" s="4081" t="s">
        <v>32</v>
      </c>
      <c r="X242" s="848" t="s">
        <v>32</v>
      </c>
      <c r="Y242" s="4081" t="s">
        <v>32</v>
      </c>
      <c r="Z242" s="4039" t="s">
        <v>32</v>
      </c>
      <c r="AA242" s="4039"/>
      <c r="AB242" s="4039"/>
      <c r="AC242" s="848" t="s">
        <v>32</v>
      </c>
      <c r="AD242" s="848" t="s">
        <v>32</v>
      </c>
      <c r="AE242" s="848" t="s">
        <v>32</v>
      </c>
      <c r="AF242" s="848" t="s">
        <v>32</v>
      </c>
      <c r="AG242" s="585" t="s">
        <v>32</v>
      </c>
      <c r="AH242" s="178"/>
      <c r="AI242" s="179"/>
    </row>
    <row r="243" spans="1:35" ht="22.35" customHeight="1" x14ac:dyDescent="0.2">
      <c r="A243" s="1155"/>
      <c r="B243" s="1157" t="s">
        <v>307</v>
      </c>
      <c r="C243" s="4039"/>
      <c r="D243" s="4039"/>
      <c r="E243" s="4039"/>
      <c r="F243" s="4039"/>
      <c r="G243" s="4039"/>
      <c r="H243" s="4039"/>
      <c r="I243" s="4039"/>
      <c r="J243" s="4039"/>
      <c r="K243" s="4039"/>
      <c r="L243" s="4039"/>
      <c r="M243" s="4039"/>
      <c r="N243" s="4081"/>
      <c r="O243" s="4081"/>
      <c r="P243" s="4081"/>
      <c r="Q243" s="4041"/>
      <c r="R243" s="4081"/>
      <c r="S243" s="4039"/>
      <c r="T243" s="4039"/>
      <c r="U243" s="4081"/>
      <c r="V243" s="4081"/>
      <c r="W243" s="4081"/>
      <c r="X243" s="4039"/>
      <c r="Y243" s="4081"/>
      <c r="Z243" s="4039"/>
      <c r="AA243" s="4039"/>
      <c r="AB243" s="4039"/>
      <c r="AC243" s="4039"/>
      <c r="AD243" s="4039"/>
      <c r="AE243" s="4039"/>
      <c r="AF243" s="4039"/>
      <c r="AG243" s="585"/>
      <c r="AH243" s="178"/>
      <c r="AI243" s="179"/>
    </row>
    <row r="244" spans="1:35" ht="22.35" customHeight="1" x14ac:dyDescent="0.2">
      <c r="A244" s="1155"/>
      <c r="B244" s="933" t="s">
        <v>308</v>
      </c>
      <c r="C244" s="4039" t="s">
        <v>32</v>
      </c>
      <c r="D244" s="4039" t="s">
        <v>32</v>
      </c>
      <c r="E244" s="4039" t="s">
        <v>32</v>
      </c>
      <c r="F244" s="4039"/>
      <c r="G244" s="4039"/>
      <c r="H244" s="4039" t="s">
        <v>32</v>
      </c>
      <c r="I244" s="4039" t="s">
        <v>32</v>
      </c>
      <c r="J244" s="4039" t="s">
        <v>32</v>
      </c>
      <c r="K244" s="4039" t="s">
        <v>32</v>
      </c>
      <c r="L244" s="4039" t="s">
        <v>32</v>
      </c>
      <c r="M244" s="4039"/>
      <c r="N244" s="4081"/>
      <c r="O244" s="1364" t="s">
        <v>32</v>
      </c>
      <c r="P244" s="4081" t="s">
        <v>32</v>
      </c>
      <c r="Q244" s="4041" t="s">
        <v>32</v>
      </c>
      <c r="R244" s="4081" t="s">
        <v>32</v>
      </c>
      <c r="S244" s="4039" t="s">
        <v>32</v>
      </c>
      <c r="T244" s="4039"/>
      <c r="U244" s="4081"/>
      <c r="V244" s="857" t="s">
        <v>32</v>
      </c>
      <c r="W244" s="857" t="s">
        <v>32</v>
      </c>
      <c r="X244" s="857" t="s">
        <v>32</v>
      </c>
      <c r="Y244" s="4081" t="s">
        <v>32</v>
      </c>
      <c r="Z244" s="4283" t="s">
        <v>32</v>
      </c>
      <c r="AA244" s="4039"/>
      <c r="AB244" s="4039"/>
      <c r="AC244" s="4039" t="s">
        <v>32</v>
      </c>
      <c r="AD244" s="4039" t="s">
        <v>32</v>
      </c>
      <c r="AE244" s="4039" t="s">
        <v>32</v>
      </c>
      <c r="AF244" s="4039" t="s">
        <v>32</v>
      </c>
      <c r="AG244" s="585" t="s">
        <v>32</v>
      </c>
      <c r="AH244" s="178"/>
      <c r="AI244" s="179"/>
    </row>
    <row r="245" spans="1:35" ht="22.35" customHeight="1" x14ac:dyDescent="0.2">
      <c r="A245" s="1155"/>
      <c r="B245" s="933" t="s">
        <v>309</v>
      </c>
      <c r="C245" s="4039" t="s">
        <v>32</v>
      </c>
      <c r="D245" s="4039" t="s">
        <v>32</v>
      </c>
      <c r="E245" s="4039" t="s">
        <v>32</v>
      </c>
      <c r="F245" s="4039"/>
      <c r="G245" s="4039"/>
      <c r="H245" s="4039" t="s">
        <v>32</v>
      </c>
      <c r="I245" s="4039" t="s">
        <v>32</v>
      </c>
      <c r="J245" s="4039" t="s">
        <v>32</v>
      </c>
      <c r="K245" s="4039" t="s">
        <v>32</v>
      </c>
      <c r="L245" s="4039" t="s">
        <v>32</v>
      </c>
      <c r="M245" s="4039"/>
      <c r="N245" s="4081"/>
      <c r="O245" s="4081" t="s">
        <v>32</v>
      </c>
      <c r="P245" s="4081" t="s">
        <v>32</v>
      </c>
      <c r="Q245" s="4041" t="s">
        <v>32</v>
      </c>
      <c r="R245" s="4081" t="s">
        <v>32</v>
      </c>
      <c r="S245" s="4039" t="s">
        <v>32</v>
      </c>
      <c r="T245" s="4039"/>
      <c r="U245" s="4081"/>
      <c r="V245" s="4081" t="s">
        <v>32</v>
      </c>
      <c r="W245" s="4081" t="s">
        <v>32</v>
      </c>
      <c r="X245" s="4039" t="s">
        <v>32</v>
      </c>
      <c r="Y245" s="4081" t="s">
        <v>32</v>
      </c>
      <c r="Z245" s="4039" t="s">
        <v>32</v>
      </c>
      <c r="AA245" s="4039"/>
      <c r="AB245" s="4039"/>
      <c r="AC245" s="4039" t="s">
        <v>32</v>
      </c>
      <c r="AD245" s="4039" t="s">
        <v>32</v>
      </c>
      <c r="AE245" s="4039" t="s">
        <v>32</v>
      </c>
      <c r="AF245" s="4081" t="s">
        <v>32</v>
      </c>
      <c r="AG245" s="586" t="s">
        <v>32</v>
      </c>
      <c r="AH245" s="178"/>
      <c r="AI245" s="179"/>
    </row>
    <row r="246" spans="1:35" ht="22.35" customHeight="1" x14ac:dyDescent="0.2">
      <c r="A246" s="1155"/>
      <c r="B246" s="933"/>
      <c r="C246" s="4039" t="s">
        <v>32</v>
      </c>
      <c r="D246" s="4039" t="s">
        <v>32</v>
      </c>
      <c r="E246" s="4039" t="s">
        <v>32</v>
      </c>
      <c r="F246" s="4039"/>
      <c r="G246" s="4039"/>
      <c r="H246" s="4039" t="s">
        <v>32</v>
      </c>
      <c r="I246" s="4039" t="s">
        <v>32</v>
      </c>
      <c r="J246" s="4039" t="s">
        <v>32</v>
      </c>
      <c r="K246" s="4039" t="s">
        <v>32</v>
      </c>
      <c r="L246" s="4039" t="s">
        <v>32</v>
      </c>
      <c r="M246" s="4039"/>
      <c r="N246" s="4081"/>
      <c r="O246" s="4081" t="s">
        <v>32</v>
      </c>
      <c r="P246" s="4081" t="s">
        <v>32</v>
      </c>
      <c r="Q246" s="4041" t="s">
        <v>32</v>
      </c>
      <c r="R246" s="4081" t="s">
        <v>32</v>
      </c>
      <c r="S246" s="4039" t="s">
        <v>32</v>
      </c>
      <c r="T246" s="4039"/>
      <c r="U246" s="4081"/>
      <c r="V246" s="4081" t="s">
        <v>32</v>
      </c>
      <c r="W246" s="4081" t="s">
        <v>32</v>
      </c>
      <c r="X246" s="4081" t="s">
        <v>32</v>
      </c>
      <c r="Y246" s="4081" t="s">
        <v>32</v>
      </c>
      <c r="Z246" s="4039" t="s">
        <v>32</v>
      </c>
      <c r="AA246" s="4039"/>
      <c r="AB246" s="4039"/>
      <c r="AC246" s="4081" t="s">
        <v>32</v>
      </c>
      <c r="AD246" s="4081" t="s">
        <v>32</v>
      </c>
      <c r="AE246" s="4081" t="s">
        <v>32</v>
      </c>
      <c r="AF246" s="4081" t="s">
        <v>32</v>
      </c>
      <c r="AG246" s="586" t="s">
        <v>32</v>
      </c>
      <c r="AH246" s="175"/>
      <c r="AI246" s="107"/>
    </row>
    <row r="247" spans="1:35" ht="22.35" customHeight="1" x14ac:dyDescent="0.2">
      <c r="A247" s="1155"/>
      <c r="B247" s="933" t="s">
        <v>311</v>
      </c>
      <c r="C247" s="4039" t="s">
        <v>32</v>
      </c>
      <c r="D247" s="4039" t="s">
        <v>32</v>
      </c>
      <c r="E247" s="4039" t="s">
        <v>32</v>
      </c>
      <c r="F247" s="4039"/>
      <c r="G247" s="4039"/>
      <c r="H247" s="4039" t="s">
        <v>32</v>
      </c>
      <c r="I247" s="4039" t="s">
        <v>32</v>
      </c>
      <c r="J247" s="4039" t="s">
        <v>32</v>
      </c>
      <c r="K247" s="4039" t="s">
        <v>32</v>
      </c>
      <c r="L247" s="4039" t="s">
        <v>32</v>
      </c>
      <c r="M247" s="4039"/>
      <c r="N247" s="4081"/>
      <c r="O247" s="4081" t="s">
        <v>32</v>
      </c>
      <c r="P247" s="4081" t="s">
        <v>32</v>
      </c>
      <c r="Q247" s="4041" t="s">
        <v>32</v>
      </c>
      <c r="R247" s="4081" t="s">
        <v>32</v>
      </c>
      <c r="S247" s="4039" t="s">
        <v>32</v>
      </c>
      <c r="T247" s="4039"/>
      <c r="U247" s="4081"/>
      <c r="V247" s="4081" t="s">
        <v>32</v>
      </c>
      <c r="W247" s="4081" t="s">
        <v>32</v>
      </c>
      <c r="X247" s="4081" t="s">
        <v>32</v>
      </c>
      <c r="Y247" s="4081" t="s">
        <v>32</v>
      </c>
      <c r="Z247" s="4039" t="s">
        <v>32</v>
      </c>
      <c r="AA247" s="4039"/>
      <c r="AB247" s="4039"/>
      <c r="AC247" s="4081" t="s">
        <v>32</v>
      </c>
      <c r="AD247" s="4081" t="s">
        <v>32</v>
      </c>
      <c r="AE247" s="4081" t="s">
        <v>32</v>
      </c>
      <c r="AF247" s="4081" t="s">
        <v>32</v>
      </c>
      <c r="AG247" s="586" t="s">
        <v>32</v>
      </c>
      <c r="AH247" s="175"/>
      <c r="AI247" s="107"/>
    </row>
    <row r="248" spans="1:35" ht="22.35" customHeight="1" x14ac:dyDescent="0.2">
      <c r="A248" s="4077"/>
      <c r="B248" s="4284"/>
      <c r="C248" s="4039"/>
      <c r="D248" s="4039"/>
      <c r="E248" s="4039"/>
      <c r="F248" s="4039"/>
      <c r="G248" s="4039"/>
      <c r="H248" s="4039"/>
      <c r="I248" s="4039"/>
      <c r="J248" s="4039"/>
      <c r="K248" s="4039"/>
      <c r="L248" s="4039"/>
      <c r="M248" s="4039"/>
      <c r="N248" s="4039"/>
      <c r="O248" s="4039"/>
      <c r="P248" s="4039"/>
      <c r="Q248" s="4039"/>
      <c r="R248" s="4039"/>
      <c r="S248" s="4039"/>
      <c r="T248" s="4039"/>
      <c r="U248" s="4039"/>
      <c r="V248" s="4039"/>
      <c r="W248" s="4039"/>
      <c r="X248" s="4039"/>
      <c r="Y248" s="4039"/>
      <c r="Z248" s="4039"/>
      <c r="AA248" s="4039"/>
      <c r="AB248" s="4039"/>
      <c r="AC248" s="4039"/>
      <c r="AD248" s="4039"/>
      <c r="AE248" s="4039"/>
      <c r="AF248" s="4039"/>
      <c r="AG248" s="585"/>
      <c r="AH248" s="175"/>
      <c r="AI248" s="107"/>
    </row>
    <row r="249" spans="1:35" ht="22.35" customHeight="1" x14ac:dyDescent="0.2">
      <c r="A249" s="4077"/>
      <c r="B249" s="933"/>
      <c r="C249" s="4039"/>
      <c r="D249" s="4039"/>
      <c r="E249" s="4039"/>
      <c r="F249" s="4039"/>
      <c r="G249" s="4039"/>
      <c r="H249" s="4039"/>
      <c r="I249" s="4039"/>
      <c r="J249" s="4039"/>
      <c r="K249" s="4039"/>
      <c r="L249" s="4039"/>
      <c r="M249" s="4039"/>
      <c r="N249" s="4081"/>
      <c r="O249" s="4081"/>
      <c r="P249" s="4081"/>
      <c r="Q249" s="4041"/>
      <c r="R249" s="4081"/>
      <c r="S249" s="4039"/>
      <c r="T249" s="4039"/>
      <c r="U249" s="4081"/>
      <c r="V249" s="4081"/>
      <c r="W249" s="4081"/>
      <c r="X249" s="4039"/>
      <c r="Y249" s="4081"/>
      <c r="Z249" s="4039"/>
      <c r="AA249" s="4039"/>
      <c r="AB249" s="4039"/>
      <c r="AC249" s="4039"/>
      <c r="AD249" s="4039"/>
      <c r="AE249" s="4039"/>
      <c r="AF249" s="4081"/>
      <c r="AG249" s="586"/>
      <c r="AH249" s="175"/>
      <c r="AI249" s="107"/>
    </row>
    <row r="250" spans="1:35" ht="22.35" customHeight="1" x14ac:dyDescent="0.2">
      <c r="A250" s="4077"/>
      <c r="B250" s="4077"/>
      <c r="C250" s="4039"/>
      <c r="D250" s="4039"/>
      <c r="E250" s="4039"/>
      <c r="F250" s="4039"/>
      <c r="G250" s="4039"/>
      <c r="H250" s="4039"/>
      <c r="I250" s="4039"/>
      <c r="J250" s="4039"/>
      <c r="K250" s="4039"/>
      <c r="L250" s="4039"/>
      <c r="M250" s="4039"/>
      <c r="N250" s="4039"/>
      <c r="O250" s="4039"/>
      <c r="P250" s="4039"/>
      <c r="Q250" s="4039"/>
      <c r="R250" s="4039"/>
      <c r="S250" s="4039"/>
      <c r="T250" s="4039"/>
      <c r="U250" s="4039"/>
      <c r="V250" s="4039"/>
      <c r="W250" s="4039"/>
      <c r="X250" s="4039"/>
      <c r="Y250" s="4039"/>
      <c r="Z250" s="4039"/>
      <c r="AA250" s="4039"/>
      <c r="AB250" s="4039"/>
      <c r="AC250" s="4039"/>
      <c r="AD250" s="4039"/>
      <c r="AE250" s="4039"/>
      <c r="AF250" s="4039"/>
      <c r="AG250" s="585"/>
      <c r="AH250" s="175"/>
      <c r="AI250" s="107"/>
    </row>
    <row r="251" spans="1:35" ht="22.35" customHeight="1" x14ac:dyDescent="0.2">
      <c r="A251" s="4077"/>
      <c r="B251" s="4077"/>
      <c r="C251" s="4039"/>
      <c r="D251" s="4039"/>
      <c r="E251" s="4039"/>
      <c r="F251" s="4039"/>
      <c r="G251" s="4039"/>
      <c r="H251" s="1167"/>
      <c r="I251" s="4039"/>
      <c r="J251" s="4039"/>
      <c r="K251" s="4039"/>
      <c r="L251" s="4039"/>
      <c r="M251" s="4039"/>
      <c r="N251" s="4039"/>
      <c r="O251" s="4039"/>
      <c r="P251" s="4039"/>
      <c r="Q251" s="4039"/>
      <c r="R251" s="4039"/>
      <c r="S251" s="4039"/>
      <c r="T251" s="4039"/>
      <c r="U251" s="4039"/>
      <c r="V251" s="4039"/>
      <c r="W251" s="4039"/>
      <c r="X251" s="4039"/>
      <c r="Y251" s="4039"/>
      <c r="Z251" s="4039"/>
      <c r="AA251" s="4039"/>
      <c r="AB251" s="4039"/>
      <c r="AC251" s="4039"/>
      <c r="AD251" s="4039"/>
      <c r="AE251" s="4039"/>
      <c r="AF251" s="4039"/>
      <c r="AG251" s="588"/>
      <c r="AH251" s="175"/>
      <c r="AI251" s="107"/>
    </row>
    <row r="252" spans="1:35" ht="22.35" customHeight="1" x14ac:dyDescent="0.2">
      <c r="A252" s="1155"/>
      <c r="B252" s="1168"/>
      <c r="C252" s="4039"/>
      <c r="D252" s="4039"/>
      <c r="E252" s="4039"/>
      <c r="F252" s="4039"/>
      <c r="G252" s="4039"/>
      <c r="H252" s="4039"/>
      <c r="I252" s="4039"/>
      <c r="J252" s="4039"/>
      <c r="K252" s="4039"/>
      <c r="L252" s="4039"/>
      <c r="M252" s="4039"/>
      <c r="N252" s="4039"/>
      <c r="O252" s="4039"/>
      <c r="P252" s="4039"/>
      <c r="Q252" s="4039"/>
      <c r="R252" s="4039"/>
      <c r="S252" s="4039"/>
      <c r="T252" s="4039"/>
      <c r="U252" s="4039"/>
      <c r="V252" s="4039"/>
      <c r="W252" s="4039"/>
      <c r="X252" s="4039"/>
      <c r="Y252" s="4039"/>
      <c r="Z252" s="4039"/>
      <c r="AA252" s="4039"/>
      <c r="AB252" s="4039"/>
      <c r="AC252" s="4039"/>
      <c r="AD252" s="4039"/>
      <c r="AE252" s="4039"/>
      <c r="AF252" s="4039"/>
      <c r="AG252" s="588"/>
      <c r="AH252" s="175"/>
      <c r="AI252" s="107"/>
    </row>
    <row r="253" spans="1:35" ht="22.35" customHeight="1" x14ac:dyDescent="0.2">
      <c r="A253" s="1155"/>
      <c r="B253" s="1169"/>
      <c r="C253" s="4039"/>
      <c r="D253" s="4039"/>
      <c r="E253" s="4039"/>
      <c r="F253" s="4039"/>
      <c r="G253" s="4039"/>
      <c r="H253" s="4039"/>
      <c r="I253" s="4039"/>
      <c r="J253" s="4039"/>
      <c r="K253" s="4039"/>
      <c r="L253" s="4039"/>
      <c r="M253" s="4039"/>
      <c r="N253" s="4039"/>
      <c r="O253" s="4039"/>
      <c r="P253" s="4039"/>
      <c r="Q253" s="4039"/>
      <c r="R253" s="4039"/>
      <c r="S253" s="4039"/>
      <c r="T253" s="4039"/>
      <c r="U253" s="4039"/>
      <c r="V253" s="4039"/>
      <c r="W253" s="4039"/>
      <c r="X253" s="4039"/>
      <c r="Y253" s="4039"/>
      <c r="Z253" s="4039"/>
      <c r="AA253" s="4039"/>
      <c r="AB253" s="4039"/>
      <c r="AC253" s="4039"/>
      <c r="AD253" s="4039"/>
      <c r="AE253" s="4039"/>
      <c r="AF253" s="4039"/>
      <c r="AG253" s="588"/>
      <c r="AH253" s="175"/>
      <c r="AI253" s="107"/>
    </row>
    <row r="254" spans="1:35" ht="22.35" customHeight="1" x14ac:dyDescent="0.2">
      <c r="A254" s="108"/>
      <c r="AH254" s="107"/>
      <c r="AI254" s="107"/>
    </row>
    <row r="255" spans="1:35" ht="12.75" x14ac:dyDescent="0.2">
      <c r="B255" s="121"/>
      <c r="C255" s="106"/>
      <c r="D255" s="106"/>
      <c r="E255" s="106"/>
      <c r="F255" s="106"/>
      <c r="G255" s="106"/>
      <c r="H255" s="106"/>
      <c r="I255" s="106"/>
      <c r="J255" s="106"/>
      <c r="L255" s="106"/>
      <c r="M255" s="106"/>
      <c r="N255" s="106"/>
      <c r="O255" s="106"/>
      <c r="P255" s="72"/>
      <c r="Q255" s="72"/>
      <c r="R255" s="72"/>
      <c r="S255" s="106"/>
      <c r="T255" s="106"/>
      <c r="U255" s="106"/>
      <c r="V255" s="106"/>
      <c r="W255" s="106"/>
      <c r="X255" s="106"/>
      <c r="Y255" s="106"/>
      <c r="Z255" s="106"/>
      <c r="AA255" s="106"/>
      <c r="AB255" s="106"/>
      <c r="AC255" s="106"/>
      <c r="AD255" s="106"/>
      <c r="AE255" s="106"/>
      <c r="AF255" s="106"/>
      <c r="AG255" s="106"/>
    </row>
    <row r="258" spans="1:35" ht="21" customHeight="1" thickBot="1" x14ac:dyDescent="0.25">
      <c r="A258" s="158" t="s">
        <v>312</v>
      </c>
    </row>
    <row r="259" spans="1:35" ht="21" customHeight="1" x14ac:dyDescent="0.2">
      <c r="B259" s="4285" t="s">
        <v>281</v>
      </c>
      <c r="C259" s="4208"/>
      <c r="D259" s="4231" t="s">
        <v>107</v>
      </c>
      <c r="E259" s="4100"/>
      <c r="F259" s="4201"/>
      <c r="G259" s="4208"/>
      <c r="H259" s="4231" t="s">
        <v>108</v>
      </c>
      <c r="I259" s="4100"/>
      <c r="J259" s="4201"/>
      <c r="K259" s="4208"/>
      <c r="L259" s="4231" t="s">
        <v>109</v>
      </c>
      <c r="M259" s="4100"/>
      <c r="N259" s="4201"/>
      <c r="O259" s="4208"/>
      <c r="P259" s="4231" t="s">
        <v>110</v>
      </c>
      <c r="Q259" s="4100"/>
      <c r="R259" s="4201"/>
      <c r="S259" s="4208"/>
      <c r="T259" s="4231" t="s">
        <v>111</v>
      </c>
      <c r="U259" s="4100"/>
      <c r="V259" s="4201"/>
      <c r="W259" s="4208"/>
      <c r="X259" s="4231" t="s">
        <v>112</v>
      </c>
      <c r="Y259" s="4100"/>
      <c r="Z259" s="4201"/>
      <c r="AA259" s="4208"/>
      <c r="AB259" s="4231" t="s">
        <v>113</v>
      </c>
      <c r="AC259" s="4100"/>
      <c r="AD259" s="4100"/>
      <c r="AE259" s="4234" t="s">
        <v>114</v>
      </c>
      <c r="AF259" s="4100"/>
      <c r="AG259" s="4100"/>
      <c r="AH259" s="4100"/>
      <c r="AI259" s="4101"/>
    </row>
    <row r="260" spans="1:35" ht="21" customHeight="1" x14ac:dyDescent="0.2">
      <c r="B260" s="3"/>
      <c r="C260" s="287" t="s">
        <v>313</v>
      </c>
      <c r="D260" s="116"/>
      <c r="E260" s="283"/>
      <c r="F260" s="284"/>
      <c r="G260" s="287" t="s">
        <v>313</v>
      </c>
      <c r="H260" s="116"/>
      <c r="I260" s="283"/>
      <c r="J260" s="284"/>
      <c r="K260" s="287" t="s">
        <v>313</v>
      </c>
      <c r="L260" s="116"/>
      <c r="M260" s="283"/>
      <c r="N260" s="284"/>
      <c r="O260" s="287" t="s">
        <v>313</v>
      </c>
      <c r="P260" s="282"/>
      <c r="Q260" s="283"/>
      <c r="R260" s="284"/>
      <c r="S260" s="288" t="s">
        <v>314</v>
      </c>
      <c r="T260" s="116"/>
      <c r="U260" s="283"/>
      <c r="V260" s="284"/>
      <c r="W260" s="154"/>
      <c r="X260" s="116"/>
      <c r="Y260" s="162"/>
      <c r="Z260" s="164"/>
      <c r="AA260" s="154"/>
      <c r="AB260" s="116"/>
      <c r="AC260" s="162"/>
      <c r="AD260" s="162"/>
      <c r="AE260" s="117"/>
      <c r="AF260" s="162"/>
      <c r="AG260" s="14"/>
      <c r="AH260" s="14"/>
      <c r="AI260" s="118"/>
    </row>
    <row r="261" spans="1:35" ht="21" customHeight="1" x14ac:dyDescent="0.2">
      <c r="A261" s="110"/>
      <c r="B261" s="3454"/>
      <c r="C261" s="3837" t="s">
        <v>189</v>
      </c>
      <c r="D261" s="3455"/>
      <c r="E261" s="283"/>
      <c r="F261" s="284"/>
      <c r="G261" s="3837" t="s">
        <v>189</v>
      </c>
      <c r="H261" s="116"/>
      <c r="I261" s="283"/>
      <c r="J261" s="284"/>
      <c r="K261" s="3837" t="s">
        <v>189</v>
      </c>
      <c r="L261" s="116"/>
      <c r="M261" s="283"/>
      <c r="N261" s="284"/>
      <c r="O261" s="3837" t="s">
        <v>189</v>
      </c>
      <c r="P261" s="116"/>
      <c r="Q261" s="283"/>
      <c r="R261" s="284"/>
      <c r="S261" s="287" t="s">
        <v>315</v>
      </c>
      <c r="T261" s="116"/>
      <c r="U261" s="283"/>
      <c r="V261" s="284"/>
      <c r="W261" s="154"/>
      <c r="X261" s="116"/>
      <c r="Y261" s="162"/>
      <c r="Z261" s="164"/>
      <c r="AA261" s="154"/>
      <c r="AB261" s="116"/>
      <c r="AC261" s="162"/>
      <c r="AD261" s="162"/>
      <c r="AE261" s="117"/>
      <c r="AF261" s="162"/>
      <c r="AG261" s="14"/>
      <c r="AH261" s="14"/>
      <c r="AI261" s="118"/>
    </row>
    <row r="262" spans="1:35" ht="21" customHeight="1" x14ac:dyDescent="0.2">
      <c r="B262" s="3454"/>
      <c r="C262" s="3837" t="s">
        <v>192</v>
      </c>
      <c r="D262" s="3455"/>
      <c r="E262" s="283"/>
      <c r="F262" s="284"/>
      <c r="G262" s="3837" t="s">
        <v>192</v>
      </c>
      <c r="H262" s="116"/>
      <c r="I262" s="283"/>
      <c r="J262" s="284"/>
      <c r="K262" s="3837" t="s">
        <v>192</v>
      </c>
      <c r="L262" s="116"/>
      <c r="M262" s="283"/>
      <c r="N262" s="284"/>
      <c r="O262" s="3837" t="s">
        <v>192</v>
      </c>
      <c r="P262" s="116"/>
      <c r="Q262" s="283"/>
      <c r="R262" s="284"/>
      <c r="S262" s="3837" t="s">
        <v>187</v>
      </c>
      <c r="T262" s="116"/>
      <c r="U262" s="283"/>
      <c r="V262" s="284"/>
      <c r="W262" s="154"/>
      <c r="X262" s="116"/>
      <c r="Y262" s="162"/>
      <c r="Z262" s="164"/>
      <c r="AA262" s="154"/>
      <c r="AB262" s="116"/>
      <c r="AC262" s="162"/>
      <c r="AD262" s="162"/>
      <c r="AE262" s="117"/>
      <c r="AF262" s="162"/>
      <c r="AG262" s="14"/>
      <c r="AH262" s="14"/>
      <c r="AI262" s="118"/>
    </row>
    <row r="263" spans="1:35" ht="21" customHeight="1" x14ac:dyDescent="0.2">
      <c r="B263" s="3454"/>
      <c r="C263" s="3643"/>
      <c r="D263" s="3644"/>
      <c r="E263" s="162"/>
      <c r="F263" s="164"/>
      <c r="G263" s="3643"/>
      <c r="H263" s="3644"/>
      <c r="I263" s="162"/>
      <c r="J263" s="164"/>
      <c r="K263" s="3643"/>
      <c r="L263" s="3644"/>
      <c r="M263" s="162"/>
      <c r="N263" s="164"/>
      <c r="O263" s="3643"/>
      <c r="P263" s="3644"/>
      <c r="Q263" s="162"/>
      <c r="R263" s="164"/>
      <c r="S263" s="3643"/>
      <c r="T263" s="3644"/>
      <c r="U263" s="162"/>
      <c r="V263" s="164"/>
      <c r="W263" s="154"/>
      <c r="X263" s="116"/>
      <c r="Y263" s="162"/>
      <c r="Z263" s="164"/>
      <c r="AA263" s="154"/>
      <c r="AB263" s="116"/>
      <c r="AC263" s="162"/>
      <c r="AD263" s="162"/>
      <c r="AE263" s="117"/>
      <c r="AF263" s="162"/>
      <c r="AG263" s="14"/>
      <c r="AH263" s="14"/>
      <c r="AI263" s="118"/>
    </row>
    <row r="264" spans="1:35" ht="21" customHeight="1" x14ac:dyDescent="0.2">
      <c r="B264" s="3454"/>
      <c r="C264" s="3791"/>
      <c r="D264" s="3644"/>
      <c r="E264" s="162"/>
      <c r="F264" s="164"/>
      <c r="G264" s="116"/>
      <c r="H264" s="116"/>
      <c r="I264" s="162"/>
      <c r="J264" s="164"/>
      <c r="K264" s="116"/>
      <c r="L264" s="116"/>
      <c r="M264" s="162"/>
      <c r="N264" s="164"/>
      <c r="O264" s="116"/>
      <c r="P264" s="116"/>
      <c r="Q264" s="162"/>
      <c r="R264" s="164"/>
      <c r="S264" s="116"/>
      <c r="T264" s="116"/>
      <c r="U264" s="162"/>
      <c r="V264" s="164"/>
      <c r="W264" s="154"/>
      <c r="X264" s="116"/>
      <c r="Y264" s="162"/>
      <c r="Z264" s="164"/>
      <c r="AA264" s="154"/>
      <c r="AB264" s="116"/>
      <c r="AC264" s="162"/>
      <c r="AD264" s="162"/>
      <c r="AE264" s="117"/>
      <c r="AF264" s="162"/>
      <c r="AG264" s="14"/>
      <c r="AH264" s="14"/>
      <c r="AI264" s="118"/>
    </row>
    <row r="265" spans="1:35" ht="21" customHeight="1" x14ac:dyDescent="0.2">
      <c r="B265" s="3454" t="s">
        <v>159</v>
      </c>
      <c r="C265" s="3791" t="s">
        <v>316</v>
      </c>
      <c r="D265" s="3455"/>
      <c r="E265" s="283"/>
      <c r="F265" s="284"/>
      <c r="G265" s="3791" t="s">
        <v>316</v>
      </c>
      <c r="H265" s="3455"/>
      <c r="I265" s="283"/>
      <c r="J265" s="284"/>
      <c r="K265" s="3791" t="s">
        <v>316</v>
      </c>
      <c r="L265" s="3455"/>
      <c r="M265" s="283"/>
      <c r="N265" s="284"/>
      <c r="O265" s="3791" t="s">
        <v>316</v>
      </c>
      <c r="P265" s="3455"/>
      <c r="Q265" s="283"/>
      <c r="R265" s="284"/>
      <c r="S265" s="116" t="s">
        <v>317</v>
      </c>
      <c r="T265" s="116"/>
      <c r="U265" s="283"/>
      <c r="V265" s="284"/>
      <c r="W265" s="154"/>
      <c r="X265" s="116"/>
      <c r="Y265" s="162"/>
      <c r="Z265" s="164"/>
      <c r="AA265" s="154"/>
      <c r="AB265" s="116"/>
      <c r="AC265" s="162"/>
      <c r="AD265" s="162"/>
      <c r="AE265" s="117"/>
      <c r="AF265" s="162"/>
      <c r="AG265" s="14"/>
      <c r="AH265" s="14"/>
      <c r="AI265" s="118"/>
    </row>
    <row r="266" spans="1:35" ht="21" customHeight="1" x14ac:dyDescent="0.2">
      <c r="B266" s="3454" t="s">
        <v>163</v>
      </c>
      <c r="C266" s="3791" t="s">
        <v>318</v>
      </c>
      <c r="D266" s="3455"/>
      <c r="E266" s="283"/>
      <c r="F266" s="284"/>
      <c r="G266" s="3791" t="s">
        <v>318</v>
      </c>
      <c r="H266" s="3455"/>
      <c r="I266" s="283"/>
      <c r="J266" s="284"/>
      <c r="K266" s="3791" t="s">
        <v>318</v>
      </c>
      <c r="L266" s="3455"/>
      <c r="M266" s="283"/>
      <c r="N266" s="284"/>
      <c r="O266" s="3791" t="s">
        <v>318</v>
      </c>
      <c r="P266" s="3455"/>
      <c r="Q266" s="283"/>
      <c r="R266" s="284"/>
      <c r="S266" s="116" t="s">
        <v>319</v>
      </c>
      <c r="T266" s="116"/>
      <c r="U266" s="283"/>
      <c r="V266" s="284"/>
      <c r="W266" s="154"/>
      <c r="X266" s="116"/>
      <c r="Y266" s="162"/>
      <c r="Z266" s="164"/>
      <c r="AA266" s="154"/>
      <c r="AB266" s="116"/>
      <c r="AC266" s="162"/>
      <c r="AD266" s="162"/>
      <c r="AE266" s="117"/>
      <c r="AF266" s="162"/>
      <c r="AG266" s="14"/>
      <c r="AH266" s="14"/>
      <c r="AI266" s="118"/>
    </row>
    <row r="267" spans="1:35" ht="21" customHeight="1" thickBot="1" x14ac:dyDescent="0.25">
      <c r="B267" s="3456" t="s">
        <v>170</v>
      </c>
      <c r="C267" s="3804" t="s">
        <v>320</v>
      </c>
      <c r="D267" s="3457"/>
      <c r="E267" s="285"/>
      <c r="F267" s="286"/>
      <c r="G267" s="3804" t="s">
        <v>320</v>
      </c>
      <c r="H267" s="3457"/>
      <c r="I267" s="285"/>
      <c r="J267" s="286"/>
      <c r="K267" s="3804" t="s">
        <v>320</v>
      </c>
      <c r="L267" s="3457"/>
      <c r="M267" s="285"/>
      <c r="N267" s="286"/>
      <c r="O267" s="3804" t="s">
        <v>320</v>
      </c>
      <c r="P267" s="3457"/>
      <c r="Q267" s="285"/>
      <c r="R267" s="286"/>
      <c r="S267" s="225" t="s">
        <v>321</v>
      </c>
      <c r="T267" s="225"/>
      <c r="U267" s="285"/>
      <c r="V267" s="286"/>
      <c r="W267" s="277"/>
      <c r="X267" s="225"/>
      <c r="Y267" s="278"/>
      <c r="Z267" s="279"/>
      <c r="AA267" s="280"/>
      <c r="AB267" s="225"/>
      <c r="AC267" s="278"/>
      <c r="AD267" s="278"/>
      <c r="AE267" s="281"/>
      <c r="AF267" s="278"/>
      <c r="AG267" s="276"/>
      <c r="AH267" s="276"/>
      <c r="AI267" s="222"/>
    </row>
    <row r="268" spans="1:35" ht="21" customHeight="1" x14ac:dyDescent="0.2">
      <c r="B268" s="59"/>
      <c r="C268" s="64"/>
      <c r="D268" s="18"/>
      <c r="G268" s="64"/>
      <c r="H268" s="18"/>
      <c r="K268" s="64"/>
      <c r="L268" s="18"/>
      <c r="O268" s="64"/>
      <c r="P268" s="18"/>
      <c r="S268" s="64"/>
      <c r="T268" s="64"/>
      <c r="X268" s="64"/>
      <c r="AB268" s="64"/>
      <c r="AE268" s="64"/>
    </row>
    <row r="269" spans="1:35" ht="21" customHeight="1" x14ac:dyDescent="0.2">
      <c r="A269" s="122" t="s">
        <v>322</v>
      </c>
    </row>
    <row r="270" spans="1:35" ht="21" customHeight="1" thickBot="1" x14ac:dyDescent="0.25">
      <c r="A270" s="3718"/>
      <c r="B270" s="3656" t="s">
        <v>29</v>
      </c>
      <c r="C270" s="4032">
        <v>1</v>
      </c>
      <c r="D270" s="4032">
        <v>2</v>
      </c>
      <c r="E270" s="4032">
        <v>3</v>
      </c>
      <c r="F270" s="4033">
        <v>4</v>
      </c>
      <c r="G270" s="4033">
        <v>5</v>
      </c>
      <c r="H270" s="4032">
        <v>6</v>
      </c>
      <c r="I270" s="4032">
        <v>7</v>
      </c>
      <c r="J270" s="4032">
        <v>8</v>
      </c>
      <c r="K270" s="4032">
        <v>9</v>
      </c>
      <c r="L270" s="4032">
        <v>10</v>
      </c>
      <c r="M270" s="4033">
        <v>11</v>
      </c>
      <c r="N270" s="4033">
        <v>12</v>
      </c>
      <c r="O270" s="4032">
        <v>13</v>
      </c>
      <c r="P270" s="4032">
        <v>14</v>
      </c>
      <c r="Q270" s="4032">
        <v>15</v>
      </c>
      <c r="R270" s="4032">
        <v>16</v>
      </c>
      <c r="S270" s="4032">
        <v>17</v>
      </c>
      <c r="T270" s="4033">
        <v>18</v>
      </c>
      <c r="U270" s="4033">
        <v>19</v>
      </c>
      <c r="V270" s="4032">
        <v>20</v>
      </c>
      <c r="W270" s="4032">
        <v>21</v>
      </c>
      <c r="X270" s="4032">
        <v>22</v>
      </c>
      <c r="Y270" s="4032">
        <v>23</v>
      </c>
      <c r="Z270" s="4032">
        <v>24</v>
      </c>
      <c r="AA270" s="4033">
        <v>25</v>
      </c>
      <c r="AB270" s="4033">
        <v>26</v>
      </c>
      <c r="AC270" s="4032">
        <v>27</v>
      </c>
      <c r="AD270" s="4032">
        <v>28</v>
      </c>
      <c r="AE270" s="4032">
        <v>29</v>
      </c>
      <c r="AF270" s="4032">
        <v>30</v>
      </c>
      <c r="AG270" s="4034">
        <v>31</v>
      </c>
      <c r="AH270" s="173"/>
      <c r="AI270" s="174"/>
    </row>
    <row r="271" spans="1:35" ht="21" customHeight="1" x14ac:dyDescent="0.2">
      <c r="A271" s="3458">
        <v>3702</v>
      </c>
      <c r="B271" s="172" t="s">
        <v>486</v>
      </c>
      <c r="C271" s="4039" t="s">
        <v>32</v>
      </c>
      <c r="D271" s="4039" t="s">
        <v>32</v>
      </c>
      <c r="E271" s="4039" t="s">
        <v>32</v>
      </c>
      <c r="F271" s="4039"/>
      <c r="G271" s="4039"/>
      <c r="H271" s="4039" t="s">
        <v>32</v>
      </c>
      <c r="I271" s="4039" t="s">
        <v>32</v>
      </c>
      <c r="J271" s="4039" t="s">
        <v>32</v>
      </c>
      <c r="K271" s="4039" t="s">
        <v>32</v>
      </c>
      <c r="L271" s="4039" t="s">
        <v>32</v>
      </c>
      <c r="M271" s="4039"/>
      <c r="N271" s="4081"/>
      <c r="O271" s="4081" t="s">
        <v>32</v>
      </c>
      <c r="P271" s="4081" t="s">
        <v>32</v>
      </c>
      <c r="Q271" s="4041" t="s">
        <v>32</v>
      </c>
      <c r="R271" s="4081" t="s">
        <v>32</v>
      </c>
      <c r="S271" s="4039" t="s">
        <v>32</v>
      </c>
      <c r="T271" s="4039"/>
      <c r="U271" s="4081"/>
      <c r="V271" s="4081" t="s">
        <v>32</v>
      </c>
      <c r="W271" s="4081" t="s">
        <v>32</v>
      </c>
      <c r="X271" s="4039" t="s">
        <v>32</v>
      </c>
      <c r="Y271" s="4081" t="s">
        <v>32</v>
      </c>
      <c r="Z271" s="4081" t="s">
        <v>32</v>
      </c>
      <c r="AA271" s="4039"/>
      <c r="AB271" s="4039"/>
      <c r="AC271" s="4039" t="s">
        <v>32</v>
      </c>
      <c r="AD271" s="4039" t="s">
        <v>32</v>
      </c>
      <c r="AE271" s="4039" t="s">
        <v>32</v>
      </c>
      <c r="AF271" s="4039" t="s">
        <v>32</v>
      </c>
      <c r="AG271" s="4039" t="s">
        <v>32</v>
      </c>
      <c r="AH271" s="178"/>
      <c r="AI271" s="179"/>
    </row>
    <row r="272" spans="1:35" ht="21" customHeight="1" x14ac:dyDescent="0.2">
      <c r="A272" s="4046"/>
      <c r="B272" s="3685" t="s">
        <v>323</v>
      </c>
      <c r="C272" s="4039" t="s">
        <v>32</v>
      </c>
      <c r="D272" s="4039" t="s">
        <v>32</v>
      </c>
      <c r="E272" s="4039" t="s">
        <v>32</v>
      </c>
      <c r="F272" s="4039"/>
      <c r="G272" s="4039"/>
      <c r="H272" s="4083" t="s">
        <v>32</v>
      </c>
      <c r="I272" s="4083" t="s">
        <v>32</v>
      </c>
      <c r="J272" s="4083" t="s">
        <v>32</v>
      </c>
      <c r="K272" s="4083" t="s">
        <v>32</v>
      </c>
      <c r="L272" s="4083" t="s">
        <v>32</v>
      </c>
      <c r="M272" s="965"/>
      <c r="N272" s="965"/>
      <c r="O272" s="857" t="s">
        <v>32</v>
      </c>
      <c r="P272" s="857" t="s">
        <v>32</v>
      </c>
      <c r="Q272" s="857" t="s">
        <v>32</v>
      </c>
      <c r="R272" s="857" t="s">
        <v>32</v>
      </c>
      <c r="S272" s="857" t="s">
        <v>32</v>
      </c>
      <c r="T272" s="4039"/>
      <c r="U272" s="4081"/>
      <c r="V272" s="4081" t="s">
        <v>32</v>
      </c>
      <c r="W272" s="4081" t="s">
        <v>32</v>
      </c>
      <c r="X272" s="4039" t="s">
        <v>32</v>
      </c>
      <c r="Y272" s="4081" t="s">
        <v>32</v>
      </c>
      <c r="Z272" s="4081" t="s">
        <v>32</v>
      </c>
      <c r="AA272" s="4039"/>
      <c r="AB272" s="4039"/>
      <c r="AC272" s="4039" t="s">
        <v>32</v>
      </c>
      <c r="AD272" s="4039" t="s">
        <v>32</v>
      </c>
      <c r="AE272" s="4039" t="s">
        <v>32</v>
      </c>
      <c r="AF272" s="4039" t="s">
        <v>32</v>
      </c>
      <c r="AG272" s="4039" t="s">
        <v>32</v>
      </c>
      <c r="AH272" s="178"/>
      <c r="AI272" s="179"/>
    </row>
    <row r="273" spans="1:36" ht="21" customHeight="1" x14ac:dyDescent="0.2">
      <c r="A273" s="3459"/>
      <c r="B273" s="3685" t="s">
        <v>499</v>
      </c>
      <c r="C273" s="4039" t="s">
        <v>32</v>
      </c>
      <c r="D273" s="4039" t="s">
        <v>32</v>
      </c>
      <c r="E273" s="4039" t="s">
        <v>32</v>
      </c>
      <c r="F273" s="4039"/>
      <c r="G273" s="4039"/>
      <c r="H273" s="4039" t="s">
        <v>32</v>
      </c>
      <c r="I273" s="4039" t="s">
        <v>32</v>
      </c>
      <c r="J273" s="4039" t="s">
        <v>32</v>
      </c>
      <c r="K273" s="4039" t="s">
        <v>32</v>
      </c>
      <c r="L273" s="4039" t="s">
        <v>32</v>
      </c>
      <c r="M273" s="4039"/>
      <c r="N273" s="4081"/>
      <c r="O273" s="4081" t="s">
        <v>32</v>
      </c>
      <c r="P273" s="4081" t="s">
        <v>32</v>
      </c>
      <c r="Q273" s="4041" t="s">
        <v>32</v>
      </c>
      <c r="R273" s="4081" t="s">
        <v>32</v>
      </c>
      <c r="S273" s="4039" t="s">
        <v>32</v>
      </c>
      <c r="T273" s="4039"/>
      <c r="U273" s="4081"/>
      <c r="V273" s="4081" t="s">
        <v>32</v>
      </c>
      <c r="W273" s="4081" t="s">
        <v>32</v>
      </c>
      <c r="X273" s="4039" t="s">
        <v>32</v>
      </c>
      <c r="Y273" s="4081" t="s">
        <v>32</v>
      </c>
      <c r="Z273" s="4081" t="s">
        <v>32</v>
      </c>
      <c r="AA273" s="4039"/>
      <c r="AB273" s="4039"/>
      <c r="AC273" s="4039" t="s">
        <v>32</v>
      </c>
      <c r="AD273" s="4039" t="s">
        <v>32</v>
      </c>
      <c r="AE273" s="4039" t="s">
        <v>32</v>
      </c>
      <c r="AF273" s="4039" t="s">
        <v>32</v>
      </c>
      <c r="AG273" s="4039" t="s">
        <v>32</v>
      </c>
      <c r="AH273" s="178"/>
      <c r="AI273" s="179"/>
    </row>
    <row r="274" spans="1:36" ht="21" customHeight="1" thickBot="1" x14ac:dyDescent="0.25">
      <c r="A274" s="3460"/>
      <c r="B274" s="3461"/>
      <c r="C274" s="4032"/>
      <c r="D274" s="4032"/>
      <c r="E274" s="4032"/>
      <c r="F274" s="4032"/>
      <c r="G274" s="4032"/>
      <c r="H274" s="4032"/>
      <c r="I274" s="4032"/>
      <c r="J274" s="4032"/>
      <c r="K274" s="4032"/>
      <c r="L274" s="4032"/>
      <c r="M274" s="4032"/>
      <c r="N274" s="4032"/>
      <c r="O274" s="4032"/>
      <c r="P274" s="4032"/>
      <c r="Q274" s="4032"/>
      <c r="R274" s="4032"/>
      <c r="S274" s="4032"/>
      <c r="T274" s="4032"/>
      <c r="U274" s="4032"/>
      <c r="V274" s="4032"/>
      <c r="W274" s="4032"/>
      <c r="X274" s="4032"/>
      <c r="Y274" s="4032"/>
      <c r="Z274" s="4032"/>
      <c r="AA274" s="4032"/>
      <c r="AB274" s="4032"/>
      <c r="AC274" s="4032"/>
      <c r="AD274" s="4032"/>
      <c r="AE274" s="4032"/>
      <c r="AF274" s="4032"/>
      <c r="AG274" s="4034"/>
      <c r="AH274" s="178"/>
      <c r="AI274" s="179"/>
    </row>
    <row r="275" spans="1:36" ht="21" customHeight="1" x14ac:dyDescent="0.2">
      <c r="A275" s="214"/>
      <c r="B275" s="4286" t="s">
        <v>324</v>
      </c>
      <c r="C275" s="4287"/>
      <c r="D275" s="4287"/>
      <c r="E275" s="4287"/>
      <c r="F275" s="4287"/>
      <c r="G275" s="4287"/>
      <c r="H275" s="4287"/>
      <c r="I275" s="4287"/>
      <c r="J275" s="4287"/>
      <c r="K275" s="4287"/>
      <c r="L275" s="4287"/>
      <c r="M275" s="4287"/>
      <c r="N275" s="4287"/>
      <c r="O275" s="4287"/>
      <c r="P275" s="4287"/>
      <c r="Q275" s="4287"/>
      <c r="R275" s="4287"/>
      <c r="S275" s="4287"/>
      <c r="T275" s="4287"/>
      <c r="U275" s="4287"/>
      <c r="V275" s="4287"/>
      <c r="W275" s="4287"/>
      <c r="X275" s="4287"/>
      <c r="Y275" s="4287"/>
      <c r="Z275" s="4287"/>
      <c r="AA275" s="4287"/>
      <c r="AB275" s="4287"/>
      <c r="AC275" s="4287"/>
      <c r="AD275" s="4287"/>
      <c r="AE275" s="4287"/>
      <c r="AF275" s="4287"/>
      <c r="AG275" s="4288"/>
      <c r="AH275" s="176"/>
      <c r="AI275" s="177"/>
    </row>
    <row r="276" spans="1:36" ht="21" customHeight="1" x14ac:dyDescent="0.2">
      <c r="A276" s="3458">
        <v>3702</v>
      </c>
      <c r="B276" s="1175" t="s">
        <v>325</v>
      </c>
      <c r="C276" s="3616" t="s">
        <v>326</v>
      </c>
      <c r="D276" s="3616" t="s">
        <v>326</v>
      </c>
      <c r="E276" s="3616" t="s">
        <v>326</v>
      </c>
      <c r="F276" s="3616"/>
      <c r="G276" s="3616"/>
      <c r="H276" s="3550" t="s">
        <v>326</v>
      </c>
      <c r="I276" s="3550" t="s">
        <v>326</v>
      </c>
      <c r="J276" s="3616" t="s">
        <v>326</v>
      </c>
      <c r="K276" s="3616" t="s">
        <v>326</v>
      </c>
      <c r="L276" s="3616" t="s">
        <v>326</v>
      </c>
      <c r="M276" s="3616"/>
      <c r="N276" s="3616"/>
      <c r="O276" s="3605" t="s">
        <v>326</v>
      </c>
      <c r="P276" s="3605" t="s">
        <v>326</v>
      </c>
      <c r="Q276" s="3605" t="s">
        <v>326</v>
      </c>
      <c r="R276" s="3605" t="s">
        <v>326</v>
      </c>
      <c r="S276" s="3605" t="s">
        <v>326</v>
      </c>
      <c r="T276" s="3605"/>
      <c r="U276" s="3605"/>
      <c r="V276" s="3605" t="s">
        <v>326</v>
      </c>
      <c r="W276" s="3605" t="s">
        <v>326</v>
      </c>
      <c r="X276" s="3605" t="s">
        <v>326</v>
      </c>
      <c r="Y276" s="3605" t="s">
        <v>326</v>
      </c>
      <c r="Z276" s="3605" t="s">
        <v>326</v>
      </c>
      <c r="AA276" s="3605"/>
      <c r="AB276" s="3605"/>
      <c r="AC276" s="3605" t="s">
        <v>326</v>
      </c>
      <c r="AD276" s="3605" t="s">
        <v>326</v>
      </c>
      <c r="AE276" s="3605" t="s">
        <v>326</v>
      </c>
      <c r="AF276" s="3605" t="s">
        <v>326</v>
      </c>
      <c r="AG276" s="3605" t="s">
        <v>326</v>
      </c>
      <c r="AH276" s="178"/>
      <c r="AI276" s="179"/>
    </row>
    <row r="277" spans="1:36" ht="21" customHeight="1" x14ac:dyDescent="0.2">
      <c r="A277" s="3458"/>
      <c r="B277" s="3746" t="s">
        <v>327</v>
      </c>
      <c r="C277" s="3616" t="s">
        <v>328</v>
      </c>
      <c r="D277" s="3616" t="s">
        <v>328</v>
      </c>
      <c r="E277" s="3616" t="s">
        <v>328</v>
      </c>
      <c r="F277" s="3616"/>
      <c r="G277" s="3616"/>
      <c r="H277" s="3616" t="s">
        <v>328</v>
      </c>
      <c r="I277" s="3616" t="s">
        <v>328</v>
      </c>
      <c r="J277" s="3616" t="s">
        <v>328</v>
      </c>
      <c r="K277" s="3616" t="s">
        <v>328</v>
      </c>
      <c r="L277" s="3616" t="s">
        <v>328</v>
      </c>
      <c r="M277" s="3616"/>
      <c r="N277" s="3616"/>
      <c r="O277" s="3616" t="s">
        <v>328</v>
      </c>
      <c r="P277" s="3616" t="s">
        <v>328</v>
      </c>
      <c r="Q277" s="3616" t="s">
        <v>328</v>
      </c>
      <c r="R277" s="3616" t="s">
        <v>328</v>
      </c>
      <c r="S277" s="3616" t="s">
        <v>328</v>
      </c>
      <c r="T277" s="3616"/>
      <c r="U277" s="3616"/>
      <c r="V277" s="3462" t="s">
        <v>328</v>
      </c>
      <c r="W277" s="3462" t="s">
        <v>328</v>
      </c>
      <c r="X277" s="3462" t="s">
        <v>328</v>
      </c>
      <c r="Y277" s="3462" t="s">
        <v>328</v>
      </c>
      <c r="Z277" s="3462" t="s">
        <v>328</v>
      </c>
      <c r="AA277" s="3616"/>
      <c r="AB277" s="3616"/>
      <c r="AC277" s="3550" t="s">
        <v>328</v>
      </c>
      <c r="AD277" s="3550" t="s">
        <v>328</v>
      </c>
      <c r="AE277" s="3550" t="s">
        <v>328</v>
      </c>
      <c r="AF277" s="4050" t="s">
        <v>328</v>
      </c>
      <c r="AG277" s="4050" t="s">
        <v>328</v>
      </c>
      <c r="AH277" s="178"/>
      <c r="AI277" s="179"/>
    </row>
    <row r="278" spans="1:36" ht="21" customHeight="1" thickBot="1" x14ac:dyDescent="0.25">
      <c r="A278" s="3464"/>
      <c r="B278" s="3465" t="s">
        <v>329</v>
      </c>
      <c r="C278" s="3610" t="s">
        <v>330</v>
      </c>
      <c r="D278" s="3610" t="s">
        <v>330</v>
      </c>
      <c r="E278" s="3610" t="s">
        <v>330</v>
      </c>
      <c r="F278" s="3610"/>
      <c r="G278" s="3610"/>
      <c r="H278" s="3611" t="s">
        <v>330</v>
      </c>
      <c r="I278" s="3611" t="s">
        <v>330</v>
      </c>
      <c r="J278" s="3611" t="s">
        <v>330</v>
      </c>
      <c r="K278" s="3611" t="s">
        <v>330</v>
      </c>
      <c r="L278" s="3611" t="s">
        <v>330</v>
      </c>
      <c r="M278" s="3610"/>
      <c r="N278" s="3610"/>
      <c r="O278" s="4121" t="s">
        <v>330</v>
      </c>
      <c r="P278" s="4121" t="s">
        <v>330</v>
      </c>
      <c r="Q278" s="4121" t="s">
        <v>330</v>
      </c>
      <c r="R278" s="4121" t="s">
        <v>330</v>
      </c>
      <c r="S278" s="4121" t="s">
        <v>330</v>
      </c>
      <c r="T278" s="4121"/>
      <c r="U278" s="4121"/>
      <c r="V278" s="4121" t="s">
        <v>330</v>
      </c>
      <c r="W278" s="4121" t="s">
        <v>330</v>
      </c>
      <c r="X278" s="4121" t="s">
        <v>330</v>
      </c>
      <c r="Y278" s="4121" t="s">
        <v>330</v>
      </c>
      <c r="Z278" s="4121" t="s">
        <v>330</v>
      </c>
      <c r="AA278" s="4121"/>
      <c r="AB278" s="4121"/>
      <c r="AC278" s="4121" t="s">
        <v>330</v>
      </c>
      <c r="AD278" s="4121" t="s">
        <v>330</v>
      </c>
      <c r="AE278" s="4121" t="s">
        <v>330</v>
      </c>
      <c r="AF278" s="4121" t="s">
        <v>330</v>
      </c>
      <c r="AG278" s="4121" t="s">
        <v>330</v>
      </c>
      <c r="AH278" s="178"/>
      <c r="AI278" s="179"/>
    </row>
    <row r="279" spans="1:36" ht="21" customHeight="1" x14ac:dyDescent="0.2"/>
    <row r="280" spans="1:36" ht="24" customHeight="1" x14ac:dyDescent="0.2"/>
    <row r="281" spans="1:36" ht="25.5" customHeight="1" thickBot="1" x14ac:dyDescent="0.25">
      <c r="A281" s="158" t="s">
        <v>331</v>
      </c>
    </row>
    <row r="282" spans="1:36" ht="21" customHeight="1" x14ac:dyDescent="0.2">
      <c r="A282" s="1"/>
      <c r="B282" s="4285" t="s">
        <v>281</v>
      </c>
      <c r="C282" s="4208"/>
      <c r="D282" s="4231" t="s">
        <v>107</v>
      </c>
      <c r="E282" s="4100"/>
      <c r="F282" s="4201"/>
      <c r="G282" s="4208"/>
      <c r="H282" s="4231" t="s">
        <v>108</v>
      </c>
      <c r="I282" s="4100"/>
      <c r="J282" s="4201"/>
      <c r="K282" s="4208"/>
      <c r="L282" s="4231" t="s">
        <v>109</v>
      </c>
      <c r="M282" s="4100"/>
      <c r="N282" s="4201"/>
      <c r="O282" s="4208"/>
      <c r="P282" s="4231" t="s">
        <v>110</v>
      </c>
      <c r="Q282" s="4100"/>
      <c r="R282" s="4201"/>
      <c r="S282" s="4208"/>
      <c r="T282" s="4231" t="s">
        <v>111</v>
      </c>
      <c r="U282" s="4100"/>
      <c r="V282" s="4201"/>
      <c r="W282" s="4208"/>
      <c r="X282" s="4231" t="s">
        <v>112</v>
      </c>
      <c r="Y282" s="4100"/>
      <c r="Z282" s="4201"/>
      <c r="AA282" s="4208"/>
      <c r="AB282" s="4231" t="s">
        <v>113</v>
      </c>
      <c r="AC282" s="4100"/>
      <c r="AD282" s="4100"/>
      <c r="AE282" s="4234" t="s">
        <v>114</v>
      </c>
      <c r="AF282" s="4100"/>
      <c r="AG282" s="4100"/>
      <c r="AH282" s="4100"/>
      <c r="AI282" s="4101"/>
    </row>
    <row r="283" spans="1:36" ht="21" customHeight="1" x14ac:dyDescent="0.2">
      <c r="A283" s="1"/>
      <c r="B283" s="3"/>
      <c r="C283" s="8"/>
      <c r="D283" s="116"/>
      <c r="E283" s="14"/>
      <c r="F283" s="115"/>
      <c r="G283" s="8"/>
      <c r="H283" s="116"/>
      <c r="I283" s="14"/>
      <c r="J283" s="115"/>
      <c r="K283" s="8"/>
      <c r="L283" s="116"/>
      <c r="M283" s="14"/>
      <c r="N283" s="115"/>
      <c r="O283" s="8"/>
      <c r="P283" s="116"/>
      <c r="Q283" s="14"/>
      <c r="R283" s="115"/>
      <c r="S283" s="8"/>
      <c r="T283" s="116"/>
      <c r="U283" s="14"/>
      <c r="V283" s="115"/>
      <c r="W283" s="8"/>
      <c r="X283" s="116"/>
      <c r="Y283" s="14"/>
      <c r="Z283" s="115"/>
      <c r="AA283" s="8"/>
      <c r="AB283" s="116"/>
      <c r="AC283" s="14"/>
      <c r="AD283" s="14"/>
      <c r="AE283" s="117"/>
      <c r="AF283" s="14"/>
      <c r="AG283" s="14"/>
      <c r="AH283" s="14"/>
      <c r="AI283" s="118"/>
    </row>
    <row r="284" spans="1:36" ht="21" customHeight="1" x14ac:dyDescent="0.2">
      <c r="A284" s="110"/>
      <c r="B284" s="3454"/>
      <c r="C284" s="3643"/>
      <c r="D284" s="4014"/>
      <c r="E284" s="4014"/>
      <c r="F284" s="3793"/>
      <c r="G284" s="3643"/>
      <c r="H284" s="4014"/>
      <c r="I284" s="4014"/>
      <c r="J284" s="3793"/>
      <c r="K284" s="3643"/>
      <c r="L284" s="4014"/>
      <c r="M284" s="4014"/>
      <c r="N284" s="3793"/>
      <c r="O284" s="3643"/>
      <c r="P284" s="4014"/>
      <c r="Q284" s="4014"/>
      <c r="R284" s="3793"/>
      <c r="S284" s="3643"/>
      <c r="T284" s="4014"/>
      <c r="U284" s="4014"/>
      <c r="V284" s="3793"/>
      <c r="W284" s="3643"/>
      <c r="X284" s="4014"/>
      <c r="Y284" s="4014"/>
      <c r="Z284" s="3793"/>
      <c r="AA284" s="3791"/>
      <c r="AB284" s="4014"/>
      <c r="AC284" s="4014"/>
      <c r="AD284" s="3644"/>
      <c r="AE284" s="3466"/>
      <c r="AF284" s="4014"/>
      <c r="AG284" s="4014"/>
      <c r="AH284" s="3644"/>
      <c r="AI284" s="4023"/>
    </row>
    <row r="285" spans="1:36" ht="21" customHeight="1" thickBot="1" x14ac:dyDescent="0.25">
      <c r="A285" s="1"/>
      <c r="B285" s="3803"/>
      <c r="C285" s="3804"/>
      <c r="D285" s="3587"/>
      <c r="E285" s="3587"/>
      <c r="F285" s="3828"/>
      <c r="G285" s="3804"/>
      <c r="H285" s="3587"/>
      <c r="I285" s="3587"/>
      <c r="J285" s="3828"/>
      <c r="K285" s="3804"/>
      <c r="L285" s="3587"/>
      <c r="M285" s="3587"/>
      <c r="N285" s="3828"/>
      <c r="O285" s="3804"/>
      <c r="P285" s="3587"/>
      <c r="Q285" s="3587"/>
      <c r="R285" s="3828"/>
      <c r="S285" s="3804"/>
      <c r="T285" s="3587"/>
      <c r="U285" s="3587"/>
      <c r="V285" s="3828"/>
      <c r="W285" s="3826"/>
      <c r="X285" s="3587"/>
      <c r="Y285" s="3587"/>
      <c r="Z285" s="3828"/>
      <c r="AA285" s="3826"/>
      <c r="AB285" s="3587"/>
      <c r="AC285" s="3587"/>
      <c r="AD285" s="3811"/>
      <c r="AE285" s="3826"/>
      <c r="AF285" s="3587"/>
      <c r="AG285" s="3587"/>
      <c r="AH285" s="3811"/>
      <c r="AI285" s="3594"/>
    </row>
    <row r="286" spans="1:36" ht="21" customHeight="1" x14ac:dyDescent="0.2">
      <c r="A286" s="1"/>
      <c r="B286" s="18"/>
      <c r="C286" s="64"/>
      <c r="F286" s="69"/>
      <c r="G286" s="64"/>
      <c r="J286" s="69"/>
      <c r="K286" s="64"/>
      <c r="N286" s="69"/>
      <c r="O286" s="64"/>
      <c r="R286" s="69"/>
      <c r="S286" s="64"/>
      <c r="V286" s="69"/>
      <c r="W286" s="69"/>
      <c r="Z286" s="69"/>
      <c r="AA286" s="69"/>
      <c r="AD286" s="69"/>
      <c r="AE286" s="69"/>
      <c r="AH286" s="69"/>
    </row>
    <row r="287" spans="1:36" ht="33" customHeight="1" x14ac:dyDescent="0.2">
      <c r="A287" s="158" t="s">
        <v>332</v>
      </c>
      <c r="B287" s="18"/>
      <c r="C287" s="64"/>
      <c r="F287" s="69"/>
      <c r="G287" s="64"/>
      <c r="J287" s="69"/>
      <c r="K287" s="64"/>
      <c r="N287" s="69"/>
      <c r="O287" s="64"/>
      <c r="R287" s="69"/>
      <c r="S287" s="64"/>
      <c r="V287" s="69"/>
      <c r="W287" s="69"/>
      <c r="Z287" s="69"/>
      <c r="AA287" s="69"/>
      <c r="AD287" s="69"/>
      <c r="AE287" s="69"/>
      <c r="AH287" s="294"/>
      <c r="AI287" s="190"/>
      <c r="AJ287" s="190"/>
    </row>
    <row r="288" spans="1:36" ht="21" customHeight="1" thickBot="1" x14ac:dyDescent="0.25">
      <c r="A288" s="3467" t="s">
        <v>28</v>
      </c>
      <c r="B288" s="3468" t="s">
        <v>29</v>
      </c>
      <c r="C288" s="4032">
        <v>1</v>
      </c>
      <c r="D288" s="4032">
        <v>2</v>
      </c>
      <c r="E288" s="4032">
        <v>3</v>
      </c>
      <c r="F288" s="4033">
        <v>4</v>
      </c>
      <c r="G288" s="4033">
        <v>5</v>
      </c>
      <c r="H288" s="4032">
        <v>6</v>
      </c>
      <c r="I288" s="4032">
        <v>7</v>
      </c>
      <c r="J288" s="4032">
        <v>8</v>
      </c>
      <c r="K288" s="4032">
        <v>9</v>
      </c>
      <c r="L288" s="4032">
        <v>10</v>
      </c>
      <c r="M288" s="4033">
        <v>11</v>
      </c>
      <c r="N288" s="4033">
        <v>12</v>
      </c>
      <c r="O288" s="4032">
        <v>13</v>
      </c>
      <c r="P288" s="4032">
        <v>14</v>
      </c>
      <c r="Q288" s="4032">
        <v>15</v>
      </c>
      <c r="R288" s="4032">
        <v>16</v>
      </c>
      <c r="S288" s="4032">
        <v>17</v>
      </c>
      <c r="T288" s="4033">
        <v>18</v>
      </c>
      <c r="U288" s="4033">
        <v>19</v>
      </c>
      <c r="V288" s="4032">
        <v>20</v>
      </c>
      <c r="W288" s="4032">
        <v>21</v>
      </c>
      <c r="X288" s="4032">
        <v>22</v>
      </c>
      <c r="Y288" s="4032">
        <v>23</v>
      </c>
      <c r="Z288" s="4032">
        <v>24</v>
      </c>
      <c r="AA288" s="4033">
        <v>25</v>
      </c>
      <c r="AB288" s="4033">
        <v>26</v>
      </c>
      <c r="AC288" s="4032">
        <v>27</v>
      </c>
      <c r="AD288" s="4032">
        <v>28</v>
      </c>
      <c r="AE288" s="4032">
        <v>29</v>
      </c>
      <c r="AF288" s="4032">
        <v>30</v>
      </c>
      <c r="AG288" s="4034">
        <v>31</v>
      </c>
      <c r="AH288" s="295"/>
      <c r="AI288" s="296"/>
      <c r="AJ288" s="190"/>
    </row>
    <row r="289" spans="1:36" ht="21" customHeight="1" x14ac:dyDescent="0.2">
      <c r="A289" s="88"/>
      <c r="B289" s="4289" t="s">
        <v>333</v>
      </c>
      <c r="C289" s="4038" t="s">
        <v>32</v>
      </c>
      <c r="D289" s="4038" t="s">
        <v>32</v>
      </c>
      <c r="E289" s="4038" t="s">
        <v>32</v>
      </c>
      <c r="F289" s="4038"/>
      <c r="G289" s="4039"/>
      <c r="H289" s="4081" t="s">
        <v>32</v>
      </c>
      <c r="I289" s="4039" t="s">
        <v>32</v>
      </c>
      <c r="J289" s="4039" t="s">
        <v>32</v>
      </c>
      <c r="K289" s="4039" t="s">
        <v>32</v>
      </c>
      <c r="L289" s="4039" t="s">
        <v>32</v>
      </c>
      <c r="M289" s="4039"/>
      <c r="N289" s="4081"/>
      <c r="O289" s="4081" t="s">
        <v>32</v>
      </c>
      <c r="P289" s="4081" t="s">
        <v>32</v>
      </c>
      <c r="Q289" s="4041" t="s">
        <v>32</v>
      </c>
      <c r="R289" s="4081" t="s">
        <v>32</v>
      </c>
      <c r="S289" s="4039" t="s">
        <v>32</v>
      </c>
      <c r="T289" s="4039"/>
      <c r="U289" s="4081"/>
      <c r="V289" s="4081" t="s">
        <v>32</v>
      </c>
      <c r="W289" s="4081" t="s">
        <v>32</v>
      </c>
      <c r="X289" s="4039" t="s">
        <v>32</v>
      </c>
      <c r="Y289" s="4081" t="s">
        <v>32</v>
      </c>
      <c r="Z289" s="4039" t="s">
        <v>32</v>
      </c>
      <c r="AA289" s="4039"/>
      <c r="AB289" s="4039"/>
      <c r="AC289" s="4039" t="s">
        <v>32</v>
      </c>
      <c r="AD289" s="4081" t="s">
        <v>32</v>
      </c>
      <c r="AE289" s="4081" t="s">
        <v>32</v>
      </c>
      <c r="AF289" s="4081" t="s">
        <v>32</v>
      </c>
      <c r="AG289" s="300" t="s">
        <v>32</v>
      </c>
      <c r="AH289" s="297"/>
      <c r="AI289" s="298"/>
      <c r="AJ289" s="190"/>
    </row>
    <row r="290" spans="1:36" ht="21" customHeight="1" x14ac:dyDescent="0.2">
      <c r="A290" s="3470"/>
      <c r="B290" s="3973" t="s">
        <v>334</v>
      </c>
      <c r="C290" s="4039" t="s">
        <v>32</v>
      </c>
      <c r="D290" s="4039" t="s">
        <v>32</v>
      </c>
      <c r="E290" s="4039" t="s">
        <v>32</v>
      </c>
      <c r="F290" s="4039"/>
      <c r="G290" s="4039"/>
      <c r="H290" s="4039" t="s">
        <v>32</v>
      </c>
      <c r="I290" s="4039" t="s">
        <v>32</v>
      </c>
      <c r="J290" s="4039" t="s">
        <v>32</v>
      </c>
      <c r="K290" s="4039" t="s">
        <v>32</v>
      </c>
      <c r="L290" s="4039" t="s">
        <v>32</v>
      </c>
      <c r="M290" s="4039"/>
      <c r="N290" s="4081"/>
      <c r="O290" s="4081" t="s">
        <v>32</v>
      </c>
      <c r="P290" s="4081" t="s">
        <v>32</v>
      </c>
      <c r="Q290" s="4041" t="s">
        <v>32</v>
      </c>
      <c r="R290" s="4081" t="s">
        <v>32</v>
      </c>
      <c r="S290" s="4039" t="s">
        <v>32</v>
      </c>
      <c r="T290" s="4039"/>
      <c r="U290" s="4081"/>
      <c r="V290" s="4081" t="s">
        <v>32</v>
      </c>
      <c r="W290" s="4081" t="s">
        <v>32</v>
      </c>
      <c r="X290" s="4039" t="s">
        <v>32</v>
      </c>
      <c r="Y290" s="4081" t="s">
        <v>32</v>
      </c>
      <c r="Z290" s="4039" t="s">
        <v>32</v>
      </c>
      <c r="AA290" s="4039"/>
      <c r="AB290" s="4039"/>
      <c r="AC290" s="4039" t="s">
        <v>32</v>
      </c>
      <c r="AD290" s="4081" t="s">
        <v>32</v>
      </c>
      <c r="AE290" s="4081" t="s">
        <v>32</v>
      </c>
      <c r="AF290" s="4081" t="s">
        <v>32</v>
      </c>
      <c r="AG290" s="3471" t="s">
        <v>32</v>
      </c>
      <c r="AH290" s="297"/>
      <c r="AI290" s="298"/>
      <c r="AJ290" s="190"/>
    </row>
    <row r="291" spans="1:36" ht="21" customHeight="1" x14ac:dyDescent="0.2">
      <c r="A291" s="4106"/>
      <c r="B291" s="3973" t="s">
        <v>335</v>
      </c>
      <c r="C291" s="4081" t="s">
        <v>32</v>
      </c>
      <c r="D291" s="4039" t="s">
        <v>32</v>
      </c>
      <c r="E291" s="4039" t="s">
        <v>32</v>
      </c>
      <c r="F291" s="4039"/>
      <c r="G291" s="4039"/>
      <c r="H291" s="4039" t="s">
        <v>32</v>
      </c>
      <c r="I291" s="4039" t="s">
        <v>32</v>
      </c>
      <c r="J291" s="4039" t="s">
        <v>32</v>
      </c>
      <c r="K291" s="1158" t="s">
        <v>32</v>
      </c>
      <c r="L291" s="965" t="s">
        <v>32</v>
      </c>
      <c r="M291" s="323"/>
      <c r="N291" s="323"/>
      <c r="O291" s="965" t="s">
        <v>32</v>
      </c>
      <c r="P291" s="965" t="s">
        <v>32</v>
      </c>
      <c r="Q291" s="1158" t="s">
        <v>32</v>
      </c>
      <c r="R291" s="4081" t="s">
        <v>32</v>
      </c>
      <c r="S291" s="4039" t="s">
        <v>32</v>
      </c>
      <c r="T291" s="4039"/>
      <c r="U291" s="4081"/>
      <c r="V291" s="4081" t="s">
        <v>32</v>
      </c>
      <c r="W291" s="4081" t="s">
        <v>32</v>
      </c>
      <c r="X291" s="4039" t="s">
        <v>32</v>
      </c>
      <c r="Y291" s="4081" t="s">
        <v>32</v>
      </c>
      <c r="Z291" s="4039" t="s">
        <v>32</v>
      </c>
      <c r="AA291" s="4039"/>
      <c r="AB291" s="4039"/>
      <c r="AC291" s="4039" t="s">
        <v>32</v>
      </c>
      <c r="AD291" s="4039" t="s">
        <v>32</v>
      </c>
      <c r="AE291" s="4039" t="s">
        <v>32</v>
      </c>
      <c r="AF291" s="4039" t="s">
        <v>32</v>
      </c>
      <c r="AG291" s="3471" t="s">
        <v>32</v>
      </c>
      <c r="AH291" s="297"/>
      <c r="AI291" s="298"/>
      <c r="AJ291" s="190"/>
    </row>
    <row r="292" spans="1:36" ht="21" customHeight="1" x14ac:dyDescent="0.2">
      <c r="A292" s="3975"/>
      <c r="B292" s="3973" t="s">
        <v>336</v>
      </c>
      <c r="C292" s="4039" t="s">
        <v>32</v>
      </c>
      <c r="D292" s="4039" t="s">
        <v>32</v>
      </c>
      <c r="E292" s="4039" t="s">
        <v>32</v>
      </c>
      <c r="F292" s="4039"/>
      <c r="G292" s="4039"/>
      <c r="H292" s="4039" t="s">
        <v>32</v>
      </c>
      <c r="I292" s="4039" t="s">
        <v>32</v>
      </c>
      <c r="J292" s="4039" t="s">
        <v>32</v>
      </c>
      <c r="K292" s="4039" t="s">
        <v>32</v>
      </c>
      <c r="L292" s="4039" t="s">
        <v>32</v>
      </c>
      <c r="M292" s="4039"/>
      <c r="N292" s="4081"/>
      <c r="O292" s="858" t="s">
        <v>32</v>
      </c>
      <c r="P292" s="4081" t="s">
        <v>32</v>
      </c>
      <c r="Q292" s="4041" t="s">
        <v>32</v>
      </c>
      <c r="R292" s="4081" t="s">
        <v>32</v>
      </c>
      <c r="S292" s="4039" t="s">
        <v>32</v>
      </c>
      <c r="T292" s="4039"/>
      <c r="U292" s="4081"/>
      <c r="V292" s="4081" t="s">
        <v>32</v>
      </c>
      <c r="W292" s="4081" t="s">
        <v>32</v>
      </c>
      <c r="X292" s="4039" t="s">
        <v>32</v>
      </c>
      <c r="Y292" s="4081" t="s">
        <v>32</v>
      </c>
      <c r="Z292" s="4039" t="s">
        <v>32</v>
      </c>
      <c r="AA292" s="4039"/>
      <c r="AB292" s="4039"/>
      <c r="AC292" s="4039" t="s">
        <v>32</v>
      </c>
      <c r="AD292" s="4081" t="s">
        <v>32</v>
      </c>
      <c r="AE292" s="4081" t="s">
        <v>32</v>
      </c>
      <c r="AF292" s="4081" t="s">
        <v>32</v>
      </c>
      <c r="AG292" s="3471" t="s">
        <v>32</v>
      </c>
      <c r="AH292" s="297"/>
      <c r="AI292" s="298"/>
      <c r="AJ292" s="190"/>
    </row>
    <row r="293" spans="1:36" ht="21" customHeight="1" x14ac:dyDescent="0.2">
      <c r="A293" s="3975"/>
      <c r="B293" s="3973" t="s">
        <v>337</v>
      </c>
      <c r="C293" s="4039" t="s">
        <v>32</v>
      </c>
      <c r="D293" s="4039" t="s">
        <v>32</v>
      </c>
      <c r="E293" s="4039" t="s">
        <v>32</v>
      </c>
      <c r="F293" s="4039"/>
      <c r="G293" s="4039"/>
      <c r="H293" s="4039" t="s">
        <v>32</v>
      </c>
      <c r="I293" s="4039" t="s">
        <v>32</v>
      </c>
      <c r="J293" s="4039" t="s">
        <v>32</v>
      </c>
      <c r="K293" s="4039" t="s">
        <v>32</v>
      </c>
      <c r="L293" s="4039" t="s">
        <v>32</v>
      </c>
      <c r="M293" s="4039"/>
      <c r="N293" s="4081"/>
      <c r="O293" s="4081" t="s">
        <v>32</v>
      </c>
      <c r="P293" s="4081" t="s">
        <v>32</v>
      </c>
      <c r="Q293" s="4041" t="s">
        <v>32</v>
      </c>
      <c r="R293" s="4081" t="s">
        <v>32</v>
      </c>
      <c r="S293" s="4039" t="s">
        <v>32</v>
      </c>
      <c r="T293" s="4039"/>
      <c r="U293" s="4081"/>
      <c r="V293" s="4081" t="s">
        <v>32</v>
      </c>
      <c r="W293" s="4081" t="s">
        <v>32</v>
      </c>
      <c r="X293" s="4039" t="s">
        <v>32</v>
      </c>
      <c r="Y293" s="4081" t="s">
        <v>32</v>
      </c>
      <c r="Z293" s="4081" t="s">
        <v>32</v>
      </c>
      <c r="AA293" s="4081"/>
      <c r="AB293" s="4081"/>
      <c r="AC293" s="4081" t="s">
        <v>32</v>
      </c>
      <c r="AD293" s="4081" t="s">
        <v>32</v>
      </c>
      <c r="AE293" s="4081" t="s">
        <v>32</v>
      </c>
      <c r="AF293" s="4081" t="s">
        <v>32</v>
      </c>
      <c r="AG293" s="3661" t="s">
        <v>32</v>
      </c>
      <c r="AH293" s="297"/>
      <c r="AI293" s="298"/>
      <c r="AJ293" s="190"/>
    </row>
    <row r="294" spans="1:36" ht="21" customHeight="1" x14ac:dyDescent="0.2">
      <c r="A294" s="3975"/>
      <c r="B294" s="3973" t="s">
        <v>338</v>
      </c>
      <c r="C294" s="4039" t="s">
        <v>32</v>
      </c>
      <c r="D294" s="4039" t="s">
        <v>32</v>
      </c>
      <c r="E294" s="4039" t="s">
        <v>32</v>
      </c>
      <c r="F294" s="4039"/>
      <c r="G294" s="4039"/>
      <c r="H294" s="4039" t="s">
        <v>32</v>
      </c>
      <c r="I294" s="4039" t="s">
        <v>32</v>
      </c>
      <c r="J294" s="4039" t="s">
        <v>32</v>
      </c>
      <c r="K294" s="4039" t="s">
        <v>32</v>
      </c>
      <c r="L294" s="4039" t="s">
        <v>32</v>
      </c>
      <c r="M294" s="4039"/>
      <c r="N294" s="4081"/>
      <c r="O294" s="4081" t="s">
        <v>32</v>
      </c>
      <c r="P294" s="4081" t="s">
        <v>32</v>
      </c>
      <c r="Q294" s="4041" t="s">
        <v>32</v>
      </c>
      <c r="R294" s="4081" t="s">
        <v>32</v>
      </c>
      <c r="S294" s="4039" t="s">
        <v>32</v>
      </c>
      <c r="T294" s="4039"/>
      <c r="U294" s="4081"/>
      <c r="V294" s="4081" t="s">
        <v>32</v>
      </c>
      <c r="W294" s="4081" t="s">
        <v>32</v>
      </c>
      <c r="X294" s="4039" t="s">
        <v>32</v>
      </c>
      <c r="Y294" s="4081" t="s">
        <v>32</v>
      </c>
      <c r="Z294" s="4039" t="s">
        <v>32</v>
      </c>
      <c r="AA294" s="4039"/>
      <c r="AB294" s="4039"/>
      <c r="AC294" s="4039" t="s">
        <v>32</v>
      </c>
      <c r="AD294" s="4081" t="s">
        <v>32</v>
      </c>
      <c r="AE294" s="4081" t="s">
        <v>32</v>
      </c>
      <c r="AF294" s="4081" t="s">
        <v>32</v>
      </c>
      <c r="AG294" s="3617" t="s">
        <v>32</v>
      </c>
      <c r="AH294" s="297"/>
      <c r="AI294" s="298"/>
      <c r="AJ294" s="190"/>
    </row>
    <row r="295" spans="1:36" ht="21" customHeight="1" x14ac:dyDescent="0.2">
      <c r="A295" s="3975"/>
      <c r="B295" s="3973" t="s">
        <v>339</v>
      </c>
      <c r="C295" s="4039" t="s">
        <v>32</v>
      </c>
      <c r="D295" s="4039" t="s">
        <v>32</v>
      </c>
      <c r="E295" s="4039" t="s">
        <v>32</v>
      </c>
      <c r="F295" s="4039"/>
      <c r="G295" s="4039"/>
      <c r="H295" s="4039" t="s">
        <v>32</v>
      </c>
      <c r="I295" s="4039" t="s">
        <v>32</v>
      </c>
      <c r="J295" s="4039" t="s">
        <v>32</v>
      </c>
      <c r="K295" s="4039" t="s">
        <v>32</v>
      </c>
      <c r="L295" s="4086" t="s">
        <v>32</v>
      </c>
      <c r="M295" s="4039"/>
      <c r="N295" s="4081"/>
      <c r="O295" s="4081" t="s">
        <v>32</v>
      </c>
      <c r="P295" s="4081" t="s">
        <v>32</v>
      </c>
      <c r="Q295" s="4041" t="s">
        <v>32</v>
      </c>
      <c r="R295" s="4081" t="s">
        <v>32</v>
      </c>
      <c r="S295" s="4039" t="s">
        <v>32</v>
      </c>
      <c r="T295" s="4039"/>
      <c r="U295" s="4081"/>
      <c r="V295" s="4081" t="s">
        <v>32</v>
      </c>
      <c r="W295" s="4081" t="s">
        <v>32</v>
      </c>
      <c r="X295" s="4081" t="s">
        <v>32</v>
      </c>
      <c r="Y295" s="4081" t="s">
        <v>32</v>
      </c>
      <c r="Z295" s="4039" t="s">
        <v>32</v>
      </c>
      <c r="AA295" s="4039"/>
      <c r="AB295" s="4039"/>
      <c r="AC295" s="4039" t="s">
        <v>32</v>
      </c>
      <c r="AD295" s="4081" t="s">
        <v>32</v>
      </c>
      <c r="AE295" s="4081" t="s">
        <v>32</v>
      </c>
      <c r="AF295" s="4081" t="s">
        <v>32</v>
      </c>
      <c r="AG295" s="3617" t="s">
        <v>32</v>
      </c>
      <c r="AH295" s="297"/>
      <c r="AI295" s="298"/>
      <c r="AJ295" s="190"/>
    </row>
    <row r="296" spans="1:36" ht="21" customHeight="1" x14ac:dyDescent="0.2">
      <c r="A296" s="3975"/>
      <c r="B296" s="3973" t="s">
        <v>370</v>
      </c>
      <c r="C296" s="4039" t="s">
        <v>32</v>
      </c>
      <c r="D296" s="4039" t="s">
        <v>32</v>
      </c>
      <c r="E296" s="4039" t="s">
        <v>32</v>
      </c>
      <c r="F296" s="4039"/>
      <c r="G296" s="4039"/>
      <c r="H296" s="4039" t="s">
        <v>32</v>
      </c>
      <c r="I296" s="4039" t="s">
        <v>32</v>
      </c>
      <c r="J296" s="4039" t="s">
        <v>32</v>
      </c>
      <c r="K296" s="4039" t="s">
        <v>32</v>
      </c>
      <c r="L296" s="4039" t="s">
        <v>32</v>
      </c>
      <c r="M296" s="4039"/>
      <c r="N296" s="4081"/>
      <c r="O296" s="4081" t="s">
        <v>32</v>
      </c>
      <c r="P296" s="4081" t="s">
        <v>32</v>
      </c>
      <c r="Q296" s="4041" t="s">
        <v>32</v>
      </c>
      <c r="R296" s="4081" t="s">
        <v>32</v>
      </c>
      <c r="S296" s="4039" t="s">
        <v>32</v>
      </c>
      <c r="T296" s="4039"/>
      <c r="U296" s="4081"/>
      <c r="V296" s="4081" t="s">
        <v>32</v>
      </c>
      <c r="W296" s="4081" t="s">
        <v>32</v>
      </c>
      <c r="X296" s="4039" t="s">
        <v>32</v>
      </c>
      <c r="Y296" s="4081" t="s">
        <v>32</v>
      </c>
      <c r="Z296" s="4039" t="s">
        <v>32</v>
      </c>
      <c r="AA296" s="4039"/>
      <c r="AB296" s="4039"/>
      <c r="AC296" s="4039" t="s">
        <v>32</v>
      </c>
      <c r="AD296" s="4039" t="s">
        <v>32</v>
      </c>
      <c r="AE296" s="4039" t="s">
        <v>32</v>
      </c>
      <c r="AF296" s="4039" t="s">
        <v>32</v>
      </c>
      <c r="AG296" s="3617" t="s">
        <v>32</v>
      </c>
      <c r="AH296" s="297"/>
      <c r="AI296" s="298"/>
      <c r="AJ296" s="190"/>
    </row>
    <row r="297" spans="1:36" ht="21" customHeight="1" x14ac:dyDescent="0.2">
      <c r="A297" s="3975"/>
      <c r="B297" s="3973" t="s">
        <v>340</v>
      </c>
      <c r="C297" s="4039" t="s">
        <v>32</v>
      </c>
      <c r="D297" s="4039" t="s">
        <v>32</v>
      </c>
      <c r="E297" s="4039" t="s">
        <v>32</v>
      </c>
      <c r="F297" s="4039"/>
      <c r="G297" s="4039"/>
      <c r="H297" s="4039" t="s">
        <v>32</v>
      </c>
      <c r="I297" s="4039" t="s">
        <v>32</v>
      </c>
      <c r="J297" s="4039" t="s">
        <v>32</v>
      </c>
      <c r="K297" s="4039" t="s">
        <v>32</v>
      </c>
      <c r="L297" s="4039" t="s">
        <v>32</v>
      </c>
      <c r="M297" s="4039"/>
      <c r="N297" s="4081"/>
      <c r="O297" s="4081" t="s">
        <v>32</v>
      </c>
      <c r="P297" s="4081" t="s">
        <v>32</v>
      </c>
      <c r="Q297" s="4041" t="s">
        <v>32</v>
      </c>
      <c r="R297" s="4081" t="s">
        <v>32</v>
      </c>
      <c r="S297" s="4039" t="s">
        <v>32</v>
      </c>
      <c r="T297" s="4039"/>
      <c r="U297" s="4081"/>
      <c r="V297" s="4081" t="s">
        <v>32</v>
      </c>
      <c r="W297" s="4081" t="s">
        <v>32</v>
      </c>
      <c r="X297" s="4039" t="s">
        <v>32</v>
      </c>
      <c r="Y297" s="4081" t="s">
        <v>32</v>
      </c>
      <c r="Z297" s="4039" t="s">
        <v>32</v>
      </c>
      <c r="AA297" s="4039"/>
      <c r="AB297" s="4039"/>
      <c r="AC297" s="4039" t="s">
        <v>32</v>
      </c>
      <c r="AD297" s="4081" t="s">
        <v>32</v>
      </c>
      <c r="AE297" s="4081" t="s">
        <v>32</v>
      </c>
      <c r="AF297" s="4081" t="s">
        <v>32</v>
      </c>
      <c r="AG297" s="3617" t="s">
        <v>32</v>
      </c>
      <c r="AH297" s="297"/>
      <c r="AI297" s="298"/>
      <c r="AJ297" s="190"/>
    </row>
    <row r="298" spans="1:36" ht="21" customHeight="1" x14ac:dyDescent="0.2">
      <c r="A298" s="3975"/>
      <c r="B298" s="3973" t="s">
        <v>341</v>
      </c>
      <c r="C298" s="4039" t="s">
        <v>32</v>
      </c>
      <c r="D298" s="4039" t="s">
        <v>32</v>
      </c>
      <c r="E298" s="4039" t="s">
        <v>32</v>
      </c>
      <c r="F298" s="4039"/>
      <c r="G298" s="4039"/>
      <c r="H298" s="4081" t="s">
        <v>32</v>
      </c>
      <c r="I298" s="4081" t="s">
        <v>32</v>
      </c>
      <c r="J298" s="4081" t="s">
        <v>32</v>
      </c>
      <c r="K298" s="4081" t="s">
        <v>32</v>
      </c>
      <c r="L298" s="4039" t="s">
        <v>32</v>
      </c>
      <c r="M298" s="4039"/>
      <c r="N298" s="4081"/>
      <c r="O298" s="4081" t="s">
        <v>32</v>
      </c>
      <c r="P298" s="4081" t="s">
        <v>32</v>
      </c>
      <c r="Q298" s="4041" t="s">
        <v>32</v>
      </c>
      <c r="R298" s="4081" t="s">
        <v>32</v>
      </c>
      <c r="S298" s="4039" t="s">
        <v>32</v>
      </c>
      <c r="T298" s="4039"/>
      <c r="U298" s="4081"/>
      <c r="V298" s="4086" t="s">
        <v>32</v>
      </c>
      <c r="W298" s="4086" t="s">
        <v>32</v>
      </c>
      <c r="X298" s="4086" t="s">
        <v>32</v>
      </c>
      <c r="Y298" s="4081" t="s">
        <v>32</v>
      </c>
      <c r="Z298" s="4039" t="s">
        <v>32</v>
      </c>
      <c r="AA298" s="4039"/>
      <c r="AB298" s="4039"/>
      <c r="AC298" s="4039" t="s">
        <v>32</v>
      </c>
      <c r="AD298" s="4081" t="s">
        <v>32</v>
      </c>
      <c r="AE298" s="4081" t="s">
        <v>32</v>
      </c>
      <c r="AF298" s="4081" t="s">
        <v>32</v>
      </c>
      <c r="AG298" s="3617" t="s">
        <v>32</v>
      </c>
      <c r="AH298" s="297"/>
      <c r="AI298" s="298"/>
      <c r="AJ298" s="190"/>
    </row>
    <row r="299" spans="1:36" ht="21" customHeight="1" x14ac:dyDescent="0.2">
      <c r="A299" s="3975"/>
      <c r="B299" s="3973" t="s">
        <v>342</v>
      </c>
      <c r="C299" s="4039" t="s">
        <v>32</v>
      </c>
      <c r="D299" s="4039" t="s">
        <v>32</v>
      </c>
      <c r="E299" s="4039" t="s">
        <v>32</v>
      </c>
      <c r="F299" s="4039"/>
      <c r="G299" s="4039"/>
      <c r="H299" s="4039" t="s">
        <v>32</v>
      </c>
      <c r="I299" s="4039" t="s">
        <v>32</v>
      </c>
      <c r="J299" s="4039" t="s">
        <v>32</v>
      </c>
      <c r="K299" s="4039" t="s">
        <v>32</v>
      </c>
      <c r="L299" s="4039" t="s">
        <v>32</v>
      </c>
      <c r="M299" s="4039"/>
      <c r="N299" s="4081"/>
      <c r="O299" s="4081" t="s">
        <v>32</v>
      </c>
      <c r="P299" s="4081" t="s">
        <v>32</v>
      </c>
      <c r="Q299" s="4041" t="s">
        <v>32</v>
      </c>
      <c r="R299" s="4081" t="s">
        <v>32</v>
      </c>
      <c r="S299" s="4039" t="s">
        <v>32</v>
      </c>
      <c r="T299" s="4039"/>
      <c r="U299" s="4081"/>
      <c r="V299" s="4081" t="s">
        <v>32</v>
      </c>
      <c r="W299" s="4081" t="s">
        <v>32</v>
      </c>
      <c r="X299" s="4039" t="s">
        <v>32</v>
      </c>
      <c r="Y299" s="4081" t="s">
        <v>32</v>
      </c>
      <c r="Z299" s="4039" t="s">
        <v>32</v>
      </c>
      <c r="AA299" s="4039"/>
      <c r="AB299" s="4039"/>
      <c r="AC299" s="4039" t="s">
        <v>32</v>
      </c>
      <c r="AD299" s="4039" t="s">
        <v>32</v>
      </c>
      <c r="AE299" s="4039" t="s">
        <v>32</v>
      </c>
      <c r="AF299" s="4039" t="s">
        <v>32</v>
      </c>
      <c r="AG299" s="3617" t="s">
        <v>32</v>
      </c>
      <c r="AH299" s="297"/>
      <c r="AI299" s="298"/>
      <c r="AJ299" s="190"/>
    </row>
    <row r="300" spans="1:36" ht="21" customHeight="1" x14ac:dyDescent="0.2">
      <c r="A300" s="3975"/>
      <c r="B300" s="3973"/>
      <c r="C300" s="4039"/>
      <c r="D300" s="4085"/>
      <c r="E300" s="4039"/>
      <c r="F300" s="4039"/>
      <c r="G300" s="4039"/>
      <c r="H300" s="4039"/>
      <c r="I300" s="4039"/>
      <c r="J300" s="4039"/>
      <c r="K300" s="4039"/>
      <c r="L300" s="4039"/>
      <c r="M300" s="4039"/>
      <c r="N300" s="4039"/>
      <c r="O300" s="4039"/>
      <c r="P300" s="4039"/>
      <c r="Q300" s="4039"/>
      <c r="R300" s="4039"/>
      <c r="S300" s="4039"/>
      <c r="T300" s="4039"/>
      <c r="U300" s="4039"/>
      <c r="V300" s="4039"/>
      <c r="W300" s="4039"/>
      <c r="X300" s="4039"/>
      <c r="Y300" s="4039"/>
      <c r="Z300" s="4039"/>
      <c r="AA300" s="4039"/>
      <c r="AB300" s="4039"/>
      <c r="AC300" s="4039"/>
      <c r="AD300" s="4039"/>
      <c r="AE300" s="4039"/>
      <c r="AF300" s="4039"/>
      <c r="AG300" s="3617"/>
      <c r="AH300" s="297"/>
      <c r="AI300" s="298"/>
      <c r="AJ300" s="190"/>
    </row>
    <row r="301" spans="1:36" ht="21" customHeight="1" x14ac:dyDescent="0.2">
      <c r="A301" s="4077"/>
      <c r="B301" s="3977"/>
      <c r="C301" s="3616"/>
      <c r="D301" s="3616"/>
      <c r="E301" s="3616"/>
      <c r="F301" s="3616"/>
      <c r="G301" s="3616"/>
      <c r="H301" s="3616"/>
      <c r="I301" s="3616"/>
      <c r="J301" s="3616"/>
      <c r="K301" s="3616"/>
      <c r="L301" s="3616"/>
      <c r="M301" s="3616"/>
      <c r="N301" s="4066"/>
      <c r="O301" s="4066"/>
      <c r="P301" s="3616"/>
      <c r="Q301" s="3616"/>
      <c r="R301" s="3616"/>
      <c r="S301" s="3616"/>
      <c r="T301" s="3616"/>
      <c r="U301" s="3616"/>
      <c r="V301" s="3616"/>
      <c r="W301" s="3616"/>
      <c r="X301" s="3616"/>
      <c r="Y301" s="3616"/>
      <c r="Z301" s="3616"/>
      <c r="AA301" s="3616"/>
      <c r="AB301" s="4066"/>
      <c r="AC301" s="4066"/>
      <c r="AD301" s="3616"/>
      <c r="AE301" s="3616"/>
      <c r="AF301" s="3616"/>
      <c r="AG301" s="3617"/>
      <c r="AH301" s="297"/>
      <c r="AI301" s="299"/>
      <c r="AJ301" s="190"/>
    </row>
    <row r="302" spans="1:36" ht="21" customHeight="1" thickBot="1" x14ac:dyDescent="0.25">
      <c r="A302" s="3978"/>
      <c r="B302" s="4089"/>
      <c r="C302" s="3476"/>
      <c r="D302" s="3477"/>
      <c r="E302" s="3477"/>
      <c r="F302" s="3477"/>
      <c r="G302" s="3477"/>
      <c r="H302" s="3477"/>
      <c r="I302" s="3477"/>
      <c r="J302" s="3477"/>
      <c r="K302" s="3477"/>
      <c r="L302" s="3477"/>
      <c r="M302" s="3477"/>
      <c r="N302" s="3478"/>
      <c r="O302" s="3478"/>
      <c r="P302" s="3477"/>
      <c r="Q302" s="3477"/>
      <c r="R302" s="3477"/>
      <c r="S302" s="3477"/>
      <c r="T302" s="3477"/>
      <c r="U302" s="3477"/>
      <c r="V302" s="3477"/>
      <c r="W302" s="3477"/>
      <c r="X302" s="3477"/>
      <c r="Y302" s="3477"/>
      <c r="Z302" s="3477"/>
      <c r="AA302" s="3477"/>
      <c r="AB302" s="3478"/>
      <c r="AC302" s="3478"/>
      <c r="AD302" s="3477"/>
      <c r="AE302" s="3477"/>
      <c r="AF302" s="3477"/>
      <c r="AG302" s="3479"/>
      <c r="AH302" s="297"/>
      <c r="AI302" s="299"/>
      <c r="AJ302" s="190"/>
    </row>
    <row r="303" spans="1:36" x14ac:dyDescent="0.2">
      <c r="AH303" s="190"/>
      <c r="AI303" s="190"/>
      <c r="AJ303" s="190"/>
    </row>
    <row r="304" spans="1:36" x14ac:dyDescent="0.2">
      <c r="AH304" s="190"/>
      <c r="AI304" s="190"/>
      <c r="AJ304" s="190"/>
    </row>
    <row r="305" spans="34:36" x14ac:dyDescent="0.2">
      <c r="AH305" s="190"/>
      <c r="AI305" s="190"/>
      <c r="AJ305" s="190"/>
    </row>
    <row r="306" spans="34:36" x14ac:dyDescent="0.2">
      <c r="AH306" s="190"/>
      <c r="AI306" s="190"/>
      <c r="AJ306" s="190"/>
    </row>
  </sheetData>
  <sheetProtection algorithmName="SHA-512" hashValue="uEQ94wg+Hek0DJu5ymB5w1N2hIdUna+spnhzw5/Qu9y4sIPW5bY34xsRF25fhwKo+i7Cfojfw90dBsx2iAuWhA==" saltValue="zgfAprjlbf1dKBoXwGMSaA==" spinCount="100000" sheet="1" objects="1" scenarios="1"/>
  <protectedRanges>
    <protectedRange sqref="B141:B142"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3 B145 B147"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8CB91-945B-4111-9751-05E6BA55F2F9}">
  <sheetPr codeName="Ark78"/>
  <dimension ref="A1:AN313"/>
  <sheetViews>
    <sheetView tabSelected="1" zoomScale="90" zoomScaleNormal="90" workbookViewId="0">
      <pane xSplit="2" ySplit="3" topLeftCell="C10" activePane="bottomRight" state="frozen"/>
      <selection pane="topRight" activeCell="AE74" sqref="AE74"/>
      <selection pane="bottomLeft" activeCell="AE74" sqref="AE74"/>
      <selection pane="bottomRight" activeCell="U79" sqref="U79"/>
    </sheetView>
  </sheetViews>
  <sheetFormatPr defaultColWidth="9.140625" defaultRowHeight="12" x14ac:dyDescent="0.2"/>
  <cols>
    <col min="1" max="1" width="5.7109375" customWidth="1"/>
    <col min="2" max="2" width="25.140625" customWidth="1"/>
    <col min="3" max="33" width="4.140625" customWidth="1"/>
    <col min="34" max="34" width="4" customWidth="1"/>
    <col min="35" max="35" width="3.85546875" customWidth="1"/>
    <col min="36" max="37" width="12.140625" customWidth="1"/>
    <col min="38" max="38" width="15" customWidth="1"/>
    <col min="39" max="39" width="12.140625" customWidth="1"/>
    <col min="40" max="40" width="13.140625" bestFit="1" customWidth="1"/>
    <col min="41" max="42" width="11.140625" bestFit="1" customWidth="1"/>
  </cols>
  <sheetData>
    <row r="1" spans="1:38" ht="13.35" customHeight="1" x14ac:dyDescent="0.2">
      <c r="A1" t="s">
        <v>0</v>
      </c>
      <c r="B1" s="1" t="s">
        <v>1</v>
      </c>
    </row>
    <row r="2" spans="1:38" ht="13.35" customHeight="1" x14ac:dyDescent="0.2">
      <c r="B2" s="3480" t="s">
        <v>2</v>
      </c>
      <c r="C2" s="3481" t="s">
        <v>3</v>
      </c>
      <c r="D2" s="3482"/>
      <c r="E2" s="3483" t="s">
        <v>4</v>
      </c>
      <c r="F2" s="3484"/>
      <c r="G2" s="3485"/>
      <c r="H2" s="3485"/>
      <c r="I2" s="3485"/>
      <c r="J2" s="3485"/>
      <c r="K2" s="3486"/>
      <c r="L2" s="3487" t="s">
        <v>5</v>
      </c>
      <c r="M2" s="3488"/>
      <c r="N2" s="3489"/>
      <c r="O2" s="3490" t="s">
        <v>6</v>
      </c>
      <c r="P2" s="3491"/>
      <c r="Q2" s="3492"/>
      <c r="R2" s="3493"/>
      <c r="S2" s="3494" t="s">
        <v>7</v>
      </c>
      <c r="T2" s="3495"/>
      <c r="U2" s="3496"/>
      <c r="V2" s="3495"/>
      <c r="W2" s="3497" t="s">
        <v>8</v>
      </c>
      <c r="X2" s="3498"/>
      <c r="Y2" s="3499"/>
      <c r="Z2" s="160" t="s">
        <v>9</v>
      </c>
      <c r="AA2" s="4004"/>
      <c r="AB2" s="4005"/>
      <c r="AC2" s="4290"/>
      <c r="AD2" s="4291" t="s">
        <v>10</v>
      </c>
      <c r="AE2" s="4008"/>
      <c r="AF2" s="4008"/>
      <c r="AG2" s="4292"/>
    </row>
    <row r="3" spans="1:38" ht="13.35" customHeight="1" x14ac:dyDescent="0.2">
      <c r="A3" s="1"/>
      <c r="B3" s="3506" t="s">
        <v>11</v>
      </c>
      <c r="C3" s="3507" t="s">
        <v>12</v>
      </c>
      <c r="D3" s="3508"/>
      <c r="E3" s="91"/>
      <c r="F3" s="92"/>
      <c r="G3" s="92"/>
      <c r="H3" s="161" t="s">
        <v>13</v>
      </c>
      <c r="I3" s="93"/>
      <c r="J3" s="93"/>
      <c r="K3" s="94"/>
      <c r="L3" s="3509" t="s">
        <v>14</v>
      </c>
      <c r="M3" s="3510"/>
      <c r="N3" s="3511"/>
      <c r="O3" s="93"/>
      <c r="P3" s="93"/>
      <c r="Q3" s="93"/>
      <c r="R3" s="93"/>
      <c r="S3" s="14"/>
      <c r="T3" s="95" t="s">
        <v>15</v>
      </c>
      <c r="U3" s="96"/>
      <c r="V3" s="97"/>
      <c r="W3" s="98"/>
      <c r="X3" s="99"/>
      <c r="Y3" s="161" t="s">
        <v>16</v>
      </c>
      <c r="Z3" s="3510"/>
      <c r="AA3" s="3510"/>
      <c r="AB3" s="3512"/>
      <c r="AC3" s="3513"/>
      <c r="AD3" s="3514" t="s">
        <v>17</v>
      </c>
      <c r="AE3" s="3515"/>
      <c r="AF3" s="3515"/>
      <c r="AG3" s="3516"/>
      <c r="AJ3" s="183"/>
    </row>
    <row r="4" spans="1:38" ht="13.35" customHeight="1" x14ac:dyDescent="0.2">
      <c r="A4" s="158" t="s">
        <v>18</v>
      </c>
      <c r="B4" s="44"/>
      <c r="C4" s="17"/>
      <c r="D4" s="72"/>
      <c r="E4" s="72"/>
      <c r="F4" s="72"/>
      <c r="G4" s="72"/>
      <c r="H4" s="17"/>
      <c r="I4" s="72"/>
      <c r="J4" s="72"/>
      <c r="K4" s="19"/>
      <c r="L4" s="72"/>
      <c r="M4" s="19"/>
      <c r="N4" s="19"/>
      <c r="O4" s="72"/>
      <c r="P4" s="72"/>
      <c r="Q4" s="72"/>
      <c r="R4" s="72"/>
      <c r="T4" s="19"/>
      <c r="U4" s="17"/>
      <c r="W4" s="72"/>
      <c r="X4" s="72"/>
      <c r="Y4" s="17"/>
      <c r="Z4" s="72"/>
      <c r="AB4" s="72"/>
      <c r="AC4" s="72"/>
      <c r="AD4" s="72"/>
      <c r="AE4" s="72"/>
      <c r="AF4" s="72"/>
      <c r="AG4" s="72"/>
    </row>
    <row r="5" spans="1:38" ht="22.35" customHeight="1" x14ac:dyDescent="0.2">
      <c r="A5" s="158" t="s">
        <v>19</v>
      </c>
      <c r="B5" s="1"/>
    </row>
    <row r="6" spans="1:38" ht="22.35" customHeight="1" x14ac:dyDescent="0.2">
      <c r="A6" s="3517" t="s">
        <v>20</v>
      </c>
      <c r="B6" s="3510"/>
      <c r="C6" s="3518"/>
      <c r="D6" s="3517" t="s">
        <v>21</v>
      </c>
      <c r="E6" s="3510"/>
      <c r="F6" s="3510"/>
      <c r="G6" s="3510"/>
      <c r="H6" s="3519"/>
      <c r="I6" s="3510"/>
      <c r="J6" s="3510"/>
      <c r="K6" s="3510"/>
      <c r="L6" s="3520" t="s">
        <v>22</v>
      </c>
      <c r="M6" s="3510"/>
      <c r="N6" s="3510"/>
      <c r="O6" s="3510"/>
      <c r="P6" s="3510"/>
      <c r="Q6" s="3510"/>
      <c r="R6" s="3510"/>
      <c r="S6" s="3518"/>
      <c r="T6" s="3521"/>
      <c r="U6" s="3510"/>
      <c r="V6" s="3510"/>
      <c r="W6" s="3510"/>
      <c r="X6" s="3510"/>
      <c r="Y6" s="3510"/>
      <c r="Z6" s="3510"/>
      <c r="AA6" s="3518"/>
      <c r="AB6" s="4293"/>
      <c r="AC6" s="4027"/>
      <c r="AD6" s="4027"/>
      <c r="AE6" s="4027"/>
      <c r="AF6" s="4027"/>
      <c r="AG6" s="4294"/>
    </row>
    <row r="7" spans="1:38" ht="22.35" customHeight="1" x14ac:dyDescent="0.2">
      <c r="A7" s="3517" t="s">
        <v>23</v>
      </c>
      <c r="B7" s="3510"/>
      <c r="C7" s="3510"/>
      <c r="D7" s="3510"/>
      <c r="E7" s="3510"/>
      <c r="F7" s="3510"/>
      <c r="G7" s="3510"/>
      <c r="H7" s="3510"/>
      <c r="I7" s="3510"/>
      <c r="J7" s="3510"/>
      <c r="K7" s="3518"/>
      <c r="L7" s="153" t="s">
        <v>24</v>
      </c>
      <c r="M7" s="14"/>
      <c r="N7" s="14"/>
      <c r="O7" s="14"/>
      <c r="P7" s="14"/>
      <c r="Q7" s="14"/>
      <c r="R7" s="14"/>
      <c r="S7" s="14"/>
      <c r="T7" s="14"/>
      <c r="U7" s="3510"/>
      <c r="V7" s="3510"/>
      <c r="W7" s="3510"/>
      <c r="X7" s="3510"/>
      <c r="Y7" s="3510"/>
      <c r="Z7" s="3510"/>
      <c r="AA7" s="3510"/>
      <c r="AB7" s="3525"/>
      <c r="AC7" s="3510"/>
      <c r="AD7" s="3510"/>
      <c r="AE7" s="3510"/>
      <c r="AF7" s="3510"/>
      <c r="AG7" s="3518"/>
    </row>
    <row r="8" spans="1:38" ht="22.35" customHeight="1" x14ac:dyDescent="0.2">
      <c r="A8" s="158" t="s">
        <v>25</v>
      </c>
      <c r="L8" s="100"/>
      <c r="AB8" s="1"/>
    </row>
    <row r="9" spans="1:38" ht="22.35" customHeight="1" x14ac:dyDescent="0.2">
      <c r="A9" s="158" t="s">
        <v>26</v>
      </c>
      <c r="L9" s="100"/>
      <c r="AB9" s="1"/>
    </row>
    <row r="10" spans="1:38" ht="22.35" customHeight="1" x14ac:dyDescent="0.2">
      <c r="B10" s="101" t="s">
        <v>27</v>
      </c>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row>
    <row r="11" spans="1:38" ht="22.35" customHeight="1" thickBot="1" x14ac:dyDescent="0.25">
      <c r="A11" s="3526" t="s">
        <v>28</v>
      </c>
      <c r="B11" s="3527" t="s">
        <v>29</v>
      </c>
      <c r="C11" s="3529">
        <v>1</v>
      </c>
      <c r="D11" s="3529">
        <v>2</v>
      </c>
      <c r="E11" s="3528">
        <v>3</v>
      </c>
      <c r="F11" s="3528">
        <v>4</v>
      </c>
      <c r="G11" s="3528">
        <v>5</v>
      </c>
      <c r="H11" s="3529">
        <v>6</v>
      </c>
      <c r="I11" s="3529">
        <v>7</v>
      </c>
      <c r="J11" s="3529">
        <v>8</v>
      </c>
      <c r="K11" s="3529">
        <v>9</v>
      </c>
      <c r="L11" s="3529">
        <v>10</v>
      </c>
      <c r="M11" s="3528">
        <v>11</v>
      </c>
      <c r="N11" s="3528">
        <v>12</v>
      </c>
      <c r="O11" s="3528">
        <v>13</v>
      </c>
      <c r="P11" s="3528">
        <v>14</v>
      </c>
      <c r="Q11" s="3529">
        <v>15</v>
      </c>
      <c r="R11" s="3529">
        <v>16</v>
      </c>
      <c r="S11" s="3528">
        <v>17</v>
      </c>
      <c r="T11" s="3528">
        <v>18</v>
      </c>
      <c r="U11" s="3528">
        <v>19</v>
      </c>
      <c r="V11" s="3528">
        <v>20</v>
      </c>
      <c r="W11" s="3528">
        <v>21</v>
      </c>
      <c r="X11" s="3529">
        <v>22</v>
      </c>
      <c r="Y11" s="3529">
        <v>23</v>
      </c>
      <c r="Z11" s="3528">
        <v>24</v>
      </c>
      <c r="AA11" s="3528">
        <v>25</v>
      </c>
      <c r="AB11" s="3528">
        <v>26</v>
      </c>
      <c r="AC11" s="3528">
        <v>27</v>
      </c>
      <c r="AD11" s="3528">
        <v>28</v>
      </c>
      <c r="AE11" s="3529">
        <v>29</v>
      </c>
      <c r="AF11" s="3529">
        <v>30</v>
      </c>
      <c r="AG11" s="3530"/>
      <c r="AH11" s="173"/>
      <c r="AI11" s="174"/>
      <c r="AJ11" s="1181" t="s">
        <v>30</v>
      </c>
    </row>
    <row r="12" spans="1:38" ht="22.35" customHeight="1" x14ac:dyDescent="0.2">
      <c r="A12" s="4295">
        <v>8500</v>
      </c>
      <c r="B12" s="1182" t="s">
        <v>31</v>
      </c>
      <c r="C12" s="1110"/>
      <c r="D12" s="1110"/>
      <c r="E12" s="1110" t="s">
        <v>32</v>
      </c>
      <c r="F12" s="644" t="s">
        <v>32</v>
      </c>
      <c r="G12" s="644" t="s">
        <v>32</v>
      </c>
      <c r="H12" s="1110"/>
      <c r="I12" s="1183"/>
      <c r="J12" s="1110"/>
      <c r="K12" s="1110"/>
      <c r="L12" s="1110"/>
      <c r="M12" s="644" t="s">
        <v>32</v>
      </c>
      <c r="N12" s="644" t="s">
        <v>32</v>
      </c>
      <c r="O12" s="1110" t="s">
        <v>32</v>
      </c>
      <c r="P12" s="1110" t="s">
        <v>32</v>
      </c>
      <c r="Q12" s="1110"/>
      <c r="R12" s="1110"/>
      <c r="S12" s="1110" t="s">
        <v>32</v>
      </c>
      <c r="T12" s="644" t="s">
        <v>32</v>
      </c>
      <c r="U12" s="644" t="s">
        <v>32</v>
      </c>
      <c r="V12" s="644" t="s">
        <v>32</v>
      </c>
      <c r="W12" s="644" t="s">
        <v>32</v>
      </c>
      <c r="X12" s="644"/>
      <c r="Y12" s="975"/>
      <c r="Z12" s="975" t="s">
        <v>32</v>
      </c>
      <c r="AA12" s="644" t="s">
        <v>32</v>
      </c>
      <c r="AB12" s="644" t="s">
        <v>32</v>
      </c>
      <c r="AC12" s="1110" t="s">
        <v>32</v>
      </c>
      <c r="AD12" s="1110" t="s">
        <v>32</v>
      </c>
      <c r="AE12" s="1110"/>
      <c r="AF12" s="1110"/>
      <c r="AG12" s="613"/>
      <c r="AH12" s="179"/>
      <c r="AI12" s="179"/>
      <c r="AJ12" s="1181">
        <v>160.33000000000001</v>
      </c>
    </row>
    <row r="13" spans="1:38" ht="22.35" customHeight="1" x14ac:dyDescent="0.2">
      <c r="A13" s="3531" t="s">
        <v>33</v>
      </c>
      <c r="B13" s="3532"/>
      <c r="C13" s="3532"/>
      <c r="D13" s="3532"/>
      <c r="E13" s="3532"/>
      <c r="F13" s="3532"/>
      <c r="G13" s="3532"/>
      <c r="H13" s="3532"/>
      <c r="I13" s="3532"/>
      <c r="J13" s="3532"/>
      <c r="K13" s="3532"/>
      <c r="L13" s="3532"/>
      <c r="M13" s="3532"/>
      <c r="N13" s="3532"/>
      <c r="O13" s="3532"/>
      <c r="P13" s="3532"/>
      <c r="Q13" s="3532"/>
      <c r="R13" s="3532"/>
      <c r="S13" s="3532"/>
      <c r="T13" s="3532"/>
      <c r="U13" s="3532"/>
      <c r="V13" s="3532"/>
      <c r="W13" s="3532"/>
      <c r="X13" s="3532"/>
      <c r="Y13" s="3532"/>
      <c r="Z13" s="3532"/>
      <c r="AA13" s="3532"/>
      <c r="AB13" s="3532"/>
      <c r="AC13" s="3532"/>
      <c r="AD13" s="3532"/>
      <c r="AE13" s="3532"/>
      <c r="AF13" s="3532"/>
      <c r="AG13" s="3533"/>
      <c r="AH13" s="177"/>
      <c r="AI13" s="177"/>
    </row>
    <row r="14" spans="1:38" ht="22.35" customHeight="1" x14ac:dyDescent="0.2">
      <c r="A14" s="3534">
        <v>8546</v>
      </c>
      <c r="B14" s="1182" t="s">
        <v>34</v>
      </c>
      <c r="C14" s="3535" t="s">
        <v>37</v>
      </c>
      <c r="D14" s="3535" t="s">
        <v>37</v>
      </c>
      <c r="E14" s="3535" t="s">
        <v>36</v>
      </c>
      <c r="F14" s="3535" t="s">
        <v>36</v>
      </c>
      <c r="G14" s="3535" t="s">
        <v>36</v>
      </c>
      <c r="H14" s="3536" t="s">
        <v>36</v>
      </c>
      <c r="I14" s="3536" t="s">
        <v>36</v>
      </c>
      <c r="J14" s="3536"/>
      <c r="K14" s="3537"/>
      <c r="L14" s="3536">
        <v>4</v>
      </c>
      <c r="M14" s="3538">
        <v>4</v>
      </c>
      <c r="N14" s="3535">
        <v>4</v>
      </c>
      <c r="O14" s="3535">
        <v>4</v>
      </c>
      <c r="P14" s="3539">
        <v>4</v>
      </c>
      <c r="Q14" s="3539" t="s">
        <v>35</v>
      </c>
      <c r="R14" s="3536" t="s">
        <v>35</v>
      </c>
      <c r="S14" s="3540" t="s">
        <v>36</v>
      </c>
      <c r="T14" s="3539" t="s">
        <v>36</v>
      </c>
      <c r="U14" s="4296" t="s">
        <v>36</v>
      </c>
      <c r="V14" s="4297" t="s">
        <v>36</v>
      </c>
      <c r="W14" s="3536" t="s">
        <v>36</v>
      </c>
      <c r="X14" s="3536"/>
      <c r="Y14" s="3536"/>
      <c r="Z14" s="4298">
        <v>1</v>
      </c>
      <c r="AA14" s="4298">
        <v>1</v>
      </c>
      <c r="AB14" s="4298">
        <v>1</v>
      </c>
      <c r="AC14" s="4298">
        <v>1</v>
      </c>
      <c r="AD14" s="3603">
        <v>1</v>
      </c>
      <c r="AE14" s="3536"/>
      <c r="AF14" s="3536"/>
      <c r="AG14" s="3541"/>
      <c r="AH14" s="179"/>
      <c r="AI14" s="179"/>
    </row>
    <row r="15" spans="1:38" ht="22.35" customHeight="1" x14ac:dyDescent="0.2">
      <c r="A15" s="3534">
        <v>8546</v>
      </c>
      <c r="B15" s="3542" t="s">
        <v>38</v>
      </c>
      <c r="C15" s="3537"/>
      <c r="D15" s="3536"/>
      <c r="E15" s="3536">
        <v>2</v>
      </c>
      <c r="F15" s="3539">
        <v>2</v>
      </c>
      <c r="G15" s="3539">
        <v>2</v>
      </c>
      <c r="H15" s="3539">
        <v>2</v>
      </c>
      <c r="I15" s="3536">
        <v>2</v>
      </c>
      <c r="J15" s="3537" t="s">
        <v>37</v>
      </c>
      <c r="K15" s="3539" t="s">
        <v>37</v>
      </c>
      <c r="L15" s="3536" t="s">
        <v>36</v>
      </c>
      <c r="M15" s="3536" t="s">
        <v>36</v>
      </c>
      <c r="N15" s="3605" t="s">
        <v>36</v>
      </c>
      <c r="O15" s="3536" t="s">
        <v>36</v>
      </c>
      <c r="P15" s="3605" t="s">
        <v>36</v>
      </c>
      <c r="Q15" s="3536"/>
      <c r="R15" s="3536"/>
      <c r="S15" s="3536">
        <v>4</v>
      </c>
      <c r="T15" s="3536">
        <v>4</v>
      </c>
      <c r="U15" s="3536">
        <v>4</v>
      </c>
      <c r="V15" s="3603">
        <v>4</v>
      </c>
      <c r="W15" s="3603">
        <v>4</v>
      </c>
      <c r="X15" s="3603" t="s">
        <v>35</v>
      </c>
      <c r="Y15" s="3603" t="s">
        <v>35</v>
      </c>
      <c r="Z15" s="3536" t="s">
        <v>36</v>
      </c>
      <c r="AA15" s="3536" t="s">
        <v>36</v>
      </c>
      <c r="AB15" s="3536" t="s">
        <v>36</v>
      </c>
      <c r="AC15" s="3536" t="s">
        <v>36</v>
      </c>
      <c r="AD15" s="3536" t="s">
        <v>36</v>
      </c>
      <c r="AE15" s="3536"/>
      <c r="AF15" s="3536"/>
      <c r="AG15" s="3541"/>
      <c r="AH15" s="179"/>
      <c r="AI15" s="179"/>
      <c r="AL15" t="s">
        <v>0</v>
      </c>
    </row>
    <row r="16" spans="1:38" ht="22.35" customHeight="1" x14ac:dyDescent="0.2">
      <c r="A16" s="3534">
        <v>8546</v>
      </c>
      <c r="B16" s="3544" t="s">
        <v>40</v>
      </c>
      <c r="C16" s="3545" t="s">
        <v>35</v>
      </c>
      <c r="D16" s="3543" t="s">
        <v>35</v>
      </c>
      <c r="E16" s="3543" t="s">
        <v>36</v>
      </c>
      <c r="F16" s="3543" t="s">
        <v>36</v>
      </c>
      <c r="G16" s="3543" t="s">
        <v>36</v>
      </c>
      <c r="H16" s="3543" t="s">
        <v>36</v>
      </c>
      <c r="I16" s="3546" t="s">
        <v>36</v>
      </c>
      <c r="J16" s="3543"/>
      <c r="K16" s="3543"/>
      <c r="L16" s="3543">
        <v>1</v>
      </c>
      <c r="M16" s="3543">
        <v>1</v>
      </c>
      <c r="N16" s="3545">
        <v>1</v>
      </c>
      <c r="O16" s="3545">
        <v>1</v>
      </c>
      <c r="P16" s="3545">
        <v>1</v>
      </c>
      <c r="Q16" s="3545"/>
      <c r="R16" s="3545"/>
      <c r="S16" s="3543">
        <v>2</v>
      </c>
      <c r="T16" s="3543">
        <v>2</v>
      </c>
      <c r="U16" s="3543">
        <v>2</v>
      </c>
      <c r="V16" s="3543">
        <v>2</v>
      </c>
      <c r="W16" s="3547">
        <v>2</v>
      </c>
      <c r="X16" s="3543" t="s">
        <v>37</v>
      </c>
      <c r="Y16" s="3545" t="s">
        <v>37</v>
      </c>
      <c r="Z16" s="3545" t="s">
        <v>36</v>
      </c>
      <c r="AA16" s="3545" t="s">
        <v>36</v>
      </c>
      <c r="AB16" s="3545" t="s">
        <v>36</v>
      </c>
      <c r="AC16" s="3545" t="s">
        <v>36</v>
      </c>
      <c r="AD16" s="3543" t="s">
        <v>36</v>
      </c>
      <c r="AE16" s="3543"/>
      <c r="AF16" s="3543"/>
      <c r="AG16" s="3548"/>
      <c r="AH16" s="179"/>
      <c r="AI16" s="179"/>
    </row>
    <row r="17" spans="1:40" ht="22.35" customHeight="1" x14ac:dyDescent="0.2">
      <c r="A17" s="3534">
        <v>8546</v>
      </c>
      <c r="B17" s="3542" t="s">
        <v>41</v>
      </c>
      <c r="C17" s="3536"/>
      <c r="D17" s="3537"/>
      <c r="E17" s="3536">
        <v>4</v>
      </c>
      <c r="F17" s="3539">
        <v>4</v>
      </c>
      <c r="G17" s="3536">
        <v>4</v>
      </c>
      <c r="H17" s="3536">
        <v>4</v>
      </c>
      <c r="I17" s="3537">
        <v>4</v>
      </c>
      <c r="J17" s="3536" t="s">
        <v>35</v>
      </c>
      <c r="K17" s="3536" t="s">
        <v>35</v>
      </c>
      <c r="L17" s="3536" t="s">
        <v>36</v>
      </c>
      <c r="M17" s="3535" t="s">
        <v>36</v>
      </c>
      <c r="N17" s="3535" t="s">
        <v>36</v>
      </c>
      <c r="O17" s="3535" t="s">
        <v>36</v>
      </c>
      <c r="P17" s="3535" t="s">
        <v>36</v>
      </c>
      <c r="Q17" s="3535"/>
      <c r="R17" s="3535"/>
      <c r="S17" s="3535">
        <v>1</v>
      </c>
      <c r="T17" s="3536">
        <v>1</v>
      </c>
      <c r="U17" s="3536">
        <v>1</v>
      </c>
      <c r="V17" s="3536">
        <v>1</v>
      </c>
      <c r="W17" s="3536">
        <v>1</v>
      </c>
      <c r="X17" s="3537"/>
      <c r="Y17" s="3536"/>
      <c r="Z17" s="3536">
        <v>2</v>
      </c>
      <c r="AA17" s="3549">
        <v>2</v>
      </c>
      <c r="AB17" s="3549">
        <v>2</v>
      </c>
      <c r="AC17" s="3549">
        <v>2</v>
      </c>
      <c r="AD17" s="3549">
        <v>2</v>
      </c>
      <c r="AE17" s="3549" t="s">
        <v>37</v>
      </c>
      <c r="AF17" s="3549" t="s">
        <v>37</v>
      </c>
      <c r="AG17" s="3541"/>
      <c r="AH17" s="179"/>
      <c r="AI17" s="179"/>
    </row>
    <row r="18" spans="1:40" ht="22.35" customHeight="1" x14ac:dyDescent="0.2">
      <c r="A18" s="3534">
        <v>8546</v>
      </c>
      <c r="B18" s="3544" t="s">
        <v>42</v>
      </c>
      <c r="C18" s="3537"/>
      <c r="D18" s="3550"/>
      <c r="E18" s="3550">
        <v>1</v>
      </c>
      <c r="F18" s="3536">
        <v>1</v>
      </c>
      <c r="G18" s="3536">
        <v>1</v>
      </c>
      <c r="H18" s="3536">
        <v>1</v>
      </c>
      <c r="I18" s="3536">
        <v>1</v>
      </c>
      <c r="J18" s="3539"/>
      <c r="K18" s="3539"/>
      <c r="L18" s="3536">
        <v>2</v>
      </c>
      <c r="M18" s="3539">
        <v>2</v>
      </c>
      <c r="N18" s="3538" t="s">
        <v>32</v>
      </c>
      <c r="O18" s="3536">
        <v>2</v>
      </c>
      <c r="P18" s="3539">
        <v>2</v>
      </c>
      <c r="Q18" s="3539" t="s">
        <v>37</v>
      </c>
      <c r="R18" s="3539" t="s">
        <v>37</v>
      </c>
      <c r="S18" s="3539" t="s">
        <v>36</v>
      </c>
      <c r="T18" s="3539" t="s">
        <v>36</v>
      </c>
      <c r="U18" s="3538" t="s">
        <v>36</v>
      </c>
      <c r="V18" s="3538" t="s">
        <v>36</v>
      </c>
      <c r="W18" s="3536" t="s">
        <v>36</v>
      </c>
      <c r="X18" s="3536"/>
      <c r="Y18" s="3536"/>
      <c r="Z18" s="3536">
        <v>4</v>
      </c>
      <c r="AA18" s="3536">
        <v>4</v>
      </c>
      <c r="AB18" s="3536">
        <v>4</v>
      </c>
      <c r="AC18" s="4299">
        <v>4</v>
      </c>
      <c r="AD18" s="3536">
        <v>4</v>
      </c>
      <c r="AE18" s="3536" t="s">
        <v>35</v>
      </c>
      <c r="AF18" s="3536" t="s">
        <v>35</v>
      </c>
      <c r="AG18" s="3541"/>
      <c r="AH18" s="179"/>
      <c r="AI18" s="179"/>
    </row>
    <row r="19" spans="1:40" ht="22.35" customHeight="1" thickBot="1" x14ac:dyDescent="0.25">
      <c r="A19" s="3551" t="s">
        <v>43</v>
      </c>
      <c r="B19" s="3552"/>
      <c r="C19" s="3553"/>
      <c r="D19" s="3553"/>
      <c r="E19" s="3553"/>
      <c r="F19" s="3553"/>
      <c r="G19" s="3553"/>
      <c r="H19" s="3553"/>
      <c r="I19" s="3553"/>
      <c r="J19" s="3553"/>
      <c r="K19" s="3553"/>
      <c r="L19" s="3553"/>
      <c r="M19" s="3553"/>
      <c r="N19" s="3553"/>
      <c r="O19" s="3553"/>
      <c r="P19" s="3553"/>
      <c r="Q19" s="3553"/>
      <c r="R19" s="3553"/>
      <c r="S19" s="3553"/>
      <c r="T19" s="3553"/>
      <c r="U19" s="3553"/>
      <c r="V19" s="3553"/>
      <c r="W19" s="3553"/>
      <c r="X19" s="3553"/>
      <c r="Y19" s="3553"/>
      <c r="Z19" s="3553"/>
      <c r="AA19" s="3553"/>
      <c r="AB19" s="3553"/>
      <c r="AC19" s="3553"/>
      <c r="AD19" s="3553"/>
      <c r="AE19" s="3553"/>
      <c r="AF19" s="3553"/>
      <c r="AG19" s="3554"/>
      <c r="AH19" s="177"/>
      <c r="AI19" s="177"/>
      <c r="AJ19" s="1181" t="s">
        <v>30</v>
      </c>
      <c r="AK19" s="1181" t="s">
        <v>44</v>
      </c>
      <c r="AL19" s="1181" t="s">
        <v>45</v>
      </c>
      <c r="AM19" s="1181" t="s">
        <v>46</v>
      </c>
      <c r="AN19" s="1181" t="s">
        <v>47</v>
      </c>
    </row>
    <row r="20" spans="1:40" ht="22.35" customHeight="1" x14ac:dyDescent="0.2">
      <c r="A20" s="4300">
        <v>8500</v>
      </c>
      <c r="B20" s="4301" t="s">
        <v>49</v>
      </c>
      <c r="C20" s="4302"/>
      <c r="D20" s="4302"/>
      <c r="E20" s="4302" t="s">
        <v>32</v>
      </c>
      <c r="F20" s="4303" t="s">
        <v>32</v>
      </c>
      <c r="G20" s="4303" t="s">
        <v>32</v>
      </c>
      <c r="H20" s="4302"/>
      <c r="I20" s="4302"/>
      <c r="J20" s="4302"/>
      <c r="K20" s="4302"/>
      <c r="L20" s="4302"/>
      <c r="M20" s="4302" t="s">
        <v>32</v>
      </c>
      <c r="N20" s="4302" t="s">
        <v>32</v>
      </c>
      <c r="O20" s="4302" t="s">
        <v>32</v>
      </c>
      <c r="P20" s="4302" t="s">
        <v>32</v>
      </c>
      <c r="Q20" s="4302"/>
      <c r="R20" s="4302"/>
      <c r="S20" s="4302" t="s">
        <v>32</v>
      </c>
      <c r="T20" s="4302" t="s">
        <v>32</v>
      </c>
      <c r="U20" s="4302" t="s">
        <v>32</v>
      </c>
      <c r="V20" s="4302" t="s">
        <v>32</v>
      </c>
      <c r="W20" s="4165" t="s">
        <v>32</v>
      </c>
      <c r="X20" s="4302"/>
      <c r="Y20" s="4302"/>
      <c r="Z20" s="4302" t="s">
        <v>32</v>
      </c>
      <c r="AA20" s="4302" t="s">
        <v>32</v>
      </c>
      <c r="AB20" s="4302" t="s">
        <v>32</v>
      </c>
      <c r="AC20" s="4302" t="s">
        <v>32</v>
      </c>
      <c r="AD20" s="4302" t="s">
        <v>32</v>
      </c>
      <c r="AE20" s="4302"/>
      <c r="AF20" s="4302"/>
      <c r="AG20" s="4304"/>
      <c r="AH20" s="179"/>
      <c r="AI20" s="179"/>
      <c r="AJ20" s="4162">
        <f>$AJ$12</f>
        <v>160.33000000000001</v>
      </c>
      <c r="AK20" s="4162"/>
      <c r="AL20" s="4162">
        <v>148</v>
      </c>
      <c r="AM20" s="4163">
        <f>IF(AJ20="","",AL20-AJ20)</f>
        <v>-12.330000000000013</v>
      </c>
      <c r="AN20" s="4163">
        <f>IF(AM20="","",AM20+'Marts 2023'!AN20)</f>
        <v>-2.660000000000025</v>
      </c>
    </row>
    <row r="21" spans="1:40" ht="22.35" customHeight="1" x14ac:dyDescent="0.2">
      <c r="A21" s="4305">
        <v>8500</v>
      </c>
      <c r="B21" s="4306" t="s">
        <v>52</v>
      </c>
      <c r="C21" s="1110"/>
      <c r="D21" s="1110"/>
      <c r="E21" s="1110" t="s">
        <v>32</v>
      </c>
      <c r="F21" s="644" t="s">
        <v>32</v>
      </c>
      <c r="G21" s="4307" t="s">
        <v>32</v>
      </c>
      <c r="H21" s="1110" t="s">
        <v>53</v>
      </c>
      <c r="I21" s="1183" t="s">
        <v>53</v>
      </c>
      <c r="J21" s="1110" t="s">
        <v>53</v>
      </c>
      <c r="K21" s="1110"/>
      <c r="L21" s="1110"/>
      <c r="M21" s="4308" t="s">
        <v>32</v>
      </c>
      <c r="N21" s="3538">
        <v>2</v>
      </c>
      <c r="O21" s="3616" t="s">
        <v>32</v>
      </c>
      <c r="P21" s="3538" t="s">
        <v>32</v>
      </c>
      <c r="Q21" s="1110"/>
      <c r="R21" s="1110"/>
      <c r="S21" s="1110">
        <v>2</v>
      </c>
      <c r="T21" s="644">
        <v>2</v>
      </c>
      <c r="U21" s="3550">
        <v>4</v>
      </c>
      <c r="V21" s="1110">
        <v>4</v>
      </c>
      <c r="W21" s="1110">
        <v>1</v>
      </c>
      <c r="X21" s="1110"/>
      <c r="Y21" s="1110"/>
      <c r="Z21" s="644">
        <v>1</v>
      </c>
      <c r="AA21" s="644">
        <v>1</v>
      </c>
      <c r="AB21" s="644">
        <v>1</v>
      </c>
      <c r="AC21" s="1192">
        <v>1</v>
      </c>
      <c r="AD21" s="4309">
        <v>1</v>
      </c>
      <c r="AE21" s="1192"/>
      <c r="AF21" s="1192"/>
      <c r="AG21" s="613"/>
      <c r="AH21" s="179"/>
      <c r="AI21" s="179"/>
      <c r="AJ21" s="4162">
        <v>155.75</v>
      </c>
      <c r="AK21" s="4162">
        <v>2.75</v>
      </c>
      <c r="AL21" s="4162">
        <f>IF(AJ21="","",SUM(AJ21:AK21))</f>
        <v>158.5</v>
      </c>
      <c r="AM21" s="4163">
        <f>IF(AJ21="","",AL21-NormTid)</f>
        <v>-1.8300000000000125</v>
      </c>
      <c r="AN21" s="4163">
        <f>IF(AM21="","",AM21+'Marts 2023'!AN21)</f>
        <v>1.42999999999995</v>
      </c>
    </row>
    <row r="22" spans="1:40" ht="22.35" customHeight="1" x14ac:dyDescent="0.2">
      <c r="A22" s="4305">
        <v>8500</v>
      </c>
      <c r="B22" s="1182" t="s">
        <v>54</v>
      </c>
      <c r="C22" s="3539" t="s">
        <v>35</v>
      </c>
      <c r="D22" s="3536" t="s">
        <v>35</v>
      </c>
      <c r="E22" s="3536" t="s">
        <v>36</v>
      </c>
      <c r="F22" s="3536" t="s">
        <v>36</v>
      </c>
      <c r="G22" s="3536" t="s">
        <v>36</v>
      </c>
      <c r="H22" s="3536" t="s">
        <v>36</v>
      </c>
      <c r="I22" s="3535" t="s">
        <v>36</v>
      </c>
      <c r="J22" s="851"/>
      <c r="K22" s="851"/>
      <c r="L22" s="851" t="s">
        <v>86</v>
      </c>
      <c r="M22" s="3538">
        <v>1</v>
      </c>
      <c r="N22" s="3538">
        <v>1</v>
      </c>
      <c r="O22" s="848">
        <v>1</v>
      </c>
      <c r="P22" s="848">
        <v>1</v>
      </c>
      <c r="Q22" s="848"/>
      <c r="R22" s="848"/>
      <c r="S22" s="4308" t="s">
        <v>32</v>
      </c>
      <c r="T22" s="4308" t="s">
        <v>32</v>
      </c>
      <c r="U22" s="848">
        <v>2</v>
      </c>
      <c r="V22" s="848">
        <v>2</v>
      </c>
      <c r="W22" s="848">
        <v>2</v>
      </c>
      <c r="X22" s="644" t="s">
        <v>37</v>
      </c>
      <c r="Y22" s="848" t="s">
        <v>37</v>
      </c>
      <c r="Z22" s="3539" t="s">
        <v>36</v>
      </c>
      <c r="AA22" s="3539" t="s">
        <v>36</v>
      </c>
      <c r="AB22" s="3539" t="s">
        <v>36</v>
      </c>
      <c r="AC22" s="3539" t="s">
        <v>36</v>
      </c>
      <c r="AD22" s="3536" t="s">
        <v>36</v>
      </c>
      <c r="AE22" s="644"/>
      <c r="AF22" s="644"/>
      <c r="AG22" s="856"/>
      <c r="AH22" s="179"/>
      <c r="AI22" s="179"/>
      <c r="AJ22" s="4162">
        <v>129.75</v>
      </c>
      <c r="AK22" s="4162">
        <v>5.25</v>
      </c>
      <c r="AL22" s="4162">
        <f>IF(AJ22="","",SUM(AJ22:AK22))</f>
        <v>135</v>
      </c>
      <c r="AM22" s="4163">
        <f>IF(AJ22="","",AL22-NormTid)</f>
        <v>-25.330000000000013</v>
      </c>
      <c r="AN22" s="4163">
        <f>IF(AM22="","",AM22+'Marts 2023'!AN22)</f>
        <v>-34.57000000000005</v>
      </c>
    </row>
    <row r="23" spans="1:40" ht="22.35" customHeight="1" x14ac:dyDescent="0.2">
      <c r="A23" s="4305"/>
      <c r="B23" s="4306"/>
      <c r="C23" s="1183"/>
      <c r="D23" s="975"/>
      <c r="E23" s="644" t="s">
        <v>32</v>
      </c>
      <c r="F23" s="644" t="s">
        <v>32</v>
      </c>
      <c r="G23" s="644" t="s">
        <v>32</v>
      </c>
      <c r="H23" s="1192"/>
      <c r="I23" s="1192"/>
      <c r="J23" s="1192"/>
      <c r="K23" s="974"/>
      <c r="L23" s="1192"/>
      <c r="M23" s="644" t="s">
        <v>32</v>
      </c>
      <c r="N23" s="1110" t="s">
        <v>32</v>
      </c>
      <c r="O23" s="1110" t="s">
        <v>32</v>
      </c>
      <c r="P23" s="644" t="s">
        <v>32</v>
      </c>
      <c r="Q23" s="644"/>
      <c r="R23" s="980"/>
      <c r="S23" s="980" t="s">
        <v>32</v>
      </c>
      <c r="T23" s="644" t="s">
        <v>32</v>
      </c>
      <c r="U23" s="644" t="s">
        <v>32</v>
      </c>
      <c r="V23" s="1192" t="s">
        <v>32</v>
      </c>
      <c r="W23" s="1192" t="s">
        <v>32</v>
      </c>
      <c r="X23" s="1192"/>
      <c r="Y23" s="1192"/>
      <c r="Z23" s="1192" t="s">
        <v>32</v>
      </c>
      <c r="AA23" s="1192" t="s">
        <v>32</v>
      </c>
      <c r="AB23" s="1192" t="s">
        <v>32</v>
      </c>
      <c r="AC23" s="1192" t="s">
        <v>32</v>
      </c>
      <c r="AD23" s="975" t="s">
        <v>32</v>
      </c>
      <c r="AE23" s="1192"/>
      <c r="AF23" s="1192"/>
      <c r="AG23" s="623"/>
      <c r="AJ23" s="4162">
        <f t="shared" ref="AJ23" si="0">$AJ$12</f>
        <v>160.33000000000001</v>
      </c>
      <c r="AK23" s="4162"/>
      <c r="AL23" s="4162">
        <f t="shared" ref="AL23" si="1">IF(AJ23="","",SUM(AJ23:AK23))</f>
        <v>160.33000000000001</v>
      </c>
      <c r="AM23" s="4163">
        <f t="shared" ref="AM23" si="2">IF(AJ23="","",AL23-AJ23)</f>
        <v>0</v>
      </c>
      <c r="AN23" s="4163">
        <f>IF(AM23="","",AM23+'Marts 2023'!AN23)</f>
        <v>0</v>
      </c>
    </row>
    <row r="24" spans="1:40" ht="22.35" customHeight="1" thickBot="1" x14ac:dyDescent="0.25">
      <c r="A24" s="861"/>
      <c r="B24" s="862" t="s">
        <v>56</v>
      </c>
      <c r="C24" s="863"/>
      <c r="D24" s="863"/>
      <c r="E24" s="4310" t="s">
        <v>32</v>
      </c>
      <c r="F24" s="4310" t="s">
        <v>32</v>
      </c>
      <c r="G24" s="4310" t="s">
        <v>32</v>
      </c>
      <c r="H24" s="863"/>
      <c r="I24" s="863"/>
      <c r="J24" s="863"/>
      <c r="K24" s="863"/>
      <c r="L24" s="863"/>
      <c r="M24" s="1290" t="s">
        <v>32</v>
      </c>
      <c r="N24" s="1290" t="s">
        <v>32</v>
      </c>
      <c r="O24" s="1290" t="s">
        <v>32</v>
      </c>
      <c r="P24" s="1290" t="s">
        <v>32</v>
      </c>
      <c r="Q24" s="1290"/>
      <c r="R24" s="1290"/>
      <c r="S24" s="1290" t="s">
        <v>32</v>
      </c>
      <c r="T24" s="1290" t="s">
        <v>32</v>
      </c>
      <c r="U24" s="1290" t="s">
        <v>431</v>
      </c>
      <c r="V24" s="4311" t="s">
        <v>32</v>
      </c>
      <c r="W24" s="4311" t="s">
        <v>32</v>
      </c>
      <c r="X24" s="863"/>
      <c r="Y24" s="864"/>
      <c r="Z24" s="863" t="s">
        <v>32</v>
      </c>
      <c r="AA24" s="863" t="s">
        <v>32</v>
      </c>
      <c r="AB24" s="863" t="s">
        <v>32</v>
      </c>
      <c r="AC24" s="863" t="s">
        <v>32</v>
      </c>
      <c r="AD24" s="863" t="s">
        <v>32</v>
      </c>
      <c r="AE24" s="863"/>
      <c r="AF24" s="863"/>
      <c r="AG24" s="867"/>
    </row>
    <row r="25" spans="1:40" ht="22.35" customHeight="1" x14ac:dyDescent="0.2">
      <c r="A25" s="372"/>
      <c r="B25" s="362"/>
      <c r="C25" s="362"/>
      <c r="D25" s="362"/>
      <c r="E25" s="362"/>
      <c r="F25" s="362"/>
      <c r="G25" s="362"/>
      <c r="H25" s="362"/>
      <c r="I25" s="362"/>
      <c r="J25" s="362"/>
      <c r="K25" s="362"/>
      <c r="L25" s="190"/>
      <c r="M25" s="190"/>
      <c r="N25" s="190">
        <v>79</v>
      </c>
      <c r="O25" s="190"/>
      <c r="P25" s="190" t="s">
        <v>128</v>
      </c>
      <c r="Q25" s="190"/>
      <c r="R25" s="190"/>
      <c r="S25" s="190" t="s">
        <v>0</v>
      </c>
      <c r="T25" s="190"/>
      <c r="U25" s="190"/>
      <c r="V25" s="190" t="s">
        <v>0</v>
      </c>
      <c r="W25" s="190">
        <v>5</v>
      </c>
      <c r="X25" s="190"/>
      <c r="Y25" s="190" t="s">
        <v>0</v>
      </c>
      <c r="Z25" s="190"/>
      <c r="AB25" s="4162" t="s">
        <v>32</v>
      </c>
    </row>
    <row r="26" spans="1:40" ht="22.35" customHeight="1" x14ac:dyDescent="0.2">
      <c r="A26" s="373"/>
      <c r="B26" s="190"/>
      <c r="C26" s="190"/>
      <c r="D26" s="190"/>
      <c r="E26" s="190"/>
      <c r="F26" s="190"/>
      <c r="G26" s="190"/>
      <c r="H26" s="190"/>
      <c r="I26" s="190"/>
      <c r="J26" s="190"/>
      <c r="K26" s="190"/>
      <c r="L26" s="190"/>
      <c r="M26" s="190"/>
      <c r="N26" s="190"/>
      <c r="O26" s="342"/>
      <c r="P26" s="207" t="s">
        <v>500</v>
      </c>
      <c r="Q26" s="190"/>
      <c r="R26" s="190"/>
      <c r="S26" s="207" t="s">
        <v>0</v>
      </c>
      <c r="T26" s="190" t="s">
        <v>0</v>
      </c>
      <c r="U26" s="190" t="s">
        <v>0</v>
      </c>
      <c r="V26" s="190" t="s">
        <v>0</v>
      </c>
      <c r="W26" s="220" t="s">
        <v>0</v>
      </c>
      <c r="X26" s="190" t="s">
        <v>0</v>
      </c>
      <c r="Y26" s="190">
        <v>23</v>
      </c>
      <c r="Z26" s="190"/>
      <c r="AA26" s="72"/>
      <c r="AB26" s="72"/>
      <c r="AC26" s="72"/>
      <c r="AE26" t="s">
        <v>57</v>
      </c>
    </row>
    <row r="27" spans="1:40" ht="22.35" customHeight="1" x14ac:dyDescent="0.2">
      <c r="A27" s="373"/>
      <c r="B27" s="190"/>
      <c r="C27" s="190"/>
      <c r="D27" s="190"/>
      <c r="E27" s="190"/>
      <c r="F27" s="190"/>
      <c r="G27" s="190"/>
      <c r="H27" s="190"/>
      <c r="I27" s="190"/>
      <c r="J27" s="190"/>
      <c r="K27" s="190"/>
      <c r="W27" s="220" t="s">
        <v>0</v>
      </c>
      <c r="Y27" s="190"/>
    </row>
    <row r="28" spans="1:40" ht="22.35" customHeight="1" x14ac:dyDescent="0.2">
      <c r="A28" s="373"/>
      <c r="B28" s="190"/>
      <c r="C28" s="190"/>
      <c r="D28" s="190"/>
      <c r="E28" s="190"/>
      <c r="F28" s="190"/>
      <c r="G28" s="190"/>
      <c r="H28" s="190"/>
      <c r="I28" s="190"/>
      <c r="J28" s="190"/>
      <c r="K28" s="190"/>
      <c r="T28" t="s">
        <v>0</v>
      </c>
      <c r="U28" t="s">
        <v>0</v>
      </c>
      <c r="V28" t="s">
        <v>0</v>
      </c>
      <c r="W28" t="s">
        <v>0</v>
      </c>
      <c r="Y28" s="190"/>
    </row>
    <row r="29" spans="1:40" ht="22.35" customHeight="1" x14ac:dyDescent="0.2">
      <c r="A29" s="373"/>
      <c r="B29" s="190"/>
      <c r="C29" s="190"/>
      <c r="D29" s="190"/>
      <c r="E29" s="190"/>
      <c r="F29" s="190"/>
      <c r="G29" s="190"/>
      <c r="H29" s="190"/>
      <c r="I29" s="190"/>
      <c r="J29" s="190"/>
      <c r="K29" s="190"/>
      <c r="T29" t="s">
        <v>0</v>
      </c>
      <c r="U29" t="s">
        <v>0</v>
      </c>
      <c r="W29" s="220" t="s">
        <v>0</v>
      </c>
      <c r="Y29" s="190"/>
    </row>
    <row r="30" spans="1:40" ht="12.75" customHeight="1" thickBot="1" x14ac:dyDescent="0.25">
      <c r="A30" s="158" t="s">
        <v>61</v>
      </c>
      <c r="D30" s="72"/>
      <c r="E30" s="72"/>
      <c r="F30" s="72"/>
      <c r="G30" s="72"/>
      <c r="H30" s="72"/>
      <c r="I30" s="72"/>
      <c r="J30" s="72"/>
      <c r="K30" s="72"/>
      <c r="L30" s="72"/>
      <c r="M30" s="72"/>
      <c r="N30" s="72"/>
      <c r="O30" s="72"/>
      <c r="P30" s="72"/>
      <c r="Q30" s="72"/>
      <c r="R30" s="72"/>
      <c r="S30" s="72"/>
      <c r="T30" s="72"/>
      <c r="U30" s="72"/>
      <c r="V30" s="72" t="s">
        <v>0</v>
      </c>
      <c r="W30" s="220" t="s">
        <v>0</v>
      </c>
      <c r="X30" s="72"/>
      <c r="Y30" s="72"/>
      <c r="Z30" s="72"/>
      <c r="AA30" s="72"/>
      <c r="AB30" s="72"/>
      <c r="AC30" s="72"/>
      <c r="AD30" s="72"/>
      <c r="AE30" s="72"/>
      <c r="AF30" s="72"/>
      <c r="AG30" s="72"/>
      <c r="AK30" s="1"/>
    </row>
    <row r="31" spans="1:40" ht="28.5" customHeight="1" x14ac:dyDescent="0.2">
      <c r="A31" s="4312" t="s">
        <v>62</v>
      </c>
      <c r="B31" s="4313"/>
      <c r="C31" s="4313"/>
      <c r="D31" s="4314" t="s">
        <v>63</v>
      </c>
      <c r="E31" s="4315"/>
      <c r="F31" s="4315"/>
      <c r="G31" s="4315"/>
      <c r="H31" s="4315"/>
      <c r="I31" s="4315"/>
      <c r="J31" s="4315"/>
      <c r="K31" s="4315"/>
      <c r="L31" s="4315"/>
      <c r="M31" s="4316" t="s">
        <v>65</v>
      </c>
      <c r="N31" s="4315"/>
      <c r="O31" s="4315"/>
      <c r="P31" s="4315"/>
      <c r="Q31" s="4315"/>
      <c r="R31" s="4315"/>
      <c r="S31" s="4317"/>
      <c r="T31" s="4957" t="s">
        <v>66</v>
      </c>
      <c r="U31" s="4958"/>
      <c r="V31" s="4958"/>
      <c r="W31" s="4958"/>
      <c r="X31" s="4958"/>
      <c r="Y31" s="4958"/>
      <c r="Z31" s="4959"/>
      <c r="AA31" s="4318" t="s">
        <v>67</v>
      </c>
      <c r="AB31" s="4319"/>
      <c r="AC31" s="4319"/>
      <c r="AD31" s="4319"/>
      <c r="AE31" s="4319"/>
      <c r="AF31" s="4319"/>
      <c r="AG31" s="4320"/>
      <c r="AK31" s="1"/>
    </row>
    <row r="32" spans="1:40" ht="22.35" customHeight="1" x14ac:dyDescent="0.2">
      <c r="A32" s="3576" t="s">
        <v>68</v>
      </c>
      <c r="B32" s="4027"/>
      <c r="C32" s="4027"/>
      <c r="D32" s="3577" t="s">
        <v>69</v>
      </c>
      <c r="E32" s="3578"/>
      <c r="F32" s="3510"/>
      <c r="G32" s="3510"/>
      <c r="H32" s="3510"/>
      <c r="I32" s="3510"/>
      <c r="J32" s="3510"/>
      <c r="K32" s="3510"/>
      <c r="L32" s="3518"/>
      <c r="M32" s="4102" t="s">
        <v>70</v>
      </c>
      <c r="N32" s="4027"/>
      <c r="O32" s="4321"/>
      <c r="P32" s="4027"/>
      <c r="Q32" s="4027"/>
      <c r="R32" s="4027"/>
      <c r="S32" s="4322"/>
      <c r="T32" s="3577" t="s">
        <v>71</v>
      </c>
      <c r="U32" s="3510"/>
      <c r="V32" s="3578"/>
      <c r="W32" s="3510"/>
      <c r="X32" s="3510"/>
      <c r="Y32" s="3510"/>
      <c r="Z32" s="3518"/>
      <c r="AA32" s="159" t="s">
        <v>72</v>
      </c>
      <c r="AD32" s="100"/>
      <c r="AG32" s="103"/>
      <c r="AK32" s="1"/>
    </row>
    <row r="33" spans="1:38" ht="22.35" customHeight="1" x14ac:dyDescent="0.2">
      <c r="A33" s="3582" t="s">
        <v>73</v>
      </c>
      <c r="B33" s="3510"/>
      <c r="C33" s="3510"/>
      <c r="D33" s="3583"/>
      <c r="E33" s="3510"/>
      <c r="F33" s="3510"/>
      <c r="G33" s="3518"/>
      <c r="H33" s="3525" t="s">
        <v>74</v>
      </c>
      <c r="I33" s="3510"/>
      <c r="J33" s="3510"/>
      <c r="K33" s="3510"/>
      <c r="L33" s="3510"/>
      <c r="M33" s="3584"/>
      <c r="N33" s="3510"/>
      <c r="O33" s="3510"/>
      <c r="P33" s="3510"/>
      <c r="Q33" s="3510"/>
      <c r="R33" s="3510"/>
      <c r="S33" s="3510"/>
      <c r="T33" s="3583"/>
      <c r="U33" s="158" t="s">
        <v>75</v>
      </c>
      <c r="AA33" s="4321"/>
      <c r="AB33" s="4027"/>
      <c r="AC33" s="4027"/>
      <c r="AD33" s="4027"/>
      <c r="AE33" s="4027"/>
      <c r="AF33" s="4027"/>
      <c r="AG33" s="4105"/>
      <c r="AK33" s="64"/>
    </row>
    <row r="34" spans="1:38" ht="22.35" customHeight="1" thickBot="1" x14ac:dyDescent="0.25">
      <c r="A34" s="3586" t="s">
        <v>76</v>
      </c>
      <c r="B34" s="3587"/>
      <c r="C34" s="3587"/>
      <c r="D34" s="3588"/>
      <c r="E34" s="3587"/>
      <c r="F34" s="3587"/>
      <c r="G34" s="3589"/>
      <c r="H34" s="3590" t="s">
        <v>77</v>
      </c>
      <c r="I34" s="3589"/>
      <c r="J34" s="3587"/>
      <c r="K34" s="3587"/>
      <c r="L34" s="3587"/>
      <c r="M34" s="3591"/>
      <c r="N34" s="3587"/>
      <c r="O34" s="3587"/>
      <c r="P34" s="3587"/>
      <c r="Q34" s="3592"/>
      <c r="R34" s="3592"/>
      <c r="S34" s="3592"/>
      <c r="T34" s="3588"/>
      <c r="U34" s="3593" t="s">
        <v>78</v>
      </c>
      <c r="V34" s="3587"/>
      <c r="W34" s="3587"/>
      <c r="X34" s="3587"/>
      <c r="Y34" s="3587"/>
      <c r="Z34" s="3587"/>
      <c r="AA34" s="3587"/>
      <c r="AB34" s="3587"/>
      <c r="AC34" s="3587"/>
      <c r="AD34" s="3587"/>
      <c r="AE34" s="3587"/>
      <c r="AF34" s="3587"/>
      <c r="AG34" s="3594"/>
      <c r="AK34" s="1"/>
    </row>
    <row r="35" spans="1:38" ht="22.35" customHeight="1" x14ac:dyDescent="0.2">
      <c r="B35" s="104" t="s">
        <v>27</v>
      </c>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2"/>
      <c r="AF35" s="72"/>
      <c r="AG35" s="72"/>
      <c r="AH35" s="1"/>
    </row>
    <row r="36" spans="1:38" ht="22.35" customHeight="1" thickBot="1" x14ac:dyDescent="0.25">
      <c r="A36" s="4106" t="s">
        <v>28</v>
      </c>
      <c r="B36" s="4107" t="s">
        <v>29</v>
      </c>
      <c r="C36" s="3529">
        <v>1</v>
      </c>
      <c r="D36" s="3529">
        <v>2</v>
      </c>
      <c r="E36" s="3528">
        <v>3</v>
      </c>
      <c r="F36" s="3528">
        <v>4</v>
      </c>
      <c r="G36" s="3528">
        <v>5</v>
      </c>
      <c r="H36" s="3529">
        <v>6</v>
      </c>
      <c r="I36" s="3529">
        <v>7</v>
      </c>
      <c r="J36" s="3529">
        <v>8</v>
      </c>
      <c r="K36" s="3529">
        <v>9</v>
      </c>
      <c r="L36" s="3529">
        <v>10</v>
      </c>
      <c r="M36" s="3528">
        <v>11</v>
      </c>
      <c r="N36" s="3528">
        <v>12</v>
      </c>
      <c r="O36" s="3528">
        <v>13</v>
      </c>
      <c r="P36" s="3528">
        <v>14</v>
      </c>
      <c r="Q36" s="3529">
        <v>15</v>
      </c>
      <c r="R36" s="3529">
        <v>16</v>
      </c>
      <c r="S36" s="3528">
        <v>17</v>
      </c>
      <c r="T36" s="3528">
        <v>18</v>
      </c>
      <c r="U36" s="3528">
        <v>19</v>
      </c>
      <c r="V36" s="3528">
        <v>20</v>
      </c>
      <c r="W36" s="3528">
        <v>21</v>
      </c>
      <c r="X36" s="3529">
        <v>22</v>
      </c>
      <c r="Y36" s="3529">
        <v>23</v>
      </c>
      <c r="Z36" s="3528">
        <v>24</v>
      </c>
      <c r="AA36" s="3528">
        <v>25</v>
      </c>
      <c r="AB36" s="3528">
        <v>26</v>
      </c>
      <c r="AC36" s="3528">
        <v>27</v>
      </c>
      <c r="AD36" s="3528">
        <v>28</v>
      </c>
      <c r="AE36" s="3529">
        <v>29</v>
      </c>
      <c r="AF36" s="3529">
        <v>30</v>
      </c>
      <c r="AG36" s="3530"/>
      <c r="AH36" s="173"/>
      <c r="AI36" s="174"/>
      <c r="AL36" t="s">
        <v>0</v>
      </c>
    </row>
    <row r="37" spans="1:38" ht="22.35" customHeight="1" x14ac:dyDescent="0.2">
      <c r="A37" s="4323">
        <v>1</v>
      </c>
      <c r="B37" s="4324" t="s">
        <v>79</v>
      </c>
      <c r="C37" s="4325"/>
      <c r="D37" s="4302"/>
      <c r="E37" s="4325" t="s">
        <v>36</v>
      </c>
      <c r="F37" s="4325" t="s">
        <v>36</v>
      </c>
      <c r="G37" s="4325" t="s">
        <v>36</v>
      </c>
      <c r="H37" s="4325" t="s">
        <v>36</v>
      </c>
      <c r="I37" s="4325" t="s">
        <v>36</v>
      </c>
      <c r="J37" s="4302"/>
      <c r="K37" s="4325"/>
      <c r="L37" s="4326"/>
      <c r="M37" s="4326">
        <v>5</v>
      </c>
      <c r="N37" s="4326">
        <v>5</v>
      </c>
      <c r="O37" s="4326">
        <v>5</v>
      </c>
      <c r="P37" s="4326">
        <v>5</v>
      </c>
      <c r="Q37" s="4326"/>
      <c r="R37" s="4326"/>
      <c r="S37" s="4326">
        <v>10</v>
      </c>
      <c r="T37" s="4326">
        <v>10</v>
      </c>
      <c r="U37" s="4326">
        <v>10</v>
      </c>
      <c r="V37" s="4326">
        <v>10</v>
      </c>
      <c r="W37" s="4326">
        <v>10</v>
      </c>
      <c r="X37" s="4326" t="s">
        <v>81</v>
      </c>
      <c r="Y37" s="4326" t="s">
        <v>81</v>
      </c>
      <c r="Z37" s="4325" t="s">
        <v>36</v>
      </c>
      <c r="AA37" s="4325" t="s">
        <v>36</v>
      </c>
      <c r="AB37" s="4327" t="s">
        <v>36</v>
      </c>
      <c r="AC37" s="4327" t="s">
        <v>36</v>
      </c>
      <c r="AD37" s="4327" t="s">
        <v>36</v>
      </c>
      <c r="AE37" s="4325" t="s">
        <v>57</v>
      </c>
      <c r="AF37" s="4325" t="s">
        <v>57</v>
      </c>
      <c r="AG37" s="4328"/>
      <c r="AH37" s="178"/>
      <c r="AI37" s="179"/>
    </row>
    <row r="38" spans="1:38" ht="22.35" customHeight="1" x14ac:dyDescent="0.2">
      <c r="A38" s="3601">
        <v>6</v>
      </c>
      <c r="B38" s="1182" t="s">
        <v>84</v>
      </c>
      <c r="C38" s="3602"/>
      <c r="D38" s="3602"/>
      <c r="E38" s="3602">
        <v>4</v>
      </c>
      <c r="F38" s="3602">
        <v>4</v>
      </c>
      <c r="G38" s="3602" t="s">
        <v>343</v>
      </c>
      <c r="H38" s="3535">
        <v>4</v>
      </c>
      <c r="I38" s="3535">
        <v>4</v>
      </c>
      <c r="J38" s="3535"/>
      <c r="K38" s="3535"/>
      <c r="L38" s="3535">
        <v>3</v>
      </c>
      <c r="M38" s="3668">
        <v>3</v>
      </c>
      <c r="N38" s="3668">
        <v>3</v>
      </c>
      <c r="O38" s="3668">
        <v>3</v>
      </c>
      <c r="P38" s="3668">
        <v>3</v>
      </c>
      <c r="Q38" s="3535"/>
      <c r="R38" s="3535"/>
      <c r="S38" s="3535">
        <v>11</v>
      </c>
      <c r="T38" s="3535">
        <v>11</v>
      </c>
      <c r="U38" s="3535">
        <v>11</v>
      </c>
      <c r="V38" s="3535">
        <v>11</v>
      </c>
      <c r="W38" s="3535">
        <v>11</v>
      </c>
      <c r="X38" s="3535" t="s">
        <v>94</v>
      </c>
      <c r="Y38" s="3535" t="s">
        <v>94</v>
      </c>
      <c r="Z38" s="3535" t="s">
        <v>36</v>
      </c>
      <c r="AA38" s="3535" t="s">
        <v>36</v>
      </c>
      <c r="AB38" s="3535" t="s">
        <v>36</v>
      </c>
      <c r="AC38" s="3535" t="s">
        <v>36</v>
      </c>
      <c r="AD38" s="3535" t="s">
        <v>36</v>
      </c>
      <c r="AE38" s="3535" t="s">
        <v>83</v>
      </c>
      <c r="AF38" s="3535" t="s">
        <v>83</v>
      </c>
      <c r="AG38" s="3606"/>
      <c r="AH38" s="178"/>
      <c r="AI38" s="179"/>
    </row>
    <row r="39" spans="1:38" ht="22.35" customHeight="1" thickBot="1" x14ac:dyDescent="0.25">
      <c r="A39" s="3607">
        <v>11</v>
      </c>
      <c r="B39" s="3608" t="s">
        <v>85</v>
      </c>
      <c r="C39" s="3535"/>
      <c r="D39" s="3535"/>
      <c r="E39" s="3616" t="s">
        <v>32</v>
      </c>
      <c r="F39" s="3616" t="s">
        <v>32</v>
      </c>
      <c r="G39" s="3602" t="s">
        <v>32</v>
      </c>
      <c r="H39" s="3616" t="s">
        <v>0</v>
      </c>
      <c r="I39" s="3535"/>
      <c r="J39" s="3535"/>
      <c r="K39" s="3535"/>
      <c r="L39" s="3528">
        <v>1</v>
      </c>
      <c r="M39" s="3528">
        <v>1</v>
      </c>
      <c r="N39" s="3528">
        <v>1</v>
      </c>
      <c r="O39" s="3528">
        <v>1</v>
      </c>
      <c r="P39" s="3528">
        <v>1</v>
      </c>
      <c r="Q39" s="3535"/>
      <c r="R39" s="3535"/>
      <c r="S39" s="3528">
        <v>9</v>
      </c>
      <c r="T39" s="3528">
        <v>9</v>
      </c>
      <c r="U39" s="3528">
        <v>9</v>
      </c>
      <c r="V39" s="3528">
        <v>9</v>
      </c>
      <c r="W39" s="3528">
        <v>9</v>
      </c>
      <c r="X39" s="3528" t="s">
        <v>80</v>
      </c>
      <c r="Y39" s="3528" t="s">
        <v>81</v>
      </c>
      <c r="Z39" s="3616" t="s">
        <v>36</v>
      </c>
      <c r="AA39" s="3616" t="s">
        <v>36</v>
      </c>
      <c r="AB39" s="3616" t="s">
        <v>36</v>
      </c>
      <c r="AC39" s="3616" t="s">
        <v>36</v>
      </c>
      <c r="AD39" s="3616" t="s">
        <v>36</v>
      </c>
      <c r="AE39" s="3528" t="s">
        <v>82</v>
      </c>
      <c r="AF39" s="3528" t="s">
        <v>83</v>
      </c>
      <c r="AG39" s="3528"/>
      <c r="AH39" s="178"/>
      <c r="AI39" s="179"/>
    </row>
    <row r="40" spans="1:38" ht="22.35" customHeight="1" x14ac:dyDescent="0.2">
      <c r="A40" s="4323">
        <v>2</v>
      </c>
      <c r="B40" s="172" t="s">
        <v>88</v>
      </c>
      <c r="C40" s="4329"/>
      <c r="D40" s="4329"/>
      <c r="E40" s="4329">
        <v>5</v>
      </c>
      <c r="F40" s="4329">
        <v>5</v>
      </c>
      <c r="G40" s="4329">
        <v>5</v>
      </c>
      <c r="H40" s="4325" t="s">
        <v>90</v>
      </c>
      <c r="I40" s="4325" t="s">
        <v>90</v>
      </c>
      <c r="J40" s="4302"/>
      <c r="K40" s="4302"/>
      <c r="L40" s="4325">
        <v>10</v>
      </c>
      <c r="M40" s="4325">
        <v>10</v>
      </c>
      <c r="N40" s="4325">
        <v>10</v>
      </c>
      <c r="O40" s="4327">
        <v>10</v>
      </c>
      <c r="P40" s="4325">
        <v>10</v>
      </c>
      <c r="Q40" s="4327" t="s">
        <v>81</v>
      </c>
      <c r="R40" s="4327" t="s">
        <v>81</v>
      </c>
      <c r="S40" s="4302" t="s">
        <v>36</v>
      </c>
      <c r="T40" s="4327" t="s">
        <v>36</v>
      </c>
      <c r="U40" s="4327" t="s">
        <v>36</v>
      </c>
      <c r="V40" s="4327" t="s">
        <v>36</v>
      </c>
      <c r="W40" s="4327" t="s">
        <v>36</v>
      </c>
      <c r="X40" s="4330" t="s">
        <v>57</v>
      </c>
      <c r="Y40" s="4330" t="s">
        <v>374</v>
      </c>
      <c r="Z40" s="4331">
        <v>7</v>
      </c>
      <c r="AA40" s="4331">
        <v>7</v>
      </c>
      <c r="AB40" s="4331">
        <v>7</v>
      </c>
      <c r="AC40" s="4331">
        <v>7</v>
      </c>
      <c r="AD40" s="4331">
        <v>7</v>
      </c>
      <c r="AE40" s="4325"/>
      <c r="AF40" s="4325"/>
      <c r="AG40" s="4328"/>
      <c r="AH40" s="178"/>
      <c r="AI40" s="179"/>
    </row>
    <row r="41" spans="1:38" ht="22.35" customHeight="1" x14ac:dyDescent="0.2">
      <c r="A41" s="3601">
        <v>7</v>
      </c>
      <c r="B41" s="3542" t="s">
        <v>91</v>
      </c>
      <c r="C41" s="3463"/>
      <c r="D41" s="3463"/>
      <c r="E41" s="3539">
        <v>3</v>
      </c>
      <c r="F41" s="3539">
        <v>3</v>
      </c>
      <c r="G41" s="3616">
        <v>3</v>
      </c>
      <c r="H41" s="3616">
        <v>3</v>
      </c>
      <c r="I41" s="3538">
        <v>3</v>
      </c>
      <c r="J41" s="3550"/>
      <c r="K41" s="3550"/>
      <c r="L41" s="3550">
        <v>11</v>
      </c>
      <c r="M41" s="3550">
        <v>11</v>
      </c>
      <c r="N41" s="3550">
        <v>11</v>
      </c>
      <c r="O41" s="3550">
        <v>11</v>
      </c>
      <c r="P41" s="3539">
        <v>11</v>
      </c>
      <c r="Q41" s="3539" t="s">
        <v>94</v>
      </c>
      <c r="R41" s="3539" t="s">
        <v>94</v>
      </c>
      <c r="S41" s="3539" t="s">
        <v>36</v>
      </c>
      <c r="T41" s="3539" t="s">
        <v>36</v>
      </c>
      <c r="U41" s="3571" t="s">
        <v>36</v>
      </c>
      <c r="V41" s="3571" t="s">
        <v>36</v>
      </c>
      <c r="W41" s="3571" t="s">
        <v>36</v>
      </c>
      <c r="X41" s="3616" t="s">
        <v>83</v>
      </c>
      <c r="Y41" s="3616" t="s">
        <v>83</v>
      </c>
      <c r="Z41" s="3616">
        <v>8</v>
      </c>
      <c r="AA41" s="3616">
        <v>8</v>
      </c>
      <c r="AB41" s="3616" t="s">
        <v>392</v>
      </c>
      <c r="AC41" s="3616">
        <v>8</v>
      </c>
      <c r="AD41" s="3616">
        <v>8</v>
      </c>
      <c r="AE41" s="3616"/>
      <c r="AF41" s="3616"/>
      <c r="AG41" s="3617"/>
      <c r="AH41" s="178"/>
      <c r="AI41" s="179"/>
    </row>
    <row r="42" spans="1:38" ht="22.35" customHeight="1" thickBot="1" x14ac:dyDescent="0.25">
      <c r="A42" s="3607">
        <v>12</v>
      </c>
      <c r="B42" s="634" t="s">
        <v>93</v>
      </c>
      <c r="C42" s="3611"/>
      <c r="D42" s="3611"/>
      <c r="E42" s="3611">
        <v>1</v>
      </c>
      <c r="F42" s="3611">
        <v>1</v>
      </c>
      <c r="G42" s="3611">
        <v>1</v>
      </c>
      <c r="H42" s="3611">
        <v>1</v>
      </c>
      <c r="I42" s="3610">
        <v>1</v>
      </c>
      <c r="J42" s="3610"/>
      <c r="K42" s="3528"/>
      <c r="L42" s="3610">
        <v>9</v>
      </c>
      <c r="M42" s="3610">
        <v>9</v>
      </c>
      <c r="N42" s="3610">
        <v>9</v>
      </c>
      <c r="O42" s="3610">
        <v>9</v>
      </c>
      <c r="P42" s="3610">
        <v>9</v>
      </c>
      <c r="Q42" s="3610" t="s">
        <v>80</v>
      </c>
      <c r="R42" s="3610" t="s">
        <v>81</v>
      </c>
      <c r="S42" s="3629" t="s">
        <v>36</v>
      </c>
      <c r="T42" s="3610" t="s">
        <v>36</v>
      </c>
      <c r="U42" s="3614" t="s">
        <v>36</v>
      </c>
      <c r="V42" s="3614" t="s">
        <v>36</v>
      </c>
      <c r="W42" s="3629" t="s">
        <v>36</v>
      </c>
      <c r="X42" s="3610" t="s">
        <v>82</v>
      </c>
      <c r="Y42" s="3610" t="s">
        <v>83</v>
      </c>
      <c r="Z42" s="3610">
        <v>6</v>
      </c>
      <c r="AA42" s="3610">
        <v>6</v>
      </c>
      <c r="AB42" s="3610">
        <v>6</v>
      </c>
      <c r="AC42" s="3528">
        <v>6</v>
      </c>
      <c r="AD42" s="3528">
        <v>6</v>
      </c>
      <c r="AE42" s="3528"/>
      <c r="AF42" s="3528"/>
      <c r="AG42" s="3530"/>
      <c r="AH42" s="178"/>
      <c r="AI42" s="179"/>
    </row>
    <row r="43" spans="1:38" ht="22.35" customHeight="1" thickBot="1" x14ac:dyDescent="0.25">
      <c r="A43" s="4323">
        <v>3</v>
      </c>
      <c r="B43" s="4332" t="s">
        <v>96</v>
      </c>
      <c r="C43" s="4302"/>
      <c r="D43" s="4327"/>
      <c r="E43" s="4330">
        <v>10</v>
      </c>
      <c r="F43" s="4330">
        <v>10</v>
      </c>
      <c r="G43" s="4330" t="s">
        <v>466</v>
      </c>
      <c r="H43" s="4331">
        <v>10</v>
      </c>
      <c r="I43" s="4331">
        <v>10</v>
      </c>
      <c r="J43" s="4327" t="s">
        <v>81</v>
      </c>
      <c r="K43" s="4327" t="s">
        <v>81</v>
      </c>
      <c r="L43" s="4327" t="s">
        <v>36</v>
      </c>
      <c r="M43" s="4327" t="s">
        <v>36</v>
      </c>
      <c r="N43" s="4327" t="s">
        <v>36</v>
      </c>
      <c r="O43" s="4327" t="s">
        <v>36</v>
      </c>
      <c r="P43" s="4327" t="s">
        <v>36</v>
      </c>
      <c r="Q43" s="4327" t="s">
        <v>57</v>
      </c>
      <c r="R43" s="4325" t="s">
        <v>57</v>
      </c>
      <c r="S43" s="4325">
        <v>7</v>
      </c>
      <c r="T43" s="4325">
        <v>7</v>
      </c>
      <c r="U43" s="4325">
        <v>7</v>
      </c>
      <c r="V43" s="4327">
        <v>7</v>
      </c>
      <c r="W43" s="4327">
        <v>7</v>
      </c>
      <c r="X43" s="4302"/>
      <c r="Y43" s="4325"/>
      <c r="Z43" s="4330">
        <v>4</v>
      </c>
      <c r="AA43" s="4330" t="s">
        <v>343</v>
      </c>
      <c r="AB43" s="4331">
        <v>4</v>
      </c>
      <c r="AC43" s="4331">
        <v>4</v>
      </c>
      <c r="AD43" s="4331">
        <v>4</v>
      </c>
      <c r="AE43" s="4325"/>
      <c r="AF43" s="4325"/>
      <c r="AG43" s="4328"/>
      <c r="AH43" s="178"/>
      <c r="AI43" s="179"/>
    </row>
    <row r="44" spans="1:38" ht="22.35" customHeight="1" thickBot="1" x14ac:dyDescent="0.25">
      <c r="A44" s="3601">
        <v>8</v>
      </c>
      <c r="B44" s="3542" t="s">
        <v>97</v>
      </c>
      <c r="C44" s="3540"/>
      <c r="D44" s="3540"/>
      <c r="E44" s="3540">
        <v>11</v>
      </c>
      <c r="F44" s="3540">
        <v>11</v>
      </c>
      <c r="G44" s="3539">
        <v>11</v>
      </c>
      <c r="H44" s="3539">
        <v>11</v>
      </c>
      <c r="I44" s="3616">
        <v>11</v>
      </c>
      <c r="J44" s="3538" t="s">
        <v>94</v>
      </c>
      <c r="K44" s="3535" t="s">
        <v>94</v>
      </c>
      <c r="L44" s="3535" t="s">
        <v>36</v>
      </c>
      <c r="M44" s="3535" t="s">
        <v>36</v>
      </c>
      <c r="N44" s="3539" t="s">
        <v>36</v>
      </c>
      <c r="O44" s="3550" t="s">
        <v>36</v>
      </c>
      <c r="P44" s="3550" t="s">
        <v>36</v>
      </c>
      <c r="Q44" s="3550" t="s">
        <v>83</v>
      </c>
      <c r="R44" s="3550" t="s">
        <v>83</v>
      </c>
      <c r="S44" s="3550">
        <v>8</v>
      </c>
      <c r="T44" s="3550">
        <v>8</v>
      </c>
      <c r="U44" s="3550">
        <v>8</v>
      </c>
      <c r="V44" s="3616">
        <v>8</v>
      </c>
      <c r="W44" s="4327">
        <v>8</v>
      </c>
      <c r="X44" s="3538"/>
      <c r="Y44" s="3616"/>
      <c r="Z44" s="3616" t="s">
        <v>36</v>
      </c>
      <c r="AA44" s="3616" t="s">
        <v>36</v>
      </c>
      <c r="AB44" s="3616" t="s">
        <v>36</v>
      </c>
      <c r="AC44" s="3616" t="s">
        <v>36</v>
      </c>
      <c r="AD44" s="3539" t="s">
        <v>36</v>
      </c>
      <c r="AE44" s="3539"/>
      <c r="AF44" s="3540"/>
      <c r="AG44" s="3617"/>
      <c r="AH44" s="178"/>
      <c r="AI44" s="179"/>
    </row>
    <row r="45" spans="1:38" ht="22.35" customHeight="1" thickBot="1" x14ac:dyDescent="0.25">
      <c r="A45" s="3607">
        <v>13</v>
      </c>
      <c r="B45" s="3608" t="s">
        <v>98</v>
      </c>
      <c r="C45" s="4333"/>
      <c r="D45" s="4333"/>
      <c r="E45" s="4334">
        <v>9</v>
      </c>
      <c r="F45" s="4334">
        <v>9</v>
      </c>
      <c r="G45" s="4334">
        <v>9</v>
      </c>
      <c r="H45" s="4334">
        <v>9</v>
      </c>
      <c r="I45" s="4334">
        <v>9</v>
      </c>
      <c r="J45" s="4333" t="s">
        <v>80</v>
      </c>
      <c r="K45" s="4334" t="s">
        <v>81</v>
      </c>
      <c r="L45" s="4335" t="s">
        <v>36</v>
      </c>
      <c r="M45" s="4334" t="s">
        <v>36</v>
      </c>
      <c r="N45" s="4335" t="s">
        <v>36</v>
      </c>
      <c r="O45" s="4335" t="s">
        <v>36</v>
      </c>
      <c r="P45" s="4335" t="s">
        <v>36</v>
      </c>
      <c r="Q45" s="4334" t="s">
        <v>82</v>
      </c>
      <c r="R45" s="4334" t="s">
        <v>83</v>
      </c>
      <c r="S45" s="4334">
        <v>6</v>
      </c>
      <c r="T45" s="4334">
        <v>6</v>
      </c>
      <c r="U45" s="4336">
        <v>6</v>
      </c>
      <c r="V45" s="4334">
        <v>6</v>
      </c>
      <c r="W45" s="4337">
        <v>9</v>
      </c>
      <c r="X45" s="4334"/>
      <c r="Y45" s="4333"/>
      <c r="Z45" s="4334" t="s">
        <v>36</v>
      </c>
      <c r="AA45" s="4334" t="s">
        <v>36</v>
      </c>
      <c r="AB45" s="4334" t="s">
        <v>36</v>
      </c>
      <c r="AC45" s="4334" t="s">
        <v>36</v>
      </c>
      <c r="AD45" s="4334" t="s">
        <v>36</v>
      </c>
      <c r="AE45" s="3528"/>
      <c r="AF45" s="3610"/>
      <c r="AG45" s="3615"/>
      <c r="AH45" s="178"/>
      <c r="AI45" s="179"/>
    </row>
    <row r="46" spans="1:38" ht="22.35" customHeight="1" thickBot="1" x14ac:dyDescent="0.25">
      <c r="A46" s="4323">
        <v>4</v>
      </c>
      <c r="B46" s="4324" t="s">
        <v>465</v>
      </c>
      <c r="C46" s="4325" t="s">
        <v>81</v>
      </c>
      <c r="D46" s="4327" t="s">
        <v>81</v>
      </c>
      <c r="E46" s="4325" t="s">
        <v>36</v>
      </c>
      <c r="F46" s="4302" t="s">
        <v>36</v>
      </c>
      <c r="G46" s="4302" t="s">
        <v>36</v>
      </c>
      <c r="H46" s="4302" t="s">
        <v>36</v>
      </c>
      <c r="I46" s="4302" t="s">
        <v>36</v>
      </c>
      <c r="J46" s="4302" t="s">
        <v>57</v>
      </c>
      <c r="K46" s="4302" t="s">
        <v>57</v>
      </c>
      <c r="L46" s="4302">
        <v>7</v>
      </c>
      <c r="M46" s="4302">
        <v>7</v>
      </c>
      <c r="N46" s="4302">
        <v>7</v>
      </c>
      <c r="O46" s="4302">
        <v>7</v>
      </c>
      <c r="P46" s="4302">
        <v>7</v>
      </c>
      <c r="Q46" s="4302"/>
      <c r="R46" s="4302"/>
      <c r="S46" s="4338">
        <v>4</v>
      </c>
      <c r="T46" s="4339">
        <v>4</v>
      </c>
      <c r="U46" s="4339">
        <v>4</v>
      </c>
      <c r="V46" s="4340">
        <v>4</v>
      </c>
      <c r="W46" s="4339">
        <v>4</v>
      </c>
      <c r="X46" s="4325"/>
      <c r="Y46" s="4302"/>
      <c r="Z46" s="4341">
        <v>3</v>
      </c>
      <c r="AA46" s="4341">
        <v>3</v>
      </c>
      <c r="AB46" s="4341">
        <v>3</v>
      </c>
      <c r="AC46" s="4341">
        <v>3</v>
      </c>
      <c r="AD46" s="4341">
        <v>3</v>
      </c>
      <c r="AE46" s="4327"/>
      <c r="AF46" s="4325"/>
      <c r="AG46" s="4328"/>
      <c r="AH46" s="178"/>
      <c r="AI46" s="179"/>
    </row>
    <row r="47" spans="1:38" ht="22.35" customHeight="1" thickBot="1" x14ac:dyDescent="0.25">
      <c r="A47" s="3601">
        <v>9</v>
      </c>
      <c r="B47" s="3542" t="s">
        <v>100</v>
      </c>
      <c r="C47" s="3616" t="s">
        <v>94</v>
      </c>
      <c r="D47" s="3616" t="s">
        <v>94</v>
      </c>
      <c r="E47" s="3616" t="s">
        <v>36</v>
      </c>
      <c r="F47" s="3616" t="s">
        <v>36</v>
      </c>
      <c r="G47" s="3616" t="s">
        <v>36</v>
      </c>
      <c r="H47" s="3616" t="s">
        <v>36</v>
      </c>
      <c r="I47" s="3616" t="s">
        <v>36</v>
      </c>
      <c r="J47" s="3616" t="s">
        <v>83</v>
      </c>
      <c r="K47" s="3616" t="s">
        <v>83</v>
      </c>
      <c r="L47" s="3616">
        <v>8</v>
      </c>
      <c r="M47" s="3616">
        <v>8</v>
      </c>
      <c r="N47" s="3616">
        <v>8</v>
      </c>
      <c r="O47" s="3616">
        <v>8</v>
      </c>
      <c r="P47" s="4302">
        <v>8</v>
      </c>
      <c r="Q47" s="3538"/>
      <c r="R47" s="3616"/>
      <c r="S47" s="3616" t="s">
        <v>36</v>
      </c>
      <c r="T47" s="3616" t="s">
        <v>36</v>
      </c>
      <c r="U47" s="3616" t="s">
        <v>36</v>
      </c>
      <c r="V47" s="3616" t="s">
        <v>36</v>
      </c>
      <c r="W47" s="3616" t="s">
        <v>36</v>
      </c>
      <c r="X47" s="3616"/>
      <c r="Y47" s="3616"/>
      <c r="Z47" s="3602">
        <v>1</v>
      </c>
      <c r="AA47" s="3602">
        <v>1</v>
      </c>
      <c r="AB47" s="3602">
        <v>1</v>
      </c>
      <c r="AC47" s="3602">
        <v>1</v>
      </c>
      <c r="AD47" s="3602" t="s">
        <v>377</v>
      </c>
      <c r="AE47" s="3616"/>
      <c r="AF47" s="3616"/>
      <c r="AG47" s="3617"/>
      <c r="AH47" s="178"/>
      <c r="AI47" s="179"/>
    </row>
    <row r="48" spans="1:38" ht="22.35" customHeight="1" thickBot="1" x14ac:dyDescent="0.25">
      <c r="A48" s="3607">
        <v>14</v>
      </c>
      <c r="B48" s="3608" t="s">
        <v>102</v>
      </c>
      <c r="C48" s="3528" t="s">
        <v>80</v>
      </c>
      <c r="D48" s="3610" t="s">
        <v>81</v>
      </c>
      <c r="E48" s="3610" t="s">
        <v>36</v>
      </c>
      <c r="F48" s="3610" t="s">
        <v>36</v>
      </c>
      <c r="G48" s="3614" t="s">
        <v>36</v>
      </c>
      <c r="H48" s="3614" t="s">
        <v>36</v>
      </c>
      <c r="I48" s="3614" t="s">
        <v>36</v>
      </c>
      <c r="J48" s="3610" t="s">
        <v>82</v>
      </c>
      <c r="K48" s="3610" t="s">
        <v>83</v>
      </c>
      <c r="L48" s="3610">
        <v>6</v>
      </c>
      <c r="M48" s="3610">
        <v>6</v>
      </c>
      <c r="N48" s="3610">
        <v>6</v>
      </c>
      <c r="O48" s="3528">
        <v>6</v>
      </c>
      <c r="P48" s="4302">
        <v>6</v>
      </c>
      <c r="Q48" s="3610"/>
      <c r="R48" s="3528"/>
      <c r="S48" s="3610" t="s">
        <v>36</v>
      </c>
      <c r="T48" s="3610" t="s">
        <v>36</v>
      </c>
      <c r="U48" s="3610" t="s">
        <v>36</v>
      </c>
      <c r="V48" s="3610" t="s">
        <v>36</v>
      </c>
      <c r="W48" s="3629" t="s">
        <v>36</v>
      </c>
      <c r="X48" s="3528"/>
      <c r="Y48" s="3610"/>
      <c r="Z48" s="3610">
        <v>5</v>
      </c>
      <c r="AA48" s="3610">
        <v>5</v>
      </c>
      <c r="AB48" s="3610">
        <v>5</v>
      </c>
      <c r="AC48" s="3528">
        <v>5</v>
      </c>
      <c r="AD48" s="3610">
        <v>5</v>
      </c>
      <c r="AE48" s="3610"/>
      <c r="AF48" s="3528"/>
      <c r="AG48" s="3530"/>
      <c r="AH48" s="178"/>
      <c r="AI48" s="179"/>
    </row>
    <row r="49" spans="1:40" ht="22.35" customHeight="1" x14ac:dyDescent="0.2">
      <c r="A49" s="4323">
        <v>5</v>
      </c>
      <c r="B49" s="3542" t="s">
        <v>103</v>
      </c>
      <c r="C49" s="4327" t="s">
        <v>57</v>
      </c>
      <c r="D49" s="4325" t="s">
        <v>57</v>
      </c>
      <c r="E49" s="4325">
        <v>7</v>
      </c>
      <c r="F49" s="4327">
        <v>7</v>
      </c>
      <c r="G49" s="4327">
        <v>7</v>
      </c>
      <c r="H49" s="4327">
        <v>7</v>
      </c>
      <c r="I49" s="4327">
        <v>7</v>
      </c>
      <c r="J49" s="4327"/>
      <c r="K49" s="4325"/>
      <c r="L49" s="4325">
        <v>4</v>
      </c>
      <c r="M49" s="4325">
        <v>4</v>
      </c>
      <c r="N49" s="4342">
        <v>4</v>
      </c>
      <c r="O49" s="4302">
        <v>4</v>
      </c>
      <c r="P49" s="4343">
        <v>4</v>
      </c>
      <c r="Q49" s="4325"/>
      <c r="R49" s="4302"/>
      <c r="S49" s="4339">
        <v>3</v>
      </c>
      <c r="T49" s="4339">
        <v>3</v>
      </c>
      <c r="U49" s="4344">
        <v>3</v>
      </c>
      <c r="V49" s="4344">
        <v>3</v>
      </c>
      <c r="W49" s="4344">
        <v>3</v>
      </c>
      <c r="X49" s="4327"/>
      <c r="Y49" s="4342"/>
      <c r="Z49" s="4327">
        <v>11</v>
      </c>
      <c r="AA49" s="4327">
        <v>11</v>
      </c>
      <c r="AB49" s="4327">
        <v>11</v>
      </c>
      <c r="AC49" s="4327">
        <v>11</v>
      </c>
      <c r="AD49" s="4325">
        <v>11</v>
      </c>
      <c r="AE49" s="4325" t="s">
        <v>94</v>
      </c>
      <c r="AF49" s="4302" t="s">
        <v>94</v>
      </c>
      <c r="AG49" s="4345"/>
      <c r="AH49" s="178"/>
      <c r="AI49" s="179"/>
    </row>
    <row r="50" spans="1:40" ht="22.35" customHeight="1" x14ac:dyDescent="0.2">
      <c r="A50" s="3601">
        <v>10</v>
      </c>
      <c r="B50" s="3542" t="s">
        <v>104</v>
      </c>
      <c r="C50" s="3616" t="s">
        <v>83</v>
      </c>
      <c r="D50" s="3616" t="s">
        <v>83</v>
      </c>
      <c r="E50" s="3616">
        <v>8</v>
      </c>
      <c r="F50" s="3539">
        <v>8</v>
      </c>
      <c r="G50" s="3535">
        <v>8</v>
      </c>
      <c r="H50" s="3535">
        <v>8</v>
      </c>
      <c r="I50" s="3535">
        <v>8</v>
      </c>
      <c r="J50" s="3535"/>
      <c r="K50" s="3535"/>
      <c r="L50" s="3535" t="s">
        <v>36</v>
      </c>
      <c r="M50" s="3535" t="s">
        <v>36</v>
      </c>
      <c r="N50" s="3535" t="s">
        <v>36</v>
      </c>
      <c r="O50" s="3535" t="s">
        <v>36</v>
      </c>
      <c r="P50" s="3535" t="s">
        <v>36</v>
      </c>
      <c r="Q50" s="3535"/>
      <c r="R50" s="3535"/>
      <c r="S50" s="3535">
        <v>1</v>
      </c>
      <c r="T50" s="3602">
        <v>1</v>
      </c>
      <c r="U50" s="3602">
        <v>1</v>
      </c>
      <c r="V50" s="3602" t="s">
        <v>377</v>
      </c>
      <c r="W50" s="4346">
        <v>1</v>
      </c>
      <c r="X50" s="3616"/>
      <c r="Y50" s="3538"/>
      <c r="Z50" s="3616">
        <v>9</v>
      </c>
      <c r="AA50" s="3616">
        <v>9</v>
      </c>
      <c r="AB50" s="3616">
        <v>9</v>
      </c>
      <c r="AC50" s="3616">
        <v>9</v>
      </c>
      <c r="AD50" s="3816">
        <v>9</v>
      </c>
      <c r="AE50" s="3616" t="s">
        <v>80</v>
      </c>
      <c r="AF50" s="3616" t="s">
        <v>81</v>
      </c>
      <c r="AG50" s="3617"/>
      <c r="AH50" s="178"/>
      <c r="AI50" s="179"/>
    </row>
    <row r="51" spans="1:40" ht="22.35" customHeight="1" thickBot="1" x14ac:dyDescent="0.25">
      <c r="A51" s="3607">
        <v>15</v>
      </c>
      <c r="B51" s="3608" t="s">
        <v>105</v>
      </c>
      <c r="C51" s="3610" t="s">
        <v>82</v>
      </c>
      <c r="D51" s="3610" t="s">
        <v>83</v>
      </c>
      <c r="E51" s="3610">
        <v>6</v>
      </c>
      <c r="F51" s="3614">
        <v>6</v>
      </c>
      <c r="G51" s="3614">
        <v>6</v>
      </c>
      <c r="H51" s="3614">
        <v>6</v>
      </c>
      <c r="I51" s="3614">
        <v>6</v>
      </c>
      <c r="J51" s="3614"/>
      <c r="K51" s="3528"/>
      <c r="L51" s="3610" t="s">
        <v>36</v>
      </c>
      <c r="M51" s="3610" t="s">
        <v>36</v>
      </c>
      <c r="N51" s="3610" t="s">
        <v>36</v>
      </c>
      <c r="O51" s="3611" t="s">
        <v>36</v>
      </c>
      <c r="P51" s="3611" t="s">
        <v>36</v>
      </c>
      <c r="Q51" s="3611"/>
      <c r="R51" s="3611"/>
      <c r="S51" s="4131">
        <v>5</v>
      </c>
      <c r="T51" s="4131">
        <v>5</v>
      </c>
      <c r="U51" s="4131">
        <v>5</v>
      </c>
      <c r="V51" s="4131">
        <v>5</v>
      </c>
      <c r="W51" s="4131">
        <v>5</v>
      </c>
      <c r="X51" s="3610"/>
      <c r="Y51" s="3528"/>
      <c r="Z51" s="3632">
        <v>10</v>
      </c>
      <c r="AA51" s="3632">
        <v>10</v>
      </c>
      <c r="AB51" s="3632">
        <v>10</v>
      </c>
      <c r="AC51" s="3632">
        <v>10</v>
      </c>
      <c r="AD51" s="3632">
        <v>10</v>
      </c>
      <c r="AE51" s="3632" t="s">
        <v>81</v>
      </c>
      <c r="AF51" s="3632" t="s">
        <v>81</v>
      </c>
      <c r="AG51" s="3633"/>
      <c r="AH51" s="178"/>
      <c r="AI51" s="179"/>
    </row>
    <row r="52" spans="1:40" ht="22.35" customHeight="1" x14ac:dyDescent="0.2">
      <c r="A52" s="10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E52" s="72"/>
      <c r="AF52" s="72"/>
      <c r="AG52" s="72"/>
      <c r="AH52" s="1"/>
    </row>
    <row r="53" spans="1:40" ht="22.35" customHeight="1" x14ac:dyDescent="0.2">
      <c r="A53" s="109"/>
      <c r="B53" s="64" t="s">
        <v>106</v>
      </c>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
    </row>
    <row r="54" spans="1:40" ht="22.35" customHeight="1" x14ac:dyDescent="0.2">
      <c r="A54" s="3635" t="s">
        <v>28</v>
      </c>
      <c r="B54" s="3635"/>
      <c r="C54" s="3605"/>
      <c r="D54" s="3635" t="s">
        <v>107</v>
      </c>
      <c r="E54" s="3636"/>
      <c r="F54" s="3605"/>
      <c r="G54" s="3635" t="s">
        <v>108</v>
      </c>
      <c r="H54" s="3636"/>
      <c r="I54" s="3605"/>
      <c r="J54" s="3635" t="s">
        <v>109</v>
      </c>
      <c r="K54" s="3636"/>
      <c r="L54" s="3605"/>
      <c r="M54" s="3635" t="s">
        <v>110</v>
      </c>
      <c r="N54" s="3636"/>
      <c r="O54" s="3605"/>
      <c r="P54" s="3635" t="s">
        <v>111</v>
      </c>
      <c r="Q54" s="3636"/>
      <c r="R54" s="4135"/>
      <c r="S54" s="4136" t="s">
        <v>112</v>
      </c>
      <c r="T54" s="3636"/>
      <c r="U54" s="3605"/>
      <c r="V54" s="3635" t="s">
        <v>113</v>
      </c>
      <c r="W54" s="3636"/>
      <c r="X54" s="3639" t="s">
        <v>114</v>
      </c>
      <c r="Y54" s="3636"/>
      <c r="Z54" s="3636"/>
      <c r="AA54" s="3640"/>
      <c r="AB54" s="3512"/>
      <c r="AC54" s="3512"/>
      <c r="AD54" s="3512"/>
      <c r="AE54" s="3512"/>
      <c r="AF54" s="3512"/>
      <c r="AG54" s="3513"/>
      <c r="AH54" s="1"/>
    </row>
    <row r="55" spans="1:40" ht="22.35" customHeight="1" x14ac:dyDescent="0.2">
      <c r="A55" s="3641">
        <v>8517</v>
      </c>
      <c r="B55" s="3642" t="s">
        <v>115</v>
      </c>
      <c r="C55" s="3643" t="s">
        <v>116</v>
      </c>
      <c r="D55" s="3644"/>
      <c r="E55" s="3511"/>
      <c r="F55" s="3643" t="s">
        <v>116</v>
      </c>
      <c r="G55" s="3644"/>
      <c r="H55" s="3511"/>
      <c r="I55" s="3643" t="s">
        <v>116</v>
      </c>
      <c r="J55" s="3644"/>
      <c r="K55" s="3511"/>
      <c r="L55" s="3643" t="s">
        <v>116</v>
      </c>
      <c r="M55" s="3644"/>
      <c r="N55" s="3511"/>
      <c r="O55" s="3643" t="s">
        <v>117</v>
      </c>
      <c r="P55" s="3644"/>
      <c r="Q55" s="3511"/>
      <c r="R55" s="3643"/>
      <c r="S55" s="3644"/>
      <c r="T55" s="3511"/>
      <c r="U55" s="3643" t="s">
        <v>118</v>
      </c>
      <c r="V55" s="3644"/>
      <c r="W55" s="3511"/>
      <c r="X55" s="3509"/>
      <c r="Y55" s="3512"/>
      <c r="Z55" s="3512"/>
      <c r="AA55" s="3512"/>
      <c r="AB55" s="3512"/>
      <c r="AC55" s="3512"/>
      <c r="AD55" s="3512"/>
      <c r="AE55" s="3512"/>
      <c r="AF55" s="3512"/>
      <c r="AG55" s="3513"/>
      <c r="AH55" s="1"/>
    </row>
    <row r="56" spans="1:40" ht="22.35" customHeight="1" x14ac:dyDescent="0.2">
      <c r="B56" s="3534" t="s">
        <v>119</v>
      </c>
      <c r="C56" s="4137" t="s">
        <v>120</v>
      </c>
      <c r="D56" s="4347"/>
      <c r="E56" s="4139"/>
      <c r="F56" s="4137" t="s">
        <v>120</v>
      </c>
      <c r="G56" s="4348"/>
      <c r="H56" s="4139"/>
      <c r="I56" s="3643" t="s">
        <v>120</v>
      </c>
      <c r="J56" s="3644"/>
      <c r="K56" s="3649"/>
      <c r="L56" s="3643" t="s">
        <v>120</v>
      </c>
      <c r="M56" s="3644"/>
      <c r="N56" s="3649"/>
      <c r="O56" s="3643" t="s">
        <v>121</v>
      </c>
      <c r="P56" s="3644"/>
      <c r="Q56" s="3511"/>
      <c r="R56" s="3650" t="s">
        <v>0</v>
      </c>
      <c r="S56" s="3644"/>
      <c r="T56" s="3649"/>
      <c r="U56" s="3644" t="s">
        <v>0</v>
      </c>
      <c r="V56" s="3644"/>
      <c r="W56" s="3511"/>
      <c r="X56" s="4349" t="s">
        <v>0</v>
      </c>
      <c r="Y56" s="72"/>
      <c r="Z56" s="72"/>
      <c r="AA56" s="72"/>
      <c r="AB56" s="72"/>
      <c r="AC56" s="72"/>
      <c r="AD56" s="72"/>
      <c r="AE56" s="72"/>
      <c r="AF56" s="72"/>
      <c r="AG56" s="111"/>
      <c r="AH56" s="1"/>
    </row>
    <row r="57" spans="1:40" ht="22.35" customHeight="1" x14ac:dyDescent="0.2">
      <c r="A57" s="3651"/>
      <c r="B57" s="3642" t="s">
        <v>122</v>
      </c>
      <c r="C57" s="4137" t="s">
        <v>123</v>
      </c>
      <c r="D57" s="4347"/>
      <c r="E57" s="4348"/>
      <c r="F57" s="4137" t="s">
        <v>123</v>
      </c>
      <c r="G57" s="4347"/>
      <c r="H57" s="4348"/>
      <c r="I57" s="4137" t="s">
        <v>123</v>
      </c>
      <c r="J57" s="4347"/>
      <c r="K57" s="4348"/>
      <c r="L57" s="4137" t="s">
        <v>123</v>
      </c>
      <c r="M57" s="4347"/>
      <c r="N57" s="4348"/>
      <c r="O57" s="4137" t="s">
        <v>124</v>
      </c>
      <c r="P57" s="4347"/>
      <c r="Q57" s="4348"/>
      <c r="R57" s="4350"/>
      <c r="S57" s="294"/>
      <c r="T57" s="4139"/>
      <c r="U57" s="4347"/>
      <c r="V57" s="4347"/>
      <c r="W57" s="4348"/>
      <c r="X57" s="3509"/>
      <c r="Y57" s="3512"/>
      <c r="Z57" s="3512"/>
      <c r="AA57" s="3512"/>
      <c r="AB57" s="3512"/>
      <c r="AC57" s="3512"/>
      <c r="AD57" s="3512"/>
      <c r="AE57" s="3512"/>
      <c r="AF57" s="3512"/>
      <c r="AG57" s="3513"/>
      <c r="AH57" s="1"/>
    </row>
    <row r="58" spans="1:40" ht="22.35" customHeight="1" x14ac:dyDescent="0.2">
      <c r="A58" s="3635"/>
      <c r="B58" s="3642"/>
      <c r="C58" s="4141"/>
      <c r="D58" s="4142"/>
      <c r="E58" s="4143"/>
      <c r="F58" s="4141"/>
      <c r="G58" s="4142"/>
      <c r="H58" s="4143"/>
      <c r="I58" s="4141"/>
      <c r="J58" s="4142"/>
      <c r="K58" s="4143"/>
      <c r="L58" s="4141"/>
      <c r="M58" s="4142"/>
      <c r="N58" s="4143"/>
      <c r="O58" s="4141"/>
      <c r="P58" s="4142"/>
      <c r="Q58" s="4143"/>
      <c r="R58" s="4141"/>
      <c r="S58" s="4142"/>
      <c r="T58" s="4143"/>
      <c r="U58" s="4141"/>
      <c r="V58" s="4142"/>
      <c r="W58" s="4143"/>
      <c r="X58" s="3511"/>
      <c r="Y58" s="3512"/>
      <c r="Z58" s="3512"/>
      <c r="AA58" s="3512"/>
      <c r="AB58" s="3512"/>
      <c r="AC58" s="3512"/>
      <c r="AD58" s="3512"/>
      <c r="AE58" s="3512"/>
      <c r="AF58" s="3512"/>
      <c r="AG58" s="3513"/>
      <c r="AH58" s="1"/>
      <c r="AJ58" t="s">
        <v>125</v>
      </c>
    </row>
    <row r="59" spans="1:40" ht="22.35" customHeight="1" x14ac:dyDescent="0.2">
      <c r="A59" s="59"/>
      <c r="B59" s="102"/>
      <c r="C59" s="69"/>
      <c r="D59" s="69"/>
      <c r="E59" s="19"/>
      <c r="F59" s="69"/>
      <c r="G59" s="69"/>
      <c r="H59" s="19"/>
      <c r="I59" s="69"/>
      <c r="J59" s="69"/>
      <c r="K59" s="19"/>
      <c r="L59" s="69"/>
      <c r="M59" s="69"/>
      <c r="N59" s="19"/>
      <c r="O59" s="69"/>
      <c r="P59" s="69"/>
      <c r="Q59" s="19"/>
      <c r="R59" s="69"/>
      <c r="S59" s="69"/>
      <c r="T59" s="19"/>
      <c r="U59" s="69"/>
      <c r="V59" s="69"/>
      <c r="W59" s="19"/>
      <c r="X59" s="19"/>
      <c r="Y59" s="72"/>
      <c r="Z59" s="72"/>
      <c r="AA59" s="72"/>
      <c r="AB59" s="72"/>
      <c r="AC59" s="72"/>
      <c r="AD59" s="72"/>
      <c r="AE59" s="72"/>
      <c r="AF59" s="72"/>
      <c r="AG59" s="72"/>
      <c r="AH59" s="1"/>
    </row>
    <row r="60" spans="1:40" ht="22.35" customHeight="1" thickBot="1" x14ac:dyDescent="0.25">
      <c r="A60" s="3655"/>
      <c r="B60" s="3656" t="s">
        <v>29</v>
      </c>
      <c r="C60" s="3529">
        <v>1</v>
      </c>
      <c r="D60" s="3529">
        <v>2</v>
      </c>
      <c r="E60" s="3528">
        <v>3</v>
      </c>
      <c r="F60" s="3528">
        <v>4</v>
      </c>
      <c r="G60" s="3528">
        <v>5</v>
      </c>
      <c r="H60" s="3529">
        <v>6</v>
      </c>
      <c r="I60" s="3529">
        <v>7</v>
      </c>
      <c r="J60" s="3529">
        <v>8</v>
      </c>
      <c r="K60" s="3529">
        <v>9</v>
      </c>
      <c r="L60" s="3529">
        <v>10</v>
      </c>
      <c r="M60" s="3528">
        <v>11</v>
      </c>
      <c r="N60" s="3528">
        <v>12</v>
      </c>
      <c r="O60" s="3528">
        <v>13</v>
      </c>
      <c r="P60" s="3528">
        <v>14</v>
      </c>
      <c r="Q60" s="3529">
        <v>15</v>
      </c>
      <c r="R60" s="3529">
        <v>16</v>
      </c>
      <c r="S60" s="3528">
        <v>17</v>
      </c>
      <c r="T60" s="3528">
        <v>18</v>
      </c>
      <c r="U60" s="3528">
        <v>19</v>
      </c>
      <c r="V60" s="3528">
        <v>20</v>
      </c>
      <c r="W60" s="3528">
        <v>21</v>
      </c>
      <c r="X60" s="3529">
        <v>22</v>
      </c>
      <c r="Y60" s="3529">
        <v>23</v>
      </c>
      <c r="Z60" s="3528">
        <v>24</v>
      </c>
      <c r="AA60" s="3528">
        <v>25</v>
      </c>
      <c r="AB60" s="3528">
        <v>26</v>
      </c>
      <c r="AC60" s="3528">
        <v>27</v>
      </c>
      <c r="AD60" s="3528">
        <v>28</v>
      </c>
      <c r="AE60" s="3529">
        <v>29</v>
      </c>
      <c r="AF60" s="3529">
        <v>30</v>
      </c>
      <c r="AG60" s="3530"/>
      <c r="AH60" s="1"/>
      <c r="AJ60" s="1181" t="s">
        <v>30</v>
      </c>
      <c r="AK60" s="1181" t="s">
        <v>44</v>
      </c>
      <c r="AL60" s="1181" t="s">
        <v>45</v>
      </c>
      <c r="AM60" s="1181" t="s">
        <v>46</v>
      </c>
      <c r="AN60" s="1181" t="s">
        <v>47</v>
      </c>
    </row>
    <row r="61" spans="1:40" ht="22.35" customHeight="1" thickBot="1" x14ac:dyDescent="0.25">
      <c r="A61" s="4351"/>
      <c r="B61" s="4352" t="s">
        <v>126</v>
      </c>
      <c r="C61" s="4353"/>
      <c r="D61" s="3535" t="s">
        <v>0</v>
      </c>
      <c r="E61" s="4354">
        <v>25</v>
      </c>
      <c r="F61" s="3840">
        <v>25</v>
      </c>
      <c r="G61" s="4354">
        <v>25</v>
      </c>
      <c r="H61" s="4353"/>
      <c r="I61" s="4353"/>
      <c r="J61" s="4353"/>
      <c r="K61" s="4355">
        <v>26</v>
      </c>
      <c r="L61" s="4353"/>
      <c r="M61" s="4353">
        <v>5</v>
      </c>
      <c r="N61" s="4329">
        <v>5</v>
      </c>
      <c r="O61" s="4356">
        <v>5</v>
      </c>
      <c r="P61" s="4329">
        <v>5</v>
      </c>
      <c r="Q61" s="4329"/>
      <c r="R61" s="4329"/>
      <c r="S61" s="3762" t="s">
        <v>128</v>
      </c>
      <c r="T61" s="3762" t="s">
        <v>128</v>
      </c>
      <c r="U61" s="3762" t="s">
        <v>128</v>
      </c>
      <c r="V61" s="3762" t="s">
        <v>128</v>
      </c>
      <c r="W61" s="3762" t="s">
        <v>128</v>
      </c>
      <c r="X61" s="3762" t="s">
        <v>127</v>
      </c>
      <c r="Y61" s="3762" t="s">
        <v>127</v>
      </c>
      <c r="Z61" s="851" t="s">
        <v>36</v>
      </c>
      <c r="AA61" s="851" t="s">
        <v>36</v>
      </c>
      <c r="AB61" s="851" t="s">
        <v>36</v>
      </c>
      <c r="AC61" s="851" t="s">
        <v>36</v>
      </c>
      <c r="AD61" s="851" t="s">
        <v>36</v>
      </c>
      <c r="AE61" s="4353"/>
      <c r="AF61" s="4353"/>
      <c r="AG61" s="4357"/>
      <c r="AH61" s="1"/>
      <c r="AJ61" s="4162">
        <v>163</v>
      </c>
      <c r="AK61" s="4162">
        <v>9.25</v>
      </c>
      <c r="AL61" s="4162">
        <f>IF(AJ61="","",SUM(AJ61:AK61))</f>
        <v>172.25</v>
      </c>
      <c r="AM61" s="4163">
        <f>IF(AJ61="","",AL61-NormTid)</f>
        <v>11.919999999999987</v>
      </c>
      <c r="AN61" s="4163">
        <f>IF(AM61="","",AM61+'Marts 2023'!AN61)</f>
        <v>45.17999999999995</v>
      </c>
    </row>
    <row r="62" spans="1:40" ht="22.35" customHeight="1" x14ac:dyDescent="0.2">
      <c r="A62" s="1175"/>
      <c r="B62" s="3542" t="s">
        <v>129</v>
      </c>
      <c r="C62" s="3602" t="s">
        <v>376</v>
      </c>
      <c r="D62" s="4358" t="s">
        <v>127</v>
      </c>
      <c r="E62" s="960" t="s">
        <v>36</v>
      </c>
      <c r="F62" s="960" t="s">
        <v>36</v>
      </c>
      <c r="G62" s="1112" t="s">
        <v>36</v>
      </c>
      <c r="H62" s="644" t="s">
        <v>32</v>
      </c>
      <c r="I62" s="644" t="s">
        <v>32</v>
      </c>
      <c r="J62" s="644" t="s">
        <v>32</v>
      </c>
      <c r="K62" s="4353"/>
      <c r="L62" s="4359"/>
      <c r="M62" s="3672" t="s">
        <v>36</v>
      </c>
      <c r="N62" s="3672" t="s">
        <v>36</v>
      </c>
      <c r="O62" s="3538" t="s">
        <v>36</v>
      </c>
      <c r="P62" s="3538">
        <v>6</v>
      </c>
      <c r="Q62" s="3672" t="s">
        <v>127</v>
      </c>
      <c r="R62" s="3672" t="s">
        <v>127</v>
      </c>
      <c r="S62" s="4149" t="s">
        <v>400</v>
      </c>
      <c r="T62" s="4149">
        <v>25</v>
      </c>
      <c r="U62" s="4147">
        <v>25</v>
      </c>
      <c r="V62" s="4147">
        <v>5</v>
      </c>
      <c r="W62" s="4147" t="s">
        <v>400</v>
      </c>
      <c r="X62" s="4147" t="s">
        <v>409</v>
      </c>
      <c r="Y62" s="4147" t="s">
        <v>409</v>
      </c>
      <c r="Z62" s="851" t="s">
        <v>36</v>
      </c>
      <c r="AA62" s="851" t="s">
        <v>36</v>
      </c>
      <c r="AB62" s="1112" t="s">
        <v>32</v>
      </c>
      <c r="AC62" s="3605" t="s">
        <v>36</v>
      </c>
      <c r="AD62" s="965" t="s">
        <v>36</v>
      </c>
      <c r="AE62" s="3603"/>
      <c r="AF62" s="3604"/>
      <c r="AG62" s="3661"/>
      <c r="AH62" s="1"/>
      <c r="AJ62" s="4162">
        <v>130.25</v>
      </c>
      <c r="AK62" s="4162">
        <v>8.25</v>
      </c>
      <c r="AL62" s="4162">
        <f t="shared" ref="AL62:AL86" si="3">IF(AJ62="","",SUM(AJ62:AK62))</f>
        <v>138.5</v>
      </c>
      <c r="AM62" s="4163">
        <f t="shared" ref="AM62:AM74" si="4">IF(AJ62="","",AL62-NormTid)</f>
        <v>-21.830000000000013</v>
      </c>
      <c r="AN62" s="4163">
        <f>IF(AM62="","",AM62+'Marts 2023'!AN62)</f>
        <v>-12.32000000000005</v>
      </c>
    </row>
    <row r="63" spans="1:40" ht="22.35" customHeight="1" x14ac:dyDescent="0.2">
      <c r="A63" s="1175"/>
      <c r="B63" s="3542" t="s">
        <v>130</v>
      </c>
      <c r="C63" s="1112" t="s">
        <v>0</v>
      </c>
      <c r="D63" s="4360" t="s">
        <v>0</v>
      </c>
      <c r="E63" s="851">
        <v>22</v>
      </c>
      <c r="F63" s="644">
        <v>22</v>
      </c>
      <c r="G63" s="644">
        <v>22</v>
      </c>
      <c r="H63" s="644">
        <v>22</v>
      </c>
      <c r="I63" s="644">
        <v>22</v>
      </c>
      <c r="J63" s="644">
        <v>22</v>
      </c>
      <c r="K63" s="644" t="s">
        <v>229</v>
      </c>
      <c r="L63" s="644" t="s">
        <v>36</v>
      </c>
      <c r="M63" s="644" t="s">
        <v>36</v>
      </c>
      <c r="N63" s="644" t="s">
        <v>36</v>
      </c>
      <c r="O63" s="848" t="s">
        <v>36</v>
      </c>
      <c r="P63" s="3538" t="s">
        <v>32</v>
      </c>
      <c r="Q63" s="848"/>
      <c r="R63" s="848"/>
      <c r="S63" s="848">
        <v>23</v>
      </c>
      <c r="T63" s="848">
        <v>23</v>
      </c>
      <c r="U63" s="848">
        <v>23</v>
      </c>
      <c r="V63" s="4255">
        <v>23</v>
      </c>
      <c r="W63" s="4255" t="s">
        <v>363</v>
      </c>
      <c r="X63" s="4162">
        <v>23</v>
      </c>
      <c r="Y63" s="4162">
        <v>23</v>
      </c>
      <c r="Z63" s="644" t="s">
        <v>36</v>
      </c>
      <c r="AA63" s="965" t="s">
        <v>36</v>
      </c>
      <c r="AB63" s="965" t="s">
        <v>36</v>
      </c>
      <c r="AC63" s="644" t="s">
        <v>36</v>
      </c>
      <c r="AD63" s="851" t="s">
        <v>36</v>
      </c>
      <c r="AE63" s="644"/>
      <c r="AF63" s="644"/>
      <c r="AG63" s="978"/>
      <c r="AH63" s="1"/>
      <c r="AJ63" s="4162">
        <v>146.5</v>
      </c>
      <c r="AK63" s="4162">
        <v>8</v>
      </c>
      <c r="AL63" s="4162">
        <f t="shared" si="3"/>
        <v>154.5</v>
      </c>
      <c r="AM63" s="4163">
        <f t="shared" si="4"/>
        <v>-5.8300000000000125</v>
      </c>
      <c r="AN63" s="4163">
        <f>IF(AM63="","",AM63+'Marts 2023'!AN63)</f>
        <v>8.42999999999995</v>
      </c>
    </row>
    <row r="64" spans="1:40" ht="22.35" customHeight="1" x14ac:dyDescent="0.2">
      <c r="A64" s="1175"/>
      <c r="B64" s="3663" t="s">
        <v>132</v>
      </c>
      <c r="C64" s="3550"/>
      <c r="D64" s="3550"/>
      <c r="E64" s="3659">
        <v>25</v>
      </c>
      <c r="F64" s="3659">
        <v>25</v>
      </c>
      <c r="G64" s="3659">
        <v>25</v>
      </c>
      <c r="H64" s="3538"/>
      <c r="I64" s="3538" t="s">
        <v>0</v>
      </c>
      <c r="J64" s="3535"/>
      <c r="K64" s="4255" t="s">
        <v>32</v>
      </c>
      <c r="L64" s="4255" t="s">
        <v>32</v>
      </c>
      <c r="M64" s="4255" t="s">
        <v>32</v>
      </c>
      <c r="N64" s="4255" t="s">
        <v>32</v>
      </c>
      <c r="O64" s="3602" t="s">
        <v>36</v>
      </c>
      <c r="P64" s="4361" t="s">
        <v>32</v>
      </c>
      <c r="Q64" s="3602"/>
      <c r="R64" s="3602"/>
      <c r="S64" s="3602">
        <v>25</v>
      </c>
      <c r="T64" s="3602">
        <v>25</v>
      </c>
      <c r="U64" s="3602">
        <v>25</v>
      </c>
      <c r="V64" s="3667">
        <v>25</v>
      </c>
      <c r="W64" s="3667" t="s">
        <v>420</v>
      </c>
      <c r="X64" s="3602" t="s">
        <v>53</v>
      </c>
      <c r="Y64" s="3602" t="s">
        <v>101</v>
      </c>
      <c r="Z64" s="4256" t="s">
        <v>400</v>
      </c>
      <c r="AA64" s="4256" t="s">
        <v>400</v>
      </c>
      <c r="AB64" s="4256" t="s">
        <v>400</v>
      </c>
      <c r="AC64" s="4256" t="s">
        <v>400</v>
      </c>
      <c r="AD64" s="4256" t="s">
        <v>400</v>
      </c>
      <c r="AE64" s="4189" t="s">
        <v>409</v>
      </c>
      <c r="AF64" s="4161" t="s">
        <v>409</v>
      </c>
      <c r="AG64" s="3661"/>
      <c r="AH64" s="1"/>
      <c r="AJ64" s="4162">
        <v>208</v>
      </c>
      <c r="AK64" s="4162">
        <v>9.25</v>
      </c>
      <c r="AL64" s="4162">
        <f t="shared" si="3"/>
        <v>217.25</v>
      </c>
      <c r="AM64" s="4163">
        <f t="shared" si="4"/>
        <v>56.919999999999987</v>
      </c>
      <c r="AN64" s="4163">
        <f>IF(AM64="","",AM64+'Marts 2023'!AN64)</f>
        <v>104.42999999999995</v>
      </c>
    </row>
    <row r="65" spans="1:40" ht="22.35" customHeight="1" x14ac:dyDescent="0.2">
      <c r="A65" s="4150"/>
      <c r="B65" s="3542" t="s">
        <v>133</v>
      </c>
      <c r="C65" s="3602"/>
      <c r="D65" s="3602"/>
      <c r="E65" s="3602" t="s">
        <v>32</v>
      </c>
      <c r="F65" s="3602" t="s">
        <v>32</v>
      </c>
      <c r="G65" s="3602" t="s">
        <v>32</v>
      </c>
      <c r="H65" s="3602"/>
      <c r="I65" s="3602"/>
      <c r="J65" s="3602"/>
      <c r="K65" s="3602"/>
      <c r="L65" s="3602"/>
      <c r="M65" s="3602" t="s">
        <v>32</v>
      </c>
      <c r="N65" s="3602" t="s">
        <v>32</v>
      </c>
      <c r="O65" s="3602" t="s">
        <v>32</v>
      </c>
      <c r="P65" s="3602" t="s">
        <v>32</v>
      </c>
      <c r="Q65" s="3602"/>
      <c r="R65" s="3602"/>
      <c r="S65" s="3602" t="s">
        <v>32</v>
      </c>
      <c r="T65" s="3602" t="s">
        <v>32</v>
      </c>
      <c r="U65" s="3602" t="s">
        <v>32</v>
      </c>
      <c r="V65" s="3602" t="s">
        <v>32</v>
      </c>
      <c r="W65" s="3602" t="s">
        <v>32</v>
      </c>
      <c r="X65" s="3602"/>
      <c r="Y65" s="3602"/>
      <c r="Z65" s="3602" t="s">
        <v>32</v>
      </c>
      <c r="AA65" s="3602" t="s">
        <v>32</v>
      </c>
      <c r="AB65" s="3602" t="s">
        <v>32</v>
      </c>
      <c r="AC65" s="3602" t="s">
        <v>32</v>
      </c>
      <c r="AD65" s="3602" t="s">
        <v>32</v>
      </c>
      <c r="AE65" s="3602"/>
      <c r="AF65" s="3602"/>
      <c r="AG65" s="4116"/>
      <c r="AH65" s="1"/>
      <c r="AJ65" s="4162" t="str">
        <f t="shared" ref="AJ65" si="5">IF(AH65="","",SUM(AH65:AI65))</f>
        <v/>
      </c>
      <c r="AK65" s="4162"/>
      <c r="AL65" s="4162" t="str">
        <f t="shared" si="3"/>
        <v/>
      </c>
      <c r="AM65" s="4163" t="str">
        <f t="shared" si="4"/>
        <v/>
      </c>
      <c r="AN65" s="4163" t="str">
        <f>IF(AM65="","",AM65+'Marts 2023'!AN65)</f>
        <v/>
      </c>
    </row>
    <row r="66" spans="1:40" ht="22.35" customHeight="1" x14ac:dyDescent="0.2">
      <c r="A66" s="1175"/>
      <c r="B66" s="3542" t="s">
        <v>136</v>
      </c>
      <c r="C66" s="3535"/>
      <c r="D66" s="3535"/>
      <c r="E66" s="3535" t="s">
        <v>137</v>
      </c>
      <c r="F66" s="3535" t="s">
        <v>137</v>
      </c>
      <c r="G66" s="3535" t="s">
        <v>137</v>
      </c>
      <c r="H66" s="3538"/>
      <c r="I66" s="3538"/>
      <c r="J66" s="3538"/>
      <c r="K66" s="3538"/>
      <c r="L66" s="3538"/>
      <c r="M66" s="3535" t="s">
        <v>137</v>
      </c>
      <c r="N66" s="3535" t="s">
        <v>137</v>
      </c>
      <c r="O66" s="3535" t="s">
        <v>137</v>
      </c>
      <c r="P66" s="3535" t="s">
        <v>137</v>
      </c>
      <c r="Q66" s="3538"/>
      <c r="R66" s="3538"/>
      <c r="S66" s="3535" t="s">
        <v>137</v>
      </c>
      <c r="T66" s="3535" t="s">
        <v>137</v>
      </c>
      <c r="U66" s="3535" t="s">
        <v>137</v>
      </c>
      <c r="V66" s="3535" t="s">
        <v>137</v>
      </c>
      <c r="W66" s="3535" t="s">
        <v>137</v>
      </c>
      <c r="X66" s="3538"/>
      <c r="Y66" s="3538"/>
      <c r="Z66" s="3535" t="s">
        <v>137</v>
      </c>
      <c r="AA66" s="3535" t="s">
        <v>137</v>
      </c>
      <c r="AB66" s="3535" t="s">
        <v>137</v>
      </c>
      <c r="AC66" s="3535" t="s">
        <v>137</v>
      </c>
      <c r="AD66" s="3535" t="s">
        <v>137</v>
      </c>
      <c r="AE66" s="3538"/>
      <c r="AF66" s="3538"/>
      <c r="AG66" s="3662"/>
      <c r="AI66" s="325"/>
      <c r="AJ66" s="4162">
        <v>148</v>
      </c>
      <c r="AK66" s="4162">
        <v>0</v>
      </c>
      <c r="AL66" s="4162">
        <f t="shared" si="3"/>
        <v>148</v>
      </c>
      <c r="AM66" s="4163">
        <f t="shared" si="4"/>
        <v>-12.330000000000013</v>
      </c>
      <c r="AN66" s="4163">
        <f>IF(AM66="","",AM66+'Marts 2023'!AN66)</f>
        <v>-12.32000000000005</v>
      </c>
    </row>
    <row r="67" spans="1:40" ht="22.35" customHeight="1" thickBot="1" x14ac:dyDescent="0.25">
      <c r="A67" s="1175"/>
      <c r="B67" s="3663" t="s">
        <v>443</v>
      </c>
      <c r="C67" s="3528"/>
      <c r="D67" s="3610"/>
      <c r="E67" s="3610" t="s">
        <v>36</v>
      </c>
      <c r="F67" s="3610" t="s">
        <v>36</v>
      </c>
      <c r="G67" s="3610" t="s">
        <v>36</v>
      </c>
      <c r="H67" s="3610" t="s">
        <v>36</v>
      </c>
      <c r="I67" s="3610" t="s">
        <v>36</v>
      </c>
      <c r="J67" s="3610"/>
      <c r="K67" s="3611"/>
      <c r="L67" s="3610">
        <v>1</v>
      </c>
      <c r="M67" s="3611">
        <v>1</v>
      </c>
      <c r="N67" s="4362">
        <v>1</v>
      </c>
      <c r="O67" s="3611">
        <v>1</v>
      </c>
      <c r="P67" s="3610">
        <v>1</v>
      </c>
      <c r="Q67" s="4333"/>
      <c r="R67" s="4333"/>
      <c r="S67" s="4334">
        <v>9</v>
      </c>
      <c r="T67" s="4363">
        <v>9</v>
      </c>
      <c r="U67" s="4363">
        <v>9</v>
      </c>
      <c r="V67" s="4363">
        <v>9</v>
      </c>
      <c r="W67" s="4363">
        <v>9</v>
      </c>
      <c r="X67" s="4363" t="s">
        <v>80</v>
      </c>
      <c r="Y67" s="4334" t="s">
        <v>81</v>
      </c>
      <c r="Z67" s="3610" t="s">
        <v>36</v>
      </c>
      <c r="AA67" s="3610" t="s">
        <v>36</v>
      </c>
      <c r="AB67" s="644" t="s">
        <v>32</v>
      </c>
      <c r="AC67" s="3614" t="s">
        <v>36</v>
      </c>
      <c r="AD67" s="3614" t="s">
        <v>36</v>
      </c>
      <c r="AE67" s="3610" t="s">
        <v>82</v>
      </c>
      <c r="AF67" s="3610" t="s">
        <v>83</v>
      </c>
      <c r="AG67" s="3662"/>
      <c r="AH67" s="1"/>
      <c r="AJ67" s="4162">
        <v>120.5</v>
      </c>
      <c r="AK67" s="4162">
        <v>6.5</v>
      </c>
      <c r="AL67" s="4162">
        <f t="shared" si="3"/>
        <v>127</v>
      </c>
      <c r="AM67" s="4163">
        <f t="shared" si="4"/>
        <v>-33.330000000000013</v>
      </c>
      <c r="AN67" s="4163">
        <f>IF(AM67="","",AM67+'Marts 2023'!AN67)</f>
        <v>-5.57000000000005</v>
      </c>
    </row>
    <row r="68" spans="1:40" ht="22.35" customHeight="1" x14ac:dyDescent="0.2">
      <c r="A68" s="1175"/>
      <c r="B68" s="3663" t="s">
        <v>444</v>
      </c>
      <c r="C68" s="3538"/>
      <c r="D68" s="3538"/>
      <c r="E68" s="3538" t="s">
        <v>32</v>
      </c>
      <c r="F68" s="3538" t="s">
        <v>32</v>
      </c>
      <c r="G68" s="3538" t="s">
        <v>32</v>
      </c>
      <c r="H68" s="3538"/>
      <c r="I68" s="3538"/>
      <c r="J68" s="3538"/>
      <c r="K68" s="3538"/>
      <c r="L68" s="3538"/>
      <c r="M68" s="3538" t="s">
        <v>32</v>
      </c>
      <c r="N68" s="3538" t="s">
        <v>32</v>
      </c>
      <c r="O68" s="644" t="s">
        <v>32</v>
      </c>
      <c r="P68" s="644" t="s">
        <v>32</v>
      </c>
      <c r="Q68" s="644" t="s">
        <v>32</v>
      </c>
      <c r="R68" s="644" t="s">
        <v>32</v>
      </c>
      <c r="S68" s="3672" t="s">
        <v>36</v>
      </c>
      <c r="T68" s="3672" t="s">
        <v>36</v>
      </c>
      <c r="U68" s="3672" t="s">
        <v>36</v>
      </c>
      <c r="V68" s="3604" t="s">
        <v>36</v>
      </c>
      <c r="W68" s="3538">
        <v>8</v>
      </c>
      <c r="X68" s="3538"/>
      <c r="Y68" s="3538"/>
      <c r="Z68" s="3538" t="s">
        <v>128</v>
      </c>
      <c r="AA68" s="3538" t="s">
        <v>128</v>
      </c>
      <c r="AB68" s="3538" t="s">
        <v>128</v>
      </c>
      <c r="AC68" s="3538" t="s">
        <v>128</v>
      </c>
      <c r="AD68" s="3538" t="s">
        <v>128</v>
      </c>
      <c r="AE68" s="3538" t="s">
        <v>127</v>
      </c>
      <c r="AF68" s="3538" t="s">
        <v>127</v>
      </c>
      <c r="AG68" s="3661"/>
      <c r="AH68" s="1"/>
      <c r="AJ68" s="4162">
        <v>178.5</v>
      </c>
      <c r="AK68" s="4162">
        <v>8.75</v>
      </c>
      <c r="AL68" s="4162">
        <f t="shared" si="3"/>
        <v>187.25</v>
      </c>
      <c r="AM68" s="4163">
        <f t="shared" si="4"/>
        <v>26.919999999999987</v>
      </c>
      <c r="AN68" s="4163">
        <f>IF(AM68="","",AM68+'Marts 2023'!AN68)</f>
        <v>-13.07000000000005</v>
      </c>
    </row>
    <row r="69" spans="1:40" ht="22.35" customHeight="1" thickBot="1" x14ac:dyDescent="0.25">
      <c r="A69" s="1175"/>
      <c r="B69" s="3663" t="s">
        <v>445</v>
      </c>
      <c r="C69" s="3538"/>
      <c r="D69" s="3538"/>
      <c r="E69" s="4147" t="s">
        <v>420</v>
      </c>
      <c r="F69" s="4147" t="s">
        <v>420</v>
      </c>
      <c r="G69" s="4147" t="s">
        <v>420</v>
      </c>
      <c r="H69" s="4147" t="s">
        <v>420</v>
      </c>
      <c r="I69" s="4147" t="s">
        <v>420</v>
      </c>
      <c r="J69" s="3538"/>
      <c r="K69" s="3538"/>
      <c r="L69" s="3538"/>
      <c r="M69" s="3538">
        <v>3</v>
      </c>
      <c r="N69" s="3604">
        <v>3</v>
      </c>
      <c r="O69" s="3550">
        <v>3</v>
      </c>
      <c r="P69" s="4364" t="s">
        <v>392</v>
      </c>
      <c r="Q69" s="3538"/>
      <c r="R69" s="3535" t="s">
        <v>0</v>
      </c>
      <c r="S69" s="3616" t="s">
        <v>95</v>
      </c>
      <c r="T69" s="3616" t="s">
        <v>393</v>
      </c>
      <c r="U69" s="3616" t="s">
        <v>393</v>
      </c>
      <c r="V69" s="3616" t="s">
        <v>393</v>
      </c>
      <c r="W69" s="3616" t="s">
        <v>393</v>
      </c>
      <c r="X69" s="3538"/>
      <c r="Y69" s="3535" t="s">
        <v>0</v>
      </c>
      <c r="Z69" s="3538">
        <v>1</v>
      </c>
      <c r="AA69" s="3538">
        <v>1</v>
      </c>
      <c r="AB69" s="3538">
        <v>1</v>
      </c>
      <c r="AC69" s="3604">
        <v>1</v>
      </c>
      <c r="AD69" s="3604">
        <v>1</v>
      </c>
      <c r="AE69" s="4147" t="s">
        <v>405</v>
      </c>
      <c r="AF69" s="4147" t="s">
        <v>405</v>
      </c>
      <c r="AG69" s="3661"/>
      <c r="AH69" s="1"/>
      <c r="AJ69" s="4162">
        <v>183.5</v>
      </c>
      <c r="AK69" s="4162">
        <v>7</v>
      </c>
      <c r="AL69" s="4162">
        <f t="shared" si="3"/>
        <v>190.5</v>
      </c>
      <c r="AM69" s="4163">
        <f t="shared" si="4"/>
        <v>30.169999999999987</v>
      </c>
      <c r="AN69" s="4163">
        <f>IF(AM69="","",AM69+'Marts 2023'!AN69)</f>
        <v>-23.07000000000005</v>
      </c>
    </row>
    <row r="70" spans="1:40" ht="22.35" customHeight="1" thickBot="1" x14ac:dyDescent="0.25">
      <c r="A70" s="4365"/>
      <c r="B70" s="3663" t="s">
        <v>143</v>
      </c>
      <c r="C70" s="3538"/>
      <c r="D70" s="3538"/>
      <c r="E70" s="644">
        <v>26</v>
      </c>
      <c r="F70" s="975">
        <v>26</v>
      </c>
      <c r="G70" s="644">
        <v>26</v>
      </c>
      <c r="H70" s="644">
        <v>23</v>
      </c>
      <c r="I70" s="644">
        <v>23</v>
      </c>
      <c r="J70" s="644" t="s">
        <v>0</v>
      </c>
      <c r="K70" s="644" t="s">
        <v>0</v>
      </c>
      <c r="L70" s="3538" t="s">
        <v>0</v>
      </c>
      <c r="M70" s="3538" t="s">
        <v>36</v>
      </c>
      <c r="N70" s="3538" t="s">
        <v>32</v>
      </c>
      <c r="O70" s="3550" t="s">
        <v>36</v>
      </c>
      <c r="P70" s="3616" t="s">
        <v>352</v>
      </c>
      <c r="Q70" s="3610" t="s">
        <v>0</v>
      </c>
      <c r="R70" s="3610" t="s">
        <v>0</v>
      </c>
      <c r="S70" s="4366" t="s">
        <v>32</v>
      </c>
      <c r="T70" s="4366" t="s">
        <v>32</v>
      </c>
      <c r="U70" s="4366" t="s">
        <v>32</v>
      </c>
      <c r="V70" s="4366" t="s">
        <v>32</v>
      </c>
      <c r="W70" s="4366" t="s">
        <v>32</v>
      </c>
      <c r="X70" s="4366" t="s">
        <v>32</v>
      </c>
      <c r="Y70" s="3538"/>
      <c r="Z70" s="4325">
        <v>10</v>
      </c>
      <c r="AA70" s="4325">
        <v>10</v>
      </c>
      <c r="AB70" s="4325">
        <v>10</v>
      </c>
      <c r="AC70" s="4327">
        <v>10</v>
      </c>
      <c r="AD70" s="4325">
        <v>10</v>
      </c>
      <c r="AE70" s="4327" t="s">
        <v>81</v>
      </c>
      <c r="AF70" s="4327" t="s">
        <v>81</v>
      </c>
      <c r="AG70" s="3661"/>
      <c r="AJ70" s="4162">
        <v>165.25</v>
      </c>
      <c r="AK70" s="4162">
        <v>8.5</v>
      </c>
      <c r="AL70" s="4162">
        <f t="shared" si="3"/>
        <v>173.75</v>
      </c>
      <c r="AM70" s="4163">
        <f t="shared" si="4"/>
        <v>13.419999999999987</v>
      </c>
      <c r="AN70" s="4163">
        <f>IF(AM70="","",AM70+'Marts 2023'!AN70)</f>
        <v>23.92999999999995</v>
      </c>
    </row>
    <row r="71" spans="1:40" ht="22.35" customHeight="1" x14ac:dyDescent="0.2">
      <c r="A71" s="4367"/>
      <c r="B71" s="3663" t="s">
        <v>144</v>
      </c>
      <c r="C71" s="3538"/>
      <c r="D71" s="3538"/>
      <c r="E71" s="3538" t="s">
        <v>266</v>
      </c>
      <c r="F71" s="3538" t="s">
        <v>266</v>
      </c>
      <c r="G71" s="3538" t="s">
        <v>266</v>
      </c>
      <c r="H71" s="3538"/>
      <c r="I71" s="3538"/>
      <c r="J71" s="3538"/>
      <c r="K71" s="3538"/>
      <c r="L71" s="3538"/>
      <c r="M71" s="3538" t="s">
        <v>266</v>
      </c>
      <c r="N71" s="3538" t="s">
        <v>266</v>
      </c>
      <c r="O71" s="3538" t="s">
        <v>266</v>
      </c>
      <c r="P71" s="3538" t="s">
        <v>266</v>
      </c>
      <c r="Q71" s="3538"/>
      <c r="R71" s="3538"/>
      <c r="S71" s="3538" t="s">
        <v>266</v>
      </c>
      <c r="T71" s="3538" t="s">
        <v>266</v>
      </c>
      <c r="U71" s="3538" t="s">
        <v>266</v>
      </c>
      <c r="V71" s="3538" t="s">
        <v>266</v>
      </c>
      <c r="W71" s="3538" t="s">
        <v>266</v>
      </c>
      <c r="X71" s="3538"/>
      <c r="Y71" s="3538"/>
      <c r="Z71" s="3538" t="s">
        <v>266</v>
      </c>
      <c r="AA71" s="3538" t="s">
        <v>266</v>
      </c>
      <c r="AB71" s="3538" t="s">
        <v>266</v>
      </c>
      <c r="AC71" s="3538" t="s">
        <v>266</v>
      </c>
      <c r="AD71" s="3538" t="s">
        <v>266</v>
      </c>
      <c r="AE71" s="3538"/>
      <c r="AF71" s="3538"/>
      <c r="AG71" s="3661"/>
      <c r="AJ71" s="4162">
        <v>148</v>
      </c>
      <c r="AK71" s="4162">
        <v>0</v>
      </c>
      <c r="AL71" s="4162">
        <f t="shared" si="3"/>
        <v>148</v>
      </c>
      <c r="AM71" s="4163">
        <f t="shared" si="4"/>
        <v>-12.330000000000013</v>
      </c>
      <c r="AN71" s="4163">
        <f>IF(AM71="","",AM71+'Marts 2023'!AN71)</f>
        <v>-72.57000000000005</v>
      </c>
    </row>
    <row r="72" spans="1:40" ht="22.35" customHeight="1" thickBot="1" x14ac:dyDescent="0.25">
      <c r="A72" s="453"/>
      <c r="B72" s="3663" t="s">
        <v>354</v>
      </c>
      <c r="C72" s="3538"/>
      <c r="D72" s="3604">
        <v>26</v>
      </c>
      <c r="E72" s="3538" t="s">
        <v>36</v>
      </c>
      <c r="F72" s="3538">
        <v>79</v>
      </c>
      <c r="G72" s="3538" t="s">
        <v>36</v>
      </c>
      <c r="H72" s="3538"/>
      <c r="I72" s="3538" t="s">
        <v>53</v>
      </c>
      <c r="J72" s="3538" t="s">
        <v>53</v>
      </c>
      <c r="K72" s="3538"/>
      <c r="L72" s="3538"/>
      <c r="M72" s="3602" t="s">
        <v>51</v>
      </c>
      <c r="N72" s="3667">
        <v>26</v>
      </c>
      <c r="O72" s="3602" t="s">
        <v>51</v>
      </c>
      <c r="P72" s="4361" t="s">
        <v>32</v>
      </c>
      <c r="Q72" s="3602"/>
      <c r="R72" s="3602" t="s">
        <v>101</v>
      </c>
      <c r="S72" s="3550" t="s">
        <v>36</v>
      </c>
      <c r="T72" s="3550" t="s">
        <v>36</v>
      </c>
      <c r="U72" s="3550" t="s">
        <v>36</v>
      </c>
      <c r="V72" s="3550" t="s">
        <v>36</v>
      </c>
      <c r="W72" s="3550" t="s">
        <v>36</v>
      </c>
      <c r="X72" s="3538"/>
      <c r="Y72" s="3616" t="s">
        <v>393</v>
      </c>
      <c r="Z72" s="3614">
        <v>26</v>
      </c>
      <c r="AA72" s="3614">
        <v>25</v>
      </c>
      <c r="AB72" s="644" t="s">
        <v>32</v>
      </c>
      <c r="AC72" s="3614">
        <v>25</v>
      </c>
      <c r="AD72" s="3614">
        <v>25</v>
      </c>
      <c r="AE72" s="3538"/>
      <c r="AF72" s="3535" t="s">
        <v>0</v>
      </c>
      <c r="AG72" s="3661"/>
      <c r="AH72" s="1"/>
      <c r="AJ72" s="4162">
        <v>115.5</v>
      </c>
      <c r="AK72" s="4162">
        <v>4.5</v>
      </c>
      <c r="AL72" s="4162">
        <f t="shared" si="3"/>
        <v>120</v>
      </c>
      <c r="AM72" s="4163">
        <f t="shared" si="4"/>
        <v>-40.330000000000013</v>
      </c>
      <c r="AN72" s="4163">
        <f>IF(AM72="","",AM72+'Marts 2023'!AN72)</f>
        <v>-44.32000000000005</v>
      </c>
    </row>
    <row r="73" spans="1:40" ht="22.35" customHeight="1" x14ac:dyDescent="0.2">
      <c r="A73" s="4367"/>
      <c r="B73" s="3677" t="s">
        <v>357</v>
      </c>
      <c r="C73" s="3538"/>
      <c r="D73" s="3538"/>
      <c r="E73" s="3538" t="s">
        <v>36</v>
      </c>
      <c r="F73" s="4366" t="s">
        <v>32</v>
      </c>
      <c r="G73" s="4366" t="s">
        <v>32</v>
      </c>
      <c r="H73" s="3538"/>
      <c r="I73" s="3538"/>
      <c r="J73" s="3538"/>
      <c r="K73" s="3538"/>
      <c r="L73" s="3538"/>
      <c r="M73" s="4366" t="s">
        <v>32</v>
      </c>
      <c r="N73" s="4366" t="s">
        <v>32</v>
      </c>
      <c r="O73" s="4366" t="s">
        <v>32</v>
      </c>
      <c r="P73" s="4366" t="s">
        <v>32</v>
      </c>
      <c r="Q73" s="4366" t="s">
        <v>32</v>
      </c>
      <c r="R73" s="3672">
        <v>26</v>
      </c>
      <c r="S73" s="4330">
        <v>69</v>
      </c>
      <c r="T73" s="4330">
        <v>69</v>
      </c>
      <c r="U73" s="4330" t="s">
        <v>427</v>
      </c>
      <c r="V73" s="4331">
        <v>69</v>
      </c>
      <c r="W73" s="4331">
        <v>69</v>
      </c>
      <c r="X73" s="3538"/>
      <c r="Y73" s="3538"/>
      <c r="Z73" s="4366" t="s">
        <v>32</v>
      </c>
      <c r="AA73" s="4366" t="s">
        <v>32</v>
      </c>
      <c r="AB73" s="4366" t="s">
        <v>32</v>
      </c>
      <c r="AC73" s="4366" t="s">
        <v>32</v>
      </c>
      <c r="AD73" s="4366" t="s">
        <v>32</v>
      </c>
      <c r="AE73" s="4366" t="s">
        <v>32</v>
      </c>
      <c r="AF73" s="3538"/>
      <c r="AG73" s="3661"/>
      <c r="AH73" s="1"/>
      <c r="AJ73" s="4162">
        <v>136.5</v>
      </c>
      <c r="AK73" s="4162">
        <v>4</v>
      </c>
      <c r="AL73" s="4162">
        <f t="shared" si="3"/>
        <v>140.5</v>
      </c>
      <c r="AM73" s="4163">
        <f t="shared" si="4"/>
        <v>-19.830000000000013</v>
      </c>
      <c r="AN73" s="4163">
        <f>IF(AM73="","",AM73+'Marts 2023'!AN73)</f>
        <v>-158.32000000000005</v>
      </c>
    </row>
    <row r="74" spans="1:40" ht="22.35" customHeight="1" x14ac:dyDescent="0.2">
      <c r="A74" s="4367"/>
      <c r="B74" s="3542" t="s">
        <v>380</v>
      </c>
      <c r="C74" s="3538"/>
      <c r="D74" s="3538"/>
      <c r="E74" s="3538" t="s">
        <v>95</v>
      </c>
      <c r="F74" s="3538" t="s">
        <v>95</v>
      </c>
      <c r="G74" s="3538" t="s">
        <v>95</v>
      </c>
      <c r="H74" s="3538"/>
      <c r="I74" s="3538"/>
      <c r="J74" s="3538"/>
      <c r="K74" s="3538"/>
      <c r="L74" s="3538"/>
      <c r="M74" s="3538">
        <v>26</v>
      </c>
      <c r="N74" s="3538" t="s">
        <v>32</v>
      </c>
      <c r="O74" s="3538">
        <v>26</v>
      </c>
      <c r="P74" s="3538">
        <v>26</v>
      </c>
      <c r="Q74" s="3538"/>
      <c r="R74" s="3681">
        <v>26</v>
      </c>
      <c r="S74" s="3681" t="s">
        <v>95</v>
      </c>
      <c r="T74" s="3680" t="s">
        <v>139</v>
      </c>
      <c r="U74" s="3681">
        <v>25</v>
      </c>
      <c r="V74" s="3681">
        <v>25</v>
      </c>
      <c r="W74" s="3681">
        <v>25</v>
      </c>
      <c r="X74" s="3538"/>
      <c r="Y74" s="3538"/>
      <c r="Z74" s="3616" t="s">
        <v>139</v>
      </c>
      <c r="AA74" s="3616" t="s">
        <v>393</v>
      </c>
      <c r="AB74" s="3616" t="s">
        <v>393</v>
      </c>
      <c r="AC74" s="3616" t="s">
        <v>393</v>
      </c>
      <c r="AD74" s="3616" t="s">
        <v>393</v>
      </c>
      <c r="AE74" s="644" t="s">
        <v>32</v>
      </c>
      <c r="AF74" s="644" t="s">
        <v>32</v>
      </c>
      <c r="AG74" s="3661"/>
      <c r="AH74" s="1"/>
      <c r="AJ74" s="4162">
        <v>191</v>
      </c>
      <c r="AK74" s="4162">
        <v>9.5</v>
      </c>
      <c r="AL74" s="4162">
        <f t="shared" si="3"/>
        <v>200.5</v>
      </c>
      <c r="AM74" s="4163">
        <f t="shared" si="4"/>
        <v>40.169999999999987</v>
      </c>
      <c r="AN74" s="4163">
        <f>IF(AM74="","",AM74+'Marts 2023'!AN74)</f>
        <v>17.17999999999995</v>
      </c>
    </row>
    <row r="75" spans="1:40" ht="22.35" customHeight="1" x14ac:dyDescent="0.2">
      <c r="A75" s="4367"/>
      <c r="B75" s="3542" t="s">
        <v>379</v>
      </c>
      <c r="C75" s="3667"/>
      <c r="D75" s="3667" t="s">
        <v>375</v>
      </c>
      <c r="E75" s="3605">
        <v>4</v>
      </c>
      <c r="F75" s="3605">
        <v>4</v>
      </c>
      <c r="G75" s="3605">
        <v>4</v>
      </c>
      <c r="H75" s="3538"/>
      <c r="I75" s="3538"/>
      <c r="J75" s="3538"/>
      <c r="K75" s="3538"/>
      <c r="L75" s="3538"/>
      <c r="M75" s="3538" t="s">
        <v>264</v>
      </c>
      <c r="N75" s="3550">
        <v>25</v>
      </c>
      <c r="O75" s="3550" t="s">
        <v>36</v>
      </c>
      <c r="P75" s="3616" t="s">
        <v>139</v>
      </c>
      <c r="Q75" s="3538"/>
      <c r="R75" s="3681"/>
      <c r="S75" s="3680" t="s">
        <v>32</v>
      </c>
      <c r="T75" s="4368" t="s">
        <v>32</v>
      </c>
      <c r="U75" s="3535">
        <v>79</v>
      </c>
      <c r="V75" s="3687">
        <v>79</v>
      </c>
      <c r="W75" s="3538">
        <v>25</v>
      </c>
      <c r="Y75" s="3538" t="s">
        <v>0</v>
      </c>
      <c r="Z75" s="3691">
        <v>26</v>
      </c>
      <c r="AA75" s="3691">
        <v>26</v>
      </c>
      <c r="AB75" s="3691">
        <v>26</v>
      </c>
      <c r="AC75" s="3691">
        <v>26</v>
      </c>
      <c r="AD75" s="3691">
        <v>26</v>
      </c>
      <c r="AE75" s="3605"/>
      <c r="AF75" s="3605"/>
      <c r="AG75" s="3684"/>
      <c r="AH75" s="1"/>
      <c r="AJ75" s="4162">
        <v>160.75</v>
      </c>
      <c r="AK75" s="4162">
        <v>5.5</v>
      </c>
      <c r="AL75" s="4162">
        <f t="shared" si="3"/>
        <v>166.25</v>
      </c>
      <c r="AM75" s="4163">
        <f>IF(AJ75="","",AL75-NormTid)</f>
        <v>5.9199999999999875</v>
      </c>
      <c r="AN75" s="4163">
        <f>IF(AM75="","",AM75+'Marts 2023'!AN75)</f>
        <v>-10.07000000000005</v>
      </c>
    </row>
    <row r="76" spans="1:40" ht="13.5" thickBot="1" x14ac:dyDescent="0.25">
      <c r="A76" s="4367"/>
      <c r="B76" s="3542" t="s">
        <v>383</v>
      </c>
      <c r="C76" s="3538"/>
      <c r="D76" s="3537"/>
      <c r="E76" s="3538" t="s">
        <v>32</v>
      </c>
      <c r="F76" s="3538" t="s">
        <v>32</v>
      </c>
      <c r="G76" s="3538" t="s">
        <v>32</v>
      </c>
      <c r="H76" s="3538"/>
      <c r="I76" s="3538"/>
      <c r="J76" s="3538"/>
      <c r="K76" s="3538"/>
      <c r="L76" s="3538"/>
      <c r="M76" s="3538" t="s">
        <v>32</v>
      </c>
      <c r="N76" s="3550" t="s">
        <v>32</v>
      </c>
      <c r="O76" s="3550" t="s">
        <v>32</v>
      </c>
      <c r="P76" s="3616" t="s">
        <v>32</v>
      </c>
      <c r="Q76" s="3538"/>
      <c r="R76" s="3538"/>
      <c r="S76" s="3616" t="s">
        <v>32</v>
      </c>
      <c r="T76" s="3535" t="s">
        <v>32</v>
      </c>
      <c r="U76" s="3535" t="s">
        <v>32</v>
      </c>
      <c r="V76" s="3550" t="s">
        <v>32</v>
      </c>
      <c r="W76" s="3538" t="s">
        <v>32</v>
      </c>
      <c r="X76" s="3538"/>
      <c r="Y76" s="3538"/>
      <c r="Z76" s="3538" t="s">
        <v>32</v>
      </c>
      <c r="AA76" s="3538" t="s">
        <v>32</v>
      </c>
      <c r="AB76" s="3538" t="s">
        <v>32</v>
      </c>
      <c r="AC76" s="3538" t="s">
        <v>32</v>
      </c>
      <c r="AD76" s="3538" t="s">
        <v>32</v>
      </c>
      <c r="AE76" s="3538"/>
      <c r="AF76" s="3538"/>
      <c r="AG76" s="3606"/>
      <c r="AH76" s="1"/>
      <c r="AJ76" s="4162" t="str">
        <f t="shared" ref="AJ76" si="6">IF(AH76="","",SUM(AH76:AI76))</f>
        <v/>
      </c>
      <c r="AK76" s="4162"/>
      <c r="AL76" s="4162" t="str">
        <f t="shared" si="3"/>
        <v/>
      </c>
      <c r="AM76" s="4163" t="str">
        <f t="shared" ref="AM76:AM79" si="7">IF(AJ76="","",AL76-NormTid)</f>
        <v/>
      </c>
      <c r="AN76" s="4163" t="str">
        <f>IF(AM76="","",AM76+'Marts 2023'!#REF!)</f>
        <v/>
      </c>
    </row>
    <row r="77" spans="1:40" ht="22.35" customHeight="1" x14ac:dyDescent="0.2">
      <c r="A77" s="4367"/>
      <c r="B77" s="3542" t="s">
        <v>478</v>
      </c>
      <c r="C77" s="851" t="s">
        <v>405</v>
      </c>
      <c r="D77" s="975" t="s">
        <v>405</v>
      </c>
      <c r="E77" s="851" t="s">
        <v>398</v>
      </c>
      <c r="F77" s="644" t="s">
        <v>398</v>
      </c>
      <c r="G77" s="644" t="s">
        <v>398</v>
      </c>
      <c r="H77" s="644" t="s">
        <v>398</v>
      </c>
      <c r="I77" s="644" t="s">
        <v>398</v>
      </c>
      <c r="J77" s="3538" t="s">
        <v>0</v>
      </c>
      <c r="K77" s="3538" t="s">
        <v>0</v>
      </c>
      <c r="L77" s="4147" t="s">
        <v>420</v>
      </c>
      <c r="M77" s="4147" t="s">
        <v>420</v>
      </c>
      <c r="N77" s="4147" t="s">
        <v>420</v>
      </c>
      <c r="O77" s="4147" t="s">
        <v>420</v>
      </c>
      <c r="P77" s="4147" t="s">
        <v>420</v>
      </c>
      <c r="Q77" s="3538"/>
      <c r="R77" s="3538"/>
      <c r="S77" s="4325">
        <v>10</v>
      </c>
      <c r="T77" s="4325">
        <v>10</v>
      </c>
      <c r="U77" s="4325">
        <v>10</v>
      </c>
      <c r="V77" s="4327">
        <v>10</v>
      </c>
      <c r="W77" s="4325">
        <v>10</v>
      </c>
      <c r="X77" s="3538" t="s">
        <v>81</v>
      </c>
      <c r="Y77" s="4327" t="s">
        <v>81</v>
      </c>
      <c r="Z77" s="3840" t="s">
        <v>36</v>
      </c>
      <c r="AA77" s="3840" t="s">
        <v>36</v>
      </c>
      <c r="AB77" s="3840" t="s">
        <v>36</v>
      </c>
      <c r="AC77" s="3840" t="s">
        <v>36</v>
      </c>
      <c r="AD77" s="3840" t="s">
        <v>36</v>
      </c>
      <c r="AE77" s="3538"/>
      <c r="AF77" s="3538"/>
      <c r="AG77" s="3606"/>
      <c r="AH77" s="1"/>
      <c r="AJ77" s="4162">
        <v>169.75</v>
      </c>
      <c r="AK77" s="4162">
        <v>6.75</v>
      </c>
      <c r="AL77" s="4162">
        <f t="shared" si="3"/>
        <v>176.5</v>
      </c>
      <c r="AM77" s="4163">
        <f>IF(AJ77="","",AL77-NormTid)</f>
        <v>16.169999999999987</v>
      </c>
      <c r="AN77" s="4163">
        <f>IF(AM77="","",AM77+'Marts 2023'!AN78)</f>
        <v>56.17999999999995</v>
      </c>
    </row>
    <row r="78" spans="1:40" ht="22.35" customHeight="1" x14ac:dyDescent="0.2">
      <c r="A78" s="3362"/>
      <c r="B78" s="3685" t="s">
        <v>446</v>
      </c>
      <c r="C78" s="3538"/>
      <c r="D78" s="3538"/>
      <c r="E78" s="3538" t="s">
        <v>134</v>
      </c>
      <c r="F78" s="3538" t="s">
        <v>134</v>
      </c>
      <c r="G78" s="3538" t="s">
        <v>134</v>
      </c>
      <c r="H78" s="3538"/>
      <c r="I78" s="3538"/>
      <c r="J78" s="3538"/>
      <c r="K78" s="3538"/>
      <c r="L78" s="3538"/>
      <c r="M78" s="3538" t="s">
        <v>134</v>
      </c>
      <c r="N78" s="3538" t="s">
        <v>134</v>
      </c>
      <c r="O78" s="3538" t="s">
        <v>134</v>
      </c>
      <c r="P78" s="3538" t="s">
        <v>134</v>
      </c>
      <c r="Q78" s="3538"/>
      <c r="R78" s="3667">
        <v>26</v>
      </c>
      <c r="S78" s="3667" t="s">
        <v>135</v>
      </c>
      <c r="T78" t="s">
        <v>134</v>
      </c>
      <c r="U78" t="s">
        <v>134</v>
      </c>
      <c r="V78" t="s">
        <v>134</v>
      </c>
      <c r="W78" t="s">
        <v>134</v>
      </c>
      <c r="X78" s="3538"/>
      <c r="Y78" s="3538"/>
      <c r="Z78" s="3538" t="s">
        <v>134</v>
      </c>
      <c r="AA78" s="3538" t="s">
        <v>134</v>
      </c>
      <c r="AB78" s="3538" t="s">
        <v>134</v>
      </c>
      <c r="AC78" s="3538" t="s">
        <v>134</v>
      </c>
      <c r="AD78" s="3538" t="s">
        <v>134</v>
      </c>
      <c r="AE78" s="3550"/>
      <c r="AF78" s="3550"/>
      <c r="AG78" s="3661"/>
      <c r="AH78" s="1"/>
      <c r="AJ78" s="4162">
        <v>157.5</v>
      </c>
      <c r="AK78" s="4162">
        <v>1.25</v>
      </c>
      <c r="AL78" s="4162">
        <f t="shared" si="3"/>
        <v>158.75</v>
      </c>
      <c r="AM78" s="4163">
        <f t="shared" si="7"/>
        <v>-1.5800000000000125</v>
      </c>
      <c r="AN78" s="4163">
        <f>IF(AM78="","",AM78+'Marts 2023'!AN76)</f>
        <v>19.42999999999995</v>
      </c>
    </row>
    <row r="79" spans="1:40" ht="22.35" customHeight="1" x14ac:dyDescent="0.2">
      <c r="A79" s="3362"/>
      <c r="B79" s="3542" t="s">
        <v>447</v>
      </c>
      <c r="C79" s="3616"/>
      <c r="D79" s="3539"/>
      <c r="E79" s="4366" t="s">
        <v>32</v>
      </c>
      <c r="F79" s="3538" t="s">
        <v>32</v>
      </c>
      <c r="G79" s="3538">
        <v>79</v>
      </c>
      <c r="H79" s="3538"/>
      <c r="I79" s="3538"/>
      <c r="J79" s="3538"/>
      <c r="K79" s="3538"/>
      <c r="L79" s="3538"/>
      <c r="M79" s="3538">
        <v>89</v>
      </c>
      <c r="N79" s="3538">
        <v>89</v>
      </c>
      <c r="O79" s="3616" t="s">
        <v>32</v>
      </c>
      <c r="P79" s="3616" t="s">
        <v>32</v>
      </c>
      <c r="Q79" s="3538">
        <v>89</v>
      </c>
      <c r="R79" s="3538" t="s">
        <v>0</v>
      </c>
      <c r="S79" s="3616" t="s">
        <v>92</v>
      </c>
      <c r="T79" s="3535">
        <v>4</v>
      </c>
      <c r="U79" s="3535" t="s">
        <v>32</v>
      </c>
      <c r="V79" s="644" t="s">
        <v>32</v>
      </c>
      <c r="W79" s="644">
        <v>23</v>
      </c>
      <c r="X79" s="4165" t="s">
        <v>32</v>
      </c>
      <c r="Y79" s="4165" t="s">
        <v>32</v>
      </c>
      <c r="Z79" s="3538" t="s">
        <v>36</v>
      </c>
      <c r="AA79" s="3604">
        <v>4</v>
      </c>
      <c r="AB79" s="644" t="s">
        <v>32</v>
      </c>
      <c r="AC79" s="3538" t="s">
        <v>32</v>
      </c>
      <c r="AD79" s="3603" t="s">
        <v>32</v>
      </c>
      <c r="AE79" s="3539"/>
      <c r="AF79" s="3616"/>
      <c r="AG79" s="3617"/>
      <c r="AH79" s="1"/>
      <c r="AJ79" s="4162">
        <v>140.75</v>
      </c>
      <c r="AK79" s="4162">
        <v>3.25</v>
      </c>
      <c r="AL79" s="4162">
        <f t="shared" si="3"/>
        <v>144</v>
      </c>
      <c r="AM79" s="4163">
        <f t="shared" si="7"/>
        <v>-16.330000000000013</v>
      </c>
      <c r="AN79" s="4163">
        <f>IF(AM79="","",AM79+'Marts 2023'!AN77)</f>
        <v>-8.82000000000005</v>
      </c>
    </row>
    <row r="80" spans="1:40" ht="22.35" customHeight="1" x14ac:dyDescent="0.2">
      <c r="A80" s="3362"/>
      <c r="B80" s="3542" t="s">
        <v>450</v>
      </c>
      <c r="C80" s="3616"/>
      <c r="D80" s="3539"/>
      <c r="E80" s="3538" t="s">
        <v>225</v>
      </c>
      <c r="F80" s="3538" t="s">
        <v>225</v>
      </c>
      <c r="G80" s="3538" t="s">
        <v>225</v>
      </c>
      <c r="H80" s="3538"/>
      <c r="I80" s="3538"/>
      <c r="J80" s="644">
        <v>23</v>
      </c>
      <c r="K80" s="644">
        <v>23</v>
      </c>
      <c r="L80" s="3538"/>
      <c r="M80" s="3538">
        <v>25</v>
      </c>
      <c r="N80" s="3538" t="s">
        <v>32</v>
      </c>
      <c r="O80" s="3550">
        <v>25</v>
      </c>
      <c r="P80" s="3680" t="s">
        <v>139</v>
      </c>
      <c r="Q80" s="3538"/>
      <c r="R80" s="3538"/>
      <c r="S80" s="3550" t="s">
        <v>36</v>
      </c>
      <c r="T80" s="3550" t="s">
        <v>32</v>
      </c>
      <c r="U80" s="3550" t="s">
        <v>32</v>
      </c>
      <c r="V80" s="3550" t="s">
        <v>32</v>
      </c>
      <c r="W80" s="3538" t="s">
        <v>36</v>
      </c>
      <c r="X80" s="3538" t="s">
        <v>53</v>
      </c>
      <c r="Y80" s="3538" t="s">
        <v>53</v>
      </c>
      <c r="Z80" s="3463" t="s">
        <v>32</v>
      </c>
      <c r="AA80" s="3463" t="s">
        <v>32</v>
      </c>
      <c r="AB80" s="3463" t="s">
        <v>32</v>
      </c>
      <c r="AC80" s="3463" t="s">
        <v>32</v>
      </c>
      <c r="AD80" s="3463" t="s">
        <v>32</v>
      </c>
      <c r="AE80" s="3463"/>
      <c r="AF80" s="3463"/>
      <c r="AG80" s="3617"/>
      <c r="AH80" s="1"/>
      <c r="AJ80" s="4162">
        <v>172.75</v>
      </c>
      <c r="AK80" s="4162">
        <v>3.75</v>
      </c>
      <c r="AL80" s="4162">
        <f t="shared" si="3"/>
        <v>176.5</v>
      </c>
      <c r="AM80" s="4163">
        <f t="shared" ref="AM80:AM86" si="8">IF(AJ80="","",AL80-NormTid)</f>
        <v>16.169999999999987</v>
      </c>
      <c r="AN80" s="4163">
        <f>IF(AM80="","",AM80+'Marts 2023'!AN79)</f>
        <v>21.92999999999995</v>
      </c>
    </row>
    <row r="81" spans="1:40" ht="22.35" customHeight="1" x14ac:dyDescent="0.2">
      <c r="A81" s="333"/>
      <c r="B81" s="3693" t="s">
        <v>279</v>
      </c>
      <c r="C81" s="4369"/>
      <c r="D81" s="4370"/>
      <c r="E81" s="3627" t="s">
        <v>32</v>
      </c>
      <c r="F81" s="3627" t="s">
        <v>32</v>
      </c>
      <c r="G81" s="3627" t="s">
        <v>32</v>
      </c>
      <c r="H81" s="3840"/>
      <c r="I81" s="3840"/>
      <c r="J81" s="3840"/>
      <c r="K81" s="3840"/>
      <c r="L81" s="3840"/>
      <c r="M81" s="3550" t="s">
        <v>32</v>
      </c>
      <c r="N81" s="3538" t="s">
        <v>32</v>
      </c>
      <c r="O81" s="3550" t="s">
        <v>32</v>
      </c>
      <c r="P81" s="4369" t="s">
        <v>32</v>
      </c>
      <c r="Q81" s="3840"/>
      <c r="R81" s="3840"/>
      <c r="S81" s="3550">
        <v>3</v>
      </c>
      <c r="T81" s="3550">
        <v>3</v>
      </c>
      <c r="U81" s="3550">
        <v>3</v>
      </c>
      <c r="V81" s="3550">
        <v>3</v>
      </c>
      <c r="W81" s="3550">
        <v>3</v>
      </c>
      <c r="X81" s="3840"/>
      <c r="Y81" s="3840"/>
      <c r="Z81" s="3550">
        <v>3</v>
      </c>
      <c r="AA81" s="3550">
        <v>3</v>
      </c>
      <c r="AB81" s="3550">
        <v>3</v>
      </c>
      <c r="AC81" s="3550">
        <v>3</v>
      </c>
      <c r="AD81" s="3550">
        <v>3</v>
      </c>
      <c r="AE81" s="4370"/>
      <c r="AF81" s="4369"/>
      <c r="AG81" s="4371"/>
      <c r="AH81" s="1"/>
      <c r="AJ81" s="4162">
        <v>154.25</v>
      </c>
      <c r="AK81" s="4162">
        <v>0</v>
      </c>
      <c r="AL81" s="4162">
        <f t="shared" si="3"/>
        <v>154.25</v>
      </c>
      <c r="AM81" s="4163">
        <f t="shared" si="8"/>
        <v>-6.0800000000000125</v>
      </c>
      <c r="AN81" s="4163">
        <f>IF(AM81="","",AM81+'Marts 2023'!AN81)</f>
        <v>9.589999999999975</v>
      </c>
    </row>
    <row r="82" spans="1:40" ht="22.35" customHeight="1" x14ac:dyDescent="0.2">
      <c r="B82" s="4166" t="s">
        <v>471</v>
      </c>
      <c r="C82" s="4135"/>
      <c r="D82" s="4135"/>
      <c r="E82" s="644" t="s">
        <v>32</v>
      </c>
      <c r="F82" s="644" t="s">
        <v>32</v>
      </c>
      <c r="G82" s="644" t="s">
        <v>32</v>
      </c>
      <c r="H82" s="3840"/>
      <c r="I82" s="3840"/>
      <c r="J82" s="3840"/>
      <c r="K82" s="3840"/>
      <c r="L82" s="3840"/>
      <c r="M82" s="4372" t="s">
        <v>32</v>
      </c>
      <c r="N82" s="4372" t="s">
        <v>32</v>
      </c>
      <c r="O82" s="4372" t="s">
        <v>32</v>
      </c>
      <c r="P82" s="4373" t="s">
        <v>32</v>
      </c>
      <c r="Q82" s="4372"/>
      <c r="R82" s="4372"/>
      <c r="S82" s="4372" t="s">
        <v>32</v>
      </c>
      <c r="T82" s="4372" t="s">
        <v>32</v>
      </c>
      <c r="U82" s="4372" t="s">
        <v>32</v>
      </c>
      <c r="V82" s="4372" t="s">
        <v>32</v>
      </c>
      <c r="W82" s="4372" t="s">
        <v>32</v>
      </c>
      <c r="X82" s="4372"/>
      <c r="Y82" s="4372"/>
      <c r="Z82" s="644" t="s">
        <v>32</v>
      </c>
      <c r="AA82" s="644" t="s">
        <v>32</v>
      </c>
      <c r="AB82" s="644" t="s">
        <v>32</v>
      </c>
      <c r="AC82" s="644" t="s">
        <v>32</v>
      </c>
      <c r="AD82" s="644" t="s">
        <v>32</v>
      </c>
      <c r="AE82" s="4135"/>
      <c r="AF82" s="4135"/>
      <c r="AG82" s="4374"/>
      <c r="AH82" s="1"/>
      <c r="AJ82" s="4162">
        <v>176</v>
      </c>
      <c r="AK82" s="4162">
        <v>6.5</v>
      </c>
      <c r="AL82" s="4162">
        <f t="shared" si="3"/>
        <v>182.5</v>
      </c>
      <c r="AM82" s="4163">
        <f t="shared" si="8"/>
        <v>22.169999999999987</v>
      </c>
      <c r="AN82" s="4163">
        <f>IF(AM82="","",AM82+'Marts 2023'!AN80)</f>
        <v>65.17999999999995</v>
      </c>
    </row>
    <row r="83" spans="1:40" ht="22.35" customHeight="1" x14ac:dyDescent="0.2">
      <c r="B83" s="4375" t="s">
        <v>501</v>
      </c>
      <c r="C83" s="4162"/>
      <c r="D83" s="4162"/>
      <c r="E83" s="4161"/>
      <c r="F83" s="4376" t="s">
        <v>203</v>
      </c>
      <c r="G83" s="4376" t="s">
        <v>203</v>
      </c>
      <c r="H83" s="4147"/>
      <c r="I83" s="4147"/>
      <c r="J83" s="4147"/>
      <c r="K83" s="4147"/>
      <c r="L83" s="4147"/>
      <c r="M83" s="4377">
        <v>3</v>
      </c>
      <c r="N83" s="4377">
        <v>3</v>
      </c>
      <c r="O83" s="4378">
        <v>89</v>
      </c>
      <c r="P83" s="4162">
        <v>3</v>
      </c>
      <c r="Q83" s="4256"/>
      <c r="R83" s="4256"/>
      <c r="S83" s="3550" t="s">
        <v>32</v>
      </c>
      <c r="T83" s="3550" t="s">
        <v>32</v>
      </c>
      <c r="U83" s="3550" t="s">
        <v>32</v>
      </c>
      <c r="V83" s="3550" t="s">
        <v>32</v>
      </c>
      <c r="W83" s="3550" t="s">
        <v>32</v>
      </c>
      <c r="X83" s="3840"/>
      <c r="Y83" s="3840"/>
      <c r="Z83" s="4379" t="s">
        <v>128</v>
      </c>
      <c r="AA83" s="4379" t="s">
        <v>128</v>
      </c>
      <c r="AB83" s="4379" t="s">
        <v>128</v>
      </c>
      <c r="AC83" s="4379" t="s">
        <v>128</v>
      </c>
      <c r="AD83" s="4379" t="s">
        <v>128</v>
      </c>
      <c r="AE83" s="4376" t="s">
        <v>127</v>
      </c>
      <c r="AF83" s="4256">
        <v>26</v>
      </c>
      <c r="AG83" s="4162"/>
      <c r="AH83" s="1"/>
      <c r="AI83" t="s">
        <v>229</v>
      </c>
      <c r="AJ83" s="4162">
        <v>192.5</v>
      </c>
      <c r="AK83" s="4162">
        <v>5</v>
      </c>
      <c r="AL83" s="4162">
        <f t="shared" si="3"/>
        <v>197.5</v>
      </c>
      <c r="AM83" s="4163">
        <f t="shared" si="8"/>
        <v>37.169999999999987</v>
      </c>
      <c r="AN83" s="4163">
        <f>IF(AM83="","",AM83)</f>
        <v>37.169999999999987</v>
      </c>
    </row>
    <row r="84" spans="1:40" ht="22.35" customHeight="1" x14ac:dyDescent="0.2">
      <c r="B84" s="4375" t="s">
        <v>502</v>
      </c>
      <c r="C84" s="4162"/>
      <c r="D84" s="4162"/>
      <c r="E84" s="4161"/>
      <c r="F84" s="4376" t="s">
        <v>470</v>
      </c>
      <c r="G84" s="4376" t="s">
        <v>470</v>
      </c>
      <c r="H84" s="4147"/>
      <c r="I84" s="4147"/>
      <c r="J84" s="4147"/>
      <c r="K84" s="4147"/>
      <c r="L84" s="4147"/>
      <c r="M84" s="4377">
        <v>25</v>
      </c>
      <c r="N84" s="4377">
        <v>25</v>
      </c>
      <c r="O84" s="4377">
        <v>25</v>
      </c>
      <c r="P84" s="4377">
        <v>25</v>
      </c>
      <c r="Q84" s="4256"/>
      <c r="R84" s="4256"/>
      <c r="S84" s="3550" t="s">
        <v>32</v>
      </c>
      <c r="T84" s="3550" t="s">
        <v>32</v>
      </c>
      <c r="U84" s="3550" t="s">
        <v>32</v>
      </c>
      <c r="V84" s="3550" t="s">
        <v>32</v>
      </c>
      <c r="W84" s="3550" t="s">
        <v>32</v>
      </c>
      <c r="X84" s="4256"/>
      <c r="Y84" s="4256"/>
      <c r="Z84" s="4380">
        <v>25</v>
      </c>
      <c r="AA84" s="4380">
        <v>25</v>
      </c>
      <c r="AB84" s="4376" t="s">
        <v>32</v>
      </c>
      <c r="AC84" s="3616" t="s">
        <v>139</v>
      </c>
      <c r="AD84" s="3616" t="s">
        <v>139</v>
      </c>
      <c r="AE84" s="4162"/>
      <c r="AF84" s="4162"/>
      <c r="AG84" s="4162"/>
      <c r="AH84" s="1"/>
      <c r="AJ84" s="4162">
        <v>179</v>
      </c>
      <c r="AK84" s="4162">
        <v>5.75</v>
      </c>
      <c r="AL84" s="4162">
        <f>IF(AJ84="","",SUM(AJ84:AK84))</f>
        <v>184.75</v>
      </c>
      <c r="AM84" s="4163">
        <f t="shared" si="8"/>
        <v>24.419999999999987</v>
      </c>
      <c r="AN84" s="4163">
        <f>IF(AM84="","",AM84)</f>
        <v>24.419999999999987</v>
      </c>
    </row>
    <row r="85" spans="1:40" ht="22.35" customHeight="1" x14ac:dyDescent="0.2">
      <c r="B85" s="4375" t="s">
        <v>503</v>
      </c>
      <c r="C85" s="4162"/>
      <c r="D85" s="4162"/>
      <c r="E85" s="4161"/>
      <c r="F85" s="4376" t="s">
        <v>500</v>
      </c>
      <c r="G85" s="4376" t="s">
        <v>500</v>
      </c>
      <c r="H85" s="4147"/>
      <c r="I85" s="4147"/>
      <c r="J85" s="4147"/>
      <c r="K85" s="4147"/>
      <c r="L85" s="4147"/>
      <c r="M85" s="4377">
        <v>9</v>
      </c>
      <c r="N85" s="4377">
        <v>9</v>
      </c>
      <c r="O85" s="4377">
        <v>9</v>
      </c>
      <c r="P85" s="4377">
        <v>9</v>
      </c>
      <c r="Q85" s="4256"/>
      <c r="R85" s="4256"/>
      <c r="S85" s="4162">
        <v>9</v>
      </c>
      <c r="T85" s="4162">
        <v>9</v>
      </c>
      <c r="U85" s="4162">
        <v>9</v>
      </c>
      <c r="V85" s="4162">
        <v>9</v>
      </c>
      <c r="W85" s="4162">
        <v>9</v>
      </c>
      <c r="X85" s="4162" t="s">
        <v>80</v>
      </c>
      <c r="Y85" s="4162" t="s">
        <v>81</v>
      </c>
      <c r="Z85" s="3840" t="s">
        <v>36</v>
      </c>
      <c r="AA85" s="3840" t="s">
        <v>36</v>
      </c>
      <c r="AB85" s="3840" t="s">
        <v>36</v>
      </c>
      <c r="AC85" s="3840" t="s">
        <v>36</v>
      </c>
      <c r="AD85" s="3840" t="s">
        <v>36</v>
      </c>
      <c r="AE85" s="4162"/>
      <c r="AF85" s="4162"/>
      <c r="AG85" s="4162"/>
      <c r="AH85" s="1"/>
      <c r="AJ85" s="4162">
        <v>130.25</v>
      </c>
      <c r="AK85" s="4162"/>
      <c r="AL85" s="4162">
        <f t="shared" si="3"/>
        <v>130.25</v>
      </c>
      <c r="AM85" s="4163">
        <f t="shared" si="8"/>
        <v>-30.080000000000013</v>
      </c>
      <c r="AN85" s="4163">
        <f>IF(AM85="","",AM85)</f>
        <v>-30.080000000000013</v>
      </c>
    </row>
    <row r="86" spans="1:40" ht="22.35" customHeight="1" thickBot="1" x14ac:dyDescent="0.25">
      <c r="B86" s="1182" t="s">
        <v>359</v>
      </c>
      <c r="C86" s="3528"/>
      <c r="D86" s="3528"/>
      <c r="E86" s="3610">
        <v>9</v>
      </c>
      <c r="F86" s="3610">
        <v>9</v>
      </c>
      <c r="G86" s="3610">
        <v>9</v>
      </c>
      <c r="H86" s="3610">
        <v>9</v>
      </c>
      <c r="I86" s="3610">
        <v>9</v>
      </c>
      <c r="J86" s="3528" t="s">
        <v>80</v>
      </c>
      <c r="K86" s="3610" t="s">
        <v>81</v>
      </c>
      <c r="L86" s="3614" t="s">
        <v>36</v>
      </c>
      <c r="M86" s="3610" t="s">
        <v>36</v>
      </c>
      <c r="N86" s="3614" t="s">
        <v>36</v>
      </c>
      <c r="O86" s="3614" t="s">
        <v>36</v>
      </c>
      <c r="P86" s="3538" t="s">
        <v>32</v>
      </c>
      <c r="Q86" s="3610" t="s">
        <v>82</v>
      </c>
      <c r="R86" s="3610" t="s">
        <v>83</v>
      </c>
      <c r="S86" s="3610">
        <v>6</v>
      </c>
      <c r="T86" s="3629">
        <v>6</v>
      </c>
      <c r="U86" s="3629">
        <v>6</v>
      </c>
      <c r="V86" s="3660">
        <v>6</v>
      </c>
      <c r="W86" s="3610">
        <v>6</v>
      </c>
      <c r="X86" s="3610"/>
      <c r="Y86" s="3528"/>
      <c r="Z86" s="3610" t="s">
        <v>36</v>
      </c>
      <c r="AA86" s="3610" t="s">
        <v>36</v>
      </c>
      <c r="AB86" s="3610" t="s">
        <v>36</v>
      </c>
      <c r="AC86" s="3610" t="s">
        <v>36</v>
      </c>
      <c r="AD86" s="3610" t="s">
        <v>36</v>
      </c>
      <c r="AE86" s="3528"/>
      <c r="AF86" s="3610"/>
      <c r="AG86" s="3615"/>
      <c r="AH86" s="1"/>
      <c r="AJ86" s="4162">
        <v>123.5</v>
      </c>
      <c r="AK86" s="4162">
        <v>7.75</v>
      </c>
      <c r="AL86" s="4162">
        <f t="shared" si="3"/>
        <v>131.25</v>
      </c>
      <c r="AM86" s="4163">
        <f t="shared" si="8"/>
        <v>-29.080000000000013</v>
      </c>
      <c r="AN86" s="4163">
        <f>IF(AM86="","",AM86)</f>
        <v>-29.080000000000013</v>
      </c>
    </row>
    <row r="87" spans="1:40" ht="22.35" customHeight="1" x14ac:dyDescent="0.2">
      <c r="A87" s="4381"/>
      <c r="B87" s="4382" t="s">
        <v>147</v>
      </c>
      <c r="C87" s="4383">
        <v>1</v>
      </c>
      <c r="D87" s="4383">
        <v>2</v>
      </c>
      <c r="E87" s="4384">
        <v>3</v>
      </c>
      <c r="F87" s="4384">
        <v>4</v>
      </c>
      <c r="G87" s="4384">
        <v>5</v>
      </c>
      <c r="H87" s="4383">
        <v>6</v>
      </c>
      <c r="I87" s="4383">
        <v>7</v>
      </c>
      <c r="J87" s="4383">
        <v>8</v>
      </c>
      <c r="K87" s="4383">
        <v>9</v>
      </c>
      <c r="L87" s="4383">
        <v>10</v>
      </c>
      <c r="M87" s="4384">
        <v>11</v>
      </c>
      <c r="N87" s="4384">
        <v>12</v>
      </c>
      <c r="O87" s="4384">
        <v>13</v>
      </c>
      <c r="P87" s="4384">
        <v>14</v>
      </c>
      <c r="Q87" s="4383">
        <v>15</v>
      </c>
      <c r="R87" s="4383">
        <v>16</v>
      </c>
      <c r="S87" s="4384">
        <v>17</v>
      </c>
      <c r="T87" s="4384">
        <v>18</v>
      </c>
      <c r="U87" s="4384">
        <v>19</v>
      </c>
      <c r="V87" s="4384">
        <v>20</v>
      </c>
      <c r="W87" s="4384">
        <v>21</v>
      </c>
      <c r="X87" s="4383">
        <v>22</v>
      </c>
      <c r="Y87" s="4383">
        <v>23</v>
      </c>
      <c r="Z87" s="4384">
        <v>24</v>
      </c>
      <c r="AA87" s="4384">
        <v>25</v>
      </c>
      <c r="AB87" s="4384">
        <v>26</v>
      </c>
      <c r="AC87" s="4384">
        <v>27</v>
      </c>
      <c r="AD87" s="4384">
        <v>28</v>
      </c>
      <c r="AE87" s="4383">
        <v>29</v>
      </c>
      <c r="AF87" s="4383">
        <v>30</v>
      </c>
      <c r="AG87" s="4385"/>
      <c r="AH87" s="1"/>
      <c r="AJ87" s="4162"/>
      <c r="AK87" s="4162"/>
      <c r="AL87" s="4162"/>
      <c r="AM87" s="4163" t="str">
        <f t="shared" ref="AM87:AM94" si="9">IF(AJ87="","",AL87-NormTid)</f>
        <v/>
      </c>
      <c r="AN87" s="4163"/>
    </row>
    <row r="88" spans="1:40" ht="22.35" customHeight="1" thickBot="1" x14ac:dyDescent="0.25">
      <c r="A88" s="4386"/>
      <c r="B88" s="1182"/>
      <c r="C88" s="3528"/>
      <c r="D88" s="3528"/>
      <c r="E88" s="3610"/>
      <c r="F88" s="3610"/>
      <c r="G88" s="3610"/>
      <c r="H88" s="3610"/>
      <c r="I88" s="3610"/>
      <c r="J88" s="3528"/>
      <c r="K88" s="3610"/>
      <c r="L88" s="3614"/>
      <c r="M88" s="3610"/>
      <c r="N88" s="3614"/>
      <c r="O88" s="3614"/>
      <c r="P88" s="3538"/>
      <c r="Q88" s="3610"/>
      <c r="R88" s="3610"/>
      <c r="S88" s="3610"/>
      <c r="T88" s="3610"/>
      <c r="U88" s="3610"/>
      <c r="V88" s="3610"/>
      <c r="W88" s="3610"/>
      <c r="X88" s="3610"/>
      <c r="Y88" s="3528"/>
      <c r="Z88" s="3610"/>
      <c r="AA88" s="3610"/>
      <c r="AB88" s="3610"/>
      <c r="AC88" s="3610"/>
      <c r="AD88" s="3610"/>
      <c r="AE88" s="3528"/>
      <c r="AF88" s="3610"/>
      <c r="AG88" s="3615"/>
      <c r="AH88" s="1"/>
      <c r="AJ88" s="4162"/>
      <c r="AK88" s="4162"/>
      <c r="AL88" s="4162"/>
      <c r="AM88" s="4163" t="str">
        <f t="shared" si="9"/>
        <v/>
      </c>
      <c r="AN88" s="4163"/>
    </row>
    <row r="89" spans="1:40" ht="22.35" customHeight="1" x14ac:dyDescent="0.2">
      <c r="A89" s="4386"/>
      <c r="B89" s="1182"/>
      <c r="C89" s="4162"/>
      <c r="D89" s="4162"/>
      <c r="E89" s="4162"/>
      <c r="F89" s="4162"/>
      <c r="G89" s="4162"/>
      <c r="H89" s="4162"/>
      <c r="I89" s="4162"/>
      <c r="J89" s="4162"/>
      <c r="K89" s="4162"/>
      <c r="L89" s="4162"/>
      <c r="M89" s="4162"/>
      <c r="N89" s="4162"/>
      <c r="O89" s="4162"/>
      <c r="P89" s="4162"/>
      <c r="Q89" s="4162"/>
      <c r="R89" s="4162"/>
      <c r="S89" s="4162"/>
      <c r="T89" s="4162"/>
      <c r="U89" s="4162"/>
      <c r="V89" s="4162"/>
      <c r="W89" s="4162"/>
      <c r="X89" s="4162"/>
      <c r="Y89" s="4162"/>
      <c r="Z89" s="4162"/>
      <c r="AA89" s="4162"/>
      <c r="AB89" s="4162"/>
      <c r="AC89" s="4162"/>
      <c r="AD89" s="4162"/>
      <c r="AE89" s="4162"/>
      <c r="AF89" s="4162"/>
      <c r="AG89" s="1312"/>
      <c r="AH89" s="1"/>
      <c r="AJ89" s="4162"/>
      <c r="AK89" s="4162"/>
      <c r="AL89" s="4162"/>
      <c r="AM89" s="4163" t="str">
        <f t="shared" si="9"/>
        <v/>
      </c>
      <c r="AN89" s="4163"/>
    </row>
    <row r="90" spans="1:40" ht="22.35" customHeight="1" x14ac:dyDescent="0.2">
      <c r="A90" s="4386"/>
      <c r="B90" s="1182"/>
      <c r="C90" s="4162"/>
      <c r="D90" s="4162"/>
      <c r="E90" s="4162"/>
      <c r="F90" s="4162"/>
      <c r="G90" s="4162"/>
      <c r="H90" s="4162"/>
      <c r="I90" s="4162"/>
      <c r="J90" s="4162"/>
      <c r="K90" s="4162"/>
      <c r="L90" s="4162"/>
      <c r="M90" s="4162"/>
      <c r="N90" s="4162"/>
      <c r="O90" s="4162"/>
      <c r="P90" s="4162"/>
      <c r="Q90" s="4162"/>
      <c r="R90" s="4162"/>
      <c r="S90" s="4162"/>
      <c r="T90" s="4162"/>
      <c r="U90" s="4162"/>
      <c r="V90" s="4162"/>
      <c r="W90" s="4162"/>
      <c r="X90" s="4162"/>
      <c r="Y90" s="4162"/>
      <c r="Z90" s="4162"/>
      <c r="AA90" s="4162"/>
      <c r="AB90" s="4162"/>
      <c r="AC90" s="4162"/>
      <c r="AD90" s="4162"/>
      <c r="AE90" s="4162"/>
      <c r="AF90" s="4162"/>
      <c r="AG90" s="1312"/>
      <c r="AH90" s="1"/>
      <c r="AJ90" s="4162"/>
      <c r="AK90" s="4162"/>
      <c r="AL90" s="4162"/>
      <c r="AM90" s="4163" t="str">
        <f t="shared" si="9"/>
        <v/>
      </c>
      <c r="AN90" s="4163"/>
    </row>
    <row r="91" spans="1:40" ht="22.35" customHeight="1" x14ac:dyDescent="0.2">
      <c r="A91" s="4386"/>
      <c r="B91" s="1182"/>
      <c r="C91" s="644"/>
      <c r="D91" s="644"/>
      <c r="E91" s="644"/>
      <c r="F91" s="974"/>
      <c r="G91" s="974"/>
      <c r="H91" s="1110"/>
      <c r="I91" s="1110"/>
      <c r="J91" s="1110"/>
      <c r="K91" s="1110"/>
      <c r="L91" s="1110"/>
      <c r="M91" s="1110"/>
      <c r="N91" s="1110"/>
      <c r="O91" s="1110"/>
      <c r="P91" s="1110"/>
      <c r="Q91" s="1110"/>
      <c r="R91" s="1110"/>
      <c r="S91" s="1110"/>
      <c r="T91" s="1110"/>
      <c r="U91" s="1110"/>
      <c r="V91" s="1110"/>
      <c r="W91" s="1110"/>
      <c r="X91" s="1110"/>
      <c r="Y91" s="1110"/>
      <c r="Z91" s="1110"/>
      <c r="AA91" s="1110"/>
      <c r="AB91" s="1110"/>
      <c r="AC91" s="1110"/>
      <c r="AD91" s="1110"/>
      <c r="AE91" s="1110"/>
      <c r="AF91" s="1110"/>
      <c r="AG91" s="613"/>
      <c r="AH91" s="1"/>
      <c r="AJ91" s="4162"/>
      <c r="AK91" s="4162"/>
      <c r="AL91" s="4162"/>
      <c r="AM91" s="4163" t="str">
        <f t="shared" si="9"/>
        <v/>
      </c>
      <c r="AN91" s="4163"/>
    </row>
    <row r="92" spans="1:40" ht="22.35" customHeight="1" x14ac:dyDescent="0.2">
      <c r="A92" s="4387"/>
      <c r="B92" s="1182"/>
      <c r="C92" s="644"/>
      <c r="D92" s="644"/>
      <c r="E92" s="644"/>
      <c r="F92" s="974"/>
      <c r="G92" s="974"/>
      <c r="H92" s="1110"/>
      <c r="I92" s="1110"/>
      <c r="J92" s="1110"/>
      <c r="K92" s="1110"/>
      <c r="L92" s="1110"/>
      <c r="M92" s="1110"/>
      <c r="N92" s="1110"/>
      <c r="O92" s="1110"/>
      <c r="P92" s="1110"/>
      <c r="Q92" s="1110"/>
      <c r="R92" s="1110"/>
      <c r="S92" s="1110"/>
      <c r="T92" s="1110"/>
      <c r="U92" s="1110"/>
      <c r="V92" s="1110"/>
      <c r="W92" s="1110"/>
      <c r="X92" s="1110"/>
      <c r="Y92" s="1110"/>
      <c r="Z92" s="1110"/>
      <c r="AA92" s="1110"/>
      <c r="AB92" s="1110"/>
      <c r="AC92" s="1110"/>
      <c r="AD92" s="1110"/>
      <c r="AE92" s="1110"/>
      <c r="AF92" s="1110"/>
      <c r="AG92" s="613"/>
      <c r="AH92" s="1"/>
      <c r="AJ92" s="4162"/>
      <c r="AK92" s="4162"/>
      <c r="AL92" s="4162"/>
      <c r="AM92" s="4163" t="str">
        <f t="shared" si="9"/>
        <v/>
      </c>
      <c r="AN92" s="4163"/>
    </row>
    <row r="93" spans="1:40" ht="22.35" customHeight="1" x14ac:dyDescent="0.2">
      <c r="A93" s="4387"/>
      <c r="B93" s="1182"/>
      <c r="C93" s="644"/>
      <c r="D93" s="644"/>
      <c r="E93" s="644"/>
      <c r="F93" s="974"/>
      <c r="G93" s="974"/>
      <c r="H93" s="1110"/>
      <c r="I93" s="1110"/>
      <c r="J93" s="1110"/>
      <c r="K93" s="1110"/>
      <c r="L93" s="1110"/>
      <c r="M93" s="1110"/>
      <c r="N93" s="1110"/>
      <c r="O93" s="1110"/>
      <c r="P93" s="1110"/>
      <c r="Q93" s="1110"/>
      <c r="R93" s="1110"/>
      <c r="S93" s="1110"/>
      <c r="T93" s="1110"/>
      <c r="U93" s="1110"/>
      <c r="V93" s="1110"/>
      <c r="W93" s="1110"/>
      <c r="X93" s="1110"/>
      <c r="Y93" s="1110"/>
      <c r="Z93" s="1110"/>
      <c r="AA93" s="1110"/>
      <c r="AB93" s="1110"/>
      <c r="AC93" s="1110"/>
      <c r="AD93" s="1110"/>
      <c r="AE93" s="1110"/>
      <c r="AF93" s="1110"/>
      <c r="AG93" s="613"/>
      <c r="AH93" s="1"/>
      <c r="AJ93" s="4162"/>
      <c r="AK93" s="4162"/>
      <c r="AL93" s="4162"/>
      <c r="AM93" s="4163" t="str">
        <f t="shared" si="9"/>
        <v/>
      </c>
      <c r="AN93" s="4163"/>
    </row>
    <row r="94" spans="1:40" ht="22.35" customHeight="1" thickBot="1" x14ac:dyDescent="0.25">
      <c r="A94" s="979"/>
      <c r="B94" s="1091"/>
      <c r="C94" s="863"/>
      <c r="D94" s="863"/>
      <c r="E94" s="863"/>
      <c r="F94" s="1693"/>
      <c r="G94" s="1693"/>
      <c r="H94" s="1093"/>
      <c r="I94" s="1093"/>
      <c r="J94" s="1093"/>
      <c r="K94" s="1093"/>
      <c r="L94" s="1093"/>
      <c r="M94" s="1093"/>
      <c r="N94" s="1093"/>
      <c r="O94" s="1093"/>
      <c r="P94" s="1093"/>
      <c r="Q94" s="1093"/>
      <c r="R94" s="1093"/>
      <c r="S94" s="1093"/>
      <c r="T94" s="1093"/>
      <c r="U94" s="1093"/>
      <c r="V94" s="1093"/>
      <c r="W94" s="1093"/>
      <c r="X94" s="1093"/>
      <c r="Y94" s="1093"/>
      <c r="Z94" s="1093"/>
      <c r="AA94" s="1093"/>
      <c r="AB94" s="1093"/>
      <c r="AC94" s="1093"/>
      <c r="AD94" s="1093"/>
      <c r="AE94" s="1093"/>
      <c r="AF94" s="1093"/>
      <c r="AG94" s="867"/>
      <c r="AH94" s="1"/>
      <c r="AJ94" s="4162"/>
      <c r="AK94" s="4162"/>
      <c r="AL94" s="4162"/>
      <c r="AM94" s="4163" t="str">
        <f t="shared" si="9"/>
        <v/>
      </c>
      <c r="AN94" s="4163"/>
    </row>
    <row r="95" spans="1:40" ht="22.35" customHeight="1" thickBot="1" x14ac:dyDescent="0.25">
      <c r="A95" s="64"/>
      <c r="B95" s="4175" t="s">
        <v>150</v>
      </c>
      <c r="C95" s="4388"/>
      <c r="D95" s="4389"/>
      <c r="E95" s="4389"/>
      <c r="F95" s="4389"/>
      <c r="G95" s="4389"/>
      <c r="H95" s="4389"/>
      <c r="I95" s="4388"/>
      <c r="J95" s="4388"/>
      <c r="K95" s="4389"/>
      <c r="L95" s="4389"/>
      <c r="M95" s="4389"/>
      <c r="N95" s="4389"/>
      <c r="O95" s="4389"/>
      <c r="P95" s="4388"/>
      <c r="Q95" s="4388"/>
      <c r="R95" s="4388"/>
      <c r="S95" s="4390"/>
      <c r="T95" s="4390"/>
      <c r="U95" s="4390"/>
      <c r="V95" s="4388"/>
      <c r="W95" s="4388"/>
      <c r="X95" s="4388"/>
      <c r="Y95" s="4388"/>
      <c r="Z95" s="4388"/>
      <c r="AA95" s="4388"/>
      <c r="AB95" s="4388"/>
      <c r="AC95" s="4388"/>
      <c r="AD95" s="4388"/>
      <c r="AE95" s="4388"/>
      <c r="AF95" s="4388"/>
      <c r="AG95" s="4391"/>
      <c r="AH95" s="1"/>
      <c r="AJ95" s="326"/>
      <c r="AK95" s="326"/>
      <c r="AL95" s="326"/>
      <c r="AM95" s="327"/>
      <c r="AN95" s="327"/>
    </row>
    <row r="96" spans="1:40" ht="22.35" customHeight="1" thickBot="1" x14ac:dyDescent="0.25">
      <c r="A96" s="64"/>
      <c r="B96" s="4392" t="s">
        <v>504</v>
      </c>
      <c r="C96" s="4147"/>
      <c r="D96" s="4160"/>
      <c r="E96" s="4160"/>
      <c r="F96" s="4160"/>
      <c r="G96" s="4160"/>
      <c r="H96" s="4160"/>
      <c r="I96" s="4147"/>
      <c r="J96" s="4147"/>
      <c r="K96" s="4160"/>
      <c r="L96" s="4160"/>
      <c r="M96" s="4160">
        <v>8</v>
      </c>
      <c r="N96" s="4160">
        <v>8</v>
      </c>
      <c r="O96" s="4160">
        <v>8</v>
      </c>
      <c r="P96" s="4302">
        <v>8</v>
      </c>
      <c r="Q96" s="4147"/>
      <c r="R96" s="4147"/>
      <c r="S96" s="3855" t="s">
        <v>36</v>
      </c>
      <c r="T96" s="3855" t="s">
        <v>36</v>
      </c>
      <c r="U96" s="3855" t="s">
        <v>36</v>
      </c>
      <c r="V96" s="4147" t="s">
        <v>36</v>
      </c>
      <c r="W96" s="4147" t="s">
        <v>36</v>
      </c>
      <c r="X96" s="4147"/>
      <c r="Y96" s="4147"/>
      <c r="Z96" s="4147">
        <v>1</v>
      </c>
      <c r="AA96" s="4147">
        <v>1</v>
      </c>
      <c r="AB96" s="4147">
        <v>1</v>
      </c>
      <c r="AC96" s="4147">
        <v>1</v>
      </c>
      <c r="AD96" s="4147">
        <v>1</v>
      </c>
      <c r="AE96" s="4147"/>
      <c r="AF96" s="4147"/>
      <c r="AG96" s="4147"/>
      <c r="AH96" s="1"/>
      <c r="AJ96" s="190"/>
      <c r="AK96" s="190"/>
      <c r="AL96" s="190"/>
      <c r="AM96" s="328"/>
      <c r="AN96" s="328"/>
    </row>
    <row r="97" spans="1:40" ht="22.35" customHeight="1" thickBot="1" x14ac:dyDescent="0.25">
      <c r="A97" s="4393"/>
      <c r="B97" s="481" t="s">
        <v>479</v>
      </c>
      <c r="C97" s="482" t="s">
        <v>83</v>
      </c>
      <c r="D97" s="483" t="s">
        <v>83</v>
      </c>
      <c r="E97" s="482" t="s">
        <v>392</v>
      </c>
      <c r="F97" s="484" t="s">
        <v>32</v>
      </c>
      <c r="G97" s="484">
        <v>8</v>
      </c>
      <c r="H97" s="484">
        <v>8</v>
      </c>
      <c r="I97" s="484">
        <v>8</v>
      </c>
      <c r="J97" s="484"/>
      <c r="K97" s="484"/>
      <c r="L97" s="484" t="s">
        <v>36</v>
      </c>
      <c r="M97" s="484" t="s">
        <v>36</v>
      </c>
      <c r="N97" s="484" t="s">
        <v>36</v>
      </c>
      <c r="O97" s="484" t="s">
        <v>36</v>
      </c>
      <c r="P97" s="484" t="s">
        <v>36</v>
      </c>
      <c r="Q97" s="484"/>
      <c r="R97" s="484"/>
      <c r="S97" s="484">
        <v>1</v>
      </c>
      <c r="T97" s="482" t="s">
        <v>32</v>
      </c>
      <c r="U97" s="482" t="s">
        <v>203</v>
      </c>
      <c r="V97" s="485">
        <v>69</v>
      </c>
      <c r="W97" s="482" t="s">
        <v>92</v>
      </c>
      <c r="X97" s="482"/>
      <c r="Y97" s="484"/>
      <c r="Z97" s="482" t="s">
        <v>32</v>
      </c>
      <c r="AA97" s="482" t="s">
        <v>32</v>
      </c>
      <c r="AB97" s="482" t="s">
        <v>32</v>
      </c>
      <c r="AC97" s="482" t="s">
        <v>500</v>
      </c>
      <c r="AD97" s="482" t="s">
        <v>505</v>
      </c>
      <c r="AE97" s="483" t="s">
        <v>80</v>
      </c>
      <c r="AF97" s="482" t="s">
        <v>81</v>
      </c>
      <c r="AG97" s="486"/>
      <c r="AH97" s="1"/>
      <c r="AJ97" s="190"/>
      <c r="AK97" s="190"/>
      <c r="AL97" s="190"/>
      <c r="AM97" s="328"/>
      <c r="AN97" s="328"/>
    </row>
    <row r="98" spans="1:40" ht="22.35" customHeight="1" x14ac:dyDescent="0.2">
      <c r="A98" s="324"/>
      <c r="AH98" s="1"/>
      <c r="AJ98" s="190"/>
      <c r="AK98" s="190"/>
      <c r="AL98" s="190"/>
      <c r="AM98" s="190"/>
      <c r="AN98" s="190"/>
    </row>
    <row r="99" spans="1:40" ht="22.35" customHeight="1" thickBot="1" x14ac:dyDescent="0.25">
      <c r="A99" s="3715"/>
      <c r="B99" s="4107" t="s">
        <v>29</v>
      </c>
      <c r="C99" s="3529">
        <v>1</v>
      </c>
      <c r="D99" s="3529">
        <v>2</v>
      </c>
      <c r="E99" s="3528">
        <v>3</v>
      </c>
      <c r="F99" s="3528">
        <v>4</v>
      </c>
      <c r="G99" s="3528">
        <v>5</v>
      </c>
      <c r="H99" s="3529">
        <v>6</v>
      </c>
      <c r="I99" s="3529">
        <v>7</v>
      </c>
      <c r="J99" s="3529">
        <v>8</v>
      </c>
      <c r="K99" s="3529">
        <v>9</v>
      </c>
      <c r="L99" s="3529">
        <v>10</v>
      </c>
      <c r="M99" s="3528">
        <v>11</v>
      </c>
      <c r="N99" s="3528">
        <v>12</v>
      </c>
      <c r="O99" s="3528">
        <v>13</v>
      </c>
      <c r="P99" s="3528">
        <v>14</v>
      </c>
      <c r="Q99" s="3529">
        <v>15</v>
      </c>
      <c r="R99" s="3529">
        <v>16</v>
      </c>
      <c r="S99" s="3528">
        <v>17</v>
      </c>
      <c r="T99" s="3528">
        <v>18</v>
      </c>
      <c r="U99" s="3528">
        <v>19</v>
      </c>
      <c r="V99" s="3528">
        <v>20</v>
      </c>
      <c r="W99" s="3528">
        <v>21</v>
      </c>
      <c r="X99" s="3529">
        <v>22</v>
      </c>
      <c r="Y99" s="3529">
        <v>23</v>
      </c>
      <c r="Z99" s="3528">
        <v>24</v>
      </c>
      <c r="AA99" s="3528">
        <v>25</v>
      </c>
      <c r="AB99" s="3528">
        <v>26</v>
      </c>
      <c r="AC99" s="3528">
        <v>27</v>
      </c>
      <c r="AD99" s="3528">
        <v>28</v>
      </c>
      <c r="AE99" s="3529">
        <v>29</v>
      </c>
      <c r="AF99" s="3529">
        <v>30</v>
      </c>
      <c r="AG99" s="3530"/>
      <c r="AH99" s="1"/>
    </row>
    <row r="100" spans="1:40" ht="22.35" customHeight="1" x14ac:dyDescent="0.2">
      <c r="A100" s="3715"/>
      <c r="B100" s="4394" t="s">
        <v>152</v>
      </c>
      <c r="C100" s="4302"/>
      <c r="D100" s="4395"/>
      <c r="E100" s="4302"/>
      <c r="F100" s="4302"/>
      <c r="G100" s="4302"/>
      <c r="H100" s="4302"/>
      <c r="I100" s="4302"/>
      <c r="J100" s="4302"/>
      <c r="K100" s="4302"/>
      <c r="L100" s="4302"/>
      <c r="M100" s="4302"/>
      <c r="N100" s="4302"/>
      <c r="O100" s="4302"/>
      <c r="P100" s="4302"/>
      <c r="Q100" s="4302"/>
      <c r="R100" s="4302"/>
      <c r="S100" s="4302"/>
      <c r="T100" s="4302"/>
      <c r="U100" s="4302"/>
      <c r="V100" s="4302"/>
      <c r="W100" s="4302"/>
      <c r="X100" s="4302"/>
      <c r="Y100" s="4302"/>
      <c r="Z100" s="4302"/>
      <c r="AA100" s="4302"/>
      <c r="AB100" s="4302"/>
      <c r="AC100" s="4302"/>
      <c r="AD100" s="4302"/>
      <c r="AE100" s="4302"/>
      <c r="AF100" s="4302"/>
      <c r="AG100" s="4345"/>
      <c r="AH100" s="1"/>
    </row>
    <row r="101" spans="1:40" ht="22.35" customHeight="1" x14ac:dyDescent="0.2">
      <c r="A101" s="3715"/>
      <c r="B101" s="3542"/>
      <c r="C101" s="3690"/>
      <c r="D101" s="3690"/>
      <c r="E101" s="3690"/>
      <c r="F101" s="3535"/>
      <c r="G101" s="3535"/>
      <c r="H101" s="3690"/>
      <c r="I101" s="3690"/>
      <c r="J101" s="3690"/>
      <c r="K101" s="3690"/>
      <c r="L101" s="3690"/>
      <c r="M101" s="3690"/>
      <c r="N101" s="3690"/>
      <c r="O101" s="3690"/>
      <c r="P101" s="3690"/>
      <c r="Q101" s="3690"/>
      <c r="R101" s="3690"/>
      <c r="S101" s="3690"/>
      <c r="T101" s="3538"/>
      <c r="U101" s="3690"/>
      <c r="V101" s="3690"/>
      <c r="W101" s="3690"/>
      <c r="X101" s="3690"/>
      <c r="Y101" s="3690"/>
      <c r="Z101" s="3690"/>
      <c r="AA101" s="3690"/>
      <c r="AB101" s="3690"/>
      <c r="AC101" s="3690"/>
      <c r="AD101" s="3690"/>
      <c r="AE101" s="3690"/>
      <c r="AF101" s="3690"/>
      <c r="AG101" s="3717"/>
      <c r="AH101" s="1"/>
    </row>
    <row r="102" spans="1:40" ht="22.35" customHeight="1" x14ac:dyDescent="0.2">
      <c r="A102" s="3715"/>
      <c r="B102" s="3542"/>
      <c r="C102" s="3538"/>
      <c r="D102" s="3538"/>
      <c r="E102" s="3538"/>
      <c r="F102" s="3538"/>
      <c r="G102" s="3538"/>
      <c r="H102" s="3538"/>
      <c r="I102" s="3538"/>
      <c r="J102" s="3538"/>
      <c r="K102" s="3538"/>
      <c r="L102" s="3538"/>
      <c r="M102" s="3538"/>
      <c r="N102" s="3538"/>
      <c r="O102" s="3538"/>
      <c r="P102" s="3538"/>
      <c r="Q102" s="3538"/>
      <c r="R102" s="3538"/>
      <c r="S102" s="3538"/>
      <c r="T102" s="3538"/>
      <c r="U102" s="3538"/>
      <c r="V102" s="3538"/>
      <c r="W102" s="3538"/>
      <c r="X102" s="3538"/>
      <c r="Y102" s="3538"/>
      <c r="Z102" s="3538"/>
      <c r="AA102" s="3538"/>
      <c r="AB102" s="3538"/>
      <c r="AC102" s="3538"/>
      <c r="AD102" s="3538"/>
      <c r="AE102" s="3538"/>
      <c r="AF102" s="3538"/>
      <c r="AG102" s="3606"/>
      <c r="AH102" s="1"/>
    </row>
    <row r="103" spans="1:40" ht="22.35" customHeight="1" thickBot="1" x14ac:dyDescent="0.25">
      <c r="A103" s="197"/>
      <c r="B103" s="3608"/>
      <c r="C103" s="3721"/>
      <c r="D103" s="3721"/>
      <c r="E103" s="3721"/>
      <c r="F103" s="3721"/>
      <c r="G103" s="3721"/>
      <c r="H103" s="3721"/>
      <c r="I103" s="3721"/>
      <c r="J103" s="3721"/>
      <c r="K103" s="3721"/>
      <c r="L103" s="3721"/>
      <c r="M103" s="3721"/>
      <c r="N103" s="3721"/>
      <c r="O103" s="3721"/>
      <c r="P103" s="3721"/>
      <c r="Q103" s="3721"/>
      <c r="R103" s="3721"/>
      <c r="S103" s="3721"/>
      <c r="T103" s="3721"/>
      <c r="U103" s="3721"/>
      <c r="V103" s="3721"/>
      <c r="W103" s="3721"/>
      <c r="X103" s="3721"/>
      <c r="Y103" s="3721"/>
      <c r="Z103" s="3721"/>
      <c r="AA103" s="3721"/>
      <c r="AB103" s="3721"/>
      <c r="AC103" s="3721"/>
      <c r="AD103" s="3721"/>
      <c r="AE103" s="3721"/>
      <c r="AF103" s="3721"/>
      <c r="AG103" s="3530"/>
      <c r="AH103" s="1"/>
    </row>
    <row r="104" spans="1:40" ht="22.35" customHeight="1" x14ac:dyDescent="0.2">
      <c r="A104" s="197"/>
      <c r="B104" s="198"/>
      <c r="C104" s="218"/>
      <c r="D104" s="218"/>
      <c r="E104" s="218"/>
      <c r="F104" s="218"/>
      <c r="G104" s="218"/>
      <c r="H104" s="218"/>
      <c r="I104" s="218"/>
      <c r="J104" s="218"/>
      <c r="K104" s="218"/>
      <c r="L104" s="218"/>
      <c r="M104" s="218"/>
      <c r="N104" s="218"/>
      <c r="O104" s="218"/>
      <c r="P104" s="218"/>
      <c r="Q104" s="218"/>
      <c r="R104" s="218"/>
      <c r="S104" s="218"/>
      <c r="T104" s="218"/>
      <c r="U104" s="218"/>
      <c r="V104" s="218"/>
      <c r="W104" s="218"/>
      <c r="X104" s="218"/>
      <c r="Y104" s="218"/>
      <c r="Z104" s="218"/>
      <c r="AA104" s="218"/>
      <c r="AB104" s="218"/>
      <c r="AC104" s="218"/>
      <c r="AD104" s="218"/>
      <c r="AE104" s="218"/>
      <c r="AF104" s="218"/>
      <c r="AG104" s="199"/>
      <c r="AH104" s="1"/>
    </row>
    <row r="105" spans="1:40" ht="22.35" customHeight="1" thickBot="1" x14ac:dyDescent="0.25">
      <c r="A105" s="345" t="s">
        <v>395</v>
      </c>
      <c r="B105" s="198"/>
      <c r="C105" s="218"/>
      <c r="D105" s="218"/>
      <c r="E105" s="218"/>
      <c r="F105" s="218"/>
      <c r="G105" s="218"/>
      <c r="H105" s="218"/>
      <c r="I105" s="218"/>
      <c r="J105" s="218"/>
      <c r="K105" s="218"/>
      <c r="L105" s="218"/>
      <c r="M105" s="218"/>
      <c r="N105" s="218"/>
      <c r="O105" s="218"/>
      <c r="P105" s="218"/>
      <c r="Q105" s="218"/>
      <c r="R105" s="218"/>
      <c r="S105" s="218"/>
      <c r="T105" s="218"/>
      <c r="U105" s="218"/>
      <c r="V105" s="218"/>
      <c r="W105" s="218"/>
      <c r="X105" s="218"/>
      <c r="Y105" s="218"/>
      <c r="Z105" s="218"/>
      <c r="AA105" s="218"/>
      <c r="AB105" s="218"/>
      <c r="AC105" s="218"/>
      <c r="AD105" s="218"/>
      <c r="AE105" s="218"/>
      <c r="AF105" s="218"/>
      <c r="AG105" s="199"/>
      <c r="AH105" s="1"/>
    </row>
    <row r="106" spans="1:40" ht="22.35" customHeight="1" thickBot="1" x14ac:dyDescent="0.3">
      <c r="A106" s="197"/>
      <c r="B106" s="346" t="s">
        <v>411</v>
      </c>
      <c r="C106" s="347"/>
      <c r="D106" s="347"/>
      <c r="E106" s="348" t="s">
        <v>456</v>
      </c>
      <c r="F106" s="347"/>
      <c r="G106" s="347"/>
      <c r="H106" s="347"/>
      <c r="I106" s="347"/>
      <c r="J106" s="347"/>
      <c r="K106" s="348" t="s">
        <v>457</v>
      </c>
      <c r="L106" s="347"/>
      <c r="M106" s="347"/>
      <c r="N106" s="347"/>
      <c r="O106" s="347"/>
      <c r="P106" s="347"/>
      <c r="Q106" s="348" t="s">
        <v>458</v>
      </c>
      <c r="R106" s="347"/>
      <c r="S106" s="347"/>
      <c r="T106" s="349"/>
      <c r="U106" s="170"/>
      <c r="V106" s="170"/>
      <c r="W106" s="170"/>
      <c r="X106" s="170"/>
      <c r="Y106" s="170"/>
      <c r="Z106" s="170"/>
      <c r="AA106" s="170"/>
      <c r="AB106" s="170"/>
      <c r="AC106" s="170"/>
      <c r="AD106" s="170"/>
      <c r="AE106" s="170"/>
      <c r="AF106" s="170"/>
      <c r="AG106" s="170"/>
      <c r="AH106" s="1"/>
    </row>
    <row r="107" spans="1:40" ht="22.35" customHeight="1" thickBot="1" x14ac:dyDescent="0.3">
      <c r="A107" s="197"/>
      <c r="B107" s="346" t="s">
        <v>415</v>
      </c>
      <c r="C107" s="347"/>
      <c r="D107" s="347"/>
      <c r="E107" s="350" t="s">
        <v>459</v>
      </c>
      <c r="F107" s="347"/>
      <c r="G107" s="347"/>
      <c r="H107" s="347"/>
      <c r="I107" s="347"/>
      <c r="J107" s="347"/>
      <c r="K107" s="347" t="s">
        <v>460</v>
      </c>
      <c r="L107" s="347"/>
      <c r="M107" s="347"/>
      <c r="N107" s="347"/>
      <c r="O107" s="347"/>
      <c r="P107" s="347"/>
      <c r="Q107" s="347"/>
      <c r="R107" s="347"/>
      <c r="S107" s="347"/>
      <c r="T107" s="349"/>
      <c r="U107" s="170"/>
      <c r="V107" s="170"/>
      <c r="W107" s="170"/>
      <c r="X107" s="170"/>
      <c r="Y107" s="170"/>
      <c r="Z107" s="170"/>
      <c r="AA107" s="170"/>
      <c r="AB107" s="170"/>
      <c r="AC107" s="170"/>
      <c r="AD107" s="170"/>
      <c r="AE107" s="170"/>
      <c r="AF107" s="170"/>
      <c r="AG107" s="170"/>
      <c r="AH107" s="1"/>
    </row>
    <row r="108" spans="1:40" ht="22.35" customHeight="1" thickBot="1" x14ac:dyDescent="0.3">
      <c r="A108" s="197"/>
      <c r="B108" s="346"/>
      <c r="C108" s="347"/>
      <c r="D108" s="347"/>
      <c r="E108" s="350" t="s">
        <v>418</v>
      </c>
      <c r="F108" s="347"/>
      <c r="G108" s="347"/>
      <c r="H108" s="347"/>
      <c r="I108" s="347"/>
      <c r="J108" s="347"/>
      <c r="K108" s="369" t="s">
        <v>17</v>
      </c>
      <c r="L108" s="351"/>
      <c r="M108" s="351"/>
      <c r="N108" s="351"/>
      <c r="O108" s="351"/>
      <c r="P108" s="351"/>
      <c r="Q108" s="351"/>
      <c r="R108" s="351"/>
      <c r="S108" s="351"/>
      <c r="T108" s="352"/>
      <c r="U108" s="170"/>
      <c r="V108" s="170"/>
      <c r="W108" s="170"/>
      <c r="X108" s="170"/>
      <c r="Y108" s="170"/>
      <c r="Z108" s="170"/>
      <c r="AA108" s="170"/>
      <c r="AB108" s="170"/>
      <c r="AC108" s="170"/>
      <c r="AD108" s="170"/>
      <c r="AE108" s="170"/>
      <c r="AF108" s="170"/>
      <c r="AG108" s="170"/>
      <c r="AH108" s="1"/>
    </row>
    <row r="109" spans="1:40" ht="22.35" customHeight="1" x14ac:dyDescent="0.25">
      <c r="A109" s="197"/>
      <c r="B109" s="170"/>
      <c r="C109" s="170"/>
      <c r="D109" s="170"/>
      <c r="E109" s="370"/>
      <c r="F109" s="170"/>
      <c r="G109" s="170"/>
      <c r="H109" s="170"/>
      <c r="I109" s="170"/>
      <c r="J109" s="170"/>
      <c r="K109" s="370"/>
      <c r="L109" s="170"/>
      <c r="M109" s="170"/>
      <c r="N109" s="170"/>
      <c r="O109" s="170"/>
      <c r="P109" s="170"/>
      <c r="Q109" s="170"/>
      <c r="R109" s="170"/>
      <c r="S109" s="170"/>
      <c r="T109" s="170"/>
      <c r="U109" s="170"/>
      <c r="V109" s="170"/>
      <c r="W109" s="170"/>
      <c r="X109" s="170"/>
      <c r="Y109" s="170"/>
      <c r="Z109" s="170"/>
      <c r="AA109" s="170"/>
      <c r="AB109" s="170"/>
      <c r="AC109" s="170"/>
      <c r="AD109" s="170"/>
      <c r="AE109" s="170"/>
      <c r="AF109" s="170"/>
      <c r="AG109" s="170"/>
      <c r="AH109" s="1"/>
    </row>
    <row r="110" spans="1:40" ht="22.35" customHeight="1" thickBot="1" x14ac:dyDescent="0.3">
      <c r="A110" s="197"/>
      <c r="B110" s="4179" t="s">
        <v>29</v>
      </c>
      <c r="C110" s="3529">
        <v>1</v>
      </c>
      <c r="D110" s="3529">
        <v>2</v>
      </c>
      <c r="E110" s="3528">
        <v>3</v>
      </c>
      <c r="F110" s="3528">
        <v>4</v>
      </c>
      <c r="G110" s="3528">
        <v>5</v>
      </c>
      <c r="H110" s="3529">
        <v>6</v>
      </c>
      <c r="I110" s="3529">
        <v>7</v>
      </c>
      <c r="J110" s="3529">
        <v>8</v>
      </c>
      <c r="K110" s="3529">
        <v>9</v>
      </c>
      <c r="L110" s="3529">
        <v>10</v>
      </c>
      <c r="M110" s="3528">
        <v>11</v>
      </c>
      <c r="N110" s="3528">
        <v>12</v>
      </c>
      <c r="O110" s="3528">
        <v>13</v>
      </c>
      <c r="P110" s="3528">
        <v>14</v>
      </c>
      <c r="Q110" s="3529">
        <v>15</v>
      </c>
      <c r="R110" s="3529">
        <v>16</v>
      </c>
      <c r="S110" s="3528">
        <v>17</v>
      </c>
      <c r="T110" s="3528">
        <v>18</v>
      </c>
      <c r="U110" s="3528">
        <v>19</v>
      </c>
      <c r="V110" s="3528">
        <v>20</v>
      </c>
      <c r="W110" s="3528">
        <v>21</v>
      </c>
      <c r="X110" s="3529">
        <v>22</v>
      </c>
      <c r="Y110" s="3529">
        <v>23</v>
      </c>
      <c r="Z110" s="3528">
        <v>24</v>
      </c>
      <c r="AA110" s="3528">
        <v>25</v>
      </c>
      <c r="AB110" s="3528">
        <v>26</v>
      </c>
      <c r="AC110" s="3528">
        <v>27</v>
      </c>
      <c r="AD110" s="3528">
        <v>28</v>
      </c>
      <c r="AE110" s="3529">
        <v>29</v>
      </c>
      <c r="AF110" s="3529">
        <v>30</v>
      </c>
      <c r="AG110" s="3530"/>
      <c r="AH110" s="1"/>
      <c r="AJ110" s="1181" t="s">
        <v>30</v>
      </c>
      <c r="AK110" s="1181" t="s">
        <v>44</v>
      </c>
      <c r="AL110" s="1181" t="s">
        <v>45</v>
      </c>
      <c r="AM110" s="1181" t="s">
        <v>46</v>
      </c>
      <c r="AN110" s="1181" t="s">
        <v>47</v>
      </c>
    </row>
    <row r="111" spans="1:40" ht="22.35" customHeight="1" thickBot="1" x14ac:dyDescent="0.25">
      <c r="B111" s="4180" t="s">
        <v>419</v>
      </c>
      <c r="C111" s="4396" t="s">
        <v>409</v>
      </c>
      <c r="D111" s="4397" t="s">
        <v>468</v>
      </c>
      <c r="E111" s="4398" t="s">
        <v>36</v>
      </c>
      <c r="F111" s="4398" t="s">
        <v>36</v>
      </c>
      <c r="G111" s="4398" t="s">
        <v>36</v>
      </c>
      <c r="H111" s="4399" t="s">
        <v>36</v>
      </c>
      <c r="I111" s="4399" t="s">
        <v>36</v>
      </c>
      <c r="J111" s="4147" t="s">
        <v>405</v>
      </c>
      <c r="K111" s="4147" t="s">
        <v>405</v>
      </c>
      <c r="L111" s="4399" t="s">
        <v>398</v>
      </c>
      <c r="M111" s="4399" t="s">
        <v>398</v>
      </c>
      <c r="N111" s="4399" t="s">
        <v>398</v>
      </c>
      <c r="O111" s="4399" t="s">
        <v>398</v>
      </c>
      <c r="P111" s="4399" t="s">
        <v>398</v>
      </c>
      <c r="Q111" s="4399"/>
      <c r="R111" s="4399"/>
      <c r="S111" s="4399" t="s">
        <v>420</v>
      </c>
      <c r="T111" s="4400" t="s">
        <v>420</v>
      </c>
      <c r="U111" s="4400" t="s">
        <v>420</v>
      </c>
      <c r="V111" s="4401" t="s">
        <v>420</v>
      </c>
      <c r="W111" s="4402" t="s">
        <v>420</v>
      </c>
      <c r="X111" s="4400" t="s">
        <v>0</v>
      </c>
      <c r="Y111" s="4399" t="s">
        <v>0</v>
      </c>
      <c r="Z111" s="4400" t="s">
        <v>36</v>
      </c>
      <c r="AA111" s="4400" t="s">
        <v>36</v>
      </c>
      <c r="AB111" s="4400" t="s">
        <v>36</v>
      </c>
      <c r="AC111" s="4400" t="s">
        <v>36</v>
      </c>
      <c r="AD111" s="4400" t="s">
        <v>36</v>
      </c>
      <c r="AE111" s="4403"/>
      <c r="AF111" s="4400"/>
      <c r="AG111" s="4404"/>
      <c r="AH111" s="1"/>
      <c r="AJ111" s="4162">
        <f>$AJ$12</f>
        <v>160.33000000000001</v>
      </c>
      <c r="AK111" s="4162"/>
      <c r="AL111" s="4162">
        <v>130.15</v>
      </c>
      <c r="AM111" s="4163">
        <f t="shared" ref="AM111:AM115" si="10">IF(AJ111="","",AL111-NormTid)</f>
        <v>-30.180000000000007</v>
      </c>
      <c r="AN111" s="4163">
        <f>IF(AM111="","",AM111+'Marts 2023'!AN105)</f>
        <v>-43.510000000000019</v>
      </c>
    </row>
    <row r="112" spans="1:40" ht="22.35" customHeight="1" x14ac:dyDescent="0.2">
      <c r="B112" s="4188" t="s">
        <v>397</v>
      </c>
      <c r="C112" s="4161" t="s">
        <v>0</v>
      </c>
      <c r="D112" s="4189" t="s">
        <v>0</v>
      </c>
      <c r="E112" s="4161" t="s">
        <v>36</v>
      </c>
      <c r="F112" s="4147" t="s">
        <v>36</v>
      </c>
      <c r="G112" s="4147" t="s">
        <v>36</v>
      </c>
      <c r="H112" s="4147" t="s">
        <v>36</v>
      </c>
      <c r="I112" s="4147" t="s">
        <v>36</v>
      </c>
      <c r="J112" s="4147" t="s">
        <v>0</v>
      </c>
      <c r="K112" s="4147" t="s">
        <v>0</v>
      </c>
      <c r="L112" s="4147" t="s">
        <v>400</v>
      </c>
      <c r="M112" s="4147" t="s">
        <v>400</v>
      </c>
      <c r="N112" s="4147" t="s">
        <v>400</v>
      </c>
      <c r="O112" s="4147" t="s">
        <v>400</v>
      </c>
      <c r="P112" s="4147" t="s">
        <v>400</v>
      </c>
      <c r="Q112" s="4147" t="s">
        <v>409</v>
      </c>
      <c r="R112" s="4147" t="s">
        <v>409</v>
      </c>
      <c r="S112" s="4147" t="s">
        <v>36</v>
      </c>
      <c r="T112" s="4190" t="s">
        <v>36</v>
      </c>
      <c r="U112" s="4190" t="s">
        <v>36</v>
      </c>
      <c r="V112" s="4161" t="s">
        <v>36</v>
      </c>
      <c r="W112" s="4161" t="s">
        <v>36</v>
      </c>
      <c r="X112" s="4400" t="s">
        <v>405</v>
      </c>
      <c r="Y112" s="4399" t="s">
        <v>405</v>
      </c>
      <c r="Z112" s="4161" t="s">
        <v>398</v>
      </c>
      <c r="AA112" s="4161" t="s">
        <v>398</v>
      </c>
      <c r="AB112" s="4161" t="s">
        <v>398</v>
      </c>
      <c r="AC112" s="4162" t="s">
        <v>398</v>
      </c>
      <c r="AD112" s="4161" t="s">
        <v>398</v>
      </c>
      <c r="AE112" s="4189"/>
      <c r="AF112" s="4161"/>
      <c r="AG112" s="4191"/>
      <c r="AH112" s="1"/>
      <c r="AJ112" s="4162">
        <f t="shared" ref="AJ112:AJ115" si="11">$AJ$12</f>
        <v>160.33000000000001</v>
      </c>
      <c r="AK112" s="4162"/>
      <c r="AL112" s="4162">
        <v>131.30000000000001</v>
      </c>
      <c r="AM112" s="4163">
        <f t="shared" si="10"/>
        <v>-29.03</v>
      </c>
      <c r="AN112" s="4163">
        <f>IF(AM112="","",AM112+'Marts 2023'!AN106)</f>
        <v>-18.060000000000002</v>
      </c>
    </row>
    <row r="113" spans="1:40" ht="22.35" customHeight="1" x14ac:dyDescent="0.2">
      <c r="B113" s="3730" t="s">
        <v>0</v>
      </c>
      <c r="C113" s="4161" t="s">
        <v>405</v>
      </c>
      <c r="D113" s="4189" t="s">
        <v>405</v>
      </c>
      <c r="E113" s="4161" t="s">
        <v>398</v>
      </c>
      <c r="F113" s="4147" t="s">
        <v>398</v>
      </c>
      <c r="G113" s="4147" t="s">
        <v>398</v>
      </c>
      <c r="H113" s="4147" t="s">
        <v>398</v>
      </c>
      <c r="I113" s="4147" t="s">
        <v>398</v>
      </c>
      <c r="J113" s="4147"/>
      <c r="K113" s="4147"/>
      <c r="L113" s="4147" t="s">
        <v>420</v>
      </c>
      <c r="M113" s="4147" t="s">
        <v>420</v>
      </c>
      <c r="N113" s="4147" t="s">
        <v>420</v>
      </c>
      <c r="O113" s="4147" t="s">
        <v>420</v>
      </c>
      <c r="P113" s="4147" t="s">
        <v>420</v>
      </c>
      <c r="Q113" s="4147" t="s">
        <v>0</v>
      </c>
      <c r="R113" s="4147" t="s">
        <v>0</v>
      </c>
      <c r="S113" s="4147" t="s">
        <v>36</v>
      </c>
      <c r="T113" s="4161" t="s">
        <v>36</v>
      </c>
      <c r="U113" s="4161" t="s">
        <v>36</v>
      </c>
      <c r="V113" s="4160" t="s">
        <v>36</v>
      </c>
      <c r="W113" s="4161" t="s">
        <v>36</v>
      </c>
      <c r="X113" s="4161"/>
      <c r="Y113" s="4147"/>
      <c r="Z113" s="4161" t="s">
        <v>400</v>
      </c>
      <c r="AA113" s="4161" t="s">
        <v>400</v>
      </c>
      <c r="AB113" s="4161" t="s">
        <v>400</v>
      </c>
      <c r="AC113" s="4161" t="s">
        <v>400</v>
      </c>
      <c r="AD113" s="4161" t="s">
        <v>400</v>
      </c>
      <c r="AE113" s="4189" t="s">
        <v>409</v>
      </c>
      <c r="AF113" s="4161" t="s">
        <v>409</v>
      </c>
      <c r="AG113" s="4191"/>
      <c r="AH113" s="1"/>
      <c r="AJ113" s="4162">
        <f t="shared" si="11"/>
        <v>160.33000000000001</v>
      </c>
      <c r="AK113" s="4162"/>
      <c r="AL113" s="4162">
        <f t="shared" ref="AL113:AL114" si="12">IF(AJ113="","",SUM(AJ113:AK113))</f>
        <v>160.33000000000001</v>
      </c>
      <c r="AM113" s="4163">
        <f t="shared" si="10"/>
        <v>0</v>
      </c>
      <c r="AN113" s="4163">
        <f>IF(AM113="","",AM113+'Marts 2023'!AN107)</f>
        <v>0</v>
      </c>
    </row>
    <row r="114" spans="1:40" ht="22.35" customHeight="1" thickBot="1" x14ac:dyDescent="0.25">
      <c r="B114" s="4192" t="s">
        <v>0</v>
      </c>
      <c r="C114" s="4147"/>
      <c r="D114" s="4147"/>
      <c r="E114" s="4147" t="s">
        <v>420</v>
      </c>
      <c r="F114" s="4147" t="s">
        <v>420</v>
      </c>
      <c r="G114" s="4147" t="s">
        <v>420</v>
      </c>
      <c r="H114" s="4147" t="s">
        <v>420</v>
      </c>
      <c r="I114" s="4147" t="s">
        <v>420</v>
      </c>
      <c r="J114" s="4147" t="s">
        <v>0</v>
      </c>
      <c r="K114" s="4147" t="s">
        <v>0</v>
      </c>
      <c r="L114" s="4147" t="s">
        <v>36</v>
      </c>
      <c r="M114" s="4147" t="s">
        <v>36</v>
      </c>
      <c r="N114" s="4147" t="s">
        <v>36</v>
      </c>
      <c r="O114" s="4147" t="s">
        <v>36</v>
      </c>
      <c r="P114" s="4147" t="s">
        <v>36</v>
      </c>
      <c r="Q114" s="4147"/>
      <c r="R114" s="4147"/>
      <c r="S114" s="4147" t="s">
        <v>400</v>
      </c>
      <c r="T114" s="4147" t="s">
        <v>400</v>
      </c>
      <c r="U114" s="4147" t="s">
        <v>400</v>
      </c>
      <c r="V114" s="4147" t="s">
        <v>400</v>
      </c>
      <c r="W114" s="4147" t="s">
        <v>400</v>
      </c>
      <c r="X114" s="4147" t="s">
        <v>409</v>
      </c>
      <c r="Y114" s="4147" t="s">
        <v>409</v>
      </c>
      <c r="Z114" s="4147" t="s">
        <v>36</v>
      </c>
      <c r="AA114" s="4147" t="s">
        <v>36</v>
      </c>
      <c r="AB114" s="4147" t="s">
        <v>36</v>
      </c>
      <c r="AC114" s="4147" t="s">
        <v>36</v>
      </c>
      <c r="AD114" s="4147" t="s">
        <v>36</v>
      </c>
      <c r="AE114" s="4147" t="s">
        <v>405</v>
      </c>
      <c r="AF114" s="4147" t="s">
        <v>405</v>
      </c>
      <c r="AG114" s="4253"/>
      <c r="AH114" s="1"/>
      <c r="AJ114" s="4162">
        <f t="shared" si="11"/>
        <v>160.33000000000001</v>
      </c>
      <c r="AK114" s="4162"/>
      <c r="AL114" s="4162">
        <f t="shared" si="12"/>
        <v>160.33000000000001</v>
      </c>
      <c r="AM114" s="4163">
        <f t="shared" si="10"/>
        <v>0</v>
      </c>
      <c r="AN114" s="4163">
        <f>IF(AM114="","",AM114+'Marts 2023'!AN108)</f>
        <v>0</v>
      </c>
    </row>
    <row r="115" spans="1:40" ht="22.35" customHeight="1" x14ac:dyDescent="0.2">
      <c r="B115" s="353" t="s">
        <v>424</v>
      </c>
      <c r="C115" s="3687" t="s">
        <v>36</v>
      </c>
      <c r="D115" s="3687" t="s">
        <v>36</v>
      </c>
      <c r="E115" s="4147" t="s">
        <v>400</v>
      </c>
      <c r="F115" s="4147" t="s">
        <v>400</v>
      </c>
      <c r="G115" s="4147" t="s">
        <v>400</v>
      </c>
      <c r="H115" s="4147" t="s">
        <v>400</v>
      </c>
      <c r="I115" s="4147" t="s">
        <v>400</v>
      </c>
      <c r="J115" s="4147" t="s">
        <v>409</v>
      </c>
      <c r="K115" s="4147" t="s">
        <v>409</v>
      </c>
      <c r="L115" s="4147" t="s">
        <v>36</v>
      </c>
      <c r="M115" s="4147" t="s">
        <v>36</v>
      </c>
      <c r="N115" s="4147" t="s">
        <v>36</v>
      </c>
      <c r="O115" s="4147" t="s">
        <v>36</v>
      </c>
      <c r="P115" s="4147" t="s">
        <v>36</v>
      </c>
      <c r="Q115" s="4147" t="s">
        <v>405</v>
      </c>
      <c r="R115" s="4147" t="s">
        <v>405</v>
      </c>
      <c r="S115" s="4147" t="s">
        <v>398</v>
      </c>
      <c r="T115" s="4147" t="s">
        <v>398</v>
      </c>
      <c r="U115" s="4147" t="s">
        <v>398</v>
      </c>
      <c r="V115" s="4147" t="s">
        <v>398</v>
      </c>
      <c r="W115" s="4165" t="s">
        <v>398</v>
      </c>
      <c r="X115" s="4162"/>
      <c r="Y115" s="4399" t="s">
        <v>0</v>
      </c>
      <c r="Z115" s="323" t="s">
        <v>420</v>
      </c>
      <c r="AA115" s="4147" t="s">
        <v>420</v>
      </c>
      <c r="AB115" s="4147" t="s">
        <v>420</v>
      </c>
      <c r="AC115" s="4147" t="s">
        <v>420</v>
      </c>
      <c r="AD115" s="4147" t="s">
        <v>420</v>
      </c>
      <c r="AE115" s="4147" t="s">
        <v>0</v>
      </c>
      <c r="AF115" s="4147" t="s">
        <v>0</v>
      </c>
      <c r="AG115" s="4253"/>
      <c r="AH115" s="1"/>
      <c r="AJ115" s="4162">
        <f t="shared" si="11"/>
        <v>160.33000000000001</v>
      </c>
      <c r="AK115" s="4162"/>
      <c r="AL115" s="4162">
        <v>171.3</v>
      </c>
      <c r="AM115" s="4163">
        <f t="shared" si="10"/>
        <v>10.969999999999999</v>
      </c>
      <c r="AN115" s="4163">
        <f>IF(AM115="","",AM115+'Marts 2023'!AN109)</f>
        <v>13.089999999999975</v>
      </c>
    </row>
    <row r="116" spans="1:40" ht="22.35" customHeight="1" thickBot="1" x14ac:dyDescent="0.25">
      <c r="B116" s="355"/>
      <c r="C116" s="356"/>
      <c r="D116" s="356"/>
      <c r="E116" s="356"/>
      <c r="F116" s="356"/>
      <c r="G116" s="356"/>
      <c r="H116" s="356"/>
      <c r="I116" s="356"/>
      <c r="J116" s="356"/>
      <c r="K116" s="356"/>
      <c r="L116" s="356"/>
      <c r="M116" s="356"/>
      <c r="N116" s="356"/>
      <c r="O116" s="356"/>
      <c r="P116" s="356"/>
      <c r="Q116" s="356"/>
      <c r="R116" s="356"/>
      <c r="S116" s="356"/>
      <c r="T116" s="356"/>
      <c r="U116" s="356"/>
      <c r="V116" s="356"/>
      <c r="W116" s="356"/>
      <c r="X116" s="356"/>
      <c r="Y116" s="356"/>
      <c r="Z116" s="356"/>
      <c r="AA116" s="356"/>
      <c r="AB116" s="356"/>
      <c r="AC116" s="356"/>
      <c r="AD116" s="356"/>
      <c r="AE116" s="356"/>
      <c r="AF116" s="356"/>
      <c r="AG116" s="356"/>
      <c r="AH116" s="1"/>
      <c r="AJ116" s="4162"/>
      <c r="AK116" s="4162"/>
      <c r="AL116" s="4162"/>
      <c r="AM116" s="4163"/>
      <c r="AN116" s="4163"/>
    </row>
    <row r="117" spans="1:40" ht="22.35" customHeight="1" x14ac:dyDescent="0.2">
      <c r="B117" s="198"/>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c r="AA117" s="199"/>
      <c r="AB117" s="199"/>
      <c r="AC117" s="199"/>
      <c r="AD117" s="199"/>
      <c r="AE117" s="199"/>
      <c r="AF117" s="199"/>
      <c r="AG117" s="199"/>
      <c r="AH117" s="1"/>
    </row>
    <row r="118" spans="1:40" ht="22.35" customHeight="1" thickBot="1" x14ac:dyDescent="0.25">
      <c r="A118" s="169" t="s">
        <v>156</v>
      </c>
    </row>
    <row r="119" spans="1:40" ht="22.35" customHeight="1" thickBot="1" x14ac:dyDescent="0.25">
      <c r="B119" s="4405" t="s">
        <v>157</v>
      </c>
      <c r="C119" s="4406"/>
      <c r="D119" s="4315" t="s">
        <v>107</v>
      </c>
      <c r="E119" s="4315"/>
      <c r="F119" s="4407"/>
      <c r="G119" s="4406"/>
      <c r="H119" s="4315" t="s">
        <v>108</v>
      </c>
      <c r="I119" s="4315"/>
      <c r="J119" s="4407"/>
      <c r="K119" s="4406"/>
      <c r="L119" s="4315" t="s">
        <v>109</v>
      </c>
      <c r="M119" s="4315"/>
      <c r="N119" s="4407"/>
      <c r="O119" s="4406"/>
      <c r="P119" s="4315" t="s">
        <v>110</v>
      </c>
      <c r="Q119" s="4315"/>
      <c r="R119" s="4407"/>
      <c r="S119" s="4406"/>
      <c r="T119" s="4315" t="s">
        <v>111</v>
      </c>
      <c r="U119" s="4315"/>
      <c r="V119" s="4407"/>
      <c r="W119" s="4406"/>
      <c r="X119" s="4315" t="s">
        <v>112</v>
      </c>
      <c r="Y119" s="4315"/>
      <c r="Z119" s="4407"/>
      <c r="AA119" s="4406"/>
      <c r="AB119" s="4315" t="s">
        <v>113</v>
      </c>
      <c r="AC119" s="4315"/>
      <c r="AD119" s="4315"/>
      <c r="AE119" s="4315" t="s">
        <v>158</v>
      </c>
      <c r="AF119" s="4315"/>
      <c r="AG119" s="4315"/>
      <c r="AH119" s="4315"/>
      <c r="AI119" s="4408"/>
    </row>
    <row r="120" spans="1:40" ht="22.35" customHeight="1" x14ac:dyDescent="0.2">
      <c r="B120" s="4409" t="s">
        <v>159</v>
      </c>
      <c r="C120" s="4410" t="s">
        <v>160</v>
      </c>
      <c r="D120" s="4315"/>
      <c r="E120" s="4319"/>
      <c r="F120" s="4411"/>
      <c r="G120" s="4410" t="s">
        <v>160</v>
      </c>
      <c r="H120" s="4412"/>
      <c r="I120" s="4319"/>
      <c r="J120" s="4411"/>
      <c r="K120" s="4413" t="s">
        <v>160</v>
      </c>
      <c r="L120" s="4315"/>
      <c r="M120" s="4315"/>
      <c r="N120" s="4407"/>
      <c r="O120" s="4413" t="s">
        <v>161</v>
      </c>
      <c r="P120" s="4414"/>
      <c r="Q120" s="4319"/>
      <c r="R120" s="4411"/>
      <c r="S120" s="4410" t="s">
        <v>162</v>
      </c>
      <c r="T120" s="4319"/>
      <c r="U120" s="4319"/>
      <c r="V120" s="4319"/>
      <c r="W120" s="4415"/>
      <c r="X120" s="4416"/>
      <c r="Y120" s="4416"/>
      <c r="Z120" s="4417"/>
      <c r="AA120" s="4319"/>
      <c r="AB120" s="4319"/>
      <c r="AC120" s="4319"/>
      <c r="AD120" s="4319"/>
      <c r="AE120" s="4418">
        <v>37</v>
      </c>
      <c r="AF120" s="4315"/>
      <c r="AG120" s="4319"/>
      <c r="AH120" s="4319"/>
      <c r="AI120" s="4320"/>
    </row>
    <row r="121" spans="1:40" ht="22.35" customHeight="1" x14ac:dyDescent="0.2">
      <c r="B121" s="3745" t="s">
        <v>163</v>
      </c>
      <c r="C121" s="3746" t="s">
        <v>164</v>
      </c>
      <c r="D121" s="3510"/>
      <c r="E121" s="3510"/>
      <c r="F121" s="3518"/>
      <c r="G121" s="3746" t="s">
        <v>165</v>
      </c>
      <c r="H121" s="3584"/>
      <c r="I121" s="3510"/>
      <c r="J121" s="3518"/>
      <c r="K121" s="3746" t="s">
        <v>166</v>
      </c>
      <c r="L121" s="3510" t="s">
        <v>167</v>
      </c>
      <c r="M121" s="3510"/>
      <c r="N121" s="3518"/>
      <c r="O121" s="3746" t="s">
        <v>166</v>
      </c>
      <c r="P121" s="3584" t="s">
        <v>167</v>
      </c>
      <c r="Q121" s="3510"/>
      <c r="R121" s="3518"/>
      <c r="S121" s="3746" t="s">
        <v>165</v>
      </c>
      <c r="T121" s="3510" t="s">
        <v>168</v>
      </c>
      <c r="U121" s="3510"/>
      <c r="V121" s="3518"/>
      <c r="W121" s="8" t="s">
        <v>127</v>
      </c>
      <c r="X121" s="14" t="s">
        <v>169</v>
      </c>
      <c r="Y121" s="14"/>
      <c r="Z121" s="14"/>
      <c r="AA121" s="3747" t="s">
        <v>127</v>
      </c>
      <c r="AB121" s="3510" t="s">
        <v>169</v>
      </c>
      <c r="AC121" s="3747"/>
      <c r="AD121" s="3747"/>
      <c r="AE121" s="3747">
        <v>68</v>
      </c>
      <c r="AF121" s="3510"/>
      <c r="AG121" s="3510"/>
      <c r="AH121" s="3510"/>
      <c r="AI121" s="3519"/>
    </row>
    <row r="122" spans="1:40" ht="22.35" customHeight="1" x14ac:dyDescent="0.2">
      <c r="B122" s="3745" t="s">
        <v>170</v>
      </c>
      <c r="C122" s="3748" t="s">
        <v>171</v>
      </c>
      <c r="D122" s="3510"/>
      <c r="E122" s="3510"/>
      <c r="F122" s="3518"/>
      <c r="G122" s="3584" t="s">
        <v>171</v>
      </c>
      <c r="H122" s="3584"/>
      <c r="I122" s="3510"/>
      <c r="J122" s="3518"/>
      <c r="K122" s="3584" t="s">
        <v>171</v>
      </c>
      <c r="L122" s="3510"/>
      <c r="M122" s="3510"/>
      <c r="N122" s="3518"/>
      <c r="O122" s="3584" t="s">
        <v>171</v>
      </c>
      <c r="P122" s="3584"/>
      <c r="Q122" s="3510"/>
      <c r="R122" s="3518"/>
      <c r="S122" s="3584" t="s">
        <v>171</v>
      </c>
      <c r="T122" s="3510"/>
      <c r="U122" s="3510"/>
      <c r="V122" s="3518"/>
      <c r="W122" s="3747"/>
      <c r="X122" s="3510"/>
      <c r="Y122" s="3510"/>
      <c r="Z122" s="3518"/>
      <c r="AA122" s="3747"/>
      <c r="AB122" s="3510"/>
      <c r="AC122" s="3510"/>
      <c r="AD122" s="3510"/>
      <c r="AE122" s="3747">
        <v>0</v>
      </c>
      <c r="AF122" s="3510"/>
      <c r="AG122" s="3510"/>
      <c r="AH122" s="3510"/>
      <c r="AI122" s="3519"/>
    </row>
    <row r="123" spans="1:40" ht="22.35" customHeight="1" thickBot="1" x14ac:dyDescent="0.25">
      <c r="B123" s="3749" t="s">
        <v>172</v>
      </c>
      <c r="C123" s="3750" t="s">
        <v>160</v>
      </c>
      <c r="D123" s="276"/>
      <c r="E123" s="3587"/>
      <c r="F123" s="3589"/>
      <c r="G123" s="3750" t="s">
        <v>160</v>
      </c>
      <c r="H123" s="278"/>
      <c r="I123" s="3587"/>
      <c r="J123" s="3589"/>
      <c r="K123" s="3750" t="s">
        <v>160</v>
      </c>
      <c r="L123" s="276"/>
      <c r="M123" s="3587"/>
      <c r="N123" s="3589"/>
      <c r="O123" s="3750" t="s">
        <v>161</v>
      </c>
      <c r="P123" s="3591"/>
      <c r="Q123" s="3587"/>
      <c r="R123" s="3589"/>
      <c r="S123" s="3750" t="s">
        <v>162</v>
      </c>
      <c r="T123" s="3587"/>
      <c r="U123" s="3587"/>
      <c r="V123" s="3587"/>
      <c r="W123" s="3751"/>
      <c r="X123" s="3587"/>
      <c r="Y123" s="3587"/>
      <c r="Z123" s="3752"/>
      <c r="AA123" s="3587"/>
      <c r="AB123" s="3587"/>
      <c r="AC123" s="3587"/>
      <c r="AD123" s="3587"/>
      <c r="AE123" s="3753">
        <v>37</v>
      </c>
      <c r="AF123" s="3587"/>
      <c r="AG123" s="3587"/>
      <c r="AH123" s="3587"/>
      <c r="AI123" s="3594"/>
    </row>
    <row r="124" spans="1:40" ht="22.35" customHeight="1" x14ac:dyDescent="0.2">
      <c r="D124" s="14"/>
    </row>
    <row r="125" spans="1:40" ht="22.35" customHeight="1" thickBot="1" x14ac:dyDescent="0.25">
      <c r="A125" s="4135"/>
      <c r="B125" s="4135" t="s">
        <v>29</v>
      </c>
      <c r="C125" s="3529">
        <v>1</v>
      </c>
      <c r="D125" s="3529">
        <v>2</v>
      </c>
      <c r="E125" s="3528">
        <v>3</v>
      </c>
      <c r="F125" s="3528">
        <v>4</v>
      </c>
      <c r="G125" s="3528">
        <v>5</v>
      </c>
      <c r="H125" s="3529">
        <v>6</v>
      </c>
      <c r="I125" s="3529">
        <v>7</v>
      </c>
      <c r="J125" s="3529">
        <v>8</v>
      </c>
      <c r="K125" s="3529">
        <v>9</v>
      </c>
      <c r="L125" s="3529">
        <v>10</v>
      </c>
      <c r="M125" s="3528">
        <v>11</v>
      </c>
      <c r="N125" s="3528">
        <v>12</v>
      </c>
      <c r="O125" s="3528">
        <v>13</v>
      </c>
      <c r="P125" s="3528">
        <v>14</v>
      </c>
      <c r="Q125" s="3529">
        <v>15</v>
      </c>
      <c r="R125" s="3529">
        <v>16</v>
      </c>
      <c r="S125" s="3528">
        <v>17</v>
      </c>
      <c r="T125" s="3528">
        <v>18</v>
      </c>
      <c r="U125" s="3528">
        <v>19</v>
      </c>
      <c r="V125" s="3528">
        <v>20</v>
      </c>
      <c r="W125" s="3528">
        <v>21</v>
      </c>
      <c r="X125" s="3529">
        <v>22</v>
      </c>
      <c r="Y125" s="3529">
        <v>23</v>
      </c>
      <c r="Z125" s="3528">
        <v>24</v>
      </c>
      <c r="AA125" s="3528">
        <v>25</v>
      </c>
      <c r="AB125" s="3528">
        <v>26</v>
      </c>
      <c r="AC125" s="3528">
        <v>27</v>
      </c>
      <c r="AD125" s="3528">
        <v>28</v>
      </c>
      <c r="AE125" s="3529">
        <v>29</v>
      </c>
      <c r="AF125" s="3529">
        <v>30</v>
      </c>
      <c r="AG125" s="3530"/>
      <c r="AH125" s="173"/>
      <c r="AI125" s="174"/>
    </row>
    <row r="126" spans="1:40" ht="22.35" customHeight="1" x14ac:dyDescent="0.2">
      <c r="A126" s="4419">
        <v>1</v>
      </c>
      <c r="B126" s="4420" t="s">
        <v>173</v>
      </c>
      <c r="C126" s="4302" t="s">
        <v>127</v>
      </c>
      <c r="D126" s="4302" t="s">
        <v>127</v>
      </c>
      <c r="E126" s="4302" t="s">
        <v>36</v>
      </c>
      <c r="F126" s="4302" t="s">
        <v>36</v>
      </c>
      <c r="G126" s="4302" t="s">
        <v>36</v>
      </c>
      <c r="H126" s="4302" t="s">
        <v>36</v>
      </c>
      <c r="I126" s="4302" t="s">
        <v>36</v>
      </c>
      <c r="J126" s="4302"/>
      <c r="K126" s="4302"/>
      <c r="L126" s="4302"/>
      <c r="M126" s="4302" t="s">
        <v>174</v>
      </c>
      <c r="N126" s="4302" t="s">
        <v>174</v>
      </c>
      <c r="O126" s="4302" t="s">
        <v>174</v>
      </c>
      <c r="P126" s="4329" t="s">
        <v>174</v>
      </c>
      <c r="Q126" s="4302"/>
      <c r="R126" s="4302"/>
      <c r="S126" s="4302"/>
      <c r="T126" s="4302" t="s">
        <v>174</v>
      </c>
      <c r="U126" s="4302" t="s">
        <v>174</v>
      </c>
      <c r="V126" s="4302" t="s">
        <v>174</v>
      </c>
      <c r="W126" s="4302" t="s">
        <v>174</v>
      </c>
      <c r="X126" s="4421"/>
      <c r="Y126" s="4421"/>
      <c r="Z126" s="4421" t="s">
        <v>128</v>
      </c>
      <c r="AA126" s="4421" t="s">
        <v>128</v>
      </c>
      <c r="AB126" s="4302" t="s">
        <v>128</v>
      </c>
      <c r="AC126" s="4302" t="s">
        <v>128</v>
      </c>
      <c r="AD126" s="4302" t="s">
        <v>128</v>
      </c>
      <c r="AE126" s="4302" t="s">
        <v>127</v>
      </c>
      <c r="AF126" s="4302" t="s">
        <v>127</v>
      </c>
      <c r="AG126" s="4302"/>
      <c r="AH126" s="178"/>
      <c r="AI126" s="179"/>
    </row>
    <row r="127" spans="1:40" ht="22.35" customHeight="1" x14ac:dyDescent="0.2">
      <c r="A127" s="3757">
        <v>2</v>
      </c>
      <c r="B127" s="3685" t="s">
        <v>175</v>
      </c>
      <c r="C127" s="3758"/>
      <c r="D127" s="3758"/>
      <c r="E127" s="3758" t="s">
        <v>128</v>
      </c>
      <c r="F127" s="3758" t="s">
        <v>128</v>
      </c>
      <c r="G127" s="3758" t="s">
        <v>128</v>
      </c>
      <c r="H127" s="3758" t="s">
        <v>127</v>
      </c>
      <c r="I127" s="3758" t="s">
        <v>127</v>
      </c>
      <c r="J127" s="3758" t="s">
        <v>127</v>
      </c>
      <c r="K127" s="3758" t="s">
        <v>127</v>
      </c>
      <c r="L127" s="3758" t="s">
        <v>36</v>
      </c>
      <c r="M127" s="644" t="s">
        <v>36</v>
      </c>
      <c r="N127" s="3538" t="s">
        <v>36</v>
      </c>
      <c r="O127" s="3538" t="s">
        <v>36</v>
      </c>
      <c r="P127" s="3538" t="s">
        <v>32</v>
      </c>
      <c r="Q127" s="3538"/>
      <c r="R127" s="3538"/>
      <c r="S127" s="3538" t="s">
        <v>177</v>
      </c>
      <c r="T127" s="3538" t="s">
        <v>177</v>
      </c>
      <c r="U127" s="3604" t="s">
        <v>177</v>
      </c>
      <c r="V127" s="3538" t="s">
        <v>177</v>
      </c>
      <c r="W127" s="3538" t="s">
        <v>177</v>
      </c>
      <c r="X127" s="3538"/>
      <c r="Y127" s="3538"/>
      <c r="Z127" s="3666">
        <v>89</v>
      </c>
      <c r="AA127" s="3666">
        <v>89</v>
      </c>
      <c r="AB127" s="3666">
        <v>89</v>
      </c>
      <c r="AC127" s="3683">
        <v>89</v>
      </c>
      <c r="AD127" s="3683" t="s">
        <v>174</v>
      </c>
      <c r="AE127" s="3758"/>
      <c r="AF127" s="3758"/>
      <c r="AG127" s="3538"/>
      <c r="AH127" s="178"/>
      <c r="AI127" s="179"/>
    </row>
    <row r="128" spans="1:40" ht="22.35" customHeight="1" x14ac:dyDescent="0.2">
      <c r="A128" s="3757">
        <v>3</v>
      </c>
      <c r="B128" s="3685" t="s">
        <v>178</v>
      </c>
      <c r="C128" s="3604" t="s">
        <v>127</v>
      </c>
      <c r="D128" s="3603"/>
      <c r="E128" s="3538" t="s">
        <v>58</v>
      </c>
      <c r="F128" s="3538" t="s">
        <v>58</v>
      </c>
      <c r="G128" s="3538" t="s">
        <v>58</v>
      </c>
      <c r="H128" s="3538"/>
      <c r="I128" s="3538"/>
      <c r="J128" s="3538"/>
      <c r="K128" s="3538"/>
      <c r="L128" s="3538" t="s">
        <v>128</v>
      </c>
      <c r="M128" s="3758" t="s">
        <v>128</v>
      </c>
      <c r="N128" s="183" t="s">
        <v>128</v>
      </c>
      <c r="O128" s="3602" t="s">
        <v>128</v>
      </c>
      <c r="P128" s="3602" t="s">
        <v>128</v>
      </c>
      <c r="Q128" s="3602" t="s">
        <v>127</v>
      </c>
      <c r="R128" s="3602" t="s">
        <v>127</v>
      </c>
      <c r="S128" s="3602" t="s">
        <v>36</v>
      </c>
      <c r="T128" s="3667" t="s">
        <v>36</v>
      </c>
      <c r="U128" s="3667" t="s">
        <v>36</v>
      </c>
      <c r="V128" s="3667" t="s">
        <v>36</v>
      </c>
      <c r="W128" s="3667" t="s">
        <v>36</v>
      </c>
      <c r="X128" s="3667"/>
      <c r="Y128" s="3667"/>
      <c r="Z128" s="3667">
        <v>3</v>
      </c>
      <c r="AA128" s="3667">
        <v>3</v>
      </c>
      <c r="AB128" s="3667">
        <v>3</v>
      </c>
      <c r="AC128" s="3667">
        <v>3</v>
      </c>
      <c r="AD128" s="3667">
        <v>3</v>
      </c>
      <c r="AE128" s="3667"/>
      <c r="AF128" s="3667"/>
      <c r="AG128" s="3538"/>
      <c r="AH128" s="178"/>
      <c r="AI128" s="179"/>
    </row>
    <row r="129" spans="1:35" ht="22.35" customHeight="1" thickBot="1" x14ac:dyDescent="0.25">
      <c r="A129" s="3760">
        <v>4</v>
      </c>
      <c r="B129" s="3761" t="s">
        <v>173</v>
      </c>
      <c r="C129" s="3762"/>
      <c r="D129" s="3762"/>
      <c r="E129" s="3762" t="s">
        <v>174</v>
      </c>
      <c r="F129" s="3762" t="s">
        <v>174</v>
      </c>
      <c r="G129" s="3762" t="s">
        <v>174</v>
      </c>
      <c r="H129" s="3762"/>
      <c r="I129" s="3762"/>
      <c r="J129" s="3762"/>
      <c r="K129" s="3762"/>
      <c r="L129" s="3762"/>
      <c r="M129" s="3762" t="s">
        <v>174</v>
      </c>
      <c r="N129" s="3762" t="s">
        <v>174</v>
      </c>
      <c r="O129" s="3762" t="s">
        <v>174</v>
      </c>
      <c r="P129" s="3762" t="s">
        <v>174</v>
      </c>
      <c r="Q129" s="3762" t="s">
        <v>0</v>
      </c>
      <c r="R129" s="3762" t="s">
        <v>0</v>
      </c>
      <c r="S129" s="3762" t="s">
        <v>128</v>
      </c>
      <c r="T129" s="3762" t="s">
        <v>128</v>
      </c>
      <c r="U129" s="3762" t="s">
        <v>128</v>
      </c>
      <c r="V129" s="3762" t="s">
        <v>128</v>
      </c>
      <c r="W129" s="3762" t="s">
        <v>128</v>
      </c>
      <c r="X129" s="3762" t="s">
        <v>127</v>
      </c>
      <c r="Y129" s="3762" t="s">
        <v>127</v>
      </c>
      <c r="Z129" s="3762" t="s">
        <v>36</v>
      </c>
      <c r="AA129" s="3528" t="s">
        <v>36</v>
      </c>
      <c r="AB129" s="3528" t="s">
        <v>36</v>
      </c>
      <c r="AC129" s="3528" t="s">
        <v>36</v>
      </c>
      <c r="AD129" s="3528" t="s">
        <v>36</v>
      </c>
      <c r="AE129" s="3762"/>
      <c r="AF129" s="3762"/>
      <c r="AG129" s="3530"/>
      <c r="AH129" s="178"/>
      <c r="AI129" s="179"/>
    </row>
    <row r="130" spans="1:35" ht="22.35" customHeight="1" thickBot="1" x14ac:dyDescent="0.25">
      <c r="A130" s="200"/>
      <c r="B130" s="190"/>
      <c r="C130" s="201"/>
      <c r="D130" s="201"/>
      <c r="E130" s="201"/>
      <c r="F130" s="201"/>
      <c r="G130" s="201"/>
      <c r="H130" s="201"/>
      <c r="I130" s="201"/>
      <c r="J130" s="201"/>
      <c r="K130" s="201"/>
      <c r="L130" s="201"/>
      <c r="M130" s="201"/>
      <c r="N130" s="201"/>
      <c r="O130" s="201"/>
      <c r="P130" s="201"/>
      <c r="Q130" s="201"/>
      <c r="R130" s="201"/>
      <c r="S130" s="201"/>
      <c r="T130" s="201"/>
      <c r="U130" s="201"/>
      <c r="V130" s="201"/>
      <c r="W130" s="201"/>
      <c r="X130" s="201"/>
      <c r="Y130" s="201"/>
      <c r="Z130" s="201"/>
      <c r="AA130" s="201"/>
      <c r="AB130" s="201"/>
      <c r="AC130" s="201"/>
      <c r="AD130" s="201"/>
      <c r="AE130" s="201"/>
      <c r="AF130" s="201"/>
      <c r="AG130" s="202"/>
      <c r="AH130" s="203"/>
      <c r="AI130" s="179"/>
    </row>
    <row r="131" spans="1:35" ht="22.35" customHeight="1" x14ac:dyDescent="0.2">
      <c r="A131" s="72"/>
      <c r="B131" s="4422" t="s">
        <v>180</v>
      </c>
      <c r="C131" s="4418"/>
      <c r="D131" s="4423" t="s">
        <v>107</v>
      </c>
      <c r="E131" s="4424"/>
      <c r="F131" s="4418"/>
      <c r="G131" s="4425" t="s">
        <v>108</v>
      </c>
      <c r="H131" s="4411"/>
      <c r="I131" s="4426"/>
      <c r="J131" s="4425" t="s">
        <v>109</v>
      </c>
      <c r="K131" s="4427"/>
      <c r="L131" s="4426"/>
      <c r="M131" s="4428" t="s">
        <v>110</v>
      </c>
      <c r="N131" s="4427"/>
      <c r="O131" s="4426"/>
      <c r="P131" s="4425" t="s">
        <v>111</v>
      </c>
      <c r="Q131" s="4429"/>
      <c r="R131" s="4426"/>
      <c r="S131" s="4425" t="s">
        <v>112</v>
      </c>
      <c r="T131" s="4430"/>
      <c r="U131" s="4426"/>
      <c r="V131" s="4425" t="s">
        <v>113</v>
      </c>
      <c r="W131" s="4429"/>
      <c r="X131" s="4431" t="s">
        <v>158</v>
      </c>
      <c r="Y131" s="4432"/>
      <c r="Z131" s="4432"/>
      <c r="AA131" s="4433"/>
      <c r="AB131" s="4413" t="s">
        <v>114</v>
      </c>
      <c r="AC131" s="4434"/>
      <c r="AD131" s="4434"/>
      <c r="AE131" s="4435"/>
      <c r="AF131" s="4435"/>
      <c r="AG131" s="4436"/>
      <c r="AH131" s="203"/>
      <c r="AI131" s="179"/>
    </row>
    <row r="132" spans="1:35" ht="22.35" customHeight="1" x14ac:dyDescent="0.2">
      <c r="A132" s="72"/>
      <c r="B132" s="3778" t="s">
        <v>181</v>
      </c>
      <c r="C132" s="3779" t="s">
        <v>182</v>
      </c>
      <c r="D132" s="3512"/>
      <c r="E132" s="3513"/>
      <c r="F132" s="3779" t="s">
        <v>182</v>
      </c>
      <c r="G132" s="3512"/>
      <c r="H132" s="3513"/>
      <c r="I132" s="3779" t="s">
        <v>182</v>
      </c>
      <c r="J132" s="3512"/>
      <c r="K132" s="3513"/>
      <c r="L132" s="3779" t="s">
        <v>182</v>
      </c>
      <c r="M132" s="3512"/>
      <c r="N132" s="3513"/>
      <c r="O132" s="3779" t="s">
        <v>183</v>
      </c>
      <c r="P132" s="3512"/>
      <c r="Q132" s="3513"/>
      <c r="R132" s="3779"/>
      <c r="S132" s="3512"/>
      <c r="T132" s="3513"/>
      <c r="U132" s="3779"/>
      <c r="V132" s="3512"/>
      <c r="W132" s="3513"/>
      <c r="X132" s="3779"/>
      <c r="Y132" s="3780"/>
      <c r="Z132" s="3780"/>
      <c r="AA132" s="3780"/>
      <c r="AB132" s="3509"/>
      <c r="AC132" s="3780"/>
      <c r="AD132" s="3780"/>
      <c r="AE132" s="3780"/>
      <c r="AF132" s="3780"/>
      <c r="AG132" s="3781"/>
      <c r="AH132" s="203"/>
      <c r="AI132" s="179"/>
    </row>
    <row r="133" spans="1:35" ht="22.35" customHeight="1" x14ac:dyDescent="0.2">
      <c r="A133" s="72"/>
      <c r="B133" s="17"/>
      <c r="C133" s="72"/>
      <c r="D133" s="72"/>
      <c r="E133" s="72"/>
      <c r="F133" s="72"/>
      <c r="G133" s="72"/>
      <c r="H133" s="72"/>
      <c r="I133" s="72"/>
      <c r="J133" s="72"/>
      <c r="K133" s="72"/>
      <c r="L133" s="72"/>
      <c r="M133" s="72"/>
      <c r="N133" s="72"/>
      <c r="O133" s="72"/>
      <c r="P133" s="72"/>
      <c r="Q133" s="72"/>
      <c r="R133" s="72"/>
      <c r="S133" s="72"/>
      <c r="T133" s="72"/>
      <c r="U133" s="72"/>
      <c r="V133" s="72"/>
      <c r="W133" s="72"/>
      <c r="X133" s="72"/>
      <c r="Y133" s="72"/>
      <c r="Z133" s="72"/>
      <c r="AA133" s="72"/>
      <c r="AB133" s="72"/>
      <c r="AC133" s="72"/>
      <c r="AD133" s="72"/>
      <c r="AE133" s="72"/>
      <c r="AF133" s="72"/>
      <c r="AG133" s="72"/>
      <c r="AH133" s="203"/>
      <c r="AI133" s="179"/>
    </row>
    <row r="134" spans="1:35" ht="22.35" customHeight="1" thickBot="1" x14ac:dyDescent="0.25">
      <c r="A134" s="3718" t="s">
        <v>28</v>
      </c>
      <c r="B134" s="4107" t="s">
        <v>29</v>
      </c>
      <c r="C134" s="3529">
        <v>1</v>
      </c>
      <c r="D134" s="3529">
        <v>2</v>
      </c>
      <c r="E134" s="3528">
        <v>3</v>
      </c>
      <c r="F134" s="3528">
        <v>4</v>
      </c>
      <c r="G134" s="3528">
        <v>5</v>
      </c>
      <c r="H134" s="3529">
        <v>6</v>
      </c>
      <c r="I134" s="3529">
        <v>7</v>
      </c>
      <c r="J134" s="3529">
        <v>8</v>
      </c>
      <c r="K134" s="3529">
        <v>9</v>
      </c>
      <c r="L134" s="3529">
        <v>10</v>
      </c>
      <c r="M134" s="3528">
        <v>11</v>
      </c>
      <c r="N134" s="3528">
        <v>12</v>
      </c>
      <c r="O134" s="3528">
        <v>13</v>
      </c>
      <c r="P134" s="3528">
        <v>14</v>
      </c>
      <c r="Q134" s="3529">
        <v>15</v>
      </c>
      <c r="R134" s="3529">
        <v>16</v>
      </c>
      <c r="S134" s="3528">
        <v>17</v>
      </c>
      <c r="T134" s="3528">
        <v>18</v>
      </c>
      <c r="U134" s="3528">
        <v>19</v>
      </c>
      <c r="V134" s="3528">
        <v>20</v>
      </c>
      <c r="W134" s="3528">
        <v>21</v>
      </c>
      <c r="X134" s="3529">
        <v>22</v>
      </c>
      <c r="Y134" s="3529">
        <v>23</v>
      </c>
      <c r="Z134" s="3528">
        <v>24</v>
      </c>
      <c r="AA134" s="3528">
        <v>25</v>
      </c>
      <c r="AB134" s="3528">
        <v>26</v>
      </c>
      <c r="AC134" s="3528">
        <v>27</v>
      </c>
      <c r="AD134" s="3528">
        <v>28</v>
      </c>
      <c r="AE134" s="3529">
        <v>29</v>
      </c>
      <c r="AF134" s="3529">
        <v>30</v>
      </c>
      <c r="AG134" s="3530"/>
      <c r="AH134" s="203"/>
      <c r="AI134" s="179"/>
    </row>
    <row r="135" spans="1:35" ht="22.35" customHeight="1" x14ac:dyDescent="0.2">
      <c r="A135" s="4437">
        <v>8520</v>
      </c>
      <c r="B135" s="4438" t="s">
        <v>184</v>
      </c>
      <c r="C135" s="4302"/>
      <c r="D135" s="4302"/>
      <c r="E135" s="4302" t="s">
        <v>358</v>
      </c>
      <c r="F135" s="4302" t="s">
        <v>358</v>
      </c>
      <c r="G135" s="4302" t="s">
        <v>358</v>
      </c>
      <c r="H135" s="4302"/>
      <c r="I135" s="4302"/>
      <c r="J135" s="4302"/>
      <c r="K135" s="4302"/>
      <c r="L135" s="4302"/>
      <c r="M135" s="4302" t="s">
        <v>358</v>
      </c>
      <c r="N135" s="4302" t="s">
        <v>358</v>
      </c>
      <c r="O135" s="4302" t="s">
        <v>358</v>
      </c>
      <c r="P135" s="3538" t="s">
        <v>60</v>
      </c>
      <c r="Q135" s="4302"/>
      <c r="R135" s="4302"/>
      <c r="S135" s="4302" t="s">
        <v>358</v>
      </c>
      <c r="T135" s="4302" t="s">
        <v>358</v>
      </c>
      <c r="U135" s="4302" t="s">
        <v>358</v>
      </c>
      <c r="V135" s="4302" t="s">
        <v>358</v>
      </c>
      <c r="W135" s="4302" t="s">
        <v>358</v>
      </c>
      <c r="X135" s="4302"/>
      <c r="Y135" s="4302"/>
      <c r="Z135" s="4302" t="s">
        <v>358</v>
      </c>
      <c r="AA135" s="4302" t="s">
        <v>358</v>
      </c>
      <c r="AB135" s="4302" t="s">
        <v>358</v>
      </c>
      <c r="AC135" s="4302" t="s">
        <v>358</v>
      </c>
      <c r="AD135" s="4302" t="s">
        <v>358</v>
      </c>
      <c r="AE135" s="4302"/>
      <c r="AF135" s="4302"/>
      <c r="AG135" s="4345"/>
      <c r="AH135" s="203"/>
      <c r="AI135" s="179"/>
    </row>
    <row r="136" spans="1:35" ht="22.35" customHeight="1" x14ac:dyDescent="0.2">
      <c r="A136" s="209"/>
      <c r="B136" s="208"/>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c r="AA136" s="199"/>
      <c r="AB136" s="199"/>
      <c r="AC136" s="199"/>
      <c r="AD136" s="199"/>
      <c r="AE136" s="199"/>
      <c r="AF136" s="199"/>
      <c r="AG136" s="199"/>
      <c r="AH136" s="203"/>
      <c r="AI136" s="179"/>
    </row>
    <row r="137" spans="1:35" ht="22.35" customHeight="1" x14ac:dyDescent="0.2">
      <c r="AH137" s="107"/>
      <c r="AI137" s="107"/>
    </row>
    <row r="138" spans="1:35" ht="22.35" customHeight="1" thickBot="1" x14ac:dyDescent="0.25">
      <c r="A138" s="169" t="s">
        <v>185</v>
      </c>
      <c r="B138" s="170"/>
      <c r="C138" s="170"/>
      <c r="D138" s="171"/>
      <c r="E138" s="171"/>
      <c r="F138" s="171"/>
      <c r="G138" s="105"/>
      <c r="H138" s="171"/>
      <c r="I138" s="171"/>
      <c r="J138" s="171"/>
      <c r="K138" s="171"/>
      <c r="L138" s="171"/>
      <c r="M138" s="171"/>
      <c r="N138" s="171"/>
      <c r="O138" s="171"/>
      <c r="P138" s="171"/>
      <c r="Q138" s="171"/>
      <c r="R138" s="171"/>
      <c r="S138" s="171"/>
      <c r="T138" s="171"/>
      <c r="U138" s="171"/>
      <c r="V138" s="171"/>
      <c r="W138" s="171"/>
      <c r="X138" s="171"/>
      <c r="Y138" s="171"/>
      <c r="Z138" s="171"/>
      <c r="AA138" s="171"/>
      <c r="AB138" s="171"/>
      <c r="AC138" s="171"/>
      <c r="AD138" s="171"/>
      <c r="AE138" s="171"/>
      <c r="AF138" s="171"/>
      <c r="AG138" s="171"/>
      <c r="AH138" s="170"/>
      <c r="AI138" s="170"/>
    </row>
    <row r="139" spans="1:35" ht="22.35" customHeight="1" x14ac:dyDescent="0.2">
      <c r="A139" s="169"/>
      <c r="B139" s="4422" t="s">
        <v>186</v>
      </c>
      <c r="C139" s="4439"/>
      <c r="D139" s="4440" t="s">
        <v>107</v>
      </c>
      <c r="E139" s="4441"/>
      <c r="F139" s="4442"/>
      <c r="G139" s="4439"/>
      <c r="H139" s="4440" t="s">
        <v>108</v>
      </c>
      <c r="I139" s="4441"/>
      <c r="J139" s="4442"/>
      <c r="K139" s="4439"/>
      <c r="L139" s="4440" t="s">
        <v>109</v>
      </c>
      <c r="M139" s="4441"/>
      <c r="N139" s="4442"/>
      <c r="O139" s="4439"/>
      <c r="P139" s="4440" t="s">
        <v>110</v>
      </c>
      <c r="Q139" s="4441"/>
      <c r="R139" s="4442"/>
      <c r="S139" s="4439"/>
      <c r="T139" s="4440" t="s">
        <v>111</v>
      </c>
      <c r="U139" s="4441"/>
      <c r="V139" s="4442"/>
      <c r="W139" s="4439"/>
      <c r="X139" s="4440" t="s">
        <v>112</v>
      </c>
      <c r="Y139" s="4441"/>
      <c r="Z139" s="4442"/>
      <c r="AA139" s="4439"/>
      <c r="AB139" s="4440" t="s">
        <v>113</v>
      </c>
      <c r="AC139" s="4441"/>
      <c r="AD139" s="4441"/>
      <c r="AE139" s="4443" t="s">
        <v>114</v>
      </c>
      <c r="AF139" s="4441"/>
      <c r="AG139" s="4441"/>
      <c r="AH139" s="4441"/>
      <c r="AI139" s="4444"/>
    </row>
    <row r="140" spans="1:35" ht="22.35" customHeight="1" x14ac:dyDescent="0.2">
      <c r="A140" s="169"/>
      <c r="B140" s="3790" t="s">
        <v>159</v>
      </c>
      <c r="C140" s="3791">
        <v>69</v>
      </c>
      <c r="D140" s="3792" t="s">
        <v>187</v>
      </c>
      <c r="E140" s="3792"/>
      <c r="F140" s="3793"/>
      <c r="G140" s="3791">
        <v>69</v>
      </c>
      <c r="H140" s="3792" t="s">
        <v>187</v>
      </c>
      <c r="I140" s="3792"/>
      <c r="J140" s="3793"/>
      <c r="K140" s="3791">
        <v>69</v>
      </c>
      <c r="L140" s="3792" t="s">
        <v>187</v>
      </c>
      <c r="M140" s="3792"/>
      <c r="N140" s="3793"/>
      <c r="O140" s="3791">
        <v>69</v>
      </c>
      <c r="P140" s="3792" t="s">
        <v>187</v>
      </c>
      <c r="Q140" s="3792"/>
      <c r="R140" s="3793"/>
      <c r="S140" s="3791">
        <v>69</v>
      </c>
      <c r="T140" s="3792" t="s">
        <v>187</v>
      </c>
      <c r="U140" s="3792"/>
      <c r="V140" s="3793"/>
      <c r="W140" s="3791"/>
      <c r="X140" s="3794"/>
      <c r="Y140" s="3794"/>
      <c r="Z140" s="3795"/>
      <c r="AA140" s="3791"/>
      <c r="AB140" s="3792"/>
      <c r="AC140" s="3792"/>
      <c r="AD140" s="3644"/>
      <c r="AE140" s="3796">
        <v>35</v>
      </c>
      <c r="AF140" s="3792"/>
      <c r="AG140" s="3792"/>
      <c r="AH140" s="3644"/>
      <c r="AI140" s="3797"/>
    </row>
    <row r="141" spans="1:35" ht="22.35" customHeight="1" x14ac:dyDescent="0.2">
      <c r="A141" s="169"/>
      <c r="B141" s="3790" t="s">
        <v>163</v>
      </c>
      <c r="C141" s="3791">
        <v>79</v>
      </c>
      <c r="D141" s="3792" t="s">
        <v>188</v>
      </c>
      <c r="E141" s="3792"/>
      <c r="F141" s="3793"/>
      <c r="G141" s="3791">
        <v>79</v>
      </c>
      <c r="H141" s="3792" t="s">
        <v>188</v>
      </c>
      <c r="I141" s="3792"/>
      <c r="J141" s="3793"/>
      <c r="K141" s="3791">
        <v>79</v>
      </c>
      <c r="L141" s="3792" t="s">
        <v>188</v>
      </c>
      <c r="M141" s="3792"/>
      <c r="N141" s="3793"/>
      <c r="O141" s="3791">
        <v>79</v>
      </c>
      <c r="P141" s="3792" t="s">
        <v>188</v>
      </c>
      <c r="Q141" s="3792"/>
      <c r="R141" s="3793"/>
      <c r="S141" s="3791">
        <v>79</v>
      </c>
      <c r="T141" s="3792" t="s">
        <v>188</v>
      </c>
      <c r="U141" s="3792"/>
      <c r="V141" s="3793"/>
      <c r="W141" s="3791"/>
      <c r="X141" s="3792"/>
      <c r="Y141" s="3792"/>
      <c r="Z141" s="3793"/>
      <c r="AA141" s="3792"/>
      <c r="AB141" s="3792"/>
      <c r="AC141" s="3792"/>
      <c r="AD141" s="3644"/>
      <c r="AE141" s="3796">
        <v>40</v>
      </c>
      <c r="AF141" s="3792"/>
      <c r="AG141" s="3792"/>
      <c r="AH141" s="3644"/>
      <c r="AI141" s="3797"/>
    </row>
    <row r="142" spans="1:35" ht="22.35" customHeight="1" x14ac:dyDescent="0.2">
      <c r="A142" s="169"/>
      <c r="B142" s="3790" t="s">
        <v>170</v>
      </c>
      <c r="C142" s="3791">
        <v>89</v>
      </c>
      <c r="D142" s="3792" t="s">
        <v>189</v>
      </c>
      <c r="E142" s="3792"/>
      <c r="F142" s="3793"/>
      <c r="G142" s="3791">
        <v>89</v>
      </c>
      <c r="H142" s="3792" t="s">
        <v>189</v>
      </c>
      <c r="I142" s="3792"/>
      <c r="J142" s="3793"/>
      <c r="K142" s="3791">
        <v>89</v>
      </c>
      <c r="L142" s="3792" t="s">
        <v>189</v>
      </c>
      <c r="M142" s="3792"/>
      <c r="N142" s="3793"/>
      <c r="O142" s="3791">
        <v>89</v>
      </c>
      <c r="P142" s="3792" t="s">
        <v>189</v>
      </c>
      <c r="Q142" s="3792"/>
      <c r="R142" s="3793"/>
      <c r="S142" s="3791">
        <v>89</v>
      </c>
      <c r="T142" s="3792" t="s">
        <v>190</v>
      </c>
      <c r="U142" s="3792"/>
      <c r="V142" s="3793"/>
      <c r="W142" s="3798"/>
      <c r="X142" s="4236" t="s">
        <v>191</v>
      </c>
      <c r="Y142" s="4236"/>
      <c r="Z142" s="3800"/>
      <c r="AA142" s="3798"/>
      <c r="AB142" s="4236"/>
      <c r="AC142" s="4236"/>
      <c r="AD142" s="4347"/>
      <c r="AE142" s="3796">
        <v>44</v>
      </c>
      <c r="AF142" s="3792"/>
      <c r="AG142" s="3792"/>
      <c r="AH142" s="3644"/>
      <c r="AI142" s="3797"/>
    </row>
    <row r="143" spans="1:35" ht="22.35" customHeight="1" x14ac:dyDescent="0.2">
      <c r="A143" s="169"/>
      <c r="B143" s="38" t="s">
        <v>172</v>
      </c>
      <c r="C143" s="3798">
        <v>99</v>
      </c>
      <c r="D143" s="4236" t="s">
        <v>192</v>
      </c>
      <c r="E143" s="4236"/>
      <c r="F143" s="3800"/>
      <c r="G143" s="3798">
        <v>99</v>
      </c>
      <c r="H143" s="4236" t="s">
        <v>192</v>
      </c>
      <c r="I143" s="4236"/>
      <c r="J143" s="3800"/>
      <c r="K143" s="3798">
        <v>99</v>
      </c>
      <c r="L143" s="4236" t="s">
        <v>192</v>
      </c>
      <c r="M143" s="4236"/>
      <c r="N143" s="3800"/>
      <c r="O143" s="3798">
        <v>99</v>
      </c>
      <c r="P143" s="4236" t="s">
        <v>192</v>
      </c>
      <c r="Q143" s="4236"/>
      <c r="R143" s="3800"/>
      <c r="S143" s="3798">
        <v>99</v>
      </c>
      <c r="T143" s="4236" t="s">
        <v>171</v>
      </c>
      <c r="U143" s="4236"/>
      <c r="V143" s="4347"/>
      <c r="W143" s="4137"/>
      <c r="X143" s="4347"/>
      <c r="Y143" s="4236"/>
      <c r="Z143" s="3800"/>
      <c r="AA143" s="4137"/>
      <c r="AB143" s="4347"/>
      <c r="AC143" s="4236"/>
      <c r="AD143" s="3800"/>
      <c r="AE143" s="3801">
        <v>28</v>
      </c>
      <c r="AF143" s="4236"/>
      <c r="AG143" s="4236"/>
      <c r="AH143" s="4347"/>
      <c r="AI143" s="3802"/>
    </row>
    <row r="144" spans="1:35" ht="22.35" customHeight="1" thickBot="1" x14ac:dyDescent="0.25">
      <c r="A144" s="169"/>
      <c r="B144" s="3803" t="s">
        <v>193</v>
      </c>
      <c r="C144" s="3804" t="s">
        <v>58</v>
      </c>
      <c r="D144" s="3805" t="s">
        <v>194</v>
      </c>
      <c r="E144" s="3806"/>
      <c r="F144" s="3589"/>
      <c r="G144" s="3804" t="s">
        <v>58</v>
      </c>
      <c r="H144" s="3805" t="s">
        <v>194</v>
      </c>
      <c r="I144" s="3587"/>
      <c r="J144" s="3806"/>
      <c r="K144" s="3804" t="s">
        <v>58</v>
      </c>
      <c r="L144" s="3805" t="s">
        <v>194</v>
      </c>
      <c r="M144" s="3806"/>
      <c r="N144" s="3807"/>
      <c r="O144" s="3804" t="s">
        <v>58</v>
      </c>
      <c r="P144" s="3805" t="s">
        <v>194</v>
      </c>
      <c r="Q144" s="3806"/>
      <c r="R144" s="3805"/>
      <c r="S144" s="3804" t="s">
        <v>58</v>
      </c>
      <c r="T144" s="3591" t="s">
        <v>195</v>
      </c>
      <c r="U144" s="3805"/>
      <c r="V144" s="3807"/>
      <c r="W144" s="3806"/>
      <c r="X144" s="3805"/>
      <c r="Y144" s="3805"/>
      <c r="Z144" s="3805"/>
      <c r="AA144" s="3808"/>
      <c r="AB144" s="3809"/>
      <c r="AC144" s="3805"/>
      <c r="AD144" s="3810"/>
      <c r="AE144" s="3805"/>
      <c r="AF144" s="3805"/>
      <c r="AG144" s="3805"/>
      <c r="AH144" s="3811"/>
      <c r="AI144" s="3812"/>
    </row>
    <row r="145" spans="1:35" ht="22.35" customHeight="1" x14ac:dyDescent="0.2">
      <c r="A145" s="108"/>
      <c r="B145" s="169"/>
      <c r="C145" s="171"/>
      <c r="D145" s="171"/>
      <c r="E145" s="171"/>
      <c r="F145" s="171"/>
      <c r="G145" s="171"/>
      <c r="H145" s="171"/>
      <c r="I145" s="171"/>
      <c r="J145" s="171"/>
      <c r="K145" s="171"/>
      <c r="L145" s="171"/>
      <c r="M145" s="171"/>
      <c r="N145" s="171"/>
      <c r="O145" s="171"/>
      <c r="P145" s="171"/>
      <c r="Q145" s="171"/>
      <c r="R145" s="171"/>
      <c r="S145" s="171"/>
      <c r="T145" s="171"/>
      <c r="U145" s="171"/>
      <c r="V145" s="171"/>
      <c r="W145" s="171"/>
      <c r="X145" s="171"/>
      <c r="Y145" s="171"/>
      <c r="Z145" s="171"/>
      <c r="AA145" s="171"/>
      <c r="AB145" s="171"/>
      <c r="AC145" s="171"/>
      <c r="AD145" s="171"/>
      <c r="AE145" s="171"/>
      <c r="AF145" s="171"/>
      <c r="AG145" s="171"/>
      <c r="AH145" s="170"/>
      <c r="AI145" s="170"/>
    </row>
    <row r="146" spans="1:35" ht="22.35" customHeight="1" thickBot="1" x14ac:dyDescent="0.25">
      <c r="A146" s="3718"/>
      <c r="B146" s="4107" t="s">
        <v>29</v>
      </c>
      <c r="C146" s="3529">
        <v>1</v>
      </c>
      <c r="D146" s="3529">
        <v>2</v>
      </c>
      <c r="E146" s="3528">
        <v>3</v>
      </c>
      <c r="F146" s="3528">
        <v>4</v>
      </c>
      <c r="G146" s="3528">
        <v>5</v>
      </c>
      <c r="H146" s="3529">
        <v>6</v>
      </c>
      <c r="I146" s="3529">
        <v>7</v>
      </c>
      <c r="J146" s="3529">
        <v>8</v>
      </c>
      <c r="K146" s="3529">
        <v>9</v>
      </c>
      <c r="L146" s="3529">
        <v>10</v>
      </c>
      <c r="M146" s="3528">
        <v>11</v>
      </c>
      <c r="N146" s="3528">
        <v>12</v>
      </c>
      <c r="O146" s="3528">
        <v>13</v>
      </c>
      <c r="P146" s="3528">
        <v>14</v>
      </c>
      <c r="Q146" s="3529">
        <v>15</v>
      </c>
      <c r="R146" s="3529">
        <v>16</v>
      </c>
      <c r="S146" s="3528">
        <v>17</v>
      </c>
      <c r="T146" s="3528">
        <v>18</v>
      </c>
      <c r="U146" s="3528">
        <v>19</v>
      </c>
      <c r="V146" s="3528">
        <v>20</v>
      </c>
      <c r="W146" s="3528">
        <v>21</v>
      </c>
      <c r="X146" s="3529">
        <v>22</v>
      </c>
      <c r="Y146" s="3529">
        <v>23</v>
      </c>
      <c r="Z146" s="3528">
        <v>24</v>
      </c>
      <c r="AA146" s="3528">
        <v>25</v>
      </c>
      <c r="AB146" s="3528">
        <v>26</v>
      </c>
      <c r="AC146" s="3528">
        <v>27</v>
      </c>
      <c r="AD146" s="3528">
        <v>28</v>
      </c>
      <c r="AE146" s="3529">
        <v>29</v>
      </c>
      <c r="AF146" s="3529">
        <v>30</v>
      </c>
      <c r="AG146" s="3530"/>
      <c r="AH146" s="173"/>
      <c r="AI146" s="174"/>
    </row>
    <row r="147" spans="1:35" ht="22.35" customHeight="1" x14ac:dyDescent="0.2">
      <c r="A147" s="4419">
        <v>1</v>
      </c>
      <c r="B147" s="4445" t="s">
        <v>196</v>
      </c>
      <c r="C147" s="4325"/>
      <c r="D147" s="4325"/>
      <c r="E147" s="4446">
        <v>89</v>
      </c>
      <c r="F147" s="4330">
        <v>89</v>
      </c>
      <c r="G147" s="4330">
        <v>89</v>
      </c>
      <c r="H147" s="4447"/>
      <c r="I147" s="4448"/>
      <c r="J147" s="4448">
        <v>89</v>
      </c>
      <c r="K147" s="4447"/>
      <c r="L147" s="4448"/>
      <c r="M147" s="4449">
        <v>99</v>
      </c>
      <c r="N147" s="4447">
        <v>99</v>
      </c>
      <c r="O147" s="4447">
        <v>99</v>
      </c>
      <c r="P147" s="4447" t="s">
        <v>36</v>
      </c>
      <c r="Q147" s="4447" t="s">
        <v>101</v>
      </c>
      <c r="R147" s="4325"/>
      <c r="S147" s="4302" t="s">
        <v>58</v>
      </c>
      <c r="T147" s="4302" t="s">
        <v>58</v>
      </c>
      <c r="U147" s="4325" t="s">
        <v>58</v>
      </c>
      <c r="V147" s="4325" t="s">
        <v>58</v>
      </c>
      <c r="W147" s="4325" t="s">
        <v>58</v>
      </c>
      <c r="X147" s="4325"/>
      <c r="Y147" s="4325"/>
      <c r="Z147" s="4325">
        <v>69</v>
      </c>
      <c r="AA147" s="4327">
        <v>69</v>
      </c>
      <c r="AB147" s="4325">
        <v>69</v>
      </c>
      <c r="AC147" s="4325">
        <v>69</v>
      </c>
      <c r="AD147" s="4355">
        <v>69</v>
      </c>
      <c r="AE147" s="4325"/>
      <c r="AF147" s="4327"/>
      <c r="AG147" s="4328"/>
      <c r="AH147" s="191"/>
      <c r="AI147" s="107"/>
    </row>
    <row r="148" spans="1:35" ht="22.35" customHeight="1" x14ac:dyDescent="0.2">
      <c r="A148" s="3757">
        <v>2</v>
      </c>
      <c r="B148" s="3663" t="s">
        <v>197</v>
      </c>
      <c r="C148" s="3535">
        <v>89</v>
      </c>
      <c r="D148" s="3535"/>
      <c r="E148" s="3535">
        <v>99</v>
      </c>
      <c r="F148" s="3535">
        <v>99</v>
      </c>
      <c r="G148" s="3535">
        <v>99</v>
      </c>
      <c r="H148" s="3616"/>
      <c r="I148" s="3616" t="s">
        <v>0</v>
      </c>
      <c r="J148" s="3616"/>
      <c r="K148" s="3616"/>
      <c r="L148" s="3538"/>
      <c r="M148" s="3538" t="s">
        <v>58</v>
      </c>
      <c r="N148" s="3818" t="s">
        <v>58</v>
      </c>
      <c r="O148" s="3616" t="s">
        <v>58</v>
      </c>
      <c r="P148" s="3616" t="s">
        <v>58</v>
      </c>
      <c r="Q148" s="3616"/>
      <c r="R148" s="3539"/>
      <c r="S148" s="3463">
        <v>69</v>
      </c>
      <c r="T148" s="3463">
        <v>69</v>
      </c>
      <c r="U148" s="3463">
        <v>69</v>
      </c>
      <c r="V148" s="3463">
        <v>69</v>
      </c>
      <c r="W148" s="3463">
        <v>69</v>
      </c>
      <c r="X148" s="3463"/>
      <c r="Y148" s="3463"/>
      <c r="Z148" s="3616">
        <v>79</v>
      </c>
      <c r="AA148" s="3538">
        <v>79</v>
      </c>
      <c r="AB148" s="3539">
        <v>79</v>
      </c>
      <c r="AC148" s="3550">
        <v>79</v>
      </c>
      <c r="AD148" s="3550">
        <v>79</v>
      </c>
      <c r="AE148" s="3550"/>
      <c r="AF148" s="3550"/>
      <c r="AG148" s="3661"/>
      <c r="AH148" s="192"/>
      <c r="AI148" s="168"/>
    </row>
    <row r="149" spans="1:35" ht="22.35" customHeight="1" x14ac:dyDescent="0.2">
      <c r="A149" s="3757">
        <v>3</v>
      </c>
      <c r="B149" s="3663" t="s">
        <v>360</v>
      </c>
      <c r="C149" s="3663" t="s">
        <v>0</v>
      </c>
      <c r="D149" s="3663" t="s">
        <v>0</v>
      </c>
      <c r="E149" s="3659" t="s">
        <v>58</v>
      </c>
      <c r="F149" s="3659" t="s">
        <v>58</v>
      </c>
      <c r="G149" s="3659" t="s">
        <v>58</v>
      </c>
      <c r="H149" s="3666" t="s">
        <v>0</v>
      </c>
      <c r="I149" s="3666" t="s">
        <v>0</v>
      </c>
      <c r="J149" s="3666" t="s">
        <v>0</v>
      </c>
      <c r="K149" s="3666" t="s">
        <v>0</v>
      </c>
      <c r="L149" s="3666"/>
      <c r="M149" s="3666">
        <v>69</v>
      </c>
      <c r="N149" s="3666">
        <v>69</v>
      </c>
      <c r="O149" s="3550">
        <v>69</v>
      </c>
      <c r="P149" s="3550">
        <v>69</v>
      </c>
      <c r="Q149" s="3550"/>
      <c r="R149" s="3550"/>
      <c r="S149" s="3550">
        <v>79</v>
      </c>
      <c r="T149" s="3550">
        <v>79</v>
      </c>
      <c r="U149" s="4450">
        <v>79</v>
      </c>
      <c r="V149" s="4450">
        <v>79</v>
      </c>
      <c r="W149" s="3666">
        <v>79</v>
      </c>
      <c r="X149" s="3666"/>
      <c r="Y149" s="3666"/>
      <c r="Z149" s="4450">
        <v>89</v>
      </c>
      <c r="AA149" s="4450">
        <v>89</v>
      </c>
      <c r="AB149" s="4450">
        <v>89</v>
      </c>
      <c r="AC149" s="4450">
        <v>89</v>
      </c>
      <c r="AD149" s="3666">
        <v>89</v>
      </c>
      <c r="AE149" s="3666">
        <v>89</v>
      </c>
      <c r="AF149" s="3666"/>
      <c r="AG149" s="3819"/>
      <c r="AH149" s="191"/>
      <c r="AI149" s="107"/>
    </row>
    <row r="150" spans="1:35" ht="22.35" customHeight="1" thickBot="1" x14ac:dyDescent="0.25">
      <c r="A150" s="3757">
        <v>4</v>
      </c>
      <c r="B150" s="4451" t="s">
        <v>473</v>
      </c>
      <c r="C150" s="3663" t="s">
        <v>0</v>
      </c>
      <c r="D150" s="3663" t="s">
        <v>0</v>
      </c>
      <c r="E150" s="3538">
        <v>69</v>
      </c>
      <c r="F150" s="3538">
        <v>69</v>
      </c>
      <c r="G150" s="3538">
        <v>69</v>
      </c>
      <c r="H150" s="3538" t="s">
        <v>0</v>
      </c>
      <c r="I150" s="3538" t="s">
        <v>0</v>
      </c>
      <c r="J150" s="3538"/>
      <c r="K150" s="3538"/>
      <c r="L150" s="3538"/>
      <c r="M150" s="3538">
        <v>79</v>
      </c>
      <c r="N150" s="3538">
        <v>79</v>
      </c>
      <c r="O150" s="3672">
        <v>79</v>
      </c>
      <c r="P150" s="3538">
        <v>79</v>
      </c>
      <c r="Q150" s="3690"/>
      <c r="R150" s="3690"/>
      <c r="S150" s="3538">
        <v>89</v>
      </c>
      <c r="T150" s="4452">
        <v>89</v>
      </c>
      <c r="U150" s="3538">
        <v>89</v>
      </c>
      <c r="V150" s="3538">
        <v>89</v>
      </c>
      <c r="W150" s="3538">
        <v>89</v>
      </c>
      <c r="X150" s="3538">
        <v>89</v>
      </c>
      <c r="Y150" s="3690"/>
      <c r="Z150" s="3690">
        <v>99</v>
      </c>
      <c r="AA150" s="3538">
        <v>99</v>
      </c>
      <c r="AB150" s="3538">
        <v>99</v>
      </c>
      <c r="AC150" s="3538">
        <v>99</v>
      </c>
      <c r="AD150" s="3538" t="s">
        <v>36</v>
      </c>
      <c r="AE150" s="3538"/>
      <c r="AF150" s="3690"/>
      <c r="AG150" s="3661"/>
      <c r="AH150" s="191"/>
      <c r="AI150" s="107"/>
    </row>
    <row r="151" spans="1:35" ht="22.35" customHeight="1" thickBot="1" x14ac:dyDescent="0.25">
      <c r="A151" s="3760">
        <v>5</v>
      </c>
      <c r="B151" s="3821" t="s">
        <v>202</v>
      </c>
      <c r="C151" s="3721"/>
      <c r="D151" s="3721"/>
      <c r="E151" s="3721">
        <v>79</v>
      </c>
      <c r="F151" s="4453">
        <v>79</v>
      </c>
      <c r="G151" s="4454">
        <v>79</v>
      </c>
      <c r="H151" s="3610"/>
      <c r="I151" s="3610"/>
      <c r="J151" s="3610"/>
      <c r="K151" s="3610"/>
      <c r="L151" s="3632"/>
      <c r="M151" s="3632">
        <v>89</v>
      </c>
      <c r="N151" s="3632">
        <v>89</v>
      </c>
      <c r="O151" s="3632">
        <v>89</v>
      </c>
      <c r="P151" s="3632">
        <v>89</v>
      </c>
      <c r="Q151" s="3632">
        <v>89</v>
      </c>
      <c r="R151" s="3632"/>
      <c r="S151" s="4452">
        <v>99</v>
      </c>
      <c r="T151" s="3822">
        <v>99</v>
      </c>
      <c r="U151" s="3721">
        <v>99</v>
      </c>
      <c r="V151" s="3721">
        <v>99</v>
      </c>
      <c r="W151" s="3721" t="s">
        <v>36</v>
      </c>
      <c r="X151" s="3672"/>
      <c r="Y151" s="3672"/>
      <c r="Z151" s="3721" t="s">
        <v>58</v>
      </c>
      <c r="AA151" s="3611" t="s">
        <v>58</v>
      </c>
      <c r="AB151" s="3721" t="s">
        <v>58</v>
      </c>
      <c r="AC151" s="3721" t="s">
        <v>58</v>
      </c>
      <c r="AD151" s="3721" t="s">
        <v>58</v>
      </c>
      <c r="AE151" s="3721"/>
      <c r="AF151" s="3721"/>
      <c r="AG151" s="3825"/>
      <c r="AH151" s="191"/>
      <c r="AI151" s="107"/>
    </row>
    <row r="152" spans="1:35" ht="22.35" customHeight="1" x14ac:dyDescent="0.2">
      <c r="A152" s="200"/>
      <c r="B152" s="217"/>
      <c r="C152" s="218"/>
      <c r="D152" s="218"/>
      <c r="E152" s="218"/>
      <c r="F152" s="199"/>
      <c r="G152" s="216"/>
      <c r="H152" s="216"/>
      <c r="I152" s="216"/>
      <c r="J152" s="216"/>
      <c r="K152" s="216"/>
      <c r="L152" s="199"/>
      <c r="M152" s="199"/>
      <c r="N152" s="218"/>
      <c r="O152" s="218"/>
      <c r="P152" s="218"/>
      <c r="Q152" s="218"/>
      <c r="R152" s="218"/>
      <c r="S152" s="199"/>
      <c r="T152" s="219"/>
      <c r="U152" s="218"/>
      <c r="V152" s="218"/>
      <c r="W152" s="218"/>
      <c r="X152" s="218"/>
      <c r="Y152" s="218"/>
      <c r="Z152" s="220"/>
      <c r="AA152" s="220"/>
      <c r="AB152" s="218"/>
      <c r="AC152" s="218"/>
      <c r="AD152" s="218"/>
      <c r="AE152" s="218"/>
      <c r="AF152" s="218"/>
      <c r="AG152" s="220"/>
      <c r="AH152" s="191"/>
      <c r="AI152" s="107"/>
    </row>
    <row r="153" spans="1:35" ht="22.35" customHeight="1" x14ac:dyDescent="0.2">
      <c r="A153" s="109"/>
      <c r="B153" s="110"/>
      <c r="C153" s="106"/>
      <c r="D153" s="106"/>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c r="AA153" s="106"/>
      <c r="AB153" s="106"/>
      <c r="AC153" s="106"/>
      <c r="AD153" s="106"/>
      <c r="AE153" s="106"/>
      <c r="AF153" s="106"/>
      <c r="AG153" s="106"/>
      <c r="AH153" s="107"/>
      <c r="AI153" s="107"/>
    </row>
    <row r="154" spans="1:35" ht="22.35" customHeight="1" thickBot="1" x14ac:dyDescent="0.25">
      <c r="A154" s="169" t="s">
        <v>204</v>
      </c>
      <c r="B154" s="170"/>
      <c r="C154" s="170"/>
      <c r="D154" s="171"/>
      <c r="E154" s="171"/>
      <c r="F154" s="171"/>
      <c r="G154" s="105"/>
      <c r="H154" s="171"/>
      <c r="I154" s="171"/>
      <c r="J154" s="171"/>
      <c r="K154" s="171"/>
      <c r="L154" s="171"/>
      <c r="M154" s="171"/>
      <c r="N154" s="171"/>
      <c r="O154" s="171"/>
      <c r="P154" s="171"/>
      <c r="Q154" s="171"/>
      <c r="R154" s="171"/>
      <c r="S154" s="171"/>
      <c r="T154" s="171"/>
      <c r="U154" s="171"/>
      <c r="V154" s="171"/>
      <c r="W154" s="171"/>
      <c r="X154" s="171"/>
      <c r="Y154" s="171"/>
      <c r="Z154" s="171"/>
      <c r="AA154" s="171"/>
      <c r="AB154" s="171"/>
      <c r="AC154" s="171"/>
      <c r="AD154" s="171"/>
      <c r="AE154" s="171"/>
      <c r="AF154" s="171"/>
      <c r="AG154" s="171"/>
      <c r="AH154" s="170"/>
      <c r="AI154" s="170"/>
    </row>
    <row r="155" spans="1:35" ht="22.35" customHeight="1" x14ac:dyDescent="0.2">
      <c r="A155" s="169"/>
      <c r="B155" s="4422" t="s">
        <v>186</v>
      </c>
      <c r="C155" s="4439"/>
      <c r="D155" s="4440" t="s">
        <v>107</v>
      </c>
      <c r="E155" s="4441"/>
      <c r="F155" s="4442"/>
      <c r="G155" s="4439"/>
      <c r="H155" s="4440" t="s">
        <v>108</v>
      </c>
      <c r="I155" s="4441"/>
      <c r="J155" s="4442"/>
      <c r="K155" s="4439"/>
      <c r="L155" s="4440" t="s">
        <v>109</v>
      </c>
      <c r="M155" s="4441"/>
      <c r="N155" s="4442"/>
      <c r="O155" s="4439"/>
      <c r="P155" s="4440" t="s">
        <v>110</v>
      </c>
      <c r="Q155" s="4441"/>
      <c r="R155" s="4442"/>
      <c r="S155" s="4439"/>
      <c r="T155" s="4440" t="s">
        <v>111</v>
      </c>
      <c r="U155" s="4441"/>
      <c r="V155" s="4442"/>
      <c r="W155" s="4439"/>
      <c r="X155" s="4440" t="s">
        <v>112</v>
      </c>
      <c r="Y155" s="4441"/>
      <c r="Z155" s="4442"/>
      <c r="AA155" s="4439"/>
      <c r="AB155" s="4440" t="s">
        <v>113</v>
      </c>
      <c r="AC155" s="4441"/>
      <c r="AD155" s="4441"/>
      <c r="AE155" s="4443" t="s">
        <v>114</v>
      </c>
      <c r="AF155" s="4441"/>
      <c r="AG155" s="4441"/>
      <c r="AH155" s="4441"/>
      <c r="AI155" s="4444"/>
    </row>
    <row r="156" spans="1:35" ht="22.35" customHeight="1" x14ac:dyDescent="0.2">
      <c r="A156" s="169"/>
      <c r="B156" s="3790" t="s">
        <v>205</v>
      </c>
      <c r="C156" s="3643" t="s">
        <v>206</v>
      </c>
      <c r="D156" s="3792"/>
      <c r="E156" s="3792"/>
      <c r="F156" s="3793"/>
      <c r="G156" s="3643" t="s">
        <v>206</v>
      </c>
      <c r="H156" s="3792"/>
      <c r="I156" s="3792"/>
      <c r="J156" s="3793"/>
      <c r="K156" s="3643" t="s">
        <v>206</v>
      </c>
      <c r="L156" s="3792"/>
      <c r="M156" s="3792"/>
      <c r="N156" s="3793"/>
      <c r="O156" s="3643" t="s">
        <v>206</v>
      </c>
      <c r="P156" s="3792"/>
      <c r="Q156" s="3792"/>
      <c r="R156" s="3793"/>
      <c r="S156" s="3643" t="s">
        <v>206</v>
      </c>
      <c r="T156" s="3792"/>
      <c r="U156" s="3792"/>
      <c r="V156" s="3793"/>
      <c r="W156" s="3643" t="s">
        <v>207</v>
      </c>
      <c r="X156" s="3794"/>
      <c r="Y156" s="3794"/>
      <c r="Z156" s="3795"/>
      <c r="AA156" s="3643" t="s">
        <v>207</v>
      </c>
      <c r="AB156" s="3792"/>
      <c r="AC156" s="3792"/>
      <c r="AD156" s="3644"/>
      <c r="AE156" s="3796">
        <v>69</v>
      </c>
      <c r="AF156" s="185"/>
      <c r="AG156" s="185"/>
      <c r="AH156" s="185"/>
      <c r="AI156" s="186"/>
    </row>
    <row r="157" spans="1:35" ht="22.35" customHeight="1" x14ac:dyDescent="0.2">
      <c r="A157" s="169"/>
      <c r="B157" s="3790" t="s">
        <v>163</v>
      </c>
      <c r="C157" s="3643" t="s">
        <v>171</v>
      </c>
      <c r="D157" s="3792"/>
      <c r="E157" s="3792"/>
      <c r="F157" s="3793"/>
      <c r="G157" s="3643" t="s">
        <v>171</v>
      </c>
      <c r="H157" s="3792"/>
      <c r="I157" s="3792"/>
      <c r="J157" s="3793"/>
      <c r="K157" s="3643" t="s">
        <v>171</v>
      </c>
      <c r="L157" s="3792"/>
      <c r="M157" s="3792"/>
      <c r="N157" s="3793"/>
      <c r="O157" s="3643" t="s">
        <v>171</v>
      </c>
      <c r="P157" s="3792"/>
      <c r="Q157" s="3792"/>
      <c r="R157" s="3793"/>
      <c r="S157" s="3643" t="s">
        <v>171</v>
      </c>
      <c r="T157" s="3792"/>
      <c r="U157" s="3792"/>
      <c r="V157" s="3793"/>
      <c r="W157" s="3643" t="s">
        <v>171</v>
      </c>
      <c r="X157" s="3792"/>
      <c r="Y157" s="3792"/>
      <c r="Z157" s="3793"/>
      <c r="AA157" s="3792" t="s">
        <v>171</v>
      </c>
      <c r="AB157" s="3792"/>
      <c r="AC157" s="3792"/>
      <c r="AD157" s="3644"/>
      <c r="AE157" s="3796">
        <v>0</v>
      </c>
      <c r="AF157" s="185"/>
      <c r="AG157" s="185"/>
      <c r="AH157" s="185"/>
      <c r="AI157" s="186"/>
    </row>
    <row r="158" spans="1:35" ht="22.35" customHeight="1" x14ac:dyDescent="0.2">
      <c r="A158" s="169"/>
      <c r="B158" s="3790" t="s">
        <v>208</v>
      </c>
      <c r="C158" s="3643" t="s">
        <v>206</v>
      </c>
      <c r="D158" s="3792"/>
      <c r="E158" s="3792"/>
      <c r="F158" s="3793"/>
      <c r="G158" s="3643" t="s">
        <v>206</v>
      </c>
      <c r="H158" s="3792"/>
      <c r="I158" s="3792"/>
      <c r="J158" s="3793"/>
      <c r="K158" s="3643" t="s">
        <v>206</v>
      </c>
      <c r="L158" s="3792"/>
      <c r="M158" s="3792"/>
      <c r="N158" s="3793"/>
      <c r="O158" s="3643" t="s">
        <v>206</v>
      </c>
      <c r="P158" s="3792"/>
      <c r="Q158" s="3792"/>
      <c r="R158" s="3793"/>
      <c r="S158" s="3643" t="s">
        <v>206</v>
      </c>
      <c r="T158" s="3792"/>
      <c r="U158" s="3792"/>
      <c r="V158" s="3793"/>
      <c r="W158" s="3643" t="s">
        <v>207</v>
      </c>
      <c r="X158" s="3794"/>
      <c r="Y158" s="3794"/>
      <c r="Z158" s="3795"/>
      <c r="AA158" s="3643" t="s">
        <v>207</v>
      </c>
      <c r="AB158" s="3792"/>
      <c r="AC158" s="3792"/>
      <c r="AD158" s="3644"/>
      <c r="AE158" s="3796">
        <v>69</v>
      </c>
      <c r="AF158" s="3792"/>
      <c r="AG158" s="3792" t="s">
        <v>0</v>
      </c>
      <c r="AH158" s="3644"/>
      <c r="AI158" s="3797"/>
    </row>
    <row r="159" spans="1:35" ht="22.35" customHeight="1" x14ac:dyDescent="0.2">
      <c r="A159" s="169"/>
      <c r="B159" s="3790" t="s">
        <v>172</v>
      </c>
      <c r="C159" s="3643" t="s">
        <v>171</v>
      </c>
      <c r="D159" s="3792"/>
      <c r="E159" s="3792"/>
      <c r="F159" s="3793"/>
      <c r="G159" s="3643" t="s">
        <v>171</v>
      </c>
      <c r="H159" s="3792"/>
      <c r="I159" s="3792"/>
      <c r="J159" s="3793"/>
      <c r="K159" s="3643" t="s">
        <v>171</v>
      </c>
      <c r="L159" s="3792"/>
      <c r="M159" s="3792"/>
      <c r="N159" s="3793"/>
      <c r="O159" s="3643" t="s">
        <v>171</v>
      </c>
      <c r="P159" s="3792"/>
      <c r="Q159" s="3792"/>
      <c r="R159" s="3793"/>
      <c r="S159" s="3643" t="s">
        <v>171</v>
      </c>
      <c r="T159" s="3792"/>
      <c r="U159" s="3792"/>
      <c r="V159" s="3793"/>
      <c r="W159" s="3643" t="s">
        <v>171</v>
      </c>
      <c r="X159" s="3792"/>
      <c r="Y159" s="3792"/>
      <c r="Z159" s="3793"/>
      <c r="AA159" s="3792" t="s">
        <v>171</v>
      </c>
      <c r="AB159" s="3792"/>
      <c r="AC159" s="3792"/>
      <c r="AD159" s="3644"/>
      <c r="AE159" s="3796">
        <v>0</v>
      </c>
      <c r="AF159" s="3792"/>
      <c r="AG159" s="3792"/>
      <c r="AH159" s="3644"/>
      <c r="AI159" s="3797"/>
    </row>
    <row r="160" spans="1:35" ht="22.35" customHeight="1" x14ac:dyDescent="0.2">
      <c r="A160" s="169"/>
      <c r="B160" s="3790" t="s">
        <v>209</v>
      </c>
      <c r="C160" s="3643" t="s">
        <v>206</v>
      </c>
      <c r="D160" s="3792"/>
      <c r="E160" s="3792"/>
      <c r="F160" s="3793"/>
      <c r="G160" s="3643" t="s">
        <v>206</v>
      </c>
      <c r="H160" s="3792"/>
      <c r="I160" s="3792"/>
      <c r="J160" s="3793"/>
      <c r="K160" s="3643" t="s">
        <v>206</v>
      </c>
      <c r="L160" s="3792"/>
      <c r="M160" s="3792"/>
      <c r="N160" s="3793"/>
      <c r="O160" s="3643" t="s">
        <v>206</v>
      </c>
      <c r="P160" s="3792"/>
      <c r="Q160" s="3792"/>
      <c r="R160" s="3793"/>
      <c r="S160" s="3643" t="s">
        <v>206</v>
      </c>
      <c r="T160" s="3792"/>
      <c r="U160" s="3792"/>
      <c r="V160" s="3793"/>
      <c r="W160" s="3643" t="s">
        <v>210</v>
      </c>
      <c r="X160" s="4236"/>
      <c r="Y160" s="4236"/>
      <c r="Z160" s="3800"/>
      <c r="AA160" s="3643" t="s">
        <v>210</v>
      </c>
      <c r="AB160" s="4236"/>
      <c r="AC160" s="4236"/>
      <c r="AD160" s="4347"/>
      <c r="AE160" s="3796">
        <v>66</v>
      </c>
      <c r="AF160" s="3792"/>
      <c r="AG160" s="3792"/>
      <c r="AH160" s="3644"/>
      <c r="AI160" s="3797"/>
    </row>
    <row r="161" spans="1:35" ht="22.35" customHeight="1" thickBot="1" x14ac:dyDescent="0.25">
      <c r="A161" s="169"/>
      <c r="B161" s="3790" t="s">
        <v>211</v>
      </c>
      <c r="C161" s="3826" t="s">
        <v>171</v>
      </c>
      <c r="D161" s="3827"/>
      <c r="E161" s="3827"/>
      <c r="F161" s="3828"/>
      <c r="G161" s="3826" t="s">
        <v>171</v>
      </c>
      <c r="H161" s="3827"/>
      <c r="I161" s="3827"/>
      <c r="J161" s="3828"/>
      <c r="K161" s="3826" t="s">
        <v>171</v>
      </c>
      <c r="L161" s="3827"/>
      <c r="M161" s="3827"/>
      <c r="N161" s="3828"/>
      <c r="O161" s="3826" t="s">
        <v>171</v>
      </c>
      <c r="P161" s="3827"/>
      <c r="Q161" s="3827"/>
      <c r="R161" s="3828"/>
      <c r="S161" s="3826" t="s">
        <v>171</v>
      </c>
      <c r="T161" s="3827"/>
      <c r="U161" s="3827"/>
      <c r="V161" s="3811"/>
      <c r="W161" s="3826" t="s">
        <v>171</v>
      </c>
      <c r="X161" s="3811"/>
      <c r="Y161" s="3827"/>
      <c r="Z161" s="3828"/>
      <c r="AA161" s="3826" t="s">
        <v>171</v>
      </c>
      <c r="AB161" s="3811"/>
      <c r="AC161" s="3827"/>
      <c r="AD161" s="3828"/>
      <c r="AE161" s="3829" t="s">
        <v>212</v>
      </c>
      <c r="AF161" s="3827"/>
      <c r="AG161" s="3827"/>
      <c r="AH161" s="3811"/>
      <c r="AI161" s="3812"/>
    </row>
    <row r="162" spans="1:35" ht="22.35" customHeight="1" x14ac:dyDescent="0.2">
      <c r="A162" s="108"/>
      <c r="B162" s="169"/>
      <c r="C162" s="171"/>
      <c r="D162" s="171"/>
      <c r="E162" s="171"/>
      <c r="F162" s="171"/>
      <c r="G162" s="171"/>
      <c r="H162" s="171"/>
      <c r="I162" s="171"/>
      <c r="J162" s="171"/>
      <c r="K162" s="171"/>
      <c r="L162" s="171"/>
      <c r="M162" s="171"/>
      <c r="N162" s="171"/>
      <c r="O162" s="171"/>
      <c r="P162" s="171"/>
      <c r="Q162" s="171"/>
      <c r="R162" s="171"/>
      <c r="S162" s="171"/>
      <c r="T162" s="171"/>
      <c r="U162" s="171"/>
      <c r="V162" s="171"/>
      <c r="W162" s="171"/>
      <c r="X162" s="171"/>
      <c r="Y162" s="171"/>
      <c r="Z162" s="171"/>
      <c r="AA162" s="171"/>
      <c r="AB162" s="171"/>
      <c r="AC162" s="171"/>
      <c r="AD162" s="171"/>
      <c r="AE162" s="171"/>
      <c r="AF162" s="171"/>
      <c r="AG162" s="171"/>
      <c r="AH162" s="170"/>
      <c r="AI162" s="170"/>
    </row>
    <row r="163" spans="1:35" ht="22.35" customHeight="1" thickBot="1" x14ac:dyDescent="0.25">
      <c r="A163" s="3718"/>
      <c r="B163" s="3656" t="s">
        <v>29</v>
      </c>
      <c r="C163" s="3529">
        <v>1</v>
      </c>
      <c r="D163" s="3529">
        <v>2</v>
      </c>
      <c r="E163" s="3528">
        <v>3</v>
      </c>
      <c r="F163" s="3528">
        <v>4</v>
      </c>
      <c r="G163" s="3528">
        <v>5</v>
      </c>
      <c r="H163" s="3529">
        <v>6</v>
      </c>
      <c r="I163" s="3529">
        <v>7</v>
      </c>
      <c r="J163" s="3529">
        <v>8</v>
      </c>
      <c r="K163" s="3529">
        <v>9</v>
      </c>
      <c r="L163" s="3529">
        <v>10</v>
      </c>
      <c r="M163" s="3528">
        <v>11</v>
      </c>
      <c r="N163" s="3528">
        <v>12</v>
      </c>
      <c r="O163" s="3528">
        <v>13</v>
      </c>
      <c r="P163" s="3528">
        <v>14</v>
      </c>
      <c r="Q163" s="3529">
        <v>15</v>
      </c>
      <c r="R163" s="3529">
        <v>16</v>
      </c>
      <c r="S163" s="3528">
        <v>17</v>
      </c>
      <c r="T163" s="3528">
        <v>18</v>
      </c>
      <c r="U163" s="3528">
        <v>19</v>
      </c>
      <c r="V163" s="3528">
        <v>20</v>
      </c>
      <c r="W163" s="3528">
        <v>21</v>
      </c>
      <c r="X163" s="3529">
        <v>22</v>
      </c>
      <c r="Y163" s="3529">
        <v>23</v>
      </c>
      <c r="Z163" s="3528">
        <v>24</v>
      </c>
      <c r="AA163" s="3528">
        <v>25</v>
      </c>
      <c r="AB163" s="3528">
        <v>26</v>
      </c>
      <c r="AC163" s="3528">
        <v>27</v>
      </c>
      <c r="AD163" s="3528">
        <v>28</v>
      </c>
      <c r="AE163" s="3529">
        <v>29</v>
      </c>
      <c r="AF163" s="3529">
        <v>30</v>
      </c>
      <c r="AG163" s="3530"/>
      <c r="AH163" s="173"/>
      <c r="AI163" s="174"/>
    </row>
    <row r="164" spans="1:35" ht="22.35" customHeight="1" x14ac:dyDescent="0.2">
      <c r="A164" s="4455">
        <v>1</v>
      </c>
      <c r="B164" s="215" t="s">
        <v>213</v>
      </c>
      <c r="C164" s="4456">
        <v>22</v>
      </c>
      <c r="D164" s="4456">
        <v>22</v>
      </c>
      <c r="E164" s="4456" t="s">
        <v>36</v>
      </c>
      <c r="F164" s="4456" t="s">
        <v>36</v>
      </c>
      <c r="G164" s="4457" t="s">
        <v>36</v>
      </c>
      <c r="H164" s="4456" t="s">
        <v>36</v>
      </c>
      <c r="I164" s="4458" t="s">
        <v>36</v>
      </c>
      <c r="J164" s="4457"/>
      <c r="K164" s="4456"/>
      <c r="L164" s="4458">
        <v>23</v>
      </c>
      <c r="M164" s="4457">
        <v>23</v>
      </c>
      <c r="N164" s="4457">
        <v>23</v>
      </c>
      <c r="O164" s="4456">
        <v>23</v>
      </c>
      <c r="P164" s="4456">
        <v>23</v>
      </c>
      <c r="Q164" s="4456">
        <v>23</v>
      </c>
      <c r="R164" s="4456">
        <v>23</v>
      </c>
      <c r="S164" s="4456" t="s">
        <v>36</v>
      </c>
      <c r="T164" s="4456" t="s">
        <v>36</v>
      </c>
      <c r="U164" s="4456" t="s">
        <v>36</v>
      </c>
      <c r="V164" s="4456" t="s">
        <v>36</v>
      </c>
      <c r="W164" s="4458" t="s">
        <v>36</v>
      </c>
      <c r="X164" s="4456"/>
      <c r="Y164" s="4456"/>
      <c r="Z164" s="4458">
        <v>21</v>
      </c>
      <c r="AA164" s="4456">
        <v>21</v>
      </c>
      <c r="AB164" s="4456">
        <v>21</v>
      </c>
      <c r="AC164" s="4456">
        <v>21</v>
      </c>
      <c r="AD164" s="4456">
        <v>21</v>
      </c>
      <c r="AE164" s="4456">
        <v>21</v>
      </c>
      <c r="AF164" s="4456">
        <v>21</v>
      </c>
      <c r="AG164" s="4459"/>
      <c r="AH164" s="107"/>
      <c r="AI164" s="107"/>
    </row>
    <row r="165" spans="1:35" ht="22.35" customHeight="1" x14ac:dyDescent="0.2">
      <c r="A165" s="1086">
        <v>2</v>
      </c>
      <c r="B165" s="1182" t="s">
        <v>214</v>
      </c>
      <c r="C165" s="644">
        <v>23</v>
      </c>
      <c r="D165" s="644">
        <v>23</v>
      </c>
      <c r="E165" s="644" t="s">
        <v>36</v>
      </c>
      <c r="F165" s="644" t="s">
        <v>36</v>
      </c>
      <c r="G165" s="644" t="s">
        <v>36</v>
      </c>
      <c r="H165" s="644" t="s">
        <v>36</v>
      </c>
      <c r="I165" s="851" t="s">
        <v>36</v>
      </c>
      <c r="J165" s="644"/>
      <c r="K165" s="644"/>
      <c r="L165" s="851">
        <v>21</v>
      </c>
      <c r="M165" s="975">
        <v>21</v>
      </c>
      <c r="N165" s="975">
        <v>21</v>
      </c>
      <c r="O165" s="975">
        <v>21</v>
      </c>
      <c r="P165" s="975">
        <v>21</v>
      </c>
      <c r="Q165" s="975">
        <v>21</v>
      </c>
      <c r="R165" s="975">
        <v>21</v>
      </c>
      <c r="S165" s="975" t="s">
        <v>36</v>
      </c>
      <c r="T165" s="975" t="s">
        <v>36</v>
      </c>
      <c r="U165" s="975" t="s">
        <v>36</v>
      </c>
      <c r="V165" s="975" t="s">
        <v>36</v>
      </c>
      <c r="W165" s="851" t="s">
        <v>36</v>
      </c>
      <c r="X165" s="644"/>
      <c r="Y165" s="644"/>
      <c r="Z165" s="851">
        <v>22</v>
      </c>
      <c r="AA165" s="975">
        <v>22</v>
      </c>
      <c r="AB165" s="975">
        <v>22</v>
      </c>
      <c r="AC165" s="975">
        <v>22</v>
      </c>
      <c r="AD165" s="975">
        <v>22</v>
      </c>
      <c r="AE165" s="975">
        <v>22</v>
      </c>
      <c r="AF165" s="975">
        <v>22</v>
      </c>
      <c r="AG165" s="613"/>
      <c r="AH165" s="107"/>
      <c r="AI165" s="107"/>
    </row>
    <row r="166" spans="1:35" ht="22.35" customHeight="1" x14ac:dyDescent="0.2">
      <c r="A166" s="1086">
        <v>3</v>
      </c>
      <c r="B166" s="1182" t="s">
        <v>362</v>
      </c>
      <c r="C166" s="644">
        <v>21</v>
      </c>
      <c r="D166" s="644">
        <v>21</v>
      </c>
      <c r="E166" s="644" t="s">
        <v>36</v>
      </c>
      <c r="F166" s="644" t="s">
        <v>36</v>
      </c>
      <c r="G166" s="975" t="s">
        <v>36</v>
      </c>
      <c r="H166" s="975" t="s">
        <v>36</v>
      </c>
      <c r="I166" s="848" t="s">
        <v>36</v>
      </c>
      <c r="J166" s="848"/>
      <c r="K166" s="848"/>
      <c r="L166" s="848">
        <v>22</v>
      </c>
      <c r="M166" s="848">
        <v>22</v>
      </c>
      <c r="N166" s="848">
        <v>22</v>
      </c>
      <c r="O166" s="848">
        <v>22</v>
      </c>
      <c r="P166" s="644">
        <v>22</v>
      </c>
      <c r="Q166" s="644">
        <v>22</v>
      </c>
      <c r="R166" s="980">
        <v>22</v>
      </c>
      <c r="S166" s="980" t="s">
        <v>36</v>
      </c>
      <c r="T166" s="644" t="s">
        <v>36</v>
      </c>
      <c r="U166" s="975" t="s">
        <v>36</v>
      </c>
      <c r="V166" s="975" t="s">
        <v>36</v>
      </c>
      <c r="W166" s="851" t="s">
        <v>36</v>
      </c>
      <c r="X166" s="644"/>
      <c r="Y166" s="644"/>
      <c r="Z166" s="851">
        <v>23</v>
      </c>
      <c r="AA166" s="644">
        <v>23</v>
      </c>
      <c r="AB166" s="644">
        <v>23</v>
      </c>
      <c r="AC166" s="644">
        <v>23</v>
      </c>
      <c r="AD166" s="644">
        <v>23</v>
      </c>
      <c r="AE166" s="644">
        <v>23</v>
      </c>
      <c r="AF166" s="644">
        <v>23</v>
      </c>
      <c r="AG166" s="613"/>
      <c r="AH166" s="107"/>
      <c r="AI166" s="107"/>
    </row>
    <row r="167" spans="1:35" ht="22.35" customHeight="1" x14ac:dyDescent="0.2">
      <c r="A167" s="1086">
        <v>4</v>
      </c>
      <c r="B167" s="1182" t="s">
        <v>0</v>
      </c>
      <c r="C167" s="644"/>
      <c r="D167" s="644"/>
      <c r="E167" s="851">
        <v>22</v>
      </c>
      <c r="F167" s="644">
        <v>22</v>
      </c>
      <c r="G167" s="644">
        <v>22</v>
      </c>
      <c r="H167" s="644">
        <v>22</v>
      </c>
      <c r="I167" s="644">
        <v>22</v>
      </c>
      <c r="J167" s="644">
        <v>22</v>
      </c>
      <c r="K167" s="644">
        <v>22</v>
      </c>
      <c r="L167" s="644" t="s">
        <v>36</v>
      </c>
      <c r="M167" s="644" t="s">
        <v>36</v>
      </c>
      <c r="N167" s="644" t="s">
        <v>36</v>
      </c>
      <c r="O167" s="848" t="s">
        <v>36</v>
      </c>
      <c r="P167" s="848" t="s">
        <v>36</v>
      </c>
      <c r="Q167" s="848"/>
      <c r="R167" s="848"/>
      <c r="S167" s="848">
        <v>23</v>
      </c>
      <c r="T167" s="848">
        <v>23</v>
      </c>
      <c r="U167" s="848">
        <v>23</v>
      </c>
      <c r="V167" s="848">
        <v>23</v>
      </c>
      <c r="W167" s="644">
        <v>23</v>
      </c>
      <c r="X167" s="644">
        <v>23</v>
      </c>
      <c r="Y167" s="644">
        <v>23</v>
      </c>
      <c r="Z167" s="644" t="s">
        <v>36</v>
      </c>
      <c r="AA167" s="644" t="s">
        <v>36</v>
      </c>
      <c r="AB167" s="644" t="s">
        <v>36</v>
      </c>
      <c r="AC167" s="644" t="s">
        <v>36</v>
      </c>
      <c r="AD167" s="851" t="s">
        <v>36</v>
      </c>
      <c r="AE167" s="644"/>
      <c r="AF167" s="644"/>
      <c r="AG167" s="978"/>
      <c r="AH167" s="107"/>
      <c r="AI167" s="107"/>
    </row>
    <row r="168" spans="1:35" ht="22.35" customHeight="1" x14ac:dyDescent="0.2">
      <c r="A168" s="1086">
        <v>5</v>
      </c>
      <c r="B168" s="1182" t="s">
        <v>0</v>
      </c>
      <c r="C168" s="644"/>
      <c r="D168" s="644"/>
      <c r="E168" s="851">
        <v>23</v>
      </c>
      <c r="F168" s="975">
        <v>23</v>
      </c>
      <c r="G168" s="644">
        <v>23</v>
      </c>
      <c r="H168" s="644">
        <v>23</v>
      </c>
      <c r="I168" s="644">
        <v>23</v>
      </c>
      <c r="J168" s="644">
        <v>23</v>
      </c>
      <c r="K168" s="644">
        <v>23</v>
      </c>
      <c r="L168" s="644" t="s">
        <v>36</v>
      </c>
      <c r="M168" s="644" t="s">
        <v>36</v>
      </c>
      <c r="N168" s="644" t="s">
        <v>36</v>
      </c>
      <c r="O168" s="644" t="s">
        <v>36</v>
      </c>
      <c r="P168" s="851" t="s">
        <v>36</v>
      </c>
      <c r="Q168" s="644"/>
      <c r="R168" s="644"/>
      <c r="S168" s="851">
        <v>21</v>
      </c>
      <c r="T168" s="644">
        <v>21</v>
      </c>
      <c r="U168" s="644">
        <v>21</v>
      </c>
      <c r="V168" s="644">
        <v>21</v>
      </c>
      <c r="W168" s="644">
        <v>21</v>
      </c>
      <c r="X168" s="644">
        <v>21</v>
      </c>
      <c r="Y168" s="644">
        <v>21</v>
      </c>
      <c r="Z168" s="644" t="s">
        <v>36</v>
      </c>
      <c r="AA168" s="644" t="s">
        <v>36</v>
      </c>
      <c r="AB168" s="644" t="s">
        <v>36</v>
      </c>
      <c r="AC168" s="975" t="s">
        <v>36</v>
      </c>
      <c r="AD168" s="975" t="s">
        <v>36</v>
      </c>
      <c r="AE168" s="975"/>
      <c r="AF168" s="644"/>
      <c r="AG168" s="978"/>
      <c r="AH168" s="107"/>
      <c r="AI168" s="107"/>
    </row>
    <row r="169" spans="1:35" ht="22.35" customHeight="1" thickBot="1" x14ac:dyDescent="0.25">
      <c r="A169" s="1090">
        <v>6</v>
      </c>
      <c r="B169" s="1091" t="s">
        <v>218</v>
      </c>
      <c r="C169" s="863"/>
      <c r="D169" s="863"/>
      <c r="E169" s="1092">
        <v>21</v>
      </c>
      <c r="F169" s="863">
        <v>21</v>
      </c>
      <c r="G169" s="863">
        <v>21</v>
      </c>
      <c r="H169" s="1093">
        <v>21</v>
      </c>
      <c r="I169" s="1093">
        <v>21</v>
      </c>
      <c r="J169" s="1093">
        <v>21</v>
      </c>
      <c r="K169" s="1093">
        <v>21</v>
      </c>
      <c r="L169" s="1093" t="s">
        <v>36</v>
      </c>
      <c r="M169" s="1093" t="s">
        <v>36</v>
      </c>
      <c r="N169" s="865" t="s">
        <v>36</v>
      </c>
      <c r="O169" s="865" t="s">
        <v>36</v>
      </c>
      <c r="P169" s="3538" t="s">
        <v>32</v>
      </c>
      <c r="Q169" s="863"/>
      <c r="R169" s="863"/>
      <c r="S169" s="1092">
        <v>22</v>
      </c>
      <c r="T169" s="863">
        <v>22</v>
      </c>
      <c r="U169" s="863">
        <v>22</v>
      </c>
      <c r="V169" s="863">
        <v>22</v>
      </c>
      <c r="W169" s="863">
        <v>22</v>
      </c>
      <c r="X169" s="863">
        <v>22</v>
      </c>
      <c r="Y169" s="863">
        <v>22</v>
      </c>
      <c r="Z169" s="863" t="s">
        <v>36</v>
      </c>
      <c r="AA169" s="863" t="s">
        <v>36</v>
      </c>
      <c r="AB169" s="865" t="s">
        <v>36</v>
      </c>
      <c r="AC169" s="865" t="s">
        <v>36</v>
      </c>
      <c r="AD169" s="1092" t="s">
        <v>36</v>
      </c>
      <c r="AE169" s="863"/>
      <c r="AF169" s="863"/>
      <c r="AG169" s="1094"/>
      <c r="AH169" s="107"/>
      <c r="AI169" s="107"/>
    </row>
    <row r="170" spans="1:35" ht="22.35" customHeight="1" x14ac:dyDescent="0.2">
      <c r="A170" s="200"/>
      <c r="B170" s="198"/>
      <c r="C170" s="199"/>
      <c r="D170" s="199"/>
      <c r="E170" s="216"/>
      <c r="F170" s="199"/>
      <c r="G170" s="199"/>
      <c r="H170" s="221"/>
      <c r="I170" s="221"/>
      <c r="J170" s="221"/>
      <c r="K170" s="221"/>
      <c r="L170" s="221"/>
      <c r="M170" s="221"/>
      <c r="N170" s="192"/>
      <c r="O170" s="192"/>
      <c r="P170" s="216"/>
      <c r="Q170" s="199"/>
      <c r="R170" s="199"/>
      <c r="S170" s="216"/>
      <c r="T170" s="199"/>
      <c r="U170" s="199"/>
      <c r="V170" s="199"/>
      <c r="W170" s="199"/>
      <c r="X170" s="199"/>
      <c r="Y170" s="199"/>
      <c r="Z170" s="199"/>
      <c r="AA170" s="199"/>
      <c r="AB170" s="192"/>
      <c r="AC170" s="192"/>
      <c r="AD170" s="216"/>
      <c r="AE170" s="199"/>
      <c r="AF170" s="199"/>
      <c r="AG170" s="216"/>
      <c r="AH170" s="107"/>
      <c r="AI170" s="107"/>
    </row>
    <row r="171" spans="1:35" ht="22.35" customHeight="1" x14ac:dyDescent="0.2">
      <c r="A171" s="109"/>
      <c r="B171" s="110"/>
      <c r="C171" s="183"/>
      <c r="D171" s="183"/>
      <c r="E171" s="168"/>
      <c r="F171" s="183"/>
      <c r="G171" s="183"/>
      <c r="H171" s="183"/>
      <c r="I171" s="183"/>
      <c r="J171" s="183"/>
      <c r="K171" s="183"/>
      <c r="L171" s="183"/>
      <c r="M171" s="183"/>
      <c r="N171" s="183"/>
      <c r="O171" s="183"/>
      <c r="P171" s="168"/>
      <c r="Q171" s="183"/>
      <c r="R171" s="183"/>
      <c r="S171" s="168"/>
      <c r="T171" s="183"/>
      <c r="U171" s="183"/>
      <c r="V171" s="183"/>
      <c r="W171" s="183"/>
      <c r="X171" s="183"/>
      <c r="Y171" s="183"/>
      <c r="Z171" s="183"/>
      <c r="AA171" s="183"/>
      <c r="AB171" s="183"/>
      <c r="AC171" s="184"/>
      <c r="AD171" s="184"/>
      <c r="AE171" s="184"/>
      <c r="AF171" s="183"/>
      <c r="AG171" s="168"/>
      <c r="AH171" s="107"/>
      <c r="AI171" s="107"/>
    </row>
    <row r="172" spans="1:35" ht="22.35" customHeight="1" thickBot="1" x14ac:dyDescent="0.25">
      <c r="A172" s="158" t="s">
        <v>219</v>
      </c>
      <c r="D172" s="72"/>
      <c r="E172" s="72"/>
      <c r="F172" s="72"/>
      <c r="G172" s="105"/>
      <c r="H172" s="72"/>
      <c r="I172" s="72"/>
      <c r="J172" s="72"/>
      <c r="K172" s="72"/>
      <c r="L172" s="72"/>
      <c r="M172" s="72"/>
      <c r="N172" s="72"/>
      <c r="O172" s="72"/>
      <c r="P172" s="72"/>
      <c r="Q172" s="72"/>
      <c r="R172" s="72"/>
      <c r="S172" s="72"/>
      <c r="T172" s="72"/>
      <c r="U172" s="72"/>
      <c r="V172" s="72"/>
      <c r="W172" s="72"/>
      <c r="X172" s="72"/>
      <c r="Y172" s="72"/>
      <c r="Z172" s="72"/>
      <c r="AA172" s="72"/>
      <c r="AB172" s="72"/>
      <c r="AC172" s="72"/>
      <c r="AD172" s="72"/>
      <c r="AE172" s="72"/>
      <c r="AF172" s="72"/>
      <c r="AG172" s="72"/>
    </row>
    <row r="173" spans="1:35" ht="22.35" customHeight="1" x14ac:dyDescent="0.2">
      <c r="A173" s="1"/>
      <c r="B173" s="4422" t="s">
        <v>186</v>
      </c>
      <c r="C173" s="4418"/>
      <c r="D173" s="4440" t="s">
        <v>107</v>
      </c>
      <c r="E173" s="4319"/>
      <c r="F173" s="4411"/>
      <c r="G173" s="4418"/>
      <c r="H173" s="4440" t="s">
        <v>108</v>
      </c>
      <c r="I173" s="4319"/>
      <c r="J173" s="4411"/>
      <c r="K173" s="4418"/>
      <c r="L173" s="4440" t="s">
        <v>109</v>
      </c>
      <c r="M173" s="4319"/>
      <c r="N173" s="4411"/>
      <c r="O173" s="4418"/>
      <c r="P173" s="4440" t="s">
        <v>110</v>
      </c>
      <c r="Q173" s="4319"/>
      <c r="R173" s="4411"/>
      <c r="S173" s="4418"/>
      <c r="T173" s="4440" t="s">
        <v>111</v>
      </c>
      <c r="U173" s="4319"/>
      <c r="V173" s="4411"/>
      <c r="W173" s="4418"/>
      <c r="X173" s="4440" t="s">
        <v>112</v>
      </c>
      <c r="Y173" s="4319"/>
      <c r="Z173" s="4411"/>
      <c r="AA173" s="4418"/>
      <c r="AB173" s="4440" t="s">
        <v>113</v>
      </c>
      <c r="AC173" s="4319"/>
      <c r="AD173" s="4319"/>
      <c r="AE173" s="4443" t="s">
        <v>114</v>
      </c>
      <c r="AF173" s="4319"/>
      <c r="AG173" s="4319"/>
      <c r="AH173" s="4319"/>
      <c r="AI173" s="4320"/>
    </row>
    <row r="174" spans="1:35" ht="22.35" customHeight="1" x14ac:dyDescent="0.2">
      <c r="A174" s="1"/>
      <c r="B174" s="3790" t="s">
        <v>159</v>
      </c>
      <c r="C174" s="3643" t="s">
        <v>187</v>
      </c>
      <c r="D174" s="3510"/>
      <c r="E174" s="3510"/>
      <c r="F174" s="3793"/>
      <c r="G174" s="3643" t="s">
        <v>187</v>
      </c>
      <c r="H174" s="3510"/>
      <c r="I174" s="3510"/>
      <c r="J174" s="3793"/>
      <c r="K174" s="3643" t="s">
        <v>187</v>
      </c>
      <c r="L174" s="3510"/>
      <c r="M174" s="3510"/>
      <c r="N174" s="3793"/>
      <c r="O174" s="3643" t="s">
        <v>220</v>
      </c>
      <c r="P174" s="3510"/>
      <c r="Q174" s="3510"/>
      <c r="R174" s="3793"/>
      <c r="S174" s="3643" t="s">
        <v>171</v>
      </c>
      <c r="T174" s="3510"/>
      <c r="U174" s="3510"/>
      <c r="V174" s="3793"/>
      <c r="W174" s="3837"/>
      <c r="X174" s="3838"/>
      <c r="Y174" s="3838"/>
      <c r="Z174" s="3795"/>
      <c r="AA174" s="3791"/>
      <c r="AB174" s="3510"/>
      <c r="AC174" s="3510"/>
      <c r="AD174" s="3644"/>
      <c r="AE174" s="3796">
        <v>27</v>
      </c>
      <c r="AF174" s="3510"/>
      <c r="AG174" s="3510"/>
      <c r="AH174" s="3644"/>
      <c r="AI174" s="3519"/>
    </row>
    <row r="175" spans="1:35" ht="22.35" customHeight="1" x14ac:dyDescent="0.2">
      <c r="A175" s="1"/>
      <c r="B175" s="3790" t="s">
        <v>163</v>
      </c>
      <c r="C175" s="3643" t="s">
        <v>221</v>
      </c>
      <c r="D175" s="3510"/>
      <c r="E175" s="3510"/>
      <c r="F175" s="3793"/>
      <c r="G175" s="3643" t="s">
        <v>221</v>
      </c>
      <c r="H175" s="3510"/>
      <c r="I175" s="3510"/>
      <c r="J175" s="3793"/>
      <c r="K175" s="3643" t="s">
        <v>221</v>
      </c>
      <c r="L175" s="3510"/>
      <c r="M175" s="3510"/>
      <c r="N175" s="3793"/>
      <c r="O175" s="3643" t="s">
        <v>221</v>
      </c>
      <c r="P175" s="3510"/>
      <c r="Q175" s="3510"/>
      <c r="R175" s="3793"/>
      <c r="S175" s="3643" t="s">
        <v>187</v>
      </c>
      <c r="T175" s="3510"/>
      <c r="U175" s="3510"/>
      <c r="V175" s="3793"/>
      <c r="W175" s="3643"/>
      <c r="X175" s="3510"/>
      <c r="Y175" s="3510"/>
      <c r="Z175" s="3793"/>
      <c r="AA175" s="3510"/>
      <c r="AB175" s="3510"/>
      <c r="AC175" s="3510"/>
      <c r="AD175" s="3644"/>
      <c r="AE175" s="3796">
        <v>39</v>
      </c>
      <c r="AF175" s="3510"/>
      <c r="AG175" s="3510"/>
      <c r="AH175" s="3644"/>
      <c r="AI175" s="3519"/>
    </row>
    <row r="176" spans="1:35" ht="22.35" customHeight="1" x14ac:dyDescent="0.2">
      <c r="A176" s="1"/>
      <c r="B176" s="3790" t="s">
        <v>170</v>
      </c>
      <c r="C176" s="3643" t="s">
        <v>221</v>
      </c>
      <c r="D176" s="3510"/>
      <c r="E176" s="3510"/>
      <c r="F176" s="3793"/>
      <c r="G176" s="3643" t="s">
        <v>221</v>
      </c>
      <c r="H176" s="3510"/>
      <c r="I176" s="3510"/>
      <c r="J176" s="3793"/>
      <c r="K176" s="3643" t="s">
        <v>221</v>
      </c>
      <c r="L176" s="3510"/>
      <c r="M176" s="3510"/>
      <c r="N176" s="3793"/>
      <c r="O176" s="3643" t="s">
        <v>221</v>
      </c>
      <c r="P176" s="3510"/>
      <c r="Q176" s="3510"/>
      <c r="R176" s="3793"/>
      <c r="S176" s="3643" t="s">
        <v>221</v>
      </c>
      <c r="T176" s="3510"/>
      <c r="U176" s="3510"/>
      <c r="V176" s="3793"/>
      <c r="W176" s="4137" t="s">
        <v>222</v>
      </c>
      <c r="X176" s="4027"/>
      <c r="Y176" s="4027"/>
      <c r="Z176" s="3800"/>
      <c r="AA176" s="3798"/>
      <c r="AB176" s="4027"/>
      <c r="AC176" s="4027"/>
      <c r="AD176" s="4347"/>
      <c r="AE176" s="3796">
        <v>45</v>
      </c>
      <c r="AF176" s="3510"/>
      <c r="AG176" s="3510"/>
      <c r="AH176" s="3644"/>
      <c r="AI176" s="3519"/>
    </row>
    <row r="177" spans="1:35" ht="22.35" customHeight="1" thickBot="1" x14ac:dyDescent="0.25">
      <c r="A177" s="1"/>
      <c r="B177" s="223" t="s">
        <v>172</v>
      </c>
      <c r="C177" s="3826"/>
      <c r="D177" s="3587"/>
      <c r="E177" s="3587"/>
      <c r="F177" s="3828"/>
      <c r="G177" s="3826"/>
      <c r="H177" s="3587"/>
      <c r="I177" s="3587"/>
      <c r="J177" s="3828"/>
      <c r="K177" s="3826"/>
      <c r="L177" s="3587"/>
      <c r="M177" s="3587"/>
      <c r="N177" s="3828"/>
      <c r="O177" s="3826"/>
      <c r="P177" s="3587"/>
      <c r="Q177" s="3587"/>
      <c r="R177" s="3828"/>
      <c r="S177" s="3826"/>
      <c r="T177" s="3587"/>
      <c r="U177" s="3587"/>
      <c r="V177" s="3811"/>
      <c r="W177" s="3826"/>
      <c r="X177" s="3811"/>
      <c r="Y177" s="3587"/>
      <c r="Z177" s="3828"/>
      <c r="AA177" s="3826"/>
      <c r="AB177" s="3811"/>
      <c r="AC177" s="3587"/>
      <c r="AD177" s="3828"/>
      <c r="AE177" s="3839"/>
      <c r="AF177" s="3587"/>
      <c r="AG177" s="3587"/>
      <c r="AH177" s="3811"/>
      <c r="AI177" s="3594"/>
    </row>
    <row r="178" spans="1:35" ht="22.35" customHeight="1" x14ac:dyDescent="0.2">
      <c r="A178" s="108"/>
      <c r="B178" s="1"/>
      <c r="C178" s="72"/>
      <c r="D178" s="72"/>
      <c r="E178" s="72"/>
      <c r="F178" s="72"/>
      <c r="G178" s="72"/>
      <c r="H178" s="72"/>
      <c r="I178" s="72"/>
      <c r="J178" s="72"/>
      <c r="K178" s="72"/>
      <c r="L178" s="72"/>
      <c r="M178" s="72"/>
      <c r="N178" s="72"/>
      <c r="O178" s="72"/>
      <c r="P178" s="72"/>
      <c r="Q178" s="72"/>
      <c r="R178" s="72"/>
      <c r="S178" s="72"/>
      <c r="T178" s="72"/>
      <c r="U178" s="72"/>
      <c r="V178" s="72"/>
      <c r="W178" s="72"/>
      <c r="X178" s="72"/>
      <c r="Y178" s="72"/>
      <c r="Z178" s="72"/>
      <c r="AA178" s="72"/>
      <c r="AB178" s="72"/>
      <c r="AC178" s="72"/>
      <c r="AD178" s="72"/>
      <c r="AE178" s="72"/>
      <c r="AF178" s="72"/>
      <c r="AG178" s="72"/>
    </row>
    <row r="179" spans="1:35" ht="22.35" customHeight="1" thickBot="1" x14ac:dyDescent="0.25">
      <c r="A179" s="3718"/>
      <c r="B179" s="4107" t="s">
        <v>29</v>
      </c>
      <c r="C179" s="3841">
        <v>1</v>
      </c>
      <c r="D179" s="3841">
        <v>2</v>
      </c>
      <c r="E179" s="3840">
        <v>3</v>
      </c>
      <c r="F179" s="3840">
        <v>4</v>
      </c>
      <c r="G179" s="3840">
        <v>5</v>
      </c>
      <c r="H179" s="3841">
        <v>6</v>
      </c>
      <c r="I179" s="3841">
        <v>7</v>
      </c>
      <c r="J179" s="3841">
        <v>8</v>
      </c>
      <c r="K179" s="3841">
        <v>9</v>
      </c>
      <c r="L179" s="3841">
        <v>10</v>
      </c>
      <c r="M179" s="3840">
        <v>11</v>
      </c>
      <c r="N179" s="3840">
        <v>12</v>
      </c>
      <c r="O179" s="3840">
        <v>13</v>
      </c>
      <c r="P179" s="3840">
        <v>14</v>
      </c>
      <c r="Q179" s="3841">
        <v>15</v>
      </c>
      <c r="R179" s="3841">
        <v>16</v>
      </c>
      <c r="S179" s="3840">
        <v>17</v>
      </c>
      <c r="T179" s="3840">
        <v>18</v>
      </c>
      <c r="U179" s="3840">
        <v>19</v>
      </c>
      <c r="V179" s="3840">
        <v>20</v>
      </c>
      <c r="W179" s="3840">
        <v>21</v>
      </c>
      <c r="X179" s="3841">
        <v>22</v>
      </c>
      <c r="Y179" s="3841">
        <v>23</v>
      </c>
      <c r="Z179" s="3840">
        <v>24</v>
      </c>
      <c r="AA179" s="3840">
        <v>25</v>
      </c>
      <c r="AB179" s="3840">
        <v>26</v>
      </c>
      <c r="AC179" s="3840">
        <v>27</v>
      </c>
      <c r="AD179" s="3840">
        <v>28</v>
      </c>
      <c r="AE179" s="3841">
        <v>29</v>
      </c>
      <c r="AF179" s="3841">
        <v>30</v>
      </c>
      <c r="AG179" s="3842"/>
      <c r="AH179" s="173"/>
      <c r="AI179" s="174"/>
    </row>
    <row r="180" spans="1:35" ht="22.35" customHeight="1" x14ac:dyDescent="0.2">
      <c r="A180" s="4419">
        <v>1</v>
      </c>
      <c r="B180" s="4460" t="s">
        <v>223</v>
      </c>
      <c r="C180" s="4457"/>
      <c r="D180" s="4456"/>
      <c r="E180" s="4456" t="s">
        <v>32</v>
      </c>
      <c r="F180" s="4456" t="s">
        <v>32</v>
      </c>
      <c r="G180" s="4456" t="s">
        <v>32</v>
      </c>
      <c r="H180" s="4456" t="s">
        <v>32</v>
      </c>
      <c r="I180" s="4461" t="s">
        <v>32</v>
      </c>
      <c r="J180" s="4456"/>
      <c r="K180" s="4456"/>
      <c r="L180" s="4456" t="s">
        <v>32</v>
      </c>
      <c r="M180" s="4456" t="s">
        <v>32</v>
      </c>
      <c r="N180" s="4456" t="s">
        <v>32</v>
      </c>
      <c r="O180" s="4456" t="s">
        <v>32</v>
      </c>
      <c r="P180" s="4456" t="s">
        <v>32</v>
      </c>
      <c r="Q180" s="4456"/>
      <c r="R180" s="4456"/>
      <c r="S180" s="4456" t="s">
        <v>32</v>
      </c>
      <c r="T180" s="4457" t="s">
        <v>32</v>
      </c>
      <c r="U180" s="4456" t="s">
        <v>32</v>
      </c>
      <c r="V180" s="4457" t="s">
        <v>32</v>
      </c>
      <c r="W180" s="4457" t="s">
        <v>32</v>
      </c>
      <c r="X180" s="4457"/>
      <c r="Y180" s="4456"/>
      <c r="Z180" s="4456" t="s">
        <v>32</v>
      </c>
      <c r="AA180" s="4456" t="s">
        <v>32</v>
      </c>
      <c r="AB180" s="4456" t="s">
        <v>32</v>
      </c>
      <c r="AC180" s="4456" t="s">
        <v>32</v>
      </c>
      <c r="AD180" s="4461" t="s">
        <v>32</v>
      </c>
      <c r="AE180" s="4456"/>
      <c r="AF180" s="4456"/>
      <c r="AG180" s="4459"/>
      <c r="AH180" s="203"/>
      <c r="AI180" s="179"/>
    </row>
    <row r="181" spans="1:35" ht="22.35" customHeight="1" x14ac:dyDescent="0.2">
      <c r="A181" s="3757">
        <v>2</v>
      </c>
      <c r="B181" s="3849" t="s">
        <v>224</v>
      </c>
      <c r="C181" s="4147"/>
      <c r="D181" s="4147"/>
      <c r="E181" s="4308" t="s">
        <v>225</v>
      </c>
      <c r="F181" s="4308" t="s">
        <v>225</v>
      </c>
      <c r="G181" s="4308" t="s">
        <v>225</v>
      </c>
      <c r="H181" s="4147" t="s">
        <v>225</v>
      </c>
      <c r="I181" s="4147" t="s">
        <v>225</v>
      </c>
      <c r="J181" s="4147"/>
      <c r="K181" s="4147"/>
      <c r="L181" s="4147" t="s">
        <v>154</v>
      </c>
      <c r="M181" s="4147" t="s">
        <v>154</v>
      </c>
      <c r="N181" s="4147" t="s">
        <v>154</v>
      </c>
      <c r="O181" s="4147" t="s">
        <v>154</v>
      </c>
      <c r="P181" s="4147" t="s">
        <v>154</v>
      </c>
      <c r="Q181" s="4147" t="s">
        <v>154</v>
      </c>
      <c r="R181" s="4147"/>
      <c r="S181" s="4147" t="s">
        <v>226</v>
      </c>
      <c r="T181" s="3850" t="s">
        <v>226</v>
      </c>
      <c r="U181" s="4147" t="s">
        <v>226</v>
      </c>
      <c r="V181" s="4147" t="s">
        <v>226</v>
      </c>
      <c r="W181" s="4147" t="s">
        <v>36</v>
      </c>
      <c r="X181" s="4147"/>
      <c r="Y181" s="4147"/>
      <c r="Z181" s="4147" t="s">
        <v>225</v>
      </c>
      <c r="AA181" s="4147" t="s">
        <v>225</v>
      </c>
      <c r="AB181" s="4147" t="s">
        <v>225</v>
      </c>
      <c r="AC181" s="4147" t="s">
        <v>225</v>
      </c>
      <c r="AD181" s="4147" t="s">
        <v>225</v>
      </c>
      <c r="AE181" s="4147"/>
      <c r="AF181" s="4147"/>
      <c r="AG181" s="4253"/>
      <c r="AH181" s="203"/>
      <c r="AI181" s="179"/>
    </row>
    <row r="182" spans="1:35" ht="22.35" customHeight="1" x14ac:dyDescent="0.2">
      <c r="A182" s="3757">
        <v>3</v>
      </c>
      <c r="B182" s="3852" t="s">
        <v>365</v>
      </c>
      <c r="C182" s="4147"/>
      <c r="D182" s="4147"/>
      <c r="E182" s="4147" t="s">
        <v>154</v>
      </c>
      <c r="F182" s="4147" t="s">
        <v>154</v>
      </c>
      <c r="G182" s="4147" t="s">
        <v>154</v>
      </c>
      <c r="H182" s="4147" t="s">
        <v>154</v>
      </c>
      <c r="I182" s="4147" t="s">
        <v>154</v>
      </c>
      <c r="J182" s="4147" t="s">
        <v>154</v>
      </c>
      <c r="K182" s="4147"/>
      <c r="L182" s="4147" t="s">
        <v>226</v>
      </c>
      <c r="M182" s="3850" t="s">
        <v>226</v>
      </c>
      <c r="N182" s="4147" t="s">
        <v>226</v>
      </c>
      <c r="O182" s="4147" t="s">
        <v>226</v>
      </c>
      <c r="P182" s="3538" t="s">
        <v>32</v>
      </c>
      <c r="Q182" s="4147"/>
      <c r="R182" s="4147"/>
      <c r="S182" s="4147" t="s">
        <v>225</v>
      </c>
      <c r="T182" s="4147" t="s">
        <v>225</v>
      </c>
      <c r="U182" s="4147" t="s">
        <v>225</v>
      </c>
      <c r="V182" s="4147" t="s">
        <v>225</v>
      </c>
      <c r="W182" s="4147" t="s">
        <v>225</v>
      </c>
      <c r="X182" s="4147"/>
      <c r="Y182" s="4147"/>
      <c r="Z182" s="4147" t="s">
        <v>154</v>
      </c>
      <c r="AA182" s="4147" t="s">
        <v>154</v>
      </c>
      <c r="AB182" s="4147" t="s">
        <v>154</v>
      </c>
      <c r="AC182" s="4147" t="s">
        <v>154</v>
      </c>
      <c r="AD182" s="4147" t="s">
        <v>154</v>
      </c>
      <c r="AE182" s="4147" t="s">
        <v>154</v>
      </c>
      <c r="AF182" s="4147"/>
      <c r="AG182" s="4253"/>
      <c r="AH182" s="203"/>
      <c r="AI182" s="179"/>
    </row>
    <row r="183" spans="1:35" ht="22.35" customHeight="1" x14ac:dyDescent="0.2">
      <c r="A183" s="3757">
        <v>4</v>
      </c>
      <c r="B183" s="3852" t="s">
        <v>228</v>
      </c>
      <c r="C183" s="4147" t="s">
        <v>154</v>
      </c>
      <c r="D183" s="4147"/>
      <c r="E183" s="4147"/>
      <c r="F183" s="4147" t="s">
        <v>229</v>
      </c>
      <c r="G183" s="4147" t="s">
        <v>32</v>
      </c>
      <c r="H183" s="4147"/>
      <c r="I183" s="4147" t="s">
        <v>32</v>
      </c>
      <c r="J183" s="4147"/>
      <c r="K183" s="4147"/>
      <c r="L183" s="4147"/>
      <c r="M183" s="4147" t="s">
        <v>229</v>
      </c>
      <c r="N183" s="4147" t="s">
        <v>32</v>
      </c>
      <c r="O183" s="4147"/>
      <c r="P183" s="3855" t="s">
        <v>32</v>
      </c>
      <c r="Q183" s="3855"/>
      <c r="R183" s="4147"/>
      <c r="S183" s="4147"/>
      <c r="T183" s="4147" t="s">
        <v>229</v>
      </c>
      <c r="U183" s="4147"/>
      <c r="V183" s="4147"/>
      <c r="W183" s="4147" t="s">
        <v>32</v>
      </c>
      <c r="X183" s="4147" t="s">
        <v>154</v>
      </c>
      <c r="Y183" s="4147"/>
      <c r="Z183" s="4147"/>
      <c r="AA183" s="4147" t="s">
        <v>229</v>
      </c>
      <c r="AB183" s="4147" t="s">
        <v>32</v>
      </c>
      <c r="AC183" s="4147"/>
      <c r="AD183" s="4147" t="s">
        <v>32</v>
      </c>
      <c r="AE183" s="4147"/>
      <c r="AF183" s="4147"/>
      <c r="AG183" s="4253"/>
      <c r="AH183" s="203"/>
      <c r="AI183" s="179"/>
    </row>
    <row r="184" spans="1:35" ht="22.35" customHeight="1" x14ac:dyDescent="0.2">
      <c r="A184" s="3757">
        <v>5</v>
      </c>
      <c r="B184" s="3852" t="s">
        <v>230</v>
      </c>
      <c r="C184" s="4147"/>
      <c r="D184" s="4147"/>
      <c r="E184" s="4147" t="s">
        <v>229</v>
      </c>
      <c r="F184" s="4147"/>
      <c r="G184" s="4147"/>
      <c r="H184" s="4147" t="s">
        <v>32</v>
      </c>
      <c r="I184" s="4147"/>
      <c r="J184" s="4147"/>
      <c r="K184" s="4147"/>
      <c r="L184" s="4147" t="s">
        <v>229</v>
      </c>
      <c r="M184" s="4147"/>
      <c r="N184" s="4147"/>
      <c r="O184" s="3855" t="s">
        <v>32</v>
      </c>
      <c r="P184" s="4147"/>
      <c r="Q184" s="4147"/>
      <c r="R184" s="4147"/>
      <c r="S184" s="4147" t="s">
        <v>229</v>
      </c>
      <c r="T184" s="4147"/>
      <c r="U184" s="4147"/>
      <c r="V184" s="4147" t="s">
        <v>32</v>
      </c>
      <c r="W184" s="4147"/>
      <c r="X184" s="4147"/>
      <c r="Y184" s="4147"/>
      <c r="Z184" s="4147" t="s">
        <v>229</v>
      </c>
      <c r="AA184" s="4147"/>
      <c r="AB184" s="4147"/>
      <c r="AC184" s="4147" t="s">
        <v>32</v>
      </c>
      <c r="AD184" s="4147"/>
      <c r="AE184" s="4147"/>
      <c r="AF184" s="4147"/>
      <c r="AG184" s="4253"/>
      <c r="AH184" s="203"/>
      <c r="AI184" s="179"/>
    </row>
    <row r="185" spans="1:35" ht="22.35" customHeight="1" x14ac:dyDescent="0.2">
      <c r="A185" s="3757">
        <v>6</v>
      </c>
      <c r="B185" s="3746" t="s">
        <v>231</v>
      </c>
      <c r="C185" s="4147"/>
      <c r="D185" s="4147"/>
      <c r="E185" s="4189" t="s">
        <v>32</v>
      </c>
      <c r="F185" s="4147" t="s">
        <v>32</v>
      </c>
      <c r="G185" s="4147" t="s">
        <v>32</v>
      </c>
      <c r="H185" s="4147" t="s">
        <v>32</v>
      </c>
      <c r="I185" s="4147" t="s">
        <v>32</v>
      </c>
      <c r="J185" s="4189"/>
      <c r="K185" s="4147"/>
      <c r="L185" s="4147" t="s">
        <v>32</v>
      </c>
      <c r="M185" s="3851" t="s">
        <v>32</v>
      </c>
      <c r="N185" s="3851" t="s">
        <v>32</v>
      </c>
      <c r="O185" s="3851" t="s">
        <v>32</v>
      </c>
      <c r="P185" s="3851" t="s">
        <v>32</v>
      </c>
      <c r="Q185" s="4147"/>
      <c r="R185" s="4147"/>
      <c r="S185" s="4256" t="s">
        <v>32</v>
      </c>
      <c r="T185" s="3855" t="s">
        <v>32</v>
      </c>
      <c r="U185" s="3855" t="s">
        <v>32</v>
      </c>
      <c r="V185" s="3855" t="s">
        <v>32</v>
      </c>
      <c r="W185" s="3851" t="s">
        <v>32</v>
      </c>
      <c r="X185" s="4147"/>
      <c r="Y185" s="4147"/>
      <c r="Z185" s="4189" t="s">
        <v>32</v>
      </c>
      <c r="AA185" s="4147" t="s">
        <v>32</v>
      </c>
      <c r="AB185" s="4147" t="s">
        <v>32</v>
      </c>
      <c r="AC185" s="4147" t="s">
        <v>32</v>
      </c>
      <c r="AD185" s="4147" t="s">
        <v>32</v>
      </c>
      <c r="AE185" s="4189"/>
      <c r="AF185" s="4147"/>
      <c r="AG185" s="3857"/>
      <c r="AH185" s="191"/>
      <c r="AI185" s="107"/>
    </row>
    <row r="186" spans="1:35" ht="22.35" customHeight="1" thickBot="1" x14ac:dyDescent="0.25">
      <c r="A186" s="3760"/>
      <c r="B186" s="3750"/>
      <c r="C186" s="863"/>
      <c r="D186" s="863"/>
      <c r="E186" s="863"/>
      <c r="F186" s="863"/>
      <c r="G186" s="863"/>
      <c r="H186" s="863"/>
      <c r="I186" s="863"/>
      <c r="J186" s="863"/>
      <c r="K186" s="863"/>
      <c r="L186" s="863"/>
      <c r="M186" s="863"/>
      <c r="N186" s="863"/>
      <c r="O186" s="863"/>
      <c r="P186" s="863"/>
      <c r="Q186" s="863"/>
      <c r="R186" s="863"/>
      <c r="S186" s="863"/>
      <c r="T186" s="863"/>
      <c r="U186" s="863"/>
      <c r="V186" s="863"/>
      <c r="W186" s="863"/>
      <c r="X186" s="863"/>
      <c r="Y186" s="863"/>
      <c r="Z186" s="863"/>
      <c r="AA186" s="863"/>
      <c r="AB186" s="863"/>
      <c r="AC186" s="863"/>
      <c r="AD186" s="863"/>
      <c r="AE186" s="863"/>
      <c r="AF186" s="863"/>
      <c r="AG186" s="867"/>
      <c r="AH186" s="107"/>
      <c r="AI186" s="107"/>
    </row>
    <row r="187" spans="1:35" ht="22.35" customHeight="1" x14ac:dyDescent="0.2">
      <c r="A187" s="200"/>
      <c r="B187" s="198"/>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c r="AA187" s="199"/>
      <c r="AB187" s="199"/>
      <c r="AC187" s="199"/>
      <c r="AD187" s="199"/>
      <c r="AE187" s="199"/>
      <c r="AF187" s="199"/>
      <c r="AG187" s="199"/>
      <c r="AH187" s="107"/>
      <c r="AI187" s="107"/>
    </row>
    <row r="188" spans="1:35" ht="22.35" customHeight="1" x14ac:dyDescent="0.2">
      <c r="A188" s="200"/>
      <c r="B188" s="198"/>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c r="AA188" s="199"/>
      <c r="AB188" s="199"/>
      <c r="AC188" s="199"/>
      <c r="AD188" s="199"/>
      <c r="AE188" s="199"/>
      <c r="AF188" s="199"/>
      <c r="AG188" s="199"/>
      <c r="AH188" s="107"/>
      <c r="AI188" s="107"/>
    </row>
    <row r="189" spans="1:35" ht="22.35" customHeight="1" thickBot="1" x14ac:dyDescent="0.25">
      <c r="A189" s="148" t="s">
        <v>232</v>
      </c>
      <c r="B189" s="72"/>
      <c r="C189" s="106"/>
      <c r="D189" s="72"/>
      <c r="E189" s="72"/>
      <c r="F189" s="106"/>
      <c r="G189" s="72"/>
      <c r="H189" s="72"/>
      <c r="I189" s="106"/>
      <c r="J189" s="106"/>
      <c r="K189" s="72"/>
      <c r="L189" s="106"/>
      <c r="M189" s="72"/>
      <c r="N189" s="72"/>
      <c r="O189" s="106"/>
      <c r="P189" s="72"/>
      <c r="Q189" s="106"/>
      <c r="R189" s="106"/>
      <c r="S189" s="72"/>
      <c r="T189" s="72"/>
      <c r="U189" s="106"/>
      <c r="V189" s="72"/>
      <c r="W189" s="106"/>
      <c r="X189" s="106"/>
      <c r="Y189" s="72"/>
      <c r="Z189" s="72"/>
      <c r="AA189" s="72"/>
      <c r="AB189" s="72"/>
      <c r="AC189" s="72"/>
      <c r="AD189" s="72"/>
      <c r="AE189" s="106"/>
      <c r="AF189" s="72"/>
      <c r="AG189" s="72"/>
      <c r="AH189" s="107"/>
      <c r="AI189" s="107"/>
    </row>
    <row r="190" spans="1:35" ht="22.35" customHeight="1" x14ac:dyDescent="0.2">
      <c r="A190" s="109"/>
      <c r="B190" s="4462" t="s">
        <v>233</v>
      </c>
      <c r="C190" s="4463"/>
      <c r="D190" s="361" t="s">
        <v>107</v>
      </c>
      <c r="E190" s="362"/>
      <c r="F190" s="4464"/>
      <c r="G190" s="4465"/>
      <c r="H190" s="361" t="s">
        <v>108</v>
      </c>
      <c r="I190" s="362"/>
      <c r="J190" s="4464"/>
      <c r="K190" s="4465"/>
      <c r="L190" s="361" t="s">
        <v>109</v>
      </c>
      <c r="M190" s="362"/>
      <c r="N190" s="4464"/>
      <c r="O190" s="4465"/>
      <c r="P190" s="361" t="s">
        <v>110</v>
      </c>
      <c r="Q190" s="362"/>
      <c r="R190" s="4464"/>
      <c r="S190" s="4465"/>
      <c r="T190" s="361" t="s">
        <v>111</v>
      </c>
      <c r="U190" s="362"/>
      <c r="V190" s="4464"/>
      <c r="W190" s="4465"/>
      <c r="X190" s="361" t="s">
        <v>112</v>
      </c>
      <c r="Y190" s="362"/>
      <c r="Z190" s="4464"/>
      <c r="AA190" s="4465"/>
      <c r="AB190" s="361" t="s">
        <v>113</v>
      </c>
      <c r="AC190" s="362"/>
      <c r="AD190" s="362"/>
      <c r="AE190" s="4466" t="s">
        <v>114</v>
      </c>
      <c r="AF190" s="362"/>
      <c r="AG190" s="362"/>
      <c r="AH190" s="362"/>
      <c r="AI190" s="4467"/>
    </row>
    <row r="191" spans="1:35" ht="22.35" customHeight="1" x14ac:dyDescent="0.2">
      <c r="A191" s="109"/>
      <c r="B191" s="3866" t="s">
        <v>234</v>
      </c>
      <c r="C191" s="3867" t="s">
        <v>235</v>
      </c>
      <c r="D191" s="3868" t="s">
        <v>236</v>
      </c>
      <c r="E191" s="3869"/>
      <c r="F191" s="3870"/>
      <c r="G191" s="3871"/>
      <c r="H191" s="3868" t="s">
        <v>236</v>
      </c>
      <c r="I191" s="3869"/>
      <c r="J191" s="3870"/>
      <c r="K191" s="3871"/>
      <c r="L191" s="3868" t="s">
        <v>236</v>
      </c>
      <c r="M191" s="3869"/>
      <c r="N191" s="3870"/>
      <c r="O191" s="3871"/>
      <c r="P191" s="3868" t="s">
        <v>237</v>
      </c>
      <c r="Q191" s="3869"/>
      <c r="R191" s="3870"/>
      <c r="S191" s="3871"/>
      <c r="T191" s="3868" t="s">
        <v>238</v>
      </c>
      <c r="U191" s="3870"/>
      <c r="V191" s="3870"/>
      <c r="W191" s="3872"/>
      <c r="X191" s="3873"/>
      <c r="Y191" s="3873"/>
      <c r="Z191" s="3874"/>
      <c r="AA191" s="3872"/>
      <c r="AB191" s="3873"/>
      <c r="AC191" s="3873"/>
      <c r="AD191" s="3873"/>
      <c r="AE191" s="3872"/>
      <c r="AF191" s="3873"/>
      <c r="AG191" s="3873"/>
      <c r="AH191" s="3875"/>
      <c r="AI191" s="3876"/>
    </row>
    <row r="192" spans="1:35" ht="22.35" customHeight="1" x14ac:dyDescent="0.2">
      <c r="A192" s="109"/>
      <c r="B192" s="3866" t="s">
        <v>234</v>
      </c>
      <c r="C192" s="3867" t="s">
        <v>239</v>
      </c>
      <c r="D192" s="3868" t="s">
        <v>236</v>
      </c>
      <c r="E192" s="3869"/>
      <c r="F192" s="3870"/>
      <c r="G192" s="3871"/>
      <c r="H192" s="3868" t="s">
        <v>236</v>
      </c>
      <c r="I192" s="3869"/>
      <c r="J192" s="3870"/>
      <c r="K192" s="3871"/>
      <c r="L192" s="3868" t="s">
        <v>236</v>
      </c>
      <c r="M192" s="3869"/>
      <c r="N192" s="3870"/>
      <c r="O192" s="3871"/>
      <c r="P192" s="3868" t="s">
        <v>237</v>
      </c>
      <c r="Q192" s="3869"/>
      <c r="R192" s="3870"/>
      <c r="S192" s="3871"/>
      <c r="T192" s="3868" t="s">
        <v>238</v>
      </c>
      <c r="U192" s="3870"/>
      <c r="V192" s="3870"/>
      <c r="W192" s="3872"/>
      <c r="X192" s="3873"/>
      <c r="Y192" s="3873"/>
      <c r="Z192" s="3874"/>
      <c r="AA192" s="3872"/>
      <c r="AB192" s="3873"/>
      <c r="AC192" s="3873"/>
      <c r="AD192" s="3873"/>
      <c r="AE192" s="3872"/>
      <c r="AF192" s="3873"/>
      <c r="AG192" s="3873"/>
      <c r="AH192" s="3875"/>
      <c r="AI192" s="3876"/>
    </row>
    <row r="193" spans="1:36" ht="22.35" customHeight="1" x14ac:dyDescent="0.2">
      <c r="A193" s="109"/>
      <c r="B193" s="3866" t="s">
        <v>240</v>
      </c>
      <c r="C193" s="3867" t="s">
        <v>50</v>
      </c>
      <c r="D193" s="3868" t="s">
        <v>236</v>
      </c>
      <c r="E193" s="3869"/>
      <c r="F193" s="3870"/>
      <c r="G193" s="3871"/>
      <c r="H193" s="3868" t="s">
        <v>236</v>
      </c>
      <c r="I193" s="3869"/>
      <c r="J193" s="3870"/>
      <c r="K193" s="3871"/>
      <c r="L193" s="3868" t="s">
        <v>236</v>
      </c>
      <c r="M193" s="3869"/>
      <c r="N193" s="3870"/>
      <c r="O193" s="3868" t="s">
        <v>453</v>
      </c>
      <c r="P193" s="3869"/>
      <c r="Q193" s="3870"/>
      <c r="R193" s="3870"/>
      <c r="S193" s="3871"/>
      <c r="T193" s="3868" t="s">
        <v>238</v>
      </c>
      <c r="U193" s="3870"/>
      <c r="V193" s="3870"/>
      <c r="W193" s="3872"/>
      <c r="X193" s="3873"/>
      <c r="Y193" s="3873"/>
      <c r="Z193" s="3874"/>
      <c r="AA193" s="3872"/>
      <c r="AB193" s="3873"/>
      <c r="AC193" s="3873"/>
      <c r="AD193" s="3873"/>
      <c r="AE193" s="3872"/>
      <c r="AF193" s="3873"/>
      <c r="AG193" s="3873"/>
      <c r="AH193" s="3875"/>
      <c r="AI193" s="3876"/>
    </row>
    <row r="194" spans="1:36" ht="22.35" customHeight="1" x14ac:dyDescent="0.2">
      <c r="A194" s="109"/>
      <c r="B194" s="3866" t="s">
        <v>242</v>
      </c>
      <c r="C194" s="3867" t="s">
        <v>243</v>
      </c>
      <c r="D194" s="3868" t="s">
        <v>494</v>
      </c>
      <c r="E194" s="3869"/>
      <c r="F194" s="3870"/>
      <c r="G194" s="3871"/>
      <c r="H194" s="3868" t="s">
        <v>494</v>
      </c>
      <c r="I194" s="3869"/>
      <c r="J194" s="3870"/>
      <c r="K194" s="3871"/>
      <c r="L194" s="3868" t="s">
        <v>494</v>
      </c>
      <c r="M194" s="3869"/>
      <c r="N194" s="3870"/>
      <c r="O194" s="3871"/>
      <c r="P194" s="3868" t="s">
        <v>495</v>
      </c>
      <c r="Q194" s="3869"/>
      <c r="R194" s="3870"/>
      <c r="S194" s="3871"/>
      <c r="T194" s="3868" t="s">
        <v>496</v>
      </c>
      <c r="U194" s="3870"/>
      <c r="V194" s="3870"/>
      <c r="W194" s="3872"/>
      <c r="X194" s="3873"/>
      <c r="Y194" s="3873"/>
      <c r="Z194" s="3874"/>
      <c r="AA194" s="3872"/>
      <c r="AB194" s="3873"/>
      <c r="AC194" s="3873"/>
      <c r="AD194" s="3873"/>
      <c r="AE194" s="3872"/>
      <c r="AF194" s="3873"/>
      <c r="AG194" s="3873"/>
      <c r="AH194" s="3875"/>
      <c r="AI194" s="3876"/>
    </row>
    <row r="195" spans="1:36" ht="22.35" customHeight="1" x14ac:dyDescent="0.2">
      <c r="A195" s="109"/>
      <c r="B195" s="3866" t="s">
        <v>248</v>
      </c>
      <c r="C195" s="3867" t="s">
        <v>249</v>
      </c>
      <c r="D195" s="3868" t="s">
        <v>250</v>
      </c>
      <c r="E195" s="3869"/>
      <c r="F195" s="3870"/>
      <c r="G195" s="3871"/>
      <c r="H195" s="3868" t="s">
        <v>250</v>
      </c>
      <c r="I195" s="3869"/>
      <c r="J195" s="3870"/>
      <c r="K195" s="3871"/>
      <c r="L195" s="3868" t="s">
        <v>251</v>
      </c>
      <c r="M195" s="3869"/>
      <c r="N195" s="3870"/>
      <c r="O195" s="3871"/>
      <c r="P195" s="3868" t="s">
        <v>252</v>
      </c>
      <c r="Q195" s="3869"/>
      <c r="R195" s="3870"/>
      <c r="S195" s="3871"/>
      <c r="T195" s="3868" t="s">
        <v>253</v>
      </c>
      <c r="U195" s="3870"/>
      <c r="V195" s="3870"/>
      <c r="W195" s="3872"/>
      <c r="X195" s="3873"/>
      <c r="Y195" s="3873"/>
      <c r="Z195" s="3874"/>
      <c r="AA195" s="3872"/>
      <c r="AB195" s="3873"/>
      <c r="AC195" s="3873"/>
      <c r="AD195" s="3873"/>
      <c r="AE195" s="3872"/>
      <c r="AF195" s="3873"/>
      <c r="AG195" s="3873"/>
      <c r="AH195" s="3875"/>
      <c r="AI195" s="3876"/>
    </row>
    <row r="196" spans="1:36" ht="22.35" customHeight="1" x14ac:dyDescent="0.2">
      <c r="A196" s="109"/>
      <c r="B196" s="3866" t="s">
        <v>254</v>
      </c>
      <c r="C196" s="3867" t="s">
        <v>142</v>
      </c>
      <c r="D196" s="3868" t="s">
        <v>236</v>
      </c>
      <c r="E196" s="3869"/>
      <c r="F196" s="3870"/>
      <c r="G196" s="3871"/>
      <c r="H196" s="3868" t="s">
        <v>236</v>
      </c>
      <c r="I196" s="3869"/>
      <c r="J196" s="3870"/>
      <c r="K196" s="3871"/>
      <c r="L196" s="3868" t="s">
        <v>236</v>
      </c>
      <c r="M196" s="3869"/>
      <c r="N196" s="3870"/>
      <c r="O196" s="3871"/>
      <c r="P196" s="3868" t="s">
        <v>236</v>
      </c>
      <c r="Q196" s="3869"/>
      <c r="R196" s="3870"/>
      <c r="S196" s="3871"/>
      <c r="T196" s="3868" t="s">
        <v>250</v>
      </c>
      <c r="U196" s="3870"/>
      <c r="V196" s="3870"/>
      <c r="W196" s="3872"/>
      <c r="X196" s="3873"/>
      <c r="Y196" s="3873"/>
      <c r="Z196" s="3874"/>
      <c r="AA196" s="3872"/>
      <c r="AB196" s="3873"/>
      <c r="AC196" s="3873"/>
      <c r="AD196" s="3873"/>
      <c r="AE196" s="3872"/>
      <c r="AF196" s="3873"/>
      <c r="AG196" s="3873"/>
      <c r="AH196" s="3875"/>
      <c r="AI196" s="3876"/>
    </row>
    <row r="197" spans="1:36" ht="22.35" customHeight="1" x14ac:dyDescent="0.2">
      <c r="A197" s="109"/>
      <c r="B197" s="3866" t="s">
        <v>255</v>
      </c>
      <c r="C197" s="3867" t="s">
        <v>134</v>
      </c>
      <c r="D197" s="3868" t="s">
        <v>236</v>
      </c>
      <c r="E197" s="3869"/>
      <c r="F197" s="3870"/>
      <c r="G197" s="3871"/>
      <c r="H197" s="3868" t="s">
        <v>236</v>
      </c>
      <c r="I197" s="3869"/>
      <c r="J197" s="3870"/>
      <c r="K197" s="3871"/>
      <c r="L197" s="3868" t="s">
        <v>236</v>
      </c>
      <c r="M197" s="3869"/>
      <c r="N197" s="3870"/>
      <c r="O197" s="3871"/>
      <c r="P197" s="3868" t="s">
        <v>237</v>
      </c>
      <c r="Q197" s="3869"/>
      <c r="R197" s="3870"/>
      <c r="S197" s="3871"/>
      <c r="T197" s="3868" t="s">
        <v>238</v>
      </c>
      <c r="U197" s="3870"/>
      <c r="V197" s="3870"/>
      <c r="W197" s="3872"/>
      <c r="X197" s="3873"/>
      <c r="Y197" s="3873"/>
      <c r="Z197" s="3874"/>
      <c r="AA197" s="3872"/>
      <c r="AB197" s="3873"/>
      <c r="AC197" s="3873"/>
      <c r="AD197" s="3873"/>
      <c r="AE197" s="3872"/>
      <c r="AF197" s="3873"/>
      <c r="AG197" s="3873"/>
      <c r="AH197" s="3875"/>
      <c r="AI197" s="3876"/>
    </row>
    <row r="198" spans="1:36" ht="22.35" customHeight="1" x14ac:dyDescent="0.2">
      <c r="A198" s="109"/>
      <c r="B198" s="3866" t="s">
        <v>255</v>
      </c>
      <c r="C198" s="3867" t="s">
        <v>176</v>
      </c>
      <c r="D198" s="3868" t="s">
        <v>236</v>
      </c>
      <c r="E198" s="3869"/>
      <c r="F198" s="3870"/>
      <c r="G198" s="3871"/>
      <c r="H198" s="3868" t="s">
        <v>236</v>
      </c>
      <c r="I198" s="3869"/>
      <c r="J198" s="3870"/>
      <c r="K198" s="3871"/>
      <c r="L198" s="3868" t="s">
        <v>236</v>
      </c>
      <c r="M198" s="3869"/>
      <c r="N198" s="3870"/>
      <c r="O198" s="3871"/>
      <c r="P198" s="3868" t="s">
        <v>237</v>
      </c>
      <c r="Q198" s="3869"/>
      <c r="R198" s="3870"/>
      <c r="S198" s="3871"/>
      <c r="T198" s="3868" t="s">
        <v>238</v>
      </c>
      <c r="U198" s="3870"/>
      <c r="V198" s="3870"/>
      <c r="W198" s="3872"/>
      <c r="X198" s="3873"/>
      <c r="Y198" s="3873"/>
      <c r="Z198" s="3874"/>
      <c r="AA198" s="3872"/>
      <c r="AB198" s="3873"/>
      <c r="AC198" s="3873"/>
      <c r="AD198" s="3873"/>
      <c r="AE198" s="3872"/>
      <c r="AF198" s="3873"/>
      <c r="AG198" s="3873"/>
      <c r="AH198" s="3875"/>
      <c r="AI198" s="3876"/>
    </row>
    <row r="199" spans="1:36" ht="22.35" customHeight="1" x14ac:dyDescent="0.2">
      <c r="A199" s="109"/>
      <c r="B199" s="3866" t="s">
        <v>256</v>
      </c>
      <c r="C199" s="3867" t="s">
        <v>257</v>
      </c>
      <c r="D199" s="3868" t="s">
        <v>236</v>
      </c>
      <c r="E199" s="3869"/>
      <c r="F199" s="3870"/>
      <c r="G199" s="3871"/>
      <c r="H199" s="3868" t="s">
        <v>236</v>
      </c>
      <c r="I199" s="3869"/>
      <c r="J199" s="3870"/>
      <c r="K199" s="3871"/>
      <c r="L199" s="3868" t="s">
        <v>236</v>
      </c>
      <c r="M199" s="3869"/>
      <c r="N199" s="3870"/>
      <c r="O199" s="3871"/>
      <c r="P199" s="3868" t="s">
        <v>258</v>
      </c>
      <c r="Q199" s="3869"/>
      <c r="R199" s="3870"/>
      <c r="S199" s="3871"/>
      <c r="T199" s="3868" t="s">
        <v>253</v>
      </c>
      <c r="U199" s="3870"/>
      <c r="V199" s="3870"/>
      <c r="W199" s="3872"/>
      <c r="X199" s="3873"/>
      <c r="Y199" s="3873"/>
      <c r="Z199" s="3874"/>
      <c r="AA199" s="3872"/>
      <c r="AB199" s="3873"/>
      <c r="AC199" s="3873"/>
      <c r="AD199" s="3873"/>
      <c r="AE199" s="3872"/>
      <c r="AF199" s="3873"/>
      <c r="AG199" s="3873"/>
      <c r="AH199" s="3875"/>
      <c r="AI199" s="3876"/>
    </row>
    <row r="200" spans="1:36" ht="22.35" customHeight="1" x14ac:dyDescent="0.2">
      <c r="A200" s="109"/>
      <c r="B200" s="3877" t="s">
        <v>259</v>
      </c>
      <c r="C200" s="3878" t="s">
        <v>95</v>
      </c>
      <c r="D200" s="3879" t="s">
        <v>236</v>
      </c>
      <c r="E200" s="3880"/>
      <c r="F200" s="3881"/>
      <c r="G200" s="3878"/>
      <c r="H200" s="3879" t="s">
        <v>236</v>
      </c>
      <c r="I200" s="3880"/>
      <c r="J200" s="3881"/>
      <c r="K200" s="3878"/>
      <c r="L200" s="3879" t="s">
        <v>236</v>
      </c>
      <c r="M200" s="3880"/>
      <c r="N200" s="3881"/>
      <c r="O200" s="3878"/>
      <c r="P200" s="3879" t="s">
        <v>237</v>
      </c>
      <c r="Q200" s="3880"/>
      <c r="R200" s="3881"/>
      <c r="S200" s="3878"/>
      <c r="T200" s="3879" t="s">
        <v>238</v>
      </c>
      <c r="U200" s="3881"/>
      <c r="V200" s="388"/>
      <c r="W200" s="3882"/>
      <c r="X200" s="188"/>
      <c r="Y200" s="188"/>
      <c r="Z200" s="388"/>
      <c r="AA200" s="3882"/>
      <c r="AB200" s="188"/>
      <c r="AC200" s="188"/>
      <c r="AD200" s="188"/>
      <c r="AE200" s="3882"/>
      <c r="AF200" s="188"/>
      <c r="AG200" s="188"/>
      <c r="AH200" s="189"/>
      <c r="AI200" s="3883"/>
      <c r="AJ200" s="190"/>
    </row>
    <row r="201" spans="1:36" ht="22.35" customHeight="1" x14ac:dyDescent="0.2">
      <c r="A201" s="109"/>
      <c r="B201" s="3866" t="s">
        <v>260</v>
      </c>
      <c r="C201" s="3867" t="s">
        <v>177</v>
      </c>
      <c r="D201" s="3868" t="s">
        <v>236</v>
      </c>
      <c r="E201" s="3869"/>
      <c r="F201" s="3870"/>
      <c r="G201" s="3871"/>
      <c r="H201" s="3868" t="s">
        <v>236</v>
      </c>
      <c r="I201" s="3869"/>
      <c r="J201" s="3870"/>
      <c r="K201" s="3871"/>
      <c r="L201" s="3868" t="s">
        <v>236</v>
      </c>
      <c r="M201" s="3869"/>
      <c r="N201" s="3870"/>
      <c r="O201" s="3871"/>
      <c r="P201" s="3868" t="s">
        <v>237</v>
      </c>
      <c r="Q201" s="3869"/>
      <c r="R201" s="3870"/>
      <c r="S201" s="3871"/>
      <c r="T201" s="3868" t="s">
        <v>238</v>
      </c>
      <c r="U201" s="3870"/>
      <c r="V201" s="3869"/>
      <c r="W201" s="3872"/>
      <c r="X201" s="3873"/>
      <c r="Y201" s="3873"/>
      <c r="Z201" s="3873"/>
      <c r="AA201" s="3872"/>
      <c r="AB201" s="3873"/>
      <c r="AC201" s="3873"/>
      <c r="AD201" s="3873"/>
      <c r="AE201" s="3872"/>
      <c r="AF201" s="3873"/>
      <c r="AG201" s="3873"/>
      <c r="AH201" s="3875"/>
      <c r="AI201" s="3876"/>
      <c r="AJ201" s="190"/>
    </row>
    <row r="202" spans="1:36" ht="22.35" customHeight="1" x14ac:dyDescent="0.2">
      <c r="A202" s="109"/>
      <c r="B202" s="3866" t="s">
        <v>261</v>
      </c>
      <c r="C202" s="3867" t="s">
        <v>137</v>
      </c>
      <c r="D202" s="3868" t="s">
        <v>262</v>
      </c>
      <c r="E202" s="3869"/>
      <c r="F202" s="3870"/>
      <c r="G202" s="3871"/>
      <c r="H202" s="3868" t="s">
        <v>262</v>
      </c>
      <c r="I202" s="3869"/>
      <c r="J202" s="3870"/>
      <c r="K202" s="3871"/>
      <c r="L202" s="3868" t="s">
        <v>262</v>
      </c>
      <c r="M202" s="3869"/>
      <c r="N202" s="3869"/>
      <c r="O202" s="3871"/>
      <c r="P202" s="3868" t="s">
        <v>262</v>
      </c>
      <c r="Q202" s="3869"/>
      <c r="R202" s="3869"/>
      <c r="S202" s="3871"/>
      <c r="T202" s="3868" t="s">
        <v>253</v>
      </c>
      <c r="U202" s="3870"/>
      <c r="V202" s="3869"/>
      <c r="W202" s="3884"/>
      <c r="X202" s="3873"/>
      <c r="Y202" s="3873"/>
      <c r="Z202" s="3873"/>
      <c r="AA202" s="3872"/>
      <c r="AB202" s="3873"/>
      <c r="AC202" s="3873"/>
      <c r="AD202" s="3873"/>
      <c r="AE202" s="3872"/>
      <c r="AF202" s="3873"/>
      <c r="AG202" s="3873"/>
      <c r="AH202" s="3875"/>
      <c r="AI202" s="3876"/>
      <c r="AJ202" s="190"/>
    </row>
    <row r="203" spans="1:36" ht="22.35" customHeight="1" x14ac:dyDescent="0.2">
      <c r="A203" s="109"/>
      <c r="B203" s="3866" t="s">
        <v>263</v>
      </c>
      <c r="C203" s="3867" t="s">
        <v>264</v>
      </c>
      <c r="D203" s="3868" t="s">
        <v>262</v>
      </c>
      <c r="E203" s="3869"/>
      <c r="F203" s="3870"/>
      <c r="G203" s="3871"/>
      <c r="H203" s="3868" t="s">
        <v>262</v>
      </c>
      <c r="I203" s="3869"/>
      <c r="J203" s="3870"/>
      <c r="K203" s="3871"/>
      <c r="L203" s="3868" t="s">
        <v>262</v>
      </c>
      <c r="M203" s="3869"/>
      <c r="N203" s="3869"/>
      <c r="O203" s="3871"/>
      <c r="P203" s="3868" t="s">
        <v>262</v>
      </c>
      <c r="Q203" s="3869"/>
      <c r="R203" s="3869"/>
      <c r="S203" s="3871"/>
      <c r="T203" s="3868" t="s">
        <v>253</v>
      </c>
      <c r="U203" s="3870"/>
      <c r="V203" s="3869"/>
      <c r="W203" s="3884"/>
      <c r="X203" s="3873"/>
      <c r="Y203" s="3873"/>
      <c r="Z203" s="3874"/>
      <c r="AA203" s="3885"/>
      <c r="AB203" s="3873"/>
      <c r="AC203" s="3873"/>
      <c r="AD203" s="3873"/>
      <c r="AE203" s="3872"/>
      <c r="AF203" s="3873"/>
      <c r="AG203" s="3873"/>
      <c r="AH203" s="3875"/>
      <c r="AI203" s="3876"/>
      <c r="AJ203" s="190"/>
    </row>
    <row r="204" spans="1:36" ht="22.35" customHeight="1" thickBot="1" x14ac:dyDescent="0.25">
      <c r="A204" s="109"/>
      <c r="B204" s="1119" t="s">
        <v>265</v>
      </c>
      <c r="C204" s="1120" t="s">
        <v>266</v>
      </c>
      <c r="D204" s="3888" t="s">
        <v>506</v>
      </c>
      <c r="E204" s="3889"/>
      <c r="F204" s="1123"/>
      <c r="G204" s="1124"/>
      <c r="H204" s="3888" t="s">
        <v>506</v>
      </c>
      <c r="I204" s="3889"/>
      <c r="J204" s="1123"/>
      <c r="K204" s="1124"/>
      <c r="L204" s="3888" t="s">
        <v>506</v>
      </c>
      <c r="M204" s="3889"/>
      <c r="N204" s="3889"/>
      <c r="O204" s="1124"/>
      <c r="P204" s="3888" t="s">
        <v>507</v>
      </c>
      <c r="Q204" s="3889"/>
      <c r="R204" s="3889"/>
      <c r="S204" s="1124"/>
      <c r="T204" s="3888" t="s">
        <v>508</v>
      </c>
      <c r="U204" s="1123"/>
      <c r="V204" s="3889"/>
      <c r="W204" s="1125"/>
      <c r="X204" s="3893"/>
      <c r="Y204" s="3893"/>
      <c r="Z204" s="1127"/>
      <c r="AA204" s="3895"/>
      <c r="AB204" s="3893"/>
      <c r="AC204" s="3893"/>
      <c r="AD204" s="3893"/>
      <c r="AE204" s="1129"/>
      <c r="AF204" s="3893"/>
      <c r="AG204" s="3893"/>
      <c r="AH204" s="3897"/>
      <c r="AI204" s="1131"/>
      <c r="AJ204" s="190"/>
    </row>
    <row r="205" spans="1:36" ht="22.35" customHeight="1" x14ac:dyDescent="0.2">
      <c r="A205" s="109"/>
      <c r="B205" s="206"/>
      <c r="C205" s="207"/>
      <c r="D205" s="208"/>
      <c r="E205" s="209"/>
      <c r="F205" s="209"/>
      <c r="G205" s="210"/>
      <c r="H205" s="208"/>
      <c r="I205" s="209"/>
      <c r="J205" s="209"/>
      <c r="K205" s="210"/>
      <c r="L205" s="208"/>
      <c r="M205" s="209"/>
      <c r="N205" s="209"/>
      <c r="O205" s="210"/>
      <c r="P205" s="198"/>
      <c r="Q205" s="209"/>
      <c r="R205" s="209"/>
      <c r="S205" s="210"/>
      <c r="T205" s="198"/>
      <c r="U205" s="209"/>
      <c r="V205" s="209"/>
      <c r="W205" s="209"/>
      <c r="X205" s="209"/>
      <c r="Y205" s="209"/>
      <c r="Z205" s="209"/>
      <c r="AA205" s="210"/>
      <c r="AB205" s="209"/>
      <c r="AC205" s="209"/>
      <c r="AD205" s="209"/>
      <c r="AE205" s="210"/>
      <c r="AF205" s="209"/>
      <c r="AG205" s="209"/>
      <c r="AH205" s="191"/>
      <c r="AI205" s="191"/>
      <c r="AJ205" s="190"/>
    </row>
    <row r="206" spans="1:36" ht="22.35" customHeight="1" thickBot="1" x14ac:dyDescent="0.25">
      <c r="A206" s="147"/>
      <c r="B206" s="3899" t="s">
        <v>29</v>
      </c>
      <c r="C206" s="3529">
        <v>1</v>
      </c>
      <c r="D206" s="3529">
        <v>2</v>
      </c>
      <c r="E206" s="3528">
        <v>3</v>
      </c>
      <c r="F206" s="3528">
        <v>4</v>
      </c>
      <c r="G206" s="3528">
        <v>5</v>
      </c>
      <c r="H206" s="3529">
        <v>6</v>
      </c>
      <c r="I206" s="3529">
        <v>7</v>
      </c>
      <c r="J206" s="3529">
        <v>8</v>
      </c>
      <c r="K206" s="3529">
        <v>9</v>
      </c>
      <c r="L206" s="3529">
        <v>10</v>
      </c>
      <c r="M206" s="3528">
        <v>11</v>
      </c>
      <c r="N206" s="3528">
        <v>12</v>
      </c>
      <c r="O206" s="3528">
        <v>13</v>
      </c>
      <c r="P206" s="3528">
        <v>14</v>
      </c>
      <c r="Q206" s="3529">
        <v>15</v>
      </c>
      <c r="R206" s="3529">
        <v>16</v>
      </c>
      <c r="S206" s="3528">
        <v>17</v>
      </c>
      <c r="T206" s="3528">
        <v>18</v>
      </c>
      <c r="U206" s="3528">
        <v>19</v>
      </c>
      <c r="V206" s="3528">
        <v>20</v>
      </c>
      <c r="W206" s="3528">
        <v>21</v>
      </c>
      <c r="X206" s="3529">
        <v>22</v>
      </c>
      <c r="Y206" s="3529">
        <v>23</v>
      </c>
      <c r="Z206" s="3528">
        <v>24</v>
      </c>
      <c r="AA206" s="3528">
        <v>25</v>
      </c>
      <c r="AB206" s="3528">
        <v>26</v>
      </c>
      <c r="AC206" s="3528">
        <v>27</v>
      </c>
      <c r="AD206" s="3528">
        <v>28</v>
      </c>
      <c r="AE206" s="3529">
        <v>29</v>
      </c>
      <c r="AF206" s="3529">
        <v>30</v>
      </c>
      <c r="AG206" s="3530"/>
      <c r="AH206" s="180"/>
      <c r="AI206" s="174"/>
    </row>
    <row r="207" spans="1:36" ht="22.35" customHeight="1" x14ac:dyDescent="0.2">
      <c r="A207" s="109"/>
      <c r="B207" s="4468" t="s">
        <v>267</v>
      </c>
      <c r="C207" s="4469"/>
      <c r="D207" s="4469"/>
      <c r="E207" s="4469" t="s">
        <v>235</v>
      </c>
      <c r="F207" s="4469" t="s">
        <v>235</v>
      </c>
      <c r="G207" s="4469" t="s">
        <v>235</v>
      </c>
      <c r="H207" s="4469"/>
      <c r="I207" s="4469"/>
      <c r="J207" s="4469"/>
      <c r="K207" s="4469"/>
      <c r="L207" s="4469"/>
      <c r="M207" s="4469" t="s">
        <v>235</v>
      </c>
      <c r="N207" s="3605" t="s">
        <v>235</v>
      </c>
      <c r="O207" s="4469" t="s">
        <v>235</v>
      </c>
      <c r="P207" s="4469" t="s">
        <v>235</v>
      </c>
      <c r="Q207" s="4469"/>
      <c r="R207" s="4469"/>
      <c r="S207" s="4469" t="s">
        <v>235</v>
      </c>
      <c r="T207" s="4469" t="s">
        <v>235</v>
      </c>
      <c r="U207" s="4469" t="s">
        <v>235</v>
      </c>
      <c r="V207" s="4469" t="s">
        <v>235</v>
      </c>
      <c r="W207" s="4469" t="s">
        <v>235</v>
      </c>
      <c r="X207" s="4469"/>
      <c r="Y207" s="4469"/>
      <c r="Z207" s="4469" t="s">
        <v>235</v>
      </c>
      <c r="AA207" s="4469" t="s">
        <v>235</v>
      </c>
      <c r="AB207" s="4469" t="s">
        <v>235</v>
      </c>
      <c r="AC207" s="4469" t="s">
        <v>235</v>
      </c>
      <c r="AD207" s="4469" t="s">
        <v>235</v>
      </c>
      <c r="AE207" s="4469"/>
      <c r="AF207" s="4469"/>
      <c r="AG207" s="4469"/>
      <c r="AH207" s="179"/>
      <c r="AI207" s="179"/>
    </row>
    <row r="208" spans="1:36" ht="22.35" customHeight="1" x14ac:dyDescent="0.2">
      <c r="A208" s="109"/>
      <c r="B208" s="3904" t="s">
        <v>268</v>
      </c>
      <c r="C208" s="3434"/>
      <c r="D208" s="3434"/>
      <c r="E208" s="3434" t="s">
        <v>235</v>
      </c>
      <c r="F208" s="3434" t="s">
        <v>235</v>
      </c>
      <c r="G208" s="3434" t="s">
        <v>235</v>
      </c>
      <c r="H208" s="3434"/>
      <c r="I208" s="3434"/>
      <c r="J208" s="3434"/>
      <c r="K208" s="3434"/>
      <c r="L208" s="3434"/>
      <c r="M208" s="3434" t="s">
        <v>235</v>
      </c>
      <c r="N208" s="3434" t="s">
        <v>235</v>
      </c>
      <c r="O208" s="3434" t="s">
        <v>235</v>
      </c>
      <c r="P208" s="3434" t="s">
        <v>235</v>
      </c>
      <c r="Q208" s="3434"/>
      <c r="R208" s="3434"/>
      <c r="S208" s="3434" t="s">
        <v>235</v>
      </c>
      <c r="T208" s="3434" t="s">
        <v>235</v>
      </c>
      <c r="U208" s="3434" t="s">
        <v>235</v>
      </c>
      <c r="V208" s="3434" t="s">
        <v>235</v>
      </c>
      <c r="W208" s="3434" t="s">
        <v>235</v>
      </c>
      <c r="X208" s="3434"/>
      <c r="Y208" s="3434"/>
      <c r="Z208" s="3434" t="s">
        <v>235</v>
      </c>
      <c r="AA208" s="3434" t="s">
        <v>235</v>
      </c>
      <c r="AB208" s="3434" t="s">
        <v>235</v>
      </c>
      <c r="AC208" s="3434" t="s">
        <v>235</v>
      </c>
      <c r="AD208" s="3434" t="s">
        <v>235</v>
      </c>
      <c r="AE208" s="3434"/>
      <c r="AF208" s="3434"/>
      <c r="AG208" s="3434"/>
      <c r="AH208" s="179"/>
      <c r="AI208" s="179"/>
    </row>
    <row r="209" spans="1:35" ht="22.35" customHeight="1" x14ac:dyDescent="0.2">
      <c r="A209" s="109"/>
      <c r="B209" s="3904" t="s">
        <v>270</v>
      </c>
      <c r="C209" s="3434"/>
      <c r="D209" s="3434"/>
      <c r="E209" s="3434" t="s">
        <v>239</v>
      </c>
      <c r="F209" s="3434" t="s">
        <v>239</v>
      </c>
      <c r="G209" s="3434" t="s">
        <v>235</v>
      </c>
      <c r="H209" s="3434"/>
      <c r="I209" s="3434"/>
      <c r="J209" s="3434"/>
      <c r="K209" s="3434"/>
      <c r="L209" s="3434"/>
      <c r="M209" s="3434" t="s">
        <v>239</v>
      </c>
      <c r="N209" s="3434" t="s">
        <v>235</v>
      </c>
      <c r="O209" s="3434" t="s">
        <v>239</v>
      </c>
      <c r="P209" s="3538" t="s">
        <v>239</v>
      </c>
      <c r="Q209" s="3434"/>
      <c r="R209" s="3434"/>
      <c r="S209" s="3434" t="s">
        <v>239</v>
      </c>
      <c r="T209" s="3434" t="s">
        <v>239</v>
      </c>
      <c r="U209" s="3434" t="s">
        <v>235</v>
      </c>
      <c r="V209" s="3434" t="s">
        <v>239</v>
      </c>
      <c r="W209" s="3434" t="s">
        <v>239</v>
      </c>
      <c r="X209" s="3434"/>
      <c r="Y209" s="3434"/>
      <c r="Z209" s="3434" t="s">
        <v>239</v>
      </c>
      <c r="AA209" s="3434" t="s">
        <v>239</v>
      </c>
      <c r="AB209" s="3434" t="s">
        <v>235</v>
      </c>
      <c r="AC209" s="3434" t="s">
        <v>239</v>
      </c>
      <c r="AD209" s="3434" t="s">
        <v>239</v>
      </c>
      <c r="AE209" s="3434"/>
      <c r="AF209" s="3434"/>
      <c r="AG209" s="3434"/>
      <c r="AH209" s="179"/>
      <c r="AI209" s="179"/>
    </row>
    <row r="210" spans="1:35" ht="22.35" customHeight="1" x14ac:dyDescent="0.2">
      <c r="A210" s="109"/>
      <c r="B210" s="3904" t="s">
        <v>271</v>
      </c>
      <c r="C210" s="3434"/>
      <c r="D210" s="3434"/>
      <c r="E210" s="3434" t="s">
        <v>50</v>
      </c>
      <c r="F210" s="3434" t="s">
        <v>50</v>
      </c>
      <c r="G210" s="3434" t="s">
        <v>50</v>
      </c>
      <c r="H210" s="3434"/>
      <c r="I210" s="3434"/>
      <c r="J210" s="3434"/>
      <c r="K210" s="3434"/>
      <c r="L210" s="3434"/>
      <c r="M210" s="3434" t="s">
        <v>50</v>
      </c>
      <c r="N210" s="3434" t="s">
        <v>50</v>
      </c>
      <c r="O210" s="3434" t="s">
        <v>50</v>
      </c>
      <c r="P210" s="3434" t="s">
        <v>50</v>
      </c>
      <c r="Q210" s="3434"/>
      <c r="R210" s="3434"/>
      <c r="S210" s="3434" t="s">
        <v>50</v>
      </c>
      <c r="T210" s="3434" t="s">
        <v>50</v>
      </c>
      <c r="U210" s="3434" t="s">
        <v>50</v>
      </c>
      <c r="V210" s="3434" t="s">
        <v>50</v>
      </c>
      <c r="W210" s="3434" t="s">
        <v>50</v>
      </c>
      <c r="X210" s="3434"/>
      <c r="Y210" s="3434"/>
      <c r="Z210" s="3434" t="s">
        <v>50</v>
      </c>
      <c r="AA210" s="3434" t="s">
        <v>50</v>
      </c>
      <c r="AB210" s="3434" t="s">
        <v>50</v>
      </c>
      <c r="AC210" s="3434" t="s">
        <v>50</v>
      </c>
      <c r="AD210" s="3434" t="s">
        <v>50</v>
      </c>
      <c r="AE210" s="3434"/>
      <c r="AF210" s="3434"/>
      <c r="AG210" s="3434"/>
      <c r="AH210" s="179"/>
      <c r="AI210" s="179"/>
    </row>
    <row r="211" spans="1:35" ht="22.35" customHeight="1" x14ac:dyDescent="0.2">
      <c r="A211" s="109"/>
      <c r="B211" s="933" t="s">
        <v>272</v>
      </c>
      <c r="C211" s="3434"/>
      <c r="D211" s="3434"/>
      <c r="E211" s="3434" t="s">
        <v>243</v>
      </c>
      <c r="F211" s="3434" t="s">
        <v>243</v>
      </c>
      <c r="G211" s="3434" t="s">
        <v>243</v>
      </c>
      <c r="H211" s="3434"/>
      <c r="I211" s="3434"/>
      <c r="J211" s="3434"/>
      <c r="K211" s="3434"/>
      <c r="L211" s="3434"/>
      <c r="M211" s="3434" t="s">
        <v>243</v>
      </c>
      <c r="N211" s="3434" t="s">
        <v>243</v>
      </c>
      <c r="O211" s="3435" t="s">
        <v>243</v>
      </c>
      <c r="P211" s="3435" t="s">
        <v>243</v>
      </c>
      <c r="Q211" s="3435"/>
      <c r="R211" s="3435"/>
      <c r="S211" s="3435" t="s">
        <v>243</v>
      </c>
      <c r="T211" s="3435" t="s">
        <v>243</v>
      </c>
      <c r="U211" s="3435" t="s">
        <v>243</v>
      </c>
      <c r="V211" s="3434" t="s">
        <v>243</v>
      </c>
      <c r="W211" s="3434" t="s">
        <v>243</v>
      </c>
      <c r="X211" s="3434"/>
      <c r="Y211" s="3434"/>
      <c r="Z211" s="3434" t="s">
        <v>243</v>
      </c>
      <c r="AA211" s="3434" t="s">
        <v>243</v>
      </c>
      <c r="AB211" s="3434" t="s">
        <v>243</v>
      </c>
      <c r="AC211" s="3434" t="s">
        <v>243</v>
      </c>
      <c r="AD211" s="3434" t="s">
        <v>243</v>
      </c>
      <c r="AE211" s="3434"/>
      <c r="AF211" s="3434"/>
      <c r="AG211" s="3434"/>
      <c r="AH211" s="179"/>
      <c r="AI211" s="179"/>
    </row>
    <row r="212" spans="1:35" ht="22.35" customHeight="1" x14ac:dyDescent="0.2">
      <c r="A212" s="109"/>
      <c r="B212" s="1182"/>
      <c r="C212" s="3434"/>
      <c r="D212" s="3434"/>
      <c r="E212" s="3434" t="s">
        <v>249</v>
      </c>
      <c r="F212" s="3434" t="s">
        <v>249</v>
      </c>
      <c r="G212" s="3434" t="s">
        <v>249</v>
      </c>
      <c r="H212" s="3434"/>
      <c r="I212" s="3434"/>
      <c r="J212" s="3434"/>
      <c r="K212" s="3434"/>
      <c r="L212" s="3434"/>
      <c r="M212" s="3434" t="s">
        <v>249</v>
      </c>
      <c r="N212" s="3434" t="s">
        <v>249</v>
      </c>
      <c r="O212" s="3434" t="s">
        <v>249</v>
      </c>
      <c r="P212" s="3434" t="s">
        <v>249</v>
      </c>
      <c r="Q212" s="3434"/>
      <c r="R212" s="3434"/>
      <c r="S212" s="3434" t="s">
        <v>249</v>
      </c>
      <c r="T212" s="3434" t="s">
        <v>249</v>
      </c>
      <c r="U212" s="3434" t="s">
        <v>249</v>
      </c>
      <c r="V212" s="3434" t="s">
        <v>249</v>
      </c>
      <c r="W212" s="3434" t="s">
        <v>249</v>
      </c>
      <c r="X212" s="3434"/>
      <c r="Y212" s="3434"/>
      <c r="Z212" s="3434" t="s">
        <v>249</v>
      </c>
      <c r="AA212" s="3434" t="s">
        <v>249</v>
      </c>
      <c r="AB212" s="3434" t="s">
        <v>249</v>
      </c>
      <c r="AC212" s="3434" t="s">
        <v>249</v>
      </c>
      <c r="AD212" s="3434" t="s">
        <v>249</v>
      </c>
      <c r="AE212" s="3434"/>
      <c r="AF212" s="3434"/>
      <c r="AG212" s="3434"/>
      <c r="AH212" s="179"/>
      <c r="AI212" s="179"/>
    </row>
    <row r="213" spans="1:35" ht="22.35" customHeight="1" x14ac:dyDescent="0.2">
      <c r="A213" s="109"/>
      <c r="B213" s="3904" t="s">
        <v>273</v>
      </c>
      <c r="C213" s="3437"/>
      <c r="D213" s="3437"/>
      <c r="E213" s="3437" t="s">
        <v>142</v>
      </c>
      <c r="F213" s="3437" t="s">
        <v>142</v>
      </c>
      <c r="G213" s="3437" t="s">
        <v>142</v>
      </c>
      <c r="H213" s="3437"/>
      <c r="I213" s="3437"/>
      <c r="J213" s="3437"/>
      <c r="K213" s="3437"/>
      <c r="L213" s="3437"/>
      <c r="M213" s="3437" t="s">
        <v>142</v>
      </c>
      <c r="N213" s="3437" t="s">
        <v>142</v>
      </c>
      <c r="O213" s="3437" t="s">
        <v>142</v>
      </c>
      <c r="P213" s="3437" t="s">
        <v>142</v>
      </c>
      <c r="Q213" s="3437"/>
      <c r="R213" s="3437"/>
      <c r="S213" s="3437" t="s">
        <v>142</v>
      </c>
      <c r="T213" s="3437" t="s">
        <v>142</v>
      </c>
      <c r="U213" s="3437" t="s">
        <v>142</v>
      </c>
      <c r="V213" s="3437" t="s">
        <v>142</v>
      </c>
      <c r="W213" s="3437" t="s">
        <v>142</v>
      </c>
      <c r="X213" s="3437"/>
      <c r="Y213" s="3437"/>
      <c r="Z213" s="4470" t="s">
        <v>142</v>
      </c>
      <c r="AA213" s="4470" t="s">
        <v>142</v>
      </c>
      <c r="AB213" s="4470" t="s">
        <v>142</v>
      </c>
      <c r="AC213" s="4470" t="s">
        <v>142</v>
      </c>
      <c r="AD213" s="4470" t="s">
        <v>142</v>
      </c>
      <c r="AE213" s="4470"/>
      <c r="AF213" s="4470"/>
      <c r="AG213" s="3437"/>
      <c r="AH213" s="179"/>
      <c r="AI213" s="179"/>
    </row>
    <row r="214" spans="1:35" ht="22.35" customHeight="1" x14ac:dyDescent="0.2">
      <c r="A214" s="109"/>
      <c r="B214" s="634" t="s">
        <v>0</v>
      </c>
      <c r="C214" s="3434"/>
      <c r="D214" s="3434"/>
      <c r="E214" s="3434" t="s">
        <v>134</v>
      </c>
      <c r="F214" s="3434" t="s">
        <v>134</v>
      </c>
      <c r="G214" s="3434" t="s">
        <v>134</v>
      </c>
      <c r="H214" s="3434"/>
      <c r="I214" s="3434"/>
      <c r="J214" s="3434"/>
      <c r="K214" s="3434"/>
      <c r="L214" s="3434"/>
      <c r="M214" s="3434" t="s">
        <v>134</v>
      </c>
      <c r="N214" s="3434" t="s">
        <v>134</v>
      </c>
      <c r="O214" s="3434" t="s">
        <v>134</v>
      </c>
      <c r="P214" s="3434" t="s">
        <v>134</v>
      </c>
      <c r="Q214" s="3434"/>
      <c r="R214" s="3434"/>
      <c r="S214" s="3434" t="s">
        <v>134</v>
      </c>
      <c r="T214" s="3434" t="s">
        <v>134</v>
      </c>
      <c r="U214" s="3434" t="s">
        <v>134</v>
      </c>
      <c r="V214" s="3434" t="s">
        <v>134</v>
      </c>
      <c r="W214" s="3434" t="s">
        <v>134</v>
      </c>
      <c r="X214" s="3434"/>
      <c r="Y214" s="3434"/>
      <c r="Z214" s="3434" t="s">
        <v>134</v>
      </c>
      <c r="AA214" s="3434" t="s">
        <v>134</v>
      </c>
      <c r="AB214" s="3434" t="s">
        <v>134</v>
      </c>
      <c r="AC214" s="3434" t="s">
        <v>134</v>
      </c>
      <c r="AD214" s="3434" t="s">
        <v>134</v>
      </c>
      <c r="AE214" s="3434"/>
      <c r="AF214" s="3434"/>
      <c r="AG214" s="3434"/>
      <c r="AH214" s="179"/>
      <c r="AI214" s="179"/>
    </row>
    <row r="215" spans="1:35" ht="22.35" customHeight="1" x14ac:dyDescent="0.2">
      <c r="A215" s="109"/>
      <c r="B215" s="3904" t="s">
        <v>274</v>
      </c>
      <c r="C215" s="292"/>
      <c r="D215" s="292"/>
      <c r="E215" s="292" t="s">
        <v>176</v>
      </c>
      <c r="F215" s="292" t="s">
        <v>176</v>
      </c>
      <c r="G215" s="292" t="s">
        <v>176</v>
      </c>
      <c r="H215" s="292"/>
      <c r="I215" s="292"/>
      <c r="J215" s="292"/>
      <c r="K215" s="292"/>
      <c r="L215" s="292"/>
      <c r="M215" s="292" t="s">
        <v>176</v>
      </c>
      <c r="N215" s="292" t="s">
        <v>176</v>
      </c>
      <c r="O215" s="292" t="s">
        <v>176</v>
      </c>
      <c r="P215" s="292" t="s">
        <v>176</v>
      </c>
      <c r="Q215" s="292"/>
      <c r="R215" s="292"/>
      <c r="S215" s="292" t="s">
        <v>176</v>
      </c>
      <c r="T215" s="292" t="s">
        <v>176</v>
      </c>
      <c r="U215" s="292" t="s">
        <v>176</v>
      </c>
      <c r="V215" s="292" t="s">
        <v>176</v>
      </c>
      <c r="W215" s="292" t="s">
        <v>176</v>
      </c>
      <c r="X215" s="292"/>
      <c r="Y215" s="292"/>
      <c r="Z215" s="292" t="s">
        <v>176</v>
      </c>
      <c r="AA215" s="292" t="s">
        <v>176</v>
      </c>
      <c r="AB215" s="292" t="s">
        <v>176</v>
      </c>
      <c r="AC215" s="468" t="s">
        <v>176</v>
      </c>
      <c r="AD215" s="468" t="s">
        <v>430</v>
      </c>
      <c r="AE215" s="474"/>
      <c r="AF215" s="474"/>
      <c r="AG215" s="292"/>
      <c r="AH215" s="179"/>
      <c r="AI215" s="179"/>
    </row>
    <row r="216" spans="1:35" ht="22.35" customHeight="1" x14ac:dyDescent="0.2">
      <c r="A216" s="109"/>
      <c r="B216" s="3904" t="s">
        <v>275</v>
      </c>
      <c r="C216" s="851"/>
      <c r="D216" s="851"/>
      <c r="E216" s="851" t="s">
        <v>257</v>
      </c>
      <c r="F216" s="851" t="s">
        <v>257</v>
      </c>
      <c r="G216" s="851" t="s">
        <v>257</v>
      </c>
      <c r="H216" s="851"/>
      <c r="I216" s="851"/>
      <c r="J216" s="851"/>
      <c r="K216" s="851"/>
      <c r="L216" s="851"/>
      <c r="M216" s="851" t="s">
        <v>257</v>
      </c>
      <c r="N216" s="851" t="s">
        <v>257</v>
      </c>
      <c r="O216" s="851" t="s">
        <v>257</v>
      </c>
      <c r="P216" s="851" t="s">
        <v>257</v>
      </c>
      <c r="Q216" s="851"/>
      <c r="R216" s="851"/>
      <c r="S216" s="851" t="s">
        <v>257</v>
      </c>
      <c r="T216" s="851" t="s">
        <v>257</v>
      </c>
      <c r="U216" s="851" t="s">
        <v>257</v>
      </c>
      <c r="V216" s="851" t="s">
        <v>257</v>
      </c>
      <c r="W216" s="851" t="s">
        <v>257</v>
      </c>
      <c r="X216" s="851"/>
      <c r="Y216" s="851"/>
      <c r="Z216" s="851" t="s">
        <v>257</v>
      </c>
      <c r="AA216" s="851" t="s">
        <v>257</v>
      </c>
      <c r="AB216" s="851" t="s">
        <v>257</v>
      </c>
      <c r="AC216" s="851" t="s">
        <v>257</v>
      </c>
      <c r="AD216" s="851" t="s">
        <v>257</v>
      </c>
      <c r="AE216" s="851"/>
      <c r="AF216" s="851"/>
      <c r="AG216" s="851"/>
      <c r="AH216" s="179"/>
      <c r="AI216" s="179"/>
    </row>
    <row r="217" spans="1:35" ht="22.35" customHeight="1" x14ac:dyDescent="0.2">
      <c r="A217" s="109"/>
      <c r="B217" s="634" t="s">
        <v>276</v>
      </c>
      <c r="C217" s="851"/>
      <c r="D217" s="851"/>
      <c r="E217" s="4471" t="s">
        <v>95</v>
      </c>
      <c r="F217" s="4471" t="s">
        <v>95</v>
      </c>
      <c r="G217" s="4471" t="s">
        <v>95</v>
      </c>
      <c r="H217" s="851"/>
      <c r="I217" s="851"/>
      <c r="J217" s="851"/>
      <c r="K217" s="851"/>
      <c r="L217" s="851"/>
      <c r="M217" s="851" t="s">
        <v>95</v>
      </c>
      <c r="N217" s="851" t="s">
        <v>95</v>
      </c>
      <c r="O217" s="851" t="s">
        <v>95</v>
      </c>
      <c r="P217" s="851" t="s">
        <v>95</v>
      </c>
      <c r="Q217" s="851"/>
      <c r="R217" s="851"/>
      <c r="S217" s="4472" t="s">
        <v>95</v>
      </c>
      <c r="T217" s="851" t="s">
        <v>95</v>
      </c>
      <c r="U217" s="851" t="s">
        <v>95</v>
      </c>
      <c r="V217" s="851" t="s">
        <v>95</v>
      </c>
      <c r="W217" s="851" t="s">
        <v>95</v>
      </c>
      <c r="X217" s="851"/>
      <c r="Y217" s="851"/>
      <c r="Z217" s="851" t="s">
        <v>95</v>
      </c>
      <c r="AA217" s="851" t="s">
        <v>95</v>
      </c>
      <c r="AB217" s="851" t="s">
        <v>95</v>
      </c>
      <c r="AC217" s="851" t="s">
        <v>95</v>
      </c>
      <c r="AD217" s="851" t="s">
        <v>95</v>
      </c>
      <c r="AE217" s="851"/>
      <c r="AF217" s="851"/>
      <c r="AG217" s="3915"/>
      <c r="AH217" s="179"/>
      <c r="AI217" s="179"/>
    </row>
    <row r="218" spans="1:35" ht="22.35" customHeight="1" x14ac:dyDescent="0.2">
      <c r="A218" s="109"/>
      <c r="B218" s="3904" t="s">
        <v>277</v>
      </c>
      <c r="C218" s="851"/>
      <c r="D218" s="851"/>
      <c r="E218" s="851" t="s">
        <v>177</v>
      </c>
      <c r="F218" s="851" t="s">
        <v>177</v>
      </c>
      <c r="G218" s="851" t="s">
        <v>177</v>
      </c>
      <c r="H218" s="851"/>
      <c r="I218" s="851"/>
      <c r="J218" s="851"/>
      <c r="K218" s="851"/>
      <c r="L218" s="851"/>
      <c r="M218" s="851" t="s">
        <v>177</v>
      </c>
      <c r="N218" s="851" t="s">
        <v>177</v>
      </c>
      <c r="O218" s="851" t="s">
        <v>177</v>
      </c>
      <c r="P218" s="851" t="s">
        <v>177</v>
      </c>
      <c r="Q218" s="851"/>
      <c r="R218" s="851"/>
      <c r="S218" s="3851" t="s">
        <v>177</v>
      </c>
      <c r="T218" s="3851" t="s">
        <v>177</v>
      </c>
      <c r="U218" s="3851" t="s">
        <v>177</v>
      </c>
      <c r="V218" s="3851" t="s">
        <v>177</v>
      </c>
      <c r="W218" s="3851" t="s">
        <v>177</v>
      </c>
      <c r="X218" s="3851"/>
      <c r="Y218" s="3851"/>
      <c r="Z218" s="851" t="s">
        <v>177</v>
      </c>
      <c r="AA218" s="851" t="s">
        <v>177</v>
      </c>
      <c r="AB218" s="851" t="s">
        <v>177</v>
      </c>
      <c r="AC218" s="851" t="s">
        <v>177</v>
      </c>
      <c r="AD218" s="851" t="s">
        <v>177</v>
      </c>
      <c r="AE218" s="851"/>
      <c r="AF218" s="851"/>
      <c r="AG218" s="851"/>
      <c r="AH218" s="179"/>
      <c r="AI218" s="179"/>
    </row>
    <row r="219" spans="1:35" ht="22.35" customHeight="1" x14ac:dyDescent="0.2">
      <c r="A219" s="109"/>
      <c r="B219" s="634"/>
      <c r="C219" s="851"/>
      <c r="D219" s="851"/>
      <c r="E219" s="851" t="s">
        <v>137</v>
      </c>
      <c r="F219" s="851" t="s">
        <v>137</v>
      </c>
      <c r="G219" s="851" t="s">
        <v>137</v>
      </c>
      <c r="H219" s="851"/>
      <c r="I219" s="851"/>
      <c r="J219" s="851"/>
      <c r="K219" s="851"/>
      <c r="L219" s="851"/>
      <c r="M219" s="851" t="s">
        <v>137</v>
      </c>
      <c r="N219" s="851" t="s">
        <v>137</v>
      </c>
      <c r="O219" s="851" t="s">
        <v>137</v>
      </c>
      <c r="P219" s="851" t="s">
        <v>137</v>
      </c>
      <c r="Q219" s="851"/>
      <c r="R219" s="851"/>
      <c r="S219" s="851" t="s">
        <v>137</v>
      </c>
      <c r="T219" s="851" t="s">
        <v>137</v>
      </c>
      <c r="U219" s="851" t="s">
        <v>137</v>
      </c>
      <c r="V219" s="851" t="s">
        <v>137</v>
      </c>
      <c r="W219" s="851" t="s">
        <v>137</v>
      </c>
      <c r="X219" s="851"/>
      <c r="Y219" s="851"/>
      <c r="Z219" s="851" t="s">
        <v>137</v>
      </c>
      <c r="AA219" s="851" t="s">
        <v>137</v>
      </c>
      <c r="AB219" s="851" t="s">
        <v>137</v>
      </c>
      <c r="AC219" s="851" t="s">
        <v>137</v>
      </c>
      <c r="AD219" s="851" t="s">
        <v>137</v>
      </c>
      <c r="AE219" s="851"/>
      <c r="AF219" s="851"/>
      <c r="AG219" s="851"/>
      <c r="AH219" s="179"/>
      <c r="AI219" s="179"/>
    </row>
    <row r="220" spans="1:35" ht="22.35" customHeight="1" x14ac:dyDescent="0.2">
      <c r="A220" s="109"/>
      <c r="B220" s="634" t="s">
        <v>278</v>
      </c>
      <c r="C220" s="4272"/>
      <c r="D220" s="4272"/>
      <c r="E220" s="851" t="s">
        <v>264</v>
      </c>
      <c r="F220" s="851" t="s">
        <v>264</v>
      </c>
      <c r="G220" s="3916" t="s">
        <v>264</v>
      </c>
      <c r="H220" s="851"/>
      <c r="I220" s="851"/>
      <c r="J220" s="851"/>
      <c r="K220" s="851"/>
      <c r="L220" s="851"/>
      <c r="M220" s="4471" t="s">
        <v>264</v>
      </c>
      <c r="N220" s="851" t="s">
        <v>264</v>
      </c>
      <c r="O220" s="851" t="s">
        <v>264</v>
      </c>
      <c r="P220" s="851" t="s">
        <v>264</v>
      </c>
      <c r="Q220" s="851"/>
      <c r="R220" s="851"/>
      <c r="S220" s="851" t="s">
        <v>264</v>
      </c>
      <c r="T220" s="851" t="s">
        <v>264</v>
      </c>
      <c r="U220" s="851" t="s">
        <v>264</v>
      </c>
      <c r="V220" s="851" t="s">
        <v>264</v>
      </c>
      <c r="W220" s="851" t="s">
        <v>264</v>
      </c>
      <c r="X220" s="851"/>
      <c r="Y220" s="851"/>
      <c r="Z220" s="851" t="s">
        <v>264</v>
      </c>
      <c r="AA220" s="851" t="s">
        <v>264</v>
      </c>
      <c r="AB220" s="851" t="s">
        <v>264</v>
      </c>
      <c r="AC220" s="851" t="s">
        <v>264</v>
      </c>
      <c r="AD220" s="851" t="s">
        <v>264</v>
      </c>
      <c r="AE220" s="851"/>
      <c r="AF220" s="851"/>
      <c r="AG220" s="851"/>
      <c r="AH220" s="107"/>
      <c r="AI220" s="107"/>
    </row>
    <row r="221" spans="1:35" ht="21" customHeight="1" thickBot="1" x14ac:dyDescent="0.25">
      <c r="A221" s="147"/>
      <c r="B221" s="3917" t="s">
        <v>279</v>
      </c>
      <c r="C221" s="1092"/>
      <c r="D221" s="1092"/>
      <c r="E221" s="4473" t="s">
        <v>266</v>
      </c>
      <c r="F221" s="4473" t="s">
        <v>266</v>
      </c>
      <c r="G221" s="4473" t="s">
        <v>266</v>
      </c>
      <c r="H221" s="1092"/>
      <c r="I221" s="1092"/>
      <c r="J221" s="1092"/>
      <c r="K221" s="1092"/>
      <c r="L221" s="1092"/>
      <c r="M221" s="1092" t="s">
        <v>266</v>
      </c>
      <c r="N221" s="1092" t="s">
        <v>266</v>
      </c>
      <c r="O221" s="1092" t="s">
        <v>266</v>
      </c>
      <c r="P221" s="1092" t="s">
        <v>266</v>
      </c>
      <c r="Q221" s="1092"/>
      <c r="R221" s="1092"/>
      <c r="S221" s="1092" t="s">
        <v>266</v>
      </c>
      <c r="T221" s="1092" t="s">
        <v>266</v>
      </c>
      <c r="U221" s="1092" t="s">
        <v>266</v>
      </c>
      <c r="V221" s="1092" t="s">
        <v>266</v>
      </c>
      <c r="W221" s="1092" t="s">
        <v>266</v>
      </c>
      <c r="X221" s="1092"/>
      <c r="Y221" s="1092"/>
      <c r="Z221" s="1092" t="s">
        <v>266</v>
      </c>
      <c r="AA221" s="1092" t="s">
        <v>266</v>
      </c>
      <c r="AB221" s="1092" t="s">
        <v>266</v>
      </c>
      <c r="AC221" s="1092" t="s">
        <v>266</v>
      </c>
      <c r="AD221" s="865" t="s">
        <v>266</v>
      </c>
      <c r="AE221" s="865"/>
      <c r="AF221" s="865"/>
      <c r="AG221" s="1092"/>
      <c r="AH221" s="114"/>
    </row>
    <row r="222" spans="1:35" ht="21" customHeight="1" x14ac:dyDescent="0.2">
      <c r="A222" s="147"/>
      <c r="B222" s="217"/>
      <c r="C222" s="216"/>
      <c r="D222" s="216"/>
      <c r="E222" s="216"/>
      <c r="F222" s="216"/>
      <c r="G222" s="216"/>
      <c r="H222" s="216"/>
      <c r="I222" s="216"/>
      <c r="J222" s="216"/>
      <c r="K222" s="216"/>
      <c r="L222" s="216"/>
      <c r="M222" s="216"/>
      <c r="N222" s="216"/>
      <c r="O222" s="216"/>
      <c r="P222" s="216"/>
      <c r="Q222" s="216"/>
      <c r="R222" s="216"/>
      <c r="S222" s="216"/>
      <c r="T222" s="216"/>
      <c r="U222" s="216"/>
      <c r="V222" s="216"/>
      <c r="W222" s="216"/>
      <c r="X222" s="216"/>
      <c r="Y222" s="216"/>
      <c r="Z222" s="216"/>
      <c r="AA222" s="216"/>
      <c r="AB222" s="216"/>
      <c r="AC222" s="216"/>
      <c r="AD222" s="216"/>
      <c r="AE222" s="216"/>
      <c r="AF222" s="216"/>
      <c r="AG222" s="216"/>
      <c r="AH222" s="114"/>
    </row>
    <row r="223" spans="1:35" ht="22.35" customHeight="1" x14ac:dyDescent="0.2">
      <c r="C223" s="37"/>
      <c r="D223" s="37"/>
      <c r="E223" s="37"/>
      <c r="F223" s="37"/>
      <c r="G223" s="37"/>
      <c r="H223" s="37"/>
      <c r="I223" s="37"/>
      <c r="J223" s="37"/>
      <c r="K223" s="37"/>
      <c r="L223" s="37"/>
      <c r="M223" s="37"/>
      <c r="N223" s="37"/>
      <c r="O223" s="37"/>
      <c r="P223" s="37"/>
      <c r="Q223" s="37"/>
      <c r="R223" s="37"/>
      <c r="S223" s="37"/>
      <c r="T223" s="37"/>
      <c r="U223" s="37"/>
      <c r="V223" s="37"/>
      <c r="W223" s="37"/>
      <c r="X223" s="37"/>
      <c r="Y223" s="37"/>
      <c r="Z223" s="37"/>
      <c r="AA223" s="37"/>
      <c r="AB223" s="37"/>
      <c r="AC223" s="37"/>
      <c r="AD223" s="37"/>
      <c r="AE223" s="37"/>
      <c r="AF223" s="37"/>
      <c r="AG223" s="37"/>
    </row>
    <row r="224" spans="1:35" ht="22.35" customHeight="1" thickBot="1" x14ac:dyDescent="0.25">
      <c r="A224" s="1" t="s">
        <v>280</v>
      </c>
      <c r="B224" s="59"/>
    </row>
    <row r="225" spans="1:35" ht="22.35" customHeight="1" x14ac:dyDescent="0.2">
      <c r="A225" s="1"/>
      <c r="B225" s="3920" t="s">
        <v>281</v>
      </c>
      <c r="C225" s="4474" t="s">
        <v>107</v>
      </c>
      <c r="D225" s="4412"/>
      <c r="E225" s="4412"/>
      <c r="F225" s="4412"/>
      <c r="G225" s="4474" t="s">
        <v>108</v>
      </c>
      <c r="H225" s="4412"/>
      <c r="I225" s="4412"/>
      <c r="J225" s="4412"/>
      <c r="K225" s="4474" t="s">
        <v>109</v>
      </c>
      <c r="L225" s="4412"/>
      <c r="M225" s="4412"/>
      <c r="N225" s="4412"/>
      <c r="O225" s="4474" t="s">
        <v>110</v>
      </c>
      <c r="P225" s="4412"/>
      <c r="Q225" s="4412"/>
      <c r="R225" s="4412"/>
      <c r="S225" s="4474" t="s">
        <v>111</v>
      </c>
      <c r="T225" s="4412"/>
      <c r="U225" s="4412"/>
      <c r="V225" s="4412"/>
      <c r="W225" s="4474" t="s">
        <v>112</v>
      </c>
      <c r="X225" s="4319"/>
      <c r="Y225" s="4412"/>
      <c r="Z225" s="4475"/>
      <c r="AA225" s="4474" t="s">
        <v>113</v>
      </c>
      <c r="AB225" s="4319"/>
      <c r="AC225" s="4412"/>
      <c r="AD225" s="4475"/>
      <c r="AE225" s="4476" t="s">
        <v>114</v>
      </c>
      <c r="AF225" s="4412"/>
      <c r="AG225" s="4412"/>
      <c r="AH225" s="4412"/>
      <c r="AI225" s="4320"/>
    </row>
    <row r="226" spans="1:35" ht="22.35" customHeight="1" x14ac:dyDescent="0.2">
      <c r="A226" s="1"/>
      <c r="B226" s="4276">
        <v>3701</v>
      </c>
      <c r="C226" s="110" t="s">
        <v>282</v>
      </c>
      <c r="D226" s="110"/>
      <c r="E226" s="110"/>
      <c r="F226" s="110"/>
      <c r="G226" s="4277" t="s">
        <v>283</v>
      </c>
      <c r="H226" s="110"/>
      <c r="I226" s="110"/>
      <c r="J226" s="110"/>
      <c r="K226" s="4277" t="s">
        <v>283</v>
      </c>
      <c r="L226" s="110"/>
      <c r="M226" s="110"/>
      <c r="N226" s="110"/>
      <c r="O226" s="4277" t="s">
        <v>283</v>
      </c>
      <c r="P226" s="110"/>
      <c r="Q226" s="110"/>
      <c r="R226" s="110"/>
      <c r="S226" s="4277" t="s">
        <v>284</v>
      </c>
      <c r="T226" s="110"/>
      <c r="U226" s="110"/>
      <c r="V226" s="110"/>
      <c r="W226" s="3746"/>
      <c r="X226" s="3445"/>
      <c r="Y226" s="3584"/>
      <c r="Z226" s="3446"/>
      <c r="AA226" s="3746"/>
      <c r="AB226" s="3445"/>
      <c r="AC226" s="3584"/>
      <c r="AD226" s="3446"/>
      <c r="AE226" s="3791"/>
      <c r="AF226" s="3584"/>
      <c r="AG226" s="3584"/>
      <c r="AH226" s="3584"/>
      <c r="AI226" s="3519"/>
    </row>
    <row r="227" spans="1:35" ht="22.35" customHeight="1" x14ac:dyDescent="0.2">
      <c r="B227" s="3920">
        <v>3700</v>
      </c>
      <c r="C227" s="3584" t="s">
        <v>182</v>
      </c>
      <c r="D227" s="3584"/>
      <c r="E227" s="3584"/>
      <c r="F227" s="3584"/>
      <c r="G227" s="3748" t="s">
        <v>182</v>
      </c>
      <c r="H227" s="3584"/>
      <c r="I227" s="3584"/>
      <c r="J227" s="3584"/>
      <c r="K227" s="3748" t="s">
        <v>182</v>
      </c>
      <c r="L227" s="3584"/>
      <c r="M227" s="3584"/>
      <c r="N227" s="3584"/>
      <c r="O227" s="3748" t="s">
        <v>182</v>
      </c>
      <c r="P227" s="3584"/>
      <c r="Q227" s="3584"/>
      <c r="R227" s="3584"/>
      <c r="S227" s="3748" t="s">
        <v>183</v>
      </c>
      <c r="T227" s="3584"/>
      <c r="U227" s="3584"/>
      <c r="V227" s="3584"/>
      <c r="W227" s="3746"/>
      <c r="X227" s="3584"/>
      <c r="Y227" s="3584"/>
      <c r="Z227" s="3793"/>
      <c r="AA227" s="3791"/>
      <c r="AB227" s="3584"/>
      <c r="AC227" s="3584"/>
      <c r="AD227" s="3644"/>
      <c r="AE227" s="3447"/>
      <c r="AF227" s="3584"/>
      <c r="AG227" s="3584"/>
      <c r="AH227" s="3644"/>
      <c r="AI227" s="3519"/>
    </row>
    <row r="228" spans="1:35" ht="22.35" customHeight="1" x14ac:dyDescent="0.2">
      <c r="A228" s="1"/>
      <c r="B228" s="3920">
        <v>8514</v>
      </c>
      <c r="C228" s="3584" t="s">
        <v>283</v>
      </c>
      <c r="D228" s="3584"/>
      <c r="E228" s="3584"/>
      <c r="F228" s="3584"/>
      <c r="G228" s="3748" t="s">
        <v>283</v>
      </c>
      <c r="H228" s="3584"/>
      <c r="I228" s="3584"/>
      <c r="J228" s="3584"/>
      <c r="K228" s="3748" t="s">
        <v>283</v>
      </c>
      <c r="L228" s="3584"/>
      <c r="M228" s="3584"/>
      <c r="N228" s="3584"/>
      <c r="O228" s="3748" t="s">
        <v>283</v>
      </c>
      <c r="P228" s="3584"/>
      <c r="Q228" s="3584"/>
      <c r="R228" s="3584"/>
      <c r="S228" s="3748" t="s">
        <v>285</v>
      </c>
      <c r="T228" s="3584"/>
      <c r="U228" s="3584"/>
      <c r="V228" s="3584"/>
      <c r="W228" s="3746"/>
      <c r="X228" s="3584"/>
      <c r="Y228" s="3584"/>
      <c r="Z228" s="3793"/>
      <c r="AA228" s="3643"/>
      <c r="AB228" s="3584"/>
      <c r="AC228" s="3584"/>
      <c r="AD228" s="3644"/>
      <c r="AE228" s="3643"/>
      <c r="AF228" s="3584"/>
      <c r="AG228" s="3584"/>
      <c r="AH228" s="3644"/>
      <c r="AI228" s="3519"/>
    </row>
    <row r="229" spans="1:35" ht="22.35" customHeight="1" x14ac:dyDescent="0.2">
      <c r="A229" s="1"/>
      <c r="B229" s="3920">
        <v>8500</v>
      </c>
      <c r="C229" s="162" t="s">
        <v>286</v>
      </c>
      <c r="D229" s="162"/>
      <c r="E229" s="162"/>
      <c r="F229" s="162"/>
      <c r="G229" s="163" t="s">
        <v>286</v>
      </c>
      <c r="H229" s="162"/>
      <c r="I229" s="162"/>
      <c r="J229" s="162"/>
      <c r="K229" s="163" t="s">
        <v>286</v>
      </c>
      <c r="L229" s="162"/>
      <c r="M229" s="162"/>
      <c r="N229" s="162"/>
      <c r="O229" s="163" t="s">
        <v>286</v>
      </c>
      <c r="P229" s="162"/>
      <c r="Q229" s="162"/>
      <c r="R229" s="162"/>
      <c r="S229" s="163" t="s">
        <v>287</v>
      </c>
      <c r="T229" s="162"/>
      <c r="U229" s="162"/>
      <c r="V229" s="162"/>
      <c r="W229" s="3746"/>
      <c r="X229" s="162"/>
      <c r="Y229" s="162"/>
      <c r="Z229" s="120"/>
      <c r="AA229" s="119"/>
      <c r="AB229" s="162"/>
      <c r="AC229" s="162"/>
      <c r="AD229" s="120"/>
      <c r="AE229" s="119"/>
      <c r="AF229" s="162"/>
      <c r="AG229" s="162"/>
      <c r="AH229" s="112"/>
      <c r="AI229" s="118"/>
    </row>
    <row r="230" spans="1:35" ht="22.35" customHeight="1" x14ac:dyDescent="0.2">
      <c r="A230" s="1"/>
      <c r="B230" s="3920">
        <v>8514</v>
      </c>
      <c r="C230" s="165" t="s">
        <v>283</v>
      </c>
      <c r="D230" s="165"/>
      <c r="E230" s="165"/>
      <c r="F230" s="165"/>
      <c r="G230" s="166" t="s">
        <v>283</v>
      </c>
      <c r="H230" s="165"/>
      <c r="I230" s="165"/>
      <c r="J230" s="165"/>
      <c r="K230" s="166" t="s">
        <v>283</v>
      </c>
      <c r="L230" s="165"/>
      <c r="M230" s="165"/>
      <c r="N230" s="165"/>
      <c r="O230" s="166" t="s">
        <v>283</v>
      </c>
      <c r="P230" s="165"/>
      <c r="Q230" s="165"/>
      <c r="R230" s="165"/>
      <c r="S230" s="166" t="s">
        <v>285</v>
      </c>
      <c r="T230" s="165"/>
      <c r="U230" s="165"/>
      <c r="V230" s="165"/>
      <c r="W230" s="3448"/>
      <c r="X230" s="116"/>
      <c r="Y230" s="162"/>
      <c r="Z230" s="164"/>
      <c r="AA230" s="154"/>
      <c r="AB230" s="116"/>
      <c r="AC230" s="162"/>
      <c r="AD230" s="162"/>
      <c r="AE230" s="117"/>
      <c r="AF230" s="162"/>
      <c r="AG230" s="162"/>
      <c r="AH230" s="162"/>
      <c r="AI230" s="118"/>
    </row>
    <row r="231" spans="1:35" ht="22.35" customHeight="1" thickBot="1" x14ac:dyDescent="0.25">
      <c r="A231" s="1"/>
      <c r="B231" s="1149" t="s">
        <v>288</v>
      </c>
      <c r="C231" s="3591" t="s">
        <v>289</v>
      </c>
      <c r="D231" s="3591"/>
      <c r="E231" s="3591"/>
      <c r="F231" s="3591"/>
      <c r="G231" s="3449" t="s">
        <v>289</v>
      </c>
      <c r="H231" s="3591"/>
      <c r="I231" s="3591"/>
      <c r="J231" s="3591"/>
      <c r="K231" s="3750" t="s">
        <v>289</v>
      </c>
      <c r="L231" s="3591"/>
      <c r="M231" s="3591"/>
      <c r="N231" s="3591"/>
      <c r="O231" s="3449" t="s">
        <v>289</v>
      </c>
      <c r="P231" s="3591"/>
      <c r="Q231" s="3591"/>
      <c r="R231" s="3591"/>
      <c r="S231" s="3449" t="s">
        <v>290</v>
      </c>
      <c r="T231" s="3591"/>
      <c r="U231" s="3591"/>
      <c r="V231" s="3591"/>
      <c r="W231" s="3750"/>
      <c r="X231" s="3591"/>
      <c r="Y231" s="3591"/>
      <c r="Z231" s="3828"/>
      <c r="AA231" s="3804"/>
      <c r="AB231" s="3591"/>
      <c r="AC231" s="3591"/>
      <c r="AD231" s="3811"/>
      <c r="AE231" s="3450"/>
      <c r="AF231" s="3591"/>
      <c r="AG231" s="3591"/>
      <c r="AH231" s="3811"/>
      <c r="AI231" s="3594"/>
    </row>
    <row r="232" spans="1:35" ht="22.35" customHeight="1" x14ac:dyDescent="0.2">
      <c r="A232" s="1"/>
      <c r="B232" s="18"/>
      <c r="C232" s="64"/>
      <c r="D232" s="110"/>
      <c r="E232" s="110"/>
      <c r="F232" s="69"/>
      <c r="G232" s="64"/>
      <c r="H232" s="110"/>
      <c r="I232" s="110"/>
      <c r="J232" s="69"/>
      <c r="K232" s="64"/>
      <c r="L232" s="110"/>
      <c r="M232" s="110"/>
      <c r="N232" s="69"/>
      <c r="O232" s="64"/>
      <c r="P232" s="110"/>
      <c r="Q232" s="110"/>
      <c r="R232" s="69"/>
      <c r="S232" s="64"/>
      <c r="T232" s="110"/>
      <c r="U232" s="110"/>
      <c r="V232" s="69"/>
      <c r="W232" s="69"/>
      <c r="Z232" s="69"/>
      <c r="AA232" s="69"/>
      <c r="AD232" s="69"/>
      <c r="AE232" s="69"/>
      <c r="AH232" s="69"/>
    </row>
    <row r="233" spans="1:35" ht="22.35" customHeight="1" x14ac:dyDescent="0.2">
      <c r="A233" s="1" t="s">
        <v>291</v>
      </c>
      <c r="B233" s="18"/>
      <c r="C233" s="64"/>
      <c r="D233" s="110"/>
      <c r="E233" s="110"/>
      <c r="F233" s="69"/>
      <c r="G233" s="64"/>
      <c r="H233" s="110"/>
      <c r="I233" s="110"/>
      <c r="J233" s="69"/>
      <c r="K233" s="64"/>
      <c r="L233" s="110"/>
      <c r="M233" s="110"/>
      <c r="N233" s="69"/>
      <c r="O233" s="64"/>
      <c r="P233" s="110"/>
      <c r="Q233" s="110"/>
      <c r="R233" s="69"/>
      <c r="S233" s="64"/>
      <c r="T233" s="110"/>
      <c r="U233" s="110"/>
      <c r="V233" s="69"/>
      <c r="W233" s="69"/>
      <c r="Z233" s="69"/>
      <c r="AA233" s="69"/>
      <c r="AD233" s="69"/>
      <c r="AE233" s="69"/>
      <c r="AH233" s="69"/>
    </row>
    <row r="234" spans="1:35" ht="22.35" customHeight="1" thickBot="1" x14ac:dyDescent="0.25">
      <c r="A234" s="3718"/>
      <c r="B234" s="4107" t="s">
        <v>29</v>
      </c>
      <c r="C234" s="3529">
        <v>1</v>
      </c>
      <c r="D234" s="3529">
        <v>2</v>
      </c>
      <c r="E234" s="3528">
        <v>3</v>
      </c>
      <c r="F234" s="3528">
        <v>4</v>
      </c>
      <c r="G234" s="3528">
        <v>5</v>
      </c>
      <c r="H234" s="3529">
        <v>6</v>
      </c>
      <c r="I234" s="3529">
        <v>7</v>
      </c>
      <c r="J234" s="3529">
        <v>8</v>
      </c>
      <c r="K234" s="3529">
        <v>9</v>
      </c>
      <c r="L234" s="3529">
        <v>10</v>
      </c>
      <c r="M234" s="3528">
        <v>11</v>
      </c>
      <c r="N234" s="3528">
        <v>12</v>
      </c>
      <c r="O234" s="3528">
        <v>13</v>
      </c>
      <c r="P234" s="3528">
        <v>14</v>
      </c>
      <c r="Q234" s="3529">
        <v>15</v>
      </c>
      <c r="R234" s="3529">
        <v>16</v>
      </c>
      <c r="S234" s="3528">
        <v>17</v>
      </c>
      <c r="T234" s="3528">
        <v>18</v>
      </c>
      <c r="U234" s="3528">
        <v>19</v>
      </c>
      <c r="V234" s="3528">
        <v>20</v>
      </c>
      <c r="W234" s="3528">
        <v>21</v>
      </c>
      <c r="X234" s="3529">
        <v>22</v>
      </c>
      <c r="Y234" s="3529">
        <v>23</v>
      </c>
      <c r="Z234" s="3528">
        <v>24</v>
      </c>
      <c r="AA234" s="3528">
        <v>25</v>
      </c>
      <c r="AB234" s="3528">
        <v>26</v>
      </c>
      <c r="AC234" s="3528">
        <v>27</v>
      </c>
      <c r="AD234" s="3528">
        <v>28</v>
      </c>
      <c r="AE234" s="3529">
        <v>29</v>
      </c>
      <c r="AF234" s="3529">
        <v>30</v>
      </c>
      <c r="AG234" s="3530"/>
      <c r="AH234" s="173"/>
      <c r="AI234" s="174"/>
    </row>
    <row r="235" spans="1:35" ht="22.35" customHeight="1" x14ac:dyDescent="0.2">
      <c r="A235" s="4477"/>
      <c r="B235" s="4478" t="s">
        <v>292</v>
      </c>
      <c r="C235" s="644"/>
      <c r="D235" s="644"/>
      <c r="E235" s="644" t="s">
        <v>32</v>
      </c>
      <c r="F235" s="644" t="s">
        <v>32</v>
      </c>
      <c r="G235" s="644" t="s">
        <v>32</v>
      </c>
      <c r="H235" s="644"/>
      <c r="I235" s="644"/>
      <c r="J235" s="644"/>
      <c r="K235" s="644"/>
      <c r="L235" s="644"/>
      <c r="M235" s="644" t="s">
        <v>32</v>
      </c>
      <c r="N235" s="848" t="s">
        <v>32</v>
      </c>
      <c r="O235" s="848" t="s">
        <v>32</v>
      </c>
      <c r="P235" s="848" t="s">
        <v>32</v>
      </c>
      <c r="Q235" s="975"/>
      <c r="R235" s="848"/>
      <c r="S235" s="848" t="s">
        <v>32</v>
      </c>
      <c r="T235" s="644" t="s">
        <v>32</v>
      </c>
      <c r="U235" s="848" t="s">
        <v>32</v>
      </c>
      <c r="V235" s="1152" t="s">
        <v>32</v>
      </c>
      <c r="W235" s="1152" t="s">
        <v>32</v>
      </c>
      <c r="X235" s="1152"/>
      <c r="Y235" s="848"/>
      <c r="Z235" s="644" t="s">
        <v>32</v>
      </c>
      <c r="AA235" s="644" t="s">
        <v>32</v>
      </c>
      <c r="AB235" s="644" t="s">
        <v>32</v>
      </c>
      <c r="AC235" s="848" t="s">
        <v>32</v>
      </c>
      <c r="AD235" s="848" t="s">
        <v>32</v>
      </c>
      <c r="AE235" s="848"/>
      <c r="AF235" s="848"/>
      <c r="AG235" s="293"/>
      <c r="AH235" s="173"/>
      <c r="AI235" s="174"/>
    </row>
    <row r="236" spans="1:35" ht="22.35" customHeight="1" x14ac:dyDescent="0.2">
      <c r="A236" s="1153"/>
      <c r="B236" s="1154" t="s">
        <v>293</v>
      </c>
      <c r="C236" s="644"/>
      <c r="D236" s="644"/>
      <c r="E236" s="644"/>
      <c r="F236" s="644"/>
      <c r="G236" s="644"/>
      <c r="H236" s="644"/>
      <c r="I236" s="644"/>
      <c r="J236" s="644"/>
      <c r="K236" s="644"/>
      <c r="L236" s="644"/>
      <c r="M236" s="644"/>
      <c r="N236" s="848"/>
      <c r="O236" s="848"/>
      <c r="P236" s="848"/>
      <c r="Q236" s="975"/>
      <c r="R236" s="848"/>
      <c r="S236" s="644"/>
      <c r="T236" s="644"/>
      <c r="U236" s="848"/>
      <c r="V236" s="848"/>
      <c r="W236" s="848"/>
      <c r="X236" s="644"/>
      <c r="Y236" s="848"/>
      <c r="Z236" s="644"/>
      <c r="AA236" s="644"/>
      <c r="AB236" s="644"/>
      <c r="AC236" s="644"/>
      <c r="AD236" s="975"/>
      <c r="AE236" s="975"/>
      <c r="AF236" s="975"/>
      <c r="AG236" s="585"/>
      <c r="AH236" s="173"/>
      <c r="AI236" s="174"/>
    </row>
    <row r="237" spans="1:35" ht="22.35" customHeight="1" x14ac:dyDescent="0.2">
      <c r="A237" s="1155">
        <v>8514</v>
      </c>
      <c r="B237" s="1156" t="s">
        <v>294</v>
      </c>
      <c r="C237" s="644"/>
      <c r="D237" s="644"/>
      <c r="E237" s="644" t="s">
        <v>32</v>
      </c>
      <c r="F237" s="644" t="s">
        <v>32</v>
      </c>
      <c r="G237" s="644" t="s">
        <v>32</v>
      </c>
      <c r="H237" s="644"/>
      <c r="I237" s="644"/>
      <c r="J237" s="644"/>
      <c r="K237" s="644"/>
      <c r="L237" s="644"/>
      <c r="M237" s="644" t="s">
        <v>32</v>
      </c>
      <c r="N237" s="848" t="s">
        <v>32</v>
      </c>
      <c r="O237" s="848" t="s">
        <v>32</v>
      </c>
      <c r="P237" s="848" t="s">
        <v>32</v>
      </c>
      <c r="Q237" s="975"/>
      <c r="R237" s="848"/>
      <c r="S237" s="644" t="s">
        <v>32</v>
      </c>
      <c r="T237" s="644" t="s">
        <v>32</v>
      </c>
      <c r="U237" s="848" t="s">
        <v>32</v>
      </c>
      <c r="V237" s="848" t="s">
        <v>32</v>
      </c>
      <c r="W237" s="848" t="s">
        <v>32</v>
      </c>
      <c r="X237" s="848"/>
      <c r="Y237" s="848"/>
      <c r="Z237" s="644" t="s">
        <v>32</v>
      </c>
      <c r="AA237" s="644" t="s">
        <v>32</v>
      </c>
      <c r="AB237" s="644" t="s">
        <v>32</v>
      </c>
      <c r="AC237" s="644" t="s">
        <v>32</v>
      </c>
      <c r="AD237" s="975" t="s">
        <v>32</v>
      </c>
      <c r="AE237" s="975"/>
      <c r="AF237" s="975"/>
      <c r="AG237" s="585"/>
      <c r="AH237" s="178"/>
      <c r="AI237" s="179"/>
    </row>
    <row r="238" spans="1:35" ht="21" customHeight="1" x14ac:dyDescent="0.2">
      <c r="A238" s="1155">
        <v>3701</v>
      </c>
      <c r="B238" s="1157" t="s">
        <v>295</v>
      </c>
      <c r="C238" s="644"/>
      <c r="D238" s="644"/>
      <c r="E238" s="644"/>
      <c r="F238" s="644"/>
      <c r="G238" s="644"/>
      <c r="H238" s="644"/>
      <c r="I238" s="644"/>
      <c r="J238" s="644"/>
      <c r="K238" s="644"/>
      <c r="L238" s="644"/>
      <c r="M238" s="644"/>
      <c r="N238" s="848"/>
      <c r="O238" s="848"/>
      <c r="P238" s="848"/>
      <c r="Q238" s="975"/>
      <c r="R238" s="848"/>
      <c r="S238" s="644"/>
      <c r="T238" s="644"/>
      <c r="U238" s="848"/>
      <c r="V238" s="848"/>
      <c r="W238" s="848"/>
      <c r="X238" s="644"/>
      <c r="Y238" s="848"/>
      <c r="Z238" s="644"/>
      <c r="AA238" s="644"/>
      <c r="AB238" s="644"/>
      <c r="AC238" s="644"/>
      <c r="AD238" s="848"/>
      <c r="AE238" s="848"/>
      <c r="AF238" s="848"/>
      <c r="AG238" s="585"/>
      <c r="AH238" s="178"/>
      <c r="AI238" s="179"/>
    </row>
    <row r="239" spans="1:35" ht="21" customHeight="1" x14ac:dyDescent="0.2">
      <c r="A239" s="1155">
        <v>3701</v>
      </c>
      <c r="B239" s="933" t="s">
        <v>296</v>
      </c>
      <c r="C239" s="644"/>
      <c r="D239" s="644"/>
      <c r="E239" s="4308" t="s">
        <v>32</v>
      </c>
      <c r="F239" s="4308" t="s">
        <v>32</v>
      </c>
      <c r="G239" s="4308" t="s">
        <v>32</v>
      </c>
      <c r="H239" s="644"/>
      <c r="I239" s="644"/>
      <c r="J239" s="644"/>
      <c r="K239" s="644"/>
      <c r="L239" s="644"/>
      <c r="M239" s="644" t="s">
        <v>32</v>
      </c>
      <c r="N239" s="848" t="s">
        <v>32</v>
      </c>
      <c r="O239" s="848" t="s">
        <v>32</v>
      </c>
      <c r="P239" s="848" t="s">
        <v>32</v>
      </c>
      <c r="Q239" s="975"/>
      <c r="R239" s="848"/>
      <c r="S239" s="644" t="s">
        <v>32</v>
      </c>
      <c r="T239" s="644" t="s">
        <v>32</v>
      </c>
      <c r="U239" s="848" t="s">
        <v>32</v>
      </c>
      <c r="V239" s="848" t="s">
        <v>32</v>
      </c>
      <c r="W239" s="4308" t="s">
        <v>32</v>
      </c>
      <c r="X239" s="848"/>
      <c r="Y239" s="848"/>
      <c r="Z239" s="644" t="s">
        <v>32</v>
      </c>
      <c r="AA239" s="644" t="s">
        <v>32</v>
      </c>
      <c r="AB239" s="644" t="s">
        <v>32</v>
      </c>
      <c r="AC239" s="644" t="s">
        <v>32</v>
      </c>
      <c r="AD239" s="848" t="s">
        <v>32</v>
      </c>
      <c r="AE239" s="848"/>
      <c r="AF239" s="848"/>
      <c r="AG239" s="585"/>
      <c r="AH239" s="178"/>
      <c r="AI239" s="179"/>
    </row>
    <row r="240" spans="1:35" ht="21" customHeight="1" x14ac:dyDescent="0.2">
      <c r="A240" s="1155">
        <v>3701</v>
      </c>
      <c r="B240" s="933" t="s">
        <v>297</v>
      </c>
      <c r="C240" s="644"/>
      <c r="D240" s="644"/>
      <c r="E240" s="644" t="s">
        <v>32</v>
      </c>
      <c r="F240" s="644" t="s">
        <v>32</v>
      </c>
      <c r="G240" s="644" t="s">
        <v>32</v>
      </c>
      <c r="H240" s="644"/>
      <c r="I240" s="644"/>
      <c r="J240" s="644"/>
      <c r="K240" s="644"/>
      <c r="L240" s="644"/>
      <c r="M240" s="644" t="s">
        <v>32</v>
      </c>
      <c r="N240" s="848" t="s">
        <v>32</v>
      </c>
      <c r="O240" s="848" t="s">
        <v>32</v>
      </c>
      <c r="P240" s="848" t="s">
        <v>32</v>
      </c>
      <c r="Q240" s="975"/>
      <c r="R240" s="848"/>
      <c r="S240" s="644" t="s">
        <v>32</v>
      </c>
      <c r="T240" s="644" t="s">
        <v>32</v>
      </c>
      <c r="U240" s="848" t="s">
        <v>32</v>
      </c>
      <c r="V240" s="848" t="s">
        <v>32</v>
      </c>
      <c r="W240" s="848" t="s">
        <v>32</v>
      </c>
      <c r="X240" s="644"/>
      <c r="Y240" s="980"/>
      <c r="Z240" s="644" t="s">
        <v>32</v>
      </c>
      <c r="AA240" s="644" t="s">
        <v>32</v>
      </c>
      <c r="AB240" s="644" t="s">
        <v>32</v>
      </c>
      <c r="AC240" s="644" t="s">
        <v>32</v>
      </c>
      <c r="AD240" s="980" t="s">
        <v>32</v>
      </c>
      <c r="AE240" s="975"/>
      <c r="AF240" s="975"/>
      <c r="AG240" s="585"/>
      <c r="AH240" s="178"/>
      <c r="AI240" s="179"/>
    </row>
    <row r="241" spans="1:35" ht="21" customHeight="1" x14ac:dyDescent="0.2">
      <c r="A241" s="1155">
        <v>3701</v>
      </c>
      <c r="B241" s="933" t="s">
        <v>298</v>
      </c>
      <c r="C241" s="644"/>
      <c r="D241" s="644"/>
      <c r="E241" s="644" t="s">
        <v>32</v>
      </c>
      <c r="F241" s="644" t="s">
        <v>32</v>
      </c>
      <c r="G241" s="4308" t="s">
        <v>32</v>
      </c>
      <c r="H241" s="644"/>
      <c r="I241" s="644"/>
      <c r="J241" s="644"/>
      <c r="K241" s="644"/>
      <c r="L241" s="644"/>
      <c r="M241" s="644" t="s">
        <v>32</v>
      </c>
      <c r="N241" s="848" t="s">
        <v>32</v>
      </c>
      <c r="O241" s="848" t="s">
        <v>32</v>
      </c>
      <c r="P241" s="848" t="s">
        <v>32</v>
      </c>
      <c r="Q241" s="975"/>
      <c r="R241" s="848"/>
      <c r="S241" s="644" t="s">
        <v>32</v>
      </c>
      <c r="T241" s="644" t="s">
        <v>32</v>
      </c>
      <c r="U241" s="848" t="s">
        <v>32</v>
      </c>
      <c r="V241" s="4308" t="s">
        <v>32</v>
      </c>
      <c r="W241" s="4308" t="s">
        <v>32</v>
      </c>
      <c r="X241" s="644"/>
      <c r="Y241" s="980"/>
      <c r="Z241" s="4308" t="s">
        <v>32</v>
      </c>
      <c r="AA241" s="644" t="s">
        <v>32</v>
      </c>
      <c r="AB241" s="644" t="s">
        <v>32</v>
      </c>
      <c r="AC241" s="644" t="s">
        <v>32</v>
      </c>
      <c r="AD241" s="980" t="s">
        <v>32</v>
      </c>
      <c r="AE241" s="975"/>
      <c r="AF241" s="975"/>
      <c r="AG241" s="585"/>
      <c r="AH241" s="178"/>
      <c r="AI241" s="179"/>
    </row>
    <row r="242" spans="1:35" ht="22.35" customHeight="1" x14ac:dyDescent="0.2">
      <c r="A242" s="1155">
        <v>3701</v>
      </c>
      <c r="B242" s="1157" t="s">
        <v>299</v>
      </c>
      <c r="C242" s="644"/>
      <c r="D242" s="644"/>
      <c r="E242" s="644"/>
      <c r="F242" s="644"/>
      <c r="G242" s="644"/>
      <c r="H242" s="848"/>
      <c r="I242" s="848"/>
      <c r="J242" s="644"/>
      <c r="K242" s="644"/>
      <c r="L242" s="644"/>
      <c r="M242" s="644"/>
      <c r="N242" s="848"/>
      <c r="O242" s="848"/>
      <c r="P242" s="848"/>
      <c r="Q242" s="975"/>
      <c r="R242" s="848"/>
      <c r="S242" s="644"/>
      <c r="T242" s="644"/>
      <c r="U242" s="848"/>
      <c r="V242" s="848"/>
      <c r="W242" s="848"/>
      <c r="X242" s="644"/>
      <c r="Y242" s="848"/>
      <c r="Z242" s="644"/>
      <c r="AA242" s="644"/>
      <c r="AB242" s="644"/>
      <c r="AC242" s="644"/>
      <c r="AD242" s="848"/>
      <c r="AE242" s="848"/>
      <c r="AF242" s="848"/>
      <c r="AG242" s="585"/>
      <c r="AH242" s="178"/>
      <c r="AI242" s="179"/>
    </row>
    <row r="243" spans="1:35" ht="22.35" customHeight="1" x14ac:dyDescent="0.2">
      <c r="A243" s="1155">
        <v>3701</v>
      </c>
      <c r="B243" s="933" t="s">
        <v>300</v>
      </c>
      <c r="C243" s="644"/>
      <c r="D243" s="644"/>
      <c r="E243" s="644" t="s">
        <v>32</v>
      </c>
      <c r="F243" s="644" t="s">
        <v>32</v>
      </c>
      <c r="G243" s="644" t="s">
        <v>32</v>
      </c>
      <c r="H243" s="644"/>
      <c r="I243" s="644"/>
      <c r="J243" s="644"/>
      <c r="K243" s="644"/>
      <c r="L243" s="644"/>
      <c r="M243" s="644" t="s">
        <v>32</v>
      </c>
      <c r="N243" s="848" t="s">
        <v>32</v>
      </c>
      <c r="O243" s="848" t="s">
        <v>32</v>
      </c>
      <c r="P243" s="848" t="s">
        <v>32</v>
      </c>
      <c r="Q243" s="975"/>
      <c r="R243" s="848"/>
      <c r="S243" s="644" t="s">
        <v>32</v>
      </c>
      <c r="T243" s="4307" t="s">
        <v>32</v>
      </c>
      <c r="U243" s="4307" t="s">
        <v>32</v>
      </c>
      <c r="V243" s="848" t="s">
        <v>32</v>
      </c>
      <c r="W243" s="848" t="s">
        <v>32</v>
      </c>
      <c r="X243" s="644"/>
      <c r="Y243" s="848"/>
      <c r="Z243" s="644" t="s">
        <v>32</v>
      </c>
      <c r="AA243" s="644" t="s">
        <v>32</v>
      </c>
      <c r="AB243" s="644" t="s">
        <v>32</v>
      </c>
      <c r="AC243" s="644" t="s">
        <v>32</v>
      </c>
      <c r="AD243" s="848" t="s">
        <v>32</v>
      </c>
      <c r="AE243" s="848"/>
      <c r="AF243" s="848"/>
      <c r="AG243" s="585"/>
      <c r="AH243" s="178"/>
      <c r="AI243" s="179"/>
    </row>
    <row r="244" spans="1:35" ht="22.35" customHeight="1" x14ac:dyDescent="0.2">
      <c r="A244" s="1155">
        <v>3701</v>
      </c>
      <c r="B244" s="933" t="s">
        <v>301</v>
      </c>
      <c r="C244" s="644"/>
      <c r="D244" s="644"/>
      <c r="E244" s="1158" t="s">
        <v>32</v>
      </c>
      <c r="F244" s="1158" t="s">
        <v>32</v>
      </c>
      <c r="G244" s="1158" t="s">
        <v>32</v>
      </c>
      <c r="H244" s="975"/>
      <c r="I244" s="644"/>
      <c r="J244" s="644"/>
      <c r="K244" s="644"/>
      <c r="L244" s="644"/>
      <c r="M244" s="4255" t="s">
        <v>32</v>
      </c>
      <c r="N244" s="4255" t="s">
        <v>32</v>
      </c>
      <c r="O244" s="4255" t="s">
        <v>32</v>
      </c>
      <c r="P244" s="4255" t="s">
        <v>32</v>
      </c>
      <c r="Q244" s="4255"/>
      <c r="R244" s="4255"/>
      <c r="S244" s="964" t="s">
        <v>32</v>
      </c>
      <c r="T244" s="4255" t="s">
        <v>32</v>
      </c>
      <c r="U244" s="4255" t="s">
        <v>32</v>
      </c>
      <c r="V244" s="4255" t="s">
        <v>32</v>
      </c>
      <c r="W244" s="4255" t="s">
        <v>51</v>
      </c>
      <c r="X244" s="4162"/>
      <c r="Y244" s="848"/>
      <c r="Z244" s="644" t="s">
        <v>32</v>
      </c>
      <c r="AA244" s="644" t="s">
        <v>32</v>
      </c>
      <c r="AB244" s="644" t="s">
        <v>32</v>
      </c>
      <c r="AC244" s="1159" t="s">
        <v>32</v>
      </c>
      <c r="AD244" s="1159" t="s">
        <v>32</v>
      </c>
      <c r="AE244" s="1159"/>
      <c r="AF244" s="1159"/>
      <c r="AG244" s="585"/>
      <c r="AH244" s="178"/>
      <c r="AI244" s="179"/>
    </row>
    <row r="245" spans="1:35" ht="22.35" customHeight="1" x14ac:dyDescent="0.2">
      <c r="A245" s="1160">
        <v>3701</v>
      </c>
      <c r="B245" s="933" t="s">
        <v>302</v>
      </c>
      <c r="C245" s="644"/>
      <c r="D245" s="644"/>
      <c r="E245" s="644" t="s">
        <v>32</v>
      </c>
      <c r="F245" s="644" t="s">
        <v>32</v>
      </c>
      <c r="G245" s="4308" t="s">
        <v>32</v>
      </c>
      <c r="H245" s="644"/>
      <c r="I245" s="644"/>
      <c r="J245" s="644"/>
      <c r="K245" s="644"/>
      <c r="L245" s="644"/>
      <c r="M245" s="644" t="s">
        <v>32</v>
      </c>
      <c r="N245" s="848" t="s">
        <v>32</v>
      </c>
      <c r="O245" s="848" t="s">
        <v>32</v>
      </c>
      <c r="P245" s="1158" t="s">
        <v>32</v>
      </c>
      <c r="Q245" s="975"/>
      <c r="R245" s="848"/>
      <c r="S245" s="644" t="s">
        <v>32</v>
      </c>
      <c r="T245" s="644" t="s">
        <v>32</v>
      </c>
      <c r="U245" s="848" t="s">
        <v>32</v>
      </c>
      <c r="V245" s="848" t="s">
        <v>32</v>
      </c>
      <c r="W245" s="4308" t="s">
        <v>32</v>
      </c>
      <c r="X245" s="644"/>
      <c r="Y245" s="848"/>
      <c r="Z245" s="4307" t="s">
        <v>32</v>
      </c>
      <c r="AA245" s="4307" t="s">
        <v>32</v>
      </c>
      <c r="AB245" s="4307" t="s">
        <v>32</v>
      </c>
      <c r="AC245" s="4307" t="s">
        <v>32</v>
      </c>
      <c r="AD245" s="4307" t="s">
        <v>32</v>
      </c>
      <c r="AE245" s="848"/>
      <c r="AF245" s="848"/>
      <c r="AG245" s="585"/>
      <c r="AH245" s="178"/>
      <c r="AI245" s="179"/>
    </row>
    <row r="246" spans="1:35" ht="22.35" customHeight="1" x14ac:dyDescent="0.2">
      <c r="A246" s="1155">
        <v>3701</v>
      </c>
      <c r="B246" s="110" t="s">
        <v>509</v>
      </c>
      <c r="C246" s="644"/>
      <c r="D246" s="644"/>
      <c r="E246" s="644"/>
      <c r="F246" s="644"/>
      <c r="G246" s="644"/>
      <c r="H246" s="644"/>
      <c r="I246" s="644"/>
      <c r="J246" s="644"/>
      <c r="K246" s="644"/>
      <c r="L246" s="644"/>
      <c r="M246" s="644" t="s">
        <v>32</v>
      </c>
      <c r="N246" s="848" t="s">
        <v>32</v>
      </c>
      <c r="O246" s="848" t="s">
        <v>32</v>
      </c>
      <c r="P246" s="848" t="s">
        <v>32</v>
      </c>
      <c r="Q246" s="975"/>
      <c r="R246" s="848"/>
      <c r="S246" s="644" t="s">
        <v>32</v>
      </c>
      <c r="T246" s="644" t="s">
        <v>32</v>
      </c>
      <c r="U246" s="848" t="s">
        <v>32</v>
      </c>
      <c r="V246" s="848" t="s">
        <v>32</v>
      </c>
      <c r="W246" s="848" t="s">
        <v>32</v>
      </c>
      <c r="X246" s="644"/>
      <c r="Y246" s="848"/>
      <c r="Z246" s="644" t="s">
        <v>32</v>
      </c>
      <c r="AA246" s="644" t="s">
        <v>32</v>
      </c>
      <c r="AB246" s="644" t="s">
        <v>32</v>
      </c>
      <c r="AC246" s="644" t="s">
        <v>32</v>
      </c>
      <c r="AD246" s="848" t="s">
        <v>32</v>
      </c>
      <c r="AE246" s="848"/>
      <c r="AF246" s="848"/>
      <c r="AG246" s="586"/>
      <c r="AH246" s="178"/>
      <c r="AI246" s="179"/>
    </row>
    <row r="247" spans="1:35" ht="22.35" customHeight="1" x14ac:dyDescent="0.2">
      <c r="A247" s="1155">
        <v>3701</v>
      </c>
      <c r="B247" s="933" t="s">
        <v>304</v>
      </c>
      <c r="C247" s="644"/>
      <c r="D247" s="644"/>
      <c r="E247" s="4308" t="s">
        <v>32</v>
      </c>
      <c r="F247" s="859" t="s">
        <v>32</v>
      </c>
      <c r="G247" s="859" t="s">
        <v>32</v>
      </c>
      <c r="H247" s="644"/>
      <c r="I247" s="644"/>
      <c r="J247" s="644"/>
      <c r="K247" s="644"/>
      <c r="L247" s="644"/>
      <c r="M247" s="644" t="s">
        <v>32</v>
      </c>
      <c r="N247" s="848" t="s">
        <v>32</v>
      </c>
      <c r="O247" s="848" t="s">
        <v>32</v>
      </c>
      <c r="P247" s="848" t="s">
        <v>32</v>
      </c>
      <c r="Q247" s="975"/>
      <c r="R247" s="848"/>
      <c r="S247" s="644" t="s">
        <v>32</v>
      </c>
      <c r="T247" s="644" t="s">
        <v>32</v>
      </c>
      <c r="U247" s="848" t="s">
        <v>32</v>
      </c>
      <c r="V247" s="848" t="s">
        <v>32</v>
      </c>
      <c r="W247" s="848" t="s">
        <v>32</v>
      </c>
      <c r="X247" s="644"/>
      <c r="Y247" s="848"/>
      <c r="Z247" s="644" t="s">
        <v>32</v>
      </c>
      <c r="AA247" s="644" t="s">
        <v>32</v>
      </c>
      <c r="AB247" s="644" t="s">
        <v>32</v>
      </c>
      <c r="AC247" s="644" t="s">
        <v>32</v>
      </c>
      <c r="AD247" s="848" t="s">
        <v>32</v>
      </c>
      <c r="AE247" s="848"/>
      <c r="AF247" s="848"/>
      <c r="AG247" s="587"/>
      <c r="AH247" s="178"/>
      <c r="AI247" s="179"/>
    </row>
    <row r="248" spans="1:35" ht="22.35" customHeight="1" x14ac:dyDescent="0.2">
      <c r="A248" s="1155"/>
      <c r="B248" s="933" t="s">
        <v>510</v>
      </c>
      <c r="C248" s="644"/>
      <c r="D248" s="644"/>
      <c r="E248" s="1163" t="s">
        <v>32</v>
      </c>
      <c r="F248" s="1163" t="s">
        <v>32</v>
      </c>
      <c r="G248" s="1163" t="s">
        <v>51</v>
      </c>
      <c r="H248" s="644"/>
      <c r="I248" s="644"/>
      <c r="J248" s="644"/>
      <c r="K248" s="644"/>
      <c r="L248" s="644"/>
      <c r="M248" s="644" t="s">
        <v>32</v>
      </c>
      <c r="N248" s="848" t="s">
        <v>32</v>
      </c>
      <c r="O248" s="848" t="s">
        <v>32</v>
      </c>
      <c r="P248" s="848" t="s">
        <v>32</v>
      </c>
      <c r="Q248" s="975"/>
      <c r="R248" s="848"/>
      <c r="S248" s="644" t="s">
        <v>32</v>
      </c>
      <c r="T248" s="644" t="s">
        <v>32</v>
      </c>
      <c r="U248" s="848" t="s">
        <v>32</v>
      </c>
      <c r="V248" s="848" t="s">
        <v>32</v>
      </c>
      <c r="W248" s="848" t="s">
        <v>32</v>
      </c>
      <c r="X248" s="848"/>
      <c r="Y248" s="848"/>
      <c r="Z248" s="644" t="s">
        <v>32</v>
      </c>
      <c r="AA248" s="644" t="s">
        <v>32</v>
      </c>
      <c r="AB248" s="644" t="s">
        <v>32</v>
      </c>
      <c r="AC248" s="848" t="s">
        <v>32</v>
      </c>
      <c r="AD248" s="848" t="s">
        <v>32</v>
      </c>
      <c r="AE248" s="848"/>
      <c r="AF248" s="848"/>
      <c r="AG248" s="585"/>
      <c r="AH248" s="178"/>
      <c r="AI248" s="179"/>
    </row>
    <row r="249" spans="1:35" ht="22.35" customHeight="1" x14ac:dyDescent="0.2">
      <c r="A249" s="1155"/>
      <c r="B249" s="933" t="s">
        <v>306</v>
      </c>
      <c r="C249" s="644"/>
      <c r="D249" s="644"/>
      <c r="E249" s="644" t="s">
        <v>32</v>
      </c>
      <c r="F249" s="644" t="s">
        <v>32</v>
      </c>
      <c r="G249" s="644" t="s">
        <v>32</v>
      </c>
      <c r="H249" s="644"/>
      <c r="I249" s="644"/>
      <c r="J249" s="644"/>
      <c r="K249" s="644"/>
      <c r="L249" s="644"/>
      <c r="M249" s="4307" t="s">
        <v>32</v>
      </c>
      <c r="N249" s="4307" t="s">
        <v>32</v>
      </c>
      <c r="O249" s="4307" t="s">
        <v>32</v>
      </c>
      <c r="P249" s="4307" t="s">
        <v>32</v>
      </c>
      <c r="Q249" s="4307"/>
      <c r="R249" s="4307"/>
      <c r="S249" s="4307" t="s">
        <v>32</v>
      </c>
      <c r="T249" s="644" t="s">
        <v>32</v>
      </c>
      <c r="U249" s="848" t="s">
        <v>32</v>
      </c>
      <c r="V249" s="848" t="s">
        <v>32</v>
      </c>
      <c r="W249" s="848" t="s">
        <v>32</v>
      </c>
      <c r="X249" s="848"/>
      <c r="Y249" s="848"/>
      <c r="Z249" s="644" t="s">
        <v>32</v>
      </c>
      <c r="AA249" s="644" t="s">
        <v>32</v>
      </c>
      <c r="AB249" s="644" t="s">
        <v>32</v>
      </c>
      <c r="AC249" s="848" t="s">
        <v>32</v>
      </c>
      <c r="AD249" s="848" t="s">
        <v>32</v>
      </c>
      <c r="AE249" s="980"/>
      <c r="AF249" s="644"/>
      <c r="AG249" s="585"/>
      <c r="AH249" s="178"/>
      <c r="AI249" s="179"/>
    </row>
    <row r="250" spans="1:35" ht="22.35" customHeight="1" x14ac:dyDescent="0.2">
      <c r="A250" s="1155"/>
      <c r="B250" s="1157" t="s">
        <v>307</v>
      </c>
      <c r="C250" s="644"/>
      <c r="D250" s="644"/>
      <c r="E250" s="644"/>
      <c r="F250" s="644"/>
      <c r="G250" s="644"/>
      <c r="H250" s="644"/>
      <c r="I250" s="644"/>
      <c r="J250" s="644"/>
      <c r="K250" s="644"/>
      <c r="L250" s="644"/>
      <c r="M250" s="644"/>
      <c r="N250" s="848"/>
      <c r="O250" s="848"/>
      <c r="P250" s="848"/>
      <c r="Q250" s="975"/>
      <c r="R250" s="848"/>
      <c r="S250" s="644"/>
      <c r="T250" s="644"/>
      <c r="U250" s="848"/>
      <c r="V250" s="848"/>
      <c r="W250" s="848"/>
      <c r="X250" s="644"/>
      <c r="Y250" s="848"/>
      <c r="Z250" s="644"/>
      <c r="AA250" s="644"/>
      <c r="AB250" s="644"/>
      <c r="AC250" s="644"/>
      <c r="AD250" s="644"/>
      <c r="AE250" s="644"/>
      <c r="AF250" s="644"/>
      <c r="AG250" s="585"/>
      <c r="AH250" s="178"/>
      <c r="AI250" s="179"/>
    </row>
    <row r="251" spans="1:35" ht="22.35" customHeight="1" x14ac:dyDescent="0.2">
      <c r="A251" s="1155"/>
      <c r="B251" s="933" t="s">
        <v>308</v>
      </c>
      <c r="C251" s="644"/>
      <c r="D251" s="644"/>
      <c r="E251" s="323" t="s">
        <v>32</v>
      </c>
      <c r="F251" s="4307" t="s">
        <v>32</v>
      </c>
      <c r="G251" s="4307" t="s">
        <v>32</v>
      </c>
      <c r="H251" s="644"/>
      <c r="I251" s="644"/>
      <c r="J251" s="644"/>
      <c r="K251" s="644"/>
      <c r="L251" s="644"/>
      <c r="M251" s="4255" t="s">
        <v>32</v>
      </c>
      <c r="N251" s="4255" t="s">
        <v>32</v>
      </c>
      <c r="O251" s="4255" t="s">
        <v>32</v>
      </c>
      <c r="P251" s="4255" t="s">
        <v>51</v>
      </c>
      <c r="Q251" s="4162"/>
      <c r="R251" s="4162"/>
      <c r="S251" s="4162" t="s">
        <v>32</v>
      </c>
      <c r="T251" s="4162" t="s">
        <v>32</v>
      </c>
      <c r="U251" s="4162" t="s">
        <v>32</v>
      </c>
      <c r="V251" s="848" t="s">
        <v>32</v>
      </c>
      <c r="W251" s="848" t="s">
        <v>32</v>
      </c>
      <c r="X251" s="644"/>
      <c r="Y251" s="848"/>
      <c r="Z251" s="1364" t="s">
        <v>32</v>
      </c>
      <c r="AA251" s="644" t="s">
        <v>32</v>
      </c>
      <c r="AB251" s="644" t="s">
        <v>32</v>
      </c>
      <c r="AC251" s="644" t="s">
        <v>32</v>
      </c>
      <c r="AD251" s="644" t="s">
        <v>32</v>
      </c>
      <c r="AE251" s="644"/>
      <c r="AF251" s="644"/>
      <c r="AG251" s="585"/>
      <c r="AH251" s="178"/>
      <c r="AI251" s="179"/>
    </row>
    <row r="252" spans="1:35" ht="22.35" customHeight="1" x14ac:dyDescent="0.2">
      <c r="A252" s="1155"/>
      <c r="B252" s="933" t="s">
        <v>309</v>
      </c>
      <c r="C252" s="644"/>
      <c r="D252" s="644"/>
      <c r="E252" s="859" t="s">
        <v>32</v>
      </c>
      <c r="F252" s="859" t="s">
        <v>32</v>
      </c>
      <c r="G252" s="859" t="s">
        <v>32</v>
      </c>
      <c r="H252" s="644"/>
      <c r="I252" s="644"/>
      <c r="J252" s="644"/>
      <c r="K252" s="644"/>
      <c r="L252" s="644"/>
      <c r="M252" s="644" t="s">
        <v>32</v>
      </c>
      <c r="N252" s="848" t="s">
        <v>32</v>
      </c>
      <c r="O252" s="848" t="s">
        <v>32</v>
      </c>
      <c r="P252" s="848" t="s">
        <v>32</v>
      </c>
      <c r="Q252" s="975"/>
      <c r="R252" s="848"/>
      <c r="S252" s="4307" t="s">
        <v>32</v>
      </c>
      <c r="T252" s="4307" t="s">
        <v>32</v>
      </c>
      <c r="U252" s="4307" t="s">
        <v>32</v>
      </c>
      <c r="V252" s="4307" t="s">
        <v>32</v>
      </c>
      <c r="W252" s="4307" t="s">
        <v>32</v>
      </c>
      <c r="X252" s="644"/>
      <c r="Y252" s="848"/>
      <c r="Z252" s="859" t="s">
        <v>32</v>
      </c>
      <c r="AA252" s="859" t="s">
        <v>32</v>
      </c>
      <c r="AB252" s="859" t="s">
        <v>32</v>
      </c>
      <c r="AC252" s="859" t="s">
        <v>32</v>
      </c>
      <c r="AD252" s="859" t="s">
        <v>32</v>
      </c>
      <c r="AE252" s="644"/>
      <c r="AF252" s="848"/>
      <c r="AG252" s="586"/>
      <c r="AH252" s="178"/>
      <c r="AI252" s="179"/>
    </row>
    <row r="253" spans="1:35" ht="22.35" customHeight="1" x14ac:dyDescent="0.2">
      <c r="A253" s="1155"/>
      <c r="B253" s="933"/>
      <c r="C253" s="644"/>
      <c r="D253" s="644"/>
      <c r="E253" s="644" t="s">
        <v>32</v>
      </c>
      <c r="F253" s="644" t="s">
        <v>32</v>
      </c>
      <c r="G253" s="644" t="s">
        <v>32</v>
      </c>
      <c r="H253" s="644"/>
      <c r="I253" s="644"/>
      <c r="J253" s="644"/>
      <c r="K253" s="644"/>
      <c r="L253" s="644"/>
      <c r="M253" s="644" t="s">
        <v>32</v>
      </c>
      <c r="N253" s="848" t="s">
        <v>32</v>
      </c>
      <c r="O253" s="848" t="s">
        <v>32</v>
      </c>
      <c r="P253" s="848" t="s">
        <v>32</v>
      </c>
      <c r="Q253" s="975"/>
      <c r="R253" s="848"/>
      <c r="S253" s="644" t="s">
        <v>32</v>
      </c>
      <c r="T253" s="644" t="s">
        <v>32</v>
      </c>
      <c r="U253" s="848" t="s">
        <v>32</v>
      </c>
      <c r="V253" s="848" t="s">
        <v>32</v>
      </c>
      <c r="W253" s="848" t="s">
        <v>32</v>
      </c>
      <c r="X253" s="848"/>
      <c r="Y253" s="848"/>
      <c r="Z253" s="644" t="s">
        <v>32</v>
      </c>
      <c r="AA253" s="644" t="s">
        <v>32</v>
      </c>
      <c r="AB253" s="644" t="s">
        <v>32</v>
      </c>
      <c r="AC253" s="848" t="s">
        <v>32</v>
      </c>
      <c r="AD253" s="848" t="s">
        <v>32</v>
      </c>
      <c r="AE253" s="848"/>
      <c r="AF253" s="848"/>
      <c r="AG253" s="586"/>
      <c r="AH253" s="175"/>
      <c r="AI253" s="107"/>
    </row>
    <row r="254" spans="1:35" ht="22.35" customHeight="1" x14ac:dyDescent="0.2">
      <c r="A254" s="1155"/>
      <c r="B254" s="933" t="s">
        <v>311</v>
      </c>
      <c r="C254" s="644"/>
      <c r="D254" s="644"/>
      <c r="E254" s="644" t="s">
        <v>32</v>
      </c>
      <c r="F254" s="644" t="s">
        <v>32</v>
      </c>
      <c r="G254" s="644" t="s">
        <v>32</v>
      </c>
      <c r="H254" s="644"/>
      <c r="I254" s="644"/>
      <c r="J254" s="644"/>
      <c r="K254" s="644"/>
      <c r="L254" s="644"/>
      <c r="M254" s="644" t="s">
        <v>32</v>
      </c>
      <c r="N254" s="848" t="s">
        <v>32</v>
      </c>
      <c r="O254" s="848" t="s">
        <v>32</v>
      </c>
      <c r="P254" s="848" t="s">
        <v>32</v>
      </c>
      <c r="Q254" s="975"/>
      <c r="R254" s="848"/>
      <c r="S254" s="644" t="s">
        <v>32</v>
      </c>
      <c r="T254" s="644" t="s">
        <v>32</v>
      </c>
      <c r="U254" s="4255" t="s">
        <v>32</v>
      </c>
      <c r="V254" s="4255" t="s">
        <v>32</v>
      </c>
      <c r="W254" s="4255" t="s">
        <v>32</v>
      </c>
      <c r="X254" s="4255"/>
      <c r="Y254" s="848"/>
      <c r="Z254" s="644" t="s">
        <v>32</v>
      </c>
      <c r="AA254" s="644" t="s">
        <v>32</v>
      </c>
      <c r="AB254" s="644" t="s">
        <v>32</v>
      </c>
      <c r="AC254" s="848" t="s">
        <v>32</v>
      </c>
      <c r="AD254" s="848" t="s">
        <v>32</v>
      </c>
      <c r="AE254" s="848"/>
      <c r="AF254" s="848"/>
      <c r="AG254" s="586"/>
      <c r="AH254" s="175"/>
      <c r="AI254" s="107"/>
    </row>
    <row r="255" spans="1:35" ht="22.35" customHeight="1" x14ac:dyDescent="0.2">
      <c r="A255" s="4162"/>
      <c r="B255" s="4479"/>
      <c r="C255" s="644"/>
      <c r="D255" s="644"/>
      <c r="E255" s="644"/>
      <c r="F255" s="644"/>
      <c r="G255" s="644"/>
      <c r="H255" s="644"/>
      <c r="I255" s="644"/>
      <c r="J255" s="644"/>
      <c r="K255" s="644"/>
      <c r="L255" s="644"/>
      <c r="M255" s="644"/>
      <c r="N255" s="644"/>
      <c r="O255" s="644"/>
      <c r="P255" s="644"/>
      <c r="Q255" s="644"/>
      <c r="R255" s="644"/>
      <c r="S255" s="644"/>
      <c r="T255" s="644"/>
      <c r="U255" s="644"/>
      <c r="V255" s="644"/>
      <c r="W255" s="644"/>
      <c r="X255" s="644"/>
      <c r="Y255" s="644"/>
      <c r="Z255" s="644"/>
      <c r="AA255" s="644"/>
      <c r="AB255" s="644"/>
      <c r="AC255" s="644"/>
      <c r="AD255" s="644"/>
      <c r="AE255" s="644"/>
      <c r="AF255" s="644"/>
      <c r="AG255" s="585"/>
      <c r="AH255" s="175"/>
      <c r="AI255" s="107"/>
    </row>
    <row r="256" spans="1:35" ht="22.35" customHeight="1" x14ac:dyDescent="0.2">
      <c r="A256" s="4162"/>
      <c r="B256" s="933"/>
      <c r="C256" s="644"/>
      <c r="D256" s="644"/>
      <c r="E256" s="644"/>
      <c r="F256" s="644"/>
      <c r="G256" s="644"/>
      <c r="H256" s="644"/>
      <c r="I256" s="644"/>
      <c r="J256" s="644"/>
      <c r="K256" s="644"/>
      <c r="L256" s="644"/>
      <c r="M256" s="644"/>
      <c r="N256" s="848"/>
      <c r="O256" s="848"/>
      <c r="P256" s="848"/>
      <c r="Q256" s="975"/>
      <c r="R256" s="848"/>
      <c r="S256" s="644"/>
      <c r="T256" s="644"/>
      <c r="U256" s="848"/>
      <c r="V256" s="848"/>
      <c r="W256" s="848"/>
      <c r="X256" s="644"/>
      <c r="Y256" s="848"/>
      <c r="Z256" s="644"/>
      <c r="AA256" s="644"/>
      <c r="AB256" s="644"/>
      <c r="AC256" s="644"/>
      <c r="AD256" s="644"/>
      <c r="AE256" s="644"/>
      <c r="AF256" s="848"/>
      <c r="AG256" s="586"/>
      <c r="AH256" s="175"/>
      <c r="AI256" s="107"/>
    </row>
    <row r="257" spans="1:35" ht="22.35" customHeight="1" x14ac:dyDescent="0.2">
      <c r="A257" s="4162"/>
      <c r="B257" s="4162"/>
      <c r="C257" s="644"/>
      <c r="D257" s="644"/>
      <c r="E257" s="644"/>
      <c r="F257" s="644"/>
      <c r="G257" s="644"/>
      <c r="H257" s="644"/>
      <c r="I257" s="644"/>
      <c r="J257" s="644"/>
      <c r="K257" s="644"/>
      <c r="L257" s="644"/>
      <c r="M257" s="644"/>
      <c r="N257" s="644"/>
      <c r="O257" s="644"/>
      <c r="P257" s="644"/>
      <c r="Q257" s="644"/>
      <c r="R257" s="644"/>
      <c r="S257" s="644"/>
      <c r="T257" s="644"/>
      <c r="U257" s="644"/>
      <c r="V257" s="644"/>
      <c r="W257" s="644"/>
      <c r="X257" s="644"/>
      <c r="Y257" s="644"/>
      <c r="Z257" s="644"/>
      <c r="AA257" s="644"/>
      <c r="AB257" s="644"/>
      <c r="AC257" s="644"/>
      <c r="AD257" s="644"/>
      <c r="AE257" s="644"/>
      <c r="AF257" s="644"/>
      <c r="AG257" s="585"/>
      <c r="AH257" s="175"/>
      <c r="AI257" s="107"/>
    </row>
    <row r="258" spans="1:35" ht="22.35" customHeight="1" x14ac:dyDescent="0.2">
      <c r="A258" s="4162"/>
      <c r="B258" s="4162"/>
      <c r="C258" s="644"/>
      <c r="D258" s="644"/>
      <c r="E258" s="644"/>
      <c r="F258" s="644"/>
      <c r="G258" s="644"/>
      <c r="H258" s="1167"/>
      <c r="I258" s="644"/>
      <c r="J258" s="644"/>
      <c r="K258" s="644"/>
      <c r="L258" s="644"/>
      <c r="M258" s="644"/>
      <c r="N258" s="644"/>
      <c r="O258" s="644"/>
      <c r="P258" s="644"/>
      <c r="Q258" s="644"/>
      <c r="R258" s="644"/>
      <c r="S258" s="644"/>
      <c r="T258" s="644"/>
      <c r="U258" s="644"/>
      <c r="V258" s="644"/>
      <c r="W258" s="644"/>
      <c r="X258" s="644"/>
      <c r="Y258" s="644"/>
      <c r="Z258" s="644"/>
      <c r="AA258" s="644"/>
      <c r="AB258" s="644"/>
      <c r="AC258" s="644"/>
      <c r="AD258" s="644"/>
      <c r="AE258" s="644"/>
      <c r="AF258" s="644"/>
      <c r="AG258" s="588"/>
      <c r="AH258" s="175"/>
      <c r="AI258" s="107"/>
    </row>
    <row r="259" spans="1:35" ht="22.35" customHeight="1" x14ac:dyDescent="0.2">
      <c r="A259" s="1155"/>
      <c r="B259" s="1168"/>
      <c r="C259" s="644"/>
      <c r="D259" s="644"/>
      <c r="E259" s="644"/>
      <c r="F259" s="644"/>
      <c r="G259" s="644"/>
      <c r="H259" s="644"/>
      <c r="I259" s="644"/>
      <c r="J259" s="644"/>
      <c r="K259" s="644"/>
      <c r="L259" s="644"/>
      <c r="M259" s="644"/>
      <c r="N259" s="644"/>
      <c r="O259" s="644"/>
      <c r="P259" s="644"/>
      <c r="Q259" s="644"/>
      <c r="R259" s="644"/>
      <c r="S259" s="644"/>
      <c r="T259" s="644"/>
      <c r="U259" s="644"/>
      <c r="V259" s="644"/>
      <c r="W259" s="644"/>
      <c r="X259" s="644"/>
      <c r="Y259" s="644"/>
      <c r="Z259" s="644"/>
      <c r="AA259" s="644"/>
      <c r="AB259" s="644"/>
      <c r="AC259" s="644"/>
      <c r="AD259" s="644"/>
      <c r="AE259" s="644"/>
      <c r="AF259" s="644"/>
      <c r="AG259" s="588"/>
      <c r="AH259" s="175"/>
      <c r="AI259" s="107"/>
    </row>
    <row r="260" spans="1:35" ht="22.35" customHeight="1" x14ac:dyDescent="0.2">
      <c r="A260" s="1155"/>
      <c r="B260" s="1169"/>
      <c r="C260" s="644"/>
      <c r="D260" s="644"/>
      <c r="E260" s="644"/>
      <c r="F260" s="644"/>
      <c r="G260" s="644"/>
      <c r="H260" s="644"/>
      <c r="I260" s="644"/>
      <c r="J260" s="644"/>
      <c r="K260" s="644"/>
      <c r="L260" s="644"/>
      <c r="M260" s="644"/>
      <c r="N260" s="644"/>
      <c r="O260" s="644"/>
      <c r="P260" s="644"/>
      <c r="Q260" s="644"/>
      <c r="R260" s="644"/>
      <c r="S260" s="644"/>
      <c r="T260" s="644"/>
      <c r="U260" s="644"/>
      <c r="V260" s="644"/>
      <c r="W260" s="644"/>
      <c r="X260" s="644"/>
      <c r="Y260" s="644"/>
      <c r="Z260" s="644"/>
      <c r="AA260" s="644"/>
      <c r="AB260" s="644"/>
      <c r="AC260" s="644"/>
      <c r="AD260" s="644"/>
      <c r="AE260" s="644"/>
      <c r="AF260" s="644"/>
      <c r="AG260" s="588"/>
      <c r="AH260" s="175"/>
      <c r="AI260" s="107"/>
    </row>
    <row r="261" spans="1:35" ht="22.35" customHeight="1" x14ac:dyDescent="0.2">
      <c r="A261" s="108"/>
      <c r="B261" s="121"/>
      <c r="C261" s="106"/>
      <c r="D261" s="106"/>
      <c r="E261" s="106"/>
      <c r="F261" s="106"/>
      <c r="G261" s="106"/>
      <c r="H261" s="106"/>
      <c r="I261" s="106"/>
      <c r="J261" s="106"/>
      <c r="L261" s="106"/>
      <c r="M261" s="106"/>
      <c r="N261" s="106"/>
      <c r="O261" s="106"/>
      <c r="P261" s="72"/>
      <c r="Q261" s="72"/>
      <c r="R261" s="72"/>
      <c r="S261" s="106"/>
      <c r="T261" s="106"/>
      <c r="U261" s="106"/>
      <c r="V261" s="106"/>
      <c r="W261" s="106"/>
      <c r="X261" s="106"/>
      <c r="Y261" s="106"/>
      <c r="Z261" s="106"/>
      <c r="AA261" s="106"/>
      <c r="AB261" s="106"/>
      <c r="AC261" s="106"/>
      <c r="AD261" s="106"/>
      <c r="AE261" s="106"/>
      <c r="AF261" s="106"/>
      <c r="AG261" s="106"/>
      <c r="AH261" s="107"/>
      <c r="AI261" s="107"/>
    </row>
    <row r="265" spans="1:35" ht="21" customHeight="1" thickBot="1" x14ac:dyDescent="0.25">
      <c r="A265" s="158" t="s">
        <v>312</v>
      </c>
    </row>
    <row r="266" spans="1:35" ht="21" customHeight="1" x14ac:dyDescent="0.2">
      <c r="B266" s="4480" t="s">
        <v>281</v>
      </c>
      <c r="C266" s="4418"/>
      <c r="D266" s="4440" t="s">
        <v>107</v>
      </c>
      <c r="E266" s="4319"/>
      <c r="F266" s="4411"/>
      <c r="G266" s="4418"/>
      <c r="H266" s="4440" t="s">
        <v>108</v>
      </c>
      <c r="I266" s="4319"/>
      <c r="J266" s="4411"/>
      <c r="K266" s="4418"/>
      <c r="L266" s="4440" t="s">
        <v>109</v>
      </c>
      <c r="M266" s="4319"/>
      <c r="N266" s="4411"/>
      <c r="O266" s="4418"/>
      <c r="P266" s="4440" t="s">
        <v>110</v>
      </c>
      <c r="Q266" s="4319"/>
      <c r="R266" s="4411"/>
      <c r="S266" s="4418"/>
      <c r="T266" s="4440" t="s">
        <v>111</v>
      </c>
      <c r="U266" s="4319"/>
      <c r="V266" s="4411"/>
      <c r="W266" s="4418"/>
      <c r="X266" s="4440" t="s">
        <v>112</v>
      </c>
      <c r="Y266" s="4319"/>
      <c r="Z266" s="4411"/>
      <c r="AA266" s="4418"/>
      <c r="AB266" s="4440" t="s">
        <v>113</v>
      </c>
      <c r="AC266" s="4319"/>
      <c r="AD266" s="4319"/>
      <c r="AE266" s="4443" t="s">
        <v>114</v>
      </c>
      <c r="AF266" s="4319"/>
      <c r="AG266" s="4319"/>
      <c r="AH266" s="4319"/>
      <c r="AI266" s="4320"/>
    </row>
    <row r="267" spans="1:35" ht="21" customHeight="1" x14ac:dyDescent="0.2">
      <c r="B267" s="3"/>
      <c r="C267" s="287" t="s">
        <v>313</v>
      </c>
      <c r="D267" s="116"/>
      <c r="E267" s="283"/>
      <c r="F267" s="284"/>
      <c r="G267" s="287" t="s">
        <v>313</v>
      </c>
      <c r="H267" s="116"/>
      <c r="I267" s="283"/>
      <c r="J267" s="284"/>
      <c r="K267" s="287" t="s">
        <v>313</v>
      </c>
      <c r="L267" s="116"/>
      <c r="M267" s="283"/>
      <c r="N267" s="284"/>
      <c r="O267" s="287" t="s">
        <v>313</v>
      </c>
      <c r="P267" s="282"/>
      <c r="Q267" s="283"/>
      <c r="R267" s="284"/>
      <c r="S267" s="288" t="s">
        <v>314</v>
      </c>
      <c r="T267" s="116"/>
      <c r="U267" s="283"/>
      <c r="V267" s="284"/>
      <c r="W267" s="154"/>
      <c r="X267" s="116"/>
      <c r="Y267" s="162"/>
      <c r="Z267" s="164"/>
      <c r="AA267" s="154"/>
      <c r="AB267" s="116"/>
      <c r="AC267" s="162"/>
      <c r="AD267" s="162"/>
      <c r="AE267" s="117"/>
      <c r="AF267" s="162"/>
      <c r="AG267" s="14"/>
      <c r="AH267" s="14"/>
      <c r="AI267" s="118"/>
    </row>
    <row r="268" spans="1:35" ht="21" customHeight="1" x14ac:dyDescent="0.2">
      <c r="A268" s="110"/>
      <c r="B268" s="3454"/>
      <c r="C268" s="3837" t="s">
        <v>189</v>
      </c>
      <c r="D268" s="4481"/>
      <c r="E268" s="283"/>
      <c r="F268" s="284"/>
      <c r="G268" s="3837" t="s">
        <v>189</v>
      </c>
      <c r="H268" s="116"/>
      <c r="I268" s="283"/>
      <c r="J268" s="284"/>
      <c r="K268" s="3837" t="s">
        <v>189</v>
      </c>
      <c r="L268" s="116"/>
      <c r="M268" s="283"/>
      <c r="N268" s="284"/>
      <c r="O268" s="3837" t="s">
        <v>189</v>
      </c>
      <c r="P268" s="116"/>
      <c r="Q268" s="283"/>
      <c r="R268" s="284"/>
      <c r="S268" s="287" t="s">
        <v>315</v>
      </c>
      <c r="T268" s="116"/>
      <c r="U268" s="283"/>
      <c r="V268" s="284"/>
      <c r="W268" s="154"/>
      <c r="X268" s="116"/>
      <c r="Y268" s="162"/>
      <c r="Z268" s="164"/>
      <c r="AA268" s="154"/>
      <c r="AB268" s="116"/>
      <c r="AC268" s="162"/>
      <c r="AD268" s="162"/>
      <c r="AE268" s="117"/>
      <c r="AF268" s="162"/>
      <c r="AG268" s="14"/>
      <c r="AH268" s="14"/>
      <c r="AI268" s="118"/>
    </row>
    <row r="269" spans="1:35" ht="21" customHeight="1" x14ac:dyDescent="0.2">
      <c r="B269" s="3454"/>
      <c r="C269" s="3837" t="s">
        <v>192</v>
      </c>
      <c r="D269" s="4481"/>
      <c r="E269" s="283"/>
      <c r="F269" s="284"/>
      <c r="G269" s="3837" t="s">
        <v>192</v>
      </c>
      <c r="H269" s="116"/>
      <c r="I269" s="283"/>
      <c r="J269" s="284"/>
      <c r="K269" s="3837" t="s">
        <v>192</v>
      </c>
      <c r="L269" s="116"/>
      <c r="M269" s="283"/>
      <c r="N269" s="284"/>
      <c r="O269" s="3837" t="s">
        <v>192</v>
      </c>
      <c r="P269" s="116"/>
      <c r="Q269" s="283"/>
      <c r="R269" s="284"/>
      <c r="S269" s="3837" t="s">
        <v>187</v>
      </c>
      <c r="T269" s="116"/>
      <c r="U269" s="283"/>
      <c r="V269" s="284"/>
      <c r="W269" s="154"/>
      <c r="X269" s="116"/>
      <c r="Y269" s="162"/>
      <c r="Z269" s="164"/>
      <c r="AA269" s="154"/>
      <c r="AB269" s="116"/>
      <c r="AC269" s="162"/>
      <c r="AD269" s="162"/>
      <c r="AE269" s="117"/>
      <c r="AF269" s="162"/>
      <c r="AG269" s="14"/>
      <c r="AH269" s="14"/>
      <c r="AI269" s="118"/>
    </row>
    <row r="270" spans="1:35" ht="21" customHeight="1" x14ac:dyDescent="0.2">
      <c r="B270" s="3454"/>
      <c r="C270" s="3643"/>
      <c r="D270" s="3644"/>
      <c r="E270" s="162"/>
      <c r="F270" s="164"/>
      <c r="G270" s="3643"/>
      <c r="H270" s="3644"/>
      <c r="I270" s="162"/>
      <c r="J270" s="164"/>
      <c r="K270" s="3643"/>
      <c r="L270" s="3644"/>
      <c r="M270" s="162"/>
      <c r="N270" s="164"/>
      <c r="O270" s="3643"/>
      <c r="P270" s="3644"/>
      <c r="Q270" s="162"/>
      <c r="R270" s="164"/>
      <c r="S270" s="3643"/>
      <c r="T270" s="3644"/>
      <c r="U270" s="162"/>
      <c r="V270" s="164"/>
      <c r="W270" s="154"/>
      <c r="X270" s="116"/>
      <c r="Y270" s="162"/>
      <c r="Z270" s="164"/>
      <c r="AA270" s="154"/>
      <c r="AB270" s="116"/>
      <c r="AC270" s="162"/>
      <c r="AD270" s="162"/>
      <c r="AE270" s="117"/>
      <c r="AF270" s="162"/>
      <c r="AG270" s="14"/>
      <c r="AH270" s="14"/>
      <c r="AI270" s="118"/>
    </row>
    <row r="271" spans="1:35" ht="21" customHeight="1" x14ac:dyDescent="0.2">
      <c r="B271" s="3454"/>
      <c r="C271" s="3791"/>
      <c r="D271" s="3644"/>
      <c r="E271" s="162"/>
      <c r="F271" s="164"/>
      <c r="G271" s="116"/>
      <c r="H271" s="116"/>
      <c r="I271" s="162"/>
      <c r="J271" s="164"/>
      <c r="K271" s="116"/>
      <c r="L271" s="116"/>
      <c r="M271" s="162"/>
      <c r="N271" s="164"/>
      <c r="O271" s="116"/>
      <c r="P271" s="116"/>
      <c r="Q271" s="162"/>
      <c r="R271" s="164"/>
      <c r="S271" s="116"/>
      <c r="T271" s="116"/>
      <c r="U271" s="162"/>
      <c r="V271" s="164"/>
      <c r="W271" s="154"/>
      <c r="X271" s="116"/>
      <c r="Y271" s="162"/>
      <c r="Z271" s="164"/>
      <c r="AA271" s="154"/>
      <c r="AB271" s="116"/>
      <c r="AC271" s="162"/>
      <c r="AD271" s="162"/>
      <c r="AE271" s="117"/>
      <c r="AF271" s="162"/>
      <c r="AG271" s="14"/>
      <c r="AH271" s="14"/>
      <c r="AI271" s="118"/>
    </row>
    <row r="272" spans="1:35" ht="21" customHeight="1" x14ac:dyDescent="0.2">
      <c r="B272" s="3454" t="s">
        <v>159</v>
      </c>
      <c r="C272" s="3791" t="s">
        <v>316</v>
      </c>
      <c r="D272" s="4481"/>
      <c r="E272" s="283"/>
      <c r="F272" s="284"/>
      <c r="G272" s="3791" t="s">
        <v>316</v>
      </c>
      <c r="H272" s="4481"/>
      <c r="I272" s="283"/>
      <c r="J272" s="284"/>
      <c r="K272" s="3791" t="s">
        <v>316</v>
      </c>
      <c r="L272" s="4481"/>
      <c r="M272" s="283"/>
      <c r="N272" s="284"/>
      <c r="O272" s="3791" t="s">
        <v>316</v>
      </c>
      <c r="P272" s="4481"/>
      <c r="Q272" s="283"/>
      <c r="R272" s="284"/>
      <c r="S272" s="116" t="s">
        <v>317</v>
      </c>
      <c r="T272" s="116"/>
      <c r="U272" s="283"/>
      <c r="V272" s="284"/>
      <c r="W272" s="154"/>
      <c r="X272" s="116"/>
      <c r="Y272" s="162"/>
      <c r="Z272" s="164"/>
      <c r="AA272" s="154"/>
      <c r="AB272" s="116"/>
      <c r="AC272" s="162"/>
      <c r="AD272" s="162"/>
      <c r="AE272" s="117"/>
      <c r="AF272" s="162"/>
      <c r="AG272" s="14"/>
      <c r="AH272" s="14"/>
      <c r="AI272" s="118"/>
    </row>
    <row r="273" spans="1:35" ht="21" customHeight="1" x14ac:dyDescent="0.2">
      <c r="B273" s="3454" t="s">
        <v>163</v>
      </c>
      <c r="C273" s="3791" t="s">
        <v>318</v>
      </c>
      <c r="D273" s="4481"/>
      <c r="E273" s="283"/>
      <c r="F273" s="284"/>
      <c r="G273" s="3791" t="s">
        <v>318</v>
      </c>
      <c r="H273" s="4481"/>
      <c r="I273" s="283"/>
      <c r="J273" s="284"/>
      <c r="K273" s="3791" t="s">
        <v>318</v>
      </c>
      <c r="L273" s="4481"/>
      <c r="M273" s="283"/>
      <c r="N273" s="284"/>
      <c r="O273" s="3791" t="s">
        <v>318</v>
      </c>
      <c r="P273" s="4481"/>
      <c r="Q273" s="283"/>
      <c r="R273" s="284"/>
      <c r="S273" s="116" t="s">
        <v>319</v>
      </c>
      <c r="T273" s="116"/>
      <c r="U273" s="283"/>
      <c r="V273" s="284"/>
      <c r="W273" s="154"/>
      <c r="X273" s="116"/>
      <c r="Y273" s="162"/>
      <c r="Z273" s="164"/>
      <c r="AA273" s="154"/>
      <c r="AB273" s="116"/>
      <c r="AC273" s="162"/>
      <c r="AD273" s="162"/>
      <c r="AE273" s="117"/>
      <c r="AF273" s="162"/>
      <c r="AG273" s="14"/>
      <c r="AH273" s="14"/>
      <c r="AI273" s="118"/>
    </row>
    <row r="274" spans="1:35" ht="21" customHeight="1" thickBot="1" x14ac:dyDescent="0.25">
      <c r="B274" s="3456" t="s">
        <v>170</v>
      </c>
      <c r="C274" s="3804" t="s">
        <v>320</v>
      </c>
      <c r="D274" s="3457"/>
      <c r="E274" s="285"/>
      <c r="F274" s="286"/>
      <c r="G274" s="3804" t="s">
        <v>320</v>
      </c>
      <c r="H274" s="3457"/>
      <c r="I274" s="285"/>
      <c r="J274" s="286"/>
      <c r="K274" s="3804" t="s">
        <v>320</v>
      </c>
      <c r="L274" s="3457"/>
      <c r="M274" s="285"/>
      <c r="N274" s="286"/>
      <c r="O274" s="3804" t="s">
        <v>320</v>
      </c>
      <c r="P274" s="3457"/>
      <c r="Q274" s="285"/>
      <c r="R274" s="286"/>
      <c r="S274" s="225" t="s">
        <v>321</v>
      </c>
      <c r="T274" s="225"/>
      <c r="U274" s="285"/>
      <c r="V274" s="286"/>
      <c r="W274" s="277"/>
      <c r="X274" s="225"/>
      <c r="Y274" s="278"/>
      <c r="Z274" s="279"/>
      <c r="AA274" s="280"/>
      <c r="AB274" s="225"/>
      <c r="AC274" s="278"/>
      <c r="AD274" s="278"/>
      <c r="AE274" s="281"/>
      <c r="AF274" s="278"/>
      <c r="AG274" s="276"/>
      <c r="AH274" s="276"/>
      <c r="AI274" s="222"/>
    </row>
    <row r="275" spans="1:35" ht="21" customHeight="1" x14ac:dyDescent="0.2">
      <c r="B275" s="59"/>
      <c r="C275" s="64"/>
      <c r="D275" s="18"/>
      <c r="G275" s="64"/>
      <c r="H275" s="18"/>
      <c r="K275" s="64"/>
      <c r="L275" s="18"/>
      <c r="O275" s="64"/>
      <c r="P275" s="18"/>
      <c r="S275" s="64"/>
      <c r="T275" s="64"/>
      <c r="X275" s="64"/>
      <c r="AB275" s="64"/>
      <c r="AE275" s="64"/>
    </row>
    <row r="276" spans="1:35" ht="21" customHeight="1" x14ac:dyDescent="0.2">
      <c r="A276" s="122" t="s">
        <v>322</v>
      </c>
    </row>
    <row r="277" spans="1:35" ht="21" customHeight="1" thickBot="1" x14ac:dyDescent="0.25">
      <c r="A277" s="3718"/>
      <c r="B277" s="3656" t="s">
        <v>29</v>
      </c>
      <c r="C277" s="3529">
        <v>1</v>
      </c>
      <c r="D277" s="3529">
        <v>2</v>
      </c>
      <c r="E277" s="3528">
        <v>3</v>
      </c>
      <c r="F277" s="3528">
        <v>4</v>
      </c>
      <c r="G277" s="3528">
        <v>5</v>
      </c>
      <c r="H277" s="3529">
        <v>6</v>
      </c>
      <c r="I277" s="3529">
        <v>7</v>
      </c>
      <c r="J277" s="3529">
        <v>8</v>
      </c>
      <c r="K277" s="3529">
        <v>9</v>
      </c>
      <c r="L277" s="3529">
        <v>10</v>
      </c>
      <c r="M277" s="3528">
        <v>11</v>
      </c>
      <c r="N277" s="3528">
        <v>12</v>
      </c>
      <c r="O277" s="3528">
        <v>13</v>
      </c>
      <c r="P277" s="3528">
        <v>14</v>
      </c>
      <c r="Q277" s="3529">
        <v>15</v>
      </c>
      <c r="R277" s="3529">
        <v>16</v>
      </c>
      <c r="S277" s="3528">
        <v>17</v>
      </c>
      <c r="T277" s="3528">
        <v>18</v>
      </c>
      <c r="U277" s="3528">
        <v>19</v>
      </c>
      <c r="V277" s="3528">
        <v>20</v>
      </c>
      <c r="W277" s="3528">
        <v>21</v>
      </c>
      <c r="X277" s="3529">
        <v>22</v>
      </c>
      <c r="Y277" s="3529">
        <v>23</v>
      </c>
      <c r="Z277" s="3528">
        <v>24</v>
      </c>
      <c r="AA277" s="3528">
        <v>25</v>
      </c>
      <c r="AB277" s="3528">
        <v>26</v>
      </c>
      <c r="AC277" s="3528">
        <v>27</v>
      </c>
      <c r="AD277" s="3528">
        <v>28</v>
      </c>
      <c r="AE277" s="3529">
        <v>29</v>
      </c>
      <c r="AF277" s="3529">
        <v>30</v>
      </c>
      <c r="AG277" s="3530"/>
      <c r="AH277" s="173"/>
      <c r="AI277" s="174"/>
    </row>
    <row r="278" spans="1:35" ht="21" customHeight="1" x14ac:dyDescent="0.2">
      <c r="A278" s="4482">
        <v>3702</v>
      </c>
      <c r="B278" s="172" t="s">
        <v>486</v>
      </c>
      <c r="C278" s="644"/>
      <c r="D278" s="644"/>
      <c r="E278" s="644" t="s">
        <v>32</v>
      </c>
      <c r="F278" s="644" t="s">
        <v>32</v>
      </c>
      <c r="G278" s="644" t="s">
        <v>32</v>
      </c>
      <c r="H278" s="644"/>
      <c r="I278" s="644"/>
      <c r="J278" s="644"/>
      <c r="K278" s="644"/>
      <c r="L278" s="644"/>
      <c r="M278" s="644" t="s">
        <v>32</v>
      </c>
      <c r="N278" s="644" t="s">
        <v>32</v>
      </c>
      <c r="O278" s="644" t="s">
        <v>32</v>
      </c>
      <c r="P278" s="644" t="s">
        <v>32</v>
      </c>
      <c r="Q278" s="644"/>
      <c r="R278" s="644"/>
      <c r="S278" s="644" t="s">
        <v>32</v>
      </c>
      <c r="T278" s="644" t="s">
        <v>32</v>
      </c>
      <c r="U278" s="644" t="s">
        <v>32</v>
      </c>
      <c r="V278" s="644" t="s">
        <v>32</v>
      </c>
      <c r="W278" s="644" t="s">
        <v>32</v>
      </c>
      <c r="X278" s="644"/>
      <c r="Y278" s="644"/>
      <c r="Z278" s="644" t="s">
        <v>32</v>
      </c>
      <c r="AA278" s="644" t="s">
        <v>32</v>
      </c>
      <c r="AB278" s="644" t="s">
        <v>32</v>
      </c>
      <c r="AC278" s="644" t="s">
        <v>32</v>
      </c>
      <c r="AD278" s="644" t="s">
        <v>32</v>
      </c>
      <c r="AE278" s="644"/>
      <c r="AF278" s="644"/>
      <c r="AG278" s="644"/>
      <c r="AH278" s="178"/>
      <c r="AI278" s="179"/>
    </row>
    <row r="279" spans="1:35" ht="21" customHeight="1" x14ac:dyDescent="0.2">
      <c r="A279" s="3534"/>
      <c r="B279" s="3685" t="s">
        <v>323</v>
      </c>
      <c r="C279" s="644"/>
      <c r="D279" s="644"/>
      <c r="E279" s="644" t="s">
        <v>32</v>
      </c>
      <c r="F279" s="644" t="s">
        <v>32</v>
      </c>
      <c r="G279" s="644" t="s">
        <v>32</v>
      </c>
      <c r="H279" s="644"/>
      <c r="I279" s="644"/>
      <c r="J279" s="644"/>
      <c r="K279" s="644"/>
      <c r="L279" s="644"/>
      <c r="M279" s="644" t="s">
        <v>32</v>
      </c>
      <c r="N279" s="644" t="s">
        <v>32</v>
      </c>
      <c r="O279" s="644" t="s">
        <v>32</v>
      </c>
      <c r="P279" s="644" t="s">
        <v>32</v>
      </c>
      <c r="Q279" s="644"/>
      <c r="R279" s="644"/>
      <c r="S279" s="644" t="s">
        <v>32</v>
      </c>
      <c r="T279" s="644" t="s">
        <v>32</v>
      </c>
      <c r="U279" s="644" t="s">
        <v>32</v>
      </c>
      <c r="V279" s="644" t="s">
        <v>32</v>
      </c>
      <c r="W279" s="644" t="s">
        <v>32</v>
      </c>
      <c r="X279" s="644"/>
      <c r="Y279" s="644"/>
      <c r="Z279" s="644" t="s">
        <v>32</v>
      </c>
      <c r="AA279" s="644" t="s">
        <v>32</v>
      </c>
      <c r="AB279" s="644" t="s">
        <v>32</v>
      </c>
      <c r="AC279" s="644" t="s">
        <v>32</v>
      </c>
      <c r="AD279" s="644" t="s">
        <v>32</v>
      </c>
      <c r="AE279" s="644"/>
      <c r="AF279" s="644"/>
      <c r="AG279" s="644"/>
      <c r="AH279" s="178"/>
      <c r="AI279" s="179"/>
    </row>
    <row r="280" spans="1:35" ht="21" customHeight="1" x14ac:dyDescent="0.2">
      <c r="A280" s="4483"/>
      <c r="B280" s="3685" t="s">
        <v>499</v>
      </c>
      <c r="C280" s="644"/>
      <c r="D280" s="644"/>
      <c r="E280" s="644" t="s">
        <v>32</v>
      </c>
      <c r="F280" s="644" t="s">
        <v>32</v>
      </c>
      <c r="G280" s="644" t="s">
        <v>32</v>
      </c>
      <c r="H280" s="644"/>
      <c r="I280" s="644"/>
      <c r="J280" s="644"/>
      <c r="K280" s="644"/>
      <c r="L280" s="644"/>
      <c r="M280" s="644" t="s">
        <v>32</v>
      </c>
      <c r="N280" s="644" t="s">
        <v>32</v>
      </c>
      <c r="O280" s="644" t="s">
        <v>32</v>
      </c>
      <c r="P280" s="644" t="s">
        <v>32</v>
      </c>
      <c r="Q280" s="644"/>
      <c r="R280" s="644"/>
      <c r="S280" s="644" t="s">
        <v>32</v>
      </c>
      <c r="T280" s="644" t="s">
        <v>32</v>
      </c>
      <c r="U280" s="644" t="s">
        <v>32</v>
      </c>
      <c r="V280" s="644" t="s">
        <v>32</v>
      </c>
      <c r="W280" s="644" t="s">
        <v>32</v>
      </c>
      <c r="X280" s="644"/>
      <c r="Y280" s="644"/>
      <c r="Z280" s="644" t="s">
        <v>32</v>
      </c>
      <c r="AA280" s="644" t="s">
        <v>32</v>
      </c>
      <c r="AB280" s="644" t="s">
        <v>32</v>
      </c>
      <c r="AC280" s="644" t="s">
        <v>32</v>
      </c>
      <c r="AD280" s="644" t="s">
        <v>32</v>
      </c>
      <c r="AE280" s="644"/>
      <c r="AF280" s="644"/>
      <c r="AG280" s="644"/>
      <c r="AH280" s="178"/>
      <c r="AI280" s="179"/>
    </row>
    <row r="281" spans="1:35" ht="21" customHeight="1" thickBot="1" x14ac:dyDescent="0.25">
      <c r="A281" s="3460"/>
      <c r="B281" s="3461"/>
      <c r="C281" s="3528"/>
      <c r="D281" s="3528"/>
      <c r="E281" s="3528"/>
      <c r="F281" s="3528"/>
      <c r="G281" s="3528"/>
      <c r="H281" s="3528"/>
      <c r="I281" s="3528"/>
      <c r="J281" s="3528"/>
      <c r="K281" s="3528"/>
      <c r="L281" s="3528"/>
      <c r="M281" s="3528"/>
      <c r="N281" s="3528"/>
      <c r="O281" s="3528"/>
      <c r="P281" s="3528"/>
      <c r="Q281" s="3528"/>
      <c r="R281" s="3528"/>
      <c r="S281" s="3528"/>
      <c r="T281" s="3528"/>
      <c r="U281" s="3528"/>
      <c r="V281" s="3528"/>
      <c r="W281" s="3528"/>
      <c r="X281" s="3528"/>
      <c r="Y281" s="3528"/>
      <c r="Z281" s="3528"/>
      <c r="AA281" s="3528"/>
      <c r="AB281" s="3528"/>
      <c r="AC281" s="3528"/>
      <c r="AD281" s="3528"/>
      <c r="AE281" s="3528"/>
      <c r="AF281" s="3528"/>
      <c r="AG281" s="3530"/>
      <c r="AH281" s="178"/>
      <c r="AI281" s="179"/>
    </row>
    <row r="282" spans="1:35" ht="21" customHeight="1" x14ac:dyDescent="0.2">
      <c r="A282" s="214"/>
      <c r="B282" s="4286" t="s">
        <v>324</v>
      </c>
      <c r="C282" s="4287"/>
      <c r="D282" s="4287"/>
      <c r="E282" s="4287"/>
      <c r="F282" s="4287"/>
      <c r="G282" s="4287"/>
      <c r="H282" s="4287"/>
      <c r="I282" s="4287"/>
      <c r="J282" s="4287"/>
      <c r="K282" s="4287"/>
      <c r="L282" s="4287"/>
      <c r="M282" s="4287"/>
      <c r="N282" s="4287"/>
      <c r="O282" s="4287"/>
      <c r="P282" s="4287"/>
      <c r="Q282" s="4287"/>
      <c r="R282" s="4287"/>
      <c r="S282" s="4287"/>
      <c r="T282" s="4287"/>
      <c r="U282" s="4287"/>
      <c r="V282" s="4287"/>
      <c r="W282" s="4287"/>
      <c r="X282" s="4287"/>
      <c r="Y282" s="4287"/>
      <c r="Z282" s="4287"/>
      <c r="AA282" s="4287"/>
      <c r="AB282" s="4287"/>
      <c r="AC282" s="4287"/>
      <c r="AD282" s="4287"/>
      <c r="AE282" s="4287"/>
      <c r="AF282" s="4287"/>
      <c r="AG282" s="4288"/>
      <c r="AH282" s="176"/>
      <c r="AI282" s="177"/>
    </row>
    <row r="283" spans="1:35" ht="21" customHeight="1" x14ac:dyDescent="0.2">
      <c r="A283" s="4482">
        <v>3702</v>
      </c>
      <c r="B283" s="1175" t="s">
        <v>325</v>
      </c>
      <c r="C283" s="3616"/>
      <c r="D283" s="3616"/>
      <c r="E283" s="3550" t="s">
        <v>326</v>
      </c>
      <c r="F283" s="3550" t="s">
        <v>326</v>
      </c>
      <c r="G283" s="3616" t="s">
        <v>326</v>
      </c>
      <c r="H283" s="3616"/>
      <c r="I283" s="3616"/>
      <c r="J283" s="3616"/>
      <c r="K283" s="3616"/>
      <c r="L283" s="3550"/>
      <c r="M283" s="3550" t="s">
        <v>326</v>
      </c>
      <c r="N283" s="3616" t="s">
        <v>326</v>
      </c>
      <c r="O283" s="3616" t="s">
        <v>326</v>
      </c>
      <c r="P283" s="3616" t="s">
        <v>326</v>
      </c>
      <c r="Q283" s="3616"/>
      <c r="R283" s="3616"/>
      <c r="S283" s="3550" t="s">
        <v>326</v>
      </c>
      <c r="T283" s="3550" t="s">
        <v>326</v>
      </c>
      <c r="U283" s="3616" t="s">
        <v>326</v>
      </c>
      <c r="V283" s="3616" t="s">
        <v>326</v>
      </c>
      <c r="W283" s="3616" t="s">
        <v>326</v>
      </c>
      <c r="X283" s="3616"/>
      <c r="Y283" s="3616"/>
      <c r="Z283" s="3550" t="s">
        <v>326</v>
      </c>
      <c r="AA283" s="3550" t="s">
        <v>326</v>
      </c>
      <c r="AB283" s="3616" t="s">
        <v>326</v>
      </c>
      <c r="AC283" s="3616" t="s">
        <v>326</v>
      </c>
      <c r="AD283" s="3616" t="s">
        <v>326</v>
      </c>
      <c r="AE283" s="3616"/>
      <c r="AF283" s="3616"/>
      <c r="AG283" s="3550"/>
      <c r="AH283" s="178"/>
      <c r="AI283" s="179"/>
    </row>
    <row r="284" spans="1:35" ht="21" customHeight="1" x14ac:dyDescent="0.2">
      <c r="A284" s="4482"/>
      <c r="B284" s="3746" t="s">
        <v>327</v>
      </c>
      <c r="C284" s="3616"/>
      <c r="D284" s="3616"/>
      <c r="E284" s="3616" t="s">
        <v>328</v>
      </c>
      <c r="F284" s="3616" t="s">
        <v>328</v>
      </c>
      <c r="G284" s="3616" t="s">
        <v>328</v>
      </c>
      <c r="H284" s="3616"/>
      <c r="I284" s="3616"/>
      <c r="J284" s="3616"/>
      <c r="K284" s="3616"/>
      <c r="L284" s="3616"/>
      <c r="M284" s="3616" t="s">
        <v>328</v>
      </c>
      <c r="N284" s="3616" t="s">
        <v>328</v>
      </c>
      <c r="O284" s="3616" t="s">
        <v>328</v>
      </c>
      <c r="P284" s="3616" t="s">
        <v>328</v>
      </c>
      <c r="Q284" s="3616"/>
      <c r="R284" s="3616"/>
      <c r="S284" s="3602" t="s">
        <v>328</v>
      </c>
      <c r="T284" s="3602" t="s">
        <v>328</v>
      </c>
      <c r="U284" s="3602" t="s">
        <v>328</v>
      </c>
      <c r="V284" s="3602" t="s">
        <v>386</v>
      </c>
      <c r="W284" s="4484" t="s">
        <v>328</v>
      </c>
      <c r="X284" s="4484"/>
      <c r="Y284" s="4484"/>
      <c r="Z284" s="3616" t="s">
        <v>328</v>
      </c>
      <c r="AA284" s="3616" t="s">
        <v>328</v>
      </c>
      <c r="AB284" s="3616" t="s">
        <v>328</v>
      </c>
      <c r="AC284" s="3616" t="s">
        <v>328</v>
      </c>
      <c r="AD284" s="3616" t="s">
        <v>328</v>
      </c>
      <c r="AE284" s="3616"/>
      <c r="AF284" s="3616"/>
      <c r="AG284" s="3539"/>
      <c r="AH284" s="178"/>
      <c r="AI284" s="179"/>
    </row>
    <row r="285" spans="1:35" ht="21" customHeight="1" thickBot="1" x14ac:dyDescent="0.25">
      <c r="A285" s="3464"/>
      <c r="B285" s="3465" t="s">
        <v>329</v>
      </c>
      <c r="C285" s="3610"/>
      <c r="D285" s="3610"/>
      <c r="E285" s="4485" t="s">
        <v>330</v>
      </c>
      <c r="F285" s="4485" t="s">
        <v>330</v>
      </c>
      <c r="G285" s="4485" t="s">
        <v>330</v>
      </c>
      <c r="H285" s="4485"/>
      <c r="I285" s="4485"/>
      <c r="J285" s="4121"/>
      <c r="K285" s="4121"/>
      <c r="L285" s="4121"/>
      <c r="M285" s="4121" t="s">
        <v>330</v>
      </c>
      <c r="N285" s="4121" t="s">
        <v>330</v>
      </c>
      <c r="O285" s="4121" t="s">
        <v>330</v>
      </c>
      <c r="P285" s="4121" t="s">
        <v>330</v>
      </c>
      <c r="Q285" s="4121"/>
      <c r="R285" s="4121"/>
      <c r="S285" s="4121" t="s">
        <v>330</v>
      </c>
      <c r="T285" s="4121" t="s">
        <v>330</v>
      </c>
      <c r="U285" s="4121" t="s">
        <v>330</v>
      </c>
      <c r="V285" s="4121" t="s">
        <v>330</v>
      </c>
      <c r="W285" s="4121" t="s">
        <v>330</v>
      </c>
      <c r="X285" s="4121"/>
      <c r="Y285" s="4121"/>
      <c r="Z285" s="3611" t="s">
        <v>330</v>
      </c>
      <c r="AA285" s="3611" t="s">
        <v>330</v>
      </c>
      <c r="AB285" s="3611" t="s">
        <v>330</v>
      </c>
      <c r="AC285" s="3611" t="s">
        <v>330</v>
      </c>
      <c r="AD285" s="3611" t="s">
        <v>330</v>
      </c>
      <c r="AE285" s="3610"/>
      <c r="AF285" s="3610"/>
      <c r="AG285" s="3614"/>
      <c r="AH285" s="178"/>
      <c r="AI285" s="179"/>
    </row>
    <row r="286" spans="1:35" ht="21" customHeight="1" x14ac:dyDescent="0.2"/>
    <row r="287" spans="1:35" ht="24" customHeight="1" x14ac:dyDescent="0.2"/>
    <row r="288" spans="1:35" ht="25.5" customHeight="1" thickBot="1" x14ac:dyDescent="0.25">
      <c r="A288" s="158" t="s">
        <v>331</v>
      </c>
    </row>
    <row r="289" spans="1:36" ht="21" customHeight="1" x14ac:dyDescent="0.2">
      <c r="A289" s="1"/>
      <c r="B289" s="4480" t="s">
        <v>281</v>
      </c>
      <c r="C289" s="4418"/>
      <c r="D289" s="4440" t="s">
        <v>107</v>
      </c>
      <c r="E289" s="4319"/>
      <c r="F289" s="4411"/>
      <c r="G289" s="4418"/>
      <c r="H289" s="4440" t="s">
        <v>108</v>
      </c>
      <c r="I289" s="4319"/>
      <c r="J289" s="4411"/>
      <c r="K289" s="4418"/>
      <c r="L289" s="4440" t="s">
        <v>109</v>
      </c>
      <c r="M289" s="4319"/>
      <c r="N289" s="4411"/>
      <c r="O289" s="4418"/>
      <c r="P289" s="4440" t="s">
        <v>110</v>
      </c>
      <c r="Q289" s="4319"/>
      <c r="R289" s="4411"/>
      <c r="S289" s="4418"/>
      <c r="T289" s="4440" t="s">
        <v>111</v>
      </c>
      <c r="U289" s="4319"/>
      <c r="V289" s="4411"/>
      <c r="W289" s="4418"/>
      <c r="X289" s="4440" t="s">
        <v>112</v>
      </c>
      <c r="Y289" s="4319"/>
      <c r="Z289" s="4411"/>
      <c r="AA289" s="4418"/>
      <c r="AB289" s="4440" t="s">
        <v>113</v>
      </c>
      <c r="AC289" s="4319"/>
      <c r="AD289" s="4319"/>
      <c r="AE289" s="4443" t="s">
        <v>114</v>
      </c>
      <c r="AF289" s="4319"/>
      <c r="AG289" s="4319"/>
      <c r="AH289" s="4319"/>
      <c r="AI289" s="4320"/>
    </row>
    <row r="290" spans="1:36" ht="21" customHeight="1" x14ac:dyDescent="0.2">
      <c r="A290" s="1"/>
      <c r="B290" s="3"/>
      <c r="C290" s="8"/>
      <c r="D290" s="116"/>
      <c r="E290" s="14"/>
      <c r="F290" s="115"/>
      <c r="G290" s="8"/>
      <c r="H290" s="116"/>
      <c r="I290" s="14"/>
      <c r="J290" s="115"/>
      <c r="K290" s="8"/>
      <c r="L290" s="116"/>
      <c r="M290" s="14"/>
      <c r="N290" s="115"/>
      <c r="O290" s="8"/>
      <c r="P290" s="116"/>
      <c r="Q290" s="14"/>
      <c r="R290" s="115"/>
      <c r="S290" s="8"/>
      <c r="T290" s="116"/>
      <c r="U290" s="14"/>
      <c r="V290" s="115"/>
      <c r="W290" s="8"/>
      <c r="X290" s="116"/>
      <c r="Y290" s="14"/>
      <c r="Z290" s="115"/>
      <c r="AA290" s="8"/>
      <c r="AB290" s="116"/>
      <c r="AC290" s="14"/>
      <c r="AD290" s="14"/>
      <c r="AE290" s="117"/>
      <c r="AF290" s="14"/>
      <c r="AG290" s="14"/>
      <c r="AH290" s="14"/>
      <c r="AI290" s="118"/>
    </row>
    <row r="291" spans="1:36" ht="21" customHeight="1" x14ac:dyDescent="0.2">
      <c r="A291" s="110"/>
      <c r="B291" s="3454"/>
      <c r="C291" s="3643"/>
      <c r="D291" s="3510"/>
      <c r="E291" s="3510"/>
      <c r="F291" s="3793"/>
      <c r="G291" s="3643"/>
      <c r="H291" s="3510"/>
      <c r="I291" s="3510"/>
      <c r="J291" s="3793"/>
      <c r="K291" s="3643"/>
      <c r="L291" s="3510"/>
      <c r="M291" s="3510"/>
      <c r="N291" s="3793"/>
      <c r="O291" s="3643"/>
      <c r="P291" s="3510"/>
      <c r="Q291" s="3510"/>
      <c r="R291" s="3793"/>
      <c r="S291" s="3643"/>
      <c r="T291" s="3510"/>
      <c r="U291" s="3510"/>
      <c r="V291" s="3793"/>
      <c r="W291" s="3643"/>
      <c r="X291" s="3510"/>
      <c r="Y291" s="3510"/>
      <c r="Z291" s="3793"/>
      <c r="AA291" s="3791"/>
      <c r="AB291" s="3510"/>
      <c r="AC291" s="3510"/>
      <c r="AD291" s="3644"/>
      <c r="AE291" s="4486"/>
      <c r="AF291" s="3510"/>
      <c r="AG291" s="3510"/>
      <c r="AH291" s="3644"/>
      <c r="AI291" s="3519"/>
    </row>
    <row r="292" spans="1:36" ht="21" customHeight="1" thickBot="1" x14ac:dyDescent="0.25">
      <c r="A292" s="1"/>
      <c r="B292" s="3803"/>
      <c r="C292" s="3804"/>
      <c r="D292" s="3587"/>
      <c r="E292" s="3587"/>
      <c r="F292" s="3828"/>
      <c r="G292" s="3804"/>
      <c r="H292" s="3587"/>
      <c r="I292" s="3587"/>
      <c r="J292" s="3828"/>
      <c r="K292" s="3804"/>
      <c r="L292" s="3587"/>
      <c r="M292" s="3587"/>
      <c r="N292" s="3828"/>
      <c r="O292" s="3804"/>
      <c r="P292" s="3587"/>
      <c r="Q292" s="3587"/>
      <c r="R292" s="3828"/>
      <c r="S292" s="3804"/>
      <c r="T292" s="3587"/>
      <c r="U292" s="3587"/>
      <c r="V292" s="3828"/>
      <c r="W292" s="3826"/>
      <c r="X292" s="3587"/>
      <c r="Y292" s="3587"/>
      <c r="Z292" s="3828"/>
      <c r="AA292" s="3826"/>
      <c r="AB292" s="3587"/>
      <c r="AC292" s="3587"/>
      <c r="AD292" s="3811"/>
      <c r="AE292" s="3826"/>
      <c r="AF292" s="3587"/>
      <c r="AG292" s="3587"/>
      <c r="AH292" s="3811"/>
      <c r="AI292" s="3594"/>
    </row>
    <row r="293" spans="1:36" ht="21" customHeight="1" x14ac:dyDescent="0.2">
      <c r="A293" s="1"/>
      <c r="B293" s="18"/>
      <c r="C293" s="64"/>
      <c r="F293" s="69"/>
      <c r="G293" s="64"/>
      <c r="J293" s="69"/>
      <c r="K293" s="64"/>
      <c r="N293" s="69"/>
      <c r="O293" s="64"/>
      <c r="R293" s="69"/>
      <c r="S293" s="64"/>
      <c r="V293" s="69"/>
      <c r="W293" s="69"/>
      <c r="Z293" s="69"/>
      <c r="AA293" s="69"/>
      <c r="AD293" s="69"/>
      <c r="AE293" s="69"/>
      <c r="AH293" s="69"/>
    </row>
    <row r="294" spans="1:36" ht="33" customHeight="1" x14ac:dyDescent="0.2">
      <c r="A294" s="158" t="s">
        <v>332</v>
      </c>
      <c r="B294" s="18"/>
      <c r="C294" s="64"/>
      <c r="F294" s="69"/>
      <c r="G294" s="64"/>
      <c r="J294" s="69"/>
      <c r="K294" s="64"/>
      <c r="N294" s="69"/>
      <c r="O294" s="64"/>
      <c r="R294" s="69"/>
      <c r="S294" s="64"/>
      <c r="V294" s="69"/>
      <c r="W294" s="69"/>
      <c r="Z294" s="69"/>
      <c r="AA294" s="69"/>
      <c r="AD294" s="69"/>
      <c r="AE294" s="69"/>
      <c r="AH294" s="294"/>
      <c r="AI294" s="190"/>
      <c r="AJ294" s="190"/>
    </row>
    <row r="295" spans="1:36" ht="21" customHeight="1" thickBot="1" x14ac:dyDescent="0.25">
      <c r="A295" s="3467" t="s">
        <v>28</v>
      </c>
      <c r="B295" s="3468" t="s">
        <v>29</v>
      </c>
      <c r="C295" s="3529">
        <v>1</v>
      </c>
      <c r="D295" s="3529">
        <v>2</v>
      </c>
      <c r="E295" s="3528">
        <v>3</v>
      </c>
      <c r="F295" s="3528">
        <v>4</v>
      </c>
      <c r="G295" s="3528">
        <v>5</v>
      </c>
      <c r="H295" s="3529">
        <v>6</v>
      </c>
      <c r="I295" s="3529">
        <v>7</v>
      </c>
      <c r="J295" s="3529">
        <v>8</v>
      </c>
      <c r="K295" s="3529">
        <v>9</v>
      </c>
      <c r="L295" s="3529">
        <v>10</v>
      </c>
      <c r="M295" s="3528">
        <v>11</v>
      </c>
      <c r="N295" s="3528">
        <v>12</v>
      </c>
      <c r="O295" s="3528">
        <v>13</v>
      </c>
      <c r="P295" s="3528">
        <v>14</v>
      </c>
      <c r="Q295" s="3529">
        <v>15</v>
      </c>
      <c r="R295" s="3529">
        <v>16</v>
      </c>
      <c r="S295" s="3528">
        <v>17</v>
      </c>
      <c r="T295" s="3528">
        <v>18</v>
      </c>
      <c r="U295" s="3528">
        <v>19</v>
      </c>
      <c r="V295" s="3528">
        <v>20</v>
      </c>
      <c r="W295" s="3528">
        <v>21</v>
      </c>
      <c r="X295" s="3529">
        <v>22</v>
      </c>
      <c r="Y295" s="3529">
        <v>23</v>
      </c>
      <c r="Z295" s="3528">
        <v>24</v>
      </c>
      <c r="AA295" s="3528">
        <v>25</v>
      </c>
      <c r="AB295" s="3528">
        <v>26</v>
      </c>
      <c r="AC295" s="3528">
        <v>27</v>
      </c>
      <c r="AD295" s="3528">
        <v>28</v>
      </c>
      <c r="AE295" s="3529">
        <v>29</v>
      </c>
      <c r="AF295" s="3529">
        <v>30</v>
      </c>
      <c r="AG295" s="3530"/>
      <c r="AH295" s="295"/>
      <c r="AI295" s="296"/>
      <c r="AJ295" s="190"/>
    </row>
    <row r="296" spans="1:36" ht="21" customHeight="1" x14ac:dyDescent="0.2">
      <c r="A296" s="88"/>
      <c r="B296" s="4487" t="s">
        <v>333</v>
      </c>
      <c r="C296" s="1110"/>
      <c r="D296" s="1110"/>
      <c r="E296" s="1110" t="s">
        <v>32</v>
      </c>
      <c r="F296" s="1110" t="s">
        <v>32</v>
      </c>
      <c r="G296" s="644" t="s">
        <v>32</v>
      </c>
      <c r="H296" s="848"/>
      <c r="I296" s="644"/>
      <c r="J296" s="644"/>
      <c r="K296" s="644"/>
      <c r="L296" s="644"/>
      <c r="M296" s="4307" t="s">
        <v>32</v>
      </c>
      <c r="N296" s="4307" t="s">
        <v>32</v>
      </c>
      <c r="O296" s="4307" t="s">
        <v>32</v>
      </c>
      <c r="P296" s="4307" t="s">
        <v>32</v>
      </c>
      <c r="Q296" s="4307"/>
      <c r="R296" s="4307"/>
      <c r="S296" s="4307" t="s">
        <v>32</v>
      </c>
      <c r="T296" s="859" t="s">
        <v>32</v>
      </c>
      <c r="U296" s="848" t="s">
        <v>32</v>
      </c>
      <c r="V296" s="848" t="s">
        <v>32</v>
      </c>
      <c r="W296" s="848" t="s">
        <v>32</v>
      </c>
      <c r="X296" s="644"/>
      <c r="Y296" s="848"/>
      <c r="Z296" s="644" t="s">
        <v>32</v>
      </c>
      <c r="AA296" s="644" t="s">
        <v>32</v>
      </c>
      <c r="AB296" s="644" t="s">
        <v>32</v>
      </c>
      <c r="AC296" s="644" t="s">
        <v>32</v>
      </c>
      <c r="AD296" s="848" t="s">
        <v>32</v>
      </c>
      <c r="AE296" s="848"/>
      <c r="AF296" s="848"/>
      <c r="AG296" s="300"/>
      <c r="AH296" s="297"/>
      <c r="AI296" s="298"/>
      <c r="AJ296" s="190"/>
    </row>
    <row r="297" spans="1:36" ht="21" customHeight="1" x14ac:dyDescent="0.2">
      <c r="A297" s="4488"/>
      <c r="B297" s="1175" t="s">
        <v>334</v>
      </c>
      <c r="C297" s="1110"/>
      <c r="D297" s="1110"/>
      <c r="E297" s="1110" t="s">
        <v>32</v>
      </c>
      <c r="F297" s="1110" t="s">
        <v>32</v>
      </c>
      <c r="G297" s="644" t="s">
        <v>32</v>
      </c>
      <c r="H297" s="848"/>
      <c r="I297" s="644"/>
      <c r="J297" s="644"/>
      <c r="K297" s="644"/>
      <c r="L297" s="644"/>
      <c r="M297" s="644" t="s">
        <v>32</v>
      </c>
      <c r="N297" s="848" t="s">
        <v>32</v>
      </c>
      <c r="O297" s="848" t="s">
        <v>32</v>
      </c>
      <c r="P297" s="848" t="s">
        <v>32</v>
      </c>
      <c r="Q297" s="975"/>
      <c r="R297" s="848"/>
      <c r="S297" s="644" t="s">
        <v>32</v>
      </c>
      <c r="T297" s="644" t="s">
        <v>32</v>
      </c>
      <c r="U297" s="848" t="s">
        <v>32</v>
      </c>
      <c r="V297" s="848" t="s">
        <v>32</v>
      </c>
      <c r="W297" s="4308" t="s">
        <v>32</v>
      </c>
      <c r="X297" s="644"/>
      <c r="Y297" s="848"/>
      <c r="Z297" s="644" t="s">
        <v>32</v>
      </c>
      <c r="AA297" s="644" t="s">
        <v>32</v>
      </c>
      <c r="AB297" s="644" t="s">
        <v>32</v>
      </c>
      <c r="AC297" s="964" t="s">
        <v>32</v>
      </c>
      <c r="AD297" s="964" t="s">
        <v>32</v>
      </c>
      <c r="AE297" s="845"/>
      <c r="AF297" s="845"/>
      <c r="AG297" s="3471"/>
      <c r="AH297" s="297"/>
      <c r="AI297" s="298"/>
      <c r="AJ297" s="190"/>
    </row>
    <row r="298" spans="1:36" ht="21" customHeight="1" x14ac:dyDescent="0.2">
      <c r="A298" s="4106"/>
      <c r="B298" s="1175" t="s">
        <v>335</v>
      </c>
      <c r="C298" s="1110"/>
      <c r="D298" s="1110"/>
      <c r="E298" s="1110" t="s">
        <v>32</v>
      </c>
      <c r="F298" s="1110" t="s">
        <v>32</v>
      </c>
      <c r="G298" s="644" t="s">
        <v>32</v>
      </c>
      <c r="H298" s="848"/>
      <c r="I298" s="644"/>
      <c r="J298" s="644"/>
      <c r="K298" s="644"/>
      <c r="L298" s="644"/>
      <c r="M298" s="644" t="s">
        <v>32</v>
      </c>
      <c r="N298" s="848" t="s">
        <v>32</v>
      </c>
      <c r="O298" s="848" t="s">
        <v>32</v>
      </c>
      <c r="P298" s="848" t="s">
        <v>32</v>
      </c>
      <c r="Q298" s="975"/>
      <c r="R298" s="848"/>
      <c r="S298" s="644" t="s">
        <v>32</v>
      </c>
      <c r="T298" s="644" t="s">
        <v>32</v>
      </c>
      <c r="U298" s="848" t="s">
        <v>32</v>
      </c>
      <c r="V298" s="848" t="s">
        <v>32</v>
      </c>
      <c r="W298" s="848" t="s">
        <v>32</v>
      </c>
      <c r="X298" s="644"/>
      <c r="Y298" s="848"/>
      <c r="Z298" s="644" t="s">
        <v>32</v>
      </c>
      <c r="AA298" s="644" t="s">
        <v>32</v>
      </c>
      <c r="AB298" s="644" t="s">
        <v>32</v>
      </c>
      <c r="AC298" s="644" t="s">
        <v>32</v>
      </c>
      <c r="AD298" s="848" t="s">
        <v>32</v>
      </c>
      <c r="AE298" s="848"/>
      <c r="AF298" s="644"/>
      <c r="AG298" s="3471"/>
      <c r="AH298" s="297"/>
      <c r="AI298" s="298"/>
      <c r="AJ298" s="190"/>
    </row>
    <row r="299" spans="1:36" ht="21" customHeight="1" x14ac:dyDescent="0.2">
      <c r="A299" s="4489"/>
      <c r="B299" s="1175" t="s">
        <v>336</v>
      </c>
      <c r="C299" s="1110"/>
      <c r="D299" s="1110"/>
      <c r="E299" s="1110" t="s">
        <v>32</v>
      </c>
      <c r="F299" s="1110" t="s">
        <v>32</v>
      </c>
      <c r="G299" s="644" t="s">
        <v>32</v>
      </c>
      <c r="H299" s="848"/>
      <c r="I299" s="644"/>
      <c r="J299" s="644"/>
      <c r="K299" s="644"/>
      <c r="L299" s="644"/>
      <c r="M299" s="644" t="s">
        <v>32</v>
      </c>
      <c r="N299" s="848" t="s">
        <v>32</v>
      </c>
      <c r="O299" s="848" t="s">
        <v>32</v>
      </c>
      <c r="P299" s="848" t="s">
        <v>32</v>
      </c>
      <c r="Q299" s="975"/>
      <c r="R299" s="848"/>
      <c r="S299" s="4307" t="s">
        <v>32</v>
      </c>
      <c r="T299" s="4307" t="s">
        <v>32</v>
      </c>
      <c r="U299" s="4307" t="s">
        <v>32</v>
      </c>
      <c r="V299" s="4307" t="s">
        <v>32</v>
      </c>
      <c r="W299" s="4307" t="s">
        <v>32</v>
      </c>
      <c r="X299" s="644"/>
      <c r="Y299" s="848"/>
      <c r="Z299" s="644" t="s">
        <v>32</v>
      </c>
      <c r="AA299" s="644" t="s">
        <v>32</v>
      </c>
      <c r="AB299" s="644" t="s">
        <v>32</v>
      </c>
      <c r="AC299" s="644" t="s">
        <v>32</v>
      </c>
      <c r="AD299" s="848" t="s">
        <v>32</v>
      </c>
      <c r="AE299" s="848"/>
      <c r="AF299" s="848"/>
      <c r="AG299" s="3471"/>
      <c r="AH299" s="297"/>
      <c r="AI299" s="298"/>
      <c r="AJ299" s="190"/>
    </row>
    <row r="300" spans="1:36" ht="21" customHeight="1" x14ac:dyDescent="0.2">
      <c r="A300" s="4489"/>
      <c r="B300" s="1175" t="s">
        <v>337</v>
      </c>
      <c r="C300" s="1110"/>
      <c r="D300" s="1110"/>
      <c r="E300" s="1110" t="s">
        <v>32</v>
      </c>
      <c r="F300" s="1110" t="s">
        <v>32</v>
      </c>
      <c r="G300" s="644" t="s">
        <v>32</v>
      </c>
      <c r="H300" s="848"/>
      <c r="I300" s="644"/>
      <c r="J300" s="644"/>
      <c r="K300" s="644"/>
      <c r="L300" s="644"/>
      <c r="M300" s="644" t="s">
        <v>32</v>
      </c>
      <c r="N300" s="848" t="s">
        <v>32</v>
      </c>
      <c r="O300" s="848" t="s">
        <v>32</v>
      </c>
      <c r="P300" s="859" t="s">
        <v>32</v>
      </c>
      <c r="Q300" s="4256"/>
      <c r="R300" s="4256"/>
      <c r="S300" s="859" t="s">
        <v>32</v>
      </c>
      <c r="T300" s="644" t="s">
        <v>32</v>
      </c>
      <c r="U300" s="848" t="s">
        <v>32</v>
      </c>
      <c r="V300" s="848" t="s">
        <v>32</v>
      </c>
      <c r="W300" s="848" t="s">
        <v>32</v>
      </c>
      <c r="X300" s="644"/>
      <c r="Y300" s="848"/>
      <c r="Z300" s="644" t="s">
        <v>32</v>
      </c>
      <c r="AA300" s="644" t="s">
        <v>32</v>
      </c>
      <c r="AB300" s="644" t="s">
        <v>32</v>
      </c>
      <c r="AC300" s="644" t="s">
        <v>32</v>
      </c>
      <c r="AD300" s="848" t="s">
        <v>32</v>
      </c>
      <c r="AE300" s="848"/>
      <c r="AF300" s="848"/>
      <c r="AG300" s="3661"/>
      <c r="AH300" s="297"/>
      <c r="AI300" s="298"/>
      <c r="AJ300" s="190"/>
    </row>
    <row r="301" spans="1:36" ht="21" customHeight="1" x14ac:dyDescent="0.2">
      <c r="A301" s="4489"/>
      <c r="B301" s="1175" t="s">
        <v>338</v>
      </c>
      <c r="C301" s="1110"/>
      <c r="D301" s="1110"/>
      <c r="E301" s="859" t="s">
        <v>32</v>
      </c>
      <c r="F301" s="859" t="s">
        <v>32</v>
      </c>
      <c r="G301" s="859" t="s">
        <v>32</v>
      </c>
      <c r="H301" s="848"/>
      <c r="I301" s="644"/>
      <c r="J301" s="644"/>
      <c r="K301" s="644"/>
      <c r="L301" s="644"/>
      <c r="M301" s="644" t="s">
        <v>32</v>
      </c>
      <c r="N301" s="848" t="s">
        <v>32</v>
      </c>
      <c r="O301" s="848" t="s">
        <v>32</v>
      </c>
      <c r="P301" s="848" t="s">
        <v>32</v>
      </c>
      <c r="Q301" s="975"/>
      <c r="R301" s="848"/>
      <c r="S301" s="644" t="s">
        <v>32</v>
      </c>
      <c r="T301" s="644" t="s">
        <v>32</v>
      </c>
      <c r="U301" s="848" t="s">
        <v>32</v>
      </c>
      <c r="V301" s="848" t="s">
        <v>32</v>
      </c>
      <c r="W301" s="848" t="s">
        <v>32</v>
      </c>
      <c r="X301" s="644"/>
      <c r="Y301" s="848"/>
      <c r="Z301" s="644" t="s">
        <v>32</v>
      </c>
      <c r="AA301" s="644" t="s">
        <v>32</v>
      </c>
      <c r="AB301" s="644" t="s">
        <v>32</v>
      </c>
      <c r="AC301" s="859" t="s">
        <v>32</v>
      </c>
      <c r="AD301" s="859" t="s">
        <v>32</v>
      </c>
      <c r="AE301" s="848"/>
      <c r="AF301" s="848"/>
      <c r="AG301" s="3617"/>
      <c r="AH301" s="297"/>
      <c r="AI301" s="298"/>
      <c r="AJ301" s="190"/>
    </row>
    <row r="302" spans="1:36" ht="21" customHeight="1" x14ac:dyDescent="0.2">
      <c r="A302" s="4489"/>
      <c r="B302" s="1175" t="s">
        <v>339</v>
      </c>
      <c r="C302" s="1110"/>
      <c r="D302" s="1110"/>
      <c r="E302" s="859" t="s">
        <v>32</v>
      </c>
      <c r="F302" s="859" t="s">
        <v>32</v>
      </c>
      <c r="G302" s="859" t="s">
        <v>32</v>
      </c>
      <c r="H302" s="848"/>
      <c r="I302" s="644"/>
      <c r="J302" s="644"/>
      <c r="K302" s="644"/>
      <c r="L302" s="644"/>
      <c r="M302" s="644" t="s">
        <v>32</v>
      </c>
      <c r="N302" s="848" t="s">
        <v>32</v>
      </c>
      <c r="O302" s="848" t="s">
        <v>32</v>
      </c>
      <c r="P302" s="848" t="s">
        <v>32</v>
      </c>
      <c r="Q302" s="975"/>
      <c r="R302" s="848"/>
      <c r="S302" s="644" t="s">
        <v>32</v>
      </c>
      <c r="T302" s="644" t="s">
        <v>32</v>
      </c>
      <c r="U302" s="848" t="s">
        <v>32</v>
      </c>
      <c r="V302" s="848" t="s">
        <v>32</v>
      </c>
      <c r="W302" s="859" t="s">
        <v>32</v>
      </c>
      <c r="X302" s="644"/>
      <c r="Y302" s="848"/>
      <c r="Z302" s="644" t="s">
        <v>32</v>
      </c>
      <c r="AA302" s="644" t="s">
        <v>32</v>
      </c>
      <c r="AB302" s="644" t="s">
        <v>32</v>
      </c>
      <c r="AC302" s="644" t="s">
        <v>32</v>
      </c>
      <c r="AD302" s="848" t="s">
        <v>32</v>
      </c>
      <c r="AE302" s="848"/>
      <c r="AF302" s="848"/>
      <c r="AG302" s="3617"/>
      <c r="AH302" s="297"/>
      <c r="AI302" s="298"/>
      <c r="AJ302" s="190"/>
    </row>
    <row r="303" spans="1:36" ht="21" customHeight="1" x14ac:dyDescent="0.2">
      <c r="A303" s="4489"/>
      <c r="B303" s="1175" t="s">
        <v>370</v>
      </c>
      <c r="C303" s="1110"/>
      <c r="D303" s="1110"/>
      <c r="E303" s="1110" t="s">
        <v>32</v>
      </c>
      <c r="F303" s="1110" t="s">
        <v>32</v>
      </c>
      <c r="G303" s="644" t="s">
        <v>32</v>
      </c>
      <c r="H303" s="848"/>
      <c r="I303" s="644"/>
      <c r="J303" s="644"/>
      <c r="K303" s="644"/>
      <c r="L303" s="644"/>
      <c r="M303" s="644" t="s">
        <v>32</v>
      </c>
      <c r="N303" s="848" t="s">
        <v>32</v>
      </c>
      <c r="O303" s="848" t="s">
        <v>32</v>
      </c>
      <c r="P303" s="848" t="s">
        <v>32</v>
      </c>
      <c r="Q303" s="975"/>
      <c r="R303" s="848"/>
      <c r="S303" s="644" t="s">
        <v>32</v>
      </c>
      <c r="T303" s="644" t="s">
        <v>32</v>
      </c>
      <c r="U303" s="848" t="s">
        <v>32</v>
      </c>
      <c r="V303" s="848" t="s">
        <v>32</v>
      </c>
      <c r="W303" s="848" t="s">
        <v>32</v>
      </c>
      <c r="X303" s="644"/>
      <c r="Y303" s="848"/>
      <c r="Z303" s="644" t="s">
        <v>32</v>
      </c>
      <c r="AA303" s="644" t="s">
        <v>32</v>
      </c>
      <c r="AB303" s="644" t="s">
        <v>32</v>
      </c>
      <c r="AC303" s="644" t="s">
        <v>32</v>
      </c>
      <c r="AD303" s="848" t="s">
        <v>32</v>
      </c>
      <c r="AE303" s="848"/>
      <c r="AF303" s="644"/>
      <c r="AG303" s="3617"/>
      <c r="AH303" s="297"/>
      <c r="AI303" s="298"/>
      <c r="AJ303" s="190"/>
    </row>
    <row r="304" spans="1:36" ht="21" customHeight="1" x14ac:dyDescent="0.2">
      <c r="A304" s="4489"/>
      <c r="B304" s="1175" t="s">
        <v>340</v>
      </c>
      <c r="C304" s="1110"/>
      <c r="D304" s="1110"/>
      <c r="E304" s="859" t="s">
        <v>32</v>
      </c>
      <c r="F304" s="859" t="s">
        <v>32</v>
      </c>
      <c r="G304" s="859" t="s">
        <v>32</v>
      </c>
      <c r="H304" s="848"/>
      <c r="I304" s="644"/>
      <c r="J304" s="644"/>
      <c r="K304" s="644"/>
      <c r="L304" s="644"/>
      <c r="M304" s="644" t="s">
        <v>32</v>
      </c>
      <c r="N304" s="848" t="s">
        <v>32</v>
      </c>
      <c r="O304" s="848" t="s">
        <v>32</v>
      </c>
      <c r="P304" s="848" t="s">
        <v>32</v>
      </c>
      <c r="Q304" s="975"/>
      <c r="R304" s="848"/>
      <c r="S304" s="644" t="s">
        <v>32</v>
      </c>
      <c r="T304" s="644" t="s">
        <v>32</v>
      </c>
      <c r="U304" s="848" t="s">
        <v>32</v>
      </c>
      <c r="V304" s="848" t="s">
        <v>32</v>
      </c>
      <c r="W304" s="848" t="s">
        <v>32</v>
      </c>
      <c r="X304" s="644"/>
      <c r="Y304" s="848"/>
      <c r="Z304" s="644" t="s">
        <v>32</v>
      </c>
      <c r="AA304" s="644" t="s">
        <v>32</v>
      </c>
      <c r="AB304" s="644" t="s">
        <v>32</v>
      </c>
      <c r="AC304" s="644" t="s">
        <v>32</v>
      </c>
      <c r="AD304" s="848" t="s">
        <v>32</v>
      </c>
      <c r="AE304" s="848"/>
      <c r="AF304" s="848"/>
      <c r="AG304" s="3617"/>
      <c r="AH304" s="297"/>
      <c r="AI304" s="298"/>
      <c r="AJ304" s="190"/>
    </row>
    <row r="305" spans="1:36" ht="21" customHeight="1" x14ac:dyDescent="0.2">
      <c r="A305" s="4489"/>
      <c r="B305" s="1175" t="s">
        <v>341</v>
      </c>
      <c r="C305" s="1110"/>
      <c r="D305" s="1110"/>
      <c r="E305" s="1110" t="s">
        <v>32</v>
      </c>
      <c r="F305" s="1110" t="s">
        <v>32</v>
      </c>
      <c r="G305" s="644" t="s">
        <v>32</v>
      </c>
      <c r="H305" s="848"/>
      <c r="I305" s="644"/>
      <c r="J305" s="644"/>
      <c r="K305" s="644"/>
      <c r="L305" s="644"/>
      <c r="M305" s="644" t="s">
        <v>32</v>
      </c>
      <c r="N305" s="848" t="s">
        <v>32</v>
      </c>
      <c r="O305" s="848" t="s">
        <v>32</v>
      </c>
      <c r="P305" s="848" t="s">
        <v>32</v>
      </c>
      <c r="Q305" s="975"/>
      <c r="R305" s="848"/>
      <c r="S305" s="644" t="s">
        <v>32</v>
      </c>
      <c r="T305" s="644" t="s">
        <v>32</v>
      </c>
      <c r="U305" s="848" t="s">
        <v>32</v>
      </c>
      <c r="V305" s="848" t="s">
        <v>32</v>
      </c>
      <c r="W305" s="848" t="s">
        <v>32</v>
      </c>
      <c r="X305" s="644"/>
      <c r="Y305" s="848"/>
      <c r="Z305" s="644" t="s">
        <v>32</v>
      </c>
      <c r="AA305" s="644" t="s">
        <v>32</v>
      </c>
      <c r="AB305" s="644" t="s">
        <v>32</v>
      </c>
      <c r="AC305" s="644" t="s">
        <v>32</v>
      </c>
      <c r="AD305" s="848" t="s">
        <v>32</v>
      </c>
      <c r="AE305" s="848"/>
      <c r="AF305" s="848"/>
      <c r="AG305" s="3617"/>
      <c r="AH305" s="297"/>
      <c r="AI305" s="298"/>
      <c r="AJ305" s="190"/>
    </row>
    <row r="306" spans="1:36" ht="21" customHeight="1" x14ac:dyDescent="0.2">
      <c r="A306" s="4489"/>
      <c r="B306" s="1175" t="s">
        <v>342</v>
      </c>
      <c r="C306" s="1110"/>
      <c r="D306" s="1110"/>
      <c r="E306" s="1110" t="s">
        <v>32</v>
      </c>
      <c r="F306" s="1110" t="s">
        <v>32</v>
      </c>
      <c r="G306" s="644" t="s">
        <v>32</v>
      </c>
      <c r="H306" s="848"/>
      <c r="I306" s="644"/>
      <c r="J306" s="644"/>
      <c r="K306" s="644"/>
      <c r="L306" s="644"/>
      <c r="M306" s="644" t="s">
        <v>32</v>
      </c>
      <c r="N306" s="848" t="s">
        <v>32</v>
      </c>
      <c r="O306" s="848" t="s">
        <v>32</v>
      </c>
      <c r="P306" s="848" t="s">
        <v>32</v>
      </c>
      <c r="Q306" s="975"/>
      <c r="R306" s="848"/>
      <c r="S306" s="644" t="s">
        <v>32</v>
      </c>
      <c r="T306" s="644" t="s">
        <v>32</v>
      </c>
      <c r="U306" s="848" t="s">
        <v>32</v>
      </c>
      <c r="V306" s="848" t="s">
        <v>32</v>
      </c>
      <c r="W306" s="848" t="s">
        <v>32</v>
      </c>
      <c r="X306" s="644"/>
      <c r="Y306" s="848"/>
      <c r="Z306" s="644" t="s">
        <v>32</v>
      </c>
      <c r="AA306" s="644" t="s">
        <v>32</v>
      </c>
      <c r="AB306" s="644" t="s">
        <v>32</v>
      </c>
      <c r="AC306" s="644" t="s">
        <v>32</v>
      </c>
      <c r="AD306" s="848" t="s">
        <v>32</v>
      </c>
      <c r="AE306" s="848"/>
      <c r="AF306" s="644"/>
      <c r="AG306" s="3617"/>
      <c r="AH306" s="297"/>
      <c r="AI306" s="298"/>
      <c r="AJ306" s="190"/>
    </row>
    <row r="307" spans="1:36" ht="21" customHeight="1" x14ac:dyDescent="0.2">
      <c r="A307" s="4489"/>
      <c r="B307" s="1175"/>
      <c r="C307" s="644"/>
      <c r="D307" s="974"/>
      <c r="E307" s="644"/>
      <c r="F307" s="644"/>
      <c r="G307" s="644"/>
      <c r="H307" s="644"/>
      <c r="I307" s="644"/>
      <c r="J307" s="644"/>
      <c r="K307" s="644"/>
      <c r="L307" s="644"/>
      <c r="M307" s="644"/>
      <c r="N307" s="644"/>
      <c r="O307" s="644"/>
      <c r="P307" s="644"/>
      <c r="Q307" s="644"/>
      <c r="R307" s="644"/>
      <c r="S307" s="644"/>
      <c r="T307" s="644"/>
      <c r="U307" s="644"/>
      <c r="V307" s="644"/>
      <c r="W307" s="644"/>
      <c r="X307" s="644"/>
      <c r="Y307" s="644"/>
      <c r="Z307" s="644"/>
      <c r="AA307" s="644"/>
      <c r="AB307" s="644"/>
      <c r="AC307" s="644"/>
      <c r="AD307" s="644"/>
      <c r="AE307" s="644"/>
      <c r="AF307" s="644"/>
      <c r="AG307" s="3617"/>
      <c r="AH307" s="297"/>
      <c r="AI307" s="298"/>
      <c r="AJ307" s="190"/>
    </row>
    <row r="308" spans="1:36" ht="21" customHeight="1" x14ac:dyDescent="0.2">
      <c r="A308" s="4162"/>
      <c r="B308" s="4490"/>
      <c r="C308" s="3616"/>
      <c r="D308" s="3616"/>
      <c r="E308" s="3616"/>
      <c r="F308" s="3616"/>
      <c r="G308" s="3616"/>
      <c r="H308" s="3616"/>
      <c r="I308" s="3616"/>
      <c r="J308" s="3616"/>
      <c r="K308" s="3616"/>
      <c r="L308" s="3616"/>
      <c r="M308" s="3616"/>
      <c r="N308" s="3538"/>
      <c r="O308" s="3538"/>
      <c r="P308" s="3616"/>
      <c r="Q308" s="3616"/>
      <c r="R308" s="3616"/>
      <c r="S308" s="3616"/>
      <c r="T308" s="3616"/>
      <c r="U308" s="3616"/>
      <c r="V308" s="3616"/>
      <c r="W308" s="3616"/>
      <c r="X308" s="3616"/>
      <c r="Y308" s="3616"/>
      <c r="Z308" s="3616"/>
      <c r="AA308" s="3616"/>
      <c r="AB308" s="3538"/>
      <c r="AC308" s="3538"/>
      <c r="AD308" s="3616"/>
      <c r="AE308" s="3616"/>
      <c r="AF308" s="3616"/>
      <c r="AG308" s="3617"/>
      <c r="AH308" s="297"/>
      <c r="AI308" s="299"/>
      <c r="AJ308" s="190"/>
    </row>
    <row r="309" spans="1:36" ht="21" customHeight="1" thickBot="1" x14ac:dyDescent="0.25">
      <c r="A309" s="4491"/>
      <c r="B309" s="4492"/>
      <c r="C309" s="3476"/>
      <c r="D309" s="3477"/>
      <c r="E309" s="3477"/>
      <c r="F309" s="3477"/>
      <c r="G309" s="3477"/>
      <c r="H309" s="3477"/>
      <c r="I309" s="3477"/>
      <c r="J309" s="3477"/>
      <c r="K309" s="3477"/>
      <c r="L309" s="3477"/>
      <c r="M309" s="3477"/>
      <c r="N309" s="3478"/>
      <c r="O309" s="3478"/>
      <c r="P309" s="3477"/>
      <c r="Q309" s="3477"/>
      <c r="R309" s="3477"/>
      <c r="S309" s="3477"/>
      <c r="T309" s="3477"/>
      <c r="U309" s="3477"/>
      <c r="V309" s="3477"/>
      <c r="W309" s="3477"/>
      <c r="X309" s="3477"/>
      <c r="Y309" s="3477"/>
      <c r="Z309" s="3477"/>
      <c r="AA309" s="3477"/>
      <c r="AB309" s="3478"/>
      <c r="AC309" s="3478"/>
      <c r="AD309" s="3477"/>
      <c r="AE309" s="3477"/>
      <c r="AF309" s="3477"/>
      <c r="AG309" s="3479"/>
      <c r="AH309" s="297"/>
      <c r="AI309" s="299"/>
      <c r="AJ309" s="190"/>
    </row>
    <row r="310" spans="1:36" x14ac:dyDescent="0.2">
      <c r="AH310" s="190"/>
      <c r="AI310" s="190"/>
      <c r="AJ310" s="190"/>
    </row>
    <row r="311" spans="1:36" x14ac:dyDescent="0.2">
      <c r="AH311" s="190"/>
      <c r="AI311" s="190"/>
      <c r="AJ311" s="190"/>
    </row>
    <row r="312" spans="1:36" x14ac:dyDescent="0.2">
      <c r="AH312" s="190"/>
      <c r="AI312" s="190"/>
      <c r="AJ312" s="190"/>
    </row>
    <row r="313" spans="1:36" x14ac:dyDescent="0.2">
      <c r="AH313" s="190"/>
      <c r="AI313" s="190"/>
      <c r="AJ313" s="190"/>
    </row>
  </sheetData>
  <sheetProtection algorithmName="SHA-512" hashValue="shCBu+7eJG4cArmJcF8FyT/CITno8suJrBMWoPBR3dzlTt8PEr231LiwMKnz4cqJ1K8Wt4YXHw3D6lWIcVP2Ng==" saltValue="fHzyQjjpl2+i0fKVooUvFQ==" spinCount="100000" sheet="1" objects="1" scenarios="1"/>
  <protectedRanges>
    <protectedRange sqref="B147:B148"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51:B152"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149:G149 C150:G150 E128:G128" name="Område1_1_1_1_2"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mergeCells count="1">
    <mergeCell ref="T31:Z31"/>
  </mergeCells>
  <phoneticPr fontId="9" type="noConversion"/>
  <pageMargins left="0.19652777777777777" right="0" top="0.19652777777777777" bottom="0" header="0.19652777777777777" footer="0.51180555555555551"/>
  <pageSetup paperSize="9" scale="95" firstPageNumber="0" orientation="landscape" horizontalDpi="300" verticalDpi="300" r:id="rId1"/>
  <headerFooter alignWithMargins="0">
    <oddHeader xml:space="preserve">&amp;R&amp;"Arial,fed"&amp;12&amp;A </oddHeader>
  </headerFooter>
  <ignoredErrors>
    <ignoredError sqref="H40:I40 AB41" numberStoredAsText="1"/>
  </ignoredErrors>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7C337-07A8-4F0E-99A1-C7DD9E4467CA}">
  <sheetPr codeName="Ark18">
    <pageSetUpPr fitToPage="1"/>
  </sheetPr>
  <dimension ref="A1:F24"/>
  <sheetViews>
    <sheetView topLeftCell="A6" zoomScale="67" zoomScaleNormal="67" workbookViewId="0">
      <selection activeCell="B2" sqref="A2:B4"/>
    </sheetView>
  </sheetViews>
  <sheetFormatPr defaultRowHeight="12" x14ac:dyDescent="0.2"/>
  <cols>
    <col min="1" max="1" width="83.140625" customWidth="1"/>
    <col min="2" max="2" width="20.140625" customWidth="1"/>
    <col min="3" max="3" width="17.42578125" customWidth="1"/>
    <col min="4" max="4" width="17.5703125" customWidth="1"/>
    <col min="5" max="5" width="18" customWidth="1"/>
    <col min="6" max="6" width="19.85546875" customWidth="1"/>
  </cols>
  <sheetData>
    <row r="1" spans="1:6" ht="39.75" customHeight="1" x14ac:dyDescent="0.4">
      <c r="A1" s="4493" t="s">
        <v>511</v>
      </c>
      <c r="B1" s="4494" t="s">
        <v>512</v>
      </c>
      <c r="C1" s="4495" t="s">
        <v>513</v>
      </c>
      <c r="D1" s="4496" t="s">
        <v>514</v>
      </c>
      <c r="E1" s="4496" t="s">
        <v>515</v>
      </c>
      <c r="F1" s="4497" t="s">
        <v>516</v>
      </c>
    </row>
    <row r="2" spans="1:6" ht="44.25" customHeight="1" x14ac:dyDescent="0.3">
      <c r="A2" s="123" t="s">
        <v>517</v>
      </c>
      <c r="B2" s="4498"/>
      <c r="C2" s="4499" t="s">
        <v>518</v>
      </c>
      <c r="D2" s="4499" t="s">
        <v>518</v>
      </c>
      <c r="E2" s="4499" t="s">
        <v>519</v>
      </c>
      <c r="F2" s="4499" t="s">
        <v>520</v>
      </c>
    </row>
    <row r="3" spans="1:6" ht="48" customHeight="1" x14ac:dyDescent="0.3">
      <c r="A3" s="4500" t="s">
        <v>521</v>
      </c>
      <c r="B3" s="4499" t="s">
        <v>522</v>
      </c>
      <c r="C3" s="4501" t="s">
        <v>523</v>
      </c>
      <c r="D3" s="4499" t="s">
        <v>523</v>
      </c>
      <c r="E3" s="4499" t="s">
        <v>523</v>
      </c>
      <c r="F3" s="4499" t="s">
        <v>523</v>
      </c>
    </row>
    <row r="4" spans="1:6" ht="45" customHeight="1" x14ac:dyDescent="0.3">
      <c r="A4" s="4500" t="s">
        <v>524</v>
      </c>
      <c r="B4" s="4499" t="s">
        <v>525</v>
      </c>
      <c r="C4" s="4502" t="s">
        <v>526</v>
      </c>
      <c r="D4" s="4501" t="s">
        <v>526</v>
      </c>
      <c r="E4" s="4501" t="s">
        <v>527</v>
      </c>
      <c r="F4" s="4501" t="s">
        <v>526</v>
      </c>
    </row>
    <row r="5" spans="1:6" ht="45" customHeight="1" x14ac:dyDescent="0.3">
      <c r="A5" s="4503" t="s">
        <v>528</v>
      </c>
      <c r="B5" s="4499"/>
      <c r="C5" s="4504"/>
      <c r="D5" s="317"/>
      <c r="E5" s="317"/>
      <c r="F5" s="317"/>
    </row>
    <row r="6" spans="1:6" ht="45" customHeight="1" x14ac:dyDescent="0.3">
      <c r="A6" s="4500" t="s">
        <v>529</v>
      </c>
      <c r="B6" s="4499" t="s">
        <v>530</v>
      </c>
      <c r="C6" s="4505"/>
      <c r="D6" s="151"/>
    </row>
    <row r="7" spans="1:6" ht="45" customHeight="1" x14ac:dyDescent="0.3">
      <c r="A7" s="4500" t="s">
        <v>531</v>
      </c>
      <c r="B7" s="4499" t="s">
        <v>522</v>
      </c>
      <c r="C7" s="181"/>
    </row>
    <row r="8" spans="1:6" ht="48.75" customHeight="1" x14ac:dyDescent="0.3">
      <c r="A8" s="4506" t="s">
        <v>532</v>
      </c>
      <c r="B8" s="4507" t="s">
        <v>533</v>
      </c>
      <c r="C8" s="182"/>
    </row>
    <row r="9" spans="1:6" ht="58.5" customHeight="1" x14ac:dyDescent="0.3">
      <c r="A9" s="4508" t="s">
        <v>534</v>
      </c>
      <c r="B9" s="4507" t="s">
        <v>535</v>
      </c>
      <c r="C9" s="182"/>
    </row>
    <row r="10" spans="1:6" ht="45" customHeight="1" x14ac:dyDescent="0.3">
      <c r="A10" s="4506" t="s">
        <v>536</v>
      </c>
      <c r="B10" s="4507" t="s">
        <v>522</v>
      </c>
    </row>
    <row r="11" spans="1:6" ht="45" customHeight="1" x14ac:dyDescent="0.3">
      <c r="A11" s="4500" t="s">
        <v>537</v>
      </c>
      <c r="B11" s="4499" t="s">
        <v>538</v>
      </c>
    </row>
    <row r="12" spans="1:6" ht="45" customHeight="1" x14ac:dyDescent="0.3">
      <c r="A12" s="4509"/>
      <c r="B12" s="4499"/>
    </row>
    <row r="13" spans="1:6" ht="45" customHeight="1" x14ac:dyDescent="0.3">
      <c r="A13" s="4510" t="s">
        <v>539</v>
      </c>
      <c r="B13" s="4511" t="s">
        <v>540</v>
      </c>
    </row>
    <row r="14" spans="1:6" ht="45" customHeight="1" x14ac:dyDescent="0.3">
      <c r="A14" s="4512" t="s">
        <v>541</v>
      </c>
      <c r="B14" s="4513" t="s">
        <v>542</v>
      </c>
    </row>
    <row r="15" spans="1:6" ht="45" customHeight="1" x14ac:dyDescent="0.3">
      <c r="A15" s="4512" t="s">
        <v>543</v>
      </c>
      <c r="B15" s="4513" t="s">
        <v>544</v>
      </c>
      <c r="C15" s="290"/>
    </row>
    <row r="16" spans="1:6" ht="45" customHeight="1" x14ac:dyDescent="0.3">
      <c r="A16" s="4514" t="s">
        <v>545</v>
      </c>
      <c r="B16" s="4511" t="s">
        <v>540</v>
      </c>
      <c r="C16" s="4515" t="s">
        <v>546</v>
      </c>
      <c r="D16" s="290"/>
    </row>
    <row r="17" spans="1:4" ht="45" customHeight="1" x14ac:dyDescent="0.3">
      <c r="A17" s="4516" t="s">
        <v>547</v>
      </c>
      <c r="B17" s="4517" t="s">
        <v>548</v>
      </c>
      <c r="C17" s="4515" t="s">
        <v>549</v>
      </c>
      <c r="D17" s="290"/>
    </row>
    <row r="18" spans="1:4" ht="45" customHeight="1" x14ac:dyDescent="0.3">
      <c r="A18" s="4518" t="s">
        <v>550</v>
      </c>
      <c r="B18" s="4519" t="s">
        <v>551</v>
      </c>
      <c r="C18" s="4520" t="s">
        <v>552</v>
      </c>
      <c r="D18" s="290"/>
    </row>
    <row r="19" spans="1:4" ht="45" customHeight="1" x14ac:dyDescent="0.3">
      <c r="A19" s="4521" t="s">
        <v>553</v>
      </c>
      <c r="B19" s="4522" t="s">
        <v>554</v>
      </c>
    </row>
    <row r="20" spans="1:4" ht="45" customHeight="1" x14ac:dyDescent="0.3">
      <c r="A20" s="4523"/>
      <c r="B20" s="304"/>
    </row>
    <row r="21" spans="1:4" ht="45" customHeight="1" x14ac:dyDescent="0.3">
      <c r="A21" s="4524" t="s">
        <v>555</v>
      </c>
      <c r="B21" s="4525">
        <v>320</v>
      </c>
    </row>
    <row r="22" spans="1:4" ht="25.35" customHeight="1" x14ac:dyDescent="0.3">
      <c r="A22" s="4526" t="s">
        <v>556</v>
      </c>
      <c r="B22" s="4527">
        <v>110</v>
      </c>
    </row>
    <row r="23" spans="1:4" ht="30.6" customHeight="1" x14ac:dyDescent="0.3">
      <c r="A23" s="4526" t="s">
        <v>557</v>
      </c>
      <c r="B23" s="305">
        <v>30</v>
      </c>
    </row>
    <row r="24" spans="1:4" ht="47.1" customHeight="1" x14ac:dyDescent="0.3">
      <c r="A24" s="4526" t="s">
        <v>558</v>
      </c>
      <c r="B24" s="4528">
        <v>30</v>
      </c>
    </row>
  </sheetData>
  <sheetProtection algorithmName="SHA-512" hashValue="rztYPxSy400KoR1smAtDGwZXMyp6dKlT/Ejg8ZhZvgEwKHjxEIt2VcZ/rAHv1zm+p2NHSBKk9CvZoFA5vgcz2w==" saltValue="4HHjA5wBojjwXv3wGU2QFw==" spinCount="100000" sheet="1" objects="1" scenarios="1"/>
  <pageMargins left="0" right="0" top="0.39374999999999999" bottom="0.19652777777777777" header="0.51180555555555551" footer="0.51180555555555551"/>
  <pageSetup paperSize="9" scale="62" firstPageNumber="0" orientation="portrait"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0DDE-4073-47D8-8D01-D89FB7BE4023}">
  <dimension ref="A1:F24"/>
  <sheetViews>
    <sheetView topLeftCell="A12" workbookViewId="0"/>
  </sheetViews>
  <sheetFormatPr defaultRowHeight="12" x14ac:dyDescent="0.2"/>
  <cols>
    <col min="1" max="1" width="53.28515625" bestFit="1" customWidth="1"/>
    <col min="2" max="2" width="19.140625" bestFit="1" customWidth="1"/>
    <col min="3" max="3" width="20.7109375" bestFit="1" customWidth="1"/>
    <col min="4" max="4" width="19.42578125" bestFit="1" customWidth="1"/>
    <col min="5" max="5" width="19.85546875" bestFit="1" customWidth="1"/>
    <col min="6" max="6" width="19.42578125" bestFit="1" customWidth="1"/>
  </cols>
  <sheetData>
    <row r="1" spans="1:6" ht="60" x14ac:dyDescent="0.4">
      <c r="A1" s="4493" t="s">
        <v>559</v>
      </c>
      <c r="B1" s="4494" t="s">
        <v>512</v>
      </c>
      <c r="C1" s="4495" t="s">
        <v>513</v>
      </c>
      <c r="D1" s="4496" t="s">
        <v>514</v>
      </c>
      <c r="E1" s="4496" t="s">
        <v>515</v>
      </c>
      <c r="F1" s="4497" t="s">
        <v>516</v>
      </c>
    </row>
    <row r="2" spans="1:6" ht="36.75" x14ac:dyDescent="0.3">
      <c r="A2" s="123" t="s">
        <v>517</v>
      </c>
      <c r="B2" s="4498"/>
      <c r="C2" s="4499" t="s">
        <v>560</v>
      </c>
      <c r="D2" s="4499" t="s">
        <v>560</v>
      </c>
      <c r="E2" s="4499" t="s">
        <v>561</v>
      </c>
      <c r="F2" s="4499" t="s">
        <v>562</v>
      </c>
    </row>
    <row r="3" spans="1:6" ht="36.75" x14ac:dyDescent="0.3">
      <c r="A3" s="4529" t="s">
        <v>563</v>
      </c>
      <c r="B3" s="4499" t="s">
        <v>522</v>
      </c>
      <c r="C3" s="4501" t="s">
        <v>523</v>
      </c>
      <c r="D3" s="4499" t="s">
        <v>523</v>
      </c>
      <c r="E3" s="4499" t="s">
        <v>523</v>
      </c>
      <c r="F3" s="4499" t="s">
        <v>523</v>
      </c>
    </row>
    <row r="4" spans="1:6" ht="36.75" x14ac:dyDescent="0.3">
      <c r="A4" s="4529" t="s">
        <v>564</v>
      </c>
      <c r="B4" s="4499" t="s">
        <v>525</v>
      </c>
      <c r="C4" s="4502" t="s">
        <v>526</v>
      </c>
      <c r="D4" s="4501" t="s">
        <v>526</v>
      </c>
      <c r="E4" s="4501" t="s">
        <v>527</v>
      </c>
      <c r="F4" s="4501" t="s">
        <v>526</v>
      </c>
    </row>
    <row r="5" spans="1:6" ht="54.75" x14ac:dyDescent="0.3">
      <c r="A5" s="4503" t="s">
        <v>565</v>
      </c>
      <c r="B5" s="4499"/>
      <c r="C5" s="4504"/>
      <c r="D5" s="472"/>
      <c r="E5" s="472"/>
      <c r="F5" s="472"/>
    </row>
    <row r="6" spans="1:6" ht="36.75" x14ac:dyDescent="0.3">
      <c r="A6" s="4500" t="s">
        <v>529</v>
      </c>
      <c r="B6" s="4499">
        <v>374</v>
      </c>
      <c r="C6" s="4505"/>
      <c r="D6" s="151"/>
    </row>
    <row r="7" spans="1:6" ht="36.75" x14ac:dyDescent="0.3">
      <c r="A7" s="4500" t="s">
        <v>531</v>
      </c>
      <c r="B7" s="4499">
        <v>450</v>
      </c>
      <c r="C7" s="181"/>
    </row>
    <row r="8" spans="1:6" ht="20.25" x14ac:dyDescent="0.3">
      <c r="A8" s="4506" t="s">
        <v>532</v>
      </c>
      <c r="B8" s="4507">
        <v>374</v>
      </c>
      <c r="C8" s="182"/>
    </row>
    <row r="9" spans="1:6" ht="54.75" x14ac:dyDescent="0.3">
      <c r="A9" s="4508" t="s">
        <v>566</v>
      </c>
      <c r="B9" s="4530">
        <v>559004</v>
      </c>
      <c r="C9" s="182"/>
    </row>
    <row r="10" spans="1:6" ht="20.25" x14ac:dyDescent="0.3">
      <c r="A10" s="4506" t="s">
        <v>536</v>
      </c>
      <c r="B10" s="4507">
        <v>450</v>
      </c>
    </row>
    <row r="11" spans="1:6" ht="20.25" x14ac:dyDescent="0.3">
      <c r="A11" s="4500" t="s">
        <v>537</v>
      </c>
      <c r="B11" s="4499" t="s">
        <v>538</v>
      </c>
    </row>
    <row r="12" spans="1:6" ht="20.25" x14ac:dyDescent="0.3">
      <c r="A12" s="4509"/>
      <c r="B12" s="4499"/>
    </row>
    <row r="13" spans="1:6" ht="20.25" x14ac:dyDescent="0.3">
      <c r="A13" s="4510" t="s">
        <v>539</v>
      </c>
      <c r="B13" s="4511">
        <v>356</v>
      </c>
    </row>
    <row r="14" spans="1:6" ht="20.25" x14ac:dyDescent="0.3">
      <c r="A14" s="4512" t="s">
        <v>541</v>
      </c>
      <c r="B14" s="4511">
        <v>356</v>
      </c>
    </row>
    <row r="15" spans="1:6" ht="25.5" x14ac:dyDescent="0.3">
      <c r="A15" s="4512" t="s">
        <v>543</v>
      </c>
      <c r="B15" s="4513" t="s">
        <v>544</v>
      </c>
      <c r="C15" s="290"/>
    </row>
    <row r="16" spans="1:6" ht="54" x14ac:dyDescent="0.3">
      <c r="A16" s="4514" t="s">
        <v>567</v>
      </c>
      <c r="B16" s="4511">
        <v>356</v>
      </c>
      <c r="C16" s="4515" t="s">
        <v>568</v>
      </c>
      <c r="D16" s="290"/>
    </row>
    <row r="17" spans="1:4" ht="54" x14ac:dyDescent="0.3">
      <c r="A17" s="4516" t="s">
        <v>569</v>
      </c>
      <c r="B17" s="4522">
        <v>178</v>
      </c>
      <c r="C17" s="4515" t="s">
        <v>570</v>
      </c>
      <c r="D17" s="290"/>
    </row>
    <row r="18" spans="1:4" ht="54" x14ac:dyDescent="0.3">
      <c r="A18" s="4518" t="s">
        <v>571</v>
      </c>
      <c r="B18" s="4531">
        <v>89</v>
      </c>
      <c r="C18" s="4520" t="s">
        <v>572</v>
      </c>
      <c r="D18" s="290"/>
    </row>
    <row r="19" spans="1:4" ht="25.5" x14ac:dyDescent="0.3">
      <c r="A19" s="4521" t="s">
        <v>573</v>
      </c>
      <c r="B19" s="4532">
        <v>377</v>
      </c>
      <c r="C19" s="473" t="s">
        <v>574</v>
      </c>
    </row>
    <row r="20" spans="1:4" ht="20.25" x14ac:dyDescent="0.3">
      <c r="A20" s="4523"/>
      <c r="B20" s="304"/>
    </row>
    <row r="21" spans="1:4" ht="20.25" x14ac:dyDescent="0.3">
      <c r="A21" s="4524" t="s">
        <v>555</v>
      </c>
      <c r="B21" s="4525">
        <v>328</v>
      </c>
    </row>
    <row r="22" spans="1:4" ht="20.25" x14ac:dyDescent="0.3">
      <c r="A22" s="4526" t="s">
        <v>556</v>
      </c>
      <c r="B22" s="4533">
        <v>112.75</v>
      </c>
    </row>
    <row r="23" spans="1:4" ht="20.25" x14ac:dyDescent="0.3">
      <c r="A23" s="4526" t="s">
        <v>557</v>
      </c>
      <c r="B23" s="305">
        <v>30.75</v>
      </c>
    </row>
    <row r="24" spans="1:4" ht="20.25" x14ac:dyDescent="0.3">
      <c r="A24" s="4526" t="s">
        <v>558</v>
      </c>
      <c r="B24" s="4528">
        <v>31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Ark17"/>
  <dimension ref="A1:O80"/>
  <sheetViews>
    <sheetView zoomScale="67" zoomScaleNormal="67" workbookViewId="0">
      <selection activeCell="I14" sqref="I14"/>
    </sheetView>
  </sheetViews>
  <sheetFormatPr defaultRowHeight="12" x14ac:dyDescent="0.2"/>
  <cols>
    <col min="1" max="1" width="46.5703125" bestFit="1" customWidth="1"/>
    <col min="2" max="2" width="35.85546875" bestFit="1" customWidth="1"/>
    <col min="3" max="3" width="13.5703125" customWidth="1"/>
    <col min="4" max="4" width="8.140625" customWidth="1"/>
    <col min="5" max="5" width="38.85546875" bestFit="1" customWidth="1"/>
    <col min="6" max="6" width="42.42578125" customWidth="1"/>
    <col min="7" max="7" width="12.85546875" style="124" customWidth="1"/>
    <col min="8" max="8" width="2.7109375" customWidth="1"/>
    <col min="9" max="9" width="22.85546875" customWidth="1"/>
    <col min="10" max="10" width="27" customWidth="1"/>
    <col min="11" max="11" width="11.42578125" customWidth="1"/>
    <col min="14" max="15" width="38.85546875" bestFit="1" customWidth="1"/>
  </cols>
  <sheetData>
    <row r="1" spans="1:15" ht="20.25" x14ac:dyDescent="0.2">
      <c r="F1" s="125" t="s">
        <v>575</v>
      </c>
    </row>
    <row r="2" spans="1:15" ht="16.350000000000001" customHeight="1" x14ac:dyDescent="0.2">
      <c r="A2" s="113" t="s">
        <v>576</v>
      </c>
      <c r="B2" s="141"/>
      <c r="C2" s="141"/>
      <c r="D2" s="141"/>
      <c r="E2" s="113" t="s">
        <v>577</v>
      </c>
      <c r="F2" s="141"/>
      <c r="G2" s="142"/>
      <c r="H2" s="141"/>
      <c r="I2" s="113" t="s">
        <v>578</v>
      </c>
      <c r="J2" s="141"/>
    </row>
    <row r="3" spans="1:15" ht="15" customHeight="1" thickBot="1" x14ac:dyDescent="0.25">
      <c r="A3" s="4534" t="s">
        <v>579</v>
      </c>
      <c r="B3" s="4534" t="s">
        <v>580</v>
      </c>
      <c r="C3" s="4534" t="s">
        <v>581</v>
      </c>
      <c r="D3" s="141"/>
      <c r="E3" s="4535" t="s">
        <v>579</v>
      </c>
      <c r="F3" s="4535" t="s">
        <v>580</v>
      </c>
      <c r="G3" s="4536" t="s">
        <v>581</v>
      </c>
      <c r="H3" s="141"/>
      <c r="I3" s="4535" t="s">
        <v>579</v>
      </c>
      <c r="J3" s="4535" t="s">
        <v>580</v>
      </c>
      <c r="K3" s="4537" t="s">
        <v>581</v>
      </c>
      <c r="N3" s="4538"/>
      <c r="O3" s="4539"/>
    </row>
    <row r="4" spans="1:15" ht="15" customHeight="1" x14ac:dyDescent="0.2">
      <c r="A4" s="4538" t="s">
        <v>582</v>
      </c>
      <c r="B4" s="4540" t="s">
        <v>583</v>
      </c>
      <c r="C4" s="4541"/>
      <c r="D4" s="141"/>
      <c r="E4" s="211" t="s">
        <v>583</v>
      </c>
      <c r="F4" s="4542" t="s">
        <v>88</v>
      </c>
      <c r="G4" s="4541"/>
      <c r="H4" s="141"/>
      <c r="I4" s="211"/>
      <c r="J4" s="4539"/>
      <c r="K4" s="4543"/>
      <c r="N4" s="4544"/>
      <c r="O4" s="4545"/>
    </row>
    <row r="5" spans="1:15" ht="15" customHeight="1" x14ac:dyDescent="0.2">
      <c r="A5" s="4544"/>
      <c r="B5" s="4540" t="s">
        <v>584</v>
      </c>
      <c r="C5" s="4541"/>
      <c r="D5" s="141"/>
      <c r="E5" s="731"/>
      <c r="F5" s="4546" t="s">
        <v>91</v>
      </c>
      <c r="G5" s="4541"/>
      <c r="H5" s="141"/>
      <c r="I5" s="731"/>
      <c r="J5" s="4539"/>
      <c r="K5" s="3684"/>
      <c r="N5" s="4544"/>
      <c r="O5" s="4545"/>
    </row>
    <row r="6" spans="1:15" ht="15" customHeight="1" thickBot="1" x14ac:dyDescent="0.25">
      <c r="A6" s="4544"/>
      <c r="B6" s="4540" t="s">
        <v>585</v>
      </c>
      <c r="C6" s="4541"/>
      <c r="D6" s="141"/>
      <c r="E6" s="4547"/>
      <c r="F6" s="4548" t="s">
        <v>586</v>
      </c>
      <c r="G6" s="146"/>
      <c r="H6" s="141"/>
      <c r="I6" s="4547"/>
      <c r="J6" s="155"/>
      <c r="K6" s="4549"/>
      <c r="N6" s="4544"/>
      <c r="O6" s="4545"/>
    </row>
    <row r="7" spans="1:15" ht="15" customHeight="1" x14ac:dyDescent="0.2">
      <c r="A7" s="4544"/>
      <c r="B7" s="4540" t="s">
        <v>587</v>
      </c>
      <c r="C7" s="4541" t="s">
        <v>588</v>
      </c>
      <c r="D7" s="141"/>
      <c r="E7" s="731"/>
      <c r="F7" s="4550" t="s">
        <v>589</v>
      </c>
      <c r="G7" s="4551"/>
      <c r="H7" s="141"/>
      <c r="I7" s="211"/>
      <c r="J7" s="4552"/>
      <c r="K7" s="4543"/>
      <c r="N7" s="4538"/>
      <c r="O7" s="4553"/>
    </row>
    <row r="8" spans="1:15" ht="15" customHeight="1" x14ac:dyDescent="0.2">
      <c r="A8" s="4544"/>
      <c r="B8" s="4540" t="s">
        <v>590</v>
      </c>
      <c r="C8" s="4541"/>
      <c r="D8" s="141"/>
      <c r="E8" s="4547"/>
      <c r="F8" s="4554"/>
      <c r="G8" s="4555"/>
      <c r="H8" s="141"/>
      <c r="I8" s="144"/>
      <c r="J8" s="4556"/>
      <c r="K8" s="15"/>
      <c r="N8" s="4538"/>
      <c r="O8" s="4557"/>
    </row>
    <row r="9" spans="1:15" ht="15" customHeight="1" x14ac:dyDescent="0.2">
      <c r="A9" s="4544"/>
      <c r="B9" s="4540" t="s">
        <v>591</v>
      </c>
      <c r="C9" s="4541"/>
      <c r="D9" s="141"/>
      <c r="E9" s="4544"/>
      <c r="F9" s="4558"/>
      <c r="G9" s="4559"/>
      <c r="H9" s="141"/>
      <c r="I9" s="144"/>
      <c r="J9" s="4556"/>
      <c r="K9" s="15"/>
      <c r="N9" s="4544"/>
      <c r="O9" s="4545"/>
    </row>
    <row r="10" spans="1:15" ht="15" customHeight="1" x14ac:dyDescent="0.2">
      <c r="A10" s="4544"/>
      <c r="B10" s="4540" t="s">
        <v>592</v>
      </c>
      <c r="C10" s="4541"/>
      <c r="D10" s="141"/>
      <c r="E10" s="152" t="s">
        <v>590</v>
      </c>
      <c r="F10" s="205" t="s">
        <v>79</v>
      </c>
      <c r="G10" s="4541" t="s">
        <v>593</v>
      </c>
      <c r="H10" s="141"/>
      <c r="I10" s="731"/>
      <c r="J10" s="4560"/>
      <c r="K10" s="3684"/>
      <c r="N10" s="4544"/>
      <c r="O10" s="4545"/>
    </row>
    <row r="11" spans="1:15" ht="15" customHeight="1" x14ac:dyDescent="0.2">
      <c r="A11" s="4544"/>
      <c r="B11" s="4540" t="s">
        <v>594</v>
      </c>
      <c r="C11" s="4541"/>
      <c r="D11" s="141"/>
      <c r="E11" s="731"/>
      <c r="F11" s="4558" t="s">
        <v>595</v>
      </c>
      <c r="G11" s="4541" t="s">
        <v>593</v>
      </c>
      <c r="H11" s="141"/>
      <c r="I11" s="4547"/>
      <c r="J11" s="4539"/>
      <c r="K11" s="4549"/>
      <c r="N11" s="4538"/>
      <c r="O11" s="4545"/>
    </row>
    <row r="12" spans="1:15" ht="15" customHeight="1" thickBot="1" x14ac:dyDescent="0.25">
      <c r="A12" s="4544"/>
      <c r="B12" s="4540" t="s">
        <v>223</v>
      </c>
      <c r="C12" s="4541"/>
      <c r="D12" s="141"/>
      <c r="E12" s="4547"/>
      <c r="F12" s="4554" t="s">
        <v>85</v>
      </c>
      <c r="G12" s="146" t="s">
        <v>593</v>
      </c>
      <c r="H12" s="141"/>
      <c r="I12" s="143"/>
      <c r="J12" s="4561"/>
      <c r="K12" s="4562"/>
      <c r="N12" s="4544"/>
      <c r="O12" s="4540"/>
    </row>
    <row r="13" spans="1:15" ht="15" customHeight="1" x14ac:dyDescent="0.25">
      <c r="A13" s="4544"/>
      <c r="B13" s="4540" t="s">
        <v>596</v>
      </c>
      <c r="C13" s="4563"/>
      <c r="D13" s="141"/>
      <c r="E13" s="731"/>
      <c r="F13" s="4564" t="s">
        <v>597</v>
      </c>
      <c r="G13" s="4551" t="s">
        <v>593</v>
      </c>
      <c r="H13" s="141"/>
      <c r="I13" s="212"/>
      <c r="J13" s="156"/>
      <c r="K13" s="4543"/>
      <c r="N13" s="4544"/>
      <c r="O13" s="4565"/>
    </row>
    <row r="14" spans="1:15" ht="15" customHeight="1" x14ac:dyDescent="0.2">
      <c r="A14" s="141"/>
      <c r="B14" s="4540"/>
      <c r="C14" s="141"/>
      <c r="D14" s="141"/>
      <c r="E14" s="4547"/>
      <c r="F14" s="4558" t="s">
        <v>445</v>
      </c>
      <c r="G14" s="4555" t="s">
        <v>593</v>
      </c>
      <c r="H14" s="141"/>
      <c r="I14" s="731"/>
      <c r="J14" s="4539"/>
      <c r="K14" s="3684"/>
      <c r="N14" s="4538"/>
      <c r="O14" s="4540"/>
    </row>
    <row r="15" spans="1:15" ht="15" customHeight="1" x14ac:dyDescent="0.2">
      <c r="A15" s="141"/>
      <c r="B15" s="141"/>
      <c r="C15" s="141"/>
      <c r="D15" s="141"/>
      <c r="E15" s="4544"/>
      <c r="F15" s="4558"/>
      <c r="G15" s="4559"/>
      <c r="H15" s="141"/>
      <c r="I15" s="731"/>
      <c r="J15" s="155"/>
      <c r="K15" s="3684"/>
      <c r="N15" s="4538"/>
      <c r="O15" s="4539"/>
    </row>
    <row r="16" spans="1:15" ht="15" customHeight="1" x14ac:dyDescent="0.2">
      <c r="A16" s="113" t="s">
        <v>598</v>
      </c>
      <c r="B16" s="141"/>
      <c r="C16" s="141"/>
      <c r="D16" s="141"/>
      <c r="E16" s="4538"/>
      <c r="F16" s="4539"/>
      <c r="G16" s="4541"/>
      <c r="H16" s="141"/>
      <c r="I16" s="731"/>
      <c r="J16" s="157"/>
      <c r="K16" s="3684"/>
      <c r="N16" s="4538"/>
      <c r="O16" s="4540"/>
    </row>
    <row r="17" spans="1:15" ht="15" customHeight="1" thickBot="1" x14ac:dyDescent="0.25">
      <c r="A17" s="4534" t="s">
        <v>579</v>
      </c>
      <c r="B17" s="4534" t="s">
        <v>580</v>
      </c>
      <c r="C17" s="4534" t="s">
        <v>581</v>
      </c>
      <c r="D17" s="141"/>
      <c r="E17" s="4538" t="s">
        <v>587</v>
      </c>
      <c r="F17" s="4566" t="s">
        <v>96</v>
      </c>
      <c r="G17" s="4567"/>
      <c r="H17" s="141"/>
      <c r="I17" s="143"/>
      <c r="J17" s="4568"/>
      <c r="K17" s="4562"/>
      <c r="N17" s="4538"/>
      <c r="O17" s="4545"/>
    </row>
    <row r="18" spans="1:15" ht="15" customHeight="1" x14ac:dyDescent="0.2">
      <c r="A18" s="4538" t="s">
        <v>294</v>
      </c>
      <c r="B18" s="4540" t="s">
        <v>296</v>
      </c>
      <c r="C18" s="4541"/>
      <c r="D18" s="141"/>
      <c r="E18" s="4544"/>
      <c r="F18" s="4540" t="s">
        <v>599</v>
      </c>
      <c r="G18" s="4541"/>
      <c r="H18" s="141"/>
      <c r="I18" s="141"/>
      <c r="J18" s="141"/>
      <c r="N18" s="4538"/>
      <c r="O18" s="4545"/>
    </row>
    <row r="19" spans="1:15" ht="15" customHeight="1" x14ac:dyDescent="0.2">
      <c r="A19" s="4544"/>
      <c r="B19" s="4540" t="s">
        <v>298</v>
      </c>
      <c r="C19" s="4541"/>
      <c r="D19" s="141"/>
      <c r="E19" s="4544"/>
      <c r="F19" s="4545" t="s">
        <v>98</v>
      </c>
      <c r="G19" s="4541"/>
      <c r="H19" s="141"/>
      <c r="I19" s="113"/>
      <c r="J19" s="141"/>
      <c r="N19" s="4544"/>
      <c r="O19" s="4550"/>
    </row>
    <row r="20" spans="1:15" ht="15" customHeight="1" x14ac:dyDescent="0.2">
      <c r="A20" s="4544"/>
      <c r="B20" s="4540" t="s">
        <v>600</v>
      </c>
      <c r="C20" s="4541"/>
      <c r="D20" s="141"/>
      <c r="E20" s="4538"/>
      <c r="F20" s="4558" t="s">
        <v>601</v>
      </c>
      <c r="G20" s="4541"/>
      <c r="H20" s="141"/>
      <c r="I20" s="113"/>
      <c r="J20" s="141"/>
      <c r="N20" s="4544"/>
      <c r="O20" s="4545"/>
    </row>
    <row r="21" spans="1:15" ht="15" customHeight="1" x14ac:dyDescent="0.25">
      <c r="A21" s="4544"/>
      <c r="B21" s="4565" t="s">
        <v>301</v>
      </c>
      <c r="C21" s="4541"/>
      <c r="D21" s="141"/>
      <c r="E21" s="4569"/>
      <c r="F21" s="4570" t="s">
        <v>602</v>
      </c>
      <c r="G21" s="4541"/>
      <c r="H21" s="141"/>
      <c r="I21" s="4535" t="s">
        <v>579</v>
      </c>
      <c r="J21" s="4535" t="s">
        <v>580</v>
      </c>
      <c r="K21" s="4537" t="s">
        <v>581</v>
      </c>
      <c r="N21" s="4541"/>
      <c r="O21" s="4550"/>
    </row>
    <row r="22" spans="1:15" ht="15" customHeight="1" x14ac:dyDescent="0.25">
      <c r="A22" s="4544"/>
      <c r="B22" s="4565" t="s">
        <v>302</v>
      </c>
      <c r="C22" s="4541"/>
      <c r="D22" s="141"/>
      <c r="E22" s="4538"/>
      <c r="F22" s="4540"/>
      <c r="G22" s="4541"/>
      <c r="H22" s="141"/>
      <c r="I22" s="4538" t="s">
        <v>603</v>
      </c>
      <c r="J22" s="4539" t="s">
        <v>582</v>
      </c>
      <c r="K22" s="4571"/>
      <c r="N22" s="4540"/>
      <c r="O22" s="4545"/>
    </row>
    <row r="23" spans="1:15" ht="15" customHeight="1" x14ac:dyDescent="0.25">
      <c r="A23" s="4544"/>
      <c r="B23" s="4565" t="s">
        <v>303</v>
      </c>
      <c r="C23" s="4541"/>
      <c r="D23" s="141"/>
      <c r="E23" s="152" t="s">
        <v>585</v>
      </c>
      <c r="F23" s="4540" t="s">
        <v>103</v>
      </c>
      <c r="G23" s="4541" t="s">
        <v>604</v>
      </c>
      <c r="H23" s="141"/>
      <c r="I23" s="4544"/>
      <c r="J23" s="4539" t="s">
        <v>294</v>
      </c>
      <c r="K23" s="4571"/>
      <c r="N23" s="4544"/>
      <c r="O23" s="4540"/>
    </row>
    <row r="24" spans="1:15" ht="15" customHeight="1" x14ac:dyDescent="0.25">
      <c r="A24" s="4544"/>
      <c r="B24" s="4565" t="s">
        <v>605</v>
      </c>
      <c r="C24" s="4541"/>
      <c r="D24" s="141"/>
      <c r="E24" s="4544"/>
      <c r="F24" s="4565" t="s">
        <v>606</v>
      </c>
      <c r="G24" s="4541" t="s">
        <v>604</v>
      </c>
      <c r="H24" s="141"/>
      <c r="I24" s="4544"/>
      <c r="J24" s="4539"/>
      <c r="K24" s="4571"/>
      <c r="N24" s="4544"/>
      <c r="O24" s="4572"/>
    </row>
    <row r="25" spans="1:15" ht="15" customHeight="1" x14ac:dyDescent="0.25">
      <c r="A25" s="4544"/>
      <c r="B25" s="4565" t="s">
        <v>607</v>
      </c>
      <c r="C25" s="4541"/>
      <c r="D25" s="141"/>
      <c r="E25" s="4538"/>
      <c r="F25" s="4540" t="s">
        <v>105</v>
      </c>
      <c r="G25" s="4541" t="s">
        <v>604</v>
      </c>
      <c r="H25" s="141"/>
      <c r="I25" s="4544"/>
      <c r="J25" s="4560"/>
      <c r="K25" s="4571"/>
      <c r="N25" s="4544"/>
      <c r="O25" s="4540"/>
    </row>
    <row r="26" spans="1:15" ht="15" customHeight="1" x14ac:dyDescent="0.25">
      <c r="A26" s="4544"/>
      <c r="B26" s="4565" t="s">
        <v>310</v>
      </c>
      <c r="C26" s="4541"/>
      <c r="D26" s="141"/>
      <c r="E26" s="4544"/>
      <c r="F26" s="4540" t="s">
        <v>0</v>
      </c>
      <c r="G26" s="4541"/>
      <c r="H26" s="141"/>
      <c r="I26" s="4544"/>
      <c r="J26" s="4539"/>
      <c r="K26" s="4571"/>
      <c r="N26" s="4544"/>
      <c r="O26" s="4540"/>
    </row>
    <row r="27" spans="1:15" ht="15" customHeight="1" x14ac:dyDescent="0.25">
      <c r="A27" s="4544"/>
      <c r="B27" s="4573" t="s">
        <v>308</v>
      </c>
      <c r="C27" s="4541"/>
      <c r="D27" s="141"/>
      <c r="E27" s="4544"/>
      <c r="F27" s="4565"/>
      <c r="G27" s="4541"/>
      <c r="H27" s="141"/>
      <c r="I27" s="4544"/>
      <c r="J27" s="4539"/>
      <c r="K27" s="4571"/>
      <c r="N27" s="4544"/>
      <c r="O27" s="4540"/>
    </row>
    <row r="28" spans="1:15" ht="15" customHeight="1" thickBot="1" x14ac:dyDescent="0.25">
      <c r="A28" s="4544"/>
      <c r="B28" s="4574" t="s">
        <v>608</v>
      </c>
      <c r="C28" s="4541"/>
      <c r="D28" s="141"/>
      <c r="E28" s="4575" t="s">
        <v>584</v>
      </c>
      <c r="F28" s="4540" t="s">
        <v>99</v>
      </c>
      <c r="G28" s="4541"/>
      <c r="H28" s="141"/>
      <c r="I28" s="4544"/>
      <c r="J28" s="4539"/>
      <c r="K28" s="4571"/>
      <c r="N28" s="4571"/>
      <c r="O28" s="4540"/>
    </row>
    <row r="29" spans="1:15" ht="15" customHeight="1" x14ac:dyDescent="0.2">
      <c r="A29" s="4544"/>
      <c r="B29" s="4558" t="s">
        <v>609</v>
      </c>
      <c r="C29" s="4541"/>
      <c r="D29" s="141"/>
      <c r="E29" s="4538"/>
      <c r="F29" s="4545" t="s">
        <v>100</v>
      </c>
      <c r="G29" s="4541"/>
      <c r="H29" s="141"/>
      <c r="I29" s="4544"/>
      <c r="J29" s="4576" t="s">
        <v>435</v>
      </c>
      <c r="K29" s="4571"/>
      <c r="N29" s="4571"/>
      <c r="O29" s="4577"/>
    </row>
    <row r="30" spans="1:15" ht="15" customHeight="1" x14ac:dyDescent="0.2">
      <c r="A30" s="4544"/>
      <c r="B30" s="4578" t="s">
        <v>610</v>
      </c>
      <c r="C30" s="4541"/>
      <c r="D30" s="141"/>
      <c r="E30" s="4538"/>
      <c r="F30" s="4545" t="s">
        <v>102</v>
      </c>
      <c r="G30" s="4541"/>
      <c r="H30" s="141"/>
      <c r="I30" s="4544"/>
      <c r="J30" s="4579" t="s">
        <v>597</v>
      </c>
      <c r="K30" s="4571"/>
      <c r="N30" s="4538"/>
      <c r="O30" s="4571"/>
    </row>
    <row r="31" spans="1:15" ht="15" customHeight="1" thickBot="1" x14ac:dyDescent="0.25">
      <c r="A31" s="4544"/>
      <c r="B31" s="4558" t="s">
        <v>611</v>
      </c>
      <c r="C31" s="4541"/>
      <c r="D31" s="141"/>
      <c r="E31" s="4538"/>
      <c r="F31" s="4540" t="s">
        <v>612</v>
      </c>
      <c r="G31" s="4541"/>
      <c r="H31" s="141"/>
      <c r="I31" s="4544"/>
      <c r="J31" s="4579" t="s">
        <v>612</v>
      </c>
      <c r="K31" s="4571"/>
      <c r="N31" s="4544"/>
      <c r="O31" s="4577"/>
    </row>
    <row r="32" spans="1:15" ht="15" customHeight="1" x14ac:dyDescent="0.2">
      <c r="A32" s="4544"/>
      <c r="B32" s="4558" t="s">
        <v>305</v>
      </c>
      <c r="C32" s="4541"/>
      <c r="D32" s="141"/>
      <c r="E32" s="4538"/>
      <c r="F32" s="4580"/>
      <c r="G32" s="4541"/>
      <c r="H32" s="141"/>
      <c r="I32" s="4544"/>
      <c r="J32" s="4581" t="s">
        <v>613</v>
      </c>
      <c r="K32" s="4571"/>
      <c r="N32" s="4544"/>
      <c r="O32" s="4540"/>
    </row>
    <row r="33" spans="1:15" ht="15" customHeight="1" x14ac:dyDescent="0.2">
      <c r="A33" s="4538"/>
      <c r="B33" s="4558"/>
      <c r="C33" s="4551"/>
      <c r="D33" s="141"/>
      <c r="E33" s="4575" t="s">
        <v>587</v>
      </c>
      <c r="F33" s="4550" t="s">
        <v>196</v>
      </c>
      <c r="G33" s="4541" t="s">
        <v>614</v>
      </c>
      <c r="H33" s="141"/>
      <c r="I33" s="4544"/>
      <c r="J33" s="4576" t="s">
        <v>602</v>
      </c>
      <c r="K33" s="4571"/>
      <c r="N33" s="4544"/>
      <c r="O33" s="4550"/>
    </row>
    <row r="34" spans="1:15" ht="15" customHeight="1" x14ac:dyDescent="0.2">
      <c r="A34" s="4582"/>
      <c r="B34" s="4583"/>
      <c r="C34" s="4555"/>
      <c r="D34" s="141"/>
      <c r="E34" s="4544"/>
      <c r="F34" s="4545" t="s">
        <v>615</v>
      </c>
      <c r="G34" s="4541" t="s">
        <v>614</v>
      </c>
      <c r="H34" s="141"/>
      <c r="I34" s="4544"/>
      <c r="J34" s="4584" t="s">
        <v>616</v>
      </c>
      <c r="K34" s="4571"/>
      <c r="N34" s="4544"/>
      <c r="O34" s="4550"/>
    </row>
    <row r="35" spans="1:15" ht="15" customHeight="1" x14ac:dyDescent="0.2">
      <c r="A35" s="113"/>
      <c r="B35" s="4539"/>
      <c r="C35" s="141"/>
      <c r="D35" s="141"/>
      <c r="E35" s="4541"/>
      <c r="F35" s="4550" t="s">
        <v>199</v>
      </c>
      <c r="G35" s="4541" t="s">
        <v>614</v>
      </c>
      <c r="H35" s="141"/>
      <c r="I35" s="4544"/>
      <c r="J35" s="4539"/>
      <c r="K35" s="4571"/>
      <c r="N35" s="4544"/>
      <c r="O35" s="4550"/>
    </row>
    <row r="36" spans="1:15" ht="15" customHeight="1" x14ac:dyDescent="0.2">
      <c r="A36" s="4585"/>
      <c r="B36" s="167"/>
      <c r="C36" s="4585"/>
      <c r="D36" s="141"/>
      <c r="E36" s="4540"/>
      <c r="F36" s="4550" t="s">
        <v>202</v>
      </c>
      <c r="G36" s="4541" t="s">
        <v>614</v>
      </c>
      <c r="H36" s="141"/>
      <c r="I36" s="145"/>
      <c r="J36" s="141"/>
      <c r="N36" s="4571"/>
      <c r="O36" s="4550"/>
    </row>
    <row r="37" spans="1:15" ht="15" customHeight="1" x14ac:dyDescent="0.25">
      <c r="A37" s="4538"/>
      <c r="B37" s="4539"/>
      <c r="C37" s="4541"/>
      <c r="D37" s="141"/>
      <c r="E37" s="4544"/>
      <c r="F37" s="4586" t="s">
        <v>617</v>
      </c>
      <c r="G37" s="4541" t="s">
        <v>614</v>
      </c>
      <c r="H37" s="141"/>
      <c r="I37" s="4587"/>
      <c r="J37" s="4588"/>
      <c r="K37" s="4571"/>
      <c r="N37" s="4571"/>
      <c r="O37" s="4540"/>
    </row>
    <row r="38" spans="1:15" ht="15" customHeight="1" x14ac:dyDescent="0.2">
      <c r="A38" s="4544"/>
      <c r="B38" s="4539"/>
      <c r="C38" s="4541"/>
      <c r="D38" s="141"/>
      <c r="E38" s="4544"/>
      <c r="F38" s="4540" t="s">
        <v>184</v>
      </c>
      <c r="G38" s="4541" t="s">
        <v>614</v>
      </c>
      <c r="H38" s="141"/>
      <c r="I38" s="4589"/>
      <c r="J38" s="4590"/>
      <c r="K38" s="4571"/>
    </row>
    <row r="39" spans="1:15" ht="15" customHeight="1" x14ac:dyDescent="0.2">
      <c r="A39" s="4544"/>
      <c r="B39" s="4539"/>
      <c r="C39" s="4541"/>
      <c r="D39" s="141"/>
      <c r="E39" s="4544"/>
      <c r="F39" s="4540"/>
      <c r="G39" s="4541"/>
      <c r="H39" s="141"/>
      <c r="I39" s="4589"/>
      <c r="J39" s="4590"/>
      <c r="K39" s="4571"/>
    </row>
    <row r="40" spans="1:15" ht="15" customHeight="1" x14ac:dyDescent="0.2">
      <c r="A40" s="4544"/>
      <c r="B40" s="4544"/>
      <c r="C40" s="4541"/>
      <c r="D40" s="141"/>
      <c r="E40" s="4540" t="s">
        <v>618</v>
      </c>
      <c r="F40" s="4540" t="s">
        <v>619</v>
      </c>
      <c r="G40" s="4541" t="s">
        <v>620</v>
      </c>
      <c r="H40" s="141"/>
      <c r="I40" s="4589"/>
      <c r="J40" s="4591"/>
      <c r="K40" s="4571"/>
    </row>
    <row r="41" spans="1:15" ht="15" customHeight="1" x14ac:dyDescent="0.2">
      <c r="A41" s="113"/>
      <c r="B41" s="141"/>
      <c r="C41" s="141"/>
      <c r="D41" s="141"/>
      <c r="E41" s="4544"/>
      <c r="F41" s="4540" t="s">
        <v>175</v>
      </c>
      <c r="G41" s="4541" t="s">
        <v>620</v>
      </c>
      <c r="H41" s="141"/>
      <c r="I41" s="4589"/>
      <c r="J41" s="4539"/>
      <c r="K41" s="4571"/>
    </row>
    <row r="42" spans="1:15" ht="15" customHeight="1" x14ac:dyDescent="0.2">
      <c r="A42" s="18"/>
      <c r="B42" s="18"/>
      <c r="C42" s="18"/>
      <c r="E42" s="4571"/>
      <c r="F42" s="4572" t="s">
        <v>126</v>
      </c>
      <c r="G42" s="4541" t="s">
        <v>620</v>
      </c>
      <c r="I42" s="4592"/>
      <c r="J42" s="4593"/>
      <c r="K42" s="4571"/>
    </row>
    <row r="43" spans="1:15" ht="15" customHeight="1" x14ac:dyDescent="0.2">
      <c r="A43" s="113"/>
      <c r="B43" s="149"/>
      <c r="E43" s="4571"/>
      <c r="F43" s="4570" t="s">
        <v>435</v>
      </c>
      <c r="G43" s="4541"/>
      <c r="I43" s="4571"/>
      <c r="J43" s="4539"/>
      <c r="K43" s="4571"/>
    </row>
    <row r="44" spans="1:15" ht="15" customHeight="1" x14ac:dyDescent="0.2">
      <c r="B44" s="149"/>
      <c r="E44" s="4538"/>
      <c r="F44" s="4540" t="s">
        <v>621</v>
      </c>
      <c r="G44" s="4541" t="s">
        <v>620</v>
      </c>
      <c r="I44" s="4571"/>
      <c r="J44" s="4539"/>
      <c r="K44" s="4571"/>
    </row>
    <row r="45" spans="1:15" ht="15" customHeight="1" x14ac:dyDescent="0.2">
      <c r="B45" s="149"/>
      <c r="E45" s="4571"/>
      <c r="F45" s="4540"/>
      <c r="G45" s="4541"/>
      <c r="I45" s="4571"/>
      <c r="J45" s="4591"/>
      <c r="K45" s="4571"/>
    </row>
    <row r="46" spans="1:15" ht="15" customHeight="1" x14ac:dyDescent="0.2">
      <c r="B46" s="149"/>
      <c r="E46" s="4544"/>
      <c r="F46" s="4572"/>
      <c r="G46" s="4541"/>
      <c r="I46" s="4571"/>
      <c r="J46" s="4539"/>
      <c r="K46" s="4571"/>
    </row>
    <row r="47" spans="1:15" ht="15" customHeight="1" x14ac:dyDescent="0.2">
      <c r="A47" s="113" t="s">
        <v>622</v>
      </c>
      <c r="B47" s="141"/>
      <c r="C47" s="141"/>
      <c r="E47" s="4544"/>
      <c r="F47" s="4545"/>
      <c r="G47" s="4541"/>
    </row>
    <row r="48" spans="1:15" ht="15" customHeight="1" x14ac:dyDescent="0.25">
      <c r="A48" s="4534" t="s">
        <v>579</v>
      </c>
      <c r="B48" s="4534" t="s">
        <v>580</v>
      </c>
      <c r="C48" s="4534" t="s">
        <v>581</v>
      </c>
      <c r="E48" s="4544"/>
      <c r="F48" s="4594"/>
      <c r="G48" s="4541"/>
    </row>
    <row r="49" spans="1:7" ht="15" customHeight="1" x14ac:dyDescent="0.25">
      <c r="A49" s="4538" t="s">
        <v>582</v>
      </c>
      <c r="B49" s="4540" t="s">
        <v>623</v>
      </c>
      <c r="C49" s="4541"/>
      <c r="E49" s="4544"/>
      <c r="F49" s="4594"/>
      <c r="G49" s="4541"/>
    </row>
    <row r="50" spans="1:7" ht="15" customHeight="1" x14ac:dyDescent="0.25">
      <c r="A50" s="4544"/>
      <c r="B50" s="4540" t="s">
        <v>227</v>
      </c>
      <c r="C50" s="4541"/>
      <c r="E50" s="4571"/>
      <c r="F50" s="4565"/>
      <c r="G50" s="4595"/>
    </row>
    <row r="51" spans="1:7" ht="15" customHeight="1" x14ac:dyDescent="0.25">
      <c r="A51" s="4544"/>
      <c r="B51" s="4596" t="s">
        <v>230</v>
      </c>
      <c r="C51" s="4541"/>
      <c r="E51" s="4571"/>
      <c r="F51" s="4565"/>
      <c r="G51" s="4595"/>
    </row>
    <row r="52" spans="1:7" ht="15.75" x14ac:dyDescent="0.2">
      <c r="A52" s="4544"/>
      <c r="B52" s="4597" t="s">
        <v>228</v>
      </c>
      <c r="C52" s="4541"/>
      <c r="E52" s="4571"/>
      <c r="F52" s="4540"/>
      <c r="G52" s="4595"/>
    </row>
    <row r="53" spans="1:7" ht="15.75" x14ac:dyDescent="0.2">
      <c r="B53" s="149"/>
      <c r="F53" s="204"/>
    </row>
    <row r="54" spans="1:7" ht="15" x14ac:dyDescent="0.2">
      <c r="B54" s="149"/>
    </row>
    <row r="55" spans="1:7" ht="15" x14ac:dyDescent="0.2">
      <c r="B55" s="149"/>
    </row>
    <row r="56" spans="1:7" ht="15" x14ac:dyDescent="0.2">
      <c r="B56" s="149"/>
    </row>
    <row r="58" spans="1:7" ht="15.75" x14ac:dyDescent="0.2">
      <c r="A58" s="4538" t="s">
        <v>624</v>
      </c>
      <c r="B58" s="4598"/>
    </row>
    <row r="59" spans="1:7" ht="20.25" customHeight="1" x14ac:dyDescent="0.2">
      <c r="A59" s="4538" t="s">
        <v>596</v>
      </c>
      <c r="B59" s="4598"/>
    </row>
    <row r="60" spans="1:7" ht="15.75" x14ac:dyDescent="0.2">
      <c r="A60" s="4571"/>
      <c r="B60" s="4599" t="s">
        <v>267</v>
      </c>
    </row>
    <row r="61" spans="1:7" ht="15.75" x14ac:dyDescent="0.2">
      <c r="A61" s="4571"/>
      <c r="B61" s="4599" t="s">
        <v>268</v>
      </c>
    </row>
    <row r="62" spans="1:7" ht="15.75" x14ac:dyDescent="0.2">
      <c r="A62" s="4571"/>
      <c r="B62" s="4599" t="s">
        <v>271</v>
      </c>
    </row>
    <row r="63" spans="1:7" ht="15.75" x14ac:dyDescent="0.2">
      <c r="A63" s="4571"/>
      <c r="B63" s="4599" t="s">
        <v>276</v>
      </c>
    </row>
    <row r="64" spans="1:7" ht="15.75" x14ac:dyDescent="0.2">
      <c r="A64" s="4571"/>
      <c r="B64" s="4599" t="s">
        <v>273</v>
      </c>
    </row>
    <row r="65" spans="1:2" ht="15.75" x14ac:dyDescent="0.2">
      <c r="A65" s="4571"/>
      <c r="B65" s="4599" t="s">
        <v>275</v>
      </c>
    </row>
    <row r="66" spans="1:2" ht="15.75" x14ac:dyDescent="0.2">
      <c r="A66" s="4571"/>
      <c r="B66" s="4599" t="s">
        <v>277</v>
      </c>
    </row>
    <row r="67" spans="1:2" ht="15.75" x14ac:dyDescent="0.2">
      <c r="A67" s="4571"/>
      <c r="B67" s="4558" t="s">
        <v>625</v>
      </c>
    </row>
    <row r="68" spans="1:2" ht="15.75" x14ac:dyDescent="0.2">
      <c r="A68" s="4571"/>
      <c r="B68" s="4557" t="s">
        <v>626</v>
      </c>
    </row>
    <row r="69" spans="1:2" ht="16.5" thickBot="1" x14ac:dyDescent="0.25">
      <c r="A69" s="4571"/>
      <c r="B69" s="4600" t="s">
        <v>627</v>
      </c>
    </row>
    <row r="70" spans="1:2" ht="15.75" x14ac:dyDescent="0.2">
      <c r="A70" s="4571"/>
      <c r="B70" s="4599" t="s">
        <v>628</v>
      </c>
    </row>
    <row r="71" spans="1:2" ht="15.75" x14ac:dyDescent="0.2">
      <c r="A71" s="4571"/>
      <c r="B71" s="4599" t="s">
        <v>629</v>
      </c>
    </row>
    <row r="72" spans="1:2" ht="15.75" x14ac:dyDescent="0.2">
      <c r="A72" s="4571"/>
      <c r="B72" s="4597" t="s">
        <v>630</v>
      </c>
    </row>
    <row r="73" spans="1:2" ht="15.75" x14ac:dyDescent="0.2">
      <c r="A73" s="4571"/>
      <c r="B73" s="4601" t="s">
        <v>445</v>
      </c>
    </row>
    <row r="74" spans="1:2" ht="15.75" x14ac:dyDescent="0.2">
      <c r="A74" s="113" t="s">
        <v>204</v>
      </c>
      <c r="B74" s="113"/>
    </row>
    <row r="75" spans="1:2" ht="15.75" x14ac:dyDescent="0.2">
      <c r="A75" s="4544"/>
      <c r="B75" s="4599" t="s">
        <v>631</v>
      </c>
    </row>
    <row r="76" spans="1:2" ht="15.75" x14ac:dyDescent="0.2">
      <c r="A76" s="4544"/>
      <c r="B76" s="4599" t="s">
        <v>632</v>
      </c>
    </row>
    <row r="77" spans="1:2" ht="15.75" x14ac:dyDescent="0.2">
      <c r="A77" s="4544"/>
      <c r="B77" s="4599" t="s">
        <v>633</v>
      </c>
    </row>
    <row r="78" spans="1:2" ht="15.75" x14ac:dyDescent="0.2">
      <c r="A78" s="4544"/>
      <c r="B78" s="4599" t="s">
        <v>478</v>
      </c>
    </row>
    <row r="79" spans="1:2" ht="15.75" x14ac:dyDescent="0.2">
      <c r="A79" s="4544"/>
      <c r="B79" s="4545" t="s">
        <v>634</v>
      </c>
    </row>
    <row r="80" spans="1:2" ht="15.75" x14ac:dyDescent="0.2">
      <c r="A80" s="4571"/>
      <c r="B80" s="4545" t="s">
        <v>635</v>
      </c>
    </row>
  </sheetData>
  <sheetProtection algorithmName="SHA-512" hashValue="uBjXwDT1IkLCR1r/31BSpYQ3ZR1X1UB2/WUZDXlJgJ10sv0zKyvkx299M1lnwPePTvWxdsYxsQiiA5sPoy5ZFQ==" saltValue="FCvuKg8vAufD2leo4Bg0Cw==" spinCount="100000" sheet="1" objects="1" scenarios="1"/>
  <protectedRanges>
    <protectedRange sqref="O19:O20 F33:F34" name="Område1_3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O22 F47" name="Område1_1_1_1"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 sqref="B72" name="Område1_1_1_1_1_2" securityDescriptor="O:WDG:WDD:(A;;CC;;;S-1-5-21-307866077-4022280664-2145378804-32278)(A;;CC;;;S-1-5-21-307866077-4022280664-2145378804-32287)(A;;CC;;;S-1-5-21-307866077-4022280664-2145378804-32399)(A;;CC;;;S-1-5-21-307866077-4022280664-2145378804-32407)(A;;CC;;;S-1-5-21-307866077-4022280664-2145378804-32409)(A;;CC;;;S-1-5-21-307866077-4022280664-2145378804-32437)(A;;CC;;;S-1-5-21-307866077-4022280664-2145378804-32440)(A;;CC;;;S-1-5-21-307866077-4022280664-2145378804-32465)(A;;CC;;;S-1-5-21-307866077-4022280664-2145378804-32483)(A;;CC;;;S-1-5-21-307866077-4022280664-2145378804-32517)(A;;CC;;;S-1-5-21-307866077-4022280664-2145378804-32520)"/>
  </protectedRanges>
  <phoneticPr fontId="9" type="noConversion"/>
  <pageMargins left="0.19652777777777777" right="0" top="0" bottom="0" header="0.51180555555555551" footer="0.51180555555555551"/>
  <pageSetup paperSize="9" scale="90" firstPageNumber="0" orientation="landscape" horizontalDpi="300" verticalDpi="300" r:id="rId1"/>
  <headerFooter alignWithMargins="0"/>
  <ignoredErrors>
    <ignoredError sqref="G23:G25 G10:G11" twoDigitTextYear="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dimension ref="A1:N160"/>
  <sheetViews>
    <sheetView topLeftCell="A25" zoomScale="67" zoomScaleNormal="67" workbookViewId="0">
      <selection activeCell="T42" sqref="T42"/>
    </sheetView>
  </sheetViews>
  <sheetFormatPr defaultRowHeight="12" x14ac:dyDescent="0.2"/>
  <cols>
    <col min="1" max="1" width="23.85546875" customWidth="1"/>
    <col min="2" max="2" width="13" customWidth="1"/>
    <col min="3" max="3" width="10.5703125" customWidth="1"/>
    <col min="4" max="4" width="12.7109375" customWidth="1"/>
    <col min="5" max="5" width="11.85546875" customWidth="1"/>
    <col min="6" max="8" width="10.5703125" customWidth="1"/>
    <col min="9" max="9" width="13" customWidth="1"/>
    <col min="10" max="10" width="25" customWidth="1"/>
  </cols>
  <sheetData>
    <row r="1" spans="1:10" ht="20.100000000000001" customHeight="1" x14ac:dyDescent="0.2">
      <c r="A1" s="1" t="s">
        <v>636</v>
      </c>
      <c r="B1" s="1"/>
      <c r="D1" s="2"/>
      <c r="E1" s="2"/>
    </row>
    <row r="2" spans="1:10" ht="20.100000000000001" customHeight="1" x14ac:dyDescent="0.2">
      <c r="A2" s="4602" t="s">
        <v>637</v>
      </c>
      <c r="B2" s="4603" t="s">
        <v>107</v>
      </c>
      <c r="C2" s="4604" t="s">
        <v>108</v>
      </c>
      <c r="D2" s="4604" t="s">
        <v>109</v>
      </c>
      <c r="E2" s="4604" t="s">
        <v>110</v>
      </c>
      <c r="F2" s="4604" t="s">
        <v>111</v>
      </c>
      <c r="G2" s="4604" t="s">
        <v>112</v>
      </c>
      <c r="H2" s="4425" t="s">
        <v>113</v>
      </c>
      <c r="I2" s="4418" t="s">
        <v>158</v>
      </c>
      <c r="J2" s="4605" t="s">
        <v>114</v>
      </c>
    </row>
    <row r="3" spans="1:10" ht="20.100000000000001" customHeight="1" x14ac:dyDescent="0.2">
      <c r="A3" s="3"/>
      <c r="B3" s="4" t="s">
        <v>286</v>
      </c>
      <c r="C3" s="4" t="s">
        <v>286</v>
      </c>
      <c r="D3" s="4" t="s">
        <v>286</v>
      </c>
      <c r="E3" s="4" t="s">
        <v>286</v>
      </c>
      <c r="F3" s="5" t="s">
        <v>287</v>
      </c>
      <c r="G3" s="6"/>
      <c r="H3" s="7"/>
      <c r="I3" s="8"/>
      <c r="J3" s="9"/>
    </row>
    <row r="4" spans="1:10" ht="20.100000000000001" customHeight="1" x14ac:dyDescent="0.2">
      <c r="A4" s="223" t="s">
        <v>638</v>
      </c>
      <c r="B4" s="226">
        <v>7.75</v>
      </c>
      <c r="C4" s="226">
        <v>7.75</v>
      </c>
      <c r="D4" s="226">
        <v>7.75</v>
      </c>
      <c r="E4" s="226">
        <v>7.75</v>
      </c>
      <c r="F4" s="227">
        <v>6</v>
      </c>
      <c r="G4" s="228"/>
      <c r="H4" s="229"/>
      <c r="I4" s="230">
        <f>SUM(B4:H4)</f>
        <v>37</v>
      </c>
      <c r="J4" s="231"/>
    </row>
    <row r="5" spans="1:10" ht="20.100000000000001" customHeight="1" x14ac:dyDescent="0.2"/>
    <row r="6" spans="1:10" ht="20.100000000000001" customHeight="1" x14ac:dyDescent="0.2">
      <c r="A6" s="1" t="s">
        <v>19</v>
      </c>
      <c r="B6" s="1"/>
      <c r="D6" s="2"/>
      <c r="E6" s="2"/>
    </row>
    <row r="7" spans="1:10" ht="18" customHeight="1" x14ac:dyDescent="0.2">
      <c r="A7" s="4422" t="s">
        <v>639</v>
      </c>
      <c r="B7" s="4606" t="s">
        <v>107</v>
      </c>
      <c r="C7" s="4607" t="s">
        <v>108</v>
      </c>
      <c r="D7" s="4607" t="s">
        <v>109</v>
      </c>
      <c r="E7" s="4607" t="s">
        <v>110</v>
      </c>
      <c r="F7" s="4607" t="s">
        <v>111</v>
      </c>
      <c r="G7" s="4607" t="s">
        <v>112</v>
      </c>
      <c r="H7" s="4608" t="s">
        <v>113</v>
      </c>
      <c r="I7" s="4406" t="s">
        <v>158</v>
      </c>
      <c r="J7" s="4609" t="s">
        <v>114</v>
      </c>
    </row>
    <row r="8" spans="1:10" ht="18" customHeight="1" x14ac:dyDescent="0.2">
      <c r="A8" s="4610"/>
      <c r="B8" s="4611" t="s">
        <v>640</v>
      </c>
      <c r="C8" s="4611" t="s">
        <v>641</v>
      </c>
      <c r="D8" s="4612" t="s">
        <v>642</v>
      </c>
      <c r="E8" s="4612" t="s">
        <v>642</v>
      </c>
      <c r="F8" s="4612" t="s">
        <v>642</v>
      </c>
      <c r="G8" s="4612" t="s">
        <v>643</v>
      </c>
      <c r="H8" s="4612" t="s">
        <v>643</v>
      </c>
      <c r="I8" s="4418"/>
      <c r="J8" s="4613"/>
    </row>
    <row r="9" spans="1:10" ht="18" customHeight="1" x14ac:dyDescent="0.2">
      <c r="A9" s="4614" t="s">
        <v>644</v>
      </c>
      <c r="B9" s="4615">
        <v>7.4</v>
      </c>
      <c r="C9" s="226">
        <v>8</v>
      </c>
      <c r="D9" s="227">
        <v>8</v>
      </c>
      <c r="E9" s="227">
        <v>8</v>
      </c>
      <c r="F9" s="227">
        <v>8</v>
      </c>
      <c r="G9" s="227">
        <v>12</v>
      </c>
      <c r="H9" s="232">
        <v>12</v>
      </c>
      <c r="I9" s="233">
        <f>SUM(B9:H9)</f>
        <v>63.4</v>
      </c>
      <c r="J9" s="234"/>
    </row>
    <row r="10" spans="1:10" ht="18" customHeight="1" x14ac:dyDescent="0.2">
      <c r="A10" s="10"/>
      <c r="B10" s="4" t="s">
        <v>642</v>
      </c>
      <c r="C10" s="4" t="s">
        <v>642</v>
      </c>
      <c r="D10" s="4611" t="s">
        <v>640</v>
      </c>
      <c r="E10" s="4611" t="s">
        <v>640</v>
      </c>
      <c r="F10" s="4611" t="s">
        <v>640</v>
      </c>
      <c r="G10" s="5"/>
      <c r="H10" s="11"/>
      <c r="I10" s="8"/>
      <c r="J10" s="12"/>
    </row>
    <row r="11" spans="1:10" ht="18" customHeight="1" x14ac:dyDescent="0.2">
      <c r="A11" s="223" t="s">
        <v>645</v>
      </c>
      <c r="B11" s="226">
        <v>8</v>
      </c>
      <c r="C11" s="227">
        <v>8</v>
      </c>
      <c r="D11" s="4615">
        <v>7.4</v>
      </c>
      <c r="E11" s="4615">
        <v>7.4</v>
      </c>
      <c r="F11" s="4615">
        <v>7.4</v>
      </c>
      <c r="G11" s="227"/>
      <c r="H11" s="232"/>
      <c r="I11" s="233">
        <f>SUM(B11:H11)</f>
        <v>38.199999999999996</v>
      </c>
      <c r="J11" s="234"/>
    </row>
    <row r="12" spans="1:10" ht="18" customHeight="1" x14ac:dyDescent="0.2">
      <c r="A12" s="4616"/>
      <c r="B12" s="4611" t="s">
        <v>646</v>
      </c>
      <c r="C12" s="4611" t="s">
        <v>646</v>
      </c>
      <c r="D12" s="4611" t="s">
        <v>646</v>
      </c>
      <c r="E12" s="4611" t="s">
        <v>646</v>
      </c>
      <c r="F12" s="4611" t="s">
        <v>646</v>
      </c>
      <c r="G12" s="4612"/>
      <c r="H12" s="4617"/>
      <c r="I12" s="4418"/>
      <c r="J12" s="4613"/>
    </row>
    <row r="13" spans="1:10" ht="18" customHeight="1" x14ac:dyDescent="0.2">
      <c r="A13" s="223" t="s">
        <v>647</v>
      </c>
      <c r="B13" s="226">
        <v>8</v>
      </c>
      <c r="C13" s="227">
        <v>8</v>
      </c>
      <c r="D13" s="227">
        <v>8</v>
      </c>
      <c r="E13" s="227">
        <v>8</v>
      </c>
      <c r="F13" s="227">
        <v>8</v>
      </c>
      <c r="G13" s="227"/>
      <c r="H13" s="232"/>
      <c r="I13" s="233">
        <f>SUM(B13:H13)</f>
        <v>40</v>
      </c>
      <c r="J13" s="234"/>
    </row>
    <row r="14" spans="1:10" ht="18" customHeight="1" x14ac:dyDescent="0.2">
      <c r="A14" s="4616"/>
      <c r="B14" s="4611" t="s">
        <v>648</v>
      </c>
      <c r="C14" s="4611" t="s">
        <v>648</v>
      </c>
      <c r="D14" s="4611" t="s">
        <v>648</v>
      </c>
      <c r="E14" s="4611" t="s">
        <v>648</v>
      </c>
      <c r="F14" s="4618" t="s">
        <v>648</v>
      </c>
      <c r="G14" s="4619" t="s">
        <v>649</v>
      </c>
      <c r="H14" s="4331" t="s">
        <v>649</v>
      </c>
      <c r="I14" s="4418"/>
      <c r="J14" s="4543"/>
    </row>
    <row r="15" spans="1:10" ht="18" customHeight="1" x14ac:dyDescent="0.2">
      <c r="A15" s="4620" t="s">
        <v>582</v>
      </c>
      <c r="B15" s="4615">
        <v>8</v>
      </c>
      <c r="C15" s="4615">
        <v>8</v>
      </c>
      <c r="D15" s="4615">
        <v>8</v>
      </c>
      <c r="E15" s="4615">
        <v>8</v>
      </c>
      <c r="F15" s="4615">
        <v>8</v>
      </c>
      <c r="G15" s="4615">
        <v>12</v>
      </c>
      <c r="H15" s="4621">
        <v>12</v>
      </c>
      <c r="I15" s="233">
        <f>SUM(B15:H15)</f>
        <v>64</v>
      </c>
      <c r="J15" s="4562"/>
    </row>
    <row r="16" spans="1:10" ht="18" customHeight="1" x14ac:dyDescent="0.2">
      <c r="A16" s="4616"/>
      <c r="B16" s="4611" t="s">
        <v>640</v>
      </c>
      <c r="C16" s="4611" t="s">
        <v>640</v>
      </c>
      <c r="D16" s="4611" t="s">
        <v>640</v>
      </c>
      <c r="E16" s="4611" t="s">
        <v>640</v>
      </c>
      <c r="F16" s="4611" t="s">
        <v>640</v>
      </c>
      <c r="G16" s="4622"/>
      <c r="H16" s="4319"/>
      <c r="I16" s="4418"/>
      <c r="J16" s="4543"/>
    </row>
    <row r="17" spans="1:14" ht="18" customHeight="1" x14ac:dyDescent="0.2">
      <c r="A17" s="4620" t="s">
        <v>650</v>
      </c>
      <c r="B17" s="4615">
        <v>7.4</v>
      </c>
      <c r="C17" s="4615">
        <v>7.4</v>
      </c>
      <c r="D17" s="4615">
        <v>7.4</v>
      </c>
      <c r="E17" s="4615">
        <v>7.4</v>
      </c>
      <c r="F17" s="4615">
        <v>7.4</v>
      </c>
      <c r="G17" s="4623"/>
      <c r="H17" s="4624"/>
      <c r="I17" s="233">
        <f>SUM(B17:H17)</f>
        <v>37</v>
      </c>
      <c r="J17" s="4562"/>
    </row>
    <row r="18" spans="1:14" ht="18" customHeight="1" x14ac:dyDescent="0.2">
      <c r="A18" s="10"/>
      <c r="B18" s="4" t="s">
        <v>648</v>
      </c>
      <c r="C18" s="4" t="s">
        <v>648</v>
      </c>
      <c r="D18" s="4" t="s">
        <v>648</v>
      </c>
      <c r="E18" s="4" t="s">
        <v>648</v>
      </c>
      <c r="F18" s="4" t="s">
        <v>648</v>
      </c>
      <c r="G18" s="13"/>
      <c r="H18" s="14"/>
      <c r="I18" s="4611" t="s">
        <v>0</v>
      </c>
      <c r="J18" s="15"/>
    </row>
    <row r="19" spans="1:14" ht="18" customHeight="1" x14ac:dyDescent="0.2">
      <c r="A19" s="4620" t="s">
        <v>651</v>
      </c>
      <c r="B19" s="4615">
        <v>8</v>
      </c>
      <c r="C19" s="4615">
        <v>8</v>
      </c>
      <c r="D19" s="4615">
        <v>8</v>
      </c>
      <c r="E19" s="4615">
        <v>8</v>
      </c>
      <c r="F19" s="4615">
        <v>8</v>
      </c>
      <c r="G19" s="4623"/>
      <c r="H19" s="4625"/>
      <c r="I19" s="233">
        <f>SUM(B19:H19)</f>
        <v>40</v>
      </c>
      <c r="J19" s="4562"/>
    </row>
    <row r="20" spans="1:14" ht="18" customHeight="1" x14ac:dyDescent="0.2">
      <c r="A20" s="4626" t="s">
        <v>652</v>
      </c>
      <c r="B20" s="4626">
        <f t="shared" ref="B20:I20" si="0">SUM(B9,B11,B13,B15,B17,B19)</f>
        <v>46.8</v>
      </c>
      <c r="C20" s="4626">
        <f t="shared" si="0"/>
        <v>47.4</v>
      </c>
      <c r="D20" s="4626">
        <f t="shared" si="0"/>
        <v>46.8</v>
      </c>
      <c r="E20" s="4626">
        <f t="shared" si="0"/>
        <v>46.8</v>
      </c>
      <c r="F20" s="4626">
        <f t="shared" si="0"/>
        <v>46.8</v>
      </c>
      <c r="G20" s="4626">
        <f t="shared" si="0"/>
        <v>24</v>
      </c>
      <c r="H20" s="4626">
        <f t="shared" si="0"/>
        <v>24</v>
      </c>
      <c r="I20" s="4626">
        <f t="shared" si="0"/>
        <v>282.60000000000002</v>
      </c>
      <c r="J20" s="4627"/>
    </row>
    <row r="21" spans="1:14" ht="18" customHeight="1" x14ac:dyDescent="0.2">
      <c r="D21" s="2"/>
      <c r="E21" s="2"/>
    </row>
    <row r="22" spans="1:14" ht="18" customHeight="1" x14ac:dyDescent="0.2">
      <c r="A22" s="16" t="s">
        <v>653</v>
      </c>
      <c r="D22" s="2"/>
      <c r="E22" s="2"/>
    </row>
    <row r="23" spans="1:14" ht="18" customHeight="1" x14ac:dyDescent="0.2">
      <c r="A23" s="4628" t="s">
        <v>654</v>
      </c>
      <c r="B23" s="4629" t="s">
        <v>107</v>
      </c>
      <c r="C23" s="4630" t="s">
        <v>108</v>
      </c>
      <c r="D23" s="4630" t="s">
        <v>109</v>
      </c>
      <c r="E23" s="4630" t="s">
        <v>110</v>
      </c>
      <c r="F23" s="4630" t="s">
        <v>111</v>
      </c>
      <c r="G23" s="4630" t="s">
        <v>112</v>
      </c>
      <c r="H23" s="4631" t="s">
        <v>113</v>
      </c>
      <c r="I23" s="4632" t="s">
        <v>158</v>
      </c>
      <c r="J23" s="4633" t="s">
        <v>114</v>
      </c>
    </row>
    <row r="24" spans="1:14" ht="18" customHeight="1" x14ac:dyDescent="0.2">
      <c r="A24" s="4616"/>
      <c r="B24" s="4611" t="s">
        <v>655</v>
      </c>
      <c r="C24" s="4611" t="s">
        <v>655</v>
      </c>
      <c r="D24" s="4611" t="s">
        <v>655</v>
      </c>
      <c r="E24" s="4611" t="s">
        <v>655</v>
      </c>
      <c r="F24" s="4612" t="s">
        <v>656</v>
      </c>
      <c r="G24" s="4612"/>
      <c r="H24" s="4617"/>
      <c r="I24" s="4418"/>
      <c r="J24" s="4634"/>
    </row>
    <row r="25" spans="1:14" ht="18" customHeight="1" x14ac:dyDescent="0.2">
      <c r="A25" s="223" t="s">
        <v>657</v>
      </c>
      <c r="B25" s="226">
        <v>7.75</v>
      </c>
      <c r="C25" s="226">
        <v>7.75</v>
      </c>
      <c r="D25" s="226">
        <v>7.75</v>
      </c>
      <c r="E25" s="226">
        <v>7.75</v>
      </c>
      <c r="F25" s="227">
        <v>6</v>
      </c>
      <c r="G25" s="227"/>
      <c r="H25" s="232"/>
      <c r="I25" s="233">
        <f>SUM(B25:H25)</f>
        <v>37</v>
      </c>
      <c r="J25" s="235"/>
    </row>
    <row r="26" spans="1:14" ht="18" customHeight="1" x14ac:dyDescent="0.2">
      <c r="A26" s="4616"/>
      <c r="B26" s="4611" t="s">
        <v>655</v>
      </c>
      <c r="C26" s="4611" t="s">
        <v>655</v>
      </c>
      <c r="D26" s="4611" t="s">
        <v>655</v>
      </c>
      <c r="E26" s="4611" t="s">
        <v>655</v>
      </c>
      <c r="F26" s="4612" t="s">
        <v>656</v>
      </c>
      <c r="G26" s="4612"/>
      <c r="H26" s="4617"/>
      <c r="I26" s="4418"/>
      <c r="J26" s="4634"/>
    </row>
    <row r="27" spans="1:14" ht="18" customHeight="1" x14ac:dyDescent="0.2">
      <c r="A27" s="223" t="s">
        <v>658</v>
      </c>
      <c r="B27" s="226">
        <v>7.75</v>
      </c>
      <c r="C27" s="226">
        <v>7.75</v>
      </c>
      <c r="D27" s="226">
        <v>7.75</v>
      </c>
      <c r="E27" s="226">
        <v>7.75</v>
      </c>
      <c r="F27" s="227">
        <v>6</v>
      </c>
      <c r="G27" s="227"/>
      <c r="H27" s="232"/>
      <c r="I27" s="233">
        <f>SUM(B27:H27)</f>
        <v>37</v>
      </c>
      <c r="J27" s="235"/>
      <c r="L27" s="17"/>
      <c r="M27" s="17"/>
      <c r="N27" s="17"/>
    </row>
    <row r="28" spans="1:14" ht="18" customHeight="1" x14ac:dyDescent="0.2">
      <c r="A28" s="4616"/>
      <c r="B28" s="4611" t="s">
        <v>655</v>
      </c>
      <c r="C28" s="4611" t="s">
        <v>655</v>
      </c>
      <c r="D28" s="4611" t="s">
        <v>655</v>
      </c>
      <c r="E28" s="4611" t="s">
        <v>655</v>
      </c>
      <c r="F28" s="4612" t="s">
        <v>656</v>
      </c>
      <c r="G28" s="4612"/>
      <c r="H28" s="4617"/>
      <c r="I28" s="4418"/>
      <c r="J28" s="4634"/>
    </row>
    <row r="29" spans="1:14" ht="18" customHeight="1" x14ac:dyDescent="0.2">
      <c r="A29" s="223" t="s">
        <v>594</v>
      </c>
      <c r="B29" s="226">
        <v>7.75</v>
      </c>
      <c r="C29" s="226">
        <v>7.75</v>
      </c>
      <c r="D29" s="226">
        <v>7.75</v>
      </c>
      <c r="E29" s="226">
        <v>7.75</v>
      </c>
      <c r="F29" s="227">
        <v>6</v>
      </c>
      <c r="G29" s="227"/>
      <c r="H29" s="232"/>
      <c r="I29" s="233">
        <f>SUM(B29:H29)</f>
        <v>37</v>
      </c>
      <c r="J29" s="235"/>
    </row>
    <row r="30" spans="1:14" ht="18" customHeight="1" x14ac:dyDescent="0.2">
      <c r="A30" s="4626" t="s">
        <v>652</v>
      </c>
      <c r="B30" s="4626">
        <f t="shared" ref="B30:I30" si="1">SUM(B25,B27,B29)</f>
        <v>23.25</v>
      </c>
      <c r="C30" s="4626">
        <f t="shared" si="1"/>
        <v>23.25</v>
      </c>
      <c r="D30" s="4626">
        <f t="shared" si="1"/>
        <v>23.25</v>
      </c>
      <c r="E30" s="4626">
        <f t="shared" si="1"/>
        <v>23.25</v>
      </c>
      <c r="F30" s="4626">
        <f t="shared" si="1"/>
        <v>18</v>
      </c>
      <c r="G30" s="4626">
        <f t="shared" si="1"/>
        <v>0</v>
      </c>
      <c r="H30" s="4626">
        <f t="shared" si="1"/>
        <v>0</v>
      </c>
      <c r="I30" s="4635">
        <f t="shared" si="1"/>
        <v>111</v>
      </c>
      <c r="J30" s="4636"/>
    </row>
    <row r="31" spans="1:14" ht="18" customHeight="1" x14ac:dyDescent="0.2">
      <c r="A31" s="18"/>
      <c r="B31" s="18"/>
      <c r="C31" s="18"/>
      <c r="D31" s="18"/>
      <c r="E31" s="18"/>
      <c r="F31" s="18"/>
      <c r="G31" s="18"/>
      <c r="H31" s="18"/>
      <c r="I31" s="18"/>
      <c r="J31" s="19"/>
    </row>
    <row r="32" spans="1:14" ht="18" customHeight="1" x14ac:dyDescent="0.2">
      <c r="A32" s="18"/>
      <c r="B32" s="18"/>
      <c r="C32" s="18"/>
      <c r="D32" s="18"/>
      <c r="E32" s="18"/>
      <c r="F32" s="18"/>
      <c r="G32" s="18"/>
      <c r="H32" s="18"/>
      <c r="I32" s="18"/>
      <c r="J32" s="19"/>
    </row>
    <row r="33" spans="1:14" ht="18" customHeight="1" x14ac:dyDescent="0.2">
      <c r="A33" s="1" t="s">
        <v>659</v>
      </c>
      <c r="B33" s="18"/>
      <c r="C33" s="18"/>
      <c r="D33" s="18"/>
      <c r="E33" s="18"/>
      <c r="F33" s="18"/>
    </row>
    <row r="34" spans="1:14" ht="18" customHeight="1" x14ac:dyDescent="0.2">
      <c r="A34" s="4602" t="s">
        <v>660</v>
      </c>
      <c r="B34" s="4603" t="s">
        <v>107</v>
      </c>
      <c r="C34" s="4604" t="s">
        <v>108</v>
      </c>
      <c r="D34" s="4604" t="s">
        <v>109</v>
      </c>
      <c r="E34" s="4604" t="s">
        <v>110</v>
      </c>
      <c r="F34" s="4604" t="s">
        <v>111</v>
      </c>
      <c r="G34" s="4604" t="s">
        <v>112</v>
      </c>
      <c r="H34" s="4425" t="s">
        <v>113</v>
      </c>
      <c r="I34" s="4418" t="s">
        <v>158</v>
      </c>
      <c r="J34" s="4605" t="s">
        <v>114</v>
      </c>
    </row>
    <row r="35" spans="1:14" ht="18" customHeight="1" x14ac:dyDescent="0.2">
      <c r="A35" s="20" t="s">
        <v>661</v>
      </c>
      <c r="B35" s="21" t="s">
        <v>662</v>
      </c>
      <c r="C35" s="21" t="s">
        <v>662</v>
      </c>
      <c r="D35" s="4637" t="s">
        <v>642</v>
      </c>
      <c r="E35" s="4637" t="s">
        <v>642</v>
      </c>
      <c r="F35" s="4637" t="s">
        <v>642</v>
      </c>
      <c r="G35" s="4638" t="s">
        <v>643</v>
      </c>
      <c r="H35" s="4639" t="s">
        <v>642</v>
      </c>
      <c r="I35" s="8"/>
      <c r="J35" s="12"/>
      <c r="L35" s="22" t="s">
        <v>663</v>
      </c>
      <c r="M35" s="22"/>
    </row>
    <row r="36" spans="1:14" ht="18" customHeight="1" x14ac:dyDescent="0.2">
      <c r="A36" s="4640" t="s">
        <v>664</v>
      </c>
      <c r="B36" s="4641">
        <v>7.75</v>
      </c>
      <c r="C36" s="4641">
        <v>7.75</v>
      </c>
      <c r="D36" s="4642">
        <v>8</v>
      </c>
      <c r="E36" s="4642">
        <v>8</v>
      </c>
      <c r="F36" s="4642">
        <v>8</v>
      </c>
      <c r="G36" s="236">
        <v>12</v>
      </c>
      <c r="H36" s="237">
        <v>8</v>
      </c>
      <c r="I36" s="233">
        <f>SUM(B36:H36)</f>
        <v>59.5</v>
      </c>
      <c r="J36" s="4643"/>
      <c r="L36" s="23" t="s">
        <v>665</v>
      </c>
      <c r="M36" s="23"/>
    </row>
    <row r="37" spans="1:14" ht="18" customHeight="1" x14ac:dyDescent="0.2">
      <c r="A37" s="4644"/>
      <c r="B37" s="4611" t="s">
        <v>641</v>
      </c>
      <c r="C37" s="4612" t="s">
        <v>656</v>
      </c>
      <c r="D37" s="4645" t="s">
        <v>666</v>
      </c>
      <c r="E37" s="4645" t="s">
        <v>666</v>
      </c>
      <c r="F37" s="4645" t="s">
        <v>666</v>
      </c>
      <c r="G37" s="4645" t="s">
        <v>667</v>
      </c>
      <c r="H37" s="4646" t="s">
        <v>666</v>
      </c>
      <c r="I37" s="4418"/>
      <c r="J37" s="4613"/>
      <c r="L37" s="24" t="s">
        <v>668</v>
      </c>
      <c r="M37" s="24"/>
    </row>
    <row r="38" spans="1:14" ht="18" customHeight="1" x14ac:dyDescent="0.2">
      <c r="A38" s="4640" t="s">
        <v>669</v>
      </c>
      <c r="B38" s="226">
        <v>8</v>
      </c>
      <c r="C38" s="227">
        <v>6</v>
      </c>
      <c r="D38" s="238">
        <v>7</v>
      </c>
      <c r="E38" s="238">
        <v>7</v>
      </c>
      <c r="F38" s="238">
        <v>7</v>
      </c>
      <c r="G38" s="238">
        <v>11</v>
      </c>
      <c r="H38" s="239">
        <v>7</v>
      </c>
      <c r="I38" s="233">
        <f>SUM(B38:H38)</f>
        <v>53</v>
      </c>
      <c r="J38" s="234"/>
    </row>
    <row r="39" spans="1:14" ht="18" customHeight="1" x14ac:dyDescent="0.2">
      <c r="A39" s="4644"/>
      <c r="B39" s="4611" t="s">
        <v>640</v>
      </c>
      <c r="C39" s="4611" t="s">
        <v>640</v>
      </c>
      <c r="D39" s="4645" t="s">
        <v>666</v>
      </c>
      <c r="E39" s="4645" t="s">
        <v>666</v>
      </c>
      <c r="F39" s="4645" t="s">
        <v>666</v>
      </c>
      <c r="G39" s="4645" t="s">
        <v>667</v>
      </c>
      <c r="H39" s="4646" t="s">
        <v>666</v>
      </c>
      <c r="I39" s="4418"/>
      <c r="J39" s="4613"/>
      <c r="L39" s="25" t="s">
        <v>670</v>
      </c>
      <c r="M39" s="25" t="s">
        <v>671</v>
      </c>
    </row>
    <row r="40" spans="1:14" ht="18" customHeight="1" x14ac:dyDescent="0.2">
      <c r="A40" s="4640" t="s">
        <v>672</v>
      </c>
      <c r="B40" s="4615">
        <v>7.4</v>
      </c>
      <c r="C40" s="4615">
        <v>7.4</v>
      </c>
      <c r="D40" s="238">
        <v>7</v>
      </c>
      <c r="E40" s="238">
        <v>7</v>
      </c>
      <c r="F40" s="238">
        <v>7</v>
      </c>
      <c r="G40" s="238">
        <v>11</v>
      </c>
      <c r="H40" s="239">
        <v>7</v>
      </c>
      <c r="I40" s="233">
        <f>SUM(B40:H40)</f>
        <v>53.8</v>
      </c>
      <c r="J40" s="234"/>
    </row>
    <row r="41" spans="1:14" ht="18" customHeight="1" x14ac:dyDescent="0.2">
      <c r="A41" s="4647" t="s">
        <v>673</v>
      </c>
      <c r="B41" s="4645" t="s">
        <v>666</v>
      </c>
      <c r="C41" s="4645" t="s">
        <v>666</v>
      </c>
      <c r="D41" s="4611" t="s">
        <v>640</v>
      </c>
      <c r="E41" s="4611" t="s">
        <v>640</v>
      </c>
      <c r="F41" s="4611" t="s">
        <v>640</v>
      </c>
      <c r="G41" s="4331"/>
      <c r="H41" s="4319"/>
      <c r="I41" s="4418"/>
      <c r="J41" s="4543"/>
    </row>
    <row r="42" spans="1:14" ht="18" customHeight="1" x14ac:dyDescent="0.2">
      <c r="A42" s="4640" t="s">
        <v>674</v>
      </c>
      <c r="B42" s="238">
        <v>7</v>
      </c>
      <c r="C42" s="238">
        <v>7</v>
      </c>
      <c r="D42" s="4615">
        <v>7.4</v>
      </c>
      <c r="E42" s="4615">
        <v>7.4</v>
      </c>
      <c r="F42" s="4615">
        <v>7.4</v>
      </c>
      <c r="G42" s="4623"/>
      <c r="H42" s="4624"/>
      <c r="I42" s="233">
        <f>SUM(B42:H42)</f>
        <v>36.199999999999996</v>
      </c>
      <c r="J42" s="4562"/>
    </row>
    <row r="43" spans="1:14" ht="18" customHeight="1" x14ac:dyDescent="0.2">
      <c r="A43" s="4644"/>
      <c r="B43" s="4637" t="s">
        <v>642</v>
      </c>
      <c r="C43" s="4637" t="s">
        <v>642</v>
      </c>
      <c r="D43" s="4611" t="s">
        <v>640</v>
      </c>
      <c r="E43" s="4611" t="s">
        <v>640</v>
      </c>
      <c r="F43" s="4611" t="s">
        <v>640</v>
      </c>
      <c r="G43" s="4622"/>
      <c r="H43" s="4319"/>
      <c r="I43" s="4418"/>
      <c r="J43" s="4543"/>
    </row>
    <row r="44" spans="1:14" ht="18" customHeight="1" x14ac:dyDescent="0.2">
      <c r="A44" s="240" t="s">
        <v>675</v>
      </c>
      <c r="B44" s="4642">
        <v>8</v>
      </c>
      <c r="C44" s="4642">
        <v>8</v>
      </c>
      <c r="D44" s="4615">
        <v>7.4</v>
      </c>
      <c r="E44" s="4615">
        <v>7.4</v>
      </c>
      <c r="F44" s="4615">
        <v>7.4</v>
      </c>
      <c r="G44" s="4623"/>
      <c r="H44" s="4624"/>
      <c r="I44" s="233">
        <f>SUM(B44:H44)</f>
        <v>38.199999999999996</v>
      </c>
      <c r="J44" s="4562"/>
      <c r="L44" s="26" t="s">
        <v>676</v>
      </c>
      <c r="M44" s="26"/>
      <c r="N44" s="26"/>
    </row>
    <row r="45" spans="1:14" ht="18" customHeight="1" x14ac:dyDescent="0.2">
      <c r="A45" s="27"/>
      <c r="B45" s="4645" t="s">
        <v>666</v>
      </c>
      <c r="C45" s="4645" t="s">
        <v>666</v>
      </c>
      <c r="D45" s="4611" t="s">
        <v>640</v>
      </c>
      <c r="E45" s="4611" t="s">
        <v>640</v>
      </c>
      <c r="F45" s="4611" t="s">
        <v>640</v>
      </c>
      <c r="G45" s="13"/>
      <c r="H45" s="14"/>
      <c r="I45" s="8"/>
      <c r="J45" s="15"/>
      <c r="L45" s="28" t="s">
        <v>677</v>
      </c>
      <c r="M45" s="28"/>
      <c r="N45" s="28"/>
    </row>
    <row r="46" spans="1:14" ht="18" customHeight="1" x14ac:dyDescent="0.2">
      <c r="A46" s="240" t="s">
        <v>678</v>
      </c>
      <c r="B46" s="238">
        <v>7</v>
      </c>
      <c r="C46" s="238">
        <v>7</v>
      </c>
      <c r="D46" s="4615">
        <v>7.4</v>
      </c>
      <c r="E46" s="4615">
        <v>7.4</v>
      </c>
      <c r="F46" s="4615">
        <v>7.4</v>
      </c>
      <c r="G46" s="4623"/>
      <c r="H46" s="4625"/>
      <c r="I46" s="233">
        <f>SUM(B46:H46)</f>
        <v>36.199999999999996</v>
      </c>
      <c r="J46" s="4562"/>
      <c r="L46" s="29" t="s">
        <v>679</v>
      </c>
      <c r="M46" s="29"/>
      <c r="N46" s="29"/>
    </row>
    <row r="47" spans="1:14" ht="18" customHeight="1" x14ac:dyDescent="0.2">
      <c r="A47" s="4647" t="s">
        <v>680</v>
      </c>
      <c r="B47" s="4648" t="s">
        <v>641</v>
      </c>
      <c r="C47" s="4648" t="s">
        <v>641</v>
      </c>
      <c r="D47" s="4648" t="s">
        <v>641</v>
      </c>
      <c r="E47" s="4648" t="s">
        <v>641</v>
      </c>
      <c r="F47" s="4648" t="s">
        <v>656</v>
      </c>
      <c r="G47" s="4612"/>
      <c r="H47" s="4617"/>
      <c r="I47" s="4418"/>
      <c r="J47" s="4613"/>
      <c r="L47" s="30" t="s">
        <v>681</v>
      </c>
      <c r="M47" s="30"/>
      <c r="N47" s="30"/>
    </row>
    <row r="48" spans="1:14" ht="18" customHeight="1" x14ac:dyDescent="0.2">
      <c r="A48" s="240" t="s">
        <v>682</v>
      </c>
      <c r="B48" s="241">
        <v>8</v>
      </c>
      <c r="C48" s="241">
        <v>8</v>
      </c>
      <c r="D48" s="241">
        <v>8</v>
      </c>
      <c r="E48" s="241">
        <v>8</v>
      </c>
      <c r="F48" s="241">
        <v>6</v>
      </c>
      <c r="G48" s="227"/>
      <c r="H48" s="232"/>
      <c r="I48" s="233">
        <f>SUM(B48:H48)</f>
        <v>38</v>
      </c>
      <c r="J48" s="234"/>
    </row>
    <row r="49" spans="1:10" ht="18" customHeight="1" x14ac:dyDescent="0.2">
      <c r="A49" s="4644"/>
      <c r="B49" s="4649" t="s">
        <v>641</v>
      </c>
      <c r="C49" s="4649" t="s">
        <v>641</v>
      </c>
      <c r="D49" s="4649" t="s">
        <v>641</v>
      </c>
      <c r="E49" s="4649" t="s">
        <v>641</v>
      </c>
      <c r="F49" s="4649" t="s">
        <v>656</v>
      </c>
      <c r="G49" s="4331"/>
      <c r="H49" s="4319"/>
      <c r="I49" s="4418"/>
      <c r="J49" s="4543"/>
    </row>
    <row r="50" spans="1:10" ht="18" customHeight="1" x14ac:dyDescent="0.2">
      <c r="A50" s="4640" t="s">
        <v>683</v>
      </c>
      <c r="B50" s="4650">
        <v>8</v>
      </c>
      <c r="C50" s="4650">
        <v>8</v>
      </c>
      <c r="D50" s="4650">
        <v>8</v>
      </c>
      <c r="E50" s="4650">
        <v>8</v>
      </c>
      <c r="F50" s="4650">
        <v>6</v>
      </c>
      <c r="G50" s="4623"/>
      <c r="H50" s="4624"/>
      <c r="I50" s="233">
        <f>SUM(B50:H50)</f>
        <v>38</v>
      </c>
      <c r="J50" s="4562"/>
    </row>
    <row r="51" spans="1:10" ht="18" customHeight="1" x14ac:dyDescent="0.2">
      <c r="A51" s="4644"/>
      <c r="B51" s="4649" t="s">
        <v>641</v>
      </c>
      <c r="C51" s="4649" t="s">
        <v>641</v>
      </c>
      <c r="D51" s="4649" t="s">
        <v>641</v>
      </c>
      <c r="E51" s="4649" t="s">
        <v>641</v>
      </c>
      <c r="F51" s="4649" t="s">
        <v>656</v>
      </c>
      <c r="G51" s="4622"/>
      <c r="H51" s="4319"/>
      <c r="I51" s="4418"/>
      <c r="J51" s="4543"/>
    </row>
    <row r="52" spans="1:10" ht="18" customHeight="1" x14ac:dyDescent="0.2">
      <c r="A52" s="4640" t="s">
        <v>684</v>
      </c>
      <c r="B52" s="4650">
        <v>8</v>
      </c>
      <c r="C52" s="4650">
        <v>8</v>
      </c>
      <c r="D52" s="4650">
        <v>8</v>
      </c>
      <c r="E52" s="4650">
        <v>8</v>
      </c>
      <c r="F52" s="4650">
        <v>6</v>
      </c>
      <c r="G52" s="4623"/>
      <c r="H52" s="4624"/>
      <c r="I52" s="233">
        <f>SUM(B52:H52)</f>
        <v>38</v>
      </c>
      <c r="J52" s="4562"/>
    </row>
    <row r="53" spans="1:10" ht="18" customHeight="1" x14ac:dyDescent="0.2">
      <c r="A53" s="20" t="s">
        <v>685</v>
      </c>
      <c r="B53" s="31" t="s">
        <v>686</v>
      </c>
      <c r="C53" s="31" t="s">
        <v>686</v>
      </c>
      <c r="D53" s="31" t="s">
        <v>686</v>
      </c>
      <c r="E53" s="31" t="s">
        <v>686</v>
      </c>
      <c r="F53" s="31" t="s">
        <v>686</v>
      </c>
      <c r="G53" s="13" t="s">
        <v>649</v>
      </c>
      <c r="H53" s="32" t="s">
        <v>686</v>
      </c>
      <c r="I53" s="8"/>
      <c r="J53" s="15"/>
    </row>
    <row r="54" spans="1:10" ht="18" customHeight="1" x14ac:dyDescent="0.2">
      <c r="A54" s="4640" t="s">
        <v>687</v>
      </c>
      <c r="B54" s="4651">
        <v>7</v>
      </c>
      <c r="C54" s="4651">
        <v>7</v>
      </c>
      <c r="D54" s="4651">
        <v>7</v>
      </c>
      <c r="E54" s="4651">
        <v>7</v>
      </c>
      <c r="F54" s="4651">
        <v>7</v>
      </c>
      <c r="G54" s="4615">
        <v>12</v>
      </c>
      <c r="H54" s="4652">
        <v>7</v>
      </c>
      <c r="I54" s="233">
        <f>SUM(B54:H54)</f>
        <v>54</v>
      </c>
      <c r="J54" s="4562"/>
    </row>
    <row r="55" spans="1:10" ht="18" customHeight="1" x14ac:dyDescent="0.2">
      <c r="A55" s="4644"/>
      <c r="B55" s="4653" t="s">
        <v>648</v>
      </c>
      <c r="C55" s="4653" t="s">
        <v>648</v>
      </c>
      <c r="D55" s="4653" t="s">
        <v>648</v>
      </c>
      <c r="E55" s="4653" t="s">
        <v>648</v>
      </c>
      <c r="F55" s="4653" t="s">
        <v>648</v>
      </c>
      <c r="G55" s="4612" t="s">
        <v>688</v>
      </c>
      <c r="H55" s="4654" t="s">
        <v>648</v>
      </c>
      <c r="I55" s="4418"/>
      <c r="J55" s="4613"/>
    </row>
    <row r="56" spans="1:10" ht="18" customHeight="1" x14ac:dyDescent="0.2">
      <c r="A56" s="33" t="s">
        <v>689</v>
      </c>
      <c r="B56" s="242">
        <v>8</v>
      </c>
      <c r="C56" s="242">
        <v>8</v>
      </c>
      <c r="D56" s="242">
        <v>8</v>
      </c>
      <c r="E56" s="242">
        <v>8</v>
      </c>
      <c r="F56" s="242">
        <v>8</v>
      </c>
      <c r="G56" s="227">
        <v>8</v>
      </c>
      <c r="H56" s="243">
        <v>8</v>
      </c>
      <c r="I56" s="233">
        <f>SUM(B56:H56)</f>
        <v>56</v>
      </c>
      <c r="J56" s="234"/>
    </row>
    <row r="57" spans="1:10" ht="18" customHeight="1" x14ac:dyDescent="0.2">
      <c r="A57" s="4644"/>
      <c r="B57" s="31" t="s">
        <v>686</v>
      </c>
      <c r="C57" s="31" t="s">
        <v>686</v>
      </c>
      <c r="D57" s="31" t="s">
        <v>686</v>
      </c>
      <c r="E57" s="31" t="s">
        <v>686</v>
      </c>
      <c r="F57" s="31" t="s">
        <v>686</v>
      </c>
      <c r="G57" s="13" t="s">
        <v>649</v>
      </c>
      <c r="H57" s="32" t="s">
        <v>686</v>
      </c>
      <c r="I57" s="4418"/>
      <c r="J57" s="4543"/>
    </row>
    <row r="58" spans="1:10" ht="18" customHeight="1" x14ac:dyDescent="0.2">
      <c r="A58" s="4640" t="s">
        <v>690</v>
      </c>
      <c r="B58" s="4651">
        <v>7</v>
      </c>
      <c r="C58" s="4651">
        <v>7</v>
      </c>
      <c r="D58" s="4651">
        <v>7</v>
      </c>
      <c r="E58" s="4651">
        <v>7</v>
      </c>
      <c r="F58" s="4651">
        <v>7</v>
      </c>
      <c r="G58" s="4615">
        <v>12</v>
      </c>
      <c r="H58" s="4652">
        <v>7</v>
      </c>
      <c r="I58" s="233">
        <f>SUM(B58:H58)</f>
        <v>54</v>
      </c>
      <c r="J58" s="4562"/>
    </row>
    <row r="59" spans="1:10" ht="18" customHeight="1" x14ac:dyDescent="0.2">
      <c r="A59" s="4647" t="s">
        <v>691</v>
      </c>
      <c r="B59" s="4611" t="s">
        <v>640</v>
      </c>
      <c r="C59" s="4611" t="s">
        <v>640</v>
      </c>
      <c r="D59" s="4649" t="s">
        <v>641</v>
      </c>
      <c r="E59" s="4649" t="s">
        <v>641</v>
      </c>
      <c r="F59" s="4649" t="s">
        <v>656</v>
      </c>
      <c r="G59" s="4622"/>
      <c r="H59" s="4319"/>
      <c r="I59" s="4418"/>
      <c r="J59" s="4543"/>
    </row>
    <row r="60" spans="1:10" ht="18" customHeight="1" x14ac:dyDescent="0.2">
      <c r="A60" s="240" t="s">
        <v>692</v>
      </c>
      <c r="B60" s="4615">
        <v>7.4</v>
      </c>
      <c r="C60" s="4615">
        <v>7.4</v>
      </c>
      <c r="D60" s="4650">
        <v>8</v>
      </c>
      <c r="E60" s="4650">
        <v>8</v>
      </c>
      <c r="F60" s="4650">
        <v>6</v>
      </c>
      <c r="G60" s="4623"/>
      <c r="H60" s="4624"/>
      <c r="I60" s="233">
        <f>SUM(B60:H60)</f>
        <v>36.799999999999997</v>
      </c>
      <c r="J60" s="4562"/>
    </row>
    <row r="61" spans="1:10" ht="18" customHeight="1" x14ac:dyDescent="0.2">
      <c r="A61" s="4644"/>
      <c r="B61" s="4611" t="s">
        <v>640</v>
      </c>
      <c r="C61" s="4611" t="s">
        <v>640</v>
      </c>
      <c r="D61" s="4655" t="s">
        <v>641</v>
      </c>
      <c r="E61" s="4655" t="s">
        <v>641</v>
      </c>
      <c r="F61" s="4655" t="s">
        <v>656</v>
      </c>
      <c r="G61" s="4622"/>
      <c r="H61" s="4319"/>
      <c r="I61" s="4418"/>
      <c r="J61" s="4543"/>
    </row>
    <row r="62" spans="1:10" ht="18" customHeight="1" x14ac:dyDescent="0.2">
      <c r="A62" s="244" t="s">
        <v>693</v>
      </c>
      <c r="B62" s="4615">
        <v>7.4</v>
      </c>
      <c r="C62" s="4615">
        <v>7.4</v>
      </c>
      <c r="D62" s="4656">
        <v>8</v>
      </c>
      <c r="E62" s="4656">
        <v>8</v>
      </c>
      <c r="F62" s="4656">
        <v>6</v>
      </c>
      <c r="G62" s="4623"/>
      <c r="H62" s="4624"/>
      <c r="I62" s="233">
        <f>SUM(B62:H62)</f>
        <v>36.799999999999997</v>
      </c>
      <c r="J62" s="4562"/>
    </row>
    <row r="63" spans="1:10" ht="18" customHeight="1" x14ac:dyDescent="0.2">
      <c r="A63" s="27"/>
      <c r="B63" s="4611" t="s">
        <v>640</v>
      </c>
      <c r="C63" s="4611" t="s">
        <v>640</v>
      </c>
      <c r="D63" s="21" t="s">
        <v>662</v>
      </c>
      <c r="E63" s="21" t="s">
        <v>662</v>
      </c>
      <c r="F63" s="21" t="s">
        <v>662</v>
      </c>
      <c r="G63" s="13"/>
      <c r="H63" s="14"/>
      <c r="I63" s="8"/>
      <c r="J63" s="15"/>
    </row>
    <row r="64" spans="1:10" ht="18" customHeight="1" x14ac:dyDescent="0.2">
      <c r="A64" s="4640" t="s">
        <v>694</v>
      </c>
      <c r="B64" s="4615">
        <v>7.4</v>
      </c>
      <c r="C64" s="4615">
        <v>7.4</v>
      </c>
      <c r="D64" s="245">
        <v>7.75</v>
      </c>
      <c r="E64" s="245">
        <v>7.75</v>
      </c>
      <c r="F64" s="245">
        <v>7.75</v>
      </c>
      <c r="G64" s="4623"/>
      <c r="H64" s="4625"/>
      <c r="I64" s="233">
        <f>SUM(B64:H64)</f>
        <v>38.049999999999997</v>
      </c>
      <c r="J64" s="4562"/>
    </row>
    <row r="65" spans="1:10" ht="18" customHeight="1" x14ac:dyDescent="0.2">
      <c r="A65" s="4626" t="s">
        <v>652</v>
      </c>
      <c r="B65" s="4626">
        <f t="shared" ref="B65:I65" si="2">SUM(B36,B38,B40,B42,B44,B46,B48,B50,B52,B54,B56,B58,B60,B62,B64)</f>
        <v>113.35000000000002</v>
      </c>
      <c r="C65" s="4626">
        <f t="shared" si="2"/>
        <v>111.35000000000002</v>
      </c>
      <c r="D65" s="4626">
        <f t="shared" si="2"/>
        <v>113.94999999999999</v>
      </c>
      <c r="E65" s="4626">
        <f t="shared" si="2"/>
        <v>113.94999999999999</v>
      </c>
      <c r="F65" s="4626">
        <f t="shared" si="2"/>
        <v>103.94999999999999</v>
      </c>
      <c r="G65" s="4626">
        <f t="shared" si="2"/>
        <v>66</v>
      </c>
      <c r="H65" s="4626">
        <f t="shared" si="2"/>
        <v>44</v>
      </c>
      <c r="I65" s="4635">
        <f t="shared" si="2"/>
        <v>666.54999999999984</v>
      </c>
      <c r="J65" s="4627"/>
    </row>
    <row r="66" spans="1:10" ht="18" customHeight="1" x14ac:dyDescent="0.2">
      <c r="A66" s="1" t="s">
        <v>695</v>
      </c>
      <c r="B66" s="18"/>
      <c r="C66" s="18"/>
      <c r="D66" s="18"/>
      <c r="E66" s="18"/>
      <c r="F66" s="18"/>
    </row>
    <row r="67" spans="1:10" ht="18" customHeight="1" x14ac:dyDescent="0.2">
      <c r="A67" s="4628" t="s">
        <v>696</v>
      </c>
      <c r="B67" s="4629" t="s">
        <v>107</v>
      </c>
      <c r="C67" s="4630" t="s">
        <v>108</v>
      </c>
      <c r="D67" s="4630" t="s">
        <v>109</v>
      </c>
      <c r="E67" s="4630" t="s">
        <v>110</v>
      </c>
      <c r="F67" s="4630" t="s">
        <v>111</v>
      </c>
      <c r="G67" s="4630" t="s">
        <v>112</v>
      </c>
      <c r="H67" s="4631" t="s">
        <v>113</v>
      </c>
      <c r="I67" s="4632" t="s">
        <v>158</v>
      </c>
      <c r="J67" s="4633" t="s">
        <v>114</v>
      </c>
    </row>
    <row r="68" spans="1:10" ht="18" customHeight="1" x14ac:dyDescent="0.2">
      <c r="A68" s="4616" t="s">
        <v>697</v>
      </c>
      <c r="B68" s="4426" t="s">
        <v>698</v>
      </c>
      <c r="C68" s="4426" t="s">
        <v>698</v>
      </c>
      <c r="D68" s="4426" t="s">
        <v>698</v>
      </c>
      <c r="E68" s="4426" t="s">
        <v>698</v>
      </c>
      <c r="F68" s="4426" t="s">
        <v>698</v>
      </c>
      <c r="G68" s="4604"/>
      <c r="H68" s="4428"/>
      <c r="I68" s="4426"/>
      <c r="J68" s="4613"/>
    </row>
    <row r="69" spans="1:10" ht="18" customHeight="1" x14ac:dyDescent="0.2">
      <c r="A69" s="246"/>
      <c r="B69" s="226">
        <v>7</v>
      </c>
      <c r="C69" s="226">
        <v>7</v>
      </c>
      <c r="D69" s="226">
        <v>7</v>
      </c>
      <c r="E69" s="226">
        <v>7</v>
      </c>
      <c r="F69" s="227">
        <v>7</v>
      </c>
      <c r="G69" s="228"/>
      <c r="H69" s="229"/>
      <c r="I69" s="233">
        <f>SUM(B69:H69)</f>
        <v>35</v>
      </c>
      <c r="J69" s="234"/>
    </row>
    <row r="70" spans="1:10" ht="18" customHeight="1" x14ac:dyDescent="0.2">
      <c r="A70" s="10" t="s">
        <v>699</v>
      </c>
      <c r="B70" s="4657" t="s">
        <v>700</v>
      </c>
      <c r="C70" s="4657" t="s">
        <v>700</v>
      </c>
      <c r="D70" s="4657" t="s">
        <v>700</v>
      </c>
      <c r="E70" s="4657" t="s">
        <v>700</v>
      </c>
      <c r="F70" s="4657" t="s">
        <v>701</v>
      </c>
      <c r="G70" s="6"/>
      <c r="H70" s="7"/>
      <c r="I70" s="34"/>
      <c r="J70" s="12"/>
    </row>
    <row r="71" spans="1:10" ht="18" customHeight="1" x14ac:dyDescent="0.2">
      <c r="A71" s="35"/>
      <c r="B71" s="4658">
        <v>7</v>
      </c>
      <c r="C71" s="4658">
        <v>7</v>
      </c>
      <c r="D71" s="4658">
        <v>7</v>
      </c>
      <c r="E71" s="4658">
        <v>7</v>
      </c>
      <c r="F71" s="4659">
        <v>6</v>
      </c>
      <c r="G71" s="4660"/>
      <c r="H71" s="36"/>
      <c r="I71" s="233">
        <f>SUM(B71:H71)</f>
        <v>34</v>
      </c>
      <c r="J71" s="4643"/>
    </row>
    <row r="72" spans="1:10" ht="18" customHeight="1" x14ac:dyDescent="0.2">
      <c r="A72" s="4616" t="s">
        <v>702</v>
      </c>
      <c r="B72" s="4426" t="s">
        <v>703</v>
      </c>
      <c r="C72" s="4426" t="s">
        <v>703</v>
      </c>
      <c r="D72" s="4426" t="s">
        <v>703</v>
      </c>
      <c r="E72" s="4426" t="s">
        <v>704</v>
      </c>
      <c r="F72" s="4426" t="s">
        <v>705</v>
      </c>
      <c r="G72" s="4426"/>
      <c r="H72" s="4426" t="s">
        <v>646</v>
      </c>
      <c r="I72" s="4426"/>
      <c r="J72" s="4613"/>
    </row>
    <row r="73" spans="1:10" ht="18" customHeight="1" x14ac:dyDescent="0.2">
      <c r="A73" s="223"/>
      <c r="B73" s="226">
        <v>6.5</v>
      </c>
      <c r="C73" s="226">
        <v>6.5</v>
      </c>
      <c r="D73" s="226">
        <v>6.5</v>
      </c>
      <c r="E73" s="227">
        <v>5.5</v>
      </c>
      <c r="F73" s="227">
        <v>7.25</v>
      </c>
      <c r="G73" s="227"/>
      <c r="H73" s="232">
        <v>8</v>
      </c>
      <c r="I73" s="233">
        <f>SUM(B73:H73)</f>
        <v>40.25</v>
      </c>
      <c r="J73" s="234"/>
    </row>
    <row r="74" spans="1:10" ht="18" customHeight="1" x14ac:dyDescent="0.2">
      <c r="A74" s="4626" t="s">
        <v>652</v>
      </c>
      <c r="B74" s="4626">
        <f t="shared" ref="B74:I74" si="3">SUM(B69,B71,B73)</f>
        <v>20.5</v>
      </c>
      <c r="C74" s="4626">
        <f t="shared" si="3"/>
        <v>20.5</v>
      </c>
      <c r="D74" s="4626">
        <f t="shared" si="3"/>
        <v>20.5</v>
      </c>
      <c r="E74" s="4626">
        <f t="shared" si="3"/>
        <v>19.5</v>
      </c>
      <c r="F74" s="4626">
        <f t="shared" si="3"/>
        <v>20.25</v>
      </c>
      <c r="G74" s="4626">
        <f t="shared" si="3"/>
        <v>0</v>
      </c>
      <c r="H74" s="4626">
        <f t="shared" si="3"/>
        <v>8</v>
      </c>
      <c r="I74" s="4635">
        <f t="shared" si="3"/>
        <v>109.25</v>
      </c>
      <c r="J74" s="4636"/>
    </row>
    <row r="75" spans="1:10" ht="18" customHeight="1" x14ac:dyDescent="0.2">
      <c r="A75" s="1" t="s">
        <v>706</v>
      </c>
      <c r="B75" s="18"/>
      <c r="C75" s="18"/>
      <c r="D75" s="18"/>
      <c r="E75" s="18"/>
      <c r="F75" s="18"/>
    </row>
    <row r="76" spans="1:10" ht="18" customHeight="1" x14ac:dyDescent="0.2">
      <c r="A76" s="4628" t="s">
        <v>707</v>
      </c>
      <c r="B76" s="4629" t="s">
        <v>107</v>
      </c>
      <c r="C76" s="4630" t="s">
        <v>108</v>
      </c>
      <c r="D76" s="4630" t="s">
        <v>109</v>
      </c>
      <c r="E76" s="4630" t="s">
        <v>110</v>
      </c>
      <c r="F76" s="4630" t="s">
        <v>111</v>
      </c>
      <c r="G76" s="4630" t="s">
        <v>112</v>
      </c>
      <c r="H76" s="4631" t="s">
        <v>113</v>
      </c>
      <c r="I76" s="4632" t="s">
        <v>158</v>
      </c>
      <c r="J76" s="4633" t="s">
        <v>114</v>
      </c>
    </row>
    <row r="77" spans="1:10" ht="18" customHeight="1" x14ac:dyDescent="0.2">
      <c r="A77" s="10" t="s">
        <v>708</v>
      </c>
      <c r="B77" s="4657" t="s">
        <v>709</v>
      </c>
      <c r="C77" s="4661" t="s">
        <v>709</v>
      </c>
      <c r="D77" s="34" t="s">
        <v>709</v>
      </c>
      <c r="E77" s="4661" t="s">
        <v>709</v>
      </c>
      <c r="F77" s="4657" t="s">
        <v>710</v>
      </c>
      <c r="G77" s="6"/>
      <c r="H77" s="7"/>
      <c r="I77" s="34"/>
      <c r="J77" s="12" t="s">
        <v>711</v>
      </c>
    </row>
    <row r="78" spans="1:10" ht="18" customHeight="1" x14ac:dyDescent="0.2">
      <c r="A78" s="35"/>
      <c r="B78" s="4658">
        <v>8</v>
      </c>
      <c r="C78" s="4658">
        <v>8</v>
      </c>
      <c r="D78" s="4658">
        <v>8</v>
      </c>
      <c r="E78" s="4658">
        <v>8</v>
      </c>
      <c r="F78" s="4659">
        <v>7</v>
      </c>
      <c r="G78" s="4660"/>
      <c r="H78" s="36"/>
      <c r="I78" s="233">
        <f>SUM(B78:H78)</f>
        <v>39</v>
      </c>
      <c r="J78" s="4643"/>
    </row>
    <row r="79" spans="1:10" ht="18" customHeight="1" x14ac:dyDescent="0.2">
      <c r="A79" s="4616" t="s">
        <v>712</v>
      </c>
      <c r="B79" s="4426" t="s">
        <v>713</v>
      </c>
      <c r="C79" s="4426" t="s">
        <v>713</v>
      </c>
      <c r="D79" s="4426" t="s">
        <v>713</v>
      </c>
      <c r="E79" s="4426" t="s">
        <v>713</v>
      </c>
      <c r="F79" s="4426" t="s">
        <v>714</v>
      </c>
      <c r="G79" s="4604"/>
      <c r="H79" s="4428"/>
      <c r="I79" s="4426"/>
      <c r="J79" s="4613"/>
    </row>
    <row r="80" spans="1:10" ht="18" customHeight="1" x14ac:dyDescent="0.2">
      <c r="A80" s="35"/>
      <c r="B80" s="4658">
        <v>6.5</v>
      </c>
      <c r="C80" s="4658">
        <v>6.5</v>
      </c>
      <c r="D80" s="4658">
        <v>6.5</v>
      </c>
      <c r="E80" s="4658">
        <v>6.5</v>
      </c>
      <c r="F80" s="4659">
        <v>7</v>
      </c>
      <c r="G80" s="4660"/>
      <c r="H80" s="36"/>
      <c r="I80" s="233">
        <f>SUM(B80:H80)</f>
        <v>33</v>
      </c>
      <c r="J80" s="4643"/>
    </row>
    <row r="81" spans="1:10" ht="18" customHeight="1" x14ac:dyDescent="0.2">
      <c r="A81" s="4616" t="s">
        <v>715</v>
      </c>
      <c r="B81" s="4611" t="s">
        <v>716</v>
      </c>
      <c r="C81" s="4426" t="s">
        <v>717</v>
      </c>
      <c r="D81" s="4426" t="s">
        <v>716</v>
      </c>
      <c r="E81" s="4426" t="s">
        <v>716</v>
      </c>
      <c r="F81" s="4426" t="s">
        <v>718</v>
      </c>
      <c r="G81" s="4426" t="s">
        <v>719</v>
      </c>
      <c r="H81" s="4612"/>
      <c r="I81" s="4426"/>
      <c r="J81" s="4613" t="s">
        <v>720</v>
      </c>
    </row>
    <row r="82" spans="1:10" ht="18" customHeight="1" x14ac:dyDescent="0.2">
      <c r="A82" s="223"/>
      <c r="B82" s="226">
        <v>7</v>
      </c>
      <c r="C82" s="227">
        <v>4</v>
      </c>
      <c r="D82" s="227">
        <v>7</v>
      </c>
      <c r="E82" s="227">
        <v>7</v>
      </c>
      <c r="F82" s="227">
        <v>6.25</v>
      </c>
      <c r="G82" s="227">
        <v>6.5</v>
      </c>
      <c r="H82" s="232"/>
      <c r="I82" s="233">
        <f>SUM(B82:H82)</f>
        <v>37.75</v>
      </c>
      <c r="J82" s="234"/>
    </row>
    <row r="83" spans="1:10" ht="18" customHeight="1" x14ac:dyDescent="0.2">
      <c r="A83" s="4662" t="s">
        <v>721</v>
      </c>
      <c r="B83" s="4663" t="s">
        <v>709</v>
      </c>
      <c r="C83" s="4664" t="s">
        <v>709</v>
      </c>
      <c r="D83" s="34" t="s">
        <v>709</v>
      </c>
      <c r="E83" s="4661" t="s">
        <v>709</v>
      </c>
      <c r="F83" s="4661" t="s">
        <v>710</v>
      </c>
      <c r="G83" s="4331"/>
      <c r="H83" s="4319"/>
      <c r="I83" s="4426"/>
      <c r="J83" s="12" t="s">
        <v>711</v>
      </c>
    </row>
    <row r="84" spans="1:10" ht="18" customHeight="1" x14ac:dyDescent="0.2">
      <c r="A84" s="4620"/>
      <c r="B84" s="4615">
        <v>8</v>
      </c>
      <c r="C84" s="4615">
        <v>8</v>
      </c>
      <c r="D84" s="4615">
        <v>8</v>
      </c>
      <c r="E84" s="4615">
        <v>8</v>
      </c>
      <c r="F84" s="4615">
        <v>7</v>
      </c>
      <c r="G84" s="4623"/>
      <c r="H84" s="4624"/>
      <c r="I84" s="233">
        <f>SUM(B84:H84)</f>
        <v>39</v>
      </c>
      <c r="J84" s="4562"/>
    </row>
    <row r="85" spans="1:10" ht="18" customHeight="1" x14ac:dyDescent="0.2">
      <c r="A85" s="4662" t="s">
        <v>722</v>
      </c>
      <c r="B85" s="34" t="s">
        <v>713</v>
      </c>
      <c r="C85" s="4661" t="s">
        <v>713</v>
      </c>
      <c r="D85" s="4661" t="s">
        <v>713</v>
      </c>
      <c r="E85" s="4663" t="s">
        <v>713</v>
      </c>
      <c r="F85" s="4661" t="s">
        <v>714</v>
      </c>
      <c r="G85" s="4622"/>
      <c r="H85" s="4319"/>
      <c r="I85" s="4426"/>
      <c r="J85" s="4543"/>
    </row>
    <row r="86" spans="1:10" ht="18" customHeight="1" x14ac:dyDescent="0.2">
      <c r="A86" s="4665"/>
      <c r="B86" s="4666">
        <v>6.5</v>
      </c>
      <c r="C86" s="4666">
        <v>6.5</v>
      </c>
      <c r="D86" s="4666">
        <v>6.5</v>
      </c>
      <c r="E86" s="4666">
        <v>6.5</v>
      </c>
      <c r="F86" s="4666">
        <v>7</v>
      </c>
      <c r="G86" s="4667"/>
      <c r="H86" s="4668"/>
      <c r="I86" s="233">
        <f>SUM(B86:H86)</f>
        <v>33</v>
      </c>
      <c r="J86" s="4669"/>
    </row>
    <row r="87" spans="1:10" ht="18" customHeight="1" x14ac:dyDescent="0.2">
      <c r="A87" s="4670" t="s">
        <v>723</v>
      </c>
      <c r="B87" s="4426" t="s">
        <v>698</v>
      </c>
      <c r="C87" s="4611" t="s">
        <v>698</v>
      </c>
      <c r="D87" s="4426" t="s">
        <v>698</v>
      </c>
      <c r="E87" s="4426" t="s">
        <v>698</v>
      </c>
      <c r="F87" s="4611" t="s">
        <v>640</v>
      </c>
      <c r="G87" s="4426"/>
      <c r="H87" s="4611" t="s">
        <v>646</v>
      </c>
      <c r="I87" s="4426"/>
      <c r="J87" s="4543"/>
    </row>
    <row r="88" spans="1:10" ht="18" customHeight="1" x14ac:dyDescent="0.2">
      <c r="A88" s="223"/>
      <c r="B88" s="226">
        <v>7</v>
      </c>
      <c r="C88" s="226">
        <v>7</v>
      </c>
      <c r="D88" s="226">
        <v>7</v>
      </c>
      <c r="E88" s="226">
        <v>7</v>
      </c>
      <c r="F88" s="4615">
        <v>7.4</v>
      </c>
      <c r="G88" s="247"/>
      <c r="H88" s="233">
        <v>8</v>
      </c>
      <c r="I88" s="233">
        <f>SUM(B88:H88)</f>
        <v>43.4</v>
      </c>
      <c r="J88" s="4562"/>
    </row>
    <row r="89" spans="1:10" ht="18" customHeight="1" x14ac:dyDescent="0.2">
      <c r="A89" s="4626" t="s">
        <v>652</v>
      </c>
      <c r="B89" s="4626">
        <f t="shared" ref="B89:I89" si="4">SUM(B78,B80,B82,B84,B86,B88)</f>
        <v>43</v>
      </c>
      <c r="C89" s="4626">
        <f t="shared" si="4"/>
        <v>40</v>
      </c>
      <c r="D89" s="4626">
        <f t="shared" si="4"/>
        <v>43</v>
      </c>
      <c r="E89" s="4626">
        <f t="shared" si="4"/>
        <v>43</v>
      </c>
      <c r="F89" s="4626">
        <f t="shared" si="4"/>
        <v>41.65</v>
      </c>
      <c r="G89" s="4626">
        <f t="shared" si="4"/>
        <v>6.5</v>
      </c>
      <c r="H89" s="4626">
        <f t="shared" si="4"/>
        <v>8</v>
      </c>
      <c r="I89" s="4635">
        <f t="shared" si="4"/>
        <v>225.15</v>
      </c>
      <c r="J89" s="4627"/>
    </row>
    <row r="90" spans="1:10" ht="18" customHeight="1" x14ac:dyDescent="0.2">
      <c r="A90" s="1" t="s">
        <v>724</v>
      </c>
      <c r="B90" s="18"/>
      <c r="C90" s="18"/>
      <c r="D90" s="18"/>
      <c r="E90" s="18"/>
      <c r="F90" s="18"/>
    </row>
    <row r="91" spans="1:10" ht="18" customHeight="1" x14ac:dyDescent="0.2">
      <c r="A91" s="4628" t="s">
        <v>725</v>
      </c>
      <c r="B91" s="4629" t="s">
        <v>107</v>
      </c>
      <c r="C91" s="4630" t="s">
        <v>108</v>
      </c>
      <c r="D91" s="4630" t="s">
        <v>109</v>
      </c>
      <c r="E91" s="4630" t="s">
        <v>110</v>
      </c>
      <c r="F91" s="4630" t="s">
        <v>111</v>
      </c>
      <c r="G91" s="4630" t="s">
        <v>112</v>
      </c>
      <c r="H91" s="4631" t="s">
        <v>113</v>
      </c>
      <c r="I91" s="4632" t="s">
        <v>158</v>
      </c>
      <c r="J91" s="4633" t="s">
        <v>114</v>
      </c>
    </row>
    <row r="92" spans="1:10" ht="18" customHeight="1" x14ac:dyDescent="0.2">
      <c r="A92" s="4616" t="s">
        <v>726</v>
      </c>
      <c r="B92" s="4426" t="s">
        <v>710</v>
      </c>
      <c r="C92" s="4426" t="s">
        <v>710</v>
      </c>
      <c r="D92" s="4426" t="s">
        <v>710</v>
      </c>
      <c r="E92" s="4426" t="s">
        <v>710</v>
      </c>
      <c r="F92" s="4426" t="s">
        <v>698</v>
      </c>
      <c r="G92" s="4604"/>
      <c r="H92" s="4428"/>
      <c r="I92" s="4426"/>
      <c r="J92" s="4613"/>
    </row>
    <row r="93" spans="1:10" ht="18" customHeight="1" x14ac:dyDescent="0.2">
      <c r="A93" s="246"/>
      <c r="B93" s="226">
        <v>7.5</v>
      </c>
      <c r="C93" s="226">
        <v>7.5</v>
      </c>
      <c r="D93" s="226">
        <v>7.5</v>
      </c>
      <c r="E93" s="226">
        <v>7.5</v>
      </c>
      <c r="F93" s="227">
        <v>7</v>
      </c>
      <c r="G93" s="228"/>
      <c r="H93" s="229"/>
      <c r="I93" s="233">
        <f>SUM(B93:H93)</f>
        <v>37</v>
      </c>
      <c r="J93" s="234"/>
    </row>
    <row r="94" spans="1:10" ht="18" customHeight="1" x14ac:dyDescent="0.2">
      <c r="A94" s="4662" t="s">
        <v>727</v>
      </c>
      <c r="B94" s="4661" t="s">
        <v>728</v>
      </c>
      <c r="C94" s="4661" t="s">
        <v>728</v>
      </c>
      <c r="D94" s="4661" t="s">
        <v>728</v>
      </c>
      <c r="E94" s="4661" t="s">
        <v>728</v>
      </c>
      <c r="F94" s="4661" t="s">
        <v>701</v>
      </c>
      <c r="G94" s="6"/>
      <c r="H94" s="7"/>
      <c r="I94" s="34"/>
      <c r="J94" s="12"/>
    </row>
    <row r="95" spans="1:10" ht="18" customHeight="1" x14ac:dyDescent="0.2">
      <c r="A95" s="35"/>
      <c r="B95" s="4658">
        <v>7.5</v>
      </c>
      <c r="C95" s="4658">
        <v>7.5</v>
      </c>
      <c r="D95" s="4658">
        <v>7.5</v>
      </c>
      <c r="E95" s="4658">
        <v>7.5</v>
      </c>
      <c r="F95" s="4659">
        <v>6</v>
      </c>
      <c r="G95" s="4660"/>
      <c r="H95" s="36"/>
      <c r="I95" s="233">
        <f>SUM(B95:H95)</f>
        <v>36</v>
      </c>
      <c r="J95" s="4643"/>
    </row>
    <row r="96" spans="1:10" ht="18" customHeight="1" x14ac:dyDescent="0.2">
      <c r="A96" s="4610" t="s">
        <v>729</v>
      </c>
      <c r="B96" s="4426" t="s">
        <v>730</v>
      </c>
      <c r="C96" s="4426" t="s">
        <v>730</v>
      </c>
      <c r="D96" s="4426" t="s">
        <v>730</v>
      </c>
      <c r="E96" s="4426" t="s">
        <v>730</v>
      </c>
      <c r="F96" s="4426" t="s">
        <v>731</v>
      </c>
      <c r="G96" s="4426"/>
      <c r="H96" s="4426"/>
      <c r="I96" s="4426"/>
      <c r="J96" s="4613"/>
    </row>
    <row r="97" spans="1:10" ht="18" customHeight="1" x14ac:dyDescent="0.2">
      <c r="A97" s="223"/>
      <c r="B97" s="226">
        <v>7.5</v>
      </c>
      <c r="C97" s="226">
        <v>7.5</v>
      </c>
      <c r="D97" s="226">
        <v>7.5</v>
      </c>
      <c r="E97" s="226">
        <v>7.5</v>
      </c>
      <c r="F97" s="227">
        <v>6</v>
      </c>
      <c r="G97" s="227"/>
      <c r="H97" s="232"/>
      <c r="I97" s="233">
        <f>SUM(B97:H97)</f>
        <v>36</v>
      </c>
      <c r="J97" s="234"/>
    </row>
    <row r="98" spans="1:10" ht="18" customHeight="1" x14ac:dyDescent="0.2">
      <c r="A98" s="4626" t="s">
        <v>652</v>
      </c>
      <c r="B98" s="4626">
        <f t="shared" ref="B98:I98" si="5">SUM(B93,B95,B97)</f>
        <v>22.5</v>
      </c>
      <c r="C98" s="4626">
        <f t="shared" si="5"/>
        <v>22.5</v>
      </c>
      <c r="D98" s="4626">
        <f t="shared" si="5"/>
        <v>22.5</v>
      </c>
      <c r="E98" s="4626">
        <f t="shared" si="5"/>
        <v>22.5</v>
      </c>
      <c r="F98" s="4626">
        <f t="shared" si="5"/>
        <v>19</v>
      </c>
      <c r="G98" s="4626">
        <f t="shared" si="5"/>
        <v>0</v>
      </c>
      <c r="H98" s="4626">
        <f t="shared" si="5"/>
        <v>0</v>
      </c>
      <c r="I98" s="4635">
        <f t="shared" si="5"/>
        <v>109</v>
      </c>
      <c r="J98" s="4636"/>
    </row>
    <row r="99" spans="1:10" ht="18" customHeight="1" x14ac:dyDescent="0.2">
      <c r="A99" s="1" t="s">
        <v>732</v>
      </c>
      <c r="B99" s="18"/>
      <c r="C99" s="18"/>
      <c r="D99" s="18"/>
      <c r="E99" s="18"/>
      <c r="F99" s="18"/>
    </row>
    <row r="100" spans="1:10" ht="18" customHeight="1" x14ac:dyDescent="0.2">
      <c r="A100" s="4422" t="s">
        <v>654</v>
      </c>
      <c r="B100" s="4606" t="s">
        <v>107</v>
      </c>
      <c r="C100" s="4607" t="s">
        <v>108</v>
      </c>
      <c r="D100" s="4607" t="s">
        <v>109</v>
      </c>
      <c r="E100" s="4607" t="s">
        <v>110</v>
      </c>
      <c r="F100" s="4607" t="s">
        <v>111</v>
      </c>
      <c r="G100" s="4607" t="s">
        <v>112</v>
      </c>
      <c r="H100" s="4608" t="s">
        <v>113</v>
      </c>
      <c r="I100" s="4406" t="s">
        <v>158</v>
      </c>
      <c r="J100" s="4609" t="s">
        <v>114</v>
      </c>
    </row>
    <row r="101" spans="1:10" ht="18" customHeight="1" x14ac:dyDescent="0.2">
      <c r="A101" s="4602"/>
      <c r="B101" s="4611" t="s">
        <v>655</v>
      </c>
      <c r="C101" s="4611" t="s">
        <v>655</v>
      </c>
      <c r="D101" s="4611" t="s">
        <v>655</v>
      </c>
      <c r="E101" s="4611" t="s">
        <v>655</v>
      </c>
      <c r="F101" s="4611" t="s">
        <v>656</v>
      </c>
      <c r="G101" s="4604"/>
      <c r="H101" s="4428"/>
      <c r="I101" s="4418"/>
      <c r="J101" s="4605"/>
    </row>
    <row r="102" spans="1:10" ht="18" customHeight="1" x14ac:dyDescent="0.2">
      <c r="A102" s="223" t="s">
        <v>733</v>
      </c>
      <c r="B102" s="226">
        <v>7.75</v>
      </c>
      <c r="C102" s="226">
        <v>7.75</v>
      </c>
      <c r="D102" s="226">
        <v>7.75</v>
      </c>
      <c r="E102" s="226">
        <v>7.75</v>
      </c>
      <c r="F102" s="226">
        <v>6</v>
      </c>
      <c r="G102" s="228"/>
      <c r="H102" s="229"/>
      <c r="I102" s="230">
        <f>SUM(B102:H102)</f>
        <v>37</v>
      </c>
      <c r="J102" s="231"/>
    </row>
    <row r="103" spans="1:10" ht="18" customHeight="1" x14ac:dyDescent="0.2"/>
    <row r="104" spans="1:10" ht="18" customHeight="1" x14ac:dyDescent="0.2">
      <c r="A104" s="1" t="s">
        <v>734</v>
      </c>
      <c r="B104" s="18"/>
      <c r="C104" s="18"/>
      <c r="D104" s="18"/>
      <c r="E104" s="18"/>
      <c r="F104" s="18"/>
    </row>
    <row r="105" spans="1:10" ht="18" customHeight="1" x14ac:dyDescent="0.2">
      <c r="A105" s="4422" t="s">
        <v>735</v>
      </c>
      <c r="B105" s="4606" t="s">
        <v>107</v>
      </c>
      <c r="C105" s="4607" t="s">
        <v>108</v>
      </c>
      <c r="D105" s="4607" t="s">
        <v>109</v>
      </c>
      <c r="E105" s="4607" t="s">
        <v>110</v>
      </c>
      <c r="F105" s="4607" t="s">
        <v>111</v>
      </c>
      <c r="G105" s="4607" t="s">
        <v>112</v>
      </c>
      <c r="H105" s="4608" t="s">
        <v>113</v>
      </c>
      <c r="I105" s="4406" t="s">
        <v>158</v>
      </c>
      <c r="J105" s="4609" t="s">
        <v>114</v>
      </c>
    </row>
    <row r="106" spans="1:10" ht="18" customHeight="1" x14ac:dyDescent="0.2">
      <c r="A106" s="4602"/>
      <c r="B106" s="4611" t="s">
        <v>736</v>
      </c>
      <c r="C106" s="4611" t="s">
        <v>736</v>
      </c>
      <c r="D106" s="4611" t="s">
        <v>646</v>
      </c>
      <c r="E106" s="4611" t="s">
        <v>646</v>
      </c>
      <c r="F106" s="4611" t="s">
        <v>183</v>
      </c>
      <c r="G106" s="4612"/>
      <c r="H106" s="4617"/>
      <c r="I106" s="4418"/>
      <c r="J106" s="4613"/>
    </row>
    <row r="107" spans="1:10" ht="18" customHeight="1" x14ac:dyDescent="0.2">
      <c r="A107" s="223" t="s">
        <v>737</v>
      </c>
      <c r="B107" s="226">
        <v>7.5</v>
      </c>
      <c r="C107" s="227">
        <v>7.5</v>
      </c>
      <c r="D107" s="227">
        <v>8</v>
      </c>
      <c r="E107" s="227">
        <v>8</v>
      </c>
      <c r="F107" s="227">
        <v>6</v>
      </c>
      <c r="G107" s="227"/>
      <c r="H107" s="232"/>
      <c r="I107" s="230">
        <f>SUM(B107:H107)</f>
        <v>37</v>
      </c>
      <c r="J107" s="234"/>
    </row>
    <row r="108" spans="1:10" ht="18" customHeight="1" x14ac:dyDescent="0.2"/>
    <row r="109" spans="1:10" ht="18" customHeight="1" x14ac:dyDescent="0.2">
      <c r="A109" s="1" t="s">
        <v>738</v>
      </c>
      <c r="B109" s="18"/>
      <c r="C109" s="18"/>
      <c r="D109" s="18"/>
      <c r="E109" s="18"/>
      <c r="F109" s="18"/>
    </row>
    <row r="110" spans="1:10" ht="18" customHeight="1" x14ac:dyDescent="0.2">
      <c r="A110" s="4422" t="s">
        <v>654</v>
      </c>
      <c r="B110" s="4606" t="s">
        <v>107</v>
      </c>
      <c r="C110" s="4607" t="s">
        <v>108</v>
      </c>
      <c r="D110" s="4607" t="s">
        <v>109</v>
      </c>
      <c r="E110" s="4607" t="s">
        <v>110</v>
      </c>
      <c r="F110" s="4607" t="s">
        <v>111</v>
      </c>
      <c r="G110" s="4607" t="s">
        <v>112</v>
      </c>
      <c r="H110" s="4608" t="s">
        <v>113</v>
      </c>
      <c r="I110" s="4406" t="s">
        <v>158</v>
      </c>
      <c r="J110" s="4609" t="s">
        <v>114</v>
      </c>
    </row>
    <row r="111" spans="1:10" ht="18" customHeight="1" x14ac:dyDescent="0.2">
      <c r="A111" s="4616"/>
      <c r="B111" s="4611" t="s">
        <v>655</v>
      </c>
      <c r="C111" s="4611" t="s">
        <v>655</v>
      </c>
      <c r="D111" s="4611" t="s">
        <v>655</v>
      </c>
      <c r="E111" s="4611" t="s">
        <v>655</v>
      </c>
      <c r="F111" s="4611" t="s">
        <v>656</v>
      </c>
      <c r="G111" s="4612"/>
      <c r="H111" s="4617"/>
      <c r="I111" s="4418"/>
      <c r="J111" s="4613"/>
    </row>
    <row r="112" spans="1:10" ht="18" customHeight="1" x14ac:dyDescent="0.2">
      <c r="A112" s="223" t="s">
        <v>739</v>
      </c>
      <c r="B112" s="226">
        <v>7.75</v>
      </c>
      <c r="C112" s="226">
        <v>7.75</v>
      </c>
      <c r="D112" s="226">
        <v>7.75</v>
      </c>
      <c r="E112" s="226">
        <v>7.75</v>
      </c>
      <c r="F112" s="226">
        <v>6</v>
      </c>
      <c r="G112" s="227"/>
      <c r="H112" s="232"/>
      <c r="I112" s="233">
        <f>SUM(B112:H112)</f>
        <v>37</v>
      </c>
      <c r="J112" s="234"/>
    </row>
    <row r="113" spans="1:10" ht="18" customHeight="1" x14ac:dyDescent="0.2">
      <c r="A113" s="4616"/>
      <c r="B113" s="4611" t="s">
        <v>655</v>
      </c>
      <c r="C113" s="4611" t="s">
        <v>655</v>
      </c>
      <c r="D113" s="4611" t="s">
        <v>655</v>
      </c>
      <c r="E113" s="4611" t="s">
        <v>655</v>
      </c>
      <c r="F113" s="4611" t="s">
        <v>656</v>
      </c>
      <c r="G113" s="4612"/>
      <c r="H113" s="4617"/>
      <c r="I113" s="4418"/>
      <c r="J113" s="4613"/>
    </row>
    <row r="114" spans="1:10" ht="18" customHeight="1" x14ac:dyDescent="0.2">
      <c r="A114" s="223" t="s">
        <v>740</v>
      </c>
      <c r="B114" s="226">
        <v>7.75</v>
      </c>
      <c r="C114" s="226">
        <v>7.75</v>
      </c>
      <c r="D114" s="226">
        <v>7.75</v>
      </c>
      <c r="E114" s="226">
        <v>7.75</v>
      </c>
      <c r="F114" s="226">
        <v>6</v>
      </c>
      <c r="G114" s="227"/>
      <c r="H114" s="232"/>
      <c r="I114" s="233">
        <f>SUM(B114:H114)</f>
        <v>37</v>
      </c>
      <c r="J114" s="234"/>
    </row>
    <row r="115" spans="1:10" ht="18" customHeight="1" x14ac:dyDescent="0.2">
      <c r="A115" s="4616"/>
      <c r="B115" s="4611" t="s">
        <v>655</v>
      </c>
      <c r="C115" s="4611" t="s">
        <v>655</v>
      </c>
      <c r="D115" s="4611" t="s">
        <v>655</v>
      </c>
      <c r="E115" s="4611" t="s">
        <v>655</v>
      </c>
      <c r="F115" s="4611" t="s">
        <v>656</v>
      </c>
      <c r="G115" s="4612"/>
      <c r="H115" s="4617"/>
      <c r="I115" s="4418"/>
      <c r="J115" s="4613"/>
    </row>
    <row r="116" spans="1:10" ht="18" customHeight="1" x14ac:dyDescent="0.2">
      <c r="A116" s="223" t="s">
        <v>741</v>
      </c>
      <c r="B116" s="226">
        <v>7.75</v>
      </c>
      <c r="C116" s="226">
        <v>7.75</v>
      </c>
      <c r="D116" s="226">
        <v>7.75</v>
      </c>
      <c r="E116" s="226">
        <v>7.75</v>
      </c>
      <c r="F116" s="226">
        <v>6</v>
      </c>
      <c r="G116" s="227"/>
      <c r="H116" s="232"/>
      <c r="I116" s="233">
        <f>SUM(B116:H116)</f>
        <v>37</v>
      </c>
      <c r="J116" s="234"/>
    </row>
    <row r="117" spans="1:10" ht="18" customHeight="1" x14ac:dyDescent="0.2">
      <c r="A117" s="4626" t="s">
        <v>652</v>
      </c>
      <c r="B117" s="4626">
        <f t="shared" ref="B117:I117" si="6">SUM(B112,B114,B116)</f>
        <v>23.25</v>
      </c>
      <c r="C117" s="4626">
        <f t="shared" si="6"/>
        <v>23.25</v>
      </c>
      <c r="D117" s="4626">
        <f t="shared" si="6"/>
        <v>23.25</v>
      </c>
      <c r="E117" s="4626">
        <f t="shared" si="6"/>
        <v>23.25</v>
      </c>
      <c r="F117" s="4626">
        <f t="shared" si="6"/>
        <v>18</v>
      </c>
      <c r="G117" s="4626">
        <f t="shared" si="6"/>
        <v>0</v>
      </c>
      <c r="H117" s="4626">
        <f t="shared" si="6"/>
        <v>0</v>
      </c>
      <c r="I117" s="4635">
        <f t="shared" si="6"/>
        <v>111</v>
      </c>
      <c r="J117" s="4636"/>
    </row>
    <row r="118" spans="1:10" ht="18" customHeight="1" x14ac:dyDescent="0.2">
      <c r="A118" s="18"/>
      <c r="B118" s="18"/>
      <c r="C118" s="18"/>
      <c r="D118" s="18"/>
      <c r="E118" s="18"/>
      <c r="F118" s="18"/>
      <c r="G118" s="37"/>
      <c r="H118" s="37"/>
      <c r="I118" s="18"/>
      <c r="J118" s="19"/>
    </row>
    <row r="119" spans="1:10" ht="18" customHeight="1" x14ac:dyDescent="0.2">
      <c r="A119" s="1" t="s">
        <v>742</v>
      </c>
      <c r="B119" s="18"/>
      <c r="C119" s="18"/>
      <c r="D119" s="18"/>
      <c r="E119" s="18"/>
      <c r="F119" s="18"/>
    </row>
    <row r="120" spans="1:10" ht="18" customHeight="1" x14ac:dyDescent="0.2">
      <c r="A120" s="4422" t="s">
        <v>743</v>
      </c>
      <c r="B120" s="4606" t="s">
        <v>107</v>
      </c>
      <c r="C120" s="4607" t="s">
        <v>108</v>
      </c>
      <c r="D120" s="4607" t="s">
        <v>109</v>
      </c>
      <c r="E120" s="4607" t="s">
        <v>110</v>
      </c>
      <c r="F120" s="4607" t="s">
        <v>111</v>
      </c>
      <c r="G120" s="4607" t="s">
        <v>112</v>
      </c>
      <c r="H120" s="4608" t="s">
        <v>113</v>
      </c>
      <c r="I120" s="4406" t="s">
        <v>158</v>
      </c>
      <c r="J120" s="4609" t="s">
        <v>114</v>
      </c>
    </row>
    <row r="121" spans="1:10" ht="18" customHeight="1" x14ac:dyDescent="0.2">
      <c r="A121" s="4610" t="s">
        <v>0</v>
      </c>
      <c r="B121" s="4611" t="s">
        <v>283</v>
      </c>
      <c r="C121" s="4611" t="s">
        <v>283</v>
      </c>
      <c r="D121" s="4611" t="s">
        <v>283</v>
      </c>
      <c r="E121" s="4611" t="s">
        <v>283</v>
      </c>
      <c r="F121" s="4612" t="s">
        <v>284</v>
      </c>
      <c r="G121" s="4612"/>
      <c r="H121" s="4612"/>
      <c r="I121" s="4418"/>
      <c r="J121" s="4613"/>
    </row>
    <row r="122" spans="1:10" ht="18" customHeight="1" x14ac:dyDescent="0.2">
      <c r="A122" s="4614" t="s">
        <v>744</v>
      </c>
      <c r="B122" s="4615">
        <v>7.75</v>
      </c>
      <c r="C122" s="4615">
        <v>7.75</v>
      </c>
      <c r="D122" s="4615">
        <v>7.75</v>
      </c>
      <c r="E122" s="4615">
        <v>7.75</v>
      </c>
      <c r="F122" s="4671">
        <v>6</v>
      </c>
      <c r="G122" s="4671"/>
      <c r="H122" s="4671"/>
      <c r="I122" s="4672">
        <f>SUM(B122:H122)</f>
        <v>37</v>
      </c>
      <c r="J122" s="4673"/>
    </row>
    <row r="123" spans="1:10" ht="18" customHeight="1" x14ac:dyDescent="0.2">
      <c r="A123" s="38"/>
      <c r="B123" s="4658"/>
      <c r="C123" s="4658"/>
      <c r="D123" s="4658"/>
      <c r="E123" s="4658"/>
      <c r="F123" s="4659"/>
      <c r="G123" s="4659"/>
      <c r="H123" s="37"/>
      <c r="I123" s="4674"/>
      <c r="J123" s="4349"/>
    </row>
    <row r="124" spans="1:10" ht="18" customHeight="1" x14ac:dyDescent="0.2">
      <c r="A124" s="39" t="s">
        <v>745</v>
      </c>
      <c r="B124" s="4658"/>
      <c r="C124" s="4658"/>
      <c r="D124" s="4658"/>
      <c r="E124" s="4658"/>
      <c r="F124" s="4659"/>
      <c r="G124" s="4659"/>
      <c r="H124" s="37"/>
      <c r="I124" s="4674"/>
      <c r="J124" s="4349"/>
    </row>
    <row r="125" spans="1:10" ht="18" customHeight="1" x14ac:dyDescent="0.2">
      <c r="A125" s="4628" t="s">
        <v>746</v>
      </c>
      <c r="B125" s="4629" t="s">
        <v>107</v>
      </c>
      <c r="C125" s="4630" t="s">
        <v>108</v>
      </c>
      <c r="D125" s="4630" t="s">
        <v>109</v>
      </c>
      <c r="E125" s="4630" t="s">
        <v>110</v>
      </c>
      <c r="F125" s="4630" t="s">
        <v>111</v>
      </c>
      <c r="G125" s="4630" t="s">
        <v>112</v>
      </c>
      <c r="H125" s="4631" t="s">
        <v>113</v>
      </c>
      <c r="I125" s="4632" t="s">
        <v>158</v>
      </c>
      <c r="J125" s="4633" t="s">
        <v>114</v>
      </c>
    </row>
    <row r="126" spans="1:10" ht="18" customHeight="1" x14ac:dyDescent="0.2">
      <c r="A126" s="40" t="s">
        <v>0</v>
      </c>
      <c r="B126" s="4" t="s">
        <v>747</v>
      </c>
      <c r="C126" s="4" t="s">
        <v>747</v>
      </c>
      <c r="D126" s="4" t="s">
        <v>747</v>
      </c>
      <c r="E126" s="4" t="s">
        <v>747</v>
      </c>
      <c r="F126" s="5" t="s">
        <v>710</v>
      </c>
      <c r="G126" s="5"/>
      <c r="H126" s="5"/>
      <c r="I126" s="8"/>
      <c r="J126" s="12"/>
    </row>
    <row r="127" spans="1:10" ht="18" customHeight="1" x14ac:dyDescent="0.2">
      <c r="A127" s="4614" t="s">
        <v>748</v>
      </c>
      <c r="B127" s="4615">
        <v>7.5</v>
      </c>
      <c r="C127" s="4615">
        <v>7.5</v>
      </c>
      <c r="D127" s="4615">
        <v>7.5</v>
      </c>
      <c r="E127" s="4615">
        <v>7.5</v>
      </c>
      <c r="F127" s="4671">
        <v>7</v>
      </c>
      <c r="G127" s="4671"/>
      <c r="H127" s="4671"/>
      <c r="I127" s="4675">
        <f>SUM(B127:H127)</f>
        <v>37</v>
      </c>
      <c r="J127" s="234" t="s">
        <v>720</v>
      </c>
    </row>
    <row r="128" spans="1:10" ht="18" customHeight="1" x14ac:dyDescent="0.2">
      <c r="A128" s="18"/>
      <c r="B128" s="18"/>
      <c r="C128" s="18"/>
      <c r="D128" s="18"/>
      <c r="E128" s="18"/>
      <c r="F128" s="37"/>
      <c r="G128" s="37"/>
      <c r="H128" s="37"/>
      <c r="I128" s="18"/>
      <c r="J128" s="19"/>
    </row>
    <row r="129" spans="1:10" ht="18" customHeight="1" x14ac:dyDescent="0.2">
      <c r="A129" s="18"/>
      <c r="B129" s="18"/>
      <c r="C129" s="18"/>
      <c r="D129" s="18"/>
      <c r="E129" s="18"/>
      <c r="F129" s="37"/>
      <c r="G129" s="37"/>
      <c r="H129" s="37"/>
      <c r="I129" s="18"/>
      <c r="J129" s="19"/>
    </row>
    <row r="130" spans="1:10" ht="18" customHeight="1" x14ac:dyDescent="0.2">
      <c r="A130" s="18"/>
      <c r="B130" s="18"/>
      <c r="C130" s="18"/>
      <c r="D130" s="18"/>
      <c r="E130" s="18"/>
      <c r="F130" s="37"/>
      <c r="G130" s="37"/>
      <c r="H130" s="37"/>
      <c r="I130" s="18"/>
      <c r="J130" s="19"/>
    </row>
    <row r="131" spans="1:10" ht="18" customHeight="1" x14ac:dyDescent="0.2">
      <c r="A131" s="18"/>
      <c r="B131" s="18"/>
      <c r="C131" s="18"/>
      <c r="D131" s="18"/>
      <c r="E131" s="18"/>
      <c r="F131" s="37"/>
      <c r="G131" s="37"/>
      <c r="H131" s="37"/>
      <c r="I131" s="18"/>
      <c r="J131" s="19"/>
    </row>
    <row r="132" spans="1:10" ht="18" customHeight="1" x14ac:dyDescent="0.2">
      <c r="A132" s="225" t="s">
        <v>749</v>
      </c>
      <c r="B132" s="18"/>
      <c r="C132" s="18"/>
      <c r="D132" s="18"/>
      <c r="E132" s="18"/>
      <c r="F132" s="37"/>
      <c r="G132" s="37"/>
      <c r="H132" s="37"/>
      <c r="I132" s="18"/>
      <c r="J132" s="19"/>
    </row>
    <row r="133" spans="1:10" ht="18" customHeight="1" x14ac:dyDescent="0.2">
      <c r="A133" s="35" t="s">
        <v>746</v>
      </c>
      <c r="B133" s="4606" t="s">
        <v>107</v>
      </c>
      <c r="C133" s="4607" t="s">
        <v>108</v>
      </c>
      <c r="D133" s="4607" t="s">
        <v>109</v>
      </c>
      <c r="E133" s="4607" t="s">
        <v>110</v>
      </c>
      <c r="F133" s="4607" t="s">
        <v>111</v>
      </c>
      <c r="G133" s="4607" t="s">
        <v>112</v>
      </c>
      <c r="H133" s="4608" t="s">
        <v>113</v>
      </c>
      <c r="I133" s="4406" t="s">
        <v>158</v>
      </c>
      <c r="J133" s="4609" t="s">
        <v>114</v>
      </c>
    </row>
    <row r="134" spans="1:10" ht="18" customHeight="1" x14ac:dyDescent="0.2">
      <c r="A134" s="4610" t="s">
        <v>0</v>
      </c>
      <c r="B134" s="4611" t="s">
        <v>747</v>
      </c>
      <c r="C134" s="4611" t="s">
        <v>747</v>
      </c>
      <c r="D134" s="4611" t="s">
        <v>747</v>
      </c>
      <c r="E134" s="4611" t="s">
        <v>747</v>
      </c>
      <c r="F134" s="4612" t="s">
        <v>710</v>
      </c>
      <c r="G134" s="4612"/>
      <c r="H134" s="4612"/>
      <c r="I134" s="4418"/>
      <c r="J134" s="4613"/>
    </row>
    <row r="135" spans="1:10" ht="18" customHeight="1" x14ac:dyDescent="0.2">
      <c r="A135" s="4614" t="s">
        <v>750</v>
      </c>
      <c r="B135" s="4615">
        <v>7.5</v>
      </c>
      <c r="C135" s="4615">
        <v>7.5</v>
      </c>
      <c r="D135" s="4615">
        <v>7.5</v>
      </c>
      <c r="E135" s="4615">
        <v>7.5</v>
      </c>
      <c r="F135" s="4671">
        <v>7</v>
      </c>
      <c r="G135" s="4671"/>
      <c r="H135" s="4671"/>
      <c r="I135" s="4615">
        <f>SUM(B135:H135)</f>
        <v>37</v>
      </c>
      <c r="J135" s="234" t="s">
        <v>720</v>
      </c>
    </row>
    <row r="136" spans="1:10" ht="18" customHeight="1" x14ac:dyDescent="0.2">
      <c r="A136" s="4610" t="s">
        <v>0</v>
      </c>
      <c r="B136" s="4611" t="s">
        <v>747</v>
      </c>
      <c r="C136" s="4611" t="s">
        <v>747</v>
      </c>
      <c r="D136" s="4611" t="s">
        <v>747</v>
      </c>
      <c r="E136" s="4611" t="s">
        <v>747</v>
      </c>
      <c r="F136" s="4612" t="s">
        <v>710</v>
      </c>
      <c r="G136" s="4612"/>
      <c r="H136" s="4612"/>
      <c r="I136" s="4418"/>
      <c r="J136" s="4613"/>
    </row>
    <row r="137" spans="1:10" ht="18" customHeight="1" x14ac:dyDescent="0.2">
      <c r="A137" s="4614" t="s">
        <v>751</v>
      </c>
      <c r="B137" s="4615">
        <v>7.5</v>
      </c>
      <c r="C137" s="4615">
        <v>7.5</v>
      </c>
      <c r="D137" s="4615">
        <v>7.5</v>
      </c>
      <c r="E137" s="4615">
        <v>7.5</v>
      </c>
      <c r="F137" s="4671">
        <v>7</v>
      </c>
      <c r="G137" s="4671"/>
      <c r="H137" s="4671"/>
      <c r="I137" s="4615">
        <f>SUM(B137:H137)</f>
        <v>37</v>
      </c>
      <c r="J137" s="234" t="s">
        <v>720</v>
      </c>
    </row>
    <row r="138" spans="1:10" ht="18" customHeight="1" x14ac:dyDescent="0.2">
      <c r="A138" s="4610" t="s">
        <v>0</v>
      </c>
      <c r="B138" s="4611" t="s">
        <v>747</v>
      </c>
      <c r="C138" s="4611" t="s">
        <v>747</v>
      </c>
      <c r="D138" s="4611" t="s">
        <v>747</v>
      </c>
      <c r="E138" s="4611" t="s">
        <v>747</v>
      </c>
      <c r="F138" s="4612" t="s">
        <v>710</v>
      </c>
      <c r="G138" s="4612"/>
      <c r="H138" s="4612"/>
      <c r="I138" s="4418"/>
      <c r="J138" s="4613"/>
    </row>
    <row r="139" spans="1:10" ht="18" customHeight="1" x14ac:dyDescent="0.2">
      <c r="A139" s="4614" t="s">
        <v>752</v>
      </c>
      <c r="B139" s="4615">
        <v>7.5</v>
      </c>
      <c r="C139" s="4615">
        <v>7.5</v>
      </c>
      <c r="D139" s="4615">
        <v>7.5</v>
      </c>
      <c r="E139" s="4615">
        <v>7.5</v>
      </c>
      <c r="F139" s="4671">
        <v>7</v>
      </c>
      <c r="G139" s="4671"/>
      <c r="H139" s="4671"/>
      <c r="I139" s="4615">
        <f>SUM(B139:H139)</f>
        <v>37</v>
      </c>
      <c r="J139" s="234" t="s">
        <v>720</v>
      </c>
    </row>
    <row r="140" spans="1:10" ht="18" customHeight="1" x14ac:dyDescent="0.2">
      <c r="A140" s="4610" t="s">
        <v>0</v>
      </c>
      <c r="B140" s="4611" t="s">
        <v>747</v>
      </c>
      <c r="C140" s="4611" t="s">
        <v>747</v>
      </c>
      <c r="D140" s="4611" t="s">
        <v>747</v>
      </c>
      <c r="E140" s="4611" t="s">
        <v>747</v>
      </c>
      <c r="F140" s="4612" t="s">
        <v>710</v>
      </c>
      <c r="G140" s="4612"/>
      <c r="H140" s="4612"/>
      <c r="I140" s="4418"/>
      <c r="J140" s="4613"/>
    </row>
    <row r="141" spans="1:10" ht="18" customHeight="1" x14ac:dyDescent="0.2">
      <c r="A141" s="4614" t="s">
        <v>753</v>
      </c>
      <c r="B141" s="4615">
        <v>7.5</v>
      </c>
      <c r="C141" s="4615">
        <v>7.5</v>
      </c>
      <c r="D141" s="4615">
        <v>7.5</v>
      </c>
      <c r="E141" s="4615">
        <v>7.5</v>
      </c>
      <c r="F141" s="4671">
        <v>7</v>
      </c>
      <c r="G141" s="4671"/>
      <c r="H141" s="4671"/>
      <c r="I141" s="4615">
        <f>SUM(B141:H141)</f>
        <v>37</v>
      </c>
      <c r="J141" s="234" t="s">
        <v>720</v>
      </c>
    </row>
    <row r="142" spans="1:10" ht="18" customHeight="1" x14ac:dyDescent="0.2">
      <c r="A142" s="4610" t="s">
        <v>0</v>
      </c>
      <c r="B142" s="4611" t="s">
        <v>747</v>
      </c>
      <c r="C142" s="4611" t="s">
        <v>747</v>
      </c>
      <c r="D142" s="4611" t="s">
        <v>747</v>
      </c>
      <c r="E142" s="4611" t="s">
        <v>747</v>
      </c>
      <c r="F142" s="4612" t="s">
        <v>710</v>
      </c>
      <c r="G142" s="4612"/>
      <c r="H142" s="4612"/>
      <c r="I142" s="4418"/>
      <c r="J142" s="4613"/>
    </row>
    <row r="143" spans="1:10" ht="18" customHeight="1" x14ac:dyDescent="0.2">
      <c r="A143" s="4614" t="s">
        <v>754</v>
      </c>
      <c r="B143" s="4615">
        <v>7.5</v>
      </c>
      <c r="C143" s="4615">
        <v>7.5</v>
      </c>
      <c r="D143" s="4615">
        <v>7.5</v>
      </c>
      <c r="E143" s="4615">
        <v>7.5</v>
      </c>
      <c r="F143" s="4671">
        <v>7</v>
      </c>
      <c r="G143" s="4671"/>
      <c r="H143" s="4671"/>
      <c r="I143" s="4615">
        <f>SUM(B143:H143)</f>
        <v>37</v>
      </c>
      <c r="J143" s="234" t="s">
        <v>720</v>
      </c>
    </row>
    <row r="144" spans="1:10" ht="18" customHeight="1" x14ac:dyDescent="0.2">
      <c r="A144" s="4626" t="s">
        <v>652</v>
      </c>
      <c r="B144" s="4626">
        <f t="shared" ref="B144:I144" si="7">SUM(B135,B137,B139,B141,B143)</f>
        <v>37.5</v>
      </c>
      <c r="C144" s="4626">
        <f t="shared" si="7"/>
        <v>37.5</v>
      </c>
      <c r="D144" s="4626">
        <f t="shared" si="7"/>
        <v>37.5</v>
      </c>
      <c r="E144" s="4626">
        <f t="shared" si="7"/>
        <v>37.5</v>
      </c>
      <c r="F144" s="4626">
        <f t="shared" si="7"/>
        <v>35</v>
      </c>
      <c r="G144" s="4626">
        <f t="shared" si="7"/>
        <v>0</v>
      </c>
      <c r="H144" s="4626">
        <f t="shared" si="7"/>
        <v>0</v>
      </c>
      <c r="I144" s="4635">
        <f t="shared" si="7"/>
        <v>185</v>
      </c>
      <c r="J144" s="4636"/>
    </row>
    <row r="145" spans="1:10" ht="18" customHeight="1" x14ac:dyDescent="0.2">
      <c r="A145" s="18"/>
      <c r="B145" s="18"/>
      <c r="C145" s="18"/>
      <c r="D145" s="18"/>
      <c r="E145" s="18"/>
      <c r="F145" s="37"/>
      <c r="G145" s="37"/>
      <c r="H145" s="37"/>
      <c r="I145" s="18"/>
      <c r="J145" s="19"/>
    </row>
    <row r="146" spans="1:10" ht="18" customHeight="1" x14ac:dyDescent="0.2">
      <c r="A146" s="18"/>
      <c r="B146" s="18"/>
      <c r="C146" s="18"/>
      <c r="D146" s="18"/>
      <c r="E146" s="18"/>
      <c r="F146" s="37"/>
      <c r="G146" s="37"/>
      <c r="H146" s="37"/>
      <c r="I146" s="18"/>
      <c r="J146" s="19"/>
    </row>
    <row r="147" spans="1:10" ht="20.100000000000001" customHeight="1" x14ac:dyDescent="0.2">
      <c r="B147" s="4676" t="s">
        <v>107</v>
      </c>
      <c r="C147" s="4630" t="s">
        <v>108</v>
      </c>
      <c r="D147" s="4630" t="s">
        <v>109</v>
      </c>
      <c r="E147" s="4630" t="s">
        <v>110</v>
      </c>
      <c r="F147" s="4630" t="s">
        <v>111</v>
      </c>
      <c r="G147" s="4630" t="s">
        <v>112</v>
      </c>
      <c r="H147" s="4677" t="s">
        <v>113</v>
      </c>
      <c r="I147" s="4678" t="s">
        <v>755</v>
      </c>
      <c r="J147" s="37" t="s">
        <v>0</v>
      </c>
    </row>
    <row r="148" spans="1:10" ht="20.100000000000001" customHeight="1" x14ac:dyDescent="0.2">
      <c r="A148" s="4679" t="s">
        <v>756</v>
      </c>
      <c r="B148" s="4">
        <f t="shared" ref="B148:I148" si="8">SUM(B4,B20,B30,B65,B74,B89,B98,B102,B107,B117,B122,B127,B144)</f>
        <v>368.40000000000003</v>
      </c>
      <c r="C148" s="4">
        <f t="shared" si="8"/>
        <v>364</v>
      </c>
      <c r="D148" s="4">
        <f t="shared" si="8"/>
        <v>369.5</v>
      </c>
      <c r="E148" s="4">
        <f t="shared" si="8"/>
        <v>368.5</v>
      </c>
      <c r="F148" s="4">
        <f t="shared" si="8"/>
        <v>333.65</v>
      </c>
      <c r="G148" s="4">
        <f t="shared" si="8"/>
        <v>96.5</v>
      </c>
      <c r="H148" s="4">
        <f t="shared" si="8"/>
        <v>84</v>
      </c>
      <c r="I148" s="4">
        <f t="shared" si="8"/>
        <v>1984.55</v>
      </c>
      <c r="J148" s="4674" t="s">
        <v>0</v>
      </c>
    </row>
    <row r="149" spans="1:10" ht="20.100000000000001" customHeight="1" x14ac:dyDescent="0.2">
      <c r="A149" s="4679" t="s">
        <v>757</v>
      </c>
      <c r="B149" s="4663">
        <f>SUM(G148)*4</f>
        <v>386</v>
      </c>
      <c r="C149" s="4663">
        <f>SUM(G148)*1</f>
        <v>96.5</v>
      </c>
      <c r="D149" s="4663">
        <f>SUM(G148)*0</f>
        <v>0</v>
      </c>
      <c r="E149" s="4663">
        <f>SUM(G148)*2</f>
        <v>193</v>
      </c>
      <c r="F149" s="4663">
        <f>SUM(G148)*2</f>
        <v>193</v>
      </c>
      <c r="G149" s="4663">
        <f>SUM(G148)*0</f>
        <v>0</v>
      </c>
      <c r="H149" s="4663">
        <f>SUM(G148)*0</f>
        <v>0</v>
      </c>
      <c r="I149" s="4">
        <f>SUM(B149:H149)</f>
        <v>868.5</v>
      </c>
    </row>
    <row r="150" spans="1:10" ht="20.100000000000001" customHeight="1" x14ac:dyDescent="0.2">
      <c r="A150" s="4679" t="s">
        <v>758</v>
      </c>
      <c r="B150" s="4">
        <f>SUM(B148*48)+B149</f>
        <v>18069.2</v>
      </c>
      <c r="C150" s="4">
        <f>SUM(C148*51)+C149</f>
        <v>18660.5</v>
      </c>
      <c r="D150" s="4">
        <f>SUM(D148*52)+D149</f>
        <v>19214</v>
      </c>
      <c r="E150" s="4">
        <f>SUM(E148*52)+E149</f>
        <v>19355</v>
      </c>
      <c r="F150" s="4">
        <f>SUM(F148*52)+F149</f>
        <v>17542.8</v>
      </c>
      <c r="G150" s="4">
        <f>SUM(G148*52)+G149</f>
        <v>5018</v>
      </c>
      <c r="H150" s="4">
        <f>SUM(H148*52)+H149</f>
        <v>4368</v>
      </c>
      <c r="I150" s="41">
        <f>SUM(B150:H150)</f>
        <v>102227.5</v>
      </c>
    </row>
    <row r="151" spans="1:10" ht="20.100000000000001" customHeight="1" x14ac:dyDescent="0.2"/>
    <row r="152" spans="1:10" ht="20.100000000000001" customHeight="1" x14ac:dyDescent="0.2"/>
    <row r="153" spans="1:10" ht="20.100000000000001" customHeight="1" x14ac:dyDescent="0.2">
      <c r="A153" s="4679" t="s">
        <v>759</v>
      </c>
      <c r="B153" s="4679"/>
      <c r="C153" s="4679"/>
      <c r="D153" s="4679"/>
      <c r="E153" s="4663">
        <v>56</v>
      </c>
      <c r="F153" s="4679"/>
      <c r="G153" s="4679"/>
      <c r="H153" s="4680"/>
      <c r="I153" s="4681">
        <f>SUM(E153)*52</f>
        <v>2912</v>
      </c>
    </row>
    <row r="154" spans="1:10" ht="20.100000000000001" customHeight="1" x14ac:dyDescent="0.2">
      <c r="A154" s="4682" t="s">
        <v>760</v>
      </c>
      <c r="B154" s="4682"/>
      <c r="C154" s="4682"/>
      <c r="D154" s="4682"/>
      <c r="E154" s="4682"/>
      <c r="F154" s="4682"/>
      <c r="G154" s="4682"/>
      <c r="H154" s="4682"/>
      <c r="I154" s="4681">
        <f>SUM(I153*2)</f>
        <v>5824</v>
      </c>
    </row>
    <row r="155" spans="1:10" ht="20.100000000000001" customHeight="1" x14ac:dyDescent="0.2">
      <c r="A155" s="4679" t="s">
        <v>761</v>
      </c>
      <c r="B155" s="4679"/>
      <c r="C155" s="4680"/>
      <c r="D155" s="4682"/>
      <c r="E155" s="4682"/>
      <c r="F155" s="4682"/>
      <c r="G155" s="4682"/>
      <c r="H155" s="4682"/>
      <c r="I155" s="4681">
        <f>48*12</f>
        <v>576</v>
      </c>
    </row>
    <row r="156" spans="1:10" ht="20.100000000000001" customHeight="1" x14ac:dyDescent="0.2">
      <c r="A156" s="4683" t="s">
        <v>755</v>
      </c>
      <c r="B156" s="4683"/>
      <c r="C156" s="4683"/>
      <c r="D156" s="4683"/>
      <c r="E156" s="4683"/>
      <c r="F156" s="4683"/>
      <c r="G156" s="4683"/>
      <c r="H156" s="4683"/>
      <c r="I156" s="4684">
        <f>SUM(I153:I155)</f>
        <v>9312</v>
      </c>
    </row>
    <row r="157" spans="1:10" ht="20.100000000000001" customHeight="1" x14ac:dyDescent="0.2">
      <c r="I157" s="42"/>
    </row>
    <row r="158" spans="1:10" ht="20.100000000000001" customHeight="1" x14ac:dyDescent="0.2">
      <c r="I158" s="42"/>
    </row>
    <row r="159" spans="1:10" ht="20.100000000000001" customHeight="1" x14ac:dyDescent="0.2">
      <c r="A159" s="4683" t="s">
        <v>762</v>
      </c>
      <c r="B159" s="4683"/>
      <c r="C159" s="4683"/>
      <c r="D159" s="4683"/>
      <c r="E159" s="4683"/>
      <c r="F159" s="4683"/>
      <c r="G159" s="4683"/>
      <c r="H159" s="4683"/>
      <c r="I159" s="4685">
        <f>SUM(I150:I156)</f>
        <v>120851.5</v>
      </c>
      <c r="J159" t="s">
        <v>763</v>
      </c>
    </row>
    <row r="160" spans="1:10" ht="20.100000000000001" customHeight="1" x14ac:dyDescent="0.2"/>
  </sheetData>
  <sheetProtection algorithmName="SHA-512" hashValue="oAlqu93r4CnvYdtAq0Y1UHKlknXlotcL5pJmmHd7RnFEWb4uzrf/k0YuriDqmdN8m7a1+daNGtyoYYGb1Nrimw==" saltValue="W+nKurOZlhUr/y0PfqOfMQ==" spinCount="100000" sheet="1" objects="1" scenarios="1"/>
  <phoneticPr fontId="9" type="noConversion"/>
  <pageMargins left="0" right="0" top="0.39305555555555555" bottom="0.19652777777777777" header="0.19652777777777777" footer="0.51180555555555551"/>
  <pageSetup paperSize="9" scale="95" firstPageNumber="0" pageOrder="overThenDown" orientation="landscape" horizontalDpi="300" verticalDpi="300" r:id="rId1"/>
  <headerFooter alignWithMargins="0">
    <oddHeader>&amp;C&amp;"Arial,fed"Vagtplans nøgler&amp;ROpdateret &amp;D</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3"/>
  <dimension ref="A1:AF267"/>
  <sheetViews>
    <sheetView topLeftCell="A74" zoomScale="90" zoomScaleNormal="90" workbookViewId="0">
      <selection activeCell="O85" sqref="O85"/>
    </sheetView>
  </sheetViews>
  <sheetFormatPr defaultRowHeight="12" x14ac:dyDescent="0.2"/>
  <cols>
    <col min="1" max="1" width="26" customWidth="1"/>
    <col min="2" max="2" width="15.140625" customWidth="1"/>
    <col min="3" max="3" width="15.5703125" customWidth="1"/>
    <col min="4" max="4" width="16.140625" customWidth="1"/>
    <col min="5" max="5" width="14.7109375" customWidth="1"/>
    <col min="6" max="6" width="16.5703125" customWidth="1"/>
    <col min="7" max="8" width="13.140625" customWidth="1"/>
    <col min="9" max="9" width="12.5703125" customWidth="1"/>
    <col min="10" max="10" width="26" customWidth="1"/>
    <col min="14" max="14" width="16.5703125" customWidth="1"/>
    <col min="15" max="15" width="15.42578125" customWidth="1"/>
    <col min="17" max="17" width="9.85546875" customWidth="1"/>
    <col min="20" max="20" width="10.140625" customWidth="1"/>
    <col min="23" max="23" width="15.85546875" customWidth="1"/>
    <col min="24" max="24" width="19.140625" customWidth="1"/>
    <col min="25" max="25" width="11.140625" customWidth="1"/>
  </cols>
  <sheetData>
    <row r="1" spans="1:15" ht="20.100000000000001" customHeight="1" x14ac:dyDescent="0.2">
      <c r="A1" s="1" t="s">
        <v>636</v>
      </c>
      <c r="B1" s="1"/>
      <c r="D1" s="2"/>
      <c r="E1" s="2"/>
    </row>
    <row r="2" spans="1:15" ht="20.100000000000001" customHeight="1" x14ac:dyDescent="0.2">
      <c r="A2" s="4602" t="s">
        <v>764</v>
      </c>
      <c r="B2" s="4603" t="s">
        <v>107</v>
      </c>
      <c r="C2" s="4604" t="s">
        <v>108</v>
      </c>
      <c r="D2" s="4604" t="s">
        <v>109</v>
      </c>
      <c r="E2" s="4604" t="s">
        <v>110</v>
      </c>
      <c r="F2" s="4604" t="s">
        <v>111</v>
      </c>
      <c r="G2" s="4604" t="s">
        <v>112</v>
      </c>
      <c r="H2" s="4425" t="s">
        <v>113</v>
      </c>
      <c r="I2" s="4418" t="s">
        <v>158</v>
      </c>
      <c r="J2" s="4605" t="s">
        <v>114</v>
      </c>
    </row>
    <row r="3" spans="1:15" ht="20.100000000000001" customHeight="1" x14ac:dyDescent="0.2">
      <c r="A3" s="3"/>
      <c r="B3" s="4" t="s">
        <v>194</v>
      </c>
      <c r="C3" s="4" t="s">
        <v>194</v>
      </c>
      <c r="D3" s="4" t="s">
        <v>194</v>
      </c>
      <c r="E3" s="4" t="s">
        <v>194</v>
      </c>
      <c r="F3" s="5" t="s">
        <v>765</v>
      </c>
      <c r="G3" s="6"/>
      <c r="H3" s="7"/>
      <c r="I3" s="8"/>
      <c r="J3" s="9"/>
    </row>
    <row r="4" spans="1:15" ht="20.100000000000001" customHeight="1" x14ac:dyDescent="0.2">
      <c r="A4" s="248" t="s">
        <v>766</v>
      </c>
      <c r="B4" s="226">
        <v>7.75</v>
      </c>
      <c r="C4" s="226">
        <v>7.75</v>
      </c>
      <c r="D4" s="226">
        <v>7.75</v>
      </c>
      <c r="E4" s="226">
        <v>7.75</v>
      </c>
      <c r="F4" s="227">
        <v>6</v>
      </c>
      <c r="G4" s="228"/>
      <c r="H4" s="229"/>
      <c r="I4" s="230">
        <f>SUM(B4:H4)</f>
        <v>37</v>
      </c>
      <c r="J4" s="231"/>
    </row>
    <row r="5" spans="1:15" ht="20.100000000000001" customHeight="1" x14ac:dyDescent="0.2">
      <c r="A5" s="1" t="s">
        <v>767</v>
      </c>
      <c r="B5" s="1"/>
      <c r="D5" s="2"/>
      <c r="E5" s="2"/>
    </row>
    <row r="6" spans="1:15" ht="20.100000000000001" customHeight="1" x14ac:dyDescent="0.2">
      <c r="A6" s="4480" t="s">
        <v>654</v>
      </c>
      <c r="B6" s="4603" t="s">
        <v>107</v>
      </c>
      <c r="C6" s="4604" t="s">
        <v>108</v>
      </c>
      <c r="D6" s="4604" t="s">
        <v>109</v>
      </c>
      <c r="E6" s="4604" t="s">
        <v>110</v>
      </c>
      <c r="F6" s="4604" t="s">
        <v>111</v>
      </c>
      <c r="G6" s="4604" t="s">
        <v>112</v>
      </c>
      <c r="H6" s="4604" t="s">
        <v>113</v>
      </c>
      <c r="I6" s="4331" t="s">
        <v>158</v>
      </c>
      <c r="J6" s="4605" t="s">
        <v>114</v>
      </c>
    </row>
    <row r="7" spans="1:15" ht="20.100000000000001" customHeight="1" x14ac:dyDescent="0.2">
      <c r="A7" s="4686"/>
      <c r="B7" s="4687" t="s">
        <v>655</v>
      </c>
      <c r="C7" s="4687" t="s">
        <v>655</v>
      </c>
      <c r="D7" s="4687" t="s">
        <v>655</v>
      </c>
      <c r="E7" s="4687" t="s">
        <v>655</v>
      </c>
      <c r="F7" s="4687" t="s">
        <v>656</v>
      </c>
      <c r="G7" s="4688"/>
      <c r="H7" s="4688"/>
      <c r="I7" s="4679"/>
      <c r="J7" s="4689"/>
    </row>
    <row r="8" spans="1:15" ht="20.100000000000001" customHeight="1" x14ac:dyDescent="0.2">
      <c r="A8" s="248" t="s">
        <v>55</v>
      </c>
      <c r="B8" s="4671">
        <v>7.75</v>
      </c>
      <c r="C8" s="4671">
        <v>7.75</v>
      </c>
      <c r="D8" s="4671">
        <v>7.75</v>
      </c>
      <c r="E8" s="4671">
        <v>7.75</v>
      </c>
      <c r="F8" s="4671">
        <v>6</v>
      </c>
      <c r="G8" s="228"/>
      <c r="H8" s="229"/>
      <c r="I8" s="230">
        <f>SUM(B8:H8)</f>
        <v>37</v>
      </c>
      <c r="J8" s="231"/>
    </row>
    <row r="9" spans="1:15" ht="20.100000000000001" customHeight="1" x14ac:dyDescent="0.2">
      <c r="A9" s="18"/>
      <c r="E9" s="18"/>
      <c r="F9" s="37"/>
      <c r="G9" s="4690" t="s">
        <v>768</v>
      </c>
      <c r="H9" s="4690" t="s">
        <v>769</v>
      </c>
      <c r="I9" s="4690" t="s">
        <v>770</v>
      </c>
      <c r="J9" s="44"/>
    </row>
    <row r="10" spans="1:15" ht="20.100000000000001" customHeight="1" x14ac:dyDescent="0.2">
      <c r="A10" s="18"/>
      <c r="E10" s="18"/>
      <c r="F10" s="37"/>
      <c r="G10" s="4663">
        <f>I4+I8</f>
        <v>74</v>
      </c>
      <c r="H10" s="4691">
        <f>SUM(G10*13/3)</f>
        <v>320.66666666666669</v>
      </c>
      <c r="I10" s="4663">
        <f>SUM(H10*12)</f>
        <v>3848</v>
      </c>
      <c r="J10" s="44"/>
    </row>
    <row r="11" spans="1:15" ht="20.100000000000001" customHeight="1" x14ac:dyDescent="0.2">
      <c r="A11" s="150" t="s">
        <v>19</v>
      </c>
      <c r="B11" s="150"/>
      <c r="D11" s="2"/>
      <c r="E11" s="2"/>
    </row>
    <row r="12" spans="1:15" ht="18" customHeight="1" x14ac:dyDescent="0.2">
      <c r="A12" s="4422" t="s">
        <v>639</v>
      </c>
      <c r="B12" s="4606" t="s">
        <v>107</v>
      </c>
      <c r="C12" s="4607" t="s">
        <v>108</v>
      </c>
      <c r="D12" s="4607" t="s">
        <v>109</v>
      </c>
      <c r="E12" s="4607" t="s">
        <v>110</v>
      </c>
      <c r="F12" s="4607" t="s">
        <v>111</v>
      </c>
      <c r="G12" s="4607" t="s">
        <v>112</v>
      </c>
      <c r="H12" s="4608" t="s">
        <v>113</v>
      </c>
      <c r="I12" s="4406" t="s">
        <v>158</v>
      </c>
      <c r="J12" s="4609" t="s">
        <v>114</v>
      </c>
    </row>
    <row r="13" spans="1:15" ht="18" customHeight="1" x14ac:dyDescent="0.2">
      <c r="A13" s="4692" t="s">
        <v>0</v>
      </c>
      <c r="B13" s="4604" t="s">
        <v>771</v>
      </c>
      <c r="C13" s="4604" t="s">
        <v>771</v>
      </c>
      <c r="D13" s="4604" t="s">
        <v>771</v>
      </c>
      <c r="E13" s="4604" t="s">
        <v>771</v>
      </c>
      <c r="F13" s="4604" t="s">
        <v>771</v>
      </c>
      <c r="G13" s="4604" t="s">
        <v>772</v>
      </c>
      <c r="H13" s="4604" t="s">
        <v>772</v>
      </c>
      <c r="I13" s="4437"/>
      <c r="J13" s="4693" t="s">
        <v>773</v>
      </c>
      <c r="M13" s="4405"/>
      <c r="N13" s="4408" t="s">
        <v>774</v>
      </c>
    </row>
    <row r="14" spans="1:15" ht="18" customHeight="1" x14ac:dyDescent="0.2">
      <c r="A14" s="4694" t="s">
        <v>40</v>
      </c>
      <c r="B14" s="4671">
        <v>8.25</v>
      </c>
      <c r="C14" s="4671">
        <v>8.25</v>
      </c>
      <c r="D14" s="227">
        <v>8.25</v>
      </c>
      <c r="E14" s="227">
        <v>8.25</v>
      </c>
      <c r="F14" s="227">
        <v>8.25</v>
      </c>
      <c r="G14" s="227">
        <v>12.25</v>
      </c>
      <c r="H14" s="227">
        <v>12.25</v>
      </c>
      <c r="I14" s="249">
        <f>SUM(B14:H14)</f>
        <v>65.75</v>
      </c>
      <c r="J14" s="250" t="s">
        <v>775</v>
      </c>
      <c r="K14" s="4695"/>
      <c r="M14" s="4696"/>
      <c r="N14" s="4697" t="s">
        <v>776</v>
      </c>
      <c r="O14" s="18"/>
    </row>
    <row r="15" spans="1:15" ht="18" customHeight="1" x14ac:dyDescent="0.2">
      <c r="A15" s="4692" t="s">
        <v>0</v>
      </c>
      <c r="B15" s="4611" t="s">
        <v>171</v>
      </c>
      <c r="C15" s="4611" t="s">
        <v>171</v>
      </c>
      <c r="D15" s="4611" t="s">
        <v>171</v>
      </c>
      <c r="E15" s="4611" t="s">
        <v>171</v>
      </c>
      <c r="F15" s="4611" t="s">
        <v>171</v>
      </c>
      <c r="G15" s="4437"/>
      <c r="H15" s="4437"/>
      <c r="I15" s="4698"/>
      <c r="J15" s="4699" t="s">
        <v>777</v>
      </c>
      <c r="K15" s="18"/>
      <c r="M15" s="4696" t="s">
        <v>159</v>
      </c>
      <c r="N15" s="4697">
        <f>I14</f>
        <v>65.75</v>
      </c>
      <c r="O15" s="18"/>
    </row>
    <row r="16" spans="1:15" ht="18" customHeight="1" x14ac:dyDescent="0.2">
      <c r="A16" s="4694" t="s">
        <v>778</v>
      </c>
      <c r="B16" s="4671"/>
      <c r="C16" s="4671"/>
      <c r="D16" s="4671"/>
      <c r="E16" s="4671"/>
      <c r="F16" s="4671"/>
      <c r="G16" s="4700"/>
      <c r="H16" s="4700"/>
      <c r="I16" s="249">
        <f>SUM(B16:H16)</f>
        <v>0</v>
      </c>
      <c r="J16" s="250" t="s">
        <v>22</v>
      </c>
      <c r="K16" s="18"/>
      <c r="M16" s="4696" t="s">
        <v>163</v>
      </c>
      <c r="N16" s="4697">
        <f>I16</f>
        <v>0</v>
      </c>
      <c r="O16" s="18"/>
    </row>
    <row r="17" spans="1:17" ht="18" customHeight="1" x14ac:dyDescent="0.2">
      <c r="A17" s="4692" t="s">
        <v>0</v>
      </c>
      <c r="B17" s="4604" t="s">
        <v>779</v>
      </c>
      <c r="C17" s="4604" t="s">
        <v>779</v>
      </c>
      <c r="D17" s="4604" t="s">
        <v>779</v>
      </c>
      <c r="E17" s="4604" t="s">
        <v>779</v>
      </c>
      <c r="F17" s="4604" t="s">
        <v>779</v>
      </c>
      <c r="G17" s="4701"/>
      <c r="H17" s="4701"/>
      <c r="I17" s="4698"/>
      <c r="J17" s="4699" t="s">
        <v>780</v>
      </c>
      <c r="K17" s="18"/>
      <c r="M17" s="4696" t="s">
        <v>170</v>
      </c>
      <c r="N17" s="4697">
        <v>0</v>
      </c>
      <c r="O17" s="18"/>
    </row>
    <row r="18" spans="1:17" ht="18" customHeight="1" x14ac:dyDescent="0.2">
      <c r="A18" s="4702" t="s">
        <v>781</v>
      </c>
      <c r="B18" s="227">
        <v>8.25</v>
      </c>
      <c r="C18" s="227">
        <v>8.25</v>
      </c>
      <c r="D18" s="227">
        <v>8.25</v>
      </c>
      <c r="E18" s="227">
        <v>8.25</v>
      </c>
      <c r="F18" s="227">
        <v>8.25</v>
      </c>
      <c r="G18" s="4671"/>
      <c r="H18" s="4671"/>
      <c r="I18" s="249">
        <f>SUM(B18:H18)</f>
        <v>41.25</v>
      </c>
      <c r="J18" s="250" t="s">
        <v>782</v>
      </c>
      <c r="K18" s="4674"/>
      <c r="M18" s="4696" t="s">
        <v>172</v>
      </c>
      <c r="N18" s="4697">
        <f>I20</f>
        <v>64.5</v>
      </c>
      <c r="O18" s="18"/>
    </row>
    <row r="19" spans="1:17" ht="18" customHeight="1" x14ac:dyDescent="0.2">
      <c r="A19" s="4703" t="s">
        <v>0</v>
      </c>
      <c r="B19" s="4604" t="s">
        <v>783</v>
      </c>
      <c r="C19" s="4604" t="s">
        <v>783</v>
      </c>
      <c r="D19" s="4604" t="s">
        <v>783</v>
      </c>
      <c r="E19" s="4604" t="s">
        <v>783</v>
      </c>
      <c r="F19" s="4604" t="s">
        <v>783</v>
      </c>
      <c r="G19" s="4701" t="s">
        <v>784</v>
      </c>
      <c r="H19" s="4701" t="s">
        <v>784</v>
      </c>
      <c r="I19" s="4698"/>
      <c r="J19" s="4543"/>
      <c r="K19" s="18"/>
      <c r="M19" s="4696" t="s">
        <v>193</v>
      </c>
      <c r="N19" s="4697">
        <v>0</v>
      </c>
      <c r="O19" s="18"/>
    </row>
    <row r="20" spans="1:17" ht="18" customHeight="1" x14ac:dyDescent="0.2">
      <c r="A20" s="4694" t="s">
        <v>785</v>
      </c>
      <c r="B20" s="4671">
        <v>8</v>
      </c>
      <c r="C20" s="4671">
        <v>8</v>
      </c>
      <c r="D20" s="4671">
        <v>8</v>
      </c>
      <c r="E20" s="4671">
        <v>8</v>
      </c>
      <c r="F20" s="4671">
        <v>8</v>
      </c>
      <c r="G20" s="4687">
        <v>12.25</v>
      </c>
      <c r="H20" s="4687">
        <v>12.25</v>
      </c>
      <c r="I20" s="249">
        <f>SUM(B20:H20)</f>
        <v>64.5</v>
      </c>
      <c r="J20" s="4562"/>
      <c r="K20" s="18"/>
      <c r="M20" s="4696" t="s">
        <v>211</v>
      </c>
      <c r="N20" s="4697">
        <v>0</v>
      </c>
      <c r="O20" s="18"/>
    </row>
    <row r="21" spans="1:17" ht="18" customHeight="1" x14ac:dyDescent="0.2">
      <c r="A21" s="4692" t="s">
        <v>0</v>
      </c>
      <c r="B21" s="4611" t="s">
        <v>171</v>
      </c>
      <c r="C21" s="4611" t="s">
        <v>171</v>
      </c>
      <c r="D21" s="4611" t="s">
        <v>171</v>
      </c>
      <c r="E21" s="4611" t="s">
        <v>171</v>
      </c>
      <c r="F21" s="4611" t="s">
        <v>171</v>
      </c>
      <c r="G21" s="4704"/>
      <c r="H21" s="4705"/>
      <c r="I21" s="4698"/>
      <c r="J21" s="4543"/>
      <c r="K21" s="18"/>
      <c r="M21" s="4706" t="s">
        <v>786</v>
      </c>
      <c r="N21" s="4707">
        <f>SUM(N15:N20)</f>
        <v>130.25</v>
      </c>
      <c r="O21" s="18"/>
    </row>
    <row r="22" spans="1:17" ht="18" customHeight="1" x14ac:dyDescent="0.2">
      <c r="A22" s="4694" t="s">
        <v>787</v>
      </c>
      <c r="B22" s="4658"/>
      <c r="C22" s="4658"/>
      <c r="D22" s="4658"/>
      <c r="E22" s="4658"/>
      <c r="F22" s="4658"/>
      <c r="G22" s="4700"/>
      <c r="H22" s="4708"/>
      <c r="I22" s="249">
        <f>SUM(B22:H22)</f>
        <v>0</v>
      </c>
      <c r="J22" s="4562"/>
      <c r="K22" s="18"/>
    </row>
    <row r="23" spans="1:17" ht="18" customHeight="1" x14ac:dyDescent="0.2">
      <c r="A23" s="4692" t="s">
        <v>0</v>
      </c>
      <c r="B23" s="4604" t="s">
        <v>788</v>
      </c>
      <c r="C23" s="4604" t="s">
        <v>788</v>
      </c>
      <c r="D23" s="4604" t="s">
        <v>788</v>
      </c>
      <c r="E23" s="4604" t="s">
        <v>788</v>
      </c>
      <c r="F23" s="4604" t="s">
        <v>788</v>
      </c>
      <c r="G23" s="4437"/>
      <c r="H23" s="4705"/>
      <c r="I23" s="4698"/>
      <c r="J23" s="4543" t="s">
        <v>789</v>
      </c>
      <c r="K23" s="18"/>
      <c r="M23" t="s">
        <v>30</v>
      </c>
      <c r="N23" t="s">
        <v>790</v>
      </c>
      <c r="P23">
        <v>148</v>
      </c>
      <c r="Q23" t="s">
        <v>791</v>
      </c>
    </row>
    <row r="24" spans="1:17" ht="18" customHeight="1" x14ac:dyDescent="0.2">
      <c r="A24" s="4694" t="s">
        <v>792</v>
      </c>
      <c r="B24" s="4671">
        <v>7.25</v>
      </c>
      <c r="C24" s="4671">
        <v>7.25</v>
      </c>
      <c r="D24" s="4671">
        <v>7.25</v>
      </c>
      <c r="E24" s="4671">
        <v>7.25</v>
      </c>
      <c r="F24" s="4671">
        <v>7.25</v>
      </c>
      <c r="G24" s="4700"/>
      <c r="H24" s="4709"/>
      <c r="I24" s="249">
        <f>SUM(B24:H24)</f>
        <v>36.25</v>
      </c>
      <c r="J24" s="4562"/>
      <c r="K24" s="18"/>
      <c r="O24" t="s">
        <v>0</v>
      </c>
    </row>
    <row r="25" spans="1:17" ht="18" customHeight="1" x14ac:dyDescent="0.2">
      <c r="A25" s="4626" t="s">
        <v>652</v>
      </c>
      <c r="B25" s="4710">
        <f t="shared" ref="B25:I25" si="0">SUM(B14,B16,B18,B20,B22,B24)</f>
        <v>31.75</v>
      </c>
      <c r="C25" s="4710">
        <f t="shared" si="0"/>
        <v>31.75</v>
      </c>
      <c r="D25" s="4710">
        <f t="shared" si="0"/>
        <v>31.75</v>
      </c>
      <c r="E25" s="4710">
        <f t="shared" si="0"/>
        <v>31.75</v>
      </c>
      <c r="F25" s="4710">
        <f t="shared" si="0"/>
        <v>31.75</v>
      </c>
      <c r="G25" s="4710">
        <f t="shared" si="0"/>
        <v>24.5</v>
      </c>
      <c r="H25" s="4710">
        <f t="shared" si="0"/>
        <v>24.5</v>
      </c>
      <c r="I25" s="4710">
        <f t="shared" si="0"/>
        <v>207.75</v>
      </c>
      <c r="J25" s="4627"/>
      <c r="K25" s="18"/>
      <c r="M25" t="s">
        <v>793</v>
      </c>
      <c r="O25" s="69">
        <f>N21</f>
        <v>130.25</v>
      </c>
    </row>
    <row r="26" spans="1:17" ht="18" customHeight="1" x14ac:dyDescent="0.2">
      <c r="A26" s="16" t="s">
        <v>653</v>
      </c>
      <c r="D26" s="2"/>
      <c r="E26" s="2"/>
    </row>
    <row r="27" spans="1:17" ht="18" customHeight="1" x14ac:dyDescent="0.2">
      <c r="A27" s="4422" t="s">
        <v>654</v>
      </c>
      <c r="B27" s="4606" t="s">
        <v>107</v>
      </c>
      <c r="C27" s="4607" t="s">
        <v>108</v>
      </c>
      <c r="D27" s="4607" t="s">
        <v>109</v>
      </c>
      <c r="E27" s="4607" t="s">
        <v>110</v>
      </c>
      <c r="F27" s="4607" t="s">
        <v>111</v>
      </c>
      <c r="G27" s="4607" t="s">
        <v>112</v>
      </c>
      <c r="H27" s="4608" t="s">
        <v>113</v>
      </c>
      <c r="I27" s="4406" t="s">
        <v>158</v>
      </c>
      <c r="J27" s="4609" t="s">
        <v>114</v>
      </c>
      <c r="M27">
        <f>O25</f>
        <v>130.25</v>
      </c>
      <c r="N27" t="s">
        <v>794</v>
      </c>
      <c r="P27" s="42">
        <f>SUM(N21/37)</f>
        <v>3.5202702702702702</v>
      </c>
      <c r="Q27" t="s">
        <v>791</v>
      </c>
    </row>
    <row r="28" spans="1:17" ht="18" customHeight="1" x14ac:dyDescent="0.2">
      <c r="A28" s="4610"/>
      <c r="B28" s="4612" t="s">
        <v>655</v>
      </c>
      <c r="C28" s="4612" t="s">
        <v>655</v>
      </c>
      <c r="D28" s="4612" t="s">
        <v>655</v>
      </c>
      <c r="E28" s="4612" t="s">
        <v>655</v>
      </c>
      <c r="F28" s="4612" t="s">
        <v>656</v>
      </c>
      <c r="G28" s="4612"/>
      <c r="H28" s="4612"/>
      <c r="I28" s="4437"/>
      <c r="J28" s="4613"/>
    </row>
    <row r="29" spans="1:17" ht="18" customHeight="1" x14ac:dyDescent="0.2">
      <c r="A29" s="4614" t="s">
        <v>795</v>
      </c>
      <c r="B29" s="4671">
        <v>7.75</v>
      </c>
      <c r="C29" s="4671">
        <v>7.75</v>
      </c>
      <c r="D29" s="4671">
        <v>7.75</v>
      </c>
      <c r="E29" s="4671">
        <v>7.75</v>
      </c>
      <c r="F29" s="4671">
        <v>6</v>
      </c>
      <c r="G29" s="4671"/>
      <c r="H29" s="4671"/>
      <c r="I29" s="4671">
        <f>SUM(B29:H29)</f>
        <v>37</v>
      </c>
      <c r="J29" s="4673"/>
      <c r="M29" s="42">
        <f>P27</f>
        <v>3.5202702702702702</v>
      </c>
      <c r="N29" t="s">
        <v>796</v>
      </c>
      <c r="P29" s="42">
        <f>SUM(P27*3)</f>
        <v>10.560810810810811</v>
      </c>
      <c r="Q29" t="s">
        <v>791</v>
      </c>
    </row>
    <row r="30" spans="1:17" ht="18" customHeight="1" x14ac:dyDescent="0.2">
      <c r="A30" s="4610"/>
      <c r="B30" s="4612" t="s">
        <v>655</v>
      </c>
      <c r="C30" s="4612" t="s">
        <v>655</v>
      </c>
      <c r="D30" s="4612" t="s">
        <v>655</v>
      </c>
      <c r="E30" s="4612" t="s">
        <v>655</v>
      </c>
      <c r="F30" s="4612" t="s">
        <v>656</v>
      </c>
      <c r="G30" s="4612"/>
      <c r="H30" s="4612"/>
      <c r="I30" s="4437"/>
      <c r="J30" s="4613"/>
      <c r="M30" s="42"/>
      <c r="P30" s="42"/>
    </row>
    <row r="31" spans="1:17" ht="18" customHeight="1" x14ac:dyDescent="0.2">
      <c r="A31" s="223" t="s">
        <v>797</v>
      </c>
      <c r="B31" s="4671">
        <v>7.75</v>
      </c>
      <c r="C31" s="4671">
        <v>7.75</v>
      </c>
      <c r="D31" s="4671">
        <v>7.75</v>
      </c>
      <c r="E31" s="4671">
        <v>7.75</v>
      </c>
      <c r="F31" s="4671">
        <v>6</v>
      </c>
      <c r="G31" s="4671"/>
      <c r="H31" s="4671"/>
      <c r="I31" s="4671">
        <f>SUM(B31:H31)</f>
        <v>37</v>
      </c>
      <c r="J31" s="4673"/>
      <c r="M31" s="42"/>
      <c r="P31" s="42"/>
    </row>
    <row r="32" spans="1:17" ht="18" customHeight="1" x14ac:dyDescent="0.2">
      <c r="A32" s="10"/>
      <c r="B32" s="5" t="s">
        <v>655</v>
      </c>
      <c r="C32" s="5" t="s">
        <v>655</v>
      </c>
      <c r="D32" s="5" t="s">
        <v>655</v>
      </c>
      <c r="E32" s="5" t="s">
        <v>655</v>
      </c>
      <c r="F32" s="5" t="s">
        <v>656</v>
      </c>
      <c r="G32" s="5"/>
      <c r="H32" s="11"/>
      <c r="I32" s="70"/>
      <c r="J32" s="12"/>
    </row>
    <row r="33" spans="1:25" ht="18" customHeight="1" x14ac:dyDescent="0.2">
      <c r="A33" s="223" t="s">
        <v>798</v>
      </c>
      <c r="B33" s="4671">
        <v>7.75</v>
      </c>
      <c r="C33" s="4671">
        <v>7.75</v>
      </c>
      <c r="D33" s="4671">
        <v>7.75</v>
      </c>
      <c r="E33" s="4671">
        <v>7.75</v>
      </c>
      <c r="F33" s="4671">
        <v>6</v>
      </c>
      <c r="G33" s="227"/>
      <c r="H33" s="232"/>
      <c r="I33" s="249">
        <f>SUM(B33:H33)</f>
        <v>37</v>
      </c>
      <c r="J33" s="234"/>
      <c r="M33">
        <f>P23</f>
        <v>148</v>
      </c>
      <c r="N33" t="s">
        <v>799</v>
      </c>
      <c r="P33" s="71">
        <f>P29</f>
        <v>10.560810810810811</v>
      </c>
      <c r="Q33" t="s">
        <v>800</v>
      </c>
      <c r="R33" s="42">
        <f>SUM(M33-P33)</f>
        <v>137.43918918918919</v>
      </c>
      <c r="S33" t="s">
        <v>801</v>
      </c>
    </row>
    <row r="34" spans="1:25" ht="18" customHeight="1" x14ac:dyDescent="0.2">
      <c r="A34" s="4626" t="s">
        <v>652</v>
      </c>
      <c r="B34" s="4711">
        <f t="shared" ref="B34:I34" si="1">SUM(B29,B31,B33)</f>
        <v>23.25</v>
      </c>
      <c r="C34" s="4711">
        <f t="shared" si="1"/>
        <v>23.25</v>
      </c>
      <c r="D34" s="4711">
        <f t="shared" si="1"/>
        <v>23.25</v>
      </c>
      <c r="E34" s="4711">
        <f t="shared" si="1"/>
        <v>23.25</v>
      </c>
      <c r="F34" s="4711">
        <f t="shared" si="1"/>
        <v>18</v>
      </c>
      <c r="G34" s="4711">
        <f t="shared" si="1"/>
        <v>0</v>
      </c>
      <c r="H34" s="4711">
        <f t="shared" si="1"/>
        <v>0</v>
      </c>
      <c r="I34" s="4711">
        <f t="shared" si="1"/>
        <v>111</v>
      </c>
      <c r="J34" s="4636"/>
    </row>
    <row r="35" spans="1:25" ht="18" customHeight="1" x14ac:dyDescent="0.2">
      <c r="A35" s="18"/>
      <c r="B35" s="18"/>
      <c r="C35" s="18"/>
      <c r="D35" s="18"/>
      <c r="E35" s="18"/>
      <c r="F35" s="18"/>
      <c r="G35" s="4690" t="s">
        <v>768</v>
      </c>
      <c r="H35" s="4690" t="s">
        <v>769</v>
      </c>
      <c r="I35" s="4690" t="s">
        <v>770</v>
      </c>
      <c r="J35" s="19"/>
      <c r="M35">
        <f>I25</f>
        <v>207.75</v>
      </c>
      <c r="N35" t="s">
        <v>802</v>
      </c>
      <c r="O35" s="42">
        <f>R33</f>
        <v>137.43918918918919</v>
      </c>
      <c r="P35" s="4712">
        <f>SUM(M35-O35)</f>
        <v>70.310810810810807</v>
      </c>
    </row>
    <row r="36" spans="1:25" ht="18" customHeight="1" x14ac:dyDescent="0.2">
      <c r="A36" s="18"/>
      <c r="B36" s="18"/>
      <c r="C36" s="18"/>
      <c r="D36" s="18"/>
      <c r="E36" s="18"/>
      <c r="F36" s="18"/>
      <c r="G36" s="4663">
        <f>I25+I34</f>
        <v>318.75</v>
      </c>
      <c r="H36" s="4691">
        <f>SUM(G36*13/3)</f>
        <v>1381.25</v>
      </c>
      <c r="I36" s="4663">
        <f>SUM(H36*12)</f>
        <v>16575</v>
      </c>
      <c r="J36" s="19"/>
    </row>
    <row r="37" spans="1:25" ht="18" customHeight="1" x14ac:dyDescent="0.2">
      <c r="A37" s="18"/>
      <c r="B37" s="18"/>
      <c r="C37" s="18"/>
      <c r="D37" s="18"/>
      <c r="E37" s="18"/>
      <c r="F37" s="18"/>
      <c r="G37" s="18"/>
      <c r="H37" s="45"/>
      <c r="I37" s="18"/>
      <c r="J37" s="19"/>
    </row>
    <row r="38" spans="1:25" ht="17.850000000000001" customHeight="1" x14ac:dyDescent="0.2">
      <c r="A38" s="150" t="s">
        <v>803</v>
      </c>
      <c r="B38" s="18"/>
      <c r="C38" s="18"/>
      <c r="D38" s="18"/>
      <c r="E38" s="18"/>
      <c r="F38" s="18"/>
    </row>
    <row r="39" spans="1:25" ht="17.850000000000001" customHeight="1" x14ac:dyDescent="0.2">
      <c r="A39" s="4713" t="s">
        <v>804</v>
      </c>
      <c r="B39" s="4606" t="s">
        <v>107</v>
      </c>
      <c r="C39" s="4607" t="s">
        <v>108</v>
      </c>
      <c r="D39" s="4607" t="s">
        <v>109</v>
      </c>
      <c r="E39" s="4607" t="s">
        <v>110</v>
      </c>
      <c r="F39" s="4607" t="s">
        <v>111</v>
      </c>
      <c r="G39" s="4607" t="s">
        <v>112</v>
      </c>
      <c r="H39" s="4714" t="s">
        <v>113</v>
      </c>
      <c r="I39" s="4715" t="s">
        <v>158</v>
      </c>
      <c r="J39" s="4716" t="s">
        <v>114</v>
      </c>
      <c r="K39" t="s">
        <v>0</v>
      </c>
      <c r="M39" s="4717" t="s">
        <v>774</v>
      </c>
      <c r="N39" s="4718"/>
      <c r="P39" s="72"/>
      <c r="Q39" s="72"/>
      <c r="R39" s="72"/>
      <c r="S39" t="s">
        <v>805</v>
      </c>
      <c r="V39" s="1" t="s">
        <v>0</v>
      </c>
    </row>
    <row r="40" spans="1:25" ht="17.850000000000001" customHeight="1" x14ac:dyDescent="0.2">
      <c r="A40" s="4719" t="s">
        <v>661</v>
      </c>
      <c r="B40" s="4720" t="s">
        <v>806</v>
      </c>
      <c r="C40" s="4720" t="s">
        <v>806</v>
      </c>
      <c r="D40" s="4720" t="s">
        <v>806</v>
      </c>
      <c r="E40" s="4720" t="s">
        <v>806</v>
      </c>
      <c r="F40" s="4720" t="s">
        <v>806</v>
      </c>
      <c r="G40" s="4721" t="s">
        <v>807</v>
      </c>
      <c r="H40" s="4721" t="s">
        <v>807</v>
      </c>
      <c r="I40" s="4715"/>
      <c r="J40" s="4722" t="s">
        <v>661</v>
      </c>
      <c r="M40" s="73"/>
      <c r="N40" s="74" t="s">
        <v>808</v>
      </c>
      <c r="S40" s="4723" t="s">
        <v>809</v>
      </c>
      <c r="T40" s="4724"/>
      <c r="U40" s="4725"/>
      <c r="V40" s="4725"/>
      <c r="W40" s="72"/>
      <c r="Y40" s="18"/>
    </row>
    <row r="41" spans="1:25" ht="17.850000000000001" customHeight="1" x14ac:dyDescent="0.2">
      <c r="A41" s="240" t="s">
        <v>664</v>
      </c>
      <c r="B41" s="251">
        <v>8.25</v>
      </c>
      <c r="C41" s="251">
        <v>8.25</v>
      </c>
      <c r="D41" s="251">
        <v>8.25</v>
      </c>
      <c r="E41" s="251">
        <v>8.25</v>
      </c>
      <c r="F41" s="251">
        <v>8.25</v>
      </c>
      <c r="G41" s="252">
        <v>12.25</v>
      </c>
      <c r="H41" s="252">
        <v>12.25</v>
      </c>
      <c r="I41" s="226">
        <f>SUM(B41:H41)</f>
        <v>65.75</v>
      </c>
      <c r="J41" s="253" t="s">
        <v>810</v>
      </c>
      <c r="M41" s="4696" t="s">
        <v>159</v>
      </c>
      <c r="N41" s="4697">
        <f>I41</f>
        <v>65.75</v>
      </c>
      <c r="S41" s="4726" t="s">
        <v>811</v>
      </c>
      <c r="T41" s="4727"/>
      <c r="U41" s="4727"/>
      <c r="V41" s="4727"/>
      <c r="Y41" s="18"/>
    </row>
    <row r="42" spans="1:25" ht="17.850000000000001" customHeight="1" x14ac:dyDescent="0.2">
      <c r="A42" s="4728"/>
      <c r="B42" s="4729" t="s">
        <v>812</v>
      </c>
      <c r="C42" s="4729" t="s">
        <v>812</v>
      </c>
      <c r="D42" s="4729" t="s">
        <v>812</v>
      </c>
      <c r="E42" s="4729" t="s">
        <v>812</v>
      </c>
      <c r="F42" s="4729" t="s">
        <v>812</v>
      </c>
      <c r="G42" s="4730" t="s">
        <v>813</v>
      </c>
      <c r="H42" s="4731" t="s">
        <v>813</v>
      </c>
      <c r="I42" s="4715"/>
      <c r="J42" s="4732"/>
      <c r="M42" s="4696" t="s">
        <v>163</v>
      </c>
      <c r="N42" s="4697">
        <f>I47</f>
        <v>0</v>
      </c>
      <c r="S42" s="4733" t="s">
        <v>814</v>
      </c>
      <c r="T42" s="4734"/>
      <c r="U42" s="4734"/>
      <c r="V42" s="4734"/>
      <c r="Y42" s="18"/>
    </row>
    <row r="43" spans="1:25" ht="17.850000000000001" customHeight="1" x14ac:dyDescent="0.2">
      <c r="A43" s="240" t="s">
        <v>815</v>
      </c>
      <c r="B43" s="238">
        <v>7</v>
      </c>
      <c r="C43" s="238">
        <v>7</v>
      </c>
      <c r="D43" s="238">
        <v>7</v>
      </c>
      <c r="E43" s="238">
        <v>7</v>
      </c>
      <c r="F43" s="238">
        <v>7</v>
      </c>
      <c r="G43" s="254">
        <v>11</v>
      </c>
      <c r="H43" s="255">
        <v>11</v>
      </c>
      <c r="I43" s="226">
        <f>SUM(B43:H43)</f>
        <v>57</v>
      </c>
      <c r="J43" s="253" t="s">
        <v>816</v>
      </c>
      <c r="K43" s="1" t="s">
        <v>0</v>
      </c>
      <c r="M43" s="4696" t="s">
        <v>170</v>
      </c>
      <c r="N43" s="4697">
        <f>I53</f>
        <v>58.5</v>
      </c>
      <c r="S43" s="4735" t="s">
        <v>817</v>
      </c>
      <c r="T43" s="4736"/>
      <c r="U43" s="4736"/>
      <c r="V43" s="4736"/>
      <c r="Y43" s="18"/>
    </row>
    <row r="44" spans="1:25" ht="17.850000000000001" customHeight="1" x14ac:dyDescent="0.2">
      <c r="A44" s="4728"/>
      <c r="B44" s="4737" t="s">
        <v>818</v>
      </c>
      <c r="C44" s="4737" t="s">
        <v>818</v>
      </c>
      <c r="D44" s="4737" t="s">
        <v>818</v>
      </c>
      <c r="E44" s="4737" t="s">
        <v>818</v>
      </c>
      <c r="F44" s="4737" t="s">
        <v>818</v>
      </c>
      <c r="G44" s="4731" t="s">
        <v>819</v>
      </c>
      <c r="H44" s="4731" t="s">
        <v>819</v>
      </c>
      <c r="I44" s="4715"/>
      <c r="J44" s="4732"/>
      <c r="M44" s="4696" t="s">
        <v>172</v>
      </c>
      <c r="N44" s="4697">
        <f>I59</f>
        <v>0</v>
      </c>
      <c r="S44" s="75"/>
      <c r="T44" s="76"/>
      <c r="Y44" s="18"/>
    </row>
    <row r="45" spans="1:25" ht="17.850000000000001" customHeight="1" x14ac:dyDescent="0.2">
      <c r="A45" s="240" t="s">
        <v>820</v>
      </c>
      <c r="B45" s="256">
        <v>8</v>
      </c>
      <c r="C45" s="256">
        <v>8</v>
      </c>
      <c r="D45" s="256">
        <v>8</v>
      </c>
      <c r="E45" s="256">
        <v>8</v>
      </c>
      <c r="F45" s="256">
        <v>8</v>
      </c>
      <c r="G45" s="254">
        <v>12</v>
      </c>
      <c r="H45" s="254">
        <v>12</v>
      </c>
      <c r="I45" s="226">
        <f>SUM(B45:H45)</f>
        <v>64</v>
      </c>
      <c r="J45" s="253" t="s">
        <v>821</v>
      </c>
      <c r="M45" s="4696" t="s">
        <v>193</v>
      </c>
      <c r="N45" s="4697">
        <v>0</v>
      </c>
      <c r="Y45" s="18"/>
    </row>
    <row r="46" spans="1:25" ht="17.850000000000001" customHeight="1" x14ac:dyDescent="0.2">
      <c r="A46" s="4719" t="s">
        <v>673</v>
      </c>
      <c r="B46" s="4611" t="s">
        <v>640</v>
      </c>
      <c r="C46" s="4611" t="s">
        <v>640</v>
      </c>
      <c r="D46" s="4611" t="s">
        <v>640</v>
      </c>
      <c r="E46" s="4611" t="s">
        <v>640</v>
      </c>
      <c r="F46" s="4611" t="s">
        <v>640</v>
      </c>
      <c r="G46" s="4738"/>
      <c r="H46" s="4739"/>
      <c r="I46" s="4740"/>
      <c r="J46" s="4722" t="s">
        <v>673</v>
      </c>
      <c r="M46" s="4696" t="s">
        <v>211</v>
      </c>
      <c r="N46" s="4697">
        <f>I43</f>
        <v>57</v>
      </c>
      <c r="S46" s="4741" t="s">
        <v>822</v>
      </c>
      <c r="T46" s="4742"/>
      <c r="U46" s="4742"/>
      <c r="V46" s="4742"/>
      <c r="Y46" s="18"/>
    </row>
    <row r="47" spans="1:25" ht="17.850000000000001" customHeight="1" x14ac:dyDescent="0.2">
      <c r="A47" s="240" t="s">
        <v>823</v>
      </c>
      <c r="B47" s="4615"/>
      <c r="C47" s="4615"/>
      <c r="D47" s="4615"/>
      <c r="E47" s="4615"/>
      <c r="F47" s="4615"/>
      <c r="G47" s="227"/>
      <c r="H47" s="257"/>
      <c r="I47" s="226">
        <f>SUM(B47:H47)</f>
        <v>0</v>
      </c>
      <c r="J47" s="253" t="s">
        <v>824</v>
      </c>
      <c r="M47" s="4696" t="s">
        <v>825</v>
      </c>
      <c r="N47" s="4697">
        <f>I49</f>
        <v>0</v>
      </c>
      <c r="S47" s="1"/>
      <c r="Y47" s="18"/>
    </row>
    <row r="48" spans="1:25" ht="17.850000000000001" customHeight="1" x14ac:dyDescent="0.2">
      <c r="A48" s="4728"/>
      <c r="B48" s="4611" t="s">
        <v>640</v>
      </c>
      <c r="C48" s="4611" t="s">
        <v>640</v>
      </c>
      <c r="D48" s="4611" t="s">
        <v>640</v>
      </c>
      <c r="E48" s="4611" t="s">
        <v>640</v>
      </c>
      <c r="F48" s="4611" t="s">
        <v>640</v>
      </c>
      <c r="G48" s="4715"/>
      <c r="H48" s="4407"/>
      <c r="I48" s="4715"/>
      <c r="J48" s="4732"/>
      <c r="M48" s="4696" t="s">
        <v>826</v>
      </c>
      <c r="N48" s="4697">
        <f>I55</f>
        <v>56</v>
      </c>
      <c r="S48" s="4741" t="s">
        <v>827</v>
      </c>
      <c r="T48" s="4742"/>
      <c r="U48" s="4742"/>
      <c r="V48" s="4742"/>
      <c r="Y48" s="18"/>
    </row>
    <row r="49" spans="1:32" ht="17.850000000000001" customHeight="1" x14ac:dyDescent="0.2">
      <c r="A49" s="240" t="s">
        <v>828</v>
      </c>
      <c r="B49" s="4615"/>
      <c r="C49" s="4615"/>
      <c r="D49" s="4615"/>
      <c r="E49" s="4615"/>
      <c r="F49" s="4615"/>
      <c r="G49" s="247"/>
      <c r="H49" s="224"/>
      <c r="I49" s="226">
        <f>SUM(B49:H49)</f>
        <v>0</v>
      </c>
      <c r="J49" s="253" t="s">
        <v>825</v>
      </c>
      <c r="M49" s="4696" t="s">
        <v>829</v>
      </c>
      <c r="N49" s="4697">
        <f>I61</f>
        <v>0</v>
      </c>
      <c r="S49" s="1"/>
      <c r="Y49" s="18"/>
    </row>
    <row r="50" spans="1:32" ht="17.850000000000001" customHeight="1" x14ac:dyDescent="0.2">
      <c r="A50" s="4713"/>
      <c r="B50" s="4611" t="s">
        <v>640</v>
      </c>
      <c r="C50" s="4611" t="s">
        <v>640</v>
      </c>
      <c r="D50" s="4611" t="s">
        <v>640</v>
      </c>
      <c r="E50" s="4611" t="s">
        <v>640</v>
      </c>
      <c r="F50" s="4611" t="s">
        <v>640</v>
      </c>
      <c r="G50" s="4743" t="s">
        <v>830</v>
      </c>
      <c r="H50" s="4744" t="s">
        <v>831</v>
      </c>
      <c r="I50" s="4715"/>
      <c r="J50" s="4745"/>
      <c r="M50" s="4696" t="s">
        <v>832</v>
      </c>
      <c r="N50" s="4697">
        <v>41.5</v>
      </c>
      <c r="S50" s="4741" t="s">
        <v>833</v>
      </c>
      <c r="T50" s="4742"/>
      <c r="U50" s="4742"/>
      <c r="V50" s="4742"/>
      <c r="Y50" s="18"/>
    </row>
    <row r="51" spans="1:32" ht="17.850000000000001" customHeight="1" x14ac:dyDescent="0.2">
      <c r="A51" s="240" t="s">
        <v>834</v>
      </c>
      <c r="B51" s="4615"/>
      <c r="C51" s="4615"/>
      <c r="D51" s="4615"/>
      <c r="E51" s="4615"/>
      <c r="F51" s="4615"/>
      <c r="G51" s="258">
        <v>12.25</v>
      </c>
      <c r="H51" s="259">
        <v>12.25</v>
      </c>
      <c r="I51" s="226">
        <f>SUM(B51:H51)</f>
        <v>24.5</v>
      </c>
      <c r="J51" s="253" t="s">
        <v>835</v>
      </c>
      <c r="M51" s="4696" t="s">
        <v>836</v>
      </c>
      <c r="N51" s="4697">
        <f>I45</f>
        <v>64</v>
      </c>
      <c r="Y51" s="18"/>
    </row>
    <row r="52" spans="1:32" ht="17.850000000000001" customHeight="1" x14ac:dyDescent="0.2">
      <c r="A52" s="4719" t="s">
        <v>680</v>
      </c>
      <c r="B52" s="4746" t="s">
        <v>837</v>
      </c>
      <c r="C52" s="4746" t="s">
        <v>837</v>
      </c>
      <c r="D52" s="4746" t="s">
        <v>837</v>
      </c>
      <c r="E52" s="4746" t="s">
        <v>837</v>
      </c>
      <c r="F52" s="4746" t="s">
        <v>838</v>
      </c>
      <c r="G52" s="4743" t="s">
        <v>839</v>
      </c>
      <c r="H52" s="4744" t="s">
        <v>839</v>
      </c>
      <c r="I52" s="4715"/>
      <c r="J52" s="4722" t="s">
        <v>680</v>
      </c>
      <c r="K52" s="1" t="s">
        <v>0</v>
      </c>
      <c r="M52" s="4696" t="s">
        <v>840</v>
      </c>
      <c r="N52" s="4697">
        <f>I51</f>
        <v>24.5</v>
      </c>
      <c r="S52" t="s">
        <v>841</v>
      </c>
      <c r="Y52" s="18"/>
    </row>
    <row r="53" spans="1:32" ht="17.850000000000001" customHeight="1" x14ac:dyDescent="0.2">
      <c r="A53" s="240" t="s">
        <v>682</v>
      </c>
      <c r="B53" s="260">
        <v>7</v>
      </c>
      <c r="C53" s="260">
        <v>7</v>
      </c>
      <c r="D53" s="260">
        <v>7</v>
      </c>
      <c r="E53" s="260">
        <v>7</v>
      </c>
      <c r="F53" s="260">
        <v>6.5</v>
      </c>
      <c r="G53" s="258">
        <v>12</v>
      </c>
      <c r="H53" s="259">
        <v>12</v>
      </c>
      <c r="I53" s="226">
        <f>SUM(B53:H53)</f>
        <v>58.5</v>
      </c>
      <c r="J53" s="253" t="s">
        <v>842</v>
      </c>
      <c r="M53" s="4696" t="s">
        <v>843</v>
      </c>
      <c r="N53" s="4697">
        <f>I57</f>
        <v>40</v>
      </c>
      <c r="S53" s="4747" t="s">
        <v>844</v>
      </c>
      <c r="T53" s="4748"/>
      <c r="U53" s="4748"/>
      <c r="V53" s="4748"/>
      <c r="Y53" s="18"/>
    </row>
    <row r="54" spans="1:32" ht="17.850000000000001" customHeight="1" x14ac:dyDescent="0.2">
      <c r="A54" s="4728"/>
      <c r="B54" s="4749" t="s">
        <v>845</v>
      </c>
      <c r="C54" s="4749" t="s">
        <v>845</v>
      </c>
      <c r="D54" s="4749" t="s">
        <v>845</v>
      </c>
      <c r="E54" s="4749" t="s">
        <v>845</v>
      </c>
      <c r="F54" s="4749" t="s">
        <v>845</v>
      </c>
      <c r="G54" s="4743" t="s">
        <v>846</v>
      </c>
      <c r="H54" s="4744" t="s">
        <v>839</v>
      </c>
      <c r="I54" s="4740"/>
      <c r="J54" s="4732"/>
      <c r="M54" s="4696" t="s">
        <v>847</v>
      </c>
      <c r="N54" s="4697">
        <f>I63</f>
        <v>40</v>
      </c>
      <c r="S54" s="4750" t="s">
        <v>848</v>
      </c>
      <c r="T54" s="4751"/>
      <c r="U54" s="4751"/>
      <c r="V54" s="4751"/>
      <c r="Y54" s="18"/>
    </row>
    <row r="55" spans="1:32" ht="17.850000000000001" customHeight="1" x14ac:dyDescent="0.2">
      <c r="A55" s="39" t="s">
        <v>849</v>
      </c>
      <c r="B55" s="4752">
        <v>7</v>
      </c>
      <c r="C55" s="4752">
        <v>7</v>
      </c>
      <c r="D55" s="4752">
        <v>7</v>
      </c>
      <c r="E55" s="4752">
        <v>7</v>
      </c>
      <c r="F55" s="4752">
        <v>7</v>
      </c>
      <c r="G55" s="4753">
        <v>9</v>
      </c>
      <c r="H55" s="259">
        <v>12</v>
      </c>
      <c r="I55" s="226">
        <f>SUM(B55:H55)</f>
        <v>56</v>
      </c>
      <c r="J55" s="253" t="s">
        <v>826</v>
      </c>
      <c r="M55" s="4696" t="s">
        <v>850</v>
      </c>
      <c r="N55" s="4697">
        <v>0</v>
      </c>
      <c r="S55" s="4754" t="s">
        <v>851</v>
      </c>
      <c r="T55" s="4755"/>
      <c r="U55" s="4756"/>
      <c r="V55" s="4756"/>
      <c r="Y55" s="18"/>
    </row>
    <row r="56" spans="1:32" ht="17.850000000000001" customHeight="1" x14ac:dyDescent="0.2">
      <c r="A56" s="4728"/>
      <c r="B56" s="4757" t="s">
        <v>852</v>
      </c>
      <c r="C56" s="4757" t="s">
        <v>852</v>
      </c>
      <c r="D56" s="4757" t="s">
        <v>852</v>
      </c>
      <c r="E56" s="4757" t="s">
        <v>852</v>
      </c>
      <c r="F56" s="4757" t="s">
        <v>852</v>
      </c>
      <c r="G56" s="4738"/>
      <c r="H56" s="4739"/>
      <c r="I56" s="4715"/>
      <c r="J56" s="4732"/>
      <c r="M56" s="4706" t="s">
        <v>786</v>
      </c>
      <c r="N56" s="4707">
        <f>SUM(N41:N55)</f>
        <v>447.25</v>
      </c>
      <c r="S56" s="4758" t="s">
        <v>853</v>
      </c>
      <c r="T56" s="4759"/>
      <c r="U56" s="4759"/>
      <c r="V56" s="4759"/>
      <c r="Y56" s="18"/>
    </row>
    <row r="57" spans="1:32" ht="17.850000000000001" customHeight="1" x14ac:dyDescent="0.2">
      <c r="A57" s="240" t="s">
        <v>854</v>
      </c>
      <c r="B57" s="4760">
        <v>8</v>
      </c>
      <c r="C57" s="4760">
        <v>8</v>
      </c>
      <c r="D57" s="4760">
        <v>8</v>
      </c>
      <c r="E57" s="4760">
        <v>8</v>
      </c>
      <c r="F57" s="4760">
        <v>8</v>
      </c>
      <c r="G57" s="4659"/>
      <c r="H57" s="77"/>
      <c r="I57" s="226">
        <f>SUM(B57:H57)</f>
        <v>40</v>
      </c>
      <c r="J57" s="253" t="s">
        <v>843</v>
      </c>
      <c r="N57" s="18"/>
      <c r="S57" s="75"/>
      <c r="T57" s="76"/>
      <c r="Y57" s="18"/>
      <c r="AE57" s="59"/>
      <c r="AF57" s="59"/>
    </row>
    <row r="58" spans="1:32" ht="17.850000000000001" customHeight="1" x14ac:dyDescent="0.2">
      <c r="A58" s="4719" t="s">
        <v>685</v>
      </c>
      <c r="B58" s="4611" t="s">
        <v>640</v>
      </c>
      <c r="C58" s="4611" t="s">
        <v>640</v>
      </c>
      <c r="D58" s="4611" t="s">
        <v>640</v>
      </c>
      <c r="E58" s="4611" t="s">
        <v>640</v>
      </c>
      <c r="F58" s="4611" t="s">
        <v>640</v>
      </c>
      <c r="G58" s="4738"/>
      <c r="H58" s="4739"/>
      <c r="I58" s="4715"/>
      <c r="J58" s="4722" t="s">
        <v>685</v>
      </c>
      <c r="M58" t="s">
        <v>30</v>
      </c>
      <c r="N58" t="s">
        <v>855</v>
      </c>
      <c r="P58">
        <v>555</v>
      </c>
      <c r="Q58" t="s">
        <v>791</v>
      </c>
      <c r="S58" t="s">
        <v>856</v>
      </c>
      <c r="AE58" s="18"/>
      <c r="AF58" s="18"/>
    </row>
    <row r="59" spans="1:32" ht="17.850000000000001" customHeight="1" x14ac:dyDescent="0.2">
      <c r="A59" s="39" t="s">
        <v>857</v>
      </c>
      <c r="B59" s="4666"/>
      <c r="C59" s="4666"/>
      <c r="D59" s="4666"/>
      <c r="E59" s="4666"/>
      <c r="F59" s="4666"/>
      <c r="G59" s="4659"/>
      <c r="H59" s="77"/>
      <c r="I59" s="4658">
        <f>SUM(B59:H59)</f>
        <v>0</v>
      </c>
      <c r="J59" s="253" t="s">
        <v>172</v>
      </c>
      <c r="O59" t="s">
        <v>0</v>
      </c>
      <c r="S59" s="4761" t="s">
        <v>858</v>
      </c>
      <c r="T59" s="4762"/>
    </row>
    <row r="60" spans="1:32" ht="17.850000000000001" customHeight="1" x14ac:dyDescent="0.2">
      <c r="A60" s="4728"/>
      <c r="B60" s="4611" t="s">
        <v>640</v>
      </c>
      <c r="C60" s="4611" t="s">
        <v>640</v>
      </c>
      <c r="D60" s="4611" t="s">
        <v>640</v>
      </c>
      <c r="E60" s="4611" t="s">
        <v>640</v>
      </c>
      <c r="F60" s="4611" t="s">
        <v>640</v>
      </c>
      <c r="G60" s="4715"/>
      <c r="H60" s="4407"/>
      <c r="I60" s="4715"/>
      <c r="J60" s="4732"/>
      <c r="M60" t="s">
        <v>793</v>
      </c>
      <c r="O60" s="69">
        <f>N56</f>
        <v>447.25</v>
      </c>
      <c r="S60" s="4763" t="s">
        <v>859</v>
      </c>
      <c r="T60" s="4764"/>
    </row>
    <row r="61" spans="1:32" ht="17.850000000000001" customHeight="1" x14ac:dyDescent="0.2">
      <c r="A61" s="33" t="s">
        <v>860</v>
      </c>
      <c r="B61" s="4666"/>
      <c r="C61" s="4666"/>
      <c r="D61" s="4615"/>
      <c r="E61" s="4615"/>
      <c r="F61" s="4615"/>
      <c r="G61" s="4765"/>
      <c r="H61" s="54"/>
      <c r="I61" s="4658">
        <f>SUM(B61:H61)</f>
        <v>0</v>
      </c>
      <c r="J61" s="261" t="s">
        <v>829</v>
      </c>
      <c r="S61" s="4766" t="s">
        <v>861</v>
      </c>
      <c r="T61" s="4767"/>
      <c r="AE61" s="36"/>
      <c r="AF61" s="36"/>
    </row>
    <row r="62" spans="1:32" ht="17.850000000000001" customHeight="1" x14ac:dyDescent="0.2">
      <c r="A62" s="4728" t="s">
        <v>0</v>
      </c>
      <c r="B62" s="4768" t="s">
        <v>817</v>
      </c>
      <c r="C62" s="4768" t="s">
        <v>817</v>
      </c>
      <c r="D62" s="4768" t="s">
        <v>817</v>
      </c>
      <c r="E62" s="4768" t="s">
        <v>817</v>
      </c>
      <c r="F62" s="4768" t="s">
        <v>817</v>
      </c>
      <c r="G62" s="4769"/>
      <c r="H62" s="4407"/>
      <c r="I62" s="4715"/>
      <c r="J62" s="4732" t="s">
        <v>0</v>
      </c>
      <c r="M62">
        <f>O60</f>
        <v>447.25</v>
      </c>
      <c r="N62" t="s">
        <v>794</v>
      </c>
      <c r="P62" s="42">
        <f>SUM(M62/37)</f>
        <v>12.087837837837839</v>
      </c>
      <c r="Q62" t="s">
        <v>791</v>
      </c>
      <c r="AE62" s="37"/>
      <c r="AF62" s="37"/>
    </row>
    <row r="63" spans="1:32" ht="17.850000000000001" customHeight="1" x14ac:dyDescent="0.2">
      <c r="A63" s="39" t="s">
        <v>862</v>
      </c>
      <c r="B63" s="4770">
        <v>8</v>
      </c>
      <c r="C63" s="4770">
        <v>8</v>
      </c>
      <c r="D63" s="4770">
        <v>8</v>
      </c>
      <c r="E63" s="4770">
        <v>8</v>
      </c>
      <c r="F63" s="4770">
        <v>8</v>
      </c>
      <c r="G63" s="4765"/>
      <c r="H63" s="54"/>
      <c r="I63" s="4658">
        <f>SUM(B63:H63)</f>
        <v>40</v>
      </c>
      <c r="J63" s="253" t="s">
        <v>863</v>
      </c>
      <c r="S63" s="4771" t="s">
        <v>864</v>
      </c>
      <c r="T63" s="4772"/>
      <c r="U63" s="4773"/>
    </row>
    <row r="64" spans="1:32" ht="17.850000000000001" customHeight="1" x14ac:dyDescent="0.2">
      <c r="A64" s="4719" t="s">
        <v>691</v>
      </c>
      <c r="B64" s="4774" t="s">
        <v>865</v>
      </c>
      <c r="C64" s="4774" t="s">
        <v>865</v>
      </c>
      <c r="D64" s="4774" t="s">
        <v>865</v>
      </c>
      <c r="E64" s="4774" t="s">
        <v>865</v>
      </c>
      <c r="F64" s="4774" t="s">
        <v>865</v>
      </c>
      <c r="G64" s="4606"/>
      <c r="H64" s="4775"/>
      <c r="I64" s="4715"/>
      <c r="J64" s="4722" t="s">
        <v>691</v>
      </c>
      <c r="M64" s="42">
        <f>P62</f>
        <v>12.087837837837839</v>
      </c>
      <c r="N64" t="s">
        <v>796</v>
      </c>
      <c r="P64" s="42">
        <f>SUM(P62*3)</f>
        <v>36.263513513513516</v>
      </c>
      <c r="Q64" t="s">
        <v>791</v>
      </c>
    </row>
    <row r="65" spans="1:31" ht="17.850000000000001" customHeight="1" x14ac:dyDescent="0.2">
      <c r="A65" s="39" t="s">
        <v>692</v>
      </c>
      <c r="B65" s="262">
        <v>7</v>
      </c>
      <c r="C65" s="262">
        <v>7</v>
      </c>
      <c r="D65" s="262">
        <v>7</v>
      </c>
      <c r="E65" s="262">
        <v>7</v>
      </c>
      <c r="F65" s="262">
        <v>7</v>
      </c>
      <c r="G65" s="4658"/>
      <c r="H65" s="78"/>
      <c r="I65" s="4658">
        <f>SUM(B65:H65)</f>
        <v>35</v>
      </c>
      <c r="J65" s="55" t="s">
        <v>866</v>
      </c>
      <c r="S65" s="4771" t="s">
        <v>867</v>
      </c>
      <c r="T65" s="4772"/>
      <c r="U65" s="4773"/>
    </row>
    <row r="66" spans="1:31" ht="17.850000000000001" customHeight="1" x14ac:dyDescent="0.2">
      <c r="A66" s="4728"/>
      <c r="B66" s="4776" t="s">
        <v>868</v>
      </c>
      <c r="C66" s="4776" t="s">
        <v>868</v>
      </c>
      <c r="D66" s="4776" t="s">
        <v>868</v>
      </c>
      <c r="E66" s="4776" t="s">
        <v>868</v>
      </c>
      <c r="F66" s="4776" t="s">
        <v>868</v>
      </c>
      <c r="G66" s="4606"/>
      <c r="H66" s="4775"/>
      <c r="I66" s="4777"/>
      <c r="J66" s="4732"/>
      <c r="M66">
        <f>P58</f>
        <v>555</v>
      </c>
      <c r="N66" t="s">
        <v>799</v>
      </c>
      <c r="P66" s="71">
        <f>P64</f>
        <v>36.263513513513516</v>
      </c>
      <c r="Q66" t="s">
        <v>800</v>
      </c>
      <c r="R66" s="79">
        <f>SUM(M66-P66)</f>
        <v>518.73648648648646</v>
      </c>
    </row>
    <row r="67" spans="1:31" ht="17.850000000000001" customHeight="1" x14ac:dyDescent="0.2">
      <c r="A67" s="244" t="s">
        <v>693</v>
      </c>
      <c r="B67" s="263">
        <v>7.5</v>
      </c>
      <c r="C67" s="263">
        <v>7.5</v>
      </c>
      <c r="D67" s="263">
        <v>7.5</v>
      </c>
      <c r="E67" s="263">
        <v>7.5</v>
      </c>
      <c r="F67" s="263">
        <v>7.5</v>
      </c>
      <c r="G67" s="226"/>
      <c r="H67" s="264"/>
      <c r="I67" s="265">
        <v>41.5</v>
      </c>
      <c r="J67" s="261" t="s">
        <v>869</v>
      </c>
      <c r="S67" s="4778" t="s">
        <v>870</v>
      </c>
      <c r="T67" s="4779"/>
      <c r="U67" s="4780"/>
      <c r="AE67" s="36"/>
    </row>
    <row r="68" spans="1:31" ht="17.850000000000001" customHeight="1" x14ac:dyDescent="0.2">
      <c r="A68" s="4728"/>
      <c r="B68" s="4781" t="s">
        <v>871</v>
      </c>
      <c r="C68" s="4782" t="s">
        <v>871</v>
      </c>
      <c r="D68" s="4782" t="s">
        <v>871</v>
      </c>
      <c r="E68" s="4782" t="s">
        <v>871</v>
      </c>
      <c r="F68" s="4782" t="s">
        <v>871</v>
      </c>
      <c r="G68" s="4606"/>
      <c r="H68" s="4775"/>
      <c r="I68" s="4783"/>
      <c r="J68" s="4732"/>
      <c r="M68" s="42">
        <v>522.25</v>
      </c>
      <c r="N68" t="s">
        <v>802</v>
      </c>
      <c r="O68" s="71">
        <f>R66</f>
        <v>518.73648648648646</v>
      </c>
      <c r="P68" s="4712">
        <f>SUM(M68-O68)</f>
        <v>3.5135135135135442</v>
      </c>
      <c r="S68" s="75"/>
      <c r="T68" s="76"/>
      <c r="AE68" s="37"/>
    </row>
    <row r="69" spans="1:31" ht="17.850000000000001" customHeight="1" x14ac:dyDescent="0.2">
      <c r="A69" s="240" t="s">
        <v>694</v>
      </c>
      <c r="B69" s="266">
        <v>8</v>
      </c>
      <c r="C69" s="266">
        <v>8</v>
      </c>
      <c r="D69" s="266">
        <v>8</v>
      </c>
      <c r="E69" s="266">
        <v>8</v>
      </c>
      <c r="F69" s="266">
        <v>8</v>
      </c>
      <c r="G69" s="226"/>
      <c r="H69" s="226"/>
      <c r="I69" s="265">
        <f>SUM(B69:H69)</f>
        <v>40</v>
      </c>
      <c r="J69" s="253" t="s">
        <v>872</v>
      </c>
    </row>
    <row r="70" spans="1:31" ht="17.850000000000001" customHeight="1" x14ac:dyDescent="0.2">
      <c r="A70" s="46" t="s">
        <v>652</v>
      </c>
      <c r="B70" s="62">
        <f t="shared" ref="B70:I70" si="2">SUM(B41,B43,B45,B47,B49,B51,B53,B55,B57,B59,B61,B63,B65,B67,B69)</f>
        <v>75.75</v>
      </c>
      <c r="C70" s="62">
        <f t="shared" si="2"/>
        <v>75.75</v>
      </c>
      <c r="D70" s="62">
        <f t="shared" si="2"/>
        <v>75.75</v>
      </c>
      <c r="E70" s="62">
        <f t="shared" si="2"/>
        <v>75.75</v>
      </c>
      <c r="F70" s="62">
        <f t="shared" si="2"/>
        <v>75.25</v>
      </c>
      <c r="G70" s="62">
        <f t="shared" si="2"/>
        <v>68.5</v>
      </c>
      <c r="H70" s="62">
        <f t="shared" si="2"/>
        <v>71.5</v>
      </c>
      <c r="I70" s="62">
        <f t="shared" si="2"/>
        <v>522.25</v>
      </c>
      <c r="J70" s="48"/>
    </row>
    <row r="71" spans="1:31" ht="17.850000000000001" customHeight="1" x14ac:dyDescent="0.2">
      <c r="A71" s="18"/>
      <c r="B71" s="18"/>
      <c r="C71" s="18"/>
      <c r="D71" s="18"/>
      <c r="E71" s="18"/>
      <c r="F71" s="18"/>
      <c r="G71" s="4690" t="s">
        <v>768</v>
      </c>
      <c r="H71" s="4690" t="s">
        <v>769</v>
      </c>
      <c r="I71" s="4690" t="s">
        <v>770</v>
      </c>
      <c r="M71" s="59"/>
      <c r="N71" s="59"/>
      <c r="O71" s="59"/>
      <c r="P71" s="59"/>
      <c r="Q71" s="59"/>
      <c r="R71" s="59"/>
    </row>
    <row r="72" spans="1:31" ht="17.850000000000001" customHeight="1" x14ac:dyDescent="0.2">
      <c r="A72" s="18"/>
      <c r="B72" s="36"/>
      <c r="C72" s="36"/>
      <c r="D72" s="36"/>
      <c r="E72" s="36"/>
      <c r="F72" s="36"/>
      <c r="G72" s="4663">
        <f>I70</f>
        <v>522.25</v>
      </c>
      <c r="H72" s="4691">
        <f>SUM(G72*13/3)</f>
        <v>2263.0833333333335</v>
      </c>
      <c r="I72" s="4663">
        <f>SUM(H72*12)</f>
        <v>27157</v>
      </c>
      <c r="M72" s="18"/>
      <c r="N72" s="18"/>
      <c r="O72" s="18"/>
      <c r="P72" s="18"/>
      <c r="Q72" s="18"/>
      <c r="R72" s="18"/>
    </row>
    <row r="73" spans="1:31" ht="17.850000000000001" customHeight="1" x14ac:dyDescent="0.2">
      <c r="A73" s="18"/>
      <c r="B73" s="37"/>
      <c r="C73" s="37"/>
      <c r="D73" s="37"/>
      <c r="E73" s="37"/>
      <c r="F73" s="37"/>
      <c r="G73" s="18"/>
      <c r="H73" s="45"/>
      <c r="I73" s="18"/>
      <c r="N73" s="18"/>
      <c r="O73" s="18"/>
      <c r="P73" s="18"/>
      <c r="Q73" s="18"/>
      <c r="R73" s="18"/>
    </row>
    <row r="74" spans="1:31" ht="17.850000000000001" customHeight="1" x14ac:dyDescent="0.2">
      <c r="A74" s="18"/>
      <c r="B74" s="18"/>
      <c r="C74" s="18"/>
      <c r="D74" s="18"/>
      <c r="E74" s="18"/>
      <c r="F74" s="18"/>
      <c r="G74" s="18"/>
      <c r="H74" s="45"/>
      <c r="I74" s="18"/>
      <c r="N74" s="18"/>
      <c r="O74" s="18"/>
      <c r="P74" s="18"/>
      <c r="Q74" s="18"/>
      <c r="R74" s="18"/>
    </row>
    <row r="75" spans="1:31" ht="17.100000000000001" customHeight="1" x14ac:dyDescent="0.2">
      <c r="A75" s="1" t="s">
        <v>873</v>
      </c>
      <c r="B75" s="18"/>
      <c r="C75" s="18"/>
      <c r="D75" s="18"/>
      <c r="E75" s="18"/>
      <c r="F75" s="18"/>
      <c r="N75" s="18"/>
      <c r="O75" s="18"/>
      <c r="P75" s="18"/>
      <c r="Q75" s="18"/>
      <c r="R75" s="18"/>
    </row>
    <row r="76" spans="1:31" ht="17.100000000000001" customHeight="1" x14ac:dyDescent="0.2">
      <c r="A76" s="4713" t="s">
        <v>804</v>
      </c>
      <c r="B76" s="4606" t="s">
        <v>107</v>
      </c>
      <c r="C76" s="4607" t="s">
        <v>108</v>
      </c>
      <c r="D76" s="4607" t="s">
        <v>109</v>
      </c>
      <c r="E76" s="4607" t="s">
        <v>110</v>
      </c>
      <c r="F76" s="4607" t="s">
        <v>111</v>
      </c>
      <c r="G76" s="4607" t="s">
        <v>112</v>
      </c>
      <c r="H76" s="4714" t="s">
        <v>113</v>
      </c>
      <c r="I76" s="4715" t="s">
        <v>158</v>
      </c>
      <c r="J76" s="4716" t="s">
        <v>114</v>
      </c>
      <c r="N76" s="18"/>
      <c r="O76" s="18"/>
      <c r="P76" s="18"/>
      <c r="Q76" s="18"/>
      <c r="R76" s="18"/>
    </row>
    <row r="77" spans="1:31" ht="17.100000000000001" customHeight="1" x14ac:dyDescent="0.2">
      <c r="A77" s="4728"/>
      <c r="B77" s="4720" t="s">
        <v>806</v>
      </c>
      <c r="C77" s="4720" t="s">
        <v>806</v>
      </c>
      <c r="D77" s="4720" t="s">
        <v>806</v>
      </c>
      <c r="E77" s="4720" t="s">
        <v>806</v>
      </c>
      <c r="F77" s="4720" t="s">
        <v>806</v>
      </c>
      <c r="G77" s="4721" t="s">
        <v>807</v>
      </c>
      <c r="H77" s="4721" t="s">
        <v>807</v>
      </c>
      <c r="I77" s="4777"/>
      <c r="J77" s="4732"/>
      <c r="N77" s="18"/>
      <c r="O77" s="18"/>
      <c r="P77" s="18"/>
      <c r="Q77" s="18"/>
      <c r="R77" s="18"/>
    </row>
    <row r="78" spans="1:31" ht="17.100000000000001" customHeight="1" x14ac:dyDescent="0.2">
      <c r="A78" s="240" t="s">
        <v>664</v>
      </c>
      <c r="B78" s="251">
        <v>8.25</v>
      </c>
      <c r="C78" s="251">
        <v>8.25</v>
      </c>
      <c r="D78" s="251">
        <v>8.25</v>
      </c>
      <c r="E78" s="251">
        <v>8.25</v>
      </c>
      <c r="F78" s="251">
        <v>8.25</v>
      </c>
      <c r="G78" s="252">
        <v>12.25</v>
      </c>
      <c r="H78" s="252">
        <v>12.25</v>
      </c>
      <c r="I78" s="226">
        <f>SUM(B78:H78)</f>
        <v>65.75</v>
      </c>
      <c r="J78" s="253" t="s">
        <v>810</v>
      </c>
      <c r="N78" s="18"/>
      <c r="O78" s="18"/>
      <c r="P78" s="18"/>
      <c r="Q78" s="18"/>
      <c r="R78" s="18"/>
    </row>
    <row r="79" spans="1:31" ht="17.100000000000001" customHeight="1" x14ac:dyDescent="0.2">
      <c r="A79" s="4728"/>
      <c r="B79" s="4611" t="s">
        <v>640</v>
      </c>
      <c r="C79" s="4611" t="s">
        <v>640</v>
      </c>
      <c r="D79" s="4611" t="s">
        <v>640</v>
      </c>
      <c r="E79" s="4611" t="s">
        <v>640</v>
      </c>
      <c r="F79" s="4611" t="s">
        <v>640</v>
      </c>
      <c r="G79" s="4784"/>
      <c r="H79" s="4785"/>
      <c r="I79" s="4783"/>
      <c r="J79" s="4732"/>
      <c r="L79" s="36"/>
      <c r="M79" s="36"/>
      <c r="N79" s="36"/>
      <c r="O79" s="18"/>
      <c r="P79" s="18"/>
      <c r="Q79" s="18"/>
      <c r="R79" s="18"/>
    </row>
    <row r="80" spans="1:31" ht="17.100000000000001" customHeight="1" x14ac:dyDescent="0.2">
      <c r="A80" s="240" t="s">
        <v>874</v>
      </c>
      <c r="B80" s="4615"/>
      <c r="C80" s="4615"/>
      <c r="D80" s="4615"/>
      <c r="E80" s="4615"/>
      <c r="F80" s="4615"/>
      <c r="G80" s="227"/>
      <c r="H80" s="257"/>
      <c r="I80" s="226">
        <f>SUM(B80:H80)</f>
        <v>0</v>
      </c>
      <c r="J80" s="253" t="s">
        <v>824</v>
      </c>
      <c r="L80" s="37"/>
      <c r="M80" s="37"/>
      <c r="N80" s="37"/>
      <c r="O80" s="18"/>
      <c r="P80" s="18"/>
      <c r="Q80" s="18"/>
      <c r="R80" s="18"/>
    </row>
    <row r="81" spans="1:18" ht="17.100000000000001" customHeight="1" x14ac:dyDescent="0.2">
      <c r="A81" s="4728"/>
      <c r="B81" s="4746" t="s">
        <v>837</v>
      </c>
      <c r="C81" s="4746" t="s">
        <v>837</v>
      </c>
      <c r="D81" s="4746" t="s">
        <v>837</v>
      </c>
      <c r="E81" s="4746" t="s">
        <v>837</v>
      </c>
      <c r="F81" s="4746" t="s">
        <v>838</v>
      </c>
      <c r="G81" s="4743" t="s">
        <v>839</v>
      </c>
      <c r="H81" s="4744" t="s">
        <v>839</v>
      </c>
      <c r="I81" s="4715"/>
      <c r="J81" s="4732"/>
      <c r="N81" s="18"/>
      <c r="O81" s="18"/>
      <c r="P81" s="18"/>
      <c r="Q81" s="18"/>
      <c r="R81" s="18"/>
    </row>
    <row r="82" spans="1:18" ht="17.100000000000001" customHeight="1" x14ac:dyDescent="0.2">
      <c r="A82" s="240" t="s">
        <v>682</v>
      </c>
      <c r="B82" s="260">
        <v>7</v>
      </c>
      <c r="C82" s="260">
        <v>7</v>
      </c>
      <c r="D82" s="260">
        <v>7</v>
      </c>
      <c r="E82" s="260">
        <v>7</v>
      </c>
      <c r="F82" s="260">
        <v>6.5</v>
      </c>
      <c r="G82" s="258">
        <v>12</v>
      </c>
      <c r="H82" s="259">
        <v>12</v>
      </c>
      <c r="I82" s="226">
        <f>SUM(B82:H82)</f>
        <v>58.5</v>
      </c>
      <c r="J82" s="253" t="s">
        <v>842</v>
      </c>
      <c r="N82" s="18"/>
      <c r="O82" s="18"/>
      <c r="P82" s="18"/>
      <c r="Q82" s="18"/>
      <c r="R82" s="18"/>
    </row>
    <row r="83" spans="1:18" ht="17.100000000000001" customHeight="1" x14ac:dyDescent="0.2">
      <c r="A83" s="4728"/>
      <c r="B83" s="4611" t="s">
        <v>640</v>
      </c>
      <c r="C83" s="4611" t="s">
        <v>640</v>
      </c>
      <c r="D83" s="4611" t="s">
        <v>640</v>
      </c>
      <c r="E83" s="4611" t="s">
        <v>640</v>
      </c>
      <c r="F83" s="4611" t="s">
        <v>640</v>
      </c>
      <c r="G83" s="4784"/>
      <c r="H83" s="4785"/>
      <c r="I83" s="4777"/>
      <c r="J83" s="4732"/>
      <c r="N83" s="18"/>
      <c r="O83" s="18"/>
      <c r="P83" s="18"/>
      <c r="Q83" s="18"/>
      <c r="R83" s="18"/>
    </row>
    <row r="84" spans="1:18" ht="17.100000000000001" customHeight="1" x14ac:dyDescent="0.2">
      <c r="A84" s="240" t="s">
        <v>857</v>
      </c>
      <c r="B84" s="4666"/>
      <c r="C84" s="4666"/>
      <c r="D84" s="4666"/>
      <c r="E84" s="4666"/>
      <c r="F84" s="4666"/>
      <c r="G84" s="227"/>
      <c r="H84" s="257"/>
      <c r="I84" s="226">
        <f>SUM(B84:H84)</f>
        <v>0</v>
      </c>
      <c r="J84" s="253" t="s">
        <v>172</v>
      </c>
      <c r="N84" s="18"/>
      <c r="O84" s="18"/>
      <c r="P84" s="18"/>
      <c r="Q84" s="18"/>
      <c r="R84" s="18"/>
    </row>
    <row r="85" spans="1:18" ht="17.100000000000001" customHeight="1" x14ac:dyDescent="0.2">
      <c r="A85" s="4728"/>
      <c r="B85" s="4774" t="s">
        <v>865</v>
      </c>
      <c r="C85" s="4774" t="s">
        <v>865</v>
      </c>
      <c r="D85" s="4774" t="s">
        <v>865</v>
      </c>
      <c r="E85" s="4774" t="s">
        <v>865</v>
      </c>
      <c r="F85" s="4774" t="s">
        <v>865</v>
      </c>
      <c r="G85" s="4786"/>
      <c r="H85" s="4787"/>
      <c r="I85" s="4777"/>
      <c r="J85" s="4732"/>
      <c r="N85" s="18"/>
      <c r="O85" s="18"/>
      <c r="P85" s="18"/>
      <c r="Q85" s="18"/>
      <c r="R85" s="18"/>
    </row>
    <row r="86" spans="1:18" ht="17.100000000000001" customHeight="1" x14ac:dyDescent="0.2">
      <c r="A86" s="240" t="s">
        <v>692</v>
      </c>
      <c r="B86" s="262">
        <v>7</v>
      </c>
      <c r="C86" s="262">
        <v>7</v>
      </c>
      <c r="D86" s="262">
        <v>7</v>
      </c>
      <c r="E86" s="262">
        <v>7</v>
      </c>
      <c r="F86" s="262">
        <v>7</v>
      </c>
      <c r="G86" s="226"/>
      <c r="H86" s="264"/>
      <c r="I86" s="226">
        <f>SUM(B86:H86)</f>
        <v>35</v>
      </c>
      <c r="J86" s="253" t="s">
        <v>866</v>
      </c>
      <c r="N86" s="18"/>
      <c r="O86" s="18"/>
      <c r="P86" s="18"/>
      <c r="Q86" s="18"/>
      <c r="R86" s="18"/>
    </row>
    <row r="87" spans="1:18" ht="17.100000000000001" customHeight="1" x14ac:dyDescent="0.2">
      <c r="A87" s="4728"/>
      <c r="B87" s="4729" t="s">
        <v>812</v>
      </c>
      <c r="C87" s="4729" t="s">
        <v>812</v>
      </c>
      <c r="D87" s="4729" t="s">
        <v>812</v>
      </c>
      <c r="E87" s="4729" t="s">
        <v>812</v>
      </c>
      <c r="F87" s="4729" t="s">
        <v>812</v>
      </c>
      <c r="G87" s="4730" t="s">
        <v>813</v>
      </c>
      <c r="H87" s="4731" t="s">
        <v>813</v>
      </c>
      <c r="I87" s="4715"/>
      <c r="J87" s="4732"/>
      <c r="N87" s="18"/>
      <c r="O87" s="18"/>
      <c r="P87" s="18"/>
      <c r="Q87" s="18"/>
      <c r="R87" s="18"/>
    </row>
    <row r="88" spans="1:18" ht="17.100000000000001" customHeight="1" x14ac:dyDescent="0.2">
      <c r="A88" s="240" t="s">
        <v>815</v>
      </c>
      <c r="B88" s="238">
        <v>7</v>
      </c>
      <c r="C88" s="238">
        <v>7</v>
      </c>
      <c r="D88" s="238">
        <v>7</v>
      </c>
      <c r="E88" s="238">
        <v>7</v>
      </c>
      <c r="F88" s="238">
        <v>7</v>
      </c>
      <c r="G88" s="254">
        <v>11</v>
      </c>
      <c r="H88" s="255">
        <v>11</v>
      </c>
      <c r="I88" s="226">
        <f>SUM(B88:H88)</f>
        <v>57</v>
      </c>
      <c r="J88" s="253" t="s">
        <v>816</v>
      </c>
      <c r="N88" s="18"/>
      <c r="O88" s="18"/>
      <c r="P88" s="18"/>
      <c r="Q88" s="18"/>
      <c r="R88" s="18"/>
    </row>
    <row r="89" spans="1:18" ht="17.100000000000001" customHeight="1" x14ac:dyDescent="0.2">
      <c r="A89" s="4728"/>
      <c r="B89" s="4611" t="s">
        <v>640</v>
      </c>
      <c r="C89" s="4611" t="s">
        <v>640</v>
      </c>
      <c r="D89" s="4611" t="s">
        <v>640</v>
      </c>
      <c r="E89" s="4611" t="s">
        <v>640</v>
      </c>
      <c r="F89" s="4611" t="s">
        <v>640</v>
      </c>
      <c r="G89" s="4715"/>
      <c r="H89" s="4407"/>
      <c r="I89" s="4715"/>
      <c r="J89" s="4732"/>
      <c r="N89" s="18"/>
      <c r="O89" s="18"/>
      <c r="P89" s="18"/>
      <c r="Q89" s="18"/>
      <c r="R89" s="18"/>
    </row>
    <row r="90" spans="1:18" ht="17.100000000000001" customHeight="1" x14ac:dyDescent="0.2">
      <c r="A90" s="240" t="s">
        <v>828</v>
      </c>
      <c r="B90" s="4615"/>
      <c r="C90" s="4615"/>
      <c r="D90" s="4615"/>
      <c r="E90" s="4615"/>
      <c r="F90" s="4615"/>
      <c r="G90" s="247"/>
      <c r="H90" s="224"/>
      <c r="I90" s="226">
        <f>SUM(B90:H90)</f>
        <v>0</v>
      </c>
      <c r="J90" s="253" t="s">
        <v>825</v>
      </c>
      <c r="N90" s="18"/>
      <c r="O90" s="18"/>
      <c r="P90" s="18"/>
      <c r="Q90" s="18"/>
      <c r="R90" s="18"/>
    </row>
    <row r="91" spans="1:18" ht="17.100000000000001" customHeight="1" x14ac:dyDescent="0.2">
      <c r="A91" s="4728"/>
      <c r="B91" s="4749" t="s">
        <v>845</v>
      </c>
      <c r="C91" s="4749" t="s">
        <v>845</v>
      </c>
      <c r="D91" s="4749" t="s">
        <v>845</v>
      </c>
      <c r="E91" s="4749" t="s">
        <v>845</v>
      </c>
      <c r="F91" s="4749" t="s">
        <v>845</v>
      </c>
      <c r="G91" s="4743" t="s">
        <v>846</v>
      </c>
      <c r="H91" s="4744" t="s">
        <v>839</v>
      </c>
      <c r="I91" s="4740"/>
      <c r="J91" s="4732"/>
      <c r="N91" s="18"/>
      <c r="O91" s="18"/>
      <c r="P91" s="18"/>
      <c r="Q91" s="18"/>
      <c r="R91" s="18"/>
    </row>
    <row r="92" spans="1:18" ht="17.100000000000001" customHeight="1" x14ac:dyDescent="0.2">
      <c r="A92" s="240" t="s">
        <v>849</v>
      </c>
      <c r="B92" s="4752">
        <v>7</v>
      </c>
      <c r="C92" s="4752">
        <v>7</v>
      </c>
      <c r="D92" s="4752">
        <v>7</v>
      </c>
      <c r="E92" s="4752">
        <v>7</v>
      </c>
      <c r="F92" s="4752">
        <v>7</v>
      </c>
      <c r="G92" s="4753">
        <v>9</v>
      </c>
      <c r="H92" s="259">
        <v>12</v>
      </c>
      <c r="I92" s="226">
        <f>SUM(B92:H92)</f>
        <v>56</v>
      </c>
      <c r="J92" s="253" t="s">
        <v>826</v>
      </c>
      <c r="L92" s="36"/>
      <c r="M92" s="36"/>
      <c r="N92" s="36"/>
      <c r="O92" s="18"/>
      <c r="P92" s="18"/>
      <c r="Q92" s="18"/>
      <c r="R92" s="18"/>
    </row>
    <row r="93" spans="1:18" ht="17.100000000000001" customHeight="1" x14ac:dyDescent="0.2">
      <c r="A93" s="4728"/>
      <c r="B93" s="4611" t="s">
        <v>640</v>
      </c>
      <c r="C93" s="4611" t="s">
        <v>640</v>
      </c>
      <c r="D93" s="4611" t="s">
        <v>640</v>
      </c>
      <c r="E93" s="4611" t="s">
        <v>640</v>
      </c>
      <c r="F93" s="4611" t="s">
        <v>640</v>
      </c>
      <c r="G93" s="4715"/>
      <c r="H93" s="4407"/>
      <c r="I93" s="4715"/>
      <c r="J93" s="4732"/>
      <c r="L93" s="37"/>
      <c r="M93" s="37"/>
      <c r="N93" s="37"/>
      <c r="O93" s="18"/>
      <c r="P93" s="18"/>
      <c r="Q93" s="18"/>
      <c r="R93" s="18"/>
    </row>
    <row r="94" spans="1:18" ht="17.100000000000001" customHeight="1" x14ac:dyDescent="0.2">
      <c r="A94" s="33" t="s">
        <v>875</v>
      </c>
      <c r="B94" s="4666"/>
      <c r="C94" s="4666"/>
      <c r="D94" s="4615"/>
      <c r="E94" s="4615"/>
      <c r="F94" s="4615"/>
      <c r="G94" s="4765"/>
      <c r="H94" s="54"/>
      <c r="I94" s="4658">
        <f>SUM(B94:H94)</f>
        <v>0</v>
      </c>
      <c r="J94" s="58" t="s">
        <v>829</v>
      </c>
      <c r="N94" s="18"/>
      <c r="O94" s="18"/>
      <c r="P94" s="18"/>
      <c r="Q94" s="18"/>
      <c r="R94" s="18"/>
    </row>
    <row r="95" spans="1:18" ht="17.100000000000001" customHeight="1" x14ac:dyDescent="0.2">
      <c r="A95" s="4728"/>
      <c r="B95" s="4776" t="s">
        <v>868</v>
      </c>
      <c r="C95" s="4776" t="s">
        <v>868</v>
      </c>
      <c r="D95" s="4776" t="s">
        <v>868</v>
      </c>
      <c r="E95" s="4776" t="s">
        <v>868</v>
      </c>
      <c r="F95" s="4776" t="s">
        <v>868</v>
      </c>
      <c r="G95" s="4606"/>
      <c r="H95" s="4775"/>
      <c r="I95" s="4406"/>
      <c r="J95" s="4732"/>
      <c r="N95" s="59"/>
      <c r="O95" s="59"/>
      <c r="P95" s="18"/>
      <c r="Q95" s="18"/>
      <c r="R95" s="18"/>
    </row>
    <row r="96" spans="1:18" ht="17.100000000000001" customHeight="1" x14ac:dyDescent="0.2">
      <c r="A96" s="244" t="s">
        <v>693</v>
      </c>
      <c r="B96" s="263">
        <v>7.5</v>
      </c>
      <c r="C96" s="263">
        <v>7.5</v>
      </c>
      <c r="D96" s="263">
        <v>7.5</v>
      </c>
      <c r="E96" s="263">
        <v>7.5</v>
      </c>
      <c r="F96" s="263">
        <v>7.5</v>
      </c>
      <c r="G96" s="226"/>
      <c r="H96" s="264"/>
      <c r="I96" s="233">
        <f>SUM(B96:H96)</f>
        <v>37.5</v>
      </c>
      <c r="J96" s="267" t="s">
        <v>869</v>
      </c>
      <c r="L96" s="59"/>
      <c r="M96" s="59"/>
      <c r="N96" s="18"/>
      <c r="O96" s="18"/>
      <c r="P96" s="59"/>
      <c r="Q96" s="18"/>
      <c r="R96" s="18"/>
    </row>
    <row r="97" spans="1:19" ht="17.100000000000001" customHeight="1" x14ac:dyDescent="0.2">
      <c r="A97" s="4728"/>
      <c r="B97" s="4737" t="s">
        <v>818</v>
      </c>
      <c r="C97" s="4737" t="s">
        <v>818</v>
      </c>
      <c r="D97" s="4737" t="s">
        <v>818</v>
      </c>
      <c r="E97" s="4737" t="s">
        <v>818</v>
      </c>
      <c r="F97" s="4737" t="s">
        <v>818</v>
      </c>
      <c r="G97" s="4731" t="s">
        <v>819</v>
      </c>
      <c r="H97" s="4731" t="s">
        <v>819</v>
      </c>
      <c r="I97" s="4715"/>
      <c r="J97" s="4732"/>
      <c r="L97" s="18"/>
      <c r="M97" s="18"/>
      <c r="N97" s="18"/>
      <c r="O97" s="18"/>
      <c r="P97" s="18"/>
      <c r="Q97" s="18"/>
      <c r="R97" s="18"/>
    </row>
    <row r="98" spans="1:19" ht="17.100000000000001" customHeight="1" x14ac:dyDescent="0.2">
      <c r="A98" s="240" t="s">
        <v>820</v>
      </c>
      <c r="B98" s="256">
        <v>8</v>
      </c>
      <c r="C98" s="256">
        <v>8</v>
      </c>
      <c r="D98" s="256">
        <v>8</v>
      </c>
      <c r="E98" s="256">
        <v>8</v>
      </c>
      <c r="F98" s="256">
        <v>8</v>
      </c>
      <c r="G98" s="254">
        <v>12</v>
      </c>
      <c r="H98" s="254">
        <v>12</v>
      </c>
      <c r="I98" s="226">
        <f>SUM(B98:H98)</f>
        <v>64</v>
      </c>
      <c r="J98" s="253" t="s">
        <v>821</v>
      </c>
      <c r="N98" s="18"/>
      <c r="O98" s="18"/>
      <c r="P98" s="18"/>
      <c r="Q98" s="18"/>
      <c r="R98" s="18"/>
    </row>
    <row r="99" spans="1:19" ht="17.100000000000001" customHeight="1" x14ac:dyDescent="0.2">
      <c r="A99" s="4713"/>
      <c r="B99" s="4611" t="s">
        <v>640</v>
      </c>
      <c r="C99" s="4611" t="s">
        <v>640</v>
      </c>
      <c r="D99" s="4611" t="s">
        <v>640</v>
      </c>
      <c r="E99" s="4611" t="s">
        <v>640</v>
      </c>
      <c r="F99" s="4611" t="s">
        <v>640</v>
      </c>
      <c r="G99" s="4743" t="s">
        <v>830</v>
      </c>
      <c r="H99" s="4744" t="s">
        <v>831</v>
      </c>
      <c r="I99" s="4715"/>
      <c r="J99" s="4745"/>
      <c r="N99" s="18"/>
      <c r="O99" s="18"/>
      <c r="P99" s="18"/>
      <c r="Q99" s="18"/>
      <c r="R99" s="18"/>
    </row>
    <row r="100" spans="1:19" ht="17.100000000000001" customHeight="1" x14ac:dyDescent="0.2">
      <c r="A100" s="240" t="s">
        <v>834</v>
      </c>
      <c r="B100" s="4615"/>
      <c r="C100" s="4615"/>
      <c r="D100" s="4615"/>
      <c r="E100" s="4615"/>
      <c r="F100" s="4615"/>
      <c r="G100" s="258">
        <v>12.25</v>
      </c>
      <c r="H100" s="259">
        <v>12.25</v>
      </c>
      <c r="I100" s="226">
        <f>SUM(B100:H100)</f>
        <v>24.5</v>
      </c>
      <c r="J100" s="253" t="s">
        <v>835</v>
      </c>
      <c r="N100" s="18"/>
      <c r="O100" s="18"/>
      <c r="P100" s="18"/>
      <c r="Q100" s="18"/>
      <c r="R100" s="18"/>
    </row>
    <row r="101" spans="1:19" ht="17.100000000000001" customHeight="1" x14ac:dyDescent="0.2">
      <c r="A101" s="4728"/>
      <c r="B101" s="4757" t="s">
        <v>852</v>
      </c>
      <c r="C101" s="4757" t="s">
        <v>852</v>
      </c>
      <c r="D101" s="4757" t="s">
        <v>852</v>
      </c>
      <c r="E101" s="4757" t="s">
        <v>852</v>
      </c>
      <c r="F101" s="4757" t="s">
        <v>852</v>
      </c>
      <c r="G101" s="4606"/>
      <c r="H101" s="4775"/>
      <c r="I101" s="4715"/>
      <c r="J101" s="4732"/>
      <c r="N101" s="18"/>
      <c r="O101" s="18"/>
      <c r="P101" s="18"/>
      <c r="Q101" s="18"/>
      <c r="R101" s="18"/>
    </row>
    <row r="102" spans="1:19" ht="17.100000000000001" customHeight="1" x14ac:dyDescent="0.2">
      <c r="A102" s="240" t="s">
        <v>854</v>
      </c>
      <c r="B102" s="4760">
        <v>8</v>
      </c>
      <c r="C102" s="4760">
        <v>8</v>
      </c>
      <c r="D102" s="4760">
        <v>8</v>
      </c>
      <c r="E102" s="4760">
        <v>8</v>
      </c>
      <c r="F102" s="4760">
        <v>8</v>
      </c>
      <c r="G102" s="226"/>
      <c r="H102" s="264"/>
      <c r="I102" s="226">
        <f>SUM(B102:H102)</f>
        <v>40</v>
      </c>
      <c r="J102" s="253" t="s">
        <v>843</v>
      </c>
      <c r="N102" s="18"/>
      <c r="O102" s="18"/>
      <c r="P102" s="18"/>
      <c r="Q102" s="18"/>
      <c r="R102" s="18"/>
    </row>
    <row r="103" spans="1:19" ht="17.100000000000001" customHeight="1" x14ac:dyDescent="0.2">
      <c r="A103" s="4728" t="s">
        <v>0</v>
      </c>
      <c r="B103" s="4768" t="s">
        <v>817</v>
      </c>
      <c r="C103" s="4768" t="s">
        <v>817</v>
      </c>
      <c r="D103" s="4768" t="s">
        <v>817</v>
      </c>
      <c r="E103" s="4768" t="s">
        <v>817</v>
      </c>
      <c r="F103" s="4768" t="s">
        <v>817</v>
      </c>
      <c r="G103" s="4769"/>
      <c r="H103" s="4407"/>
      <c r="I103" s="4715"/>
      <c r="J103" s="4732" t="s">
        <v>0</v>
      </c>
      <c r="N103" s="18"/>
      <c r="O103" s="18"/>
      <c r="P103" s="18"/>
      <c r="Q103" s="18"/>
      <c r="R103" s="18"/>
    </row>
    <row r="104" spans="1:19" ht="17.100000000000001" customHeight="1" x14ac:dyDescent="0.2">
      <c r="A104" s="39" t="s">
        <v>862</v>
      </c>
      <c r="B104" s="268">
        <v>8</v>
      </c>
      <c r="C104" s="268">
        <v>8</v>
      </c>
      <c r="D104" s="268">
        <v>8</v>
      </c>
      <c r="E104" s="268">
        <v>8</v>
      </c>
      <c r="F104" s="268">
        <v>8</v>
      </c>
      <c r="G104" s="4765"/>
      <c r="H104" s="54"/>
      <c r="I104" s="4658">
        <f>SUM(B104:H104)</f>
        <v>40</v>
      </c>
      <c r="J104" s="55" t="s">
        <v>863</v>
      </c>
      <c r="N104" s="18"/>
      <c r="O104" s="18"/>
      <c r="P104" s="18"/>
      <c r="Q104" s="18"/>
      <c r="R104" s="18"/>
    </row>
    <row r="105" spans="1:19" ht="17.100000000000001" customHeight="1" x14ac:dyDescent="0.2">
      <c r="A105" s="4728"/>
      <c r="B105" s="4781" t="s">
        <v>871</v>
      </c>
      <c r="C105" s="4782" t="s">
        <v>871</v>
      </c>
      <c r="D105" s="4782" t="s">
        <v>871</v>
      </c>
      <c r="E105" s="4782" t="s">
        <v>871</v>
      </c>
      <c r="F105" s="4782" t="s">
        <v>871</v>
      </c>
      <c r="G105" s="4606"/>
      <c r="H105" s="4775"/>
      <c r="I105" s="4783"/>
      <c r="J105" s="4732"/>
      <c r="N105" s="18"/>
      <c r="O105" s="18"/>
      <c r="P105" s="18"/>
      <c r="Q105" s="18"/>
      <c r="R105" s="18"/>
    </row>
    <row r="106" spans="1:19" ht="17.100000000000001" customHeight="1" x14ac:dyDescent="0.2">
      <c r="A106" s="240" t="s">
        <v>694</v>
      </c>
      <c r="B106" s="266">
        <v>8</v>
      </c>
      <c r="C106" s="266">
        <v>8</v>
      </c>
      <c r="D106" s="266">
        <v>8</v>
      </c>
      <c r="E106" s="266">
        <v>8</v>
      </c>
      <c r="F106" s="266">
        <v>8</v>
      </c>
      <c r="G106" s="226"/>
      <c r="H106" s="226"/>
      <c r="I106" s="265">
        <f>SUM(B106:H106)</f>
        <v>40</v>
      </c>
      <c r="J106" s="253" t="s">
        <v>872</v>
      </c>
      <c r="N106" s="18"/>
      <c r="O106" s="18"/>
      <c r="P106" s="18"/>
      <c r="Q106" s="18"/>
      <c r="R106" s="18"/>
    </row>
    <row r="107" spans="1:19" ht="17.850000000000001" customHeight="1" x14ac:dyDescent="0.2">
      <c r="A107" s="46" t="s">
        <v>652</v>
      </c>
      <c r="B107" s="62">
        <f t="shared" ref="B107:I107" si="3">SUM(B78,B80,B82,B84,B86,B88,B90,B92,B94,B96,B98,B100,B102,B104,B106)</f>
        <v>75.75</v>
      </c>
      <c r="C107" s="62">
        <f t="shared" si="3"/>
        <v>75.75</v>
      </c>
      <c r="D107" s="62">
        <f t="shared" si="3"/>
        <v>75.75</v>
      </c>
      <c r="E107" s="62">
        <f t="shared" si="3"/>
        <v>75.75</v>
      </c>
      <c r="F107" s="62">
        <f t="shared" si="3"/>
        <v>75.25</v>
      </c>
      <c r="G107" s="62">
        <f t="shared" si="3"/>
        <v>68.5</v>
      </c>
      <c r="H107" s="62">
        <f t="shared" si="3"/>
        <v>71.5</v>
      </c>
      <c r="I107" s="62">
        <f t="shared" si="3"/>
        <v>518.25</v>
      </c>
      <c r="J107" s="48"/>
      <c r="N107" s="18"/>
      <c r="O107" s="18"/>
      <c r="P107" s="18"/>
      <c r="Q107" s="18"/>
      <c r="R107" s="18"/>
    </row>
    <row r="108" spans="1:19" ht="17.850000000000001" customHeight="1" x14ac:dyDescent="0.2">
      <c r="A108" s="18"/>
      <c r="B108" s="18"/>
      <c r="C108" s="18"/>
      <c r="D108" s="18"/>
      <c r="E108" s="18"/>
      <c r="F108" s="18"/>
      <c r="G108" s="4690" t="s">
        <v>768</v>
      </c>
      <c r="H108" s="4690" t="s">
        <v>769</v>
      </c>
      <c r="I108" s="4690" t="s">
        <v>770</v>
      </c>
      <c r="N108" s="18"/>
      <c r="O108" s="18"/>
      <c r="P108" s="18"/>
      <c r="Q108" s="18"/>
      <c r="R108" s="18"/>
    </row>
    <row r="109" spans="1:19" ht="17.850000000000001" customHeight="1" x14ac:dyDescent="0.2">
      <c r="A109" s="59"/>
      <c r="B109" s="59"/>
      <c r="C109" s="59"/>
      <c r="D109" s="59"/>
      <c r="E109" s="59"/>
      <c r="F109" s="18"/>
      <c r="G109" s="4663">
        <f>I107</f>
        <v>518.25</v>
      </c>
      <c r="H109" s="4691">
        <f>SUM(G109*13/3)</f>
        <v>2245.75</v>
      </c>
      <c r="I109" s="4663">
        <f>SUM(H109*12)</f>
        <v>26949</v>
      </c>
      <c r="N109" s="18"/>
      <c r="O109" s="18"/>
      <c r="P109" s="18"/>
      <c r="Q109" s="18"/>
      <c r="R109" s="18"/>
    </row>
    <row r="110" spans="1:19" ht="17.850000000000001" customHeight="1" x14ac:dyDescent="0.2">
      <c r="A110" s="80"/>
      <c r="B110" s="80"/>
      <c r="C110" s="80"/>
      <c r="D110" s="80"/>
      <c r="E110" s="80"/>
      <c r="F110" s="18"/>
      <c r="G110" s="18"/>
      <c r="H110" s="45"/>
      <c r="I110" s="18"/>
      <c r="N110" s="18"/>
      <c r="O110" s="18"/>
      <c r="P110" s="18"/>
      <c r="Q110" s="18"/>
      <c r="R110" s="18"/>
    </row>
    <row r="111" spans="1:19" ht="17.100000000000001" customHeight="1" x14ac:dyDescent="0.2">
      <c r="A111" s="1" t="s">
        <v>876</v>
      </c>
      <c r="B111" s="18"/>
      <c r="C111" s="18"/>
      <c r="D111" s="18"/>
      <c r="E111" s="18"/>
      <c r="F111" s="18"/>
      <c r="L111" s="18"/>
      <c r="M111" s="59"/>
      <c r="N111" s="59"/>
      <c r="O111" s="59"/>
      <c r="P111" s="59"/>
      <c r="Q111" s="59"/>
      <c r="R111" s="59"/>
      <c r="S111" s="81"/>
    </row>
    <row r="112" spans="1:19" ht="17.100000000000001" customHeight="1" x14ac:dyDescent="0.2">
      <c r="A112" s="4628" t="s">
        <v>877</v>
      </c>
      <c r="B112" s="4629" t="s">
        <v>107</v>
      </c>
      <c r="C112" s="4630" t="s">
        <v>108</v>
      </c>
      <c r="D112" s="4630" t="s">
        <v>109</v>
      </c>
      <c r="E112" s="4630" t="s">
        <v>110</v>
      </c>
      <c r="F112" s="4630" t="s">
        <v>111</v>
      </c>
      <c r="G112" s="4630" t="s">
        <v>112</v>
      </c>
      <c r="H112" s="4631" t="s">
        <v>113</v>
      </c>
      <c r="I112" s="4632" t="s">
        <v>158</v>
      </c>
      <c r="J112" s="4633" t="s">
        <v>114</v>
      </c>
      <c r="L112" s="59"/>
      <c r="M112" s="18"/>
      <c r="N112" s="18"/>
      <c r="O112" s="18"/>
      <c r="P112" s="18"/>
      <c r="Q112" s="18"/>
      <c r="R112" s="18"/>
      <c r="S112" s="82"/>
    </row>
    <row r="113" spans="1:20" ht="17.100000000000001" customHeight="1" x14ac:dyDescent="0.2">
      <c r="A113" s="4616" t="s">
        <v>0</v>
      </c>
      <c r="B113" s="4" t="s">
        <v>878</v>
      </c>
      <c r="C113" s="4" t="s">
        <v>878</v>
      </c>
      <c r="D113" s="4" t="s">
        <v>878</v>
      </c>
      <c r="E113" s="4" t="s">
        <v>878</v>
      </c>
      <c r="F113" s="4" t="s">
        <v>879</v>
      </c>
      <c r="G113" s="4604"/>
      <c r="H113" s="4428"/>
      <c r="I113" s="4426"/>
      <c r="J113" s="4613" t="s">
        <v>880</v>
      </c>
      <c r="L113" s="18"/>
      <c r="M113" s="36"/>
      <c r="N113" s="36"/>
      <c r="O113" s="36"/>
      <c r="P113" s="36"/>
      <c r="Q113" s="36"/>
      <c r="R113" s="81"/>
      <c r="S113" s="81"/>
    </row>
    <row r="114" spans="1:20" ht="17.100000000000001" customHeight="1" x14ac:dyDescent="0.2">
      <c r="A114" s="223" t="s">
        <v>737</v>
      </c>
      <c r="B114" s="226">
        <v>7.75</v>
      </c>
      <c r="C114" s="226">
        <v>7.75</v>
      </c>
      <c r="D114" s="226">
        <v>7.75</v>
      </c>
      <c r="E114" s="226">
        <v>7.75</v>
      </c>
      <c r="F114" s="226">
        <v>6</v>
      </c>
      <c r="G114" s="228"/>
      <c r="H114" s="229"/>
      <c r="I114" s="233">
        <f>SUM(B114:H114)</f>
        <v>37</v>
      </c>
      <c r="J114" s="234" t="s">
        <v>881</v>
      </c>
      <c r="L114" s="59"/>
      <c r="M114" s="37"/>
      <c r="N114" s="37"/>
      <c r="O114" s="37"/>
      <c r="P114" s="37"/>
      <c r="Q114" s="37"/>
      <c r="R114" s="82"/>
      <c r="S114" s="82"/>
    </row>
    <row r="115" spans="1:20" ht="17.100000000000001" customHeight="1" x14ac:dyDescent="0.2">
      <c r="A115" s="4628" t="s">
        <v>764</v>
      </c>
      <c r="B115" s="4629" t="s">
        <v>107</v>
      </c>
      <c r="C115" s="4630" t="s">
        <v>108</v>
      </c>
      <c r="D115" s="4630" t="s">
        <v>109</v>
      </c>
      <c r="E115" s="4630" t="s">
        <v>110</v>
      </c>
      <c r="F115" s="4630" t="s">
        <v>111</v>
      </c>
      <c r="G115" s="4630" t="s">
        <v>112</v>
      </c>
      <c r="H115" s="4631" t="s">
        <v>113</v>
      </c>
      <c r="I115" s="4632" t="s">
        <v>158</v>
      </c>
      <c r="J115" s="4633" t="s">
        <v>114</v>
      </c>
      <c r="L115" s="59"/>
      <c r="M115" s="37"/>
      <c r="N115" s="37"/>
      <c r="O115" s="37"/>
      <c r="P115" s="37"/>
      <c r="Q115" s="37"/>
      <c r="R115" s="82"/>
      <c r="S115" s="82"/>
    </row>
    <row r="116" spans="1:20" ht="17.100000000000001" customHeight="1" x14ac:dyDescent="0.2">
      <c r="A116" s="4616" t="s">
        <v>0</v>
      </c>
      <c r="B116" s="4" t="s">
        <v>882</v>
      </c>
      <c r="C116" s="4" t="s">
        <v>882</v>
      </c>
      <c r="D116" s="4" t="s">
        <v>882</v>
      </c>
      <c r="E116" s="4" t="s">
        <v>882</v>
      </c>
      <c r="F116" s="4" t="s">
        <v>883</v>
      </c>
      <c r="G116" s="4604"/>
      <c r="H116" s="4428"/>
      <c r="I116" s="4426"/>
      <c r="J116" s="4613" t="s">
        <v>880</v>
      </c>
      <c r="L116" s="59"/>
      <c r="M116" s="37"/>
      <c r="N116" s="37"/>
      <c r="O116" s="37"/>
      <c r="P116" s="37"/>
      <c r="Q116" s="37"/>
      <c r="R116" s="82"/>
      <c r="S116" s="82"/>
    </row>
    <row r="117" spans="1:20" ht="17.100000000000001" customHeight="1" x14ac:dyDescent="0.2">
      <c r="A117" s="223" t="s">
        <v>884</v>
      </c>
      <c r="B117" s="226">
        <v>7.75</v>
      </c>
      <c r="C117" s="226">
        <v>7.75</v>
      </c>
      <c r="D117" s="226">
        <v>7.75</v>
      </c>
      <c r="E117" s="226">
        <v>7.75</v>
      </c>
      <c r="F117" s="226">
        <v>6</v>
      </c>
      <c r="G117" s="228"/>
      <c r="H117" s="229"/>
      <c r="I117" s="233">
        <f>SUM(B117:H117)</f>
        <v>37</v>
      </c>
      <c r="J117" s="234" t="s">
        <v>881</v>
      </c>
      <c r="L117" s="59"/>
      <c r="M117" s="37"/>
      <c r="N117" s="37"/>
      <c r="O117" s="37"/>
      <c r="P117" s="37"/>
      <c r="Q117" s="37"/>
      <c r="R117" s="82"/>
      <c r="S117" s="82"/>
    </row>
    <row r="118" spans="1:20" ht="17.100000000000001" customHeight="1" x14ac:dyDescent="0.2">
      <c r="A118" s="59"/>
      <c r="B118" s="18"/>
      <c r="C118" s="18"/>
      <c r="D118" s="18"/>
      <c r="E118" s="18"/>
      <c r="F118" s="37"/>
      <c r="G118" s="4690" t="s">
        <v>768</v>
      </c>
      <c r="H118" s="4690" t="s">
        <v>769</v>
      </c>
      <c r="I118" s="4690" t="s">
        <v>770</v>
      </c>
      <c r="J118" s="19"/>
      <c r="L118" s="18"/>
      <c r="M118" s="36"/>
      <c r="N118" s="36"/>
      <c r="O118" s="36"/>
      <c r="P118" s="36"/>
      <c r="Q118" s="36"/>
      <c r="R118" s="81"/>
      <c r="S118" s="81"/>
    </row>
    <row r="119" spans="1:20" ht="17.100000000000001" customHeight="1" x14ac:dyDescent="0.2">
      <c r="A119" s="59"/>
      <c r="B119" s="18"/>
      <c r="C119" s="18"/>
      <c r="D119" s="18"/>
      <c r="E119" s="18"/>
      <c r="F119" s="37"/>
      <c r="G119" s="4663">
        <f>SUM(I114,I117)</f>
        <v>74</v>
      </c>
      <c r="H119" s="4691">
        <f>SUM(G119*13/3)</f>
        <v>320.66666666666669</v>
      </c>
      <c r="I119" s="4663">
        <f>SUM(H119*12)</f>
        <v>3848</v>
      </c>
      <c r="J119" s="19"/>
      <c r="M119" s="37"/>
      <c r="N119" s="37"/>
      <c r="O119" s="37"/>
      <c r="P119" s="37"/>
      <c r="Q119" s="37"/>
      <c r="R119" s="82"/>
      <c r="S119" s="82"/>
    </row>
    <row r="120" spans="1:20" ht="17.100000000000001" customHeight="1" x14ac:dyDescent="0.2">
      <c r="A120" s="1" t="s">
        <v>885</v>
      </c>
      <c r="B120" s="18"/>
      <c r="C120" s="18"/>
      <c r="D120" s="18"/>
      <c r="E120" s="18"/>
      <c r="F120" s="18"/>
    </row>
    <row r="121" spans="1:20" ht="17.100000000000001" customHeight="1" x14ac:dyDescent="0.2">
      <c r="A121" s="4628" t="s">
        <v>886</v>
      </c>
      <c r="B121" s="4629" t="s">
        <v>107</v>
      </c>
      <c r="C121" s="4630" t="s">
        <v>108</v>
      </c>
      <c r="D121" s="4630" t="s">
        <v>109</v>
      </c>
      <c r="E121" s="4630" t="s">
        <v>110</v>
      </c>
      <c r="F121" s="4630" t="s">
        <v>111</v>
      </c>
      <c r="G121" s="4630" t="s">
        <v>112</v>
      </c>
      <c r="H121" s="4631" t="s">
        <v>113</v>
      </c>
      <c r="I121" s="4632" t="s">
        <v>158</v>
      </c>
      <c r="J121" s="4633" t="s">
        <v>114</v>
      </c>
    </row>
    <row r="122" spans="1:20" ht="17.100000000000001" customHeight="1" x14ac:dyDescent="0.2">
      <c r="A122" s="4616" t="s">
        <v>0</v>
      </c>
      <c r="B122" s="4" t="s">
        <v>887</v>
      </c>
      <c r="C122" s="4" t="s">
        <v>887</v>
      </c>
      <c r="D122" s="4" t="s">
        <v>887</v>
      </c>
      <c r="E122" s="4" t="s">
        <v>887</v>
      </c>
      <c r="F122" s="4" t="s">
        <v>888</v>
      </c>
      <c r="G122" s="4604"/>
      <c r="H122" s="4428"/>
      <c r="I122" s="4426"/>
      <c r="J122" s="4613"/>
    </row>
    <row r="123" spans="1:20" ht="17.100000000000001" customHeight="1" x14ac:dyDescent="0.2">
      <c r="A123" s="223" t="s">
        <v>739</v>
      </c>
      <c r="B123" s="226">
        <v>8</v>
      </c>
      <c r="C123" s="226">
        <v>8</v>
      </c>
      <c r="D123" s="226">
        <v>8</v>
      </c>
      <c r="E123" s="226">
        <v>8</v>
      </c>
      <c r="F123" s="226">
        <v>5</v>
      </c>
      <c r="G123" s="228"/>
      <c r="H123" s="229"/>
      <c r="I123" s="233">
        <f>SUM(B123:H123)</f>
        <v>37</v>
      </c>
      <c r="J123" s="234"/>
      <c r="L123" s="59"/>
      <c r="M123" s="59"/>
      <c r="N123" s="59"/>
      <c r="O123" s="59"/>
      <c r="P123" s="59"/>
    </row>
    <row r="124" spans="1:20" ht="17.100000000000001" customHeight="1" x14ac:dyDescent="0.2">
      <c r="A124" s="59"/>
      <c r="B124" s="18"/>
      <c r="C124" s="18"/>
      <c r="D124" s="18"/>
      <c r="E124" s="18"/>
      <c r="F124" s="37"/>
      <c r="G124" s="4690" t="s">
        <v>768</v>
      </c>
      <c r="H124" s="4690" t="s">
        <v>769</v>
      </c>
      <c r="I124" s="4690" t="s">
        <v>770</v>
      </c>
      <c r="J124" s="19"/>
      <c r="L124" s="18"/>
      <c r="M124" s="18"/>
      <c r="N124" s="18"/>
      <c r="O124" s="18"/>
      <c r="P124" s="18"/>
    </row>
    <row r="125" spans="1:20" ht="17.100000000000001" customHeight="1" x14ac:dyDescent="0.2">
      <c r="A125" s="59"/>
      <c r="B125" s="18"/>
      <c r="C125" s="18"/>
      <c r="D125" s="18"/>
      <c r="E125" s="18"/>
      <c r="F125" s="37"/>
      <c r="G125" s="4663">
        <f>I123</f>
        <v>37</v>
      </c>
      <c r="H125" s="4691">
        <f>SUM(G125*13/3)</f>
        <v>160.33333333333334</v>
      </c>
      <c r="I125" s="4663">
        <f>SUM(H125*12)</f>
        <v>1924</v>
      </c>
      <c r="J125" s="19"/>
      <c r="L125" s="59"/>
      <c r="M125" s="59"/>
      <c r="N125" s="59"/>
      <c r="O125" s="59"/>
      <c r="P125" s="59"/>
    </row>
    <row r="126" spans="1:20" ht="17.100000000000001" customHeight="1" x14ac:dyDescent="0.2">
      <c r="A126" s="1" t="s">
        <v>889</v>
      </c>
      <c r="B126" s="18"/>
      <c r="C126" s="18"/>
      <c r="D126" s="18"/>
      <c r="E126" s="18"/>
      <c r="F126" s="18"/>
    </row>
    <row r="127" spans="1:20" ht="17.100000000000001" customHeight="1" x14ac:dyDescent="0.2">
      <c r="A127" s="4422" t="s">
        <v>743</v>
      </c>
      <c r="B127" s="4606" t="s">
        <v>107</v>
      </c>
      <c r="C127" s="4607" t="s">
        <v>108</v>
      </c>
      <c r="D127" s="4607" t="s">
        <v>109</v>
      </c>
      <c r="E127" s="4607" t="s">
        <v>110</v>
      </c>
      <c r="F127" s="4607" t="s">
        <v>111</v>
      </c>
      <c r="G127" s="4607" t="s">
        <v>112</v>
      </c>
      <c r="H127" s="4608" t="s">
        <v>113</v>
      </c>
      <c r="I127" s="4406" t="s">
        <v>158</v>
      </c>
      <c r="J127" s="4609" t="s">
        <v>114</v>
      </c>
      <c r="M127" s="4405"/>
      <c r="N127" s="4408" t="s">
        <v>774</v>
      </c>
      <c r="O127">
        <v>37</v>
      </c>
      <c r="P127" t="s">
        <v>890</v>
      </c>
      <c r="Q127">
        <v>2</v>
      </c>
      <c r="R127" t="s">
        <v>891</v>
      </c>
      <c r="S127">
        <f>O127*Q127</f>
        <v>74</v>
      </c>
      <c r="T127" t="s">
        <v>892</v>
      </c>
    </row>
    <row r="128" spans="1:20" ht="17.100000000000001" customHeight="1" x14ac:dyDescent="0.2">
      <c r="A128" s="4610" t="s">
        <v>708</v>
      </c>
      <c r="B128" s="4611" t="s">
        <v>893</v>
      </c>
      <c r="C128" s="4611" t="s">
        <v>893</v>
      </c>
      <c r="D128" s="4611" t="s">
        <v>893</v>
      </c>
      <c r="E128" s="4611" t="s">
        <v>893</v>
      </c>
      <c r="F128" s="4788" t="s">
        <v>894</v>
      </c>
      <c r="G128" s="4604"/>
      <c r="H128" s="4604"/>
      <c r="I128" s="4611"/>
      <c r="J128" s="4613" t="s">
        <v>895</v>
      </c>
      <c r="M128" s="4696"/>
      <c r="N128" s="4697" t="s">
        <v>776</v>
      </c>
      <c r="O128" t="s">
        <v>0</v>
      </c>
    </row>
    <row r="129" spans="1:22" ht="17.100000000000001" customHeight="1" x14ac:dyDescent="0.2">
      <c r="A129" s="4789"/>
      <c r="B129" s="4666">
        <v>0</v>
      </c>
      <c r="C129" s="4666">
        <v>0</v>
      </c>
      <c r="D129" s="4666">
        <v>0</v>
      </c>
      <c r="E129" s="4666">
        <v>0</v>
      </c>
      <c r="F129" s="4790">
        <v>0</v>
      </c>
      <c r="G129" s="4791"/>
      <c r="H129" s="4791"/>
      <c r="I129" s="4666">
        <f>SUM(B129:H129)</f>
        <v>0</v>
      </c>
      <c r="J129" s="4792"/>
      <c r="M129" s="4696" t="s">
        <v>159</v>
      </c>
      <c r="N129" s="4697">
        <v>0</v>
      </c>
      <c r="O129" t="s">
        <v>896</v>
      </c>
      <c r="Q129">
        <f>I131</f>
        <v>0</v>
      </c>
    </row>
    <row r="130" spans="1:22" ht="17.100000000000001" customHeight="1" x14ac:dyDescent="0.2">
      <c r="A130" s="4610" t="s">
        <v>712</v>
      </c>
      <c r="B130" s="4611" t="s">
        <v>897</v>
      </c>
      <c r="C130" s="4611" t="s">
        <v>897</v>
      </c>
      <c r="D130" s="4611" t="s">
        <v>897</v>
      </c>
      <c r="E130" s="4611" t="s">
        <v>897</v>
      </c>
      <c r="F130" s="4611" t="s">
        <v>898</v>
      </c>
      <c r="G130" s="4793"/>
      <c r="H130" s="4793"/>
      <c r="I130" s="4611"/>
      <c r="J130" s="4613" t="s">
        <v>899</v>
      </c>
      <c r="M130" s="4696" t="s">
        <v>163</v>
      </c>
      <c r="N130" s="4697">
        <f>I131</f>
        <v>0</v>
      </c>
    </row>
    <row r="131" spans="1:22" ht="17.100000000000001" customHeight="1" x14ac:dyDescent="0.2">
      <c r="A131" s="4794"/>
      <c r="B131" s="4615">
        <v>0</v>
      </c>
      <c r="C131" s="4615">
        <v>0</v>
      </c>
      <c r="D131" s="4615">
        <v>0</v>
      </c>
      <c r="E131" s="4615">
        <v>0</v>
      </c>
      <c r="F131" s="4615">
        <v>0</v>
      </c>
      <c r="G131" s="4671"/>
      <c r="H131" s="4671"/>
      <c r="I131" s="4615">
        <f>SUM(B131:H131)</f>
        <v>0</v>
      </c>
      <c r="J131" s="4673"/>
      <c r="M131" s="4696" t="s">
        <v>170</v>
      </c>
      <c r="N131" s="4697">
        <v>0</v>
      </c>
      <c r="O131">
        <f>Q129</f>
        <v>0</v>
      </c>
      <c r="P131" t="s">
        <v>900</v>
      </c>
      <c r="Q131" s="42">
        <f>SUM(O131/37)</f>
        <v>0</v>
      </c>
    </row>
    <row r="132" spans="1:22" ht="17.100000000000001" customHeight="1" x14ac:dyDescent="0.2">
      <c r="A132" s="46" t="s">
        <v>652</v>
      </c>
      <c r="B132" s="46">
        <f t="shared" ref="B132:I132" si="4">SUM(B129,B131)</f>
        <v>0</v>
      </c>
      <c r="C132" s="46">
        <f t="shared" si="4"/>
        <v>0</v>
      </c>
      <c r="D132" s="46">
        <f t="shared" si="4"/>
        <v>0</v>
      </c>
      <c r="E132" s="46">
        <f t="shared" si="4"/>
        <v>0</v>
      </c>
      <c r="F132" s="46">
        <f t="shared" si="4"/>
        <v>0</v>
      </c>
      <c r="G132" s="46">
        <f t="shared" si="4"/>
        <v>0</v>
      </c>
      <c r="H132" s="46">
        <f t="shared" si="4"/>
        <v>0</v>
      </c>
      <c r="I132" s="46">
        <f t="shared" si="4"/>
        <v>0</v>
      </c>
      <c r="J132" s="48"/>
      <c r="O132" t="s">
        <v>901</v>
      </c>
      <c r="Q132" s="42"/>
    </row>
    <row r="133" spans="1:22" ht="17.100000000000001" customHeight="1" x14ac:dyDescent="0.2">
      <c r="A133" s="18"/>
      <c r="B133" s="18"/>
      <c r="C133" s="18"/>
      <c r="D133" s="18"/>
      <c r="E133" s="18"/>
      <c r="F133" s="18"/>
      <c r="G133" s="4690" t="s">
        <v>768</v>
      </c>
      <c r="H133" s="4690" t="s">
        <v>769</v>
      </c>
      <c r="I133" s="4690" t="s">
        <v>770</v>
      </c>
      <c r="Q133" s="42"/>
      <c r="V133" s="83"/>
    </row>
    <row r="134" spans="1:22" ht="17.100000000000001" customHeight="1" x14ac:dyDescent="0.2">
      <c r="A134" s="18"/>
      <c r="B134" s="18"/>
      <c r="C134" s="18"/>
      <c r="D134" s="18"/>
      <c r="E134" s="18"/>
      <c r="F134" s="18"/>
      <c r="G134" s="4663">
        <f>I132</f>
        <v>0</v>
      </c>
      <c r="H134" s="4691">
        <f>SUM(G134*13/3)</f>
        <v>0</v>
      </c>
      <c r="I134" s="4663">
        <f>SUM(H134*12)</f>
        <v>0</v>
      </c>
      <c r="O134" t="s">
        <v>902</v>
      </c>
      <c r="Q134" s="42"/>
    </row>
    <row r="135" spans="1:22" ht="17.100000000000001" customHeight="1" x14ac:dyDescent="0.2">
      <c r="A135" s="18"/>
      <c r="B135" s="18"/>
      <c r="C135" s="18"/>
      <c r="D135" s="18"/>
      <c r="E135" s="18"/>
      <c r="F135" s="18"/>
      <c r="G135" s="18"/>
      <c r="H135" s="45"/>
      <c r="I135" s="18"/>
      <c r="O135" t="s">
        <v>903</v>
      </c>
      <c r="Q135" s="72"/>
      <c r="S135" s="42"/>
      <c r="U135" s="84"/>
    </row>
    <row r="136" spans="1:22" ht="18" customHeight="1" x14ac:dyDescent="0.2">
      <c r="A136" s="1" t="s">
        <v>724</v>
      </c>
      <c r="B136" s="18"/>
      <c r="C136" s="18"/>
      <c r="D136" s="18"/>
      <c r="E136" s="18"/>
      <c r="F136" s="18"/>
    </row>
    <row r="137" spans="1:22" ht="18" customHeight="1" x14ac:dyDescent="0.2">
      <c r="A137" s="4628" t="s">
        <v>725</v>
      </c>
      <c r="B137" s="4629" t="s">
        <v>107</v>
      </c>
      <c r="C137" s="4630" t="s">
        <v>108</v>
      </c>
      <c r="D137" s="4630" t="s">
        <v>109</v>
      </c>
      <c r="E137" s="4630" t="s">
        <v>110</v>
      </c>
      <c r="F137" s="4630" t="s">
        <v>111</v>
      </c>
      <c r="G137" s="4630" t="s">
        <v>112</v>
      </c>
      <c r="H137" s="4631" t="s">
        <v>113</v>
      </c>
      <c r="I137" s="4632" t="s">
        <v>158</v>
      </c>
      <c r="J137" s="4633" t="s">
        <v>114</v>
      </c>
      <c r="M137" s="4405"/>
      <c r="N137" s="4408" t="s">
        <v>774</v>
      </c>
      <c r="O137" t="s">
        <v>904</v>
      </c>
    </row>
    <row r="138" spans="1:22" ht="18" customHeight="1" x14ac:dyDescent="0.2">
      <c r="A138" s="4616" t="s">
        <v>726</v>
      </c>
      <c r="B138" s="4426" t="s">
        <v>710</v>
      </c>
      <c r="C138" s="4426" t="s">
        <v>710</v>
      </c>
      <c r="D138" s="4426" t="s">
        <v>710</v>
      </c>
      <c r="E138" s="4426" t="s">
        <v>710</v>
      </c>
      <c r="F138" s="4426" t="s">
        <v>698</v>
      </c>
      <c r="G138" s="4604"/>
      <c r="H138" s="4428"/>
      <c r="I138" s="4426"/>
      <c r="J138" s="4613"/>
      <c r="M138" s="4696"/>
      <c r="N138" s="4697" t="s">
        <v>776</v>
      </c>
      <c r="O138" t="s">
        <v>0</v>
      </c>
    </row>
    <row r="139" spans="1:22" ht="18" customHeight="1" x14ac:dyDescent="0.2">
      <c r="A139" s="246"/>
      <c r="B139" s="226">
        <v>7.5</v>
      </c>
      <c r="C139" s="226">
        <v>7.5</v>
      </c>
      <c r="D139" s="226">
        <v>7.5</v>
      </c>
      <c r="E139" s="226">
        <v>7.5</v>
      </c>
      <c r="F139" s="227">
        <v>7</v>
      </c>
      <c r="G139" s="228"/>
      <c r="H139" s="229"/>
      <c r="I139" s="233">
        <f>SUM(B139:H139)</f>
        <v>37</v>
      </c>
      <c r="J139" s="234"/>
      <c r="M139" s="4696" t="s">
        <v>159</v>
      </c>
      <c r="N139" s="4697">
        <v>0</v>
      </c>
      <c r="O139" t="s">
        <v>905</v>
      </c>
    </row>
    <row r="140" spans="1:22" ht="18" customHeight="1" x14ac:dyDescent="0.2">
      <c r="A140" s="4662" t="s">
        <v>727</v>
      </c>
      <c r="B140" s="4611" t="s">
        <v>906</v>
      </c>
      <c r="C140" s="4611" t="s">
        <v>906</v>
      </c>
      <c r="D140" s="4611" t="s">
        <v>906</v>
      </c>
      <c r="E140" s="4611" t="s">
        <v>906</v>
      </c>
      <c r="F140" s="4611" t="s">
        <v>907</v>
      </c>
      <c r="G140" s="6"/>
      <c r="H140" s="7"/>
      <c r="I140" s="34"/>
      <c r="J140" s="12"/>
      <c r="M140" s="4696" t="s">
        <v>163</v>
      </c>
      <c r="N140" s="4697">
        <v>34</v>
      </c>
    </row>
    <row r="141" spans="1:22" ht="18" customHeight="1" x14ac:dyDescent="0.2">
      <c r="A141" s="35"/>
      <c r="B141" s="4663">
        <v>7</v>
      </c>
      <c r="C141" s="4663">
        <v>7</v>
      </c>
      <c r="D141" s="4663">
        <v>7</v>
      </c>
      <c r="E141" s="4663">
        <v>7</v>
      </c>
      <c r="F141" s="4659">
        <v>6</v>
      </c>
      <c r="G141" s="4660"/>
      <c r="H141" s="36"/>
      <c r="I141" s="233">
        <f>SUM(B141:H141)</f>
        <v>34</v>
      </c>
      <c r="J141" s="4643"/>
      <c r="M141" s="4696" t="s">
        <v>170</v>
      </c>
      <c r="N141" s="4697">
        <v>0</v>
      </c>
      <c r="O141" t="s">
        <v>908</v>
      </c>
    </row>
    <row r="142" spans="1:22" ht="18" customHeight="1" x14ac:dyDescent="0.2">
      <c r="A142" s="4610" t="s">
        <v>729</v>
      </c>
      <c r="B142" s="4426" t="s">
        <v>730</v>
      </c>
      <c r="C142" s="4426" t="s">
        <v>730</v>
      </c>
      <c r="D142" s="4426" t="s">
        <v>730</v>
      </c>
      <c r="E142" s="4426" t="s">
        <v>730</v>
      </c>
      <c r="F142" s="4426" t="s">
        <v>731</v>
      </c>
      <c r="G142" s="4426"/>
      <c r="H142" s="4426"/>
      <c r="I142" s="4426"/>
      <c r="J142" s="4613"/>
      <c r="M142" s="4706" t="s">
        <v>786</v>
      </c>
      <c r="N142" s="4707">
        <f>SUM(N139:N141)</f>
        <v>34</v>
      </c>
    </row>
    <row r="143" spans="1:22" ht="18" customHeight="1" x14ac:dyDescent="0.2">
      <c r="A143" s="223"/>
      <c r="B143" s="226" t="s">
        <v>909</v>
      </c>
      <c r="C143" s="226" t="s">
        <v>909</v>
      </c>
      <c r="D143" s="226" t="s">
        <v>909</v>
      </c>
      <c r="E143" s="226" t="s">
        <v>909</v>
      </c>
      <c r="F143" s="226" t="s">
        <v>909</v>
      </c>
      <c r="G143" s="227"/>
      <c r="H143" s="232"/>
      <c r="I143" s="233">
        <f>SUM(B143:H143)</f>
        <v>0</v>
      </c>
      <c r="J143" s="234"/>
      <c r="O143" t="s">
        <v>910</v>
      </c>
    </row>
    <row r="144" spans="1:22" ht="18" customHeight="1" x14ac:dyDescent="0.2">
      <c r="A144" s="4626" t="s">
        <v>652</v>
      </c>
      <c r="B144" s="4626">
        <f t="shared" ref="B144:I144" si="5">SUM(B139,B141,B143)</f>
        <v>14.5</v>
      </c>
      <c r="C144" s="4626">
        <f t="shared" si="5"/>
        <v>14.5</v>
      </c>
      <c r="D144" s="4626">
        <f t="shared" si="5"/>
        <v>14.5</v>
      </c>
      <c r="E144" s="4626">
        <f t="shared" si="5"/>
        <v>14.5</v>
      </c>
      <c r="F144" s="4626">
        <f t="shared" si="5"/>
        <v>13</v>
      </c>
      <c r="G144" s="4626">
        <f t="shared" si="5"/>
        <v>0</v>
      </c>
      <c r="H144" s="4626">
        <f t="shared" si="5"/>
        <v>0</v>
      </c>
      <c r="I144" s="4635">
        <f t="shared" si="5"/>
        <v>71</v>
      </c>
      <c r="J144" s="4636"/>
    </row>
    <row r="145" spans="1:20" ht="18" customHeight="1" x14ac:dyDescent="0.2">
      <c r="A145" s="18"/>
      <c r="B145" s="18"/>
      <c r="C145" s="18"/>
      <c r="D145" s="18"/>
      <c r="E145" s="18"/>
      <c r="F145" s="37"/>
      <c r="G145" s="4690" t="s">
        <v>768</v>
      </c>
      <c r="H145" s="4690" t="s">
        <v>769</v>
      </c>
      <c r="I145" s="4690" t="s">
        <v>770</v>
      </c>
      <c r="J145" s="19"/>
      <c r="O145" t="s">
        <v>911</v>
      </c>
      <c r="P145" s="18"/>
      <c r="T145" t="s">
        <v>801</v>
      </c>
    </row>
    <row r="146" spans="1:20" ht="18" customHeight="1" x14ac:dyDescent="0.2">
      <c r="A146" s="18"/>
      <c r="B146" s="18"/>
      <c r="C146" s="18"/>
      <c r="D146" s="18"/>
      <c r="E146" s="18"/>
      <c r="F146" s="18"/>
      <c r="G146" s="4663">
        <f>I144</f>
        <v>71</v>
      </c>
      <c r="H146" s="4691">
        <f>SUM(G146*13/3)</f>
        <v>307.66666666666669</v>
      </c>
      <c r="I146" s="4663">
        <f>SUM(H146*12)</f>
        <v>3692</v>
      </c>
      <c r="J146" s="19"/>
    </row>
    <row r="147" spans="1:20" ht="18" customHeight="1" x14ac:dyDescent="0.2">
      <c r="A147" s="18"/>
      <c r="B147" s="18"/>
      <c r="C147" s="18"/>
      <c r="D147" s="18"/>
      <c r="E147" s="18"/>
      <c r="F147" s="18"/>
      <c r="G147" s="18"/>
      <c r="H147" s="45"/>
      <c r="I147" s="18"/>
      <c r="J147" s="19"/>
      <c r="O147" t="s">
        <v>912</v>
      </c>
    </row>
    <row r="148" spans="1:20" ht="18" customHeight="1" x14ac:dyDescent="0.2">
      <c r="A148" s="64" t="s">
        <v>913</v>
      </c>
      <c r="B148" s="18"/>
      <c r="C148" s="18"/>
      <c r="D148" s="18"/>
      <c r="E148" s="18"/>
      <c r="F148" s="37"/>
      <c r="G148" s="37"/>
      <c r="H148" s="37"/>
      <c r="I148" s="18"/>
      <c r="J148" s="19"/>
      <c r="N148" s="18"/>
    </row>
    <row r="149" spans="1:20" ht="18" customHeight="1" x14ac:dyDescent="0.2">
      <c r="A149" s="4628" t="s">
        <v>746</v>
      </c>
      <c r="B149" s="4629" t="s">
        <v>107</v>
      </c>
      <c r="C149" s="4630" t="s">
        <v>108</v>
      </c>
      <c r="D149" s="4630" t="s">
        <v>109</v>
      </c>
      <c r="E149" s="4630" t="s">
        <v>110</v>
      </c>
      <c r="F149" s="4630" t="s">
        <v>111</v>
      </c>
      <c r="G149" s="4630" t="s">
        <v>112</v>
      </c>
      <c r="H149" s="4631" t="s">
        <v>113</v>
      </c>
      <c r="I149" s="4632" t="s">
        <v>158</v>
      </c>
      <c r="J149" s="4633" t="s">
        <v>114</v>
      </c>
      <c r="N149" s="18"/>
    </row>
    <row r="150" spans="1:20" ht="18" customHeight="1" x14ac:dyDescent="0.2">
      <c r="A150" s="4610" t="s">
        <v>0</v>
      </c>
      <c r="B150" s="4611" t="s">
        <v>283</v>
      </c>
      <c r="C150" s="4611" t="s">
        <v>283</v>
      </c>
      <c r="D150" s="4611" t="s">
        <v>283</v>
      </c>
      <c r="E150" s="4611" t="s">
        <v>283</v>
      </c>
      <c r="F150" s="4612" t="s">
        <v>284</v>
      </c>
      <c r="G150" s="4603"/>
      <c r="H150" s="4427" t="s">
        <v>0</v>
      </c>
      <c r="I150" s="4418"/>
      <c r="J150" s="4613" t="s">
        <v>0</v>
      </c>
      <c r="N150" s="18"/>
    </row>
    <row r="151" spans="1:20" ht="18" customHeight="1" x14ac:dyDescent="0.2">
      <c r="A151" s="4795">
        <v>1</v>
      </c>
      <c r="B151" s="4615">
        <v>7.75</v>
      </c>
      <c r="C151" s="4615">
        <v>7.75</v>
      </c>
      <c r="D151" s="4615">
        <v>7.75</v>
      </c>
      <c r="E151" s="4615">
        <v>7.75</v>
      </c>
      <c r="F151" s="4671">
        <v>6</v>
      </c>
      <c r="G151" s="226"/>
      <c r="H151" s="264" t="s">
        <v>0</v>
      </c>
      <c r="I151" s="4615">
        <f>SUM(B151:H151)</f>
        <v>37</v>
      </c>
      <c r="J151" s="234"/>
      <c r="N151" s="18"/>
    </row>
    <row r="152" spans="1:20" ht="18" customHeight="1" x14ac:dyDescent="0.2">
      <c r="A152" s="40" t="s">
        <v>0</v>
      </c>
      <c r="B152" s="4611" t="s">
        <v>283</v>
      </c>
      <c r="C152" s="4611" t="s">
        <v>283</v>
      </c>
      <c r="D152" s="4611" t="s">
        <v>283</v>
      </c>
      <c r="E152" s="4611" t="s">
        <v>283</v>
      </c>
      <c r="F152" s="4612" t="s">
        <v>284</v>
      </c>
      <c r="G152" s="4423"/>
      <c r="H152" s="5"/>
      <c r="I152" s="13"/>
      <c r="J152" s="12"/>
      <c r="N152" s="18"/>
    </row>
    <row r="153" spans="1:20" ht="18" customHeight="1" x14ac:dyDescent="0.2">
      <c r="A153" s="4795">
        <v>2</v>
      </c>
      <c r="B153" s="4615">
        <v>7.75</v>
      </c>
      <c r="C153" s="4615">
        <v>7.75</v>
      </c>
      <c r="D153" s="4615">
        <v>7.75</v>
      </c>
      <c r="E153" s="4615">
        <v>7.75</v>
      </c>
      <c r="F153" s="4671">
        <v>6</v>
      </c>
      <c r="G153" s="227"/>
      <c r="H153" s="4671"/>
      <c r="I153" s="4615">
        <f>SUM(B153:H153)</f>
        <v>37</v>
      </c>
      <c r="J153" s="4673"/>
      <c r="N153" s="18"/>
    </row>
    <row r="154" spans="1:20" ht="18" customHeight="1" x14ac:dyDescent="0.2">
      <c r="A154" s="4610"/>
      <c r="B154" s="4611" t="s">
        <v>283</v>
      </c>
      <c r="C154" s="4611" t="s">
        <v>283</v>
      </c>
      <c r="D154" s="4611" t="s">
        <v>283</v>
      </c>
      <c r="E154" s="4611" t="s">
        <v>283</v>
      </c>
      <c r="F154" s="4612" t="s">
        <v>284</v>
      </c>
      <c r="G154" s="4426"/>
      <c r="H154" s="4612"/>
      <c r="I154" s="4418"/>
      <c r="J154" s="4613"/>
      <c r="N154" s="18"/>
    </row>
    <row r="155" spans="1:20" ht="18" customHeight="1" x14ac:dyDescent="0.2">
      <c r="A155" s="4795">
        <v>3</v>
      </c>
      <c r="B155" s="4615">
        <v>7.75</v>
      </c>
      <c r="C155" s="4615">
        <v>7.75</v>
      </c>
      <c r="D155" s="4615">
        <v>7.75</v>
      </c>
      <c r="E155" s="4615">
        <v>7.75</v>
      </c>
      <c r="F155" s="4671">
        <v>6</v>
      </c>
      <c r="G155" s="226"/>
      <c r="H155" s="4671"/>
      <c r="I155" s="4615">
        <f>SUM(B155:H155)</f>
        <v>37</v>
      </c>
      <c r="J155" s="234"/>
    </row>
    <row r="156" spans="1:20" ht="18" customHeight="1" x14ac:dyDescent="0.2">
      <c r="A156" s="85"/>
      <c r="B156" s="4611" t="s">
        <v>283</v>
      </c>
      <c r="C156" s="4611" t="s">
        <v>283</v>
      </c>
      <c r="D156" s="4611" t="s">
        <v>283</v>
      </c>
      <c r="E156" s="4611" t="s">
        <v>283</v>
      </c>
      <c r="F156" s="4612" t="s">
        <v>284</v>
      </c>
      <c r="G156" s="5"/>
      <c r="H156" s="5"/>
      <c r="I156" s="8"/>
      <c r="J156" s="12"/>
      <c r="P156" s="18"/>
    </row>
    <row r="157" spans="1:20" ht="18" customHeight="1" x14ac:dyDescent="0.2">
      <c r="A157" s="4795">
        <v>4</v>
      </c>
      <c r="B157" s="4615">
        <v>7.75</v>
      </c>
      <c r="C157" s="4615">
        <v>7.75</v>
      </c>
      <c r="D157" s="4615">
        <v>7.75</v>
      </c>
      <c r="E157" s="4615">
        <v>7.75</v>
      </c>
      <c r="F157" s="4671">
        <v>6</v>
      </c>
      <c r="G157" s="4671"/>
      <c r="H157" s="4671"/>
      <c r="I157" s="4615">
        <f>SUM(B157:H157)</f>
        <v>37</v>
      </c>
      <c r="J157" s="234"/>
      <c r="P157" s="18"/>
    </row>
    <row r="158" spans="1:20" ht="18" customHeight="1" x14ac:dyDescent="0.2">
      <c r="A158" s="4796"/>
      <c r="B158" s="4611" t="s">
        <v>283</v>
      </c>
      <c r="C158" s="4611" t="s">
        <v>283</v>
      </c>
      <c r="D158" s="4611" t="s">
        <v>283</v>
      </c>
      <c r="E158" s="4611" t="s">
        <v>283</v>
      </c>
      <c r="F158" s="4612" t="s">
        <v>284</v>
      </c>
      <c r="G158" s="4738"/>
      <c r="H158" s="4738"/>
      <c r="I158" s="4797"/>
      <c r="J158" s="4798"/>
      <c r="P158" s="18"/>
    </row>
    <row r="159" spans="1:20" ht="18" customHeight="1" x14ac:dyDescent="0.2">
      <c r="A159" s="4795">
        <v>5</v>
      </c>
      <c r="B159" s="4615">
        <v>7.75</v>
      </c>
      <c r="C159" s="4615">
        <v>7.75</v>
      </c>
      <c r="D159" s="4615">
        <v>7.75</v>
      </c>
      <c r="E159" s="4615">
        <v>7.75</v>
      </c>
      <c r="F159" s="4671">
        <v>6</v>
      </c>
      <c r="G159" s="227"/>
      <c r="H159" s="227"/>
      <c r="I159" s="4615">
        <f>SUM(B159:H159)</f>
        <v>37</v>
      </c>
      <c r="J159" s="234"/>
    </row>
    <row r="160" spans="1:20" ht="18" customHeight="1" x14ac:dyDescent="0.2">
      <c r="A160" s="40"/>
      <c r="B160" s="4611" t="s">
        <v>283</v>
      </c>
      <c r="C160" s="4611" t="s">
        <v>283</v>
      </c>
      <c r="D160" s="4611" t="s">
        <v>283</v>
      </c>
      <c r="E160" s="4611" t="s">
        <v>283</v>
      </c>
      <c r="F160" s="4612" t="s">
        <v>284</v>
      </c>
      <c r="G160" s="5"/>
      <c r="H160" s="5"/>
      <c r="I160" s="8"/>
      <c r="J160" s="12"/>
    </row>
    <row r="161" spans="1:20" ht="18" customHeight="1" x14ac:dyDescent="0.2">
      <c r="A161" s="4795">
        <v>6</v>
      </c>
      <c r="B161" s="4615">
        <v>7.75</v>
      </c>
      <c r="C161" s="4615">
        <v>7.75</v>
      </c>
      <c r="D161" s="4615">
        <v>7.75</v>
      </c>
      <c r="E161" s="4615">
        <v>7.75</v>
      </c>
      <c r="F161" s="4671">
        <v>6</v>
      </c>
      <c r="G161" s="4671"/>
      <c r="H161" s="4671"/>
      <c r="I161" s="4615">
        <f>SUM(B161:H161)</f>
        <v>37</v>
      </c>
      <c r="J161" s="234"/>
    </row>
    <row r="162" spans="1:20" ht="18" customHeight="1" x14ac:dyDescent="0.2">
      <c r="A162" s="4626" t="s">
        <v>652</v>
      </c>
      <c r="B162" s="4626">
        <f t="shared" ref="B162:H162" si="6">SUM(B151,B153,B155,B157,B159,B161)</f>
        <v>46.5</v>
      </c>
      <c r="C162" s="4626">
        <f t="shared" si="6"/>
        <v>46.5</v>
      </c>
      <c r="D162" s="4626">
        <f t="shared" si="6"/>
        <v>46.5</v>
      </c>
      <c r="E162" s="4626">
        <f t="shared" si="6"/>
        <v>46.5</v>
      </c>
      <c r="F162" s="4626">
        <f t="shared" si="6"/>
        <v>36</v>
      </c>
      <c r="G162" s="4626">
        <f t="shared" si="6"/>
        <v>0</v>
      </c>
      <c r="H162" s="4626">
        <f t="shared" si="6"/>
        <v>0</v>
      </c>
      <c r="I162" s="4635">
        <f>SUM(I151,I153,I155,I157,I161)</f>
        <v>185</v>
      </c>
      <c r="J162" s="4636"/>
      <c r="M162" s="18"/>
      <c r="N162" s="18"/>
    </row>
    <row r="163" spans="1:20" ht="18" customHeight="1" x14ac:dyDescent="0.2">
      <c r="A163" s="64"/>
      <c r="B163" s="18"/>
      <c r="C163" s="18"/>
      <c r="D163" s="18"/>
      <c r="E163" s="18"/>
      <c r="F163" s="37"/>
      <c r="G163" s="4690" t="s">
        <v>768</v>
      </c>
      <c r="H163" s="4690" t="s">
        <v>769</v>
      </c>
      <c r="I163" s="4690" t="s">
        <v>770</v>
      </c>
      <c r="J163" s="19"/>
      <c r="M163" s="18"/>
      <c r="N163" s="18"/>
    </row>
    <row r="164" spans="1:20" ht="18" customHeight="1" x14ac:dyDescent="0.2">
      <c r="A164" s="64"/>
      <c r="B164" s="18"/>
      <c r="C164" s="18"/>
      <c r="D164" s="18"/>
      <c r="E164" s="18"/>
      <c r="F164" s="37"/>
      <c r="G164" s="4663">
        <f>I162</f>
        <v>185</v>
      </c>
      <c r="H164" s="4691">
        <f>SUM(G164*13/3)</f>
        <v>801.66666666666663</v>
      </c>
      <c r="I164" s="4663">
        <f>SUM(H164*12)</f>
        <v>9620</v>
      </c>
      <c r="J164" s="19"/>
      <c r="M164" s="18"/>
      <c r="N164" s="18"/>
    </row>
    <row r="165" spans="1:20" ht="18" customHeight="1" x14ac:dyDescent="0.2">
      <c r="A165" s="59"/>
      <c r="B165" s="18"/>
      <c r="C165" s="18"/>
      <c r="D165" s="18"/>
      <c r="E165" s="18"/>
      <c r="F165" s="37"/>
      <c r="G165" s="18"/>
      <c r="H165" s="45"/>
      <c r="I165" s="18"/>
      <c r="J165" s="19"/>
      <c r="M165" s="18"/>
      <c r="N165" s="18"/>
    </row>
    <row r="166" spans="1:20" ht="17.100000000000001" customHeight="1" x14ac:dyDescent="0.2">
      <c r="A166" s="150" t="s">
        <v>914</v>
      </c>
      <c r="B166" s="18"/>
      <c r="C166" s="18"/>
      <c r="D166" s="18"/>
      <c r="E166" s="18"/>
      <c r="F166" s="18"/>
      <c r="O166">
        <v>37</v>
      </c>
      <c r="P166" t="s">
        <v>890</v>
      </c>
      <c r="Q166">
        <v>4</v>
      </c>
      <c r="R166" t="s">
        <v>891</v>
      </c>
      <c r="S166">
        <f>O166*Q166</f>
        <v>148</v>
      </c>
      <c r="T166" t="s">
        <v>892</v>
      </c>
    </row>
    <row r="167" spans="1:20" ht="17.100000000000001" customHeight="1" x14ac:dyDescent="0.2">
      <c r="A167" s="4713" t="s">
        <v>915</v>
      </c>
      <c r="B167" s="4606" t="s">
        <v>107</v>
      </c>
      <c r="C167" s="4607" t="s">
        <v>108</v>
      </c>
      <c r="D167" s="4607" t="s">
        <v>109</v>
      </c>
      <c r="E167" s="4607" t="s">
        <v>110</v>
      </c>
      <c r="F167" s="4607" t="s">
        <v>111</v>
      </c>
      <c r="G167" s="4607" t="s">
        <v>112</v>
      </c>
      <c r="H167" s="4608" t="s">
        <v>113</v>
      </c>
      <c r="I167" s="4406" t="s">
        <v>158</v>
      </c>
      <c r="J167" s="4609" t="s">
        <v>114</v>
      </c>
      <c r="M167" s="4405"/>
      <c r="N167" s="4408" t="s">
        <v>774</v>
      </c>
      <c r="O167" t="s">
        <v>0</v>
      </c>
    </row>
    <row r="168" spans="1:20" ht="17.100000000000001" customHeight="1" x14ac:dyDescent="0.2">
      <c r="A168" s="4799"/>
      <c r="B168" s="4604" t="s">
        <v>916</v>
      </c>
      <c r="C168" s="4604" t="s">
        <v>917</v>
      </c>
      <c r="D168" s="4604" t="s">
        <v>917</v>
      </c>
      <c r="E168" s="4604" t="s">
        <v>918</v>
      </c>
      <c r="F168" s="4604" t="s">
        <v>919</v>
      </c>
      <c r="G168" s="4604"/>
      <c r="H168" s="4604"/>
      <c r="I168" s="4698"/>
      <c r="J168" s="4613"/>
      <c r="M168" s="4696"/>
      <c r="N168" s="4697" t="s">
        <v>776</v>
      </c>
      <c r="O168" t="s">
        <v>896</v>
      </c>
      <c r="Q168">
        <f>N174</f>
        <v>105.25</v>
      </c>
    </row>
    <row r="169" spans="1:20" ht="17.100000000000001" customHeight="1" x14ac:dyDescent="0.2">
      <c r="A169" s="269">
        <v>1</v>
      </c>
      <c r="B169" s="4671">
        <v>8.5</v>
      </c>
      <c r="C169" s="4671">
        <v>8.5</v>
      </c>
      <c r="D169" s="4671">
        <v>8.5</v>
      </c>
      <c r="E169" s="4671">
        <v>0</v>
      </c>
      <c r="F169" s="4671">
        <v>0</v>
      </c>
      <c r="G169" s="4671"/>
      <c r="H169" s="4671"/>
      <c r="I169" s="4671">
        <v>37</v>
      </c>
      <c r="J169" s="234"/>
      <c r="M169" s="4696" t="s">
        <v>159</v>
      </c>
      <c r="N169" s="4697">
        <v>37</v>
      </c>
    </row>
    <row r="170" spans="1:20" ht="17.100000000000001" customHeight="1" x14ac:dyDescent="0.2">
      <c r="A170" s="4799"/>
      <c r="B170" s="4604" t="s">
        <v>920</v>
      </c>
      <c r="C170" s="4604" t="s">
        <v>920</v>
      </c>
      <c r="D170" s="4604" t="s">
        <v>920</v>
      </c>
      <c r="E170" s="4604" t="s">
        <v>920</v>
      </c>
      <c r="F170" s="4604" t="s">
        <v>921</v>
      </c>
      <c r="G170" s="4604" t="s">
        <v>922</v>
      </c>
      <c r="H170" s="4604" t="s">
        <v>922</v>
      </c>
      <c r="I170" s="4698"/>
      <c r="J170" s="4613"/>
      <c r="M170" s="4696" t="s">
        <v>163</v>
      </c>
      <c r="N170" s="4697">
        <v>68.25</v>
      </c>
      <c r="O170">
        <f>Q168</f>
        <v>105.25</v>
      </c>
      <c r="P170" t="s">
        <v>900</v>
      </c>
      <c r="Q170" s="42">
        <f>SUM(O170/37)</f>
        <v>2.8445945945945947</v>
      </c>
    </row>
    <row r="171" spans="1:20" ht="17.100000000000001" customHeight="1" x14ac:dyDescent="0.2">
      <c r="A171" s="269">
        <v>2</v>
      </c>
      <c r="B171" s="4671">
        <v>9.25</v>
      </c>
      <c r="C171" s="4671">
        <v>9.25</v>
      </c>
      <c r="D171" s="4671">
        <v>9.25</v>
      </c>
      <c r="E171" s="4671">
        <v>9.25</v>
      </c>
      <c r="F171" s="4671">
        <v>10.25</v>
      </c>
      <c r="G171" s="4671">
        <v>10.5</v>
      </c>
      <c r="H171" s="4671">
        <v>10.5</v>
      </c>
      <c r="I171" s="4671">
        <f>SUM(B171:H171)</f>
        <v>68.25</v>
      </c>
      <c r="J171" s="234"/>
      <c r="M171" s="4696" t="s">
        <v>170</v>
      </c>
      <c r="N171" s="4697">
        <f>I173</f>
        <v>0</v>
      </c>
    </row>
    <row r="172" spans="1:20" ht="17.100000000000001" customHeight="1" x14ac:dyDescent="0.2">
      <c r="A172" s="4799"/>
      <c r="B172" s="4612" t="s">
        <v>171</v>
      </c>
      <c r="C172" s="4612" t="s">
        <v>171</v>
      </c>
      <c r="D172" s="4612" t="s">
        <v>171</v>
      </c>
      <c r="E172" s="4612" t="s">
        <v>171</v>
      </c>
      <c r="F172" s="4612" t="s">
        <v>171</v>
      </c>
      <c r="G172" s="4612"/>
      <c r="H172" s="4612"/>
      <c r="I172" s="4698"/>
      <c r="J172" s="4613"/>
      <c r="M172" s="4696" t="s">
        <v>172</v>
      </c>
      <c r="N172" s="4697"/>
      <c r="O172" s="42">
        <f>Q170</f>
        <v>2.8445945945945947</v>
      </c>
      <c r="P172" t="s">
        <v>923</v>
      </c>
      <c r="S172" s="86">
        <f>SUM(O172*3)</f>
        <v>8.5337837837837842</v>
      </c>
      <c r="T172" t="s">
        <v>924</v>
      </c>
    </row>
    <row r="173" spans="1:20" ht="17.100000000000001" customHeight="1" x14ac:dyDescent="0.2">
      <c r="A173" s="269">
        <v>3</v>
      </c>
      <c r="B173" s="4671">
        <v>0</v>
      </c>
      <c r="C173" s="4671">
        <v>0</v>
      </c>
      <c r="D173" s="4671">
        <v>0</v>
      </c>
      <c r="E173" s="4671">
        <v>0</v>
      </c>
      <c r="F173" s="4671">
        <v>0</v>
      </c>
      <c r="G173" s="4671"/>
      <c r="H173" s="4671"/>
      <c r="I173" s="4671">
        <f>SUM(B173:H173)</f>
        <v>0</v>
      </c>
      <c r="J173" s="234"/>
      <c r="M173" s="4800" t="s">
        <v>0</v>
      </c>
      <c r="N173" s="4801">
        <f>I177</f>
        <v>0</v>
      </c>
    </row>
    <row r="174" spans="1:20" ht="17.100000000000001" customHeight="1" x14ac:dyDescent="0.2">
      <c r="A174" s="4799"/>
      <c r="B174" s="4604"/>
      <c r="C174" s="4604"/>
      <c r="D174" s="4604"/>
      <c r="E174" s="4604"/>
      <c r="F174" s="4604"/>
      <c r="G174" s="4612"/>
      <c r="H174" s="4612"/>
      <c r="I174" s="4698"/>
      <c r="J174" s="4613"/>
      <c r="M174" s="4706" t="s">
        <v>786</v>
      </c>
      <c r="N174" s="4707">
        <f>SUM(N169:N173)</f>
        <v>105.25</v>
      </c>
      <c r="O174" t="s">
        <v>0</v>
      </c>
      <c r="P174" s="69"/>
      <c r="Q174" s="69" t="s">
        <v>925</v>
      </c>
      <c r="S174" s="42">
        <f>S166-S172</f>
        <v>139.46621621621622</v>
      </c>
      <c r="T174" t="s">
        <v>926</v>
      </c>
    </row>
    <row r="175" spans="1:20" ht="17.100000000000001" customHeight="1" x14ac:dyDescent="0.2">
      <c r="A175" s="269">
        <v>4</v>
      </c>
      <c r="B175" s="4671"/>
      <c r="C175" s="4671"/>
      <c r="D175" s="4671"/>
      <c r="E175" s="4671"/>
      <c r="F175" s="4671"/>
      <c r="G175" s="4671"/>
      <c r="H175" s="4671"/>
      <c r="I175" s="4671"/>
      <c r="J175" s="234"/>
      <c r="S175" s="42"/>
    </row>
    <row r="176" spans="1:20" ht="17.100000000000001" customHeight="1" x14ac:dyDescent="0.2">
      <c r="A176" s="4799"/>
      <c r="B176" s="4604"/>
      <c r="C176" s="4604"/>
      <c r="D176" s="4604"/>
      <c r="E176" s="4612"/>
      <c r="F176" s="4612"/>
      <c r="G176" s="4612"/>
      <c r="H176" s="4612"/>
      <c r="I176" s="4698"/>
      <c r="J176" s="4613"/>
      <c r="S176" s="42"/>
    </row>
    <row r="177" spans="1:22" ht="17.100000000000001" customHeight="1" x14ac:dyDescent="0.2">
      <c r="A177" s="269"/>
      <c r="B177" s="4671"/>
      <c r="C177" s="4671"/>
      <c r="D177" s="4671"/>
      <c r="E177" s="4671"/>
      <c r="F177" s="4671"/>
      <c r="G177" s="4671"/>
      <c r="H177" s="4671"/>
      <c r="I177" s="4671"/>
      <c r="J177" s="234"/>
      <c r="S177" s="42"/>
    </row>
    <row r="178" spans="1:22" ht="17.100000000000001" customHeight="1" x14ac:dyDescent="0.2">
      <c r="A178" s="4799"/>
      <c r="B178" s="4612"/>
      <c r="C178" s="4612"/>
      <c r="D178" s="4612"/>
      <c r="E178" s="4612"/>
      <c r="F178" s="4612"/>
      <c r="G178" s="4612"/>
      <c r="H178" s="4612"/>
      <c r="I178" s="4698"/>
      <c r="J178" s="4613"/>
      <c r="S178" s="42"/>
    </row>
    <row r="179" spans="1:22" ht="17.100000000000001" customHeight="1" x14ac:dyDescent="0.2">
      <c r="A179" s="269"/>
      <c r="B179" s="4671"/>
      <c r="C179" s="4671"/>
      <c r="D179" s="4671"/>
      <c r="E179" s="4671"/>
      <c r="F179" s="4671"/>
      <c r="G179" s="4671"/>
      <c r="H179" s="4671"/>
      <c r="I179" s="4671"/>
      <c r="J179" s="234"/>
      <c r="S179" s="42"/>
    </row>
    <row r="180" spans="1:22" ht="17.100000000000001" customHeight="1" x14ac:dyDescent="0.2">
      <c r="A180" s="4799"/>
      <c r="B180" s="4604"/>
      <c r="C180" s="4604"/>
      <c r="D180" s="4604"/>
      <c r="E180" s="4604"/>
      <c r="F180" s="4604"/>
      <c r="G180" s="4612"/>
      <c r="H180" s="4612"/>
      <c r="I180" s="4698"/>
      <c r="J180" s="4613" t="s">
        <v>0</v>
      </c>
      <c r="S180" s="42"/>
    </row>
    <row r="181" spans="1:22" ht="17.100000000000001" customHeight="1" x14ac:dyDescent="0.2">
      <c r="A181" s="269" t="s">
        <v>0</v>
      </c>
      <c r="B181" s="4671"/>
      <c r="C181" s="4671"/>
      <c r="D181" s="4671"/>
      <c r="E181" s="4671"/>
      <c r="F181" s="4671"/>
      <c r="G181" s="4671"/>
      <c r="H181" s="4671"/>
      <c r="I181" s="4671">
        <f>SUM(B181:H181)</f>
        <v>0</v>
      </c>
      <c r="J181" s="234"/>
      <c r="S181" s="42"/>
    </row>
    <row r="182" spans="1:22" ht="17.100000000000001" customHeight="1" x14ac:dyDescent="0.2">
      <c r="A182" s="46" t="s">
        <v>652</v>
      </c>
      <c r="B182" s="46">
        <f t="shared" ref="B182:H182" si="7">SUM(B169,B171,B173,B175)</f>
        <v>17.75</v>
      </c>
      <c r="C182" s="46">
        <f t="shared" si="7"/>
        <v>17.75</v>
      </c>
      <c r="D182" s="46">
        <f t="shared" si="7"/>
        <v>17.75</v>
      </c>
      <c r="E182" s="46">
        <f t="shared" si="7"/>
        <v>9.25</v>
      </c>
      <c r="F182" s="46">
        <f t="shared" si="7"/>
        <v>10.25</v>
      </c>
      <c r="G182" s="46">
        <f t="shared" si="7"/>
        <v>10.5</v>
      </c>
      <c r="H182" s="46">
        <f t="shared" si="7"/>
        <v>10.5</v>
      </c>
      <c r="I182" s="46">
        <f>SUM(I169,I171,I173,I175,I177,I179,I181)</f>
        <v>105.25</v>
      </c>
      <c r="J182" s="48"/>
      <c r="O182" t="s">
        <v>927</v>
      </c>
      <c r="P182">
        <f>I182</f>
        <v>105.25</v>
      </c>
      <c r="Q182" s="72" t="s">
        <v>928</v>
      </c>
      <c r="S182" s="42">
        <f>S174</f>
        <v>139.46621621621622</v>
      </c>
      <c r="T182" t="s">
        <v>929</v>
      </c>
      <c r="U182" s="84">
        <f>P182-S182</f>
        <v>-34.216216216216225</v>
      </c>
    </row>
    <row r="183" spans="1:22" ht="17.100000000000001" customHeight="1" x14ac:dyDescent="0.2">
      <c r="A183" s="18"/>
      <c r="B183" s="18"/>
      <c r="C183" s="18"/>
      <c r="D183" s="18"/>
      <c r="E183" s="18"/>
      <c r="F183" s="18"/>
      <c r="G183" s="4690" t="s">
        <v>768</v>
      </c>
      <c r="H183" s="4690" t="s">
        <v>769</v>
      </c>
      <c r="I183" s="4690" t="s">
        <v>770</v>
      </c>
      <c r="V183" s="83"/>
    </row>
    <row r="184" spans="1:22" ht="17.100000000000001" customHeight="1" x14ac:dyDescent="0.2">
      <c r="A184" s="18"/>
      <c r="B184" s="18"/>
      <c r="C184" s="18"/>
      <c r="D184" s="18"/>
      <c r="E184" s="18"/>
      <c r="F184" s="18"/>
      <c r="G184" s="4663">
        <f>I182</f>
        <v>105.25</v>
      </c>
      <c r="H184" s="4691">
        <f>SUM(G184*13/3)</f>
        <v>456.08333333333331</v>
      </c>
      <c r="I184" s="4663">
        <f>SUM(H184*12)</f>
        <v>5473</v>
      </c>
    </row>
    <row r="185" spans="1:22" ht="17.100000000000001" customHeight="1" x14ac:dyDescent="0.2">
      <c r="A185" s="18"/>
      <c r="B185" s="18"/>
      <c r="C185" s="18"/>
      <c r="D185" s="18"/>
      <c r="E185" s="18"/>
      <c r="F185" s="18"/>
      <c r="G185" s="18"/>
      <c r="H185" s="45"/>
      <c r="I185" s="18"/>
    </row>
    <row r="186" spans="1:22" ht="17.100000000000001" customHeight="1" x14ac:dyDescent="0.2">
      <c r="A186" s="18"/>
      <c r="B186" s="18"/>
      <c r="C186" s="18"/>
      <c r="D186" s="18"/>
      <c r="E186" s="18"/>
      <c r="F186" s="18"/>
      <c r="G186" s="18"/>
      <c r="H186" s="45"/>
      <c r="I186" s="18"/>
    </row>
    <row r="187" spans="1:22" ht="17.100000000000001" customHeight="1" x14ac:dyDescent="0.2">
      <c r="A187" s="1" t="s">
        <v>930</v>
      </c>
      <c r="B187" s="18"/>
      <c r="C187" s="18"/>
      <c r="D187" s="18"/>
      <c r="E187" s="18"/>
      <c r="F187" s="18"/>
      <c r="O187">
        <v>37</v>
      </c>
      <c r="P187" t="s">
        <v>890</v>
      </c>
      <c r="Q187">
        <v>4</v>
      </c>
      <c r="R187" t="s">
        <v>891</v>
      </c>
      <c r="S187">
        <f>O187*Q187</f>
        <v>148</v>
      </c>
      <c r="T187" t="s">
        <v>892</v>
      </c>
    </row>
    <row r="188" spans="1:22" ht="17.100000000000001" customHeight="1" x14ac:dyDescent="0.2">
      <c r="A188" s="4713" t="s">
        <v>915</v>
      </c>
      <c r="B188" s="4606" t="s">
        <v>107</v>
      </c>
      <c r="C188" s="4607" t="s">
        <v>108</v>
      </c>
      <c r="D188" s="4607" t="s">
        <v>109</v>
      </c>
      <c r="E188" s="4607" t="s">
        <v>110</v>
      </c>
      <c r="F188" s="4607" t="s">
        <v>111</v>
      </c>
      <c r="G188" s="4607" t="s">
        <v>112</v>
      </c>
      <c r="H188" s="4608" t="s">
        <v>113</v>
      </c>
      <c r="I188" s="4406" t="s">
        <v>158</v>
      </c>
      <c r="J188" s="4609" t="s">
        <v>114</v>
      </c>
      <c r="M188" s="4405"/>
      <c r="N188" s="4408" t="s">
        <v>774</v>
      </c>
      <c r="O188" t="s">
        <v>0</v>
      </c>
    </row>
    <row r="189" spans="1:22" ht="17.100000000000001" customHeight="1" x14ac:dyDescent="0.2">
      <c r="A189" s="4799"/>
      <c r="B189" s="4604" t="s">
        <v>171</v>
      </c>
      <c r="C189" s="4604" t="s">
        <v>171</v>
      </c>
      <c r="D189" s="4604" t="s">
        <v>931</v>
      </c>
      <c r="E189" s="4604" t="s">
        <v>931</v>
      </c>
      <c r="F189" s="4604" t="s">
        <v>931</v>
      </c>
      <c r="G189" s="4604" t="s">
        <v>932</v>
      </c>
      <c r="H189" s="4604" t="s">
        <v>933</v>
      </c>
      <c r="I189" s="4698"/>
      <c r="J189" s="4613"/>
      <c r="M189" s="4696"/>
      <c r="N189" s="4697" t="s">
        <v>776</v>
      </c>
      <c r="O189" t="s">
        <v>896</v>
      </c>
      <c r="Q189">
        <f>N195</f>
        <v>102</v>
      </c>
    </row>
    <row r="190" spans="1:22" ht="17.100000000000001" customHeight="1" x14ac:dyDescent="0.2">
      <c r="A190" s="269" t="s">
        <v>934</v>
      </c>
      <c r="B190" s="4671"/>
      <c r="C190" s="4671"/>
      <c r="D190" s="4671">
        <v>12</v>
      </c>
      <c r="E190" s="4671">
        <v>12</v>
      </c>
      <c r="F190" s="4671">
        <v>12</v>
      </c>
      <c r="G190" s="4671">
        <v>12</v>
      </c>
      <c r="H190" s="4671">
        <v>8</v>
      </c>
      <c r="I190" s="4671">
        <f>SUM(B190:H190)</f>
        <v>56</v>
      </c>
      <c r="J190" s="234"/>
      <c r="M190" s="4696" t="s">
        <v>159</v>
      </c>
      <c r="N190" s="4697">
        <f>I190</f>
        <v>56</v>
      </c>
    </row>
    <row r="191" spans="1:22" ht="17.100000000000001" customHeight="1" x14ac:dyDescent="0.2">
      <c r="A191" s="4799"/>
      <c r="B191" s="4604" t="s">
        <v>171</v>
      </c>
      <c r="C191" s="4604" t="s">
        <v>171</v>
      </c>
      <c r="D191" s="4604" t="s">
        <v>171</v>
      </c>
      <c r="E191" s="4604" t="s">
        <v>171</v>
      </c>
      <c r="F191" s="4604" t="s">
        <v>171</v>
      </c>
      <c r="G191" s="4604"/>
      <c r="H191" s="4604"/>
      <c r="I191" s="4698"/>
      <c r="J191" s="4613"/>
      <c r="M191" s="4696" t="s">
        <v>163</v>
      </c>
      <c r="N191" s="4697">
        <f>I192</f>
        <v>0</v>
      </c>
      <c r="O191">
        <f>Q189</f>
        <v>102</v>
      </c>
      <c r="P191" t="s">
        <v>900</v>
      </c>
      <c r="Q191" s="42">
        <f>SUM(O191/37)</f>
        <v>2.7567567567567566</v>
      </c>
    </row>
    <row r="192" spans="1:22" ht="17.100000000000001" customHeight="1" x14ac:dyDescent="0.2">
      <c r="A192" s="269" t="s">
        <v>935</v>
      </c>
      <c r="B192" s="4671"/>
      <c r="C192" s="4671"/>
      <c r="D192" s="4671"/>
      <c r="E192" s="4671"/>
      <c r="F192" s="4671"/>
      <c r="G192" s="4671"/>
      <c r="H192" s="4671"/>
      <c r="I192" s="4671">
        <f>SUM(B192:H192)</f>
        <v>0</v>
      </c>
      <c r="J192" s="234"/>
      <c r="M192" s="4696" t="s">
        <v>170</v>
      </c>
      <c r="N192" s="4697">
        <f>I194</f>
        <v>46</v>
      </c>
    </row>
    <row r="193" spans="1:22" ht="17.100000000000001" customHeight="1" x14ac:dyDescent="0.2">
      <c r="A193" s="4799"/>
      <c r="B193" s="4604" t="s">
        <v>931</v>
      </c>
      <c r="C193" s="4604" t="s">
        <v>931</v>
      </c>
      <c r="D193" s="4604" t="s">
        <v>171</v>
      </c>
      <c r="E193" s="4604" t="s">
        <v>171</v>
      </c>
      <c r="F193" s="4604" t="s">
        <v>171</v>
      </c>
      <c r="G193" s="4604" t="s">
        <v>936</v>
      </c>
      <c r="H193" s="4604" t="s">
        <v>937</v>
      </c>
      <c r="I193" s="4698"/>
      <c r="J193" s="4613"/>
      <c r="M193" s="4696" t="s">
        <v>172</v>
      </c>
      <c r="N193" s="4697">
        <v>0</v>
      </c>
      <c r="O193" s="42">
        <f>Q191</f>
        <v>2.7567567567567566</v>
      </c>
      <c r="P193" t="s">
        <v>923</v>
      </c>
      <c r="S193" s="86">
        <f>SUM(O193*3)</f>
        <v>8.2702702702702702</v>
      </c>
      <c r="T193" t="s">
        <v>924</v>
      </c>
    </row>
    <row r="194" spans="1:22" ht="17.100000000000001" customHeight="1" x14ac:dyDescent="0.2">
      <c r="A194" s="269" t="s">
        <v>938</v>
      </c>
      <c r="B194" s="4671">
        <v>12</v>
      </c>
      <c r="C194" s="4671">
        <v>12</v>
      </c>
      <c r="D194" s="4671"/>
      <c r="E194" s="4671"/>
      <c r="F194" s="4671"/>
      <c r="G194" s="4671">
        <v>12</v>
      </c>
      <c r="H194" s="4671">
        <v>10</v>
      </c>
      <c r="I194" s="4671">
        <f>SUM(B194:H194)</f>
        <v>46</v>
      </c>
      <c r="J194" s="234"/>
      <c r="M194" s="4800"/>
      <c r="N194" s="4801"/>
    </row>
    <row r="195" spans="1:22" ht="17.100000000000001" customHeight="1" x14ac:dyDescent="0.2">
      <c r="A195" s="4802"/>
      <c r="B195" s="4443" t="s">
        <v>939</v>
      </c>
      <c r="C195" s="4443" t="s">
        <v>940</v>
      </c>
      <c r="D195" s="4443" t="s">
        <v>940</v>
      </c>
      <c r="E195" s="4443" t="s">
        <v>940</v>
      </c>
      <c r="F195" s="4788" t="s">
        <v>941</v>
      </c>
      <c r="G195" s="4612"/>
      <c r="H195" s="4612"/>
      <c r="I195" s="4698"/>
      <c r="J195" s="4613"/>
      <c r="M195" s="4706" t="s">
        <v>786</v>
      </c>
      <c r="N195" s="4707">
        <f>SUM(N190:N194)</f>
        <v>102</v>
      </c>
      <c r="O195" t="s">
        <v>0</v>
      </c>
      <c r="P195" s="69"/>
      <c r="Q195" s="69" t="s">
        <v>925</v>
      </c>
      <c r="S195" s="42">
        <f>S187-S193</f>
        <v>139.72972972972974</v>
      </c>
      <c r="T195" t="s">
        <v>926</v>
      </c>
    </row>
    <row r="196" spans="1:22" ht="17.100000000000001" customHeight="1" x14ac:dyDescent="0.2">
      <c r="A196" s="269" t="s">
        <v>942</v>
      </c>
      <c r="B196" s="227">
        <v>6.75</v>
      </c>
      <c r="C196" s="227">
        <v>7.75</v>
      </c>
      <c r="D196" s="227">
        <v>7.75</v>
      </c>
      <c r="E196" s="227">
        <v>7.75</v>
      </c>
      <c r="F196" s="227">
        <v>7.5</v>
      </c>
      <c r="G196" s="4671"/>
      <c r="H196" s="4671"/>
      <c r="I196" s="4671">
        <f>SUM(B196:H196)</f>
        <v>37.5</v>
      </c>
      <c r="J196" s="234"/>
      <c r="S196" s="42"/>
    </row>
    <row r="197" spans="1:22" ht="17.100000000000001" customHeight="1" x14ac:dyDescent="0.2">
      <c r="A197" s="4799"/>
      <c r="B197" s="4604"/>
      <c r="C197" s="4604"/>
      <c r="D197" s="4604"/>
      <c r="E197" s="4612"/>
      <c r="F197" s="4612"/>
      <c r="G197" s="4612"/>
      <c r="H197" s="4612"/>
      <c r="I197" s="4698"/>
      <c r="J197" s="4613"/>
      <c r="S197" s="42"/>
    </row>
    <row r="198" spans="1:22" ht="17.100000000000001" customHeight="1" x14ac:dyDescent="0.2">
      <c r="A198" s="4803" t="s">
        <v>943</v>
      </c>
      <c r="C198" s="4671"/>
      <c r="D198" s="4671"/>
      <c r="E198" s="4671"/>
      <c r="F198" s="4671"/>
      <c r="G198" s="4671"/>
      <c r="H198" s="4671"/>
      <c r="I198" s="4671">
        <f>SUM(A198:H198)</f>
        <v>0</v>
      </c>
      <c r="J198" s="234"/>
      <c r="S198" s="42"/>
    </row>
    <row r="199" spans="1:22" ht="17.100000000000001" customHeight="1" x14ac:dyDescent="0.2">
      <c r="A199" s="4804"/>
      <c r="B199" s="4805"/>
      <c r="C199" s="4805"/>
      <c r="D199" s="4805"/>
      <c r="E199" s="4805"/>
      <c r="F199" s="4805"/>
      <c r="G199" s="4805"/>
      <c r="H199" s="4805"/>
      <c r="I199" s="4806"/>
      <c r="J199" s="4807"/>
      <c r="S199" s="42"/>
    </row>
    <row r="200" spans="1:22" ht="17.100000000000001" customHeight="1" x14ac:dyDescent="0.2">
      <c r="A200" s="270"/>
      <c r="B200" s="4808"/>
      <c r="C200" s="4808"/>
      <c r="D200" s="4808"/>
      <c r="E200" s="4808"/>
      <c r="F200" s="4808"/>
      <c r="G200" s="4808"/>
      <c r="H200" s="4808"/>
      <c r="I200" s="4808">
        <f>SUM(B200:H200)</f>
        <v>0</v>
      </c>
      <c r="J200" s="271"/>
      <c r="S200" s="42"/>
    </row>
    <row r="201" spans="1:22" ht="17.100000000000001" customHeight="1" x14ac:dyDescent="0.2">
      <c r="A201" s="4804"/>
      <c r="B201" s="4809"/>
      <c r="C201" s="4809"/>
      <c r="D201" s="4809"/>
      <c r="E201" s="4809"/>
      <c r="F201" s="4809"/>
      <c r="G201" s="4805"/>
      <c r="H201" s="4805"/>
      <c r="I201" s="4806"/>
      <c r="J201" s="4807" t="s">
        <v>0</v>
      </c>
      <c r="S201" s="42"/>
    </row>
    <row r="202" spans="1:22" ht="17.100000000000001" customHeight="1" x14ac:dyDescent="0.2">
      <c r="A202" s="270" t="s">
        <v>0</v>
      </c>
      <c r="B202" s="4808"/>
      <c r="C202" s="4808"/>
      <c r="D202" s="4808"/>
      <c r="E202" s="4808"/>
      <c r="F202" s="4808"/>
      <c r="G202" s="4808"/>
      <c r="H202" s="4808"/>
      <c r="I202" s="4808">
        <f>SUM(B202:H202)</f>
        <v>0</v>
      </c>
      <c r="J202" s="271"/>
      <c r="S202" s="42"/>
    </row>
    <row r="203" spans="1:22" ht="17.100000000000001" customHeight="1" x14ac:dyDescent="0.2">
      <c r="A203" s="46" t="s">
        <v>652</v>
      </c>
      <c r="B203" s="46">
        <f t="shared" ref="B203:H203" si="8">SUM(B190,B192,B194,B196)</f>
        <v>18.75</v>
      </c>
      <c r="C203" s="46">
        <f t="shared" si="8"/>
        <v>19.75</v>
      </c>
      <c r="D203" s="46">
        <f t="shared" si="8"/>
        <v>19.75</v>
      </c>
      <c r="E203" s="46">
        <f t="shared" si="8"/>
        <v>19.75</v>
      </c>
      <c r="F203" s="46">
        <f t="shared" si="8"/>
        <v>19.5</v>
      </c>
      <c r="G203" s="46">
        <f t="shared" si="8"/>
        <v>24</v>
      </c>
      <c r="H203" s="46">
        <f t="shared" si="8"/>
        <v>18</v>
      </c>
      <c r="I203" s="46">
        <f>SUM(I190,I192,I194,I196,I198,I200,I202)</f>
        <v>139.5</v>
      </c>
      <c r="J203" s="48"/>
      <c r="O203" t="s">
        <v>927</v>
      </c>
      <c r="P203">
        <f>I203</f>
        <v>139.5</v>
      </c>
      <c r="Q203" s="72" t="s">
        <v>928</v>
      </c>
      <c r="S203" s="42">
        <f>S195</f>
        <v>139.72972972972974</v>
      </c>
      <c r="T203" t="s">
        <v>929</v>
      </c>
      <c r="U203" s="84">
        <f>P203-S203</f>
        <v>-0.22972972972974048</v>
      </c>
    </row>
    <row r="204" spans="1:22" ht="17.100000000000001" customHeight="1" x14ac:dyDescent="0.2">
      <c r="A204" s="18"/>
      <c r="B204" s="18"/>
      <c r="C204" s="18"/>
      <c r="D204" s="18"/>
      <c r="E204" s="18"/>
      <c r="F204" s="18"/>
      <c r="G204" s="4690" t="s">
        <v>768</v>
      </c>
      <c r="H204" s="4690" t="s">
        <v>769</v>
      </c>
      <c r="I204" s="4690" t="s">
        <v>770</v>
      </c>
      <c r="V204" s="83"/>
    </row>
    <row r="205" spans="1:22" ht="17.100000000000001" customHeight="1" x14ac:dyDescent="0.2">
      <c r="A205" s="18"/>
      <c r="B205" s="18"/>
      <c r="C205" s="18"/>
      <c r="D205" s="18"/>
      <c r="E205" s="18"/>
      <c r="F205" s="18"/>
      <c r="G205" s="4663">
        <f>I203</f>
        <v>139.5</v>
      </c>
      <c r="H205" s="4691">
        <f>SUM(G205*13/3)</f>
        <v>604.5</v>
      </c>
      <c r="I205" s="4663">
        <f>SUM(H205*12)</f>
        <v>7254</v>
      </c>
    </row>
    <row r="206" spans="1:22" ht="18" customHeight="1" x14ac:dyDescent="0.2">
      <c r="A206" s="225" t="s">
        <v>745</v>
      </c>
      <c r="B206" s="18"/>
      <c r="C206" s="18"/>
      <c r="D206" s="18"/>
      <c r="E206" s="18"/>
      <c r="F206" s="37"/>
      <c r="G206" s="37"/>
      <c r="H206" s="37"/>
      <c r="I206" s="18"/>
      <c r="J206" s="19"/>
      <c r="K206" s="59"/>
    </row>
    <row r="207" spans="1:22" ht="18" customHeight="1" x14ac:dyDescent="0.2">
      <c r="A207" s="35" t="s">
        <v>746</v>
      </c>
      <c r="B207" s="4606" t="s">
        <v>107</v>
      </c>
      <c r="C207" s="4607" t="s">
        <v>108</v>
      </c>
      <c r="D207" s="4607" t="s">
        <v>109</v>
      </c>
      <c r="E207" s="4607" t="s">
        <v>110</v>
      </c>
      <c r="F207" s="4607" t="s">
        <v>111</v>
      </c>
      <c r="G207" s="4607" t="s">
        <v>112</v>
      </c>
      <c r="H207" s="4608" t="s">
        <v>113</v>
      </c>
      <c r="I207" s="4406" t="s">
        <v>158</v>
      </c>
      <c r="J207" s="4609" t="s">
        <v>114</v>
      </c>
      <c r="K207" s="18"/>
    </row>
    <row r="208" spans="1:22" ht="18" customHeight="1" x14ac:dyDescent="0.2">
      <c r="A208" s="4610" t="s">
        <v>0</v>
      </c>
      <c r="B208" s="4611" t="s">
        <v>283</v>
      </c>
      <c r="C208" s="4611" t="s">
        <v>283</v>
      </c>
      <c r="D208" s="4611" t="s">
        <v>283</v>
      </c>
      <c r="E208" s="4611" t="s">
        <v>283</v>
      </c>
      <c r="F208" s="4612" t="s">
        <v>284</v>
      </c>
      <c r="G208" s="4612"/>
      <c r="H208" s="4612"/>
      <c r="I208" s="4418"/>
      <c r="J208" s="4613"/>
    </row>
    <row r="209" spans="1:10" ht="18" customHeight="1" x14ac:dyDescent="0.2">
      <c r="A209" s="4614" t="s">
        <v>0</v>
      </c>
      <c r="B209" s="4615">
        <v>0</v>
      </c>
      <c r="C209" s="4615">
        <v>0</v>
      </c>
      <c r="D209" s="4615">
        <v>0</v>
      </c>
      <c r="E209" s="4615">
        <v>0</v>
      </c>
      <c r="F209" s="4615">
        <v>0</v>
      </c>
      <c r="G209" s="4671"/>
      <c r="H209" s="4671"/>
      <c r="I209" s="4615">
        <f>SUM(B209:H209)</f>
        <v>0</v>
      </c>
      <c r="J209" s="234"/>
    </row>
    <row r="210" spans="1:10" ht="18" customHeight="1" x14ac:dyDescent="0.2">
      <c r="A210" s="4610"/>
      <c r="B210" s="4611" t="s">
        <v>283</v>
      </c>
      <c r="C210" s="4611" t="s">
        <v>283</v>
      </c>
      <c r="D210" s="4611" t="s">
        <v>283</v>
      </c>
      <c r="E210" s="4611" t="s">
        <v>283</v>
      </c>
      <c r="F210" s="4612" t="s">
        <v>284</v>
      </c>
      <c r="G210" s="4612"/>
      <c r="H210" s="4612"/>
      <c r="I210" s="4418"/>
      <c r="J210" s="4613"/>
    </row>
    <row r="211" spans="1:10" ht="18" customHeight="1" x14ac:dyDescent="0.2">
      <c r="A211" s="4614" t="s">
        <v>0</v>
      </c>
      <c r="B211" s="4615">
        <v>0</v>
      </c>
      <c r="C211" s="4615">
        <v>0</v>
      </c>
      <c r="D211" s="4615">
        <v>0</v>
      </c>
      <c r="E211" s="4615">
        <v>0</v>
      </c>
      <c r="F211" s="4615">
        <v>0</v>
      </c>
      <c r="G211" s="4671"/>
      <c r="H211" s="4671"/>
      <c r="I211" s="4615">
        <f>SUM(B211:H211)</f>
        <v>0</v>
      </c>
      <c r="J211" s="234"/>
    </row>
    <row r="212" spans="1:10" ht="18" customHeight="1" x14ac:dyDescent="0.2">
      <c r="A212" s="4610"/>
      <c r="B212" s="4611" t="s">
        <v>283</v>
      </c>
      <c r="C212" s="4611" t="s">
        <v>283</v>
      </c>
      <c r="D212" s="4611" t="s">
        <v>283</v>
      </c>
      <c r="E212" s="4611" t="s">
        <v>283</v>
      </c>
      <c r="F212" s="4612" t="s">
        <v>284</v>
      </c>
      <c r="G212" s="4612"/>
      <c r="H212" s="4612"/>
      <c r="I212" s="4418"/>
      <c r="J212" s="4613"/>
    </row>
    <row r="213" spans="1:10" ht="18" customHeight="1" x14ac:dyDescent="0.2">
      <c r="A213" s="4614"/>
      <c r="B213" s="4615"/>
      <c r="C213" s="4615"/>
      <c r="D213" s="4615"/>
      <c r="E213" s="4615"/>
      <c r="F213" s="4615"/>
      <c r="G213" s="4671"/>
      <c r="H213" s="4671"/>
      <c r="I213" s="4615">
        <f>SUM(B213:H213)</f>
        <v>0</v>
      </c>
      <c r="J213" s="234"/>
    </row>
    <row r="214" spans="1:10" ht="18" customHeight="1" x14ac:dyDescent="0.2">
      <c r="A214" s="4626" t="s">
        <v>652</v>
      </c>
      <c r="B214" s="4626">
        <f t="shared" ref="B214:I214" si="9">SUM(B209,B211,B213)</f>
        <v>0</v>
      </c>
      <c r="C214" s="4626">
        <f t="shared" si="9"/>
        <v>0</v>
      </c>
      <c r="D214" s="4626">
        <f t="shared" si="9"/>
        <v>0</v>
      </c>
      <c r="E214" s="4626">
        <f t="shared" si="9"/>
        <v>0</v>
      </c>
      <c r="F214" s="4626">
        <f t="shared" si="9"/>
        <v>0</v>
      </c>
      <c r="G214" s="4626">
        <f t="shared" si="9"/>
        <v>0</v>
      </c>
      <c r="H214" s="4626">
        <f t="shared" si="9"/>
        <v>0</v>
      </c>
      <c r="I214" s="4626">
        <f t="shared" si="9"/>
        <v>0</v>
      </c>
      <c r="J214" s="4636"/>
    </row>
    <row r="215" spans="1:10" ht="18" customHeight="1" x14ac:dyDescent="0.2">
      <c r="A215" s="18"/>
      <c r="B215" s="18"/>
      <c r="C215" s="18"/>
      <c r="D215" s="18"/>
      <c r="E215" s="18"/>
      <c r="F215" s="18"/>
      <c r="G215" s="4690" t="s">
        <v>768</v>
      </c>
      <c r="H215" s="4690" t="s">
        <v>769</v>
      </c>
      <c r="I215" s="4690" t="s">
        <v>770</v>
      </c>
      <c r="J215" s="19"/>
    </row>
    <row r="216" spans="1:10" ht="18" customHeight="1" x14ac:dyDescent="0.2">
      <c r="A216" s="18"/>
      <c r="B216" s="18"/>
      <c r="C216" s="18"/>
      <c r="D216" s="18"/>
      <c r="E216" s="18"/>
      <c r="F216" s="37"/>
      <c r="G216" s="4663">
        <f>I214</f>
        <v>0</v>
      </c>
      <c r="H216" s="4691">
        <f>SUM(G216*13/3)</f>
        <v>0</v>
      </c>
      <c r="I216" s="4663">
        <f>SUM(H216*12)</f>
        <v>0</v>
      </c>
      <c r="J216" s="19"/>
    </row>
    <row r="217" spans="1:10" ht="18" customHeight="1" x14ac:dyDescent="0.2">
      <c r="A217" s="18"/>
      <c r="B217" s="18"/>
      <c r="C217" s="18"/>
      <c r="D217" s="18"/>
      <c r="E217" s="18"/>
      <c r="F217" s="37"/>
      <c r="G217" s="18"/>
      <c r="H217" s="45"/>
      <c r="I217" s="18"/>
      <c r="J217" s="19"/>
    </row>
    <row r="218" spans="1:10" ht="18" customHeight="1" x14ac:dyDescent="0.2">
      <c r="A218" s="18"/>
      <c r="B218" s="18"/>
      <c r="C218" s="18"/>
      <c r="D218" s="18"/>
      <c r="E218" s="18"/>
      <c r="F218" s="37"/>
      <c r="G218" s="37"/>
      <c r="H218" s="37"/>
      <c r="I218" s="18"/>
      <c r="J218" s="19"/>
    </row>
    <row r="219" spans="1:10" ht="18" customHeight="1" x14ac:dyDescent="0.2">
      <c r="A219" s="4409"/>
      <c r="B219" s="4676" t="s">
        <v>107</v>
      </c>
      <c r="C219" s="4630" t="s">
        <v>108</v>
      </c>
      <c r="D219" s="4630" t="s">
        <v>109</v>
      </c>
      <c r="E219" s="4630" t="s">
        <v>110</v>
      </c>
      <c r="F219" s="4630" t="s">
        <v>111</v>
      </c>
      <c r="G219" s="4630" t="s">
        <v>112</v>
      </c>
      <c r="H219" s="4677" t="s">
        <v>113</v>
      </c>
      <c r="I219" s="4678" t="s">
        <v>755</v>
      </c>
      <c r="J219" s="37" t="s">
        <v>0</v>
      </c>
    </row>
    <row r="220" spans="1:10" ht="18" customHeight="1" x14ac:dyDescent="0.2">
      <c r="A220" s="4696" t="s">
        <v>756</v>
      </c>
      <c r="B220" s="68">
        <f t="shared" ref="B220:I220" si="10">SUM(B4,B8,B25,B34,B70,B114,B117,B123,B132,B144,B162,B182,B203,B214)</f>
        <v>267.25</v>
      </c>
      <c r="C220" s="68">
        <f t="shared" si="10"/>
        <v>268.25</v>
      </c>
      <c r="D220" s="68">
        <f t="shared" si="10"/>
        <v>268.25</v>
      </c>
      <c r="E220" s="68">
        <f t="shared" si="10"/>
        <v>259.75</v>
      </c>
      <c r="F220" s="68">
        <f t="shared" si="10"/>
        <v>232.75</v>
      </c>
      <c r="G220" s="68">
        <f t="shared" si="10"/>
        <v>127.5</v>
      </c>
      <c r="H220" s="68">
        <f t="shared" si="10"/>
        <v>124.5</v>
      </c>
      <c r="I220" s="68">
        <f t="shared" si="10"/>
        <v>1526.75</v>
      </c>
      <c r="J220" s="18" t="s">
        <v>0</v>
      </c>
    </row>
    <row r="221" spans="1:10" ht="20.100000000000001" customHeight="1" x14ac:dyDescent="0.2">
      <c r="A221" s="4706" t="s">
        <v>758</v>
      </c>
      <c r="B221" s="226">
        <f t="shared" ref="B221:I221" si="11">SUM(B220*52)</f>
        <v>13897</v>
      </c>
      <c r="C221" s="226">
        <f t="shared" si="11"/>
        <v>13949</v>
      </c>
      <c r="D221" s="226">
        <f t="shared" si="11"/>
        <v>13949</v>
      </c>
      <c r="E221" s="226">
        <f t="shared" si="11"/>
        <v>13507</v>
      </c>
      <c r="F221" s="226">
        <f t="shared" si="11"/>
        <v>12103</v>
      </c>
      <c r="G221" s="226">
        <f t="shared" si="11"/>
        <v>6630</v>
      </c>
      <c r="H221" s="226">
        <f t="shared" si="11"/>
        <v>6474</v>
      </c>
      <c r="I221" s="226">
        <f t="shared" si="11"/>
        <v>79391</v>
      </c>
    </row>
    <row r="222" spans="1:10" ht="20.100000000000001" customHeight="1" x14ac:dyDescent="0.2">
      <c r="A222" t="s">
        <v>944</v>
      </c>
      <c r="I222" s="42"/>
      <c r="J222" s="87">
        <f>SUM(I221/12)</f>
        <v>6615.916666666667</v>
      </c>
    </row>
    <row r="223" spans="1:10" ht="20.100000000000001" customHeight="1" x14ac:dyDescent="0.2">
      <c r="A223" s="4810" t="s">
        <v>945</v>
      </c>
      <c r="B223" s="4331"/>
      <c r="C223" s="4331"/>
      <c r="D223" s="4331"/>
      <c r="E223" s="4611">
        <v>56</v>
      </c>
      <c r="F223" s="4331"/>
      <c r="G223" s="4331"/>
      <c r="H223" s="4418"/>
      <c r="I223" s="4811">
        <f>SUM(E223)*26</f>
        <v>1456</v>
      </c>
    </row>
    <row r="224" spans="1:10" ht="20.100000000000001" customHeight="1" x14ac:dyDescent="0.2">
      <c r="A224" s="4812" t="s">
        <v>946</v>
      </c>
      <c r="B224" s="4682"/>
      <c r="C224" s="4682"/>
      <c r="D224" s="4682"/>
      <c r="E224" s="4682"/>
      <c r="F224" s="4682"/>
      <c r="G224" s="4682"/>
      <c r="H224" s="4682"/>
      <c r="I224" s="4813">
        <f>SUM(I223*2)</f>
        <v>2912</v>
      </c>
    </row>
    <row r="225" spans="1:10" ht="20.100000000000001" customHeight="1" x14ac:dyDescent="0.2">
      <c r="A225" s="4696" t="s">
        <v>761</v>
      </c>
      <c r="B225" s="4679"/>
      <c r="C225" s="4680"/>
      <c r="D225" s="4682"/>
      <c r="E225" s="4682"/>
      <c r="F225" s="4682"/>
      <c r="G225" s="4682"/>
      <c r="H225" s="4682"/>
      <c r="I225" s="4813">
        <f>48*12</f>
        <v>576</v>
      </c>
    </row>
    <row r="226" spans="1:10" ht="20.100000000000001" customHeight="1" x14ac:dyDescent="0.2">
      <c r="A226" s="4814" t="s">
        <v>755</v>
      </c>
      <c r="B226" s="4624"/>
      <c r="C226" s="4624"/>
      <c r="D226" s="4624"/>
      <c r="E226" s="4624"/>
      <c r="F226" s="4624"/>
      <c r="G226" s="4624"/>
      <c r="H226" s="4624"/>
      <c r="I226" s="4815">
        <f>SUM(I223:I225)</f>
        <v>4944</v>
      </c>
    </row>
    <row r="227" spans="1:10" ht="20.100000000000001" customHeight="1" x14ac:dyDescent="0.2">
      <c r="I227" s="42"/>
    </row>
    <row r="228" spans="1:10" ht="20.100000000000001" customHeight="1" x14ac:dyDescent="0.2">
      <c r="I228" s="42"/>
    </row>
    <row r="229" spans="1:10" x14ac:dyDescent="0.2">
      <c r="A229" s="4683" t="s">
        <v>762</v>
      </c>
      <c r="B229" s="4683"/>
      <c r="C229" s="4683"/>
      <c r="D229" s="4683"/>
      <c r="E229" s="4683"/>
      <c r="F229" s="4683"/>
      <c r="G229" s="4683"/>
      <c r="H229" s="4683"/>
      <c r="I229" s="4685">
        <f>SUM(I221,I226)</f>
        <v>84335</v>
      </c>
      <c r="J229" t="s">
        <v>947</v>
      </c>
    </row>
    <row r="233" spans="1:10" ht="12.75" x14ac:dyDescent="0.2">
      <c r="A233" s="1" t="s">
        <v>948</v>
      </c>
      <c r="B233" s="18"/>
      <c r="C233" s="18"/>
      <c r="D233" s="18"/>
      <c r="E233" s="18"/>
      <c r="F233" s="37"/>
      <c r="G233" s="37"/>
      <c r="H233" s="37"/>
      <c r="I233" s="18"/>
      <c r="J233" s="19"/>
    </row>
    <row r="234" spans="1:10" ht="12.75" x14ac:dyDescent="0.2">
      <c r="A234" s="4628" t="s">
        <v>949</v>
      </c>
      <c r="B234" s="4629" t="s">
        <v>107</v>
      </c>
      <c r="C234" s="4630" t="s">
        <v>108</v>
      </c>
      <c r="D234" s="4630" t="s">
        <v>109</v>
      </c>
      <c r="E234" s="4630" t="s">
        <v>110</v>
      </c>
      <c r="F234" s="4630" t="s">
        <v>111</v>
      </c>
      <c r="G234" s="4630" t="s">
        <v>112</v>
      </c>
      <c r="H234" s="4631" t="s">
        <v>113</v>
      </c>
      <c r="I234" s="4632" t="s">
        <v>158</v>
      </c>
      <c r="J234" s="4633" t="s">
        <v>114</v>
      </c>
    </row>
    <row r="235" spans="1:10" ht="12.75" x14ac:dyDescent="0.2">
      <c r="A235" s="4816">
        <v>3700</v>
      </c>
      <c r="B235" s="4611" t="s">
        <v>950</v>
      </c>
      <c r="C235" s="4611" t="s">
        <v>950</v>
      </c>
      <c r="D235" s="4611" t="s">
        <v>950</v>
      </c>
      <c r="E235" s="4611" t="s">
        <v>950</v>
      </c>
      <c r="F235" s="4612" t="s">
        <v>951</v>
      </c>
      <c r="G235" s="4603"/>
      <c r="H235" s="4427" t="s">
        <v>0</v>
      </c>
      <c r="I235" s="4418"/>
      <c r="J235" s="4613" t="s">
        <v>0</v>
      </c>
    </row>
    <row r="236" spans="1:10" ht="12.75" x14ac:dyDescent="0.2">
      <c r="A236" s="4817"/>
      <c r="B236" s="4615"/>
      <c r="C236" s="4615"/>
      <c r="D236" s="4615"/>
      <c r="E236" s="4615"/>
      <c r="F236" s="4671"/>
      <c r="G236" s="226"/>
      <c r="H236" s="264" t="s">
        <v>0</v>
      </c>
      <c r="I236" s="4615">
        <f>SUM(B236:H236)</f>
        <v>0</v>
      </c>
      <c r="J236" s="234"/>
    </row>
    <row r="237" spans="1:10" ht="12.75" x14ac:dyDescent="0.2">
      <c r="A237" s="88">
        <v>3700</v>
      </c>
      <c r="B237" s="4" t="s">
        <v>283</v>
      </c>
      <c r="C237" s="4" t="s">
        <v>283</v>
      </c>
      <c r="D237" s="4" t="s">
        <v>283</v>
      </c>
      <c r="E237" s="4" t="s">
        <v>283</v>
      </c>
      <c r="F237" s="5" t="s">
        <v>284</v>
      </c>
      <c r="G237" s="89"/>
      <c r="H237" s="90" t="s">
        <v>0</v>
      </c>
      <c r="I237" s="8"/>
      <c r="J237" s="12" t="s">
        <v>0</v>
      </c>
    </row>
    <row r="238" spans="1:10" x14ac:dyDescent="0.2">
      <c r="A238" s="4818" t="s">
        <v>298</v>
      </c>
      <c r="B238" s="4615">
        <v>7.75</v>
      </c>
      <c r="C238" s="4615">
        <v>7.75</v>
      </c>
      <c r="D238" s="4615">
        <v>7.75</v>
      </c>
      <c r="E238" s="4615">
        <v>7.75</v>
      </c>
      <c r="F238" s="4671">
        <v>6</v>
      </c>
      <c r="G238" s="226"/>
      <c r="H238" s="264" t="s">
        <v>0</v>
      </c>
      <c r="I238" s="4615">
        <f>SUM(B238:H238)</f>
        <v>37</v>
      </c>
      <c r="J238" s="234"/>
    </row>
    <row r="239" spans="1:10" ht="12.75" x14ac:dyDescent="0.2">
      <c r="A239" s="4816">
        <v>3701</v>
      </c>
      <c r="B239" s="4611" t="s">
        <v>283</v>
      </c>
      <c r="C239" s="4611" t="s">
        <v>283</v>
      </c>
      <c r="D239" s="4611" t="s">
        <v>283</v>
      </c>
      <c r="E239" s="4611" t="s">
        <v>283</v>
      </c>
      <c r="F239" s="4612" t="s">
        <v>284</v>
      </c>
      <c r="G239" s="4603"/>
      <c r="H239" s="4427" t="s">
        <v>0</v>
      </c>
      <c r="I239" s="4418"/>
      <c r="J239" s="4613" t="s">
        <v>0</v>
      </c>
    </row>
    <row r="240" spans="1:10" ht="12.75" x14ac:dyDescent="0.2">
      <c r="A240" s="4817" t="s">
        <v>952</v>
      </c>
      <c r="B240" s="4615">
        <v>7.75</v>
      </c>
      <c r="C240" s="4615">
        <v>7.75</v>
      </c>
      <c r="D240" s="4615">
        <v>7.75</v>
      </c>
      <c r="E240" s="4615">
        <v>7.75</v>
      </c>
      <c r="F240" s="4671">
        <v>6</v>
      </c>
      <c r="G240" s="226"/>
      <c r="H240" s="264" t="s">
        <v>0</v>
      </c>
      <c r="I240" s="4615">
        <f>SUM(B240:H240)</f>
        <v>37</v>
      </c>
      <c r="J240" s="234"/>
    </row>
    <row r="241" spans="1:10" ht="12.75" x14ac:dyDescent="0.2">
      <c r="A241" s="4816">
        <v>3701</v>
      </c>
      <c r="B241" s="4611" t="s">
        <v>283</v>
      </c>
      <c r="C241" s="4611" t="s">
        <v>283</v>
      </c>
      <c r="D241" s="4611" t="s">
        <v>283</v>
      </c>
      <c r="E241" s="4611" t="s">
        <v>283</v>
      </c>
      <c r="F241" s="4612" t="s">
        <v>284</v>
      </c>
      <c r="G241" s="4603"/>
      <c r="H241" s="4427" t="s">
        <v>0</v>
      </c>
      <c r="I241" s="4418"/>
      <c r="J241" s="4613" t="s">
        <v>0</v>
      </c>
    </row>
    <row r="242" spans="1:10" ht="12.75" x14ac:dyDescent="0.2">
      <c r="A242" s="4817" t="s">
        <v>953</v>
      </c>
      <c r="B242" s="4615">
        <v>7.75</v>
      </c>
      <c r="C242" s="4615">
        <v>7.75</v>
      </c>
      <c r="D242" s="4615">
        <v>7.75</v>
      </c>
      <c r="E242" s="4615">
        <v>7.75</v>
      </c>
      <c r="F242" s="4671">
        <v>6</v>
      </c>
      <c r="G242" s="226"/>
      <c r="H242" s="264" t="s">
        <v>0</v>
      </c>
      <c r="I242" s="4615">
        <f>SUM(B242:H242)</f>
        <v>37</v>
      </c>
      <c r="J242" s="234"/>
    </row>
    <row r="243" spans="1:10" ht="12.75" x14ac:dyDescent="0.2">
      <c r="A243" s="88">
        <v>3701</v>
      </c>
      <c r="B243" s="4" t="s">
        <v>283</v>
      </c>
      <c r="C243" s="4" t="s">
        <v>283</v>
      </c>
      <c r="D243" s="4" t="s">
        <v>283</v>
      </c>
      <c r="E243" s="4" t="s">
        <v>283</v>
      </c>
      <c r="F243" s="5" t="s">
        <v>284</v>
      </c>
      <c r="G243" s="89"/>
      <c r="H243" s="90" t="s">
        <v>0</v>
      </c>
      <c r="I243" s="8"/>
      <c r="J243" s="12" t="s">
        <v>0</v>
      </c>
    </row>
    <row r="244" spans="1:10" x14ac:dyDescent="0.2">
      <c r="A244" s="4818" t="s">
        <v>310</v>
      </c>
      <c r="B244" s="4615">
        <v>7.75</v>
      </c>
      <c r="C244" s="4615">
        <v>7.75</v>
      </c>
      <c r="D244" s="4615">
        <v>7.75</v>
      </c>
      <c r="E244" s="4615">
        <v>7.75</v>
      </c>
      <c r="F244" s="4671">
        <v>6</v>
      </c>
      <c r="G244" s="226"/>
      <c r="H244" s="264" t="s">
        <v>0</v>
      </c>
      <c r="I244" s="4615">
        <f>SUM(B244:H244)</f>
        <v>37</v>
      </c>
      <c r="J244" s="234"/>
    </row>
    <row r="245" spans="1:10" ht="12.75" x14ac:dyDescent="0.2">
      <c r="A245" s="4819">
        <v>3701</v>
      </c>
      <c r="B245" s="4611" t="s">
        <v>283</v>
      </c>
      <c r="C245" s="4611" t="s">
        <v>283</v>
      </c>
      <c r="D245" s="4611" t="s">
        <v>283</v>
      </c>
      <c r="E245" s="4611" t="s">
        <v>283</v>
      </c>
      <c r="F245" s="4612" t="s">
        <v>284</v>
      </c>
      <c r="G245" s="4603"/>
      <c r="H245" s="4427" t="s">
        <v>0</v>
      </c>
      <c r="I245" s="4418"/>
      <c r="J245" s="4613" t="s">
        <v>0</v>
      </c>
    </row>
    <row r="246" spans="1:10" x14ac:dyDescent="0.2">
      <c r="A246" s="4818"/>
      <c r="B246" s="4615">
        <v>7.75</v>
      </c>
      <c r="C246" s="4615">
        <v>7.75</v>
      </c>
      <c r="D246" s="4615">
        <v>7.75</v>
      </c>
      <c r="E246" s="4615">
        <v>7.75</v>
      </c>
      <c r="F246" s="4671">
        <v>6</v>
      </c>
      <c r="G246" s="226"/>
      <c r="H246" s="264" t="s">
        <v>0</v>
      </c>
      <c r="I246" s="4615">
        <f>SUM(B246:H246)</f>
        <v>37</v>
      </c>
      <c r="J246" s="234"/>
    </row>
    <row r="247" spans="1:10" ht="12.75" x14ac:dyDescent="0.2">
      <c r="A247" s="4819">
        <v>3701</v>
      </c>
      <c r="B247" s="4611" t="s">
        <v>283</v>
      </c>
      <c r="C247" s="4611" t="s">
        <v>283</v>
      </c>
      <c r="D247" s="4611" t="s">
        <v>283</v>
      </c>
      <c r="E247" s="4611" t="s">
        <v>283</v>
      </c>
      <c r="F247" s="4612" t="s">
        <v>284</v>
      </c>
      <c r="G247" s="4603"/>
      <c r="H247" s="4427" t="s">
        <v>0</v>
      </c>
      <c r="I247" s="4418"/>
      <c r="J247" s="4613" t="s">
        <v>0</v>
      </c>
    </row>
    <row r="248" spans="1:10" x14ac:dyDescent="0.2">
      <c r="A248" s="4818" t="s">
        <v>954</v>
      </c>
      <c r="B248" s="4615">
        <v>7.75</v>
      </c>
      <c r="C248" s="4615">
        <v>7.75</v>
      </c>
      <c r="D248" s="4615">
        <v>7.75</v>
      </c>
      <c r="E248" s="4615">
        <v>7.75</v>
      </c>
      <c r="F248" s="4671">
        <v>6</v>
      </c>
      <c r="G248" s="226"/>
      <c r="H248" s="264" t="s">
        <v>0</v>
      </c>
      <c r="I248" s="4615">
        <f>SUM(B248:H248)</f>
        <v>37</v>
      </c>
      <c r="J248" s="234"/>
    </row>
    <row r="249" spans="1:10" ht="12.75" x14ac:dyDescent="0.2">
      <c r="A249" s="4819">
        <v>3701</v>
      </c>
      <c r="B249" s="4611" t="s">
        <v>283</v>
      </c>
      <c r="C249" s="4611" t="s">
        <v>283</v>
      </c>
      <c r="D249" s="4611" t="s">
        <v>283</v>
      </c>
      <c r="E249" s="4611" t="s">
        <v>283</v>
      </c>
      <c r="F249" s="4612" t="s">
        <v>284</v>
      </c>
      <c r="G249" s="4603"/>
      <c r="H249" s="4427" t="s">
        <v>0</v>
      </c>
      <c r="I249" s="4418"/>
      <c r="J249" s="4613" t="s">
        <v>0</v>
      </c>
    </row>
    <row r="250" spans="1:10" x14ac:dyDescent="0.2">
      <c r="A250" s="4818" t="s">
        <v>301</v>
      </c>
      <c r="B250" s="4615">
        <v>7.75</v>
      </c>
      <c r="C250" s="4615">
        <v>7.75</v>
      </c>
      <c r="D250" s="4615">
        <v>7.75</v>
      </c>
      <c r="E250" s="4615">
        <v>7.75</v>
      </c>
      <c r="F250" s="4671">
        <v>6</v>
      </c>
      <c r="G250" s="226"/>
      <c r="H250" s="264" t="s">
        <v>0</v>
      </c>
      <c r="I250" s="4615">
        <f>SUM(B250:H250)</f>
        <v>37</v>
      </c>
      <c r="J250" s="234"/>
    </row>
    <row r="251" spans="1:10" ht="12.75" x14ac:dyDescent="0.2">
      <c r="A251" s="4819">
        <v>3701</v>
      </c>
      <c r="B251" s="4611" t="s">
        <v>283</v>
      </c>
      <c r="C251" s="4611" t="s">
        <v>283</v>
      </c>
      <c r="D251" s="4611" t="s">
        <v>283</v>
      </c>
      <c r="E251" s="4611" t="s">
        <v>283</v>
      </c>
      <c r="F251" s="4612" t="s">
        <v>284</v>
      </c>
      <c r="G251" s="4603"/>
      <c r="H251" s="4427" t="s">
        <v>0</v>
      </c>
      <c r="I251" s="4418"/>
      <c r="J251" s="4613" t="s">
        <v>0</v>
      </c>
    </row>
    <row r="252" spans="1:10" x14ac:dyDescent="0.2">
      <c r="A252" s="4818" t="s">
        <v>302</v>
      </c>
      <c r="B252" s="4615">
        <v>7.75</v>
      </c>
      <c r="C252" s="4615">
        <v>7.75</v>
      </c>
      <c r="D252" s="4615">
        <v>7.75</v>
      </c>
      <c r="E252" s="4615">
        <v>7.75</v>
      </c>
      <c r="F252" s="4671">
        <v>6</v>
      </c>
      <c r="G252" s="226"/>
      <c r="H252" s="264" t="s">
        <v>0</v>
      </c>
      <c r="I252" s="4615">
        <f>SUM(B252:H252)</f>
        <v>37</v>
      </c>
      <c r="J252" s="234"/>
    </row>
    <row r="253" spans="1:10" ht="12.75" x14ac:dyDescent="0.2">
      <c r="A253" s="4819">
        <v>3701</v>
      </c>
      <c r="B253" s="4611" t="s">
        <v>283</v>
      </c>
      <c r="C253" s="4611" t="s">
        <v>283</v>
      </c>
      <c r="D253" s="4611" t="s">
        <v>283</v>
      </c>
      <c r="E253" s="4611" t="s">
        <v>283</v>
      </c>
      <c r="F253" s="4612" t="s">
        <v>284</v>
      </c>
      <c r="G253" s="4603"/>
      <c r="H253" s="4427" t="s">
        <v>0</v>
      </c>
      <c r="I253" s="4418"/>
      <c r="J253" s="4613" t="s">
        <v>0</v>
      </c>
    </row>
    <row r="254" spans="1:10" x14ac:dyDescent="0.2">
      <c r="A254" s="4818" t="s">
        <v>955</v>
      </c>
      <c r="B254" s="4615">
        <v>7.75</v>
      </c>
      <c r="C254" s="4615">
        <v>7.75</v>
      </c>
      <c r="D254" s="4615">
        <v>7.75</v>
      </c>
      <c r="E254" s="4615">
        <v>7.75</v>
      </c>
      <c r="F254" s="4671">
        <v>6</v>
      </c>
      <c r="G254" s="226"/>
      <c r="H254" s="264" t="s">
        <v>0</v>
      </c>
      <c r="I254" s="4615">
        <f>SUM(B254:H254)</f>
        <v>37</v>
      </c>
      <c r="J254" s="234"/>
    </row>
    <row r="255" spans="1:10" ht="12.75" x14ac:dyDescent="0.2">
      <c r="A255" s="4819">
        <v>3701</v>
      </c>
      <c r="B255" s="4611" t="s">
        <v>283</v>
      </c>
      <c r="C255" s="4611" t="s">
        <v>283</v>
      </c>
      <c r="D255" s="4611" t="s">
        <v>283</v>
      </c>
      <c r="E255" s="4611" t="s">
        <v>283</v>
      </c>
      <c r="F255" s="4612" t="s">
        <v>284</v>
      </c>
      <c r="G255" s="4603"/>
      <c r="H255" s="4427" t="s">
        <v>0</v>
      </c>
      <c r="I255" s="4418"/>
      <c r="J255" s="4613" t="s">
        <v>0</v>
      </c>
    </row>
    <row r="256" spans="1:10" x14ac:dyDescent="0.2">
      <c r="A256" s="4818" t="s">
        <v>956</v>
      </c>
      <c r="B256" s="4615">
        <v>7.75</v>
      </c>
      <c r="C256" s="4615">
        <v>7.75</v>
      </c>
      <c r="D256" s="4615">
        <v>7.75</v>
      </c>
      <c r="E256" s="4615">
        <v>7.75</v>
      </c>
      <c r="F256" s="4671">
        <v>6</v>
      </c>
      <c r="G256" s="226"/>
      <c r="H256" s="264" t="s">
        <v>0</v>
      </c>
      <c r="I256" s="4615">
        <f>SUM(B256:H256)</f>
        <v>37</v>
      </c>
      <c r="J256" s="234"/>
    </row>
    <row r="257" spans="1:10" ht="12.75" x14ac:dyDescent="0.2">
      <c r="A257" s="4819">
        <v>3701</v>
      </c>
      <c r="B257" s="4611" t="s">
        <v>283</v>
      </c>
      <c r="C257" s="4611" t="s">
        <v>283</v>
      </c>
      <c r="D257" s="4611" t="s">
        <v>283</v>
      </c>
      <c r="E257" s="4611" t="s">
        <v>283</v>
      </c>
      <c r="F257" s="4612" t="s">
        <v>284</v>
      </c>
      <c r="G257" s="4603"/>
      <c r="H257" s="4427" t="s">
        <v>0</v>
      </c>
      <c r="I257" s="4418"/>
      <c r="J257" s="4613" t="s">
        <v>0</v>
      </c>
    </row>
    <row r="258" spans="1:10" x14ac:dyDescent="0.2">
      <c r="A258" s="4818" t="s">
        <v>957</v>
      </c>
      <c r="B258" s="4615">
        <v>7.75</v>
      </c>
      <c r="C258" s="4615">
        <v>7.75</v>
      </c>
      <c r="D258" s="4615">
        <v>7.75</v>
      </c>
      <c r="E258" s="4615">
        <v>7.75</v>
      </c>
      <c r="F258" s="4671">
        <v>6</v>
      </c>
      <c r="G258" s="226"/>
      <c r="H258" s="264" t="s">
        <v>0</v>
      </c>
      <c r="I258" s="4615">
        <f>SUM(B258:H258)</f>
        <v>37</v>
      </c>
      <c r="J258" s="234"/>
    </row>
    <row r="259" spans="1:10" ht="12.75" x14ac:dyDescent="0.2">
      <c r="A259" s="4819">
        <v>3701</v>
      </c>
      <c r="B259" s="4611" t="s">
        <v>283</v>
      </c>
      <c r="C259" s="4611" t="s">
        <v>283</v>
      </c>
      <c r="D259" s="4611" t="s">
        <v>283</v>
      </c>
      <c r="E259" s="4611" t="s">
        <v>283</v>
      </c>
      <c r="F259" s="4612" t="s">
        <v>284</v>
      </c>
      <c r="G259" s="4603"/>
      <c r="H259" s="4427" t="s">
        <v>0</v>
      </c>
      <c r="I259" s="4418"/>
      <c r="J259" s="4613" t="s">
        <v>0</v>
      </c>
    </row>
    <row r="260" spans="1:10" x14ac:dyDescent="0.2">
      <c r="A260" s="4818" t="s">
        <v>958</v>
      </c>
      <c r="B260" s="4615">
        <v>7.75</v>
      </c>
      <c r="C260" s="4615">
        <v>7.75</v>
      </c>
      <c r="D260" s="4615">
        <v>7.75</v>
      </c>
      <c r="E260" s="4615">
        <v>7.75</v>
      </c>
      <c r="F260" s="4671">
        <v>6</v>
      </c>
      <c r="G260" s="226"/>
      <c r="H260" s="264" t="s">
        <v>0</v>
      </c>
      <c r="I260" s="4615">
        <f>SUM(B260:H260)</f>
        <v>37</v>
      </c>
      <c r="J260" s="234"/>
    </row>
    <row r="261" spans="1:10" ht="12.75" x14ac:dyDescent="0.2">
      <c r="A261" s="4819">
        <v>3701</v>
      </c>
      <c r="B261" s="4611" t="s">
        <v>283</v>
      </c>
      <c r="C261" s="4611" t="s">
        <v>283</v>
      </c>
      <c r="D261" s="4611" t="s">
        <v>283</v>
      </c>
      <c r="E261" s="4611" t="s">
        <v>283</v>
      </c>
      <c r="F261" s="4612" t="s">
        <v>284</v>
      </c>
      <c r="G261" s="4603"/>
      <c r="H261" s="4427" t="s">
        <v>0</v>
      </c>
      <c r="I261" s="4418"/>
      <c r="J261" s="4613" t="s">
        <v>0</v>
      </c>
    </row>
    <row r="262" spans="1:10" x14ac:dyDescent="0.2">
      <c r="A262" s="4818"/>
      <c r="B262" s="4615"/>
      <c r="C262" s="4615"/>
      <c r="D262" s="4615"/>
      <c r="E262" s="4615"/>
      <c r="F262" s="4671"/>
      <c r="G262" s="226"/>
      <c r="H262" s="264" t="s">
        <v>0</v>
      </c>
      <c r="I262" s="4615">
        <f>SUM(B262:H262)</f>
        <v>0</v>
      </c>
      <c r="J262" s="234"/>
    </row>
    <row r="263" spans="1:10" ht="12.75" x14ac:dyDescent="0.2">
      <c r="A263" s="4819">
        <v>3701</v>
      </c>
      <c r="B263" s="4611" t="s">
        <v>286</v>
      </c>
      <c r="C263" s="4611" t="s">
        <v>286</v>
      </c>
      <c r="D263" s="4611" t="s">
        <v>286</v>
      </c>
      <c r="E263" s="4611" t="s">
        <v>286</v>
      </c>
      <c r="F263" s="4612" t="s">
        <v>287</v>
      </c>
      <c r="G263" s="4603"/>
      <c r="H263" s="4427" t="s">
        <v>0</v>
      </c>
      <c r="I263" s="4418"/>
      <c r="J263" s="4613" t="s">
        <v>0</v>
      </c>
    </row>
    <row r="264" spans="1:10" x14ac:dyDescent="0.2">
      <c r="A264" s="4818"/>
      <c r="B264" s="4615"/>
      <c r="C264" s="4615"/>
      <c r="D264" s="4615"/>
      <c r="E264" s="4615"/>
      <c r="F264" s="4671"/>
      <c r="G264" s="226"/>
      <c r="H264" s="264" t="s">
        <v>0</v>
      </c>
      <c r="I264" s="4615">
        <f>SUM(B264:H264)</f>
        <v>0</v>
      </c>
      <c r="J264" s="234"/>
    </row>
    <row r="265" spans="1:10" x14ac:dyDescent="0.2">
      <c r="A265" s="4626" t="s">
        <v>652</v>
      </c>
      <c r="B265" s="4626">
        <f t="shared" ref="B265:H265" si="12">SUM(B254,B256,B258,B260,B262,B264)</f>
        <v>31</v>
      </c>
      <c r="C265" s="4626">
        <f t="shared" si="12"/>
        <v>31</v>
      </c>
      <c r="D265" s="4626">
        <f t="shared" si="12"/>
        <v>31</v>
      </c>
      <c r="E265" s="4626">
        <f t="shared" si="12"/>
        <v>31</v>
      </c>
      <c r="F265" s="4626">
        <f t="shared" si="12"/>
        <v>24</v>
      </c>
      <c r="G265" s="4626">
        <f t="shared" si="12"/>
        <v>0</v>
      </c>
      <c r="H265" s="4626">
        <f t="shared" si="12"/>
        <v>0</v>
      </c>
      <c r="I265" s="4635">
        <f>SUM(I236,I238,I240,I242,I244,I246,I248,I250,I252,I254,I256,I258,I260,I262,I264)</f>
        <v>444</v>
      </c>
      <c r="J265" s="4636"/>
    </row>
    <row r="266" spans="1:10" ht="12.75" x14ac:dyDescent="0.2">
      <c r="A266" s="64"/>
      <c r="B266" s="18"/>
      <c r="C266" s="18"/>
      <c r="D266" s="18"/>
      <c r="E266" s="18"/>
      <c r="F266" s="37"/>
      <c r="G266" s="4690" t="s">
        <v>768</v>
      </c>
      <c r="H266" s="4690" t="s">
        <v>769</v>
      </c>
      <c r="I266" s="4690" t="s">
        <v>770</v>
      </c>
      <c r="J266" s="19"/>
    </row>
    <row r="267" spans="1:10" ht="12.75" x14ac:dyDescent="0.2">
      <c r="A267" s="64"/>
      <c r="B267" s="18"/>
      <c r="C267" s="18"/>
      <c r="D267" s="18"/>
      <c r="E267" s="18"/>
      <c r="F267" s="37"/>
      <c r="G267" s="4663">
        <f>I265</f>
        <v>444</v>
      </c>
      <c r="H267" s="4691">
        <f>SUM(G267*13/3)</f>
        <v>1924</v>
      </c>
      <c r="I267" s="4663">
        <f>SUM(H267*12)</f>
        <v>23088</v>
      </c>
      <c r="J267" s="19"/>
    </row>
  </sheetData>
  <sheetProtection algorithmName="SHA-512" hashValue="VhyqXPcMWaLVw6Eu86ty+HyZ7hk5LDIKio6v3tVEtogVtjyalNFbgs77FuwFdN6ePlwkSP6rnb47dk4NR6aLug==" saltValue="RY7ualhH52rf3d6wNsUSwg==" spinCount="100000" sheet="1" objects="1" scenarios="1"/>
  <phoneticPr fontId="9" type="noConversion"/>
  <pageMargins left="0" right="0" top="0.19652777777777777" bottom="0" header="0.19652777777777777" footer="0.51180555555555551"/>
  <pageSetup paperSize="9" scale="90" firstPageNumber="0" pageOrder="overThenDown" orientation="landscape" horizontalDpi="300" verticalDpi="300" r:id="rId1"/>
  <headerFooter alignWithMargins="0">
    <oddHeader>&amp;ROpdateret &amp;D</oddHead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2"/>
  <dimension ref="A1:J297"/>
  <sheetViews>
    <sheetView topLeftCell="A49" zoomScale="67" zoomScaleNormal="67" workbookViewId="0">
      <selection activeCell="P43" sqref="P42:P43"/>
    </sheetView>
  </sheetViews>
  <sheetFormatPr defaultRowHeight="12" x14ac:dyDescent="0.2"/>
  <cols>
    <col min="1" max="1" width="26" customWidth="1"/>
    <col min="2" max="2" width="13" customWidth="1"/>
    <col min="3" max="3" width="12.85546875" customWidth="1"/>
    <col min="4" max="6" width="12.140625" customWidth="1"/>
    <col min="7" max="8" width="13.140625" customWidth="1"/>
    <col min="9" max="9" width="12.5703125" customWidth="1"/>
    <col min="10" max="10" width="26" customWidth="1"/>
  </cols>
  <sheetData>
    <row r="1" spans="1:10" ht="20.100000000000001" customHeight="1" x14ac:dyDescent="0.2">
      <c r="A1" s="1" t="s">
        <v>636</v>
      </c>
      <c r="B1" s="1"/>
      <c r="D1" s="2"/>
      <c r="E1" s="2"/>
    </row>
    <row r="2" spans="1:10" ht="20.100000000000001" customHeight="1" x14ac:dyDescent="0.2">
      <c r="A2" s="4602" t="s">
        <v>764</v>
      </c>
      <c r="B2" s="4603" t="s">
        <v>107</v>
      </c>
      <c r="C2" s="4604" t="s">
        <v>108</v>
      </c>
      <c r="D2" s="4604" t="s">
        <v>109</v>
      </c>
      <c r="E2" s="4604" t="s">
        <v>110</v>
      </c>
      <c r="F2" s="4604" t="s">
        <v>111</v>
      </c>
      <c r="G2" s="4604" t="s">
        <v>112</v>
      </c>
      <c r="H2" s="4425" t="s">
        <v>113</v>
      </c>
      <c r="I2" s="4418" t="s">
        <v>158</v>
      </c>
      <c r="J2" s="4605" t="s">
        <v>114</v>
      </c>
    </row>
    <row r="3" spans="1:10" ht="20.100000000000001" customHeight="1" x14ac:dyDescent="0.2">
      <c r="A3" s="3"/>
      <c r="B3" s="4" t="s">
        <v>194</v>
      </c>
      <c r="C3" s="4" t="s">
        <v>194</v>
      </c>
      <c r="D3" s="4" t="s">
        <v>194</v>
      </c>
      <c r="E3" s="4" t="s">
        <v>194</v>
      </c>
      <c r="F3" s="5" t="s">
        <v>765</v>
      </c>
      <c r="G3" s="6"/>
      <c r="H3" s="7"/>
      <c r="I3" s="8"/>
      <c r="J3" s="9"/>
    </row>
    <row r="4" spans="1:10" ht="20.100000000000001" customHeight="1" x14ac:dyDescent="0.2">
      <c r="A4" s="38" t="s">
        <v>638</v>
      </c>
      <c r="B4" s="4658">
        <v>7.75</v>
      </c>
      <c r="C4" s="4658">
        <v>7.75</v>
      </c>
      <c r="D4" s="4658">
        <v>7.75</v>
      </c>
      <c r="E4" s="4658">
        <v>7.75</v>
      </c>
      <c r="F4" s="4659">
        <v>6</v>
      </c>
      <c r="G4" s="4660"/>
      <c r="H4" s="36"/>
      <c r="I4" s="4674">
        <f>SUM(B4:H4)</f>
        <v>37</v>
      </c>
      <c r="J4" s="4820"/>
    </row>
    <row r="5" spans="1:10" ht="20.100000000000001" customHeight="1" x14ac:dyDescent="0.2">
      <c r="A5" s="4794" t="s">
        <v>959</v>
      </c>
      <c r="B5" s="4821" t="s">
        <v>960</v>
      </c>
      <c r="C5" s="4821" t="s">
        <v>960</v>
      </c>
      <c r="D5" s="4821" t="s">
        <v>960</v>
      </c>
      <c r="E5" s="4821" t="s">
        <v>960</v>
      </c>
      <c r="F5" s="4821" t="s">
        <v>961</v>
      </c>
      <c r="G5" s="4822"/>
      <c r="H5" s="4822"/>
      <c r="I5" s="4615"/>
      <c r="J5" s="4823"/>
    </row>
    <row r="6" spans="1:10" ht="20.100000000000001" customHeight="1" x14ac:dyDescent="0.2">
      <c r="A6" s="18"/>
      <c r="E6" s="18"/>
      <c r="F6" s="37"/>
      <c r="G6" s="43" t="s">
        <v>768</v>
      </c>
      <c r="H6" s="43" t="s">
        <v>769</v>
      </c>
      <c r="I6" s="43" t="s">
        <v>770</v>
      </c>
      <c r="J6" s="44"/>
    </row>
    <row r="7" spans="1:10" ht="20.100000000000001" customHeight="1" x14ac:dyDescent="0.2">
      <c r="A7" s="18"/>
      <c r="E7" s="18"/>
      <c r="F7" s="37"/>
      <c r="G7" s="4663">
        <f>I4</f>
        <v>37</v>
      </c>
      <c r="H7" s="4691">
        <f>SUM(G7*13/3)</f>
        <v>160.33333333333334</v>
      </c>
      <c r="I7" s="4663">
        <f>SUM(H7*12)</f>
        <v>1924</v>
      </c>
      <c r="J7" s="44"/>
    </row>
    <row r="8" spans="1:10" ht="20.100000000000001" customHeight="1" x14ac:dyDescent="0.2">
      <c r="A8" s="16" t="s">
        <v>767</v>
      </c>
      <c r="D8" s="2"/>
      <c r="E8" s="2"/>
    </row>
    <row r="9" spans="1:10" ht="20.100000000000001" customHeight="1" x14ac:dyDescent="0.2">
      <c r="A9" s="4422" t="s">
        <v>654</v>
      </c>
      <c r="B9" s="4606" t="s">
        <v>107</v>
      </c>
      <c r="C9" s="4607" t="s">
        <v>108</v>
      </c>
      <c r="D9" s="4607" t="s">
        <v>109</v>
      </c>
      <c r="E9" s="4607" t="s">
        <v>110</v>
      </c>
      <c r="F9" s="4607" t="s">
        <v>111</v>
      </c>
      <c r="G9" s="4607" t="s">
        <v>112</v>
      </c>
      <c r="H9" s="4608" t="s">
        <v>113</v>
      </c>
      <c r="I9" s="4406" t="s">
        <v>158</v>
      </c>
      <c r="J9" s="4609" t="s">
        <v>114</v>
      </c>
    </row>
    <row r="10" spans="1:10" ht="20.100000000000001" customHeight="1" x14ac:dyDescent="0.2">
      <c r="A10" s="4610"/>
      <c r="B10" s="4612" t="s">
        <v>655</v>
      </c>
      <c r="C10" s="4612" t="s">
        <v>655</v>
      </c>
      <c r="D10" s="4612" t="s">
        <v>655</v>
      </c>
      <c r="E10" s="4612" t="s">
        <v>655</v>
      </c>
      <c r="F10" s="4612" t="s">
        <v>656</v>
      </c>
      <c r="G10" s="4612"/>
      <c r="H10" s="4612"/>
      <c r="I10" s="4437"/>
      <c r="J10" s="4613"/>
    </row>
    <row r="11" spans="1:10" ht="20.100000000000001" customHeight="1" x14ac:dyDescent="0.2">
      <c r="A11" s="4824" t="s">
        <v>55</v>
      </c>
      <c r="B11" s="4687">
        <v>7.75</v>
      </c>
      <c r="C11" s="4687">
        <v>7.75</v>
      </c>
      <c r="D11" s="4687">
        <v>7.75</v>
      </c>
      <c r="E11" s="4687">
        <v>7.75</v>
      </c>
      <c r="F11" s="4687">
        <v>6</v>
      </c>
      <c r="G11" s="4687"/>
      <c r="H11" s="4687"/>
      <c r="I11" s="4687">
        <f>SUM(B11:H11)</f>
        <v>37</v>
      </c>
      <c r="J11" s="4825"/>
    </row>
    <row r="12" spans="1:10" ht="20.100000000000001" customHeight="1" x14ac:dyDescent="0.2">
      <c r="A12" s="4794" t="s">
        <v>959</v>
      </c>
      <c r="B12" s="4821" t="s">
        <v>962</v>
      </c>
      <c r="C12" s="4821" t="s">
        <v>962</v>
      </c>
      <c r="D12" s="4821" t="s">
        <v>962</v>
      </c>
      <c r="E12" s="4821" t="s">
        <v>962</v>
      </c>
      <c r="F12" s="4821" t="s">
        <v>963</v>
      </c>
      <c r="G12" s="4671"/>
      <c r="H12" s="4671"/>
      <c r="I12" s="4671"/>
      <c r="J12" s="4673"/>
    </row>
    <row r="13" spans="1:10" ht="20.100000000000001" customHeight="1" x14ac:dyDescent="0.2">
      <c r="A13" s="18"/>
      <c r="E13" s="18"/>
      <c r="F13" s="37"/>
      <c r="G13" s="43" t="s">
        <v>768</v>
      </c>
      <c r="H13" s="43" t="s">
        <v>769</v>
      </c>
      <c r="I13" s="43" t="s">
        <v>770</v>
      </c>
      <c r="J13" s="44"/>
    </row>
    <row r="14" spans="1:10" ht="20.100000000000001" customHeight="1" x14ac:dyDescent="0.2">
      <c r="A14" s="18"/>
      <c r="E14" s="18"/>
      <c r="F14" s="37"/>
      <c r="G14" s="4663">
        <f>I11</f>
        <v>37</v>
      </c>
      <c r="H14" s="4691">
        <f>SUM(G14*13/3)</f>
        <v>160.33333333333334</v>
      </c>
      <c r="I14" s="4663">
        <f>SUM(H14*12)</f>
        <v>1924</v>
      </c>
      <c r="J14" s="44"/>
    </row>
    <row r="15" spans="1:10" ht="20.100000000000001" customHeight="1" x14ac:dyDescent="0.2">
      <c r="A15" s="18"/>
      <c r="E15" s="18"/>
      <c r="F15" s="37"/>
      <c r="G15" s="18"/>
      <c r="H15" s="45"/>
      <c r="I15" s="18"/>
      <c r="J15" s="44"/>
    </row>
    <row r="16" spans="1:10" ht="20.100000000000001" customHeight="1" x14ac:dyDescent="0.2">
      <c r="A16" s="18"/>
      <c r="E16" s="18"/>
      <c r="F16" s="37"/>
      <c r="G16" s="18"/>
      <c r="H16" s="45"/>
      <c r="I16" s="18"/>
      <c r="J16" s="44"/>
    </row>
    <row r="17" spans="1:10" ht="20.100000000000001" customHeight="1" x14ac:dyDescent="0.2">
      <c r="A17" s="18"/>
      <c r="E17" s="18"/>
      <c r="F17" s="37"/>
      <c r="G17" s="18"/>
      <c r="H17" s="45"/>
      <c r="I17" s="18"/>
      <c r="J17" s="44"/>
    </row>
    <row r="18" spans="1:10" ht="20.100000000000001" customHeight="1" x14ac:dyDescent="0.2">
      <c r="A18" s="18"/>
      <c r="E18" s="18"/>
      <c r="F18" s="37"/>
      <c r="G18" s="18"/>
      <c r="H18" s="45"/>
      <c r="I18" s="18"/>
      <c r="J18" s="44"/>
    </row>
    <row r="19" spans="1:10" ht="20.100000000000001" customHeight="1" x14ac:dyDescent="0.2">
      <c r="A19" s="18"/>
      <c r="E19" s="18"/>
      <c r="F19" s="37"/>
      <c r="G19" s="18"/>
      <c r="H19" s="45"/>
      <c r="I19" s="18"/>
      <c r="J19" s="44"/>
    </row>
    <row r="20" spans="1:10" ht="20.100000000000001" customHeight="1" x14ac:dyDescent="0.2">
      <c r="A20" s="18"/>
      <c r="E20" s="18"/>
      <c r="F20" s="37"/>
      <c r="G20" s="18"/>
      <c r="H20" s="45"/>
      <c r="I20" s="18"/>
      <c r="J20" s="44"/>
    </row>
    <row r="21" spans="1:10" ht="20.100000000000001" customHeight="1" x14ac:dyDescent="0.2">
      <c r="A21" s="18"/>
      <c r="E21" s="18"/>
      <c r="F21" s="37"/>
      <c r="G21" s="18"/>
      <c r="H21" s="45"/>
      <c r="I21" s="18"/>
      <c r="J21" s="44"/>
    </row>
    <row r="22" spans="1:10" ht="20.100000000000001" customHeight="1" x14ac:dyDescent="0.2">
      <c r="A22" s="18"/>
      <c r="E22" s="18"/>
      <c r="F22" s="37"/>
      <c r="G22" s="18"/>
      <c r="H22" s="45"/>
      <c r="I22" s="18"/>
      <c r="J22" s="44"/>
    </row>
    <row r="23" spans="1:10" ht="20.100000000000001" customHeight="1" x14ac:dyDescent="0.2">
      <c r="A23" s="18"/>
      <c r="E23" s="18"/>
      <c r="F23" s="37"/>
      <c r="G23" s="18"/>
      <c r="H23" s="45"/>
      <c r="I23" s="18"/>
      <c r="J23" s="44"/>
    </row>
    <row r="24" spans="1:10" ht="20.100000000000001" customHeight="1" x14ac:dyDescent="0.2">
      <c r="A24" s="18"/>
      <c r="E24" s="18"/>
      <c r="F24" s="37"/>
      <c r="G24" s="18"/>
      <c r="H24" s="45"/>
      <c r="I24" s="18"/>
      <c r="J24" s="44"/>
    </row>
    <row r="25" spans="1:10" ht="20.100000000000001" customHeight="1" x14ac:dyDescent="0.2">
      <c r="A25" s="18"/>
      <c r="E25" s="18"/>
      <c r="F25" s="37"/>
      <c r="G25" s="18"/>
      <c r="H25" s="45"/>
      <c r="I25" s="18"/>
      <c r="J25" s="44"/>
    </row>
    <row r="26" spans="1:10" ht="20.100000000000001" customHeight="1" x14ac:dyDescent="0.2">
      <c r="A26" s="18"/>
      <c r="E26" s="18"/>
      <c r="F26" s="37"/>
      <c r="G26" s="18"/>
      <c r="H26" s="45"/>
      <c r="I26" s="18"/>
      <c r="J26" s="44"/>
    </row>
    <row r="27" spans="1:10" ht="20.100000000000001" customHeight="1" x14ac:dyDescent="0.2">
      <c r="A27" s="18"/>
      <c r="E27" s="18"/>
      <c r="F27" s="37"/>
      <c r="G27" s="18"/>
      <c r="H27" s="45"/>
      <c r="I27" s="18"/>
      <c r="J27" s="44"/>
    </row>
    <row r="28" spans="1:10" ht="20.100000000000001" customHeight="1" x14ac:dyDescent="0.2">
      <c r="A28" s="18"/>
      <c r="E28" s="18"/>
      <c r="F28" s="37"/>
      <c r="G28" s="18"/>
      <c r="H28" s="45"/>
      <c r="I28" s="18"/>
      <c r="J28" s="44"/>
    </row>
    <row r="29" spans="1:10" ht="20.100000000000001" customHeight="1" x14ac:dyDescent="0.2">
      <c r="A29" s="18"/>
      <c r="E29" s="18"/>
      <c r="F29" s="37"/>
      <c r="G29" s="18"/>
      <c r="H29" s="45"/>
      <c r="I29" s="18"/>
      <c r="J29" s="44"/>
    </row>
    <row r="30" spans="1:10" ht="20.100000000000001" customHeight="1" x14ac:dyDescent="0.2">
      <c r="A30" s="18"/>
      <c r="E30" s="18"/>
      <c r="F30" s="37"/>
      <c r="G30" s="18"/>
      <c r="H30" s="45"/>
      <c r="I30" s="18"/>
      <c r="J30" s="44"/>
    </row>
    <row r="31" spans="1:10" ht="20.100000000000001" customHeight="1" x14ac:dyDescent="0.2">
      <c r="A31" s="18"/>
      <c r="E31" s="18"/>
      <c r="F31" s="37"/>
      <c r="G31" s="18"/>
      <c r="H31" s="45"/>
      <c r="I31" s="18"/>
      <c r="J31" s="44"/>
    </row>
    <row r="32" spans="1:10" ht="20.100000000000001" customHeight="1" x14ac:dyDescent="0.2">
      <c r="A32" s="18"/>
      <c r="E32" s="18"/>
      <c r="F32" s="37"/>
      <c r="G32" s="18"/>
      <c r="H32" s="45"/>
      <c r="I32" s="18"/>
      <c r="J32" s="44"/>
    </row>
    <row r="33" spans="1:10" ht="20.100000000000001" customHeight="1" x14ac:dyDescent="0.2">
      <c r="A33" s="1" t="s">
        <v>19</v>
      </c>
      <c r="B33" s="1"/>
      <c r="D33" s="2"/>
      <c r="E33" s="2"/>
    </row>
    <row r="34" spans="1:10" ht="18" customHeight="1" x14ac:dyDescent="0.2">
      <c r="A34" s="4422" t="s">
        <v>639</v>
      </c>
      <c r="B34" s="4606" t="s">
        <v>107</v>
      </c>
      <c r="C34" s="4607" t="s">
        <v>108</v>
      </c>
      <c r="D34" s="4607" t="s">
        <v>109</v>
      </c>
      <c r="E34" s="4607" t="s">
        <v>110</v>
      </c>
      <c r="F34" s="4607" t="s">
        <v>111</v>
      </c>
      <c r="G34" s="4607" t="s">
        <v>112</v>
      </c>
      <c r="H34" s="4608" t="s">
        <v>113</v>
      </c>
      <c r="I34" s="4406" t="s">
        <v>158</v>
      </c>
      <c r="J34" s="4609" t="s">
        <v>114</v>
      </c>
    </row>
    <row r="35" spans="1:10" ht="18" customHeight="1" x14ac:dyDescent="0.2">
      <c r="A35" s="4692" t="s">
        <v>0</v>
      </c>
      <c r="B35" s="4604" t="s">
        <v>771</v>
      </c>
      <c r="C35" s="4604" t="s">
        <v>771</v>
      </c>
      <c r="D35" s="4604" t="s">
        <v>771</v>
      </c>
      <c r="E35" s="4604" t="s">
        <v>771</v>
      </c>
      <c r="F35" s="4604" t="s">
        <v>771</v>
      </c>
      <c r="G35" s="4604" t="s">
        <v>772</v>
      </c>
      <c r="H35" s="4604" t="s">
        <v>772</v>
      </c>
      <c r="I35" s="4437"/>
      <c r="J35" s="4693" t="s">
        <v>773</v>
      </c>
    </row>
    <row r="36" spans="1:10" ht="18" customHeight="1" x14ac:dyDescent="0.2">
      <c r="A36" s="4826" t="s">
        <v>40</v>
      </c>
      <c r="B36" s="4790">
        <v>8.25</v>
      </c>
      <c r="C36" s="4790">
        <v>8.25</v>
      </c>
      <c r="D36" s="4659">
        <v>8.25</v>
      </c>
      <c r="E36" s="4659">
        <v>8.25</v>
      </c>
      <c r="F36" s="4659">
        <v>8.25</v>
      </c>
      <c r="G36" s="4659">
        <v>12.25</v>
      </c>
      <c r="H36" s="4659">
        <v>12.25</v>
      </c>
      <c r="I36" s="4695">
        <f>SUM(B36:H36)</f>
        <v>65.75</v>
      </c>
      <c r="J36" s="4827" t="s">
        <v>775</v>
      </c>
    </row>
    <row r="37" spans="1:10" ht="18" customHeight="1" x14ac:dyDescent="0.2">
      <c r="A37" s="4789" t="s">
        <v>959</v>
      </c>
      <c r="B37" s="4791" t="s">
        <v>964</v>
      </c>
      <c r="C37" s="4791" t="s">
        <v>964</v>
      </c>
      <c r="D37" s="4791" t="s">
        <v>964</v>
      </c>
      <c r="E37" s="4791" t="s">
        <v>964</v>
      </c>
      <c r="F37" s="4791" t="s">
        <v>964</v>
      </c>
      <c r="G37" s="4791" t="s">
        <v>965</v>
      </c>
      <c r="H37" s="4791" t="s">
        <v>966</v>
      </c>
      <c r="I37" s="4790"/>
      <c r="J37" s="4828"/>
    </row>
    <row r="38" spans="1:10" ht="18" customHeight="1" x14ac:dyDescent="0.2">
      <c r="A38" s="4692" t="s">
        <v>0</v>
      </c>
      <c r="B38" s="4611" t="s">
        <v>171</v>
      </c>
      <c r="C38" s="4611" t="s">
        <v>171</v>
      </c>
      <c r="D38" s="4611" t="s">
        <v>171</v>
      </c>
      <c r="E38" s="4611" t="s">
        <v>171</v>
      </c>
      <c r="F38" s="4611" t="s">
        <v>171</v>
      </c>
      <c r="G38" s="4437"/>
      <c r="H38" s="4437"/>
      <c r="I38" s="4437"/>
      <c r="J38" s="4699" t="s">
        <v>777</v>
      </c>
    </row>
    <row r="39" spans="1:10" ht="18" customHeight="1" x14ac:dyDescent="0.2">
      <c r="A39" s="4829" t="s">
        <v>778</v>
      </c>
      <c r="B39" s="4687"/>
      <c r="C39" s="4687"/>
      <c r="D39" s="4687"/>
      <c r="E39" s="4687"/>
      <c r="F39" s="4687"/>
      <c r="G39" s="4830"/>
      <c r="H39" s="4830"/>
      <c r="I39" s="4687">
        <f>SUM(B39:H39)</f>
        <v>0</v>
      </c>
      <c r="J39" s="4831" t="s">
        <v>22</v>
      </c>
    </row>
    <row r="40" spans="1:10" ht="18" customHeight="1" x14ac:dyDescent="0.2">
      <c r="A40" s="4789" t="s">
        <v>959</v>
      </c>
      <c r="B40" s="4791" t="s">
        <v>967</v>
      </c>
      <c r="C40" s="4791" t="s">
        <v>967</v>
      </c>
      <c r="D40" s="4791" t="s">
        <v>967</v>
      </c>
      <c r="E40" s="4791" t="s">
        <v>967</v>
      </c>
      <c r="F40" s="4791" t="s">
        <v>967</v>
      </c>
      <c r="G40" s="4832"/>
      <c r="H40" s="4832"/>
      <c r="I40" s="4790"/>
      <c r="J40" s="4828"/>
    </row>
    <row r="41" spans="1:10" ht="18" customHeight="1" x14ac:dyDescent="0.2">
      <c r="A41" s="4692" t="s">
        <v>0</v>
      </c>
      <c r="B41" s="4604" t="s">
        <v>779</v>
      </c>
      <c r="C41" s="4604" t="s">
        <v>779</v>
      </c>
      <c r="D41" s="4604" t="s">
        <v>779</v>
      </c>
      <c r="E41" s="4604" t="s">
        <v>779</v>
      </c>
      <c r="F41" s="4604" t="s">
        <v>779</v>
      </c>
      <c r="G41" s="4701"/>
      <c r="H41" s="4701"/>
      <c r="I41" s="4437"/>
      <c r="J41" s="4699" t="s">
        <v>780</v>
      </c>
    </row>
    <row r="42" spans="1:10" ht="18" customHeight="1" x14ac:dyDescent="0.2">
      <c r="A42" s="4833" t="s">
        <v>781</v>
      </c>
      <c r="B42" s="4687">
        <v>8.25</v>
      </c>
      <c r="C42" s="4687">
        <v>8.25</v>
      </c>
      <c r="D42" s="4687">
        <v>8.25</v>
      </c>
      <c r="E42" s="4687">
        <v>8.25</v>
      </c>
      <c r="F42" s="4687">
        <v>8.25</v>
      </c>
      <c r="G42" s="4687"/>
      <c r="H42" s="4687"/>
      <c r="I42" s="4687">
        <f>SUM(B42:H42)</f>
        <v>41.25</v>
      </c>
      <c r="J42" s="4831"/>
    </row>
    <row r="43" spans="1:10" ht="18" customHeight="1" x14ac:dyDescent="0.2">
      <c r="A43" s="4789" t="s">
        <v>959</v>
      </c>
      <c r="B43" s="4791" t="s">
        <v>968</v>
      </c>
      <c r="C43" s="4791" t="s">
        <v>968</v>
      </c>
      <c r="D43" s="4791" t="s">
        <v>968</v>
      </c>
      <c r="E43" s="4791" t="s">
        <v>968</v>
      </c>
      <c r="F43" s="4791" t="s">
        <v>968</v>
      </c>
      <c r="G43" s="4790"/>
      <c r="H43" s="4790"/>
      <c r="I43" s="4790"/>
      <c r="J43" s="4828" t="s">
        <v>782</v>
      </c>
    </row>
    <row r="44" spans="1:10" ht="18" customHeight="1" x14ac:dyDescent="0.2">
      <c r="A44" s="4692" t="s">
        <v>0</v>
      </c>
      <c r="B44" s="4604" t="s">
        <v>783</v>
      </c>
      <c r="C44" s="4604" t="s">
        <v>783</v>
      </c>
      <c r="D44" s="4604" t="s">
        <v>783</v>
      </c>
      <c r="E44" s="4604" t="s">
        <v>783</v>
      </c>
      <c r="F44" s="4604" t="s">
        <v>783</v>
      </c>
      <c r="G44" s="4701" t="s">
        <v>784</v>
      </c>
      <c r="H44" s="4701" t="s">
        <v>784</v>
      </c>
      <c r="I44" s="4437"/>
      <c r="J44" s="4543"/>
    </row>
    <row r="45" spans="1:10" ht="18" customHeight="1" x14ac:dyDescent="0.2">
      <c r="A45" s="4829" t="s">
        <v>785</v>
      </c>
      <c r="B45" s="4687">
        <v>8</v>
      </c>
      <c r="C45" s="4687">
        <v>8</v>
      </c>
      <c r="D45" s="4687">
        <v>8</v>
      </c>
      <c r="E45" s="4687">
        <v>8</v>
      </c>
      <c r="F45" s="4687">
        <v>8</v>
      </c>
      <c r="G45" s="4687">
        <v>12.25</v>
      </c>
      <c r="H45" s="4687">
        <v>12.25</v>
      </c>
      <c r="I45" s="4687">
        <f>SUM(B45:H45)</f>
        <v>64.5</v>
      </c>
      <c r="J45" s="4834"/>
    </row>
    <row r="46" spans="1:10" ht="18" customHeight="1" x14ac:dyDescent="0.2">
      <c r="A46" s="4789" t="s">
        <v>959</v>
      </c>
      <c r="B46" s="4791" t="s">
        <v>969</v>
      </c>
      <c r="C46" s="4791" t="s">
        <v>969</v>
      </c>
      <c r="D46" s="4791" t="s">
        <v>969</v>
      </c>
      <c r="E46" s="4791" t="s">
        <v>969</v>
      </c>
      <c r="F46" s="4791" t="s">
        <v>969</v>
      </c>
      <c r="G46" s="4791" t="s">
        <v>970</v>
      </c>
      <c r="H46" s="4791" t="s">
        <v>970</v>
      </c>
      <c r="I46" s="4790"/>
      <c r="J46" s="4669"/>
    </row>
    <row r="47" spans="1:10" ht="18" customHeight="1" x14ac:dyDescent="0.2">
      <c r="A47" s="4692" t="s">
        <v>0</v>
      </c>
      <c r="B47" s="4611" t="s">
        <v>171</v>
      </c>
      <c r="C47" s="4611" t="s">
        <v>171</v>
      </c>
      <c r="D47" s="4611" t="s">
        <v>171</v>
      </c>
      <c r="E47" s="4611" t="s">
        <v>171</v>
      </c>
      <c r="F47" s="4611" t="s">
        <v>171</v>
      </c>
      <c r="G47" s="4704"/>
      <c r="H47" s="4437"/>
      <c r="I47" s="4437"/>
      <c r="J47" s="4543"/>
    </row>
    <row r="48" spans="1:10" ht="18" customHeight="1" x14ac:dyDescent="0.2">
      <c r="A48" s="4829" t="s">
        <v>787</v>
      </c>
      <c r="B48" s="4663"/>
      <c r="C48" s="4663"/>
      <c r="D48" s="4663"/>
      <c r="E48" s="4663"/>
      <c r="F48" s="4663"/>
      <c r="G48" s="4835"/>
      <c r="H48" s="4830"/>
      <c r="I48" s="4687">
        <f>SUM(B48:H48)</f>
        <v>0</v>
      </c>
      <c r="J48" s="4834"/>
    </row>
    <row r="49" spans="1:10" ht="18" customHeight="1" x14ac:dyDescent="0.2">
      <c r="A49" s="4789" t="s">
        <v>959</v>
      </c>
      <c r="B49" s="4791" t="s">
        <v>967</v>
      </c>
      <c r="C49" s="4791" t="s">
        <v>967</v>
      </c>
      <c r="D49" s="4791" t="s">
        <v>967</v>
      </c>
      <c r="E49" s="4791" t="s">
        <v>967</v>
      </c>
      <c r="F49" s="4791" t="s">
        <v>967</v>
      </c>
      <c r="G49" s="4832"/>
      <c r="H49" s="4832"/>
      <c r="I49" s="4790" t="s">
        <v>0</v>
      </c>
      <c r="J49" s="4669"/>
    </row>
    <row r="50" spans="1:10" ht="18" customHeight="1" x14ac:dyDescent="0.2">
      <c r="A50" s="4692" t="s">
        <v>0</v>
      </c>
      <c r="B50" s="4604" t="s">
        <v>971</v>
      </c>
      <c r="C50" s="4604" t="s">
        <v>971</v>
      </c>
      <c r="D50" s="4604" t="s">
        <v>971</v>
      </c>
      <c r="E50" s="4604" t="s">
        <v>971</v>
      </c>
      <c r="F50" s="4604" t="s">
        <v>971</v>
      </c>
      <c r="G50" s="4437"/>
      <c r="H50" s="4437"/>
      <c r="I50" s="4437"/>
      <c r="J50" s="4543"/>
    </row>
    <row r="51" spans="1:10" ht="18" customHeight="1" x14ac:dyDescent="0.2">
      <c r="A51" s="4829" t="s">
        <v>972</v>
      </c>
      <c r="B51" s="4687">
        <v>7.25</v>
      </c>
      <c r="C51" s="4687">
        <v>7.25</v>
      </c>
      <c r="D51" s="4687">
        <v>7.25</v>
      </c>
      <c r="E51" s="4687">
        <v>7.25</v>
      </c>
      <c r="F51" s="4687">
        <v>7.25</v>
      </c>
      <c r="G51" s="4830"/>
      <c r="H51" s="4835"/>
      <c r="I51" s="4687">
        <f>SUM(B51:H51)</f>
        <v>36.25</v>
      </c>
      <c r="J51" s="4834"/>
    </row>
    <row r="52" spans="1:10" ht="18" customHeight="1" x14ac:dyDescent="0.2">
      <c r="A52" s="4794" t="s">
        <v>959</v>
      </c>
      <c r="B52" s="4822" t="s">
        <v>973</v>
      </c>
      <c r="C52" s="4822" t="s">
        <v>973</v>
      </c>
      <c r="D52" s="4822" t="s">
        <v>973</v>
      </c>
      <c r="E52" s="4822" t="s">
        <v>973</v>
      </c>
      <c r="F52" s="4822" t="s">
        <v>973</v>
      </c>
      <c r="G52" s="4700"/>
      <c r="H52" s="4836"/>
      <c r="I52" s="4671"/>
      <c r="J52" s="4562"/>
    </row>
    <row r="53" spans="1:10" ht="18" customHeight="1" x14ac:dyDescent="0.2">
      <c r="A53" s="46" t="s">
        <v>652</v>
      </c>
      <c r="B53" s="47">
        <f t="shared" ref="B53:I53" si="0">SUM(B36,B39,B42,B45,B48,B51)</f>
        <v>31.75</v>
      </c>
      <c r="C53" s="47">
        <f t="shared" si="0"/>
        <v>31.75</v>
      </c>
      <c r="D53" s="47">
        <f t="shared" si="0"/>
        <v>31.75</v>
      </c>
      <c r="E53" s="47">
        <f t="shared" si="0"/>
        <v>31.75</v>
      </c>
      <c r="F53" s="47">
        <f t="shared" si="0"/>
        <v>31.75</v>
      </c>
      <c r="G53" s="47">
        <f t="shared" si="0"/>
        <v>24.5</v>
      </c>
      <c r="H53" s="47">
        <f t="shared" si="0"/>
        <v>24.5</v>
      </c>
      <c r="I53" s="47">
        <f t="shared" si="0"/>
        <v>207.75</v>
      </c>
      <c r="J53" s="48"/>
    </row>
    <row r="54" spans="1:10" ht="18" customHeight="1" x14ac:dyDescent="0.2">
      <c r="A54" s="16" t="s">
        <v>653</v>
      </c>
      <c r="D54" s="2"/>
      <c r="E54" s="2"/>
    </row>
    <row r="55" spans="1:10" ht="18" customHeight="1" x14ac:dyDescent="0.2">
      <c r="A55" s="4422" t="s">
        <v>654</v>
      </c>
      <c r="B55" s="4606" t="s">
        <v>107</v>
      </c>
      <c r="C55" s="4607" t="s">
        <v>108</v>
      </c>
      <c r="D55" s="4607" t="s">
        <v>109</v>
      </c>
      <c r="E55" s="4607" t="s">
        <v>110</v>
      </c>
      <c r="F55" s="4607" t="s">
        <v>111</v>
      </c>
      <c r="G55" s="4607" t="s">
        <v>112</v>
      </c>
      <c r="H55" s="4608" t="s">
        <v>113</v>
      </c>
      <c r="I55" s="4406" t="s">
        <v>158</v>
      </c>
      <c r="J55" s="4609" t="s">
        <v>114</v>
      </c>
    </row>
    <row r="56" spans="1:10" ht="18" customHeight="1" x14ac:dyDescent="0.2">
      <c r="A56" s="4610"/>
      <c r="B56" s="4612" t="s">
        <v>655</v>
      </c>
      <c r="C56" s="4612" t="s">
        <v>655</v>
      </c>
      <c r="D56" s="4612" t="s">
        <v>655</v>
      </c>
      <c r="E56" s="4612" t="s">
        <v>655</v>
      </c>
      <c r="F56" s="4612" t="s">
        <v>656</v>
      </c>
      <c r="G56" s="4612"/>
      <c r="H56" s="4612"/>
      <c r="I56" s="4437"/>
      <c r="J56" s="4613"/>
    </row>
    <row r="57" spans="1:10" ht="18" customHeight="1" x14ac:dyDescent="0.2">
      <c r="A57" s="4824" t="s">
        <v>795</v>
      </c>
      <c r="B57" s="4687">
        <v>7.75</v>
      </c>
      <c r="C57" s="4687">
        <v>7.75</v>
      </c>
      <c r="D57" s="4687">
        <v>7.75</v>
      </c>
      <c r="E57" s="4687">
        <v>7.75</v>
      </c>
      <c r="F57" s="4687">
        <v>6</v>
      </c>
      <c r="G57" s="4687"/>
      <c r="H57" s="4687"/>
      <c r="I57" s="4687">
        <f>SUM(B57:H57)</f>
        <v>37</v>
      </c>
      <c r="J57" s="4825"/>
    </row>
    <row r="58" spans="1:10" ht="18" customHeight="1" x14ac:dyDescent="0.2">
      <c r="A58" s="4789" t="s">
        <v>959</v>
      </c>
      <c r="B58" s="4837" t="s">
        <v>962</v>
      </c>
      <c r="C58" s="4837" t="s">
        <v>962</v>
      </c>
      <c r="D58" s="4837" t="s">
        <v>962</v>
      </c>
      <c r="E58" s="4837" t="s">
        <v>962</v>
      </c>
      <c r="F58" s="4837" t="s">
        <v>963</v>
      </c>
      <c r="G58" s="4790"/>
      <c r="H58" s="4790"/>
      <c r="I58" s="4790"/>
      <c r="J58" s="4792"/>
    </row>
    <row r="59" spans="1:10" ht="18" customHeight="1" x14ac:dyDescent="0.2">
      <c r="A59" s="4610"/>
      <c r="B59" s="4612" t="s">
        <v>655</v>
      </c>
      <c r="C59" s="4612" t="s">
        <v>655</v>
      </c>
      <c r="D59" s="4612" t="s">
        <v>655</v>
      </c>
      <c r="E59" s="4612" t="s">
        <v>655</v>
      </c>
      <c r="F59" s="4612" t="s">
        <v>656</v>
      </c>
      <c r="G59" s="4612"/>
      <c r="H59" s="4612"/>
      <c r="I59" s="4437"/>
      <c r="J59" s="4613"/>
    </row>
    <row r="60" spans="1:10" ht="18" customHeight="1" x14ac:dyDescent="0.2">
      <c r="A60" s="4824" t="s">
        <v>797</v>
      </c>
      <c r="B60" s="4687">
        <v>7.75</v>
      </c>
      <c r="C60" s="4687">
        <v>7.75</v>
      </c>
      <c r="D60" s="4687">
        <v>7.75</v>
      </c>
      <c r="E60" s="4687">
        <v>7.75</v>
      </c>
      <c r="F60" s="4687">
        <v>6</v>
      </c>
      <c r="G60" s="4687"/>
      <c r="H60" s="4687"/>
      <c r="I60" s="4687">
        <f>SUM(B60:H60)</f>
        <v>37</v>
      </c>
      <c r="J60" s="4825"/>
    </row>
    <row r="61" spans="1:10" ht="18" customHeight="1" x14ac:dyDescent="0.2">
      <c r="A61" s="4789" t="s">
        <v>959</v>
      </c>
      <c r="B61" s="4837" t="s">
        <v>962</v>
      </c>
      <c r="C61" s="4837" t="s">
        <v>962</v>
      </c>
      <c r="D61" s="4837" t="s">
        <v>962</v>
      </c>
      <c r="E61" s="4837" t="s">
        <v>962</v>
      </c>
      <c r="F61" s="4837" t="s">
        <v>963</v>
      </c>
      <c r="G61" s="4790"/>
      <c r="H61" s="4790"/>
      <c r="I61" s="4832"/>
      <c r="J61" s="4792"/>
    </row>
    <row r="62" spans="1:10" ht="18" customHeight="1" x14ac:dyDescent="0.2">
      <c r="A62" s="4480"/>
      <c r="B62" s="4612" t="s">
        <v>655</v>
      </c>
      <c r="C62" s="4612" t="s">
        <v>655</v>
      </c>
      <c r="D62" s="4612" t="s">
        <v>655</v>
      </c>
      <c r="E62" s="4612" t="s">
        <v>655</v>
      </c>
      <c r="F62" s="4612" t="s">
        <v>656</v>
      </c>
      <c r="G62" s="4612"/>
      <c r="H62" s="4612"/>
      <c r="I62" s="4437"/>
      <c r="J62" s="4613"/>
    </row>
    <row r="63" spans="1:10" ht="18" customHeight="1" x14ac:dyDescent="0.2">
      <c r="A63" s="4824" t="s">
        <v>798</v>
      </c>
      <c r="B63" s="4687">
        <v>7.75</v>
      </c>
      <c r="C63" s="4687">
        <v>7.75</v>
      </c>
      <c r="D63" s="4687">
        <v>7.75</v>
      </c>
      <c r="E63" s="4687">
        <v>7.75</v>
      </c>
      <c r="F63" s="4687">
        <v>6</v>
      </c>
      <c r="G63" s="4687"/>
      <c r="H63" s="4687"/>
      <c r="I63" s="4687">
        <f>SUM(B63:H63)</f>
        <v>37</v>
      </c>
      <c r="J63" s="4825"/>
    </row>
    <row r="64" spans="1:10" ht="18" customHeight="1" x14ac:dyDescent="0.2">
      <c r="A64" s="4794" t="s">
        <v>959</v>
      </c>
      <c r="B64" s="4821" t="s">
        <v>962</v>
      </c>
      <c r="C64" s="4821" t="s">
        <v>962</v>
      </c>
      <c r="D64" s="4821" t="s">
        <v>962</v>
      </c>
      <c r="E64" s="4821" t="s">
        <v>962</v>
      </c>
      <c r="F64" s="4821" t="s">
        <v>963</v>
      </c>
      <c r="G64" s="4671"/>
      <c r="H64" s="4671"/>
      <c r="I64" s="4700"/>
      <c r="J64" s="4673"/>
    </row>
    <row r="65" spans="1:10" ht="18" customHeight="1" x14ac:dyDescent="0.2">
      <c r="A65" s="46" t="s">
        <v>652</v>
      </c>
      <c r="B65" s="49">
        <f t="shared" ref="B65:I65" si="1">SUM(B57,B60,B63)</f>
        <v>23.25</v>
      </c>
      <c r="C65" s="49">
        <f t="shared" si="1"/>
        <v>23.25</v>
      </c>
      <c r="D65" s="49">
        <f t="shared" si="1"/>
        <v>23.25</v>
      </c>
      <c r="E65" s="49">
        <f t="shared" si="1"/>
        <v>23.25</v>
      </c>
      <c r="F65" s="49">
        <f t="shared" si="1"/>
        <v>18</v>
      </c>
      <c r="G65" s="49">
        <f t="shared" si="1"/>
        <v>0</v>
      </c>
      <c r="H65" s="49">
        <f t="shared" si="1"/>
        <v>0</v>
      </c>
      <c r="I65" s="47">
        <f t="shared" si="1"/>
        <v>111</v>
      </c>
      <c r="J65" s="50"/>
    </row>
    <row r="66" spans="1:10" ht="18" customHeight="1" x14ac:dyDescent="0.2">
      <c r="A66" s="18"/>
      <c r="B66" s="18"/>
      <c r="C66" s="18"/>
      <c r="D66" s="18"/>
      <c r="E66" s="18"/>
      <c r="F66" s="18"/>
      <c r="G66" s="4690" t="s">
        <v>768</v>
      </c>
      <c r="H66" s="4690" t="s">
        <v>769</v>
      </c>
      <c r="I66" s="4690" t="s">
        <v>770</v>
      </c>
      <c r="J66" s="19"/>
    </row>
    <row r="67" spans="1:10" ht="18" customHeight="1" x14ac:dyDescent="0.2">
      <c r="A67" s="18"/>
      <c r="B67" s="18"/>
      <c r="C67" s="18"/>
      <c r="D67" s="18"/>
      <c r="E67" s="18"/>
      <c r="F67" s="18"/>
      <c r="G67" s="4663">
        <f>I53+I65</f>
        <v>318.75</v>
      </c>
      <c r="H67" s="4691">
        <f>SUM(G67*13/3)</f>
        <v>1381.25</v>
      </c>
      <c r="I67" s="4663">
        <f>SUM(H67*12)</f>
        <v>16575</v>
      </c>
      <c r="J67" s="19"/>
    </row>
    <row r="68" spans="1:10" ht="18" customHeight="1" x14ac:dyDescent="0.2">
      <c r="A68" s="18"/>
      <c r="B68" s="18"/>
      <c r="C68" s="18"/>
      <c r="D68" s="18"/>
      <c r="E68" s="18"/>
      <c r="F68" s="18"/>
      <c r="G68" s="18"/>
      <c r="H68" s="45"/>
      <c r="I68" s="18"/>
      <c r="J68" s="19"/>
    </row>
    <row r="69" spans="1:10" ht="17.850000000000001" customHeight="1" x14ac:dyDescent="0.2">
      <c r="A69" s="1" t="s">
        <v>803</v>
      </c>
      <c r="B69" s="18"/>
      <c r="C69" s="18"/>
      <c r="D69" s="18"/>
      <c r="E69" s="18"/>
      <c r="F69" s="18"/>
    </row>
    <row r="70" spans="1:10" ht="17.850000000000001" customHeight="1" x14ac:dyDescent="0.2">
      <c r="A70" s="4713" t="s">
        <v>804</v>
      </c>
      <c r="B70" s="4606" t="s">
        <v>107</v>
      </c>
      <c r="C70" s="4607" t="s">
        <v>108</v>
      </c>
      <c r="D70" s="4607" t="s">
        <v>109</v>
      </c>
      <c r="E70" s="4607" t="s">
        <v>110</v>
      </c>
      <c r="F70" s="4607" t="s">
        <v>111</v>
      </c>
      <c r="G70" s="4607" t="s">
        <v>112</v>
      </c>
      <c r="H70" s="4714" t="s">
        <v>113</v>
      </c>
      <c r="I70" s="4715" t="s">
        <v>158</v>
      </c>
      <c r="J70" s="4716" t="s">
        <v>114</v>
      </c>
    </row>
    <row r="71" spans="1:10" ht="17.850000000000001" customHeight="1" x14ac:dyDescent="0.2">
      <c r="A71" s="4728"/>
      <c r="B71" s="4720" t="s">
        <v>806</v>
      </c>
      <c r="C71" s="4720" t="s">
        <v>806</v>
      </c>
      <c r="D71" s="4720" t="s">
        <v>806</v>
      </c>
      <c r="E71" s="4720" t="s">
        <v>806</v>
      </c>
      <c r="F71" s="4720" t="s">
        <v>806</v>
      </c>
      <c r="G71" s="4721" t="s">
        <v>807</v>
      </c>
      <c r="H71" s="4721" t="s">
        <v>807</v>
      </c>
      <c r="I71" s="4777"/>
      <c r="J71" s="4732"/>
    </row>
    <row r="72" spans="1:10" ht="17.850000000000001" customHeight="1" x14ac:dyDescent="0.2">
      <c r="A72" s="51" t="s">
        <v>974</v>
      </c>
      <c r="B72" s="4838" t="s">
        <v>975</v>
      </c>
      <c r="C72" s="4838" t="s">
        <v>975</v>
      </c>
      <c r="D72" s="4838" t="s">
        <v>975</v>
      </c>
      <c r="E72" s="4838" t="s">
        <v>975</v>
      </c>
      <c r="F72" s="4838" t="s">
        <v>975</v>
      </c>
      <c r="G72" s="4839" t="s">
        <v>976</v>
      </c>
      <c r="H72" s="4839" t="s">
        <v>976</v>
      </c>
      <c r="I72" s="4840"/>
      <c r="J72" s="52"/>
    </row>
    <row r="73" spans="1:10" ht="17.850000000000001" customHeight="1" x14ac:dyDescent="0.2">
      <c r="A73" s="240" t="s">
        <v>664</v>
      </c>
      <c r="B73" s="251">
        <v>8.25</v>
      </c>
      <c r="C73" s="251">
        <v>8.25</v>
      </c>
      <c r="D73" s="251">
        <v>8.25</v>
      </c>
      <c r="E73" s="251">
        <v>8.25</v>
      </c>
      <c r="F73" s="251">
        <v>8.25</v>
      </c>
      <c r="G73" s="252">
        <v>12.25</v>
      </c>
      <c r="H73" s="252">
        <v>12.25</v>
      </c>
      <c r="I73" s="226">
        <f>SUM(B73:H73)</f>
        <v>65.75</v>
      </c>
      <c r="J73" s="253" t="s">
        <v>810</v>
      </c>
    </row>
    <row r="74" spans="1:10" ht="17.850000000000001" customHeight="1" x14ac:dyDescent="0.2">
      <c r="A74" s="4728"/>
      <c r="B74" s="4729" t="s">
        <v>812</v>
      </c>
      <c r="C74" s="4729" t="s">
        <v>812</v>
      </c>
      <c r="D74" s="4729" t="s">
        <v>812</v>
      </c>
      <c r="E74" s="4729" t="s">
        <v>812</v>
      </c>
      <c r="F74" s="4729" t="s">
        <v>812</v>
      </c>
      <c r="G74" s="4730" t="s">
        <v>813</v>
      </c>
      <c r="H74" s="4731" t="s">
        <v>813</v>
      </c>
      <c r="I74" s="4715"/>
      <c r="J74" s="4732"/>
    </row>
    <row r="75" spans="1:10" ht="17.850000000000001" customHeight="1" x14ac:dyDescent="0.2">
      <c r="A75" s="51" t="s">
        <v>974</v>
      </c>
      <c r="B75" s="4841" t="s">
        <v>977</v>
      </c>
      <c r="C75" s="4841" t="s">
        <v>977</v>
      </c>
      <c r="D75" s="4841" t="s">
        <v>977</v>
      </c>
      <c r="E75" s="4841" t="s">
        <v>977</v>
      </c>
      <c r="F75" s="4841" t="s">
        <v>977</v>
      </c>
      <c r="G75" s="4842" t="s">
        <v>978</v>
      </c>
      <c r="H75" s="4842" t="s">
        <v>978</v>
      </c>
      <c r="I75" s="4765"/>
      <c r="J75" s="52"/>
    </row>
    <row r="76" spans="1:10" ht="17.850000000000001" customHeight="1" x14ac:dyDescent="0.2">
      <c r="A76" s="240" t="s">
        <v>815</v>
      </c>
      <c r="B76" s="238">
        <v>7</v>
      </c>
      <c r="C76" s="238">
        <v>7</v>
      </c>
      <c r="D76" s="238">
        <v>7</v>
      </c>
      <c r="E76" s="238">
        <v>7</v>
      </c>
      <c r="F76" s="238">
        <v>7</v>
      </c>
      <c r="G76" s="254">
        <v>11</v>
      </c>
      <c r="H76" s="255">
        <v>11</v>
      </c>
      <c r="I76" s="226">
        <f>SUM(B76:H76)</f>
        <v>57</v>
      </c>
      <c r="J76" s="253" t="s">
        <v>816</v>
      </c>
    </row>
    <row r="77" spans="1:10" ht="17.850000000000001" customHeight="1" x14ac:dyDescent="0.2">
      <c r="A77" s="4728"/>
      <c r="B77" s="4737" t="s">
        <v>818</v>
      </c>
      <c r="C77" s="4737" t="s">
        <v>818</v>
      </c>
      <c r="D77" s="4737" t="s">
        <v>818</v>
      </c>
      <c r="E77" s="4737" t="s">
        <v>818</v>
      </c>
      <c r="F77" s="4737" t="s">
        <v>818</v>
      </c>
      <c r="G77" s="4731" t="s">
        <v>819</v>
      </c>
      <c r="H77" s="4731" t="s">
        <v>819</v>
      </c>
      <c r="I77" s="4715"/>
      <c r="J77" s="4732"/>
    </row>
    <row r="78" spans="1:10" ht="17.850000000000001" customHeight="1" x14ac:dyDescent="0.2">
      <c r="A78" s="51" t="s">
        <v>974</v>
      </c>
      <c r="B78" s="4843" t="s">
        <v>979</v>
      </c>
      <c r="C78" s="4843" t="s">
        <v>979</v>
      </c>
      <c r="D78" s="4843" t="s">
        <v>979</v>
      </c>
      <c r="E78" s="4843" t="s">
        <v>979</v>
      </c>
      <c r="F78" s="4843" t="s">
        <v>979</v>
      </c>
      <c r="G78" s="53" t="s">
        <v>980</v>
      </c>
      <c r="H78" s="53" t="s">
        <v>980</v>
      </c>
      <c r="I78" s="4765"/>
      <c r="J78" s="52"/>
    </row>
    <row r="79" spans="1:10" ht="17.850000000000001" customHeight="1" x14ac:dyDescent="0.2">
      <c r="A79" s="240" t="s">
        <v>820</v>
      </c>
      <c r="B79" s="256">
        <v>8</v>
      </c>
      <c r="C79" s="256">
        <v>8</v>
      </c>
      <c r="D79" s="256">
        <v>8</v>
      </c>
      <c r="E79" s="256">
        <v>8</v>
      </c>
      <c r="F79" s="256">
        <v>8</v>
      </c>
      <c r="G79" s="254">
        <v>12</v>
      </c>
      <c r="H79" s="254">
        <v>12</v>
      </c>
      <c r="I79" s="226">
        <f>SUM(B79:H79)</f>
        <v>64</v>
      </c>
      <c r="J79" s="253" t="s">
        <v>821</v>
      </c>
    </row>
    <row r="80" spans="1:10" ht="17.850000000000001" customHeight="1" x14ac:dyDescent="0.2">
      <c r="A80" s="4728"/>
      <c r="B80" s="4611" t="s">
        <v>640</v>
      </c>
      <c r="C80" s="4611" t="s">
        <v>640</v>
      </c>
      <c r="D80" s="4611" t="s">
        <v>640</v>
      </c>
      <c r="E80" s="4611" t="s">
        <v>640</v>
      </c>
      <c r="F80" s="4611" t="s">
        <v>640</v>
      </c>
      <c r="G80" s="4784"/>
      <c r="H80" s="4785"/>
      <c r="I80" s="4783"/>
      <c r="J80" s="4732"/>
    </row>
    <row r="81" spans="1:10" ht="17.850000000000001" customHeight="1" x14ac:dyDescent="0.2">
      <c r="A81" s="51" t="s">
        <v>974</v>
      </c>
      <c r="B81" s="4658"/>
      <c r="C81" s="4658"/>
      <c r="D81" s="4658"/>
      <c r="E81" s="4658"/>
      <c r="F81" s="4658"/>
      <c r="G81" s="37"/>
      <c r="H81" s="37"/>
      <c r="I81" s="4674"/>
      <c r="J81" s="52"/>
    </row>
    <row r="82" spans="1:10" ht="17.850000000000001" customHeight="1" x14ac:dyDescent="0.2">
      <c r="A82" s="240" t="s">
        <v>981</v>
      </c>
      <c r="B82" s="4615"/>
      <c r="C82" s="4615"/>
      <c r="D82" s="4615"/>
      <c r="E82" s="4615"/>
      <c r="F82" s="4615"/>
      <c r="G82" s="227"/>
      <c r="H82" s="257"/>
      <c r="I82" s="226">
        <f>SUM(B82:H82)</f>
        <v>0</v>
      </c>
      <c r="J82" s="253" t="s">
        <v>824</v>
      </c>
    </row>
    <row r="83" spans="1:10" ht="17.850000000000001" customHeight="1" x14ac:dyDescent="0.2">
      <c r="A83" s="4728"/>
      <c r="B83" s="4611" t="s">
        <v>640</v>
      </c>
      <c r="C83" s="4611" t="s">
        <v>640</v>
      </c>
      <c r="D83" s="4611" t="s">
        <v>640</v>
      </c>
      <c r="E83" s="4611" t="s">
        <v>640</v>
      </c>
      <c r="F83" s="4611" t="s">
        <v>640</v>
      </c>
      <c r="G83" s="4715"/>
      <c r="H83" s="4407"/>
      <c r="I83" s="4715"/>
      <c r="J83" s="4732"/>
    </row>
    <row r="84" spans="1:10" ht="17.850000000000001" customHeight="1" x14ac:dyDescent="0.2">
      <c r="A84" s="51" t="s">
        <v>974</v>
      </c>
      <c r="B84" s="4658"/>
      <c r="C84" s="4658"/>
      <c r="D84" s="4658"/>
      <c r="E84" s="4658"/>
      <c r="F84" s="4658"/>
      <c r="G84" s="4765"/>
      <c r="H84" s="54"/>
      <c r="I84" s="4765"/>
      <c r="J84" s="52"/>
    </row>
    <row r="85" spans="1:10" ht="17.850000000000001" customHeight="1" x14ac:dyDescent="0.2">
      <c r="A85" s="240" t="s">
        <v>828</v>
      </c>
      <c r="B85" s="4615"/>
      <c r="C85" s="4615"/>
      <c r="D85" s="4615"/>
      <c r="E85" s="4615"/>
      <c r="F85" s="4615"/>
      <c r="G85" s="247"/>
      <c r="H85" s="224"/>
      <c r="I85" s="226">
        <f>SUM(B85:H85)</f>
        <v>0</v>
      </c>
      <c r="J85" s="253" t="s">
        <v>825</v>
      </c>
    </row>
    <row r="86" spans="1:10" ht="17.850000000000001" customHeight="1" x14ac:dyDescent="0.2">
      <c r="A86" s="4713"/>
      <c r="B86" s="4611" t="s">
        <v>640</v>
      </c>
      <c r="C86" s="4611" t="s">
        <v>640</v>
      </c>
      <c r="D86" s="4611" t="s">
        <v>640</v>
      </c>
      <c r="E86" s="4611" t="s">
        <v>640</v>
      </c>
      <c r="F86" s="4611" t="s">
        <v>640</v>
      </c>
      <c r="G86" s="4743" t="s">
        <v>830</v>
      </c>
      <c r="H86" s="4744" t="s">
        <v>831</v>
      </c>
      <c r="I86" s="4715"/>
      <c r="J86" s="4745"/>
    </row>
    <row r="87" spans="1:10" ht="17.850000000000001" customHeight="1" x14ac:dyDescent="0.2">
      <c r="A87" s="51" t="s">
        <v>974</v>
      </c>
      <c r="B87" s="4658"/>
      <c r="C87" s="4658"/>
      <c r="D87" s="4658"/>
      <c r="E87" s="4658"/>
      <c r="F87" s="4658"/>
      <c r="G87" s="4844" t="s">
        <v>982</v>
      </c>
      <c r="H87" s="4844" t="s">
        <v>982</v>
      </c>
      <c r="I87" s="4765"/>
      <c r="J87" s="55"/>
    </row>
    <row r="88" spans="1:10" ht="17.850000000000001" customHeight="1" x14ac:dyDescent="0.2">
      <c r="A88" s="240" t="s">
        <v>834</v>
      </c>
      <c r="B88" s="4615"/>
      <c r="C88" s="4615"/>
      <c r="D88" s="4615"/>
      <c r="E88" s="4615"/>
      <c r="F88" s="4615"/>
      <c r="G88" s="258">
        <v>12.25</v>
      </c>
      <c r="H88" s="259">
        <v>12.25</v>
      </c>
      <c r="I88" s="226">
        <f>SUM(B88:H88)</f>
        <v>24.5</v>
      </c>
      <c r="J88" s="253" t="s">
        <v>835</v>
      </c>
    </row>
    <row r="89" spans="1:10" ht="17.850000000000001" customHeight="1" x14ac:dyDescent="0.2">
      <c r="A89" s="4728"/>
      <c r="B89" s="4746" t="s">
        <v>837</v>
      </c>
      <c r="C89" s="4746" t="s">
        <v>837</v>
      </c>
      <c r="D89" s="4746" t="s">
        <v>837</v>
      </c>
      <c r="E89" s="4746" t="s">
        <v>837</v>
      </c>
      <c r="F89" s="4746" t="s">
        <v>838</v>
      </c>
      <c r="G89" s="4743" t="s">
        <v>839</v>
      </c>
      <c r="H89" s="4744" t="s">
        <v>839</v>
      </c>
      <c r="I89" s="4715"/>
      <c r="J89" s="4732"/>
    </row>
    <row r="90" spans="1:10" ht="17.850000000000001" customHeight="1" x14ac:dyDescent="0.2">
      <c r="A90" s="51" t="s">
        <v>974</v>
      </c>
      <c r="B90" s="4845" t="s">
        <v>983</v>
      </c>
      <c r="C90" s="4845" t="s">
        <v>983</v>
      </c>
      <c r="D90" s="4845" t="s">
        <v>983</v>
      </c>
      <c r="E90" s="4845" t="s">
        <v>983</v>
      </c>
      <c r="F90" s="4845" t="s">
        <v>984</v>
      </c>
      <c r="G90" s="4844" t="s">
        <v>985</v>
      </c>
      <c r="H90" s="4844" t="s">
        <v>985</v>
      </c>
      <c r="I90" s="4765"/>
      <c r="J90" s="52"/>
    </row>
    <row r="91" spans="1:10" ht="17.850000000000001" customHeight="1" x14ac:dyDescent="0.2">
      <c r="A91" s="240" t="s">
        <v>682</v>
      </c>
      <c r="B91" s="260">
        <v>7</v>
      </c>
      <c r="C91" s="260">
        <v>7</v>
      </c>
      <c r="D91" s="260">
        <v>7</v>
      </c>
      <c r="E91" s="260">
        <v>7</v>
      </c>
      <c r="F91" s="260">
        <v>6.5</v>
      </c>
      <c r="G91" s="258">
        <v>12</v>
      </c>
      <c r="H91" s="259">
        <v>12</v>
      </c>
      <c r="I91" s="226">
        <f>SUM(B91:H91)</f>
        <v>58.5</v>
      </c>
      <c r="J91" s="253" t="s">
        <v>842</v>
      </c>
    </row>
    <row r="92" spans="1:10" ht="17.850000000000001" customHeight="1" x14ac:dyDescent="0.2">
      <c r="A92" s="4728"/>
      <c r="B92" s="4749" t="s">
        <v>845</v>
      </c>
      <c r="C92" s="4749" t="s">
        <v>845</v>
      </c>
      <c r="D92" s="4749" t="s">
        <v>845</v>
      </c>
      <c r="E92" s="4749" t="s">
        <v>845</v>
      </c>
      <c r="F92" s="4749" t="s">
        <v>845</v>
      </c>
      <c r="G92" s="4743" t="s">
        <v>846</v>
      </c>
      <c r="H92" s="4744" t="s">
        <v>839</v>
      </c>
      <c r="I92" s="4740"/>
      <c r="J92" s="4732"/>
    </row>
    <row r="93" spans="1:10" ht="17.850000000000001" customHeight="1" x14ac:dyDescent="0.2">
      <c r="A93" s="51" t="s">
        <v>974</v>
      </c>
      <c r="B93" s="4846" t="s">
        <v>986</v>
      </c>
      <c r="C93" s="4846" t="s">
        <v>986</v>
      </c>
      <c r="D93" s="4846" t="s">
        <v>986</v>
      </c>
      <c r="E93" s="4846" t="s">
        <v>986</v>
      </c>
      <c r="F93" s="4846" t="s">
        <v>986</v>
      </c>
      <c r="G93" s="4844" t="s">
        <v>987</v>
      </c>
      <c r="H93" s="56" t="s">
        <v>985</v>
      </c>
      <c r="I93" s="4658"/>
      <c r="J93" s="52"/>
    </row>
    <row r="94" spans="1:10" ht="17.850000000000001" customHeight="1" x14ac:dyDescent="0.2">
      <c r="A94" s="240" t="s">
        <v>849</v>
      </c>
      <c r="B94" s="4752">
        <v>7</v>
      </c>
      <c r="C94" s="4752">
        <v>7</v>
      </c>
      <c r="D94" s="4752">
        <v>7</v>
      </c>
      <c r="E94" s="4752">
        <v>7</v>
      </c>
      <c r="F94" s="4752">
        <v>7</v>
      </c>
      <c r="G94" s="4753">
        <v>9</v>
      </c>
      <c r="H94" s="259">
        <v>12</v>
      </c>
      <c r="I94" s="226">
        <f>SUM(B94:H94)</f>
        <v>56</v>
      </c>
      <c r="J94" s="253" t="s">
        <v>826</v>
      </c>
    </row>
    <row r="95" spans="1:10" ht="17.850000000000001" customHeight="1" x14ac:dyDescent="0.2">
      <c r="A95" s="4728"/>
      <c r="B95" s="4757" t="s">
        <v>852</v>
      </c>
      <c r="C95" s="4757" t="s">
        <v>852</v>
      </c>
      <c r="D95" s="4757" t="s">
        <v>852</v>
      </c>
      <c r="E95" s="4757" t="s">
        <v>852</v>
      </c>
      <c r="F95" s="4757" t="s">
        <v>852</v>
      </c>
      <c r="G95" s="4606"/>
      <c r="H95" s="4775"/>
      <c r="I95" s="4715"/>
      <c r="J95" s="4732"/>
    </row>
    <row r="96" spans="1:10" ht="17.850000000000001" customHeight="1" x14ac:dyDescent="0.2">
      <c r="A96" s="51" t="s">
        <v>974</v>
      </c>
      <c r="B96" s="4847" t="s">
        <v>988</v>
      </c>
      <c r="C96" s="4847" t="s">
        <v>988</v>
      </c>
      <c r="D96" s="4847" t="s">
        <v>988</v>
      </c>
      <c r="E96" s="4847" t="s">
        <v>988</v>
      </c>
      <c r="F96" s="4847" t="s">
        <v>988</v>
      </c>
      <c r="G96" s="4848"/>
      <c r="H96" s="57"/>
      <c r="I96" s="4765"/>
      <c r="J96" s="52"/>
    </row>
    <row r="97" spans="1:10" ht="17.850000000000001" customHeight="1" x14ac:dyDescent="0.2">
      <c r="A97" s="240" t="s">
        <v>854</v>
      </c>
      <c r="B97" s="4760">
        <v>8</v>
      </c>
      <c r="C97" s="4760">
        <v>8</v>
      </c>
      <c r="D97" s="4760">
        <v>8</v>
      </c>
      <c r="E97" s="4760">
        <v>8</v>
      </c>
      <c r="F97" s="4760">
        <v>8</v>
      </c>
      <c r="G97" s="226"/>
      <c r="H97" s="264"/>
      <c r="I97" s="226">
        <f>SUM(B97:H97)</f>
        <v>40</v>
      </c>
      <c r="J97" s="253" t="s">
        <v>843</v>
      </c>
    </row>
    <row r="98" spans="1:10" ht="17.850000000000001" customHeight="1" x14ac:dyDescent="0.2">
      <c r="A98" s="4728"/>
      <c r="B98" s="4611" t="s">
        <v>640</v>
      </c>
      <c r="C98" s="4611" t="s">
        <v>640</v>
      </c>
      <c r="D98" s="4611" t="s">
        <v>640</v>
      </c>
      <c r="E98" s="4611" t="s">
        <v>640</v>
      </c>
      <c r="F98" s="4611" t="s">
        <v>640</v>
      </c>
      <c r="G98" s="4784"/>
      <c r="H98" s="4785"/>
      <c r="I98" s="4777"/>
      <c r="J98" s="4732"/>
    </row>
    <row r="99" spans="1:10" ht="17.850000000000001" customHeight="1" x14ac:dyDescent="0.2">
      <c r="A99" s="51" t="s">
        <v>974</v>
      </c>
      <c r="B99" s="4658"/>
      <c r="C99" s="4658"/>
      <c r="D99" s="4658"/>
      <c r="E99" s="4658"/>
      <c r="F99" s="4658"/>
      <c r="G99" s="37"/>
      <c r="H99" s="4659"/>
      <c r="I99" s="4840"/>
      <c r="J99" s="52"/>
    </row>
    <row r="100" spans="1:10" ht="17.850000000000001" customHeight="1" x14ac:dyDescent="0.2">
      <c r="A100" s="240" t="s">
        <v>857</v>
      </c>
      <c r="B100" s="4666"/>
      <c r="C100" s="4666"/>
      <c r="D100" s="4666"/>
      <c r="E100" s="4666"/>
      <c r="F100" s="4666"/>
      <c r="G100" s="227"/>
      <c r="H100" s="257"/>
      <c r="I100" s="226">
        <f>SUM(B100:H100)</f>
        <v>0</v>
      </c>
      <c r="J100" s="253" t="s">
        <v>172</v>
      </c>
    </row>
    <row r="101" spans="1:10" ht="17.850000000000001" customHeight="1" x14ac:dyDescent="0.2">
      <c r="A101" s="4728"/>
      <c r="B101" s="4611" t="s">
        <v>640</v>
      </c>
      <c r="C101" s="4611" t="s">
        <v>640</v>
      </c>
      <c r="D101" s="4611" t="s">
        <v>640</v>
      </c>
      <c r="E101" s="4611" t="s">
        <v>640</v>
      </c>
      <c r="F101" s="4611" t="s">
        <v>640</v>
      </c>
      <c r="G101" s="4715"/>
      <c r="H101" s="4407"/>
      <c r="I101" s="4715"/>
      <c r="J101" s="4732"/>
    </row>
    <row r="102" spans="1:10" ht="17.850000000000001" customHeight="1" x14ac:dyDescent="0.2">
      <c r="A102" s="51" t="s">
        <v>974</v>
      </c>
      <c r="B102" s="4658"/>
      <c r="C102" s="4658"/>
      <c r="D102" s="4658"/>
      <c r="E102" s="4658"/>
      <c r="F102" s="4658"/>
      <c r="G102" s="4765"/>
      <c r="H102" s="54"/>
      <c r="I102" s="4765"/>
      <c r="J102" s="52"/>
    </row>
    <row r="103" spans="1:10" ht="17.850000000000001" customHeight="1" x14ac:dyDescent="0.2">
      <c r="A103" s="33" t="s">
        <v>875</v>
      </c>
      <c r="B103" s="4666"/>
      <c r="C103" s="4666"/>
      <c r="D103" s="4615"/>
      <c r="E103" s="4615"/>
      <c r="F103" s="4615"/>
      <c r="G103" s="4765"/>
      <c r="H103" s="54"/>
      <c r="I103" s="4658">
        <f>SUM(B103:H103)</f>
        <v>0</v>
      </c>
      <c r="J103" s="58" t="s">
        <v>829</v>
      </c>
    </row>
    <row r="104" spans="1:10" ht="17.850000000000001" customHeight="1" x14ac:dyDescent="0.2">
      <c r="A104" s="4728" t="s">
        <v>0</v>
      </c>
      <c r="B104" s="4768" t="s">
        <v>817</v>
      </c>
      <c r="C104" s="4768" t="s">
        <v>817</v>
      </c>
      <c r="D104" s="4768" t="s">
        <v>817</v>
      </c>
      <c r="E104" s="4768" t="s">
        <v>817</v>
      </c>
      <c r="F104" s="4768" t="s">
        <v>817</v>
      </c>
      <c r="G104" s="4769"/>
      <c r="H104" s="4407"/>
      <c r="I104" s="4715"/>
      <c r="J104" s="4732" t="s">
        <v>0</v>
      </c>
    </row>
    <row r="105" spans="1:10" ht="17.850000000000001" customHeight="1" x14ac:dyDescent="0.2">
      <c r="A105" s="51" t="s">
        <v>974</v>
      </c>
      <c r="B105" s="4849" t="s">
        <v>989</v>
      </c>
      <c r="C105" s="4849" t="s">
        <v>989</v>
      </c>
      <c r="D105" s="4849" t="s">
        <v>989</v>
      </c>
      <c r="E105" s="4849" t="s">
        <v>989</v>
      </c>
      <c r="F105" s="4849" t="s">
        <v>989</v>
      </c>
      <c r="G105" s="4850"/>
      <c r="H105" s="54"/>
      <c r="I105" s="4765"/>
      <c r="J105" s="52"/>
    </row>
    <row r="106" spans="1:10" ht="17.850000000000001" customHeight="1" x14ac:dyDescent="0.2">
      <c r="A106" s="39" t="s">
        <v>862</v>
      </c>
      <c r="B106" s="268">
        <v>8</v>
      </c>
      <c r="C106" s="268">
        <v>8</v>
      </c>
      <c r="D106" s="268">
        <v>8</v>
      </c>
      <c r="E106" s="268">
        <v>8</v>
      </c>
      <c r="F106" s="268">
        <v>8</v>
      </c>
      <c r="G106" s="4765"/>
      <c r="H106" s="54"/>
      <c r="I106" s="4658">
        <f>SUM(B106:H106)</f>
        <v>40</v>
      </c>
      <c r="J106" s="55" t="s">
        <v>863</v>
      </c>
    </row>
    <row r="107" spans="1:10" ht="17.850000000000001" customHeight="1" x14ac:dyDescent="0.2">
      <c r="A107" s="4728"/>
      <c r="B107" s="4774" t="s">
        <v>865</v>
      </c>
      <c r="C107" s="4774" t="s">
        <v>865</v>
      </c>
      <c r="D107" s="4774" t="s">
        <v>865</v>
      </c>
      <c r="E107" s="4774" t="s">
        <v>865</v>
      </c>
      <c r="F107" s="4774" t="s">
        <v>865</v>
      </c>
      <c r="G107" s="4786"/>
      <c r="H107" s="4787"/>
      <c r="I107" s="4777"/>
      <c r="J107" s="4732"/>
    </row>
    <row r="108" spans="1:10" ht="17.850000000000001" customHeight="1" x14ac:dyDescent="0.2">
      <c r="A108" s="51" t="s">
        <v>974</v>
      </c>
      <c r="B108" s="4851" t="s">
        <v>990</v>
      </c>
      <c r="C108" s="4851" t="s">
        <v>990</v>
      </c>
      <c r="D108" s="4851" t="s">
        <v>990</v>
      </c>
      <c r="E108" s="4851" t="s">
        <v>990</v>
      </c>
      <c r="F108" s="4851" t="s">
        <v>990</v>
      </c>
      <c r="G108" s="59"/>
      <c r="H108" s="4848"/>
      <c r="I108" s="4840"/>
      <c r="J108" s="52"/>
    </row>
    <row r="109" spans="1:10" ht="17.850000000000001" customHeight="1" x14ac:dyDescent="0.2">
      <c r="A109" s="240" t="s">
        <v>692</v>
      </c>
      <c r="B109" s="262">
        <v>7</v>
      </c>
      <c r="C109" s="262">
        <v>7</v>
      </c>
      <c r="D109" s="262">
        <v>7</v>
      </c>
      <c r="E109" s="262">
        <v>7</v>
      </c>
      <c r="F109" s="262">
        <v>7</v>
      </c>
      <c r="G109" s="226"/>
      <c r="H109" s="264"/>
      <c r="I109" s="226">
        <f>SUM(B109:H109)</f>
        <v>35</v>
      </c>
      <c r="J109" s="253" t="s">
        <v>866</v>
      </c>
    </row>
    <row r="110" spans="1:10" ht="17.850000000000001" customHeight="1" x14ac:dyDescent="0.2">
      <c r="A110" s="4728"/>
      <c r="B110" s="4776" t="s">
        <v>868</v>
      </c>
      <c r="C110" s="4776" t="s">
        <v>868</v>
      </c>
      <c r="D110" s="4776" t="s">
        <v>868</v>
      </c>
      <c r="E110" s="4776" t="s">
        <v>868</v>
      </c>
      <c r="F110" s="4776" t="s">
        <v>868</v>
      </c>
      <c r="G110" s="4606"/>
      <c r="H110" s="4775"/>
      <c r="I110" s="4406"/>
      <c r="J110" s="4732"/>
    </row>
    <row r="111" spans="1:10" ht="17.850000000000001" customHeight="1" x14ac:dyDescent="0.2">
      <c r="A111" s="51" t="s">
        <v>974</v>
      </c>
      <c r="B111" s="60" t="s">
        <v>991</v>
      </c>
      <c r="C111" s="60" t="s">
        <v>991</v>
      </c>
      <c r="D111" s="60" t="s">
        <v>991</v>
      </c>
      <c r="E111" s="60" t="s">
        <v>991</v>
      </c>
      <c r="F111" s="60" t="s">
        <v>991</v>
      </c>
      <c r="G111" s="4848"/>
      <c r="H111" s="57"/>
      <c r="I111" s="4840"/>
      <c r="J111" s="52"/>
    </row>
    <row r="112" spans="1:10" ht="17.850000000000001" customHeight="1" x14ac:dyDescent="0.2">
      <c r="A112" s="244" t="s">
        <v>693</v>
      </c>
      <c r="B112" s="263">
        <v>7.5</v>
      </c>
      <c r="C112" s="263">
        <v>7.5</v>
      </c>
      <c r="D112" s="263">
        <v>7.5</v>
      </c>
      <c r="E112" s="263">
        <v>7.5</v>
      </c>
      <c r="F112" s="263">
        <v>7.5</v>
      </c>
      <c r="G112" s="226"/>
      <c r="H112" s="264"/>
      <c r="I112" s="233">
        <f>SUM(B112:H112)</f>
        <v>37.5</v>
      </c>
      <c r="J112" s="267" t="s">
        <v>869</v>
      </c>
    </row>
    <row r="113" spans="1:10" ht="17.850000000000001" customHeight="1" x14ac:dyDescent="0.2">
      <c r="A113" s="4728"/>
      <c r="B113" s="4781" t="s">
        <v>871</v>
      </c>
      <c r="C113" s="4782" t="s">
        <v>871</v>
      </c>
      <c r="D113" s="4782" t="s">
        <v>871</v>
      </c>
      <c r="E113" s="4782" t="s">
        <v>871</v>
      </c>
      <c r="F113" s="4782" t="s">
        <v>871</v>
      </c>
      <c r="G113" s="4606"/>
      <c r="H113" s="4775"/>
      <c r="I113" s="4783"/>
      <c r="J113" s="4732"/>
    </row>
    <row r="114" spans="1:10" ht="17.850000000000001" customHeight="1" x14ac:dyDescent="0.2">
      <c r="A114" s="51" t="s">
        <v>974</v>
      </c>
      <c r="B114" s="61" t="s">
        <v>992</v>
      </c>
      <c r="C114" s="61" t="s">
        <v>992</v>
      </c>
      <c r="D114" s="61" t="s">
        <v>992</v>
      </c>
      <c r="E114" s="61" t="s">
        <v>992</v>
      </c>
      <c r="F114" s="61" t="s">
        <v>992</v>
      </c>
      <c r="G114" s="4848"/>
      <c r="H114" s="57"/>
      <c r="I114" s="4852"/>
      <c r="J114" s="52"/>
    </row>
    <row r="115" spans="1:10" ht="17.850000000000001" customHeight="1" x14ac:dyDescent="0.2">
      <c r="A115" s="240" t="s">
        <v>694</v>
      </c>
      <c r="B115" s="266">
        <v>8</v>
      </c>
      <c r="C115" s="266">
        <v>8</v>
      </c>
      <c r="D115" s="266">
        <v>8</v>
      </c>
      <c r="E115" s="266">
        <v>8</v>
      </c>
      <c r="F115" s="266">
        <v>8</v>
      </c>
      <c r="G115" s="226"/>
      <c r="H115" s="226"/>
      <c r="I115" s="265">
        <f>SUM(B115:H115)</f>
        <v>40</v>
      </c>
      <c r="J115" s="253" t="s">
        <v>872</v>
      </c>
    </row>
    <row r="116" spans="1:10" ht="17.850000000000001" customHeight="1" x14ac:dyDescent="0.2">
      <c r="A116" s="46" t="s">
        <v>652</v>
      </c>
      <c r="B116" s="62">
        <f t="shared" ref="B116:I116" si="2">SUM(B73,B76,B79,B82,B85,B88,B91,B94,B97,B100,B103,B106,B109,B112,B115)</f>
        <v>75.75</v>
      </c>
      <c r="C116" s="62">
        <f t="shared" si="2"/>
        <v>75.75</v>
      </c>
      <c r="D116" s="62">
        <f t="shared" si="2"/>
        <v>75.75</v>
      </c>
      <c r="E116" s="62">
        <f t="shared" si="2"/>
        <v>75.75</v>
      </c>
      <c r="F116" s="62">
        <f t="shared" si="2"/>
        <v>75.25</v>
      </c>
      <c r="G116" s="62">
        <f t="shared" si="2"/>
        <v>68.5</v>
      </c>
      <c r="H116" s="62">
        <f t="shared" si="2"/>
        <v>71.5</v>
      </c>
      <c r="I116" s="62">
        <f t="shared" si="2"/>
        <v>518.25</v>
      </c>
      <c r="J116" s="48"/>
    </row>
    <row r="117" spans="1:10" ht="17.850000000000001" customHeight="1" x14ac:dyDescent="0.2">
      <c r="A117" s="18"/>
      <c r="B117" s="18"/>
      <c r="C117" s="18"/>
      <c r="D117" s="18"/>
      <c r="E117" s="18"/>
      <c r="F117" s="18"/>
      <c r="G117" s="4690" t="s">
        <v>768</v>
      </c>
      <c r="H117" s="4690" t="s">
        <v>769</v>
      </c>
      <c r="I117" s="4690" t="s">
        <v>770</v>
      </c>
    </row>
    <row r="118" spans="1:10" ht="17.850000000000001" customHeight="1" x14ac:dyDescent="0.2">
      <c r="A118" s="59"/>
      <c r="B118" s="59"/>
      <c r="C118" s="59"/>
      <c r="D118" s="59"/>
      <c r="E118" s="59"/>
      <c r="F118" s="18"/>
      <c r="G118" s="4663">
        <f>I116</f>
        <v>518.25</v>
      </c>
      <c r="H118" s="4691">
        <f>SUM(G118*13/3)</f>
        <v>2245.75</v>
      </c>
      <c r="I118" s="4663">
        <f>SUM(H118*12)</f>
        <v>26949</v>
      </c>
    </row>
    <row r="119" spans="1:10" ht="17.850000000000001" customHeight="1" x14ac:dyDescent="0.2">
      <c r="A119" s="18"/>
      <c r="B119" s="18"/>
      <c r="C119" s="18"/>
      <c r="D119" s="18"/>
      <c r="E119" s="18"/>
      <c r="F119" s="18"/>
      <c r="G119" s="18"/>
      <c r="H119" s="45"/>
      <c r="I119" s="18"/>
    </row>
    <row r="120" spans="1:10" ht="17.850000000000001" customHeight="1" x14ac:dyDescent="0.2">
      <c r="A120" s="18"/>
      <c r="B120" s="18"/>
      <c r="C120" s="18"/>
      <c r="D120" s="18"/>
      <c r="E120" s="18"/>
      <c r="F120" s="18"/>
      <c r="G120" s="18"/>
      <c r="H120" s="45"/>
      <c r="I120" s="18"/>
    </row>
    <row r="121" spans="1:10" ht="17.850000000000001" customHeight="1" x14ac:dyDescent="0.2">
      <c r="A121" s="18"/>
      <c r="B121" s="18"/>
      <c r="C121" s="18"/>
      <c r="D121" s="18" t="s">
        <v>993</v>
      </c>
      <c r="E121" s="18"/>
      <c r="F121" s="18"/>
      <c r="G121" s="18"/>
      <c r="H121" s="45"/>
      <c r="I121" s="18"/>
    </row>
    <row r="122" spans="1:10" ht="17.850000000000001" customHeight="1" x14ac:dyDescent="0.2">
      <c r="A122" s="4853"/>
      <c r="B122" s="4720" t="s">
        <v>806</v>
      </c>
      <c r="C122" s="4720" t="s">
        <v>806</v>
      </c>
      <c r="D122" s="4720" t="s">
        <v>806</v>
      </c>
      <c r="E122" s="4720" t="s">
        <v>806</v>
      </c>
      <c r="F122" s="4720" t="s">
        <v>806</v>
      </c>
      <c r="G122" s="4854" t="s">
        <v>807</v>
      </c>
      <c r="H122" s="4855" t="s">
        <v>807</v>
      </c>
      <c r="I122" s="18"/>
    </row>
    <row r="123" spans="1:10" ht="17.850000000000001" customHeight="1" x14ac:dyDescent="0.2">
      <c r="A123" s="240" t="s">
        <v>664</v>
      </c>
      <c r="B123" s="251">
        <v>8.25</v>
      </c>
      <c r="C123" s="251">
        <v>8.25</v>
      </c>
      <c r="D123" s="251">
        <v>8.25</v>
      </c>
      <c r="E123" s="251">
        <v>8.25</v>
      </c>
      <c r="F123" s="251">
        <v>8.25</v>
      </c>
      <c r="G123" s="4856">
        <v>12.25</v>
      </c>
      <c r="H123" s="4857">
        <v>12.25</v>
      </c>
      <c r="I123" s="18"/>
    </row>
    <row r="124" spans="1:10" ht="17.850000000000001" customHeight="1" x14ac:dyDescent="0.2">
      <c r="A124" s="4853"/>
      <c r="B124" s="4611" t="s">
        <v>640</v>
      </c>
      <c r="C124" s="4611" t="s">
        <v>640</v>
      </c>
      <c r="D124" s="4611" t="s">
        <v>640</v>
      </c>
      <c r="E124" s="4611" t="s">
        <v>640</v>
      </c>
      <c r="F124" s="4611" t="s">
        <v>640</v>
      </c>
      <c r="G124" s="4612"/>
      <c r="H124" s="4858"/>
      <c r="I124" s="18"/>
    </row>
    <row r="125" spans="1:10" ht="17.850000000000001" customHeight="1" x14ac:dyDescent="0.2">
      <c r="A125" s="240" t="s">
        <v>981</v>
      </c>
      <c r="B125" s="4615"/>
      <c r="C125" s="4615"/>
      <c r="D125" s="4615"/>
      <c r="E125" s="4615"/>
      <c r="F125" s="4615"/>
      <c r="G125" s="4671"/>
      <c r="H125" s="4859"/>
      <c r="I125" s="18"/>
    </row>
    <row r="126" spans="1:10" ht="17.850000000000001" customHeight="1" x14ac:dyDescent="0.2">
      <c r="A126" s="4853"/>
      <c r="B126" s="4746" t="s">
        <v>837</v>
      </c>
      <c r="C126" s="4746" t="s">
        <v>837</v>
      </c>
      <c r="D126" s="4746" t="s">
        <v>837</v>
      </c>
      <c r="E126" s="4746" t="s">
        <v>837</v>
      </c>
      <c r="F126" s="4746" t="s">
        <v>838</v>
      </c>
      <c r="G126" s="4743" t="s">
        <v>839</v>
      </c>
      <c r="H126" s="4744" t="s">
        <v>839</v>
      </c>
      <c r="I126" s="18"/>
    </row>
    <row r="127" spans="1:10" ht="17.850000000000001" customHeight="1" x14ac:dyDescent="0.2">
      <c r="A127" s="240" t="s">
        <v>682</v>
      </c>
      <c r="B127" s="260">
        <v>7</v>
      </c>
      <c r="C127" s="260">
        <v>7</v>
      </c>
      <c r="D127" s="260">
        <v>7</v>
      </c>
      <c r="E127" s="260">
        <v>7</v>
      </c>
      <c r="F127" s="260">
        <v>6.5</v>
      </c>
      <c r="G127" s="258">
        <v>12</v>
      </c>
      <c r="H127" s="259">
        <v>12</v>
      </c>
      <c r="I127" s="18"/>
    </row>
    <row r="128" spans="1:10" ht="17.850000000000001" customHeight="1" x14ac:dyDescent="0.2">
      <c r="A128" s="4853"/>
      <c r="B128" s="4611" t="s">
        <v>640</v>
      </c>
      <c r="C128" s="4611" t="s">
        <v>640</v>
      </c>
      <c r="D128" s="4611" t="s">
        <v>640</v>
      </c>
      <c r="E128" s="4611" t="s">
        <v>640</v>
      </c>
      <c r="F128" s="4611" t="s">
        <v>640</v>
      </c>
      <c r="G128" s="4612"/>
      <c r="H128" s="4858"/>
      <c r="I128" s="18"/>
    </row>
    <row r="129" spans="1:9" ht="17.850000000000001" customHeight="1" x14ac:dyDescent="0.2">
      <c r="A129" s="240" t="s">
        <v>857</v>
      </c>
      <c r="B129" s="4615"/>
      <c r="C129" s="4615"/>
      <c r="D129" s="4615"/>
      <c r="E129" s="4615"/>
      <c r="F129" s="4615"/>
      <c r="G129" s="4671"/>
      <c r="H129" s="4859"/>
      <c r="I129" s="18"/>
    </row>
    <row r="130" spans="1:9" ht="17.850000000000001" customHeight="1" x14ac:dyDescent="0.2">
      <c r="A130" s="4853"/>
      <c r="B130" s="4774" t="s">
        <v>865</v>
      </c>
      <c r="C130" s="4774" t="s">
        <v>865</v>
      </c>
      <c r="D130" s="4774" t="s">
        <v>865</v>
      </c>
      <c r="E130" s="4774" t="s">
        <v>865</v>
      </c>
      <c r="F130" s="4774" t="s">
        <v>865</v>
      </c>
      <c r="G130" s="4603"/>
      <c r="H130" s="4860"/>
      <c r="I130" s="18"/>
    </row>
    <row r="131" spans="1:9" ht="17.850000000000001" customHeight="1" x14ac:dyDescent="0.2">
      <c r="A131" s="240" t="s">
        <v>692</v>
      </c>
      <c r="B131" s="262">
        <v>7</v>
      </c>
      <c r="C131" s="262">
        <v>7</v>
      </c>
      <c r="D131" s="262">
        <v>7</v>
      </c>
      <c r="E131" s="262">
        <v>7</v>
      </c>
      <c r="F131" s="262">
        <v>7</v>
      </c>
      <c r="G131" s="4615"/>
      <c r="H131" s="4861"/>
      <c r="I131" s="18"/>
    </row>
    <row r="132" spans="1:9" ht="17.850000000000001" customHeight="1" x14ac:dyDescent="0.2">
      <c r="A132" s="4853"/>
      <c r="B132" s="4729" t="s">
        <v>812</v>
      </c>
      <c r="C132" s="4729" t="s">
        <v>812</v>
      </c>
      <c r="D132" s="4729" t="s">
        <v>812</v>
      </c>
      <c r="E132" s="4729" t="s">
        <v>812</v>
      </c>
      <c r="F132" s="4729" t="s">
        <v>812</v>
      </c>
      <c r="G132" s="4730" t="s">
        <v>813</v>
      </c>
      <c r="H132" s="4731" t="s">
        <v>813</v>
      </c>
      <c r="I132" s="18"/>
    </row>
    <row r="133" spans="1:9" ht="17.850000000000001" customHeight="1" x14ac:dyDescent="0.2">
      <c r="A133" s="240" t="s">
        <v>815</v>
      </c>
      <c r="B133" s="238">
        <v>7</v>
      </c>
      <c r="C133" s="238">
        <v>7</v>
      </c>
      <c r="D133" s="238">
        <v>7</v>
      </c>
      <c r="E133" s="238">
        <v>7</v>
      </c>
      <c r="F133" s="238">
        <v>7</v>
      </c>
      <c r="G133" s="254">
        <v>11</v>
      </c>
      <c r="H133" s="255">
        <v>11</v>
      </c>
      <c r="I133" s="18"/>
    </row>
    <row r="134" spans="1:9" ht="17.850000000000001" customHeight="1" x14ac:dyDescent="0.2">
      <c r="A134" s="4853"/>
      <c r="B134" s="4611" t="s">
        <v>640</v>
      </c>
      <c r="C134" s="4611" t="s">
        <v>640</v>
      </c>
      <c r="D134" s="4611" t="s">
        <v>640</v>
      </c>
      <c r="E134" s="4611" t="s">
        <v>640</v>
      </c>
      <c r="F134" s="4611" t="s">
        <v>640</v>
      </c>
      <c r="G134" s="4331"/>
      <c r="H134" s="4543"/>
      <c r="I134" s="18"/>
    </row>
    <row r="135" spans="1:9" ht="17.850000000000001" customHeight="1" x14ac:dyDescent="0.2">
      <c r="A135" s="240" t="s">
        <v>828</v>
      </c>
      <c r="B135" s="4615"/>
      <c r="C135" s="4615"/>
      <c r="D135" s="4615"/>
      <c r="E135" s="4615"/>
      <c r="F135" s="4615"/>
      <c r="G135" s="4623"/>
      <c r="H135" s="4562"/>
      <c r="I135" s="18"/>
    </row>
    <row r="136" spans="1:9" ht="17.850000000000001" customHeight="1" x14ac:dyDescent="0.2">
      <c r="A136" s="4853"/>
      <c r="B136" s="4749" t="s">
        <v>845</v>
      </c>
      <c r="C136" s="4749" t="s">
        <v>845</v>
      </c>
      <c r="D136" s="4749" t="s">
        <v>845</v>
      </c>
      <c r="E136" s="4749" t="s">
        <v>845</v>
      </c>
      <c r="F136" s="4749" t="s">
        <v>845</v>
      </c>
      <c r="G136" s="4743" t="s">
        <v>846</v>
      </c>
      <c r="H136" s="4744" t="s">
        <v>839</v>
      </c>
      <c r="I136" s="18"/>
    </row>
    <row r="137" spans="1:9" ht="17.850000000000001" customHeight="1" x14ac:dyDescent="0.2">
      <c r="A137" s="240" t="s">
        <v>849</v>
      </c>
      <c r="B137" s="4752">
        <v>7</v>
      </c>
      <c r="C137" s="4752">
        <v>7</v>
      </c>
      <c r="D137" s="4752">
        <v>7</v>
      </c>
      <c r="E137" s="4752">
        <v>7</v>
      </c>
      <c r="F137" s="4752">
        <v>7</v>
      </c>
      <c r="G137" s="4753">
        <v>9</v>
      </c>
      <c r="H137" s="259">
        <v>12</v>
      </c>
      <c r="I137" s="18"/>
    </row>
    <row r="138" spans="1:9" ht="17.850000000000001" customHeight="1" x14ac:dyDescent="0.2">
      <c r="A138" s="4853"/>
      <c r="B138" s="4611" t="s">
        <v>640</v>
      </c>
      <c r="C138" s="4611" t="s">
        <v>640</v>
      </c>
      <c r="D138" s="4611" t="s">
        <v>640</v>
      </c>
      <c r="E138" s="4611" t="s">
        <v>640</v>
      </c>
      <c r="F138" s="4611" t="s">
        <v>640</v>
      </c>
      <c r="G138" s="4331"/>
      <c r="H138" s="4543"/>
      <c r="I138" s="18"/>
    </row>
    <row r="139" spans="1:9" ht="17.850000000000001" customHeight="1" x14ac:dyDescent="0.2">
      <c r="A139" s="33" t="s">
        <v>875</v>
      </c>
      <c r="B139" s="4615"/>
      <c r="C139" s="4615"/>
      <c r="D139" s="4615"/>
      <c r="E139" s="4615"/>
      <c r="F139" s="4615"/>
      <c r="G139" s="4623"/>
      <c r="H139" s="4562"/>
      <c r="I139" s="18"/>
    </row>
    <row r="140" spans="1:9" ht="17.850000000000001" customHeight="1" x14ac:dyDescent="0.2">
      <c r="A140" s="4853"/>
      <c r="B140" s="4776" t="s">
        <v>868</v>
      </c>
      <c r="C140" s="4776" t="s">
        <v>868</v>
      </c>
      <c r="D140" s="4776" t="s">
        <v>868</v>
      </c>
      <c r="E140" s="4776" t="s">
        <v>868</v>
      </c>
      <c r="F140" s="4776" t="s">
        <v>868</v>
      </c>
      <c r="G140" s="4603"/>
      <c r="H140" s="4860"/>
      <c r="I140" s="18"/>
    </row>
    <row r="141" spans="1:9" ht="17.850000000000001" customHeight="1" x14ac:dyDescent="0.2">
      <c r="A141" s="244" t="s">
        <v>693</v>
      </c>
      <c r="B141" s="263">
        <v>7.5</v>
      </c>
      <c r="C141" s="263">
        <v>7.5</v>
      </c>
      <c r="D141" s="263">
        <v>7.5</v>
      </c>
      <c r="E141" s="263">
        <v>7.5</v>
      </c>
      <c r="F141" s="263">
        <v>7.5</v>
      </c>
      <c r="G141" s="4615"/>
      <c r="H141" s="4861"/>
      <c r="I141" s="18"/>
    </row>
    <row r="142" spans="1:9" ht="17.850000000000001" customHeight="1" x14ac:dyDescent="0.2">
      <c r="A142" s="4853"/>
      <c r="B142" s="4737" t="s">
        <v>818</v>
      </c>
      <c r="C142" s="4737" t="s">
        <v>818</v>
      </c>
      <c r="D142" s="4737" t="s">
        <v>818</v>
      </c>
      <c r="E142" s="4737" t="s">
        <v>818</v>
      </c>
      <c r="F142" s="4737" t="s">
        <v>818</v>
      </c>
      <c r="G142" s="4731" t="s">
        <v>819</v>
      </c>
      <c r="H142" s="4731" t="s">
        <v>819</v>
      </c>
      <c r="I142" s="18"/>
    </row>
    <row r="143" spans="1:9" ht="17.850000000000001" customHeight="1" x14ac:dyDescent="0.2">
      <c r="A143" s="240" t="s">
        <v>820</v>
      </c>
      <c r="B143" s="256">
        <v>8</v>
      </c>
      <c r="C143" s="256">
        <v>8</v>
      </c>
      <c r="D143" s="256">
        <v>8</v>
      </c>
      <c r="E143" s="256">
        <v>8</v>
      </c>
      <c r="F143" s="256">
        <v>8</v>
      </c>
      <c r="G143" s="254">
        <v>12</v>
      </c>
      <c r="H143" s="254">
        <v>12</v>
      </c>
      <c r="I143" s="18"/>
    </row>
    <row r="144" spans="1:9" ht="17.850000000000001" customHeight="1" x14ac:dyDescent="0.2">
      <c r="A144" s="4862"/>
      <c r="B144" s="4611" t="s">
        <v>640</v>
      </c>
      <c r="C144" s="4611" t="s">
        <v>640</v>
      </c>
      <c r="D144" s="4611" t="s">
        <v>640</v>
      </c>
      <c r="E144" s="4611" t="s">
        <v>640</v>
      </c>
      <c r="F144" s="4611" t="s">
        <v>640</v>
      </c>
      <c r="G144" s="4743" t="s">
        <v>830</v>
      </c>
      <c r="H144" s="4744" t="s">
        <v>831</v>
      </c>
      <c r="I144" s="18"/>
    </row>
    <row r="145" spans="1:10" ht="17.850000000000001" customHeight="1" x14ac:dyDescent="0.2">
      <c r="A145" s="240" t="s">
        <v>834</v>
      </c>
      <c r="B145" s="4615"/>
      <c r="C145" s="4615"/>
      <c r="D145" s="4615"/>
      <c r="E145" s="4615"/>
      <c r="F145" s="4615"/>
      <c r="G145" s="258">
        <v>12.25</v>
      </c>
      <c r="H145" s="259">
        <v>12.25</v>
      </c>
      <c r="I145" s="18"/>
    </row>
    <row r="146" spans="1:10" ht="17.850000000000001" customHeight="1" x14ac:dyDescent="0.2">
      <c r="A146" s="4853"/>
      <c r="B146" s="4757" t="s">
        <v>852</v>
      </c>
      <c r="C146" s="4757" t="s">
        <v>852</v>
      </c>
      <c r="D146" s="4757" t="s">
        <v>852</v>
      </c>
      <c r="E146" s="4757" t="s">
        <v>852</v>
      </c>
      <c r="F146" s="4757" t="s">
        <v>852</v>
      </c>
      <c r="G146" s="4606"/>
      <c r="H146" s="4775"/>
      <c r="I146" s="18"/>
    </row>
    <row r="147" spans="1:10" ht="17.850000000000001" customHeight="1" x14ac:dyDescent="0.2">
      <c r="A147" s="240" t="s">
        <v>854</v>
      </c>
      <c r="B147" s="4760">
        <v>8</v>
      </c>
      <c r="C147" s="4760">
        <v>8</v>
      </c>
      <c r="D147" s="4760">
        <v>8</v>
      </c>
      <c r="E147" s="4760">
        <v>8</v>
      </c>
      <c r="F147" s="4760">
        <v>8</v>
      </c>
      <c r="G147" s="226"/>
      <c r="H147" s="264"/>
      <c r="I147" s="18"/>
    </row>
    <row r="148" spans="1:10" ht="17.850000000000001" customHeight="1" x14ac:dyDescent="0.2">
      <c r="A148" s="4853" t="s">
        <v>0</v>
      </c>
      <c r="B148" s="4768" t="s">
        <v>817</v>
      </c>
      <c r="C148" s="4768" t="s">
        <v>817</v>
      </c>
      <c r="D148" s="4768" t="s">
        <v>817</v>
      </c>
      <c r="E148" s="4768" t="s">
        <v>817</v>
      </c>
      <c r="F148" s="4768" t="s">
        <v>817</v>
      </c>
      <c r="G148" s="4622"/>
      <c r="H148" s="4543"/>
      <c r="I148" s="18"/>
    </row>
    <row r="149" spans="1:10" ht="17.850000000000001" customHeight="1" x14ac:dyDescent="0.2">
      <c r="A149" s="39" t="s">
        <v>862</v>
      </c>
      <c r="B149" s="268">
        <v>8</v>
      </c>
      <c r="C149" s="268">
        <v>8</v>
      </c>
      <c r="D149" s="268">
        <v>8</v>
      </c>
      <c r="E149" s="268">
        <v>8</v>
      </c>
      <c r="F149" s="268">
        <v>8</v>
      </c>
      <c r="G149" s="4623"/>
      <c r="H149" s="4562"/>
      <c r="I149" s="18"/>
    </row>
    <row r="150" spans="1:10" ht="17.850000000000001" customHeight="1" x14ac:dyDescent="0.2">
      <c r="A150" s="4853"/>
      <c r="B150" s="4781" t="s">
        <v>871</v>
      </c>
      <c r="C150" s="4782" t="s">
        <v>871</v>
      </c>
      <c r="D150" s="4782" t="s">
        <v>871</v>
      </c>
      <c r="E150" s="4782" t="s">
        <v>871</v>
      </c>
      <c r="F150" s="4782" t="s">
        <v>871</v>
      </c>
      <c r="G150" s="4603"/>
      <c r="H150" s="4860"/>
      <c r="I150" s="18"/>
    </row>
    <row r="151" spans="1:10" ht="17.850000000000001" customHeight="1" x14ac:dyDescent="0.2">
      <c r="A151" s="240" t="s">
        <v>694</v>
      </c>
      <c r="B151" s="266">
        <v>8</v>
      </c>
      <c r="C151" s="266">
        <v>8</v>
      </c>
      <c r="D151" s="266">
        <v>8</v>
      </c>
      <c r="E151" s="266">
        <v>8</v>
      </c>
      <c r="F151" s="266">
        <v>8</v>
      </c>
      <c r="G151" s="4615"/>
      <c r="H151" s="4861"/>
      <c r="I151" s="18"/>
    </row>
    <row r="152" spans="1:10" ht="17.850000000000001" customHeight="1" x14ac:dyDescent="0.2">
      <c r="A152" s="18"/>
      <c r="B152" s="18"/>
      <c r="C152" s="18"/>
      <c r="D152" s="18"/>
      <c r="E152" s="18"/>
      <c r="F152" s="18"/>
      <c r="G152" s="18"/>
      <c r="H152" s="45"/>
      <c r="I152" s="18"/>
    </row>
    <row r="153" spans="1:10" ht="17.850000000000001" customHeight="1" x14ac:dyDescent="0.2">
      <c r="A153" s="18"/>
      <c r="B153" s="18"/>
      <c r="C153" s="18"/>
      <c r="D153" s="18"/>
      <c r="E153" s="18"/>
      <c r="F153" s="18"/>
      <c r="G153" s="18"/>
      <c r="H153" s="45"/>
      <c r="I153" s="18"/>
    </row>
    <row r="154" spans="1:10" ht="17.100000000000001" customHeight="1" x14ac:dyDescent="0.2">
      <c r="A154" s="1" t="s">
        <v>876</v>
      </c>
      <c r="B154" s="18"/>
      <c r="C154" s="18"/>
      <c r="D154" s="18"/>
      <c r="E154" s="18"/>
      <c r="F154" s="18"/>
    </row>
    <row r="155" spans="1:10" ht="17.100000000000001" customHeight="1" x14ac:dyDescent="0.2">
      <c r="A155" s="4422" t="s">
        <v>877</v>
      </c>
      <c r="B155" s="4606" t="s">
        <v>107</v>
      </c>
      <c r="C155" s="4607" t="s">
        <v>108</v>
      </c>
      <c r="D155" s="4607" t="s">
        <v>109</v>
      </c>
      <c r="E155" s="4607" t="s">
        <v>110</v>
      </c>
      <c r="F155" s="4607" t="s">
        <v>111</v>
      </c>
      <c r="G155" s="4607" t="s">
        <v>112</v>
      </c>
      <c r="H155" s="4608" t="s">
        <v>113</v>
      </c>
      <c r="I155" s="4406" t="s">
        <v>158</v>
      </c>
      <c r="J155" s="4609" t="s">
        <v>114</v>
      </c>
    </row>
    <row r="156" spans="1:10" ht="17.100000000000001" customHeight="1" x14ac:dyDescent="0.2">
      <c r="A156" s="4610" t="s">
        <v>0</v>
      </c>
      <c r="B156" s="4603" t="s">
        <v>994</v>
      </c>
      <c r="C156" s="4603" t="s">
        <v>994</v>
      </c>
      <c r="D156" s="4603" t="s">
        <v>994</v>
      </c>
      <c r="E156" s="4603" t="s">
        <v>994</v>
      </c>
      <c r="F156" s="4603" t="s">
        <v>995</v>
      </c>
      <c r="G156" s="4604"/>
      <c r="H156" s="4604"/>
      <c r="I156" s="4611"/>
      <c r="J156" s="4613"/>
    </row>
    <row r="157" spans="1:10" ht="17.100000000000001" customHeight="1" x14ac:dyDescent="0.2">
      <c r="A157" s="4824" t="s">
        <v>737</v>
      </c>
      <c r="B157" s="4663">
        <v>7.75</v>
      </c>
      <c r="C157" s="4663">
        <v>7.75</v>
      </c>
      <c r="D157" s="4663">
        <v>7.75</v>
      </c>
      <c r="E157" s="4663">
        <v>7.75</v>
      </c>
      <c r="F157" s="4663">
        <v>6</v>
      </c>
      <c r="G157" s="4688"/>
      <c r="H157" s="4688"/>
      <c r="I157" s="4663">
        <f>SUM(B157:H157)</f>
        <v>37</v>
      </c>
      <c r="J157" s="4825"/>
    </row>
    <row r="158" spans="1:10" ht="17.100000000000001" customHeight="1" x14ac:dyDescent="0.2">
      <c r="A158" s="4863"/>
      <c r="B158" s="4837" t="s">
        <v>996</v>
      </c>
      <c r="C158" s="4837" t="s">
        <v>996</v>
      </c>
      <c r="D158" s="4837" t="s">
        <v>996</v>
      </c>
      <c r="E158" s="4837" t="s">
        <v>996</v>
      </c>
      <c r="F158" s="4837" t="s">
        <v>997</v>
      </c>
      <c r="G158" s="4791"/>
      <c r="H158" s="4791"/>
      <c r="I158" s="4666"/>
      <c r="J158" s="4792"/>
    </row>
    <row r="159" spans="1:10" ht="17.100000000000001" customHeight="1" x14ac:dyDescent="0.2">
      <c r="A159" s="4480" t="s">
        <v>764</v>
      </c>
      <c r="B159" s="4603" t="s">
        <v>107</v>
      </c>
      <c r="C159" s="4604" t="s">
        <v>108</v>
      </c>
      <c r="D159" s="4604" t="s">
        <v>109</v>
      </c>
      <c r="E159" s="4604" t="s">
        <v>110</v>
      </c>
      <c r="F159" s="4604" t="s">
        <v>111</v>
      </c>
      <c r="G159" s="4604" t="s">
        <v>112</v>
      </c>
      <c r="H159" s="4604" t="s">
        <v>113</v>
      </c>
      <c r="I159" s="4331" t="s">
        <v>158</v>
      </c>
      <c r="J159" s="4605" t="s">
        <v>114</v>
      </c>
    </row>
    <row r="160" spans="1:10" ht="17.100000000000001" customHeight="1" x14ac:dyDescent="0.2">
      <c r="A160" s="4824" t="s">
        <v>0</v>
      </c>
      <c r="B160" s="4864" t="s">
        <v>998</v>
      </c>
      <c r="C160" s="4864" t="s">
        <v>998</v>
      </c>
      <c r="D160" s="4864" t="s">
        <v>998</v>
      </c>
      <c r="E160" s="4864" t="s">
        <v>998</v>
      </c>
      <c r="F160" s="4864" t="s">
        <v>999</v>
      </c>
      <c r="G160" s="4688"/>
      <c r="H160" s="4688"/>
      <c r="I160" s="4663"/>
      <c r="J160" s="4825"/>
    </row>
    <row r="161" spans="1:10" ht="17.100000000000001" customHeight="1" x14ac:dyDescent="0.2">
      <c r="A161" s="4663" t="s">
        <v>884</v>
      </c>
      <c r="B161" s="4864" t="s">
        <v>960</v>
      </c>
      <c r="C161" s="4864" t="s">
        <v>960</v>
      </c>
      <c r="D161" s="4864" t="s">
        <v>960</v>
      </c>
      <c r="E161" s="4864" t="s">
        <v>960</v>
      </c>
      <c r="F161" s="4864" t="s">
        <v>961</v>
      </c>
      <c r="G161" s="4688"/>
      <c r="H161" s="4688"/>
      <c r="I161" s="4663"/>
      <c r="J161" s="4825"/>
    </row>
    <row r="162" spans="1:10" ht="17.100000000000001" customHeight="1" x14ac:dyDescent="0.2">
      <c r="A162" s="4658"/>
      <c r="B162" s="4658">
        <v>7.75</v>
      </c>
      <c r="C162" s="4658">
        <v>7.75</v>
      </c>
      <c r="D162" s="4658">
        <v>7.75</v>
      </c>
      <c r="E162" s="4658">
        <v>7.75</v>
      </c>
      <c r="F162" s="4658">
        <v>6</v>
      </c>
      <c r="G162" s="4660"/>
      <c r="H162" s="36"/>
      <c r="I162" s="4674">
        <f>SUM(B162:H162)</f>
        <v>37</v>
      </c>
      <c r="J162" s="4643"/>
    </row>
    <row r="163" spans="1:10" ht="17.100000000000001" customHeight="1" x14ac:dyDescent="0.2">
      <c r="A163" s="4865" t="s">
        <v>652</v>
      </c>
      <c r="B163" s="4866">
        <f>SUM(B157,B162)</f>
        <v>15.5</v>
      </c>
      <c r="C163" s="4866">
        <f>SUM(C157,C162)</f>
        <v>15.5</v>
      </c>
      <c r="D163" s="4866">
        <f>SUM(D157,D162)</f>
        <v>15.5</v>
      </c>
      <c r="E163" s="4866">
        <f>SUM(E157,E162)</f>
        <v>15.5</v>
      </c>
      <c r="F163" s="4866">
        <f>SUM(F157,F162)</f>
        <v>12</v>
      </c>
      <c r="G163" s="4630"/>
      <c r="H163" s="4867"/>
      <c r="I163" s="4868">
        <f>SUM(B163:H163)</f>
        <v>74</v>
      </c>
      <c r="J163" s="4869"/>
    </row>
    <row r="164" spans="1:10" ht="17.100000000000001" customHeight="1" x14ac:dyDescent="0.2">
      <c r="A164" s="59"/>
      <c r="B164" s="18"/>
      <c r="C164" s="18"/>
      <c r="D164" s="18"/>
      <c r="E164" s="18"/>
      <c r="F164" s="37"/>
      <c r="G164" s="4690" t="s">
        <v>768</v>
      </c>
      <c r="H164" s="4690" t="s">
        <v>769</v>
      </c>
      <c r="I164" s="4690" t="s">
        <v>770</v>
      </c>
      <c r="J164" s="19"/>
    </row>
    <row r="165" spans="1:10" ht="17.100000000000001" customHeight="1" x14ac:dyDescent="0.2">
      <c r="A165" s="59"/>
      <c r="B165" s="18"/>
      <c r="C165" s="18"/>
      <c r="D165" s="18"/>
      <c r="E165" s="18"/>
      <c r="F165" s="37"/>
      <c r="G165" s="4663">
        <f>SUM(I163)</f>
        <v>74</v>
      </c>
      <c r="H165" s="4691">
        <f>SUM(G165*13/3)</f>
        <v>320.66666666666669</v>
      </c>
      <c r="I165" s="4663">
        <f>SUM(H165*12)</f>
        <v>3848</v>
      </c>
      <c r="J165" s="19"/>
    </row>
    <row r="166" spans="1:10" ht="17.100000000000001" customHeight="1" x14ac:dyDescent="0.2">
      <c r="A166" s="1" t="s">
        <v>885</v>
      </c>
      <c r="B166" s="18"/>
      <c r="C166" s="18"/>
      <c r="D166" s="18"/>
      <c r="E166" s="18"/>
      <c r="F166" s="18"/>
    </row>
    <row r="167" spans="1:10" ht="17.100000000000001" customHeight="1" x14ac:dyDescent="0.2">
      <c r="A167" s="4480" t="s">
        <v>886</v>
      </c>
      <c r="B167" s="4603" t="s">
        <v>107</v>
      </c>
      <c r="C167" s="4604" t="s">
        <v>108</v>
      </c>
      <c r="D167" s="4604" t="s">
        <v>109</v>
      </c>
      <c r="E167" s="4604" t="s">
        <v>110</v>
      </c>
      <c r="F167" s="4604" t="s">
        <v>111</v>
      </c>
      <c r="G167" s="4604" t="s">
        <v>112</v>
      </c>
      <c r="H167" s="4604" t="s">
        <v>113</v>
      </c>
      <c r="I167" s="4331" t="s">
        <v>158</v>
      </c>
      <c r="J167" s="4605" t="s">
        <v>114</v>
      </c>
    </row>
    <row r="168" spans="1:10" ht="17.100000000000001" customHeight="1" x14ac:dyDescent="0.2">
      <c r="A168" s="4824" t="s">
        <v>0</v>
      </c>
      <c r="B168" s="4663" t="s">
        <v>887</v>
      </c>
      <c r="C168" s="4663" t="s">
        <v>887</v>
      </c>
      <c r="D168" s="4663" t="s">
        <v>887</v>
      </c>
      <c r="E168" s="4663" t="s">
        <v>887</v>
      </c>
      <c r="F168" s="4663" t="s">
        <v>888</v>
      </c>
      <c r="G168" s="4688"/>
      <c r="H168" s="4688"/>
      <c r="I168" s="4663"/>
      <c r="J168" s="4825"/>
    </row>
    <row r="169" spans="1:10" ht="17.100000000000001" customHeight="1" x14ac:dyDescent="0.2">
      <c r="A169" s="4824" t="s">
        <v>739</v>
      </c>
      <c r="B169" s="4663">
        <v>8</v>
      </c>
      <c r="C169" s="4663">
        <v>8</v>
      </c>
      <c r="D169" s="4663">
        <v>8</v>
      </c>
      <c r="E169" s="4663">
        <v>8</v>
      </c>
      <c r="F169" s="4663">
        <v>5</v>
      </c>
      <c r="G169" s="4688"/>
      <c r="H169" s="4688"/>
      <c r="I169" s="4663">
        <f>SUM(B169:H169)</f>
        <v>37</v>
      </c>
      <c r="J169" s="4825"/>
    </row>
    <row r="170" spans="1:10" ht="17.100000000000001" customHeight="1" x14ac:dyDescent="0.2">
      <c r="A170" s="4614"/>
      <c r="B170" s="4821" t="s">
        <v>1000</v>
      </c>
      <c r="C170" s="4821" t="s">
        <v>1000</v>
      </c>
      <c r="D170" s="4821" t="s">
        <v>1000</v>
      </c>
      <c r="E170" s="4821" t="s">
        <v>1000</v>
      </c>
      <c r="F170" s="4821" t="s">
        <v>1001</v>
      </c>
      <c r="G170" s="4822"/>
      <c r="H170" s="4822"/>
      <c r="I170" s="4615"/>
      <c r="J170" s="4673"/>
    </row>
    <row r="171" spans="1:10" ht="17.100000000000001" customHeight="1" x14ac:dyDescent="0.2">
      <c r="A171" s="59"/>
      <c r="B171" s="18"/>
      <c r="C171" s="18"/>
      <c r="D171" s="18"/>
      <c r="E171" s="18"/>
      <c r="F171" s="37"/>
      <c r="G171" s="43" t="s">
        <v>768</v>
      </c>
      <c r="H171" s="43" t="s">
        <v>769</v>
      </c>
      <c r="I171" s="43" t="s">
        <v>770</v>
      </c>
      <c r="J171" s="19"/>
    </row>
    <row r="172" spans="1:10" ht="15.75" customHeight="1" x14ac:dyDescent="0.2">
      <c r="A172" s="59"/>
      <c r="B172" s="18"/>
      <c r="C172" s="18"/>
      <c r="D172" s="18"/>
      <c r="E172" s="18"/>
      <c r="F172" s="37"/>
      <c r="G172" s="4663">
        <f>I169</f>
        <v>37</v>
      </c>
      <c r="H172" s="4691">
        <f>SUM(G172*13/3)</f>
        <v>160.33333333333334</v>
      </c>
      <c r="I172" s="4663">
        <f>SUM(H172*12)</f>
        <v>1924</v>
      </c>
      <c r="J172" s="19"/>
    </row>
    <row r="173" spans="1:10" ht="15.75" customHeight="1" x14ac:dyDescent="0.2">
      <c r="A173" s="59"/>
      <c r="B173" s="18"/>
      <c r="C173" s="18"/>
      <c r="D173" s="18"/>
      <c r="E173" s="18"/>
      <c r="F173" s="37"/>
      <c r="G173" s="18"/>
      <c r="H173" s="45"/>
      <c r="I173" s="18"/>
      <c r="J173" s="19"/>
    </row>
    <row r="174" spans="1:10" ht="15.75" customHeight="1" x14ac:dyDescent="0.2">
      <c r="A174" s="59"/>
      <c r="B174" s="18"/>
      <c r="C174" s="18"/>
      <c r="D174" s="18"/>
      <c r="E174" s="18"/>
      <c r="F174" s="37"/>
      <c r="G174" s="18"/>
      <c r="H174" s="45"/>
      <c r="I174" s="18"/>
      <c r="J174" s="19"/>
    </row>
    <row r="175" spans="1:10" ht="15.75" customHeight="1" x14ac:dyDescent="0.2">
      <c r="A175" s="59"/>
      <c r="B175" s="18"/>
      <c r="C175" s="18"/>
      <c r="D175" s="18"/>
      <c r="E175" s="18"/>
      <c r="F175" s="37"/>
      <c r="G175" s="18"/>
      <c r="H175" s="45"/>
      <c r="I175" s="18"/>
      <c r="J175" s="19"/>
    </row>
    <row r="176" spans="1:10" ht="15.75" customHeight="1" x14ac:dyDescent="0.2">
      <c r="A176" s="59"/>
      <c r="B176" s="18"/>
      <c r="C176" s="18"/>
      <c r="D176" s="18"/>
      <c r="E176" s="18"/>
      <c r="F176" s="37"/>
      <c r="G176" s="18"/>
      <c r="H176" s="45"/>
      <c r="I176" s="18"/>
      <c r="J176" s="19"/>
    </row>
    <row r="177" spans="1:10" ht="15.75" customHeight="1" x14ac:dyDescent="0.2">
      <c r="A177" s="59"/>
      <c r="B177" s="18"/>
      <c r="C177" s="18"/>
      <c r="D177" s="18"/>
      <c r="E177" s="18"/>
      <c r="F177" s="37"/>
      <c r="G177" s="18"/>
      <c r="H177" s="45"/>
      <c r="I177" s="18"/>
      <c r="J177" s="19"/>
    </row>
    <row r="178" spans="1:10" ht="15.75" customHeight="1" x14ac:dyDescent="0.2">
      <c r="A178" s="59"/>
      <c r="B178" s="18"/>
      <c r="C178" s="18"/>
      <c r="D178" s="18"/>
      <c r="E178" s="18"/>
      <c r="F178" s="37"/>
      <c r="G178" s="18"/>
      <c r="H178" s="45"/>
      <c r="I178" s="18"/>
      <c r="J178" s="19"/>
    </row>
    <row r="179" spans="1:10" ht="15.75" customHeight="1" x14ac:dyDescent="0.2">
      <c r="A179" s="59"/>
      <c r="B179" s="18"/>
      <c r="C179" s="18"/>
      <c r="D179" s="18"/>
      <c r="E179" s="18"/>
      <c r="F179" s="37"/>
      <c r="G179" s="18"/>
      <c r="H179" s="45"/>
      <c r="I179" s="18"/>
      <c r="J179" s="19"/>
    </row>
    <row r="180" spans="1:10" ht="17.100000000000001" customHeight="1" x14ac:dyDescent="0.2">
      <c r="A180" s="18"/>
      <c r="B180" s="18"/>
      <c r="C180" s="18"/>
      <c r="D180" s="18"/>
      <c r="E180" s="18"/>
      <c r="F180" s="18"/>
      <c r="G180" s="18"/>
      <c r="H180" s="45"/>
      <c r="I180" s="18"/>
      <c r="J180" s="19"/>
    </row>
    <row r="181" spans="1:10" ht="17.100000000000001" customHeight="1" x14ac:dyDescent="0.2">
      <c r="A181" s="1" t="s">
        <v>1002</v>
      </c>
      <c r="B181" s="18"/>
      <c r="C181" s="18"/>
      <c r="D181" s="18"/>
      <c r="E181" s="18"/>
      <c r="F181" s="18"/>
    </row>
    <row r="182" spans="1:10" ht="17.100000000000001" customHeight="1" x14ac:dyDescent="0.2">
      <c r="A182" s="4422" t="s">
        <v>743</v>
      </c>
      <c r="B182" s="4606" t="s">
        <v>107</v>
      </c>
      <c r="C182" s="4607" t="s">
        <v>108</v>
      </c>
      <c r="D182" s="4607" t="s">
        <v>109</v>
      </c>
      <c r="E182" s="4607" t="s">
        <v>110</v>
      </c>
      <c r="F182" s="4607" t="s">
        <v>111</v>
      </c>
      <c r="G182" s="4607" t="s">
        <v>112</v>
      </c>
      <c r="H182" s="4608" t="s">
        <v>113</v>
      </c>
      <c r="I182" s="4406" t="s">
        <v>158</v>
      </c>
      <c r="J182" s="4609" t="s">
        <v>114</v>
      </c>
    </row>
    <row r="183" spans="1:10" ht="17.100000000000001" customHeight="1" x14ac:dyDescent="0.2">
      <c r="A183" s="4610" t="s">
        <v>708</v>
      </c>
      <c r="B183" s="4611" t="s">
        <v>893</v>
      </c>
      <c r="C183" s="4611" t="s">
        <v>893</v>
      </c>
      <c r="D183" s="4611" t="s">
        <v>893</v>
      </c>
      <c r="E183" s="4611" t="s">
        <v>893</v>
      </c>
      <c r="F183" s="4870" t="s">
        <v>894</v>
      </c>
      <c r="G183" s="4604"/>
      <c r="H183" s="4604"/>
      <c r="I183" s="4611"/>
      <c r="J183" s="4613" t="s">
        <v>0</v>
      </c>
    </row>
    <row r="184" spans="1:10" ht="17.100000000000001" customHeight="1" x14ac:dyDescent="0.2">
      <c r="A184" s="4686"/>
      <c r="B184" s="4663">
        <v>8</v>
      </c>
      <c r="C184" s="4663">
        <v>8</v>
      </c>
      <c r="D184" s="4663">
        <v>8</v>
      </c>
      <c r="E184" s="4663">
        <v>8</v>
      </c>
      <c r="F184" s="4871">
        <v>7</v>
      </c>
      <c r="G184" s="4688"/>
      <c r="H184" s="4688"/>
      <c r="I184" s="4663">
        <f>SUM(B184:H184)</f>
        <v>39</v>
      </c>
      <c r="J184" s="4825"/>
    </row>
    <row r="185" spans="1:10" ht="17.100000000000001" customHeight="1" x14ac:dyDescent="0.2">
      <c r="A185" s="4789"/>
      <c r="B185" s="4837" t="s">
        <v>1003</v>
      </c>
      <c r="C185" s="4837" t="s">
        <v>1003</v>
      </c>
      <c r="D185" s="4837" t="s">
        <v>1003</v>
      </c>
      <c r="E185" s="4837" t="s">
        <v>1003</v>
      </c>
      <c r="F185" s="4872" t="s">
        <v>1004</v>
      </c>
      <c r="G185" s="4791"/>
      <c r="H185" s="4791"/>
      <c r="I185" s="4666"/>
      <c r="J185" s="4792"/>
    </row>
    <row r="186" spans="1:10" ht="17.100000000000001" customHeight="1" x14ac:dyDescent="0.2">
      <c r="A186" s="4610" t="s">
        <v>712</v>
      </c>
      <c r="B186" s="4611" t="s">
        <v>897</v>
      </c>
      <c r="C186" s="4611" t="s">
        <v>897</v>
      </c>
      <c r="D186" s="4611" t="s">
        <v>897</v>
      </c>
      <c r="E186" s="4611" t="s">
        <v>897</v>
      </c>
      <c r="F186" s="4648" t="s">
        <v>898</v>
      </c>
      <c r="G186" s="4604"/>
      <c r="H186" s="4604"/>
      <c r="I186" s="4611"/>
      <c r="J186" s="4613"/>
    </row>
    <row r="187" spans="1:10" ht="17.100000000000001" customHeight="1" x14ac:dyDescent="0.2">
      <c r="A187" s="4686"/>
      <c r="B187" s="4663">
        <v>6.5</v>
      </c>
      <c r="C187" s="4663">
        <v>6.5</v>
      </c>
      <c r="D187" s="4663">
        <v>6.5</v>
      </c>
      <c r="E187" s="4663">
        <v>6.5</v>
      </c>
      <c r="F187" s="4873">
        <v>6.25</v>
      </c>
      <c r="G187" s="4688"/>
      <c r="H187" s="4688"/>
      <c r="I187" s="4663">
        <f>SUM(B187:H187)</f>
        <v>32.25</v>
      </c>
      <c r="J187" s="4825"/>
    </row>
    <row r="188" spans="1:10" ht="17.100000000000001" customHeight="1" x14ac:dyDescent="0.2">
      <c r="A188" s="4794"/>
      <c r="B188" s="4821" t="s">
        <v>1005</v>
      </c>
      <c r="C188" s="4821" t="s">
        <v>1005</v>
      </c>
      <c r="D188" s="4821" t="s">
        <v>1005</v>
      </c>
      <c r="E188" s="4821" t="s">
        <v>1005</v>
      </c>
      <c r="F188" s="4874" t="s">
        <v>1006</v>
      </c>
      <c r="G188" s="4822"/>
      <c r="H188" s="4822"/>
      <c r="I188" s="4615"/>
      <c r="J188" s="4673"/>
    </row>
    <row r="189" spans="1:10" ht="17.100000000000001" customHeight="1" x14ac:dyDescent="0.2">
      <c r="A189" s="46" t="s">
        <v>652</v>
      </c>
      <c r="B189" s="46">
        <f t="shared" ref="B189:I189" si="3">SUM(B184,B187)</f>
        <v>14.5</v>
      </c>
      <c r="C189" s="46">
        <f t="shared" si="3"/>
        <v>14.5</v>
      </c>
      <c r="D189" s="46">
        <f t="shared" si="3"/>
        <v>14.5</v>
      </c>
      <c r="E189" s="46">
        <f t="shared" si="3"/>
        <v>14.5</v>
      </c>
      <c r="F189" s="46">
        <f t="shared" si="3"/>
        <v>13.25</v>
      </c>
      <c r="G189" s="46">
        <f t="shared" si="3"/>
        <v>0</v>
      </c>
      <c r="H189" s="46">
        <f t="shared" si="3"/>
        <v>0</v>
      </c>
      <c r="I189" s="46">
        <f t="shared" si="3"/>
        <v>71.25</v>
      </c>
      <c r="J189" s="48"/>
    </row>
    <row r="190" spans="1:10" ht="17.100000000000001" customHeight="1" x14ac:dyDescent="0.2">
      <c r="A190" s="18"/>
      <c r="B190" s="18"/>
      <c r="C190" s="18"/>
      <c r="D190" s="18"/>
      <c r="E190" s="18"/>
      <c r="F190" s="18"/>
      <c r="G190" s="4690" t="s">
        <v>768</v>
      </c>
      <c r="H190" s="4690" t="s">
        <v>769</v>
      </c>
      <c r="I190" s="4690" t="s">
        <v>770</v>
      </c>
    </row>
    <row r="191" spans="1:10" ht="17.100000000000001" customHeight="1" x14ac:dyDescent="0.2">
      <c r="A191" s="18"/>
      <c r="B191" s="18"/>
      <c r="C191" s="18"/>
      <c r="D191" s="18"/>
      <c r="E191" s="18"/>
      <c r="F191" s="18"/>
      <c r="G191" s="4663">
        <f>I189</f>
        <v>71.25</v>
      </c>
      <c r="H191" s="4691">
        <f>SUM(G191*13/3)</f>
        <v>308.75</v>
      </c>
      <c r="I191" s="4663">
        <f>SUM(H191*12)</f>
        <v>3705</v>
      </c>
    </row>
    <row r="192" spans="1:10" ht="17.100000000000001" customHeight="1" x14ac:dyDescent="0.2">
      <c r="A192" s="18"/>
      <c r="B192" s="18"/>
      <c r="C192" s="18"/>
      <c r="D192" s="18"/>
      <c r="E192" s="18"/>
      <c r="F192" s="18"/>
      <c r="G192" s="18"/>
      <c r="H192" s="45"/>
      <c r="I192" s="18"/>
    </row>
    <row r="193" spans="1:10" ht="18" customHeight="1" x14ac:dyDescent="0.2">
      <c r="A193" s="1" t="s">
        <v>724</v>
      </c>
      <c r="B193" s="18"/>
      <c r="C193" s="18"/>
      <c r="D193" s="18"/>
      <c r="E193" s="18"/>
      <c r="F193" s="18"/>
    </row>
    <row r="194" spans="1:10" ht="18" customHeight="1" x14ac:dyDescent="0.2">
      <c r="A194" s="4422" t="s">
        <v>725</v>
      </c>
      <c r="B194" s="4606" t="s">
        <v>107</v>
      </c>
      <c r="C194" s="4607" t="s">
        <v>108</v>
      </c>
      <c r="D194" s="4607" t="s">
        <v>109</v>
      </c>
      <c r="E194" s="4607" t="s">
        <v>110</v>
      </c>
      <c r="F194" s="4607" t="s">
        <v>111</v>
      </c>
      <c r="G194" s="4607" t="s">
        <v>112</v>
      </c>
      <c r="H194" s="4608" t="s">
        <v>113</v>
      </c>
      <c r="I194" s="4406" t="s">
        <v>158</v>
      </c>
      <c r="J194" s="4609" t="s">
        <v>114</v>
      </c>
    </row>
    <row r="195" spans="1:10" ht="18" customHeight="1" x14ac:dyDescent="0.2">
      <c r="A195" s="4610" t="s">
        <v>726</v>
      </c>
      <c r="B195" s="4611" t="s">
        <v>710</v>
      </c>
      <c r="C195" s="4611" t="s">
        <v>710</v>
      </c>
      <c r="D195" s="4611" t="s">
        <v>710</v>
      </c>
      <c r="E195" s="4611" t="s">
        <v>710</v>
      </c>
      <c r="F195" s="4611" t="s">
        <v>698</v>
      </c>
      <c r="G195" s="4604"/>
      <c r="H195" s="4604"/>
      <c r="I195" s="4611"/>
      <c r="J195" s="4613"/>
    </row>
    <row r="196" spans="1:10" ht="18" customHeight="1" x14ac:dyDescent="0.2">
      <c r="A196" s="4686"/>
      <c r="B196" s="4663">
        <v>7.5</v>
      </c>
      <c r="C196" s="4663">
        <v>7.5</v>
      </c>
      <c r="D196" s="4663">
        <v>7.5</v>
      </c>
      <c r="E196" s="4663">
        <v>7.5</v>
      </c>
      <c r="F196" s="4687">
        <v>7</v>
      </c>
      <c r="G196" s="4688"/>
      <c r="H196" s="4688"/>
      <c r="I196" s="4663">
        <f>SUM(B196:H196)</f>
        <v>37</v>
      </c>
      <c r="J196" s="4825"/>
    </row>
    <row r="197" spans="1:10" ht="18" customHeight="1" x14ac:dyDescent="0.2">
      <c r="A197" s="4789"/>
      <c r="B197" s="4837" t="s">
        <v>1007</v>
      </c>
      <c r="C197" s="4837" t="s">
        <v>1007</v>
      </c>
      <c r="D197" s="4837" t="s">
        <v>1007</v>
      </c>
      <c r="E197" s="4837" t="s">
        <v>1007</v>
      </c>
      <c r="F197" s="4837" t="s">
        <v>1008</v>
      </c>
      <c r="G197" s="4791"/>
      <c r="H197" s="4791"/>
      <c r="I197" s="4666"/>
      <c r="J197" s="4792"/>
    </row>
    <row r="198" spans="1:10" ht="18" customHeight="1" x14ac:dyDescent="0.2">
      <c r="A198" s="4610" t="s">
        <v>727</v>
      </c>
      <c r="B198" s="4611" t="s">
        <v>906</v>
      </c>
      <c r="C198" s="4611" t="s">
        <v>906</v>
      </c>
      <c r="D198" s="4611" t="s">
        <v>906</v>
      </c>
      <c r="E198" s="4611" t="s">
        <v>906</v>
      </c>
      <c r="F198" s="4611" t="s">
        <v>907</v>
      </c>
      <c r="G198" s="4604"/>
      <c r="H198" s="4604"/>
      <c r="I198" s="4611"/>
      <c r="J198" s="4613"/>
    </row>
    <row r="199" spans="1:10" ht="18" customHeight="1" x14ac:dyDescent="0.2">
      <c r="A199" s="4686"/>
      <c r="B199" s="4663">
        <v>7</v>
      </c>
      <c r="C199" s="4663">
        <v>7</v>
      </c>
      <c r="D199" s="4663">
        <v>7</v>
      </c>
      <c r="E199" s="4663">
        <v>7</v>
      </c>
      <c r="F199" s="4687">
        <v>6</v>
      </c>
      <c r="G199" s="4688"/>
      <c r="H199" s="4688"/>
      <c r="I199" s="4663">
        <f>SUM(B199:H199)</f>
        <v>34</v>
      </c>
      <c r="J199" s="4825"/>
    </row>
    <row r="200" spans="1:10" ht="18" customHeight="1" x14ac:dyDescent="0.2">
      <c r="A200" s="4789"/>
      <c r="B200" s="4837" t="s">
        <v>1009</v>
      </c>
      <c r="C200" s="4837" t="s">
        <v>1009</v>
      </c>
      <c r="D200" s="4837" t="s">
        <v>1009</v>
      </c>
      <c r="E200" s="4837" t="s">
        <v>1009</v>
      </c>
      <c r="F200" s="4837" t="s">
        <v>1010</v>
      </c>
      <c r="G200" s="4791"/>
      <c r="H200" s="4791"/>
      <c r="I200" s="4666"/>
      <c r="J200" s="4792"/>
    </row>
    <row r="201" spans="1:10" ht="18" customHeight="1" x14ac:dyDescent="0.2">
      <c r="A201" s="4610" t="s">
        <v>729</v>
      </c>
      <c r="B201" s="4611" t="s">
        <v>730</v>
      </c>
      <c r="C201" s="4611" t="s">
        <v>730</v>
      </c>
      <c r="D201" s="4611" t="s">
        <v>730</v>
      </c>
      <c r="E201" s="4611" t="s">
        <v>730</v>
      </c>
      <c r="F201" s="4611" t="s">
        <v>731</v>
      </c>
      <c r="G201" s="4611"/>
      <c r="H201" s="4611"/>
      <c r="I201" s="4611"/>
      <c r="J201" s="4613"/>
    </row>
    <row r="202" spans="1:10" ht="18" customHeight="1" x14ac:dyDescent="0.2">
      <c r="A202" s="4824"/>
      <c r="B202" s="4663" t="s">
        <v>909</v>
      </c>
      <c r="C202" s="4663" t="s">
        <v>909</v>
      </c>
      <c r="D202" s="4663" t="s">
        <v>909</v>
      </c>
      <c r="E202" s="4663" t="s">
        <v>909</v>
      </c>
      <c r="F202" s="4663" t="s">
        <v>909</v>
      </c>
      <c r="G202" s="4687"/>
      <c r="H202" s="4687"/>
      <c r="I202" s="4663">
        <f>SUM(B202:H202)</f>
        <v>0</v>
      </c>
      <c r="J202" s="4825"/>
    </row>
    <row r="203" spans="1:10" ht="18" customHeight="1" x14ac:dyDescent="0.2">
      <c r="A203" s="4614"/>
      <c r="B203" s="4821" t="s">
        <v>1011</v>
      </c>
      <c r="C203" s="4821" t="s">
        <v>1011</v>
      </c>
      <c r="D203" s="4821" t="s">
        <v>1011</v>
      </c>
      <c r="E203" s="4821" t="s">
        <v>1011</v>
      </c>
      <c r="F203" s="4821" t="s">
        <v>1012</v>
      </c>
      <c r="G203" s="4671"/>
      <c r="H203" s="4671"/>
      <c r="I203" s="4615"/>
      <c r="J203" s="4673"/>
    </row>
    <row r="204" spans="1:10" ht="18" customHeight="1" x14ac:dyDescent="0.2">
      <c r="A204" s="46" t="s">
        <v>652</v>
      </c>
      <c r="B204" s="46">
        <f t="shared" ref="B204:I204" si="4">SUM(B196,B199,B202)</f>
        <v>14.5</v>
      </c>
      <c r="C204" s="46">
        <f t="shared" si="4"/>
        <v>14.5</v>
      </c>
      <c r="D204" s="46">
        <f t="shared" si="4"/>
        <v>14.5</v>
      </c>
      <c r="E204" s="46">
        <f t="shared" si="4"/>
        <v>14.5</v>
      </c>
      <c r="F204" s="46">
        <f t="shared" si="4"/>
        <v>13</v>
      </c>
      <c r="G204" s="46">
        <f t="shared" si="4"/>
        <v>0</v>
      </c>
      <c r="H204" s="46">
        <f t="shared" si="4"/>
        <v>0</v>
      </c>
      <c r="I204" s="63">
        <f t="shared" si="4"/>
        <v>71</v>
      </c>
      <c r="J204" s="50"/>
    </row>
    <row r="205" spans="1:10" ht="18" customHeight="1" x14ac:dyDescent="0.2">
      <c r="A205" s="18"/>
      <c r="B205" s="18"/>
      <c r="C205" s="18"/>
      <c r="D205" s="18"/>
      <c r="E205" s="18"/>
      <c r="F205" s="37"/>
      <c r="G205" s="4690" t="s">
        <v>768</v>
      </c>
      <c r="H205" s="4690" t="s">
        <v>769</v>
      </c>
      <c r="I205" s="4690" t="s">
        <v>770</v>
      </c>
      <c r="J205" s="19"/>
    </row>
    <row r="206" spans="1:10" ht="18" customHeight="1" x14ac:dyDescent="0.2">
      <c r="A206" s="18"/>
      <c r="B206" s="18"/>
      <c r="C206" s="18"/>
      <c r="D206" s="18"/>
      <c r="E206" s="18"/>
      <c r="F206" s="18"/>
      <c r="G206" s="4663">
        <f>I204</f>
        <v>71</v>
      </c>
      <c r="H206" s="4691">
        <f>SUM(G206*13/3)</f>
        <v>307.66666666666669</v>
      </c>
      <c r="I206" s="4663">
        <f>SUM(H206*12)</f>
        <v>3692</v>
      </c>
      <c r="J206" s="19"/>
    </row>
    <row r="207" spans="1:10" ht="18" customHeight="1" x14ac:dyDescent="0.2">
      <c r="A207" s="18"/>
      <c r="B207" s="18"/>
      <c r="C207" s="18"/>
      <c r="D207" s="18"/>
      <c r="E207" s="18"/>
      <c r="F207" s="18"/>
      <c r="G207" s="18"/>
      <c r="H207" s="45"/>
      <c r="I207" s="18"/>
      <c r="J207" s="19"/>
    </row>
    <row r="208" spans="1:10" ht="18" customHeight="1" x14ac:dyDescent="0.2">
      <c r="A208" s="18"/>
      <c r="B208" s="18"/>
      <c r="C208" s="18"/>
      <c r="D208" s="18"/>
      <c r="E208" s="18"/>
      <c r="F208" s="18"/>
      <c r="G208" s="18"/>
      <c r="H208" s="45"/>
      <c r="I208" s="18"/>
      <c r="J208" s="19"/>
    </row>
    <row r="209" spans="1:10" ht="18" customHeight="1" x14ac:dyDescent="0.2">
      <c r="A209" s="18"/>
      <c r="B209" s="18"/>
      <c r="C209" s="18"/>
      <c r="D209" s="18"/>
      <c r="E209" s="18"/>
      <c r="F209" s="18"/>
      <c r="G209" s="18"/>
      <c r="H209" s="45"/>
      <c r="I209" s="18"/>
      <c r="J209" s="19"/>
    </row>
    <row r="210" spans="1:10" ht="18" customHeight="1" x14ac:dyDescent="0.2">
      <c r="A210" s="18"/>
      <c r="B210" s="18"/>
      <c r="C210" s="18"/>
      <c r="D210" s="18"/>
      <c r="E210" s="18"/>
      <c r="F210" s="18"/>
      <c r="G210" s="18"/>
      <c r="H210" s="45"/>
      <c r="I210" s="18"/>
      <c r="J210" s="19"/>
    </row>
    <row r="211" spans="1:10" ht="18" customHeight="1" x14ac:dyDescent="0.2">
      <c r="A211" s="18"/>
      <c r="B211" s="18"/>
      <c r="C211" s="18"/>
      <c r="D211" s="18"/>
      <c r="E211" s="18"/>
      <c r="F211" s="18"/>
      <c r="G211" s="18"/>
      <c r="H211" s="45"/>
      <c r="I211" s="18"/>
      <c r="J211" s="19"/>
    </row>
    <row r="212" spans="1:10" ht="18" customHeight="1" x14ac:dyDescent="0.2">
      <c r="A212" s="18"/>
      <c r="B212" s="18"/>
      <c r="C212" s="18"/>
      <c r="D212" s="18"/>
      <c r="E212" s="18"/>
      <c r="F212" s="18"/>
      <c r="G212" s="18"/>
      <c r="H212" s="45"/>
      <c r="I212" s="18"/>
      <c r="J212" s="19"/>
    </row>
    <row r="213" spans="1:10" ht="18" customHeight="1" x14ac:dyDescent="0.2">
      <c r="A213" s="18"/>
      <c r="B213" s="18"/>
      <c r="C213" s="18"/>
      <c r="D213" s="18"/>
      <c r="E213" s="18"/>
      <c r="F213" s="18"/>
      <c r="G213" s="18"/>
      <c r="H213" s="45"/>
      <c r="I213" s="18"/>
      <c r="J213" s="19"/>
    </row>
    <row r="214" spans="1:10" ht="18" customHeight="1" x14ac:dyDescent="0.2">
      <c r="A214" s="18"/>
      <c r="B214" s="18"/>
      <c r="C214" s="18"/>
      <c r="D214" s="18"/>
      <c r="E214" s="18"/>
      <c r="F214" s="18"/>
      <c r="G214" s="18"/>
      <c r="H214" s="45"/>
      <c r="I214" s="18"/>
      <c r="J214" s="19"/>
    </row>
    <row r="215" spans="1:10" ht="18" customHeight="1" x14ac:dyDescent="0.2">
      <c r="A215" s="18"/>
      <c r="B215" s="18"/>
      <c r="C215" s="18"/>
      <c r="D215" s="18"/>
      <c r="E215" s="18"/>
      <c r="F215" s="18"/>
      <c r="G215" s="18"/>
      <c r="H215" s="45"/>
      <c r="I215" s="18"/>
      <c r="J215" s="19"/>
    </row>
    <row r="216" spans="1:10" ht="18" customHeight="1" x14ac:dyDescent="0.2">
      <c r="A216" s="18"/>
      <c r="B216" s="18"/>
      <c r="C216" s="18"/>
      <c r="D216" s="18"/>
      <c r="E216" s="18"/>
      <c r="F216" s="18"/>
      <c r="G216" s="18"/>
      <c r="H216" s="45"/>
      <c r="I216" s="18"/>
      <c r="J216" s="19"/>
    </row>
    <row r="217" spans="1:10" ht="18" customHeight="1" x14ac:dyDescent="0.2">
      <c r="A217" s="18"/>
      <c r="B217" s="18"/>
      <c r="C217" s="18"/>
      <c r="D217" s="18"/>
      <c r="E217" s="18"/>
      <c r="F217" s="18"/>
      <c r="G217" s="18"/>
      <c r="H217" s="45"/>
      <c r="I217" s="18"/>
      <c r="J217" s="19"/>
    </row>
    <row r="218" spans="1:10" ht="18" customHeight="1" x14ac:dyDescent="0.2">
      <c r="A218" s="64" t="s">
        <v>913</v>
      </c>
      <c r="B218" s="18"/>
      <c r="C218" s="18"/>
      <c r="D218" s="18"/>
      <c r="E218" s="18"/>
      <c r="F218" s="37"/>
      <c r="G218" s="37"/>
      <c r="H218" s="37"/>
      <c r="I218" s="18"/>
      <c r="J218" s="19"/>
    </row>
    <row r="219" spans="1:10" ht="18" customHeight="1" x14ac:dyDescent="0.2">
      <c r="A219" s="4422" t="s">
        <v>746</v>
      </c>
      <c r="B219" s="4606" t="s">
        <v>107</v>
      </c>
      <c r="C219" s="4607" t="s">
        <v>108</v>
      </c>
      <c r="D219" s="4607" t="s">
        <v>109</v>
      </c>
      <c r="E219" s="4607" t="s">
        <v>110</v>
      </c>
      <c r="F219" s="4607" t="s">
        <v>111</v>
      </c>
      <c r="G219" s="4607" t="s">
        <v>112</v>
      </c>
      <c r="H219" s="4608" t="s">
        <v>113</v>
      </c>
      <c r="I219" s="4406" t="s">
        <v>158</v>
      </c>
      <c r="J219" s="4609" t="s">
        <v>114</v>
      </c>
    </row>
    <row r="220" spans="1:10" ht="18" customHeight="1" x14ac:dyDescent="0.2">
      <c r="A220" s="4610" t="s">
        <v>0</v>
      </c>
      <c r="B220" s="4611" t="s">
        <v>283</v>
      </c>
      <c r="C220" s="4611" t="s">
        <v>283</v>
      </c>
      <c r="D220" s="4611" t="s">
        <v>283</v>
      </c>
      <c r="E220" s="4611" t="s">
        <v>283</v>
      </c>
      <c r="F220" s="4612" t="s">
        <v>284</v>
      </c>
      <c r="G220" s="4603"/>
      <c r="H220" s="4603" t="s">
        <v>0</v>
      </c>
      <c r="I220" s="4331"/>
      <c r="J220" s="4613" t="s">
        <v>0</v>
      </c>
    </row>
    <row r="221" spans="1:10" ht="18" customHeight="1" x14ac:dyDescent="0.2">
      <c r="A221" s="4875">
        <v>1</v>
      </c>
      <c r="B221" s="4663">
        <v>7.75</v>
      </c>
      <c r="C221" s="4663">
        <v>7.75</v>
      </c>
      <c r="D221" s="4663">
        <v>7.75</v>
      </c>
      <c r="E221" s="4663">
        <v>7.75</v>
      </c>
      <c r="F221" s="4687">
        <v>6</v>
      </c>
      <c r="G221" s="4663"/>
      <c r="H221" s="4663" t="s">
        <v>0</v>
      </c>
      <c r="I221" s="4663">
        <f>SUM(B221:H221)</f>
        <v>37</v>
      </c>
      <c r="J221" s="4825"/>
    </row>
    <row r="222" spans="1:10" ht="18" customHeight="1" x14ac:dyDescent="0.2">
      <c r="A222" s="4876"/>
      <c r="B222" s="4837" t="s">
        <v>1013</v>
      </c>
      <c r="C222" s="4837" t="s">
        <v>1013</v>
      </c>
      <c r="D222" s="4837" t="s">
        <v>1013</v>
      </c>
      <c r="E222" s="4837" t="s">
        <v>1013</v>
      </c>
      <c r="F222" s="4837" t="s">
        <v>1014</v>
      </c>
      <c r="G222" s="4837"/>
      <c r="H222" s="4837" t="s">
        <v>0</v>
      </c>
      <c r="I222" s="4666"/>
      <c r="J222" s="4792"/>
    </row>
    <row r="223" spans="1:10" ht="18" customHeight="1" x14ac:dyDescent="0.2">
      <c r="A223" s="4610" t="s">
        <v>0</v>
      </c>
      <c r="B223" s="4611" t="s">
        <v>283</v>
      </c>
      <c r="C223" s="4611" t="s">
        <v>283</v>
      </c>
      <c r="D223" s="4611" t="s">
        <v>283</v>
      </c>
      <c r="E223" s="4611" t="s">
        <v>283</v>
      </c>
      <c r="F223" s="4612" t="s">
        <v>284</v>
      </c>
      <c r="G223" s="4611"/>
      <c r="H223" s="4612"/>
      <c r="I223" s="4331"/>
      <c r="J223" s="4613"/>
    </row>
    <row r="224" spans="1:10" ht="18" customHeight="1" x14ac:dyDescent="0.2">
      <c r="A224" s="4875">
        <v>2</v>
      </c>
      <c r="B224" s="4663">
        <v>7.75</v>
      </c>
      <c r="C224" s="4663">
        <v>7.75</v>
      </c>
      <c r="D224" s="4663">
        <v>7.75</v>
      </c>
      <c r="E224" s="4663">
        <v>7.75</v>
      </c>
      <c r="F224" s="4687">
        <v>6</v>
      </c>
      <c r="G224" s="4687"/>
      <c r="H224" s="4687"/>
      <c r="I224" s="4663">
        <f>SUM(B224:H224)</f>
        <v>37</v>
      </c>
      <c r="J224" s="4825"/>
    </row>
    <row r="225" spans="1:10" ht="18" customHeight="1" x14ac:dyDescent="0.2">
      <c r="A225" s="4876"/>
      <c r="B225" s="4837" t="s">
        <v>1013</v>
      </c>
      <c r="C225" s="4837" t="s">
        <v>1013</v>
      </c>
      <c r="D225" s="4837" t="s">
        <v>1013</v>
      </c>
      <c r="E225" s="4837" t="s">
        <v>1013</v>
      </c>
      <c r="F225" s="4837" t="s">
        <v>1014</v>
      </c>
      <c r="G225" s="4791"/>
      <c r="H225" s="4790"/>
      <c r="I225" s="4666"/>
      <c r="J225" s="4792"/>
    </row>
    <row r="226" spans="1:10" ht="18" customHeight="1" x14ac:dyDescent="0.2">
      <c r="A226" s="4610"/>
      <c r="B226" s="4611" t="s">
        <v>283</v>
      </c>
      <c r="C226" s="4611" t="s">
        <v>283</v>
      </c>
      <c r="D226" s="4611" t="s">
        <v>283</v>
      </c>
      <c r="E226" s="4611" t="s">
        <v>283</v>
      </c>
      <c r="F226" s="4612" t="s">
        <v>284</v>
      </c>
      <c r="G226" s="4611"/>
      <c r="H226" s="4612"/>
      <c r="I226" s="4331"/>
      <c r="J226" s="4613"/>
    </row>
    <row r="227" spans="1:10" ht="18" customHeight="1" x14ac:dyDescent="0.2">
      <c r="A227" s="4875">
        <v>3</v>
      </c>
      <c r="B227" s="4663">
        <v>7.75</v>
      </c>
      <c r="C227" s="4663">
        <v>7.75</v>
      </c>
      <c r="D227" s="4663">
        <v>7.75</v>
      </c>
      <c r="E227" s="4663">
        <v>7.75</v>
      </c>
      <c r="F227" s="4687">
        <v>6</v>
      </c>
      <c r="G227" s="4663"/>
      <c r="H227" s="4687"/>
      <c r="I227" s="4663">
        <f>SUM(B227:H227)</f>
        <v>37</v>
      </c>
      <c r="J227" s="4825"/>
    </row>
    <row r="228" spans="1:10" ht="18" customHeight="1" x14ac:dyDescent="0.2">
      <c r="A228" s="4876"/>
      <c r="B228" s="4837" t="s">
        <v>1013</v>
      </c>
      <c r="C228" s="4837" t="s">
        <v>1013</v>
      </c>
      <c r="D228" s="4837" t="s">
        <v>1013</v>
      </c>
      <c r="E228" s="4837" t="s">
        <v>1013</v>
      </c>
      <c r="F228" s="4837" t="s">
        <v>1014</v>
      </c>
      <c r="G228" s="4666"/>
      <c r="H228" s="4790"/>
      <c r="I228" s="4666"/>
      <c r="J228" s="4792"/>
    </row>
    <row r="229" spans="1:10" ht="18" customHeight="1" x14ac:dyDescent="0.2">
      <c r="A229" s="4853"/>
      <c r="B229" s="4611" t="s">
        <v>283</v>
      </c>
      <c r="C229" s="4611" t="s">
        <v>283</v>
      </c>
      <c r="D229" s="4611" t="s">
        <v>283</v>
      </c>
      <c r="E229" s="4611" t="s">
        <v>283</v>
      </c>
      <c r="F229" s="4612" t="s">
        <v>284</v>
      </c>
      <c r="G229" s="4612"/>
      <c r="H229" s="4612"/>
      <c r="I229" s="4331"/>
      <c r="J229" s="4613"/>
    </row>
    <row r="230" spans="1:10" ht="18" customHeight="1" x14ac:dyDescent="0.2">
      <c r="A230" s="4875">
        <v>4</v>
      </c>
      <c r="B230" s="4663">
        <v>7.75</v>
      </c>
      <c r="C230" s="4663">
        <v>7.75</v>
      </c>
      <c r="D230" s="4663">
        <v>7.75</v>
      </c>
      <c r="E230" s="4663">
        <v>7.75</v>
      </c>
      <c r="F230" s="4687">
        <v>6</v>
      </c>
      <c r="G230" s="4687"/>
      <c r="H230" s="4687"/>
      <c r="I230" s="4663">
        <f>SUM(B230:H230)</f>
        <v>37</v>
      </c>
      <c r="J230" s="4825"/>
    </row>
    <row r="231" spans="1:10" ht="18" customHeight="1" x14ac:dyDescent="0.2">
      <c r="A231" s="4876"/>
      <c r="B231" s="4837" t="s">
        <v>1013</v>
      </c>
      <c r="C231" s="4837" t="s">
        <v>1013</v>
      </c>
      <c r="D231" s="4837" t="s">
        <v>1013</v>
      </c>
      <c r="E231" s="4837" t="s">
        <v>1013</v>
      </c>
      <c r="F231" s="4837" t="s">
        <v>1014</v>
      </c>
      <c r="G231" s="4790"/>
      <c r="H231" s="4790"/>
      <c r="I231" s="4666"/>
      <c r="J231" s="4792"/>
    </row>
    <row r="232" spans="1:10" ht="18" customHeight="1" x14ac:dyDescent="0.2">
      <c r="A232" s="4610"/>
      <c r="B232" s="4611" t="s">
        <v>283</v>
      </c>
      <c r="C232" s="4611" t="s">
        <v>283</v>
      </c>
      <c r="D232" s="4611" t="s">
        <v>283</v>
      </c>
      <c r="E232" s="4611" t="s">
        <v>283</v>
      </c>
      <c r="F232" s="4612" t="s">
        <v>284</v>
      </c>
      <c r="G232" s="4612"/>
      <c r="H232" s="4612"/>
      <c r="I232" s="4331"/>
      <c r="J232" s="4613"/>
    </row>
    <row r="233" spans="1:10" ht="18" customHeight="1" x14ac:dyDescent="0.2">
      <c r="A233" s="4875">
        <v>5</v>
      </c>
      <c r="B233" s="4663">
        <v>7.75</v>
      </c>
      <c r="C233" s="4663">
        <v>7.75</v>
      </c>
      <c r="D233" s="4663">
        <v>7.75</v>
      </c>
      <c r="E233" s="4663">
        <v>7.75</v>
      </c>
      <c r="F233" s="4687">
        <v>6</v>
      </c>
      <c r="G233" s="4687"/>
      <c r="H233" s="4687"/>
      <c r="I233" s="4663">
        <f>SUM(B233:H233)</f>
        <v>37</v>
      </c>
      <c r="J233" s="4825"/>
    </row>
    <row r="234" spans="1:10" ht="18" customHeight="1" x14ac:dyDescent="0.2">
      <c r="A234" s="4795"/>
      <c r="B234" s="4821" t="s">
        <v>1013</v>
      </c>
      <c r="C234" s="4821" t="s">
        <v>1013</v>
      </c>
      <c r="D234" s="4821" t="s">
        <v>1013</v>
      </c>
      <c r="E234" s="4821" t="s">
        <v>1013</v>
      </c>
      <c r="F234" s="4821" t="s">
        <v>1014</v>
      </c>
      <c r="G234" s="4671"/>
      <c r="H234" s="4671"/>
      <c r="I234" s="4615"/>
      <c r="J234" s="4673"/>
    </row>
    <row r="235" spans="1:10" ht="18" customHeight="1" x14ac:dyDescent="0.2">
      <c r="A235" s="4610"/>
      <c r="B235" s="4611" t="s">
        <v>283</v>
      </c>
      <c r="C235" s="4611" t="s">
        <v>283</v>
      </c>
      <c r="D235" s="4611" t="s">
        <v>283</v>
      </c>
      <c r="E235" s="4611" t="s">
        <v>283</v>
      </c>
      <c r="F235" s="4612" t="s">
        <v>284</v>
      </c>
      <c r="G235" s="4612"/>
      <c r="H235" s="4612"/>
      <c r="I235" s="4331"/>
      <c r="J235" s="4613"/>
    </row>
    <row r="236" spans="1:10" ht="18" customHeight="1" x14ac:dyDescent="0.2">
      <c r="A236" s="4875">
        <v>6</v>
      </c>
      <c r="B236" s="4663">
        <v>7.75</v>
      </c>
      <c r="C236" s="4663">
        <v>7.75</v>
      </c>
      <c r="D236" s="4663">
        <v>7.75</v>
      </c>
      <c r="E236" s="4663">
        <v>7.75</v>
      </c>
      <c r="F236" s="4687">
        <v>6</v>
      </c>
      <c r="G236" s="4687"/>
      <c r="H236" s="4687"/>
      <c r="I236" s="4663">
        <f>SUM(B236:H236)</f>
        <v>37</v>
      </c>
      <c r="J236" s="4825"/>
    </row>
    <row r="237" spans="1:10" ht="18" customHeight="1" x14ac:dyDescent="0.2">
      <c r="A237" s="4795"/>
      <c r="B237" s="4821" t="s">
        <v>1013</v>
      </c>
      <c r="C237" s="4821" t="s">
        <v>1013</v>
      </c>
      <c r="D237" s="4821" t="s">
        <v>1013</v>
      </c>
      <c r="E237" s="4821" t="s">
        <v>1013</v>
      </c>
      <c r="F237" s="4821" t="s">
        <v>1014</v>
      </c>
      <c r="G237" s="4671"/>
      <c r="H237" s="4671"/>
      <c r="I237" s="4615"/>
      <c r="J237" s="4673"/>
    </row>
    <row r="238" spans="1:10" ht="18" customHeight="1" x14ac:dyDescent="0.2">
      <c r="A238" s="46" t="s">
        <v>652</v>
      </c>
      <c r="B238" s="46">
        <f t="shared" ref="B238:H238" si="5">SUM(B221,B224,B227,B230,B233,B236)</f>
        <v>46.5</v>
      </c>
      <c r="C238" s="46">
        <f t="shared" si="5"/>
        <v>46.5</v>
      </c>
      <c r="D238" s="46">
        <f t="shared" si="5"/>
        <v>46.5</v>
      </c>
      <c r="E238" s="46">
        <f t="shared" si="5"/>
        <v>46.5</v>
      </c>
      <c r="F238" s="46">
        <f t="shared" si="5"/>
        <v>36</v>
      </c>
      <c r="G238" s="46">
        <f t="shared" si="5"/>
        <v>0</v>
      </c>
      <c r="H238" s="46">
        <f t="shared" si="5"/>
        <v>0</v>
      </c>
      <c r="I238" s="63">
        <f>SUM(I221,I224,I227,I230,I236)</f>
        <v>185</v>
      </c>
      <c r="J238" s="50"/>
    </row>
    <row r="239" spans="1:10" ht="18" customHeight="1" x14ac:dyDescent="0.2">
      <c r="A239" s="64"/>
      <c r="B239" s="18"/>
      <c r="C239" s="18"/>
      <c r="D239" s="18"/>
      <c r="E239" s="18"/>
      <c r="F239" s="37"/>
      <c r="G239" s="4690" t="s">
        <v>768</v>
      </c>
      <c r="H239" s="4690" t="s">
        <v>769</v>
      </c>
      <c r="I239" s="4690" t="s">
        <v>770</v>
      </c>
      <c r="J239" s="19"/>
    </row>
    <row r="240" spans="1:10" ht="18" customHeight="1" x14ac:dyDescent="0.2">
      <c r="A240" s="64"/>
      <c r="B240" s="18"/>
      <c r="C240" s="18"/>
      <c r="D240" s="18"/>
      <c r="E240" s="18"/>
      <c r="F240" s="37"/>
      <c r="G240" s="4663">
        <f>I238</f>
        <v>185</v>
      </c>
      <c r="H240" s="4691">
        <f>SUM(G240*13/3)</f>
        <v>801.66666666666663</v>
      </c>
      <c r="I240" s="4663">
        <f>SUM(H240*12)</f>
        <v>9620</v>
      </c>
      <c r="J240" s="19"/>
    </row>
    <row r="241" spans="1:10" ht="18" customHeight="1" x14ac:dyDescent="0.2">
      <c r="A241" s="64"/>
      <c r="B241" s="18"/>
      <c r="C241" s="18"/>
      <c r="D241" s="18"/>
      <c r="E241" s="18"/>
      <c r="F241" s="37"/>
      <c r="G241" s="18"/>
      <c r="H241" s="45"/>
      <c r="I241" s="18"/>
      <c r="J241" s="19"/>
    </row>
    <row r="242" spans="1:10" ht="18" customHeight="1" x14ac:dyDescent="0.2">
      <c r="A242" t="s">
        <v>1015</v>
      </c>
      <c r="B242" s="18"/>
      <c r="C242" s="18"/>
      <c r="D242" s="18"/>
      <c r="E242" s="18"/>
      <c r="F242" s="37"/>
      <c r="G242" s="37"/>
      <c r="H242" s="37"/>
      <c r="I242" s="18"/>
      <c r="J242" s="19"/>
    </row>
    <row r="243" spans="1:10" ht="18" customHeight="1" x14ac:dyDescent="0.2">
      <c r="A243" s="4877" t="s">
        <v>1016</v>
      </c>
      <c r="B243" s="4606" t="s">
        <v>107</v>
      </c>
      <c r="C243" s="4607" t="s">
        <v>108</v>
      </c>
      <c r="D243" s="4607" t="s">
        <v>109</v>
      </c>
      <c r="E243" s="4607" t="s">
        <v>110</v>
      </c>
      <c r="F243" s="4607" t="s">
        <v>111</v>
      </c>
      <c r="G243" s="4607" t="s">
        <v>112</v>
      </c>
      <c r="H243" s="4608" t="s">
        <v>113</v>
      </c>
      <c r="I243" s="4406" t="s">
        <v>158</v>
      </c>
      <c r="J243" s="4609" t="s">
        <v>114</v>
      </c>
    </row>
    <row r="244" spans="1:10" ht="18" customHeight="1" x14ac:dyDescent="0.2">
      <c r="A244" s="4878" t="s">
        <v>131</v>
      </c>
      <c r="B244" s="4622" t="s">
        <v>1017</v>
      </c>
      <c r="C244" s="4704" t="s">
        <v>1018</v>
      </c>
      <c r="D244" s="4622" t="s">
        <v>1017</v>
      </c>
      <c r="E244" s="4622" t="s">
        <v>1017</v>
      </c>
      <c r="F244" s="4331" t="s">
        <v>1019</v>
      </c>
      <c r="G244" s="4704"/>
      <c r="H244" s="4622"/>
      <c r="I244" s="4331"/>
      <c r="J244" s="4613" t="s">
        <v>0</v>
      </c>
    </row>
    <row r="245" spans="1:10" ht="18" customHeight="1" x14ac:dyDescent="0.2">
      <c r="A245" s="4879" t="s">
        <v>0</v>
      </c>
      <c r="B245" s="4880" t="s">
        <v>1020</v>
      </c>
      <c r="C245" s="4880" t="s">
        <v>1020</v>
      </c>
      <c r="D245" s="4880" t="s">
        <v>1020</v>
      </c>
      <c r="E245" s="4880" t="s">
        <v>1020</v>
      </c>
      <c r="F245" s="4880" t="s">
        <v>1021</v>
      </c>
      <c r="G245" s="4835"/>
      <c r="H245" s="4679"/>
      <c r="I245" s="4880"/>
      <c r="J245" s="4825"/>
    </row>
    <row r="246" spans="1:10" ht="18" customHeight="1" x14ac:dyDescent="0.2">
      <c r="A246" s="4881"/>
      <c r="B246" s="4882">
        <v>7.5</v>
      </c>
      <c r="C246" s="4882">
        <v>7.5</v>
      </c>
      <c r="D246" s="4882">
        <v>7.5</v>
      </c>
      <c r="E246" s="4882">
        <v>7.5</v>
      </c>
      <c r="F246" s="4882">
        <v>7</v>
      </c>
      <c r="G246" s="4883"/>
      <c r="H246" s="4623"/>
      <c r="I246" s="4882"/>
      <c r="J246" s="4884"/>
    </row>
    <row r="247" spans="1:10" ht="18" customHeight="1" x14ac:dyDescent="0.2">
      <c r="A247" s="46" t="s">
        <v>652</v>
      </c>
      <c r="B247" s="65">
        <f>B246</f>
        <v>7.5</v>
      </c>
      <c r="C247" s="65">
        <f>C246</f>
        <v>7.5</v>
      </c>
      <c r="D247" s="65">
        <f>D246</f>
        <v>7.5</v>
      </c>
      <c r="E247" s="65">
        <f>E246</f>
        <v>7.5</v>
      </c>
      <c r="F247" s="65">
        <f>F246</f>
        <v>7</v>
      </c>
      <c r="G247" s="46">
        <f>SUM(G230,G236,G239,G242,G245)</f>
        <v>0</v>
      </c>
      <c r="H247" s="46">
        <f>SUM(H230,H236,H239,H242,H245)</f>
        <v>0</v>
      </c>
      <c r="I247" s="66">
        <v>37</v>
      </c>
      <c r="J247" s="50"/>
    </row>
    <row r="248" spans="1:10" ht="18" customHeight="1" x14ac:dyDescent="0.2">
      <c r="A248" s="64"/>
      <c r="B248" s="18"/>
      <c r="C248" s="18"/>
      <c r="D248" s="18"/>
      <c r="E248" s="18"/>
      <c r="F248" s="37"/>
      <c r="G248" s="4690" t="s">
        <v>768</v>
      </c>
      <c r="H248" s="4690" t="s">
        <v>769</v>
      </c>
      <c r="I248" s="4690" t="s">
        <v>770</v>
      </c>
      <c r="J248" s="19"/>
    </row>
    <row r="249" spans="1:10" ht="18" customHeight="1" x14ac:dyDescent="0.2">
      <c r="A249" s="64"/>
      <c r="B249" s="18"/>
      <c r="C249" s="18"/>
      <c r="D249" s="18"/>
      <c r="E249" s="18"/>
      <c r="F249" s="37"/>
      <c r="G249" s="4663">
        <f>I247</f>
        <v>37</v>
      </c>
      <c r="H249" s="4691">
        <f>SUM(G249*13/3)</f>
        <v>160.33333333333334</v>
      </c>
      <c r="I249" s="4663">
        <f>SUM(H249*12)</f>
        <v>1924</v>
      </c>
      <c r="J249" s="19"/>
    </row>
    <row r="250" spans="1:10" ht="18" customHeight="1" x14ac:dyDescent="0.2">
      <c r="A250" s="64"/>
      <c r="B250" s="18"/>
      <c r="C250" s="18"/>
      <c r="D250" s="18"/>
      <c r="E250" s="18"/>
      <c r="F250" s="37"/>
      <c r="G250" s="37"/>
      <c r="H250" s="37"/>
      <c r="I250" s="18"/>
      <c r="J250" s="19"/>
    </row>
    <row r="251" spans="1:10" ht="18" customHeight="1" x14ac:dyDescent="0.2">
      <c r="A251" s="64"/>
      <c r="B251" s="18"/>
      <c r="C251" s="18"/>
      <c r="D251" s="18"/>
      <c r="E251" s="18"/>
      <c r="F251" s="37"/>
      <c r="G251" s="37"/>
      <c r="H251" s="37"/>
      <c r="I251" s="18"/>
      <c r="J251" s="19"/>
    </row>
    <row r="252" spans="1:10" ht="18" customHeight="1" x14ac:dyDescent="0.2">
      <c r="A252" s="64"/>
      <c r="B252" s="18"/>
      <c r="C252" s="18"/>
      <c r="D252" s="18"/>
      <c r="E252" s="18"/>
      <c r="F252" s="37"/>
      <c r="G252" s="37"/>
      <c r="H252" s="37"/>
      <c r="I252" s="18"/>
      <c r="J252" s="19"/>
    </row>
    <row r="253" spans="1:10" ht="18" customHeight="1" x14ac:dyDescent="0.2">
      <c r="A253" s="64"/>
      <c r="B253" s="18"/>
      <c r="C253" s="18"/>
      <c r="D253" s="18"/>
      <c r="E253" s="18"/>
      <c r="F253" s="37"/>
      <c r="G253" s="37"/>
      <c r="H253" s="37"/>
      <c r="I253" s="18"/>
      <c r="J253" s="19"/>
    </row>
    <row r="254" spans="1:10" ht="20.100000000000001" customHeight="1" x14ac:dyDescent="0.2">
      <c r="A254" s="64" t="s">
        <v>1022</v>
      </c>
      <c r="B254" s="18"/>
      <c r="C254" s="18"/>
      <c r="D254" s="18"/>
      <c r="E254" s="18"/>
      <c r="F254" s="37"/>
      <c r="G254" s="37"/>
      <c r="H254" s="37"/>
      <c r="I254" s="18"/>
      <c r="J254" s="19"/>
    </row>
    <row r="255" spans="1:10" ht="20.100000000000001" customHeight="1" x14ac:dyDescent="0.2">
      <c r="A255" s="4713" t="s">
        <v>1023</v>
      </c>
      <c r="B255" s="4606" t="s">
        <v>107</v>
      </c>
      <c r="C255" s="4607" t="s">
        <v>108</v>
      </c>
      <c r="D255" s="4607" t="s">
        <v>109</v>
      </c>
      <c r="E255" s="4607" t="s">
        <v>110</v>
      </c>
      <c r="F255" s="4607" t="s">
        <v>111</v>
      </c>
      <c r="G255" s="4607" t="s">
        <v>112</v>
      </c>
      <c r="H255" s="4608" t="s">
        <v>113</v>
      </c>
      <c r="I255" s="4406" t="s">
        <v>158</v>
      </c>
      <c r="J255" s="4609" t="s">
        <v>114</v>
      </c>
    </row>
    <row r="256" spans="1:10" ht="20.100000000000001" customHeight="1" x14ac:dyDescent="0.2">
      <c r="A256" s="4610" t="s">
        <v>0</v>
      </c>
      <c r="B256" s="4604" t="s">
        <v>1024</v>
      </c>
      <c r="C256" s="4604" t="s">
        <v>1024</v>
      </c>
      <c r="D256" s="4604" t="s">
        <v>1024</v>
      </c>
      <c r="E256" s="4604" t="s">
        <v>1024</v>
      </c>
      <c r="F256" s="4604" t="s">
        <v>1024</v>
      </c>
      <c r="G256" s="4604"/>
      <c r="H256" s="4604"/>
      <c r="I256" s="4418"/>
      <c r="J256" s="4613"/>
    </row>
    <row r="257" spans="1:10" ht="20.100000000000001" customHeight="1" x14ac:dyDescent="0.2">
      <c r="A257" s="4875" t="s">
        <v>1025</v>
      </c>
      <c r="B257" s="4687">
        <v>8.5</v>
      </c>
      <c r="C257" s="4687">
        <v>8.5</v>
      </c>
      <c r="D257" s="4687">
        <v>8.5</v>
      </c>
      <c r="E257" s="4687">
        <v>8.5</v>
      </c>
      <c r="F257" s="4687">
        <v>8.5</v>
      </c>
      <c r="G257" s="4687"/>
      <c r="H257" s="4687"/>
      <c r="I257" s="4663">
        <f>SUM(B257:H257)</f>
        <v>42.5</v>
      </c>
      <c r="J257" s="4825"/>
    </row>
    <row r="258" spans="1:10" ht="20.100000000000001" customHeight="1" x14ac:dyDescent="0.2">
      <c r="A258" s="4876"/>
      <c r="B258" s="4848" t="s">
        <v>1026</v>
      </c>
      <c r="C258" s="4848" t="s">
        <v>1026</v>
      </c>
      <c r="D258" s="4848" t="s">
        <v>1026</v>
      </c>
      <c r="E258" s="4848" t="s">
        <v>1026</v>
      </c>
      <c r="F258" s="4848" t="s">
        <v>1026</v>
      </c>
      <c r="G258" s="4848"/>
      <c r="H258" s="4848"/>
      <c r="I258" s="4658"/>
      <c r="J258" s="4643"/>
    </row>
    <row r="259" spans="1:10" ht="20.100000000000001" customHeight="1" x14ac:dyDescent="0.2">
      <c r="A259" s="4610" t="s">
        <v>0</v>
      </c>
      <c r="B259" s="4604" t="s">
        <v>1027</v>
      </c>
      <c r="C259" s="4604" t="s">
        <v>1027</v>
      </c>
      <c r="D259" s="4604" t="s">
        <v>1027</v>
      </c>
      <c r="E259" s="4604" t="s">
        <v>1027</v>
      </c>
      <c r="F259" s="4604" t="s">
        <v>1027</v>
      </c>
      <c r="G259" s="4604" t="s">
        <v>1028</v>
      </c>
      <c r="H259" s="4604" t="s">
        <v>1028</v>
      </c>
      <c r="I259" s="4418"/>
      <c r="J259" s="4613" t="s">
        <v>1029</v>
      </c>
    </row>
    <row r="260" spans="1:10" ht="20.100000000000001" customHeight="1" x14ac:dyDescent="0.2">
      <c r="A260" s="4875" t="s">
        <v>1030</v>
      </c>
      <c r="B260" s="4663">
        <v>7</v>
      </c>
      <c r="C260" s="4663">
        <v>7</v>
      </c>
      <c r="D260" s="4663">
        <v>7</v>
      </c>
      <c r="E260" s="4663">
        <v>7</v>
      </c>
      <c r="F260" s="4663">
        <v>7</v>
      </c>
      <c r="G260" s="4687">
        <v>12</v>
      </c>
      <c r="H260" s="4687">
        <v>12</v>
      </c>
      <c r="I260" s="4663">
        <f>SUM(B260:H260)</f>
        <v>59</v>
      </c>
      <c r="J260" s="4825" t="s">
        <v>1031</v>
      </c>
    </row>
    <row r="261" spans="1:10" ht="20.100000000000001" customHeight="1" x14ac:dyDescent="0.2">
      <c r="A261" s="4876"/>
      <c r="B261" s="4848" t="s">
        <v>1032</v>
      </c>
      <c r="C261" s="4848" t="s">
        <v>1032</v>
      </c>
      <c r="D261" s="4848" t="s">
        <v>1032</v>
      </c>
      <c r="E261" s="4848" t="s">
        <v>1032</v>
      </c>
      <c r="F261" s="4848" t="s">
        <v>1032</v>
      </c>
      <c r="G261" s="4848" t="s">
        <v>1033</v>
      </c>
      <c r="H261" s="4848" t="s">
        <v>1033</v>
      </c>
      <c r="I261" s="4658"/>
      <c r="J261" s="4643"/>
    </row>
    <row r="262" spans="1:10" ht="20.100000000000001" customHeight="1" x14ac:dyDescent="0.2">
      <c r="A262" s="4610"/>
      <c r="B262" s="4611" t="s">
        <v>171</v>
      </c>
      <c r="C262" s="4611" t="s">
        <v>171</v>
      </c>
      <c r="D262" s="4611" t="s">
        <v>171</v>
      </c>
      <c r="E262" s="4611" t="s">
        <v>171</v>
      </c>
      <c r="F262" s="4611" t="s">
        <v>171</v>
      </c>
      <c r="G262" s="4612"/>
      <c r="H262" s="4612"/>
      <c r="I262" s="4418"/>
      <c r="J262" s="4613"/>
    </row>
    <row r="263" spans="1:10" ht="20.100000000000001" customHeight="1" x14ac:dyDescent="0.2">
      <c r="A263" s="4875" t="s">
        <v>1034</v>
      </c>
      <c r="B263" s="4663"/>
      <c r="C263" s="4663"/>
      <c r="D263" s="4663"/>
      <c r="E263" s="4663"/>
      <c r="F263" s="4663"/>
      <c r="G263" s="4687"/>
      <c r="H263" s="4687"/>
      <c r="I263" s="4663">
        <f>SUM(B263:H263)</f>
        <v>0</v>
      </c>
      <c r="J263" s="4825"/>
    </row>
    <row r="264" spans="1:10" ht="20.100000000000001" customHeight="1" x14ac:dyDescent="0.2">
      <c r="A264" s="4876"/>
      <c r="B264" s="272" t="s">
        <v>1035</v>
      </c>
      <c r="C264" s="272" t="s">
        <v>1035</v>
      </c>
      <c r="D264" s="272" t="s">
        <v>1035</v>
      </c>
      <c r="E264" s="272" t="s">
        <v>1035</v>
      </c>
      <c r="F264" s="272" t="s">
        <v>1035</v>
      </c>
      <c r="G264" s="4658"/>
      <c r="H264" s="4659"/>
      <c r="I264" s="4658"/>
      <c r="J264" s="4643"/>
    </row>
    <row r="265" spans="1:10" ht="20.100000000000001" customHeight="1" x14ac:dyDescent="0.2">
      <c r="A265" s="4853"/>
      <c r="B265" s="4604" t="s">
        <v>1036</v>
      </c>
      <c r="C265" s="4604" t="s">
        <v>1036</v>
      </c>
      <c r="D265" s="4604" t="s">
        <v>1036</v>
      </c>
      <c r="E265" s="4604" t="s">
        <v>1036</v>
      </c>
      <c r="F265" s="4604" t="s">
        <v>1036</v>
      </c>
      <c r="G265" s="4612"/>
      <c r="H265" s="4612"/>
      <c r="I265" s="4418"/>
      <c r="J265" s="4613" t="s">
        <v>0</v>
      </c>
    </row>
    <row r="266" spans="1:10" ht="20.100000000000001" customHeight="1" x14ac:dyDescent="0.2">
      <c r="A266" s="4875" t="s">
        <v>1037</v>
      </c>
      <c r="B266" s="4663">
        <v>7.75</v>
      </c>
      <c r="C266" s="4663">
        <v>7.75</v>
      </c>
      <c r="D266" s="4663">
        <v>7.75</v>
      </c>
      <c r="E266" s="4663">
        <v>7.75</v>
      </c>
      <c r="F266" s="4663">
        <v>7.75</v>
      </c>
      <c r="G266" s="4687"/>
      <c r="H266" s="4687"/>
      <c r="I266" s="4663">
        <f>SUM(B266:H266)</f>
        <v>38.75</v>
      </c>
      <c r="J266" s="4825"/>
    </row>
    <row r="267" spans="1:10" ht="20.100000000000001" customHeight="1" x14ac:dyDescent="0.2">
      <c r="A267" s="4876"/>
      <c r="B267" s="4848" t="s">
        <v>1038</v>
      </c>
      <c r="C267" s="4848" t="s">
        <v>1038</v>
      </c>
      <c r="D267" s="4848" t="s">
        <v>1038</v>
      </c>
      <c r="E267" s="4848" t="s">
        <v>1038</v>
      </c>
      <c r="F267" s="4848" t="s">
        <v>1038</v>
      </c>
      <c r="G267" s="4659"/>
      <c r="H267" s="4659"/>
      <c r="I267" s="4658"/>
      <c r="J267" s="4643"/>
    </row>
    <row r="268" spans="1:10" ht="20.100000000000001" customHeight="1" x14ac:dyDescent="0.2">
      <c r="A268" s="4610"/>
      <c r="B268" s="4611"/>
      <c r="C268" s="4611"/>
      <c r="D268" s="4611"/>
      <c r="E268" s="4611"/>
      <c r="F268" s="4611"/>
      <c r="G268" s="4611"/>
      <c r="H268" s="4611"/>
      <c r="I268" s="4418"/>
      <c r="J268" s="4613" t="s">
        <v>0</v>
      </c>
    </row>
    <row r="269" spans="1:10" ht="20.100000000000001" customHeight="1" x14ac:dyDescent="0.2">
      <c r="A269" s="4875" t="s">
        <v>1039</v>
      </c>
      <c r="B269" s="4663"/>
      <c r="C269" s="4663"/>
      <c r="D269" s="4663"/>
      <c r="E269" s="4663"/>
      <c r="F269" s="4663"/>
      <c r="G269" s="4687"/>
      <c r="H269" s="4687"/>
      <c r="I269" s="4663">
        <f>SUM(B269:H269)</f>
        <v>0</v>
      </c>
      <c r="J269" s="4825" t="s">
        <v>0</v>
      </c>
    </row>
    <row r="270" spans="1:10" ht="20.100000000000001" customHeight="1" x14ac:dyDescent="0.2">
      <c r="A270" s="4795"/>
      <c r="B270" s="4848" t="s">
        <v>1040</v>
      </c>
      <c r="C270" s="4848" t="s">
        <v>1040</v>
      </c>
      <c r="D270" s="4848" t="s">
        <v>1040</v>
      </c>
      <c r="E270" s="4848" t="s">
        <v>1040</v>
      </c>
      <c r="F270" s="4848" t="s">
        <v>1040</v>
      </c>
      <c r="G270" s="4660"/>
      <c r="H270" s="4660"/>
      <c r="I270" s="226"/>
      <c r="J270" s="234"/>
    </row>
    <row r="271" spans="1:10" ht="20.100000000000001" customHeight="1" x14ac:dyDescent="0.2">
      <c r="A271" s="67"/>
      <c r="B271" s="4611"/>
      <c r="C271" s="4611"/>
      <c r="D271" s="4611"/>
      <c r="E271" s="4611"/>
      <c r="F271" s="4611"/>
      <c r="G271" s="4611"/>
      <c r="H271" s="4611"/>
      <c r="I271" s="4418"/>
      <c r="J271" s="4613" t="s">
        <v>0</v>
      </c>
    </row>
    <row r="272" spans="1:10" ht="20.100000000000001" customHeight="1" x14ac:dyDescent="0.2">
      <c r="A272" s="67" t="s">
        <v>1041</v>
      </c>
      <c r="B272" s="4663"/>
      <c r="C272" s="4663"/>
      <c r="D272" s="4663"/>
      <c r="E272" s="4663"/>
      <c r="F272" s="4663"/>
      <c r="G272" s="4687"/>
      <c r="H272" s="4687"/>
      <c r="I272" s="4663">
        <f>SUM(B272:H272)</f>
        <v>0</v>
      </c>
      <c r="J272" s="4825"/>
    </row>
    <row r="273" spans="1:10" ht="20.100000000000001" customHeight="1" x14ac:dyDescent="0.2">
      <c r="A273" s="67"/>
      <c r="B273" s="272"/>
      <c r="C273" s="272"/>
      <c r="D273" s="272"/>
      <c r="E273" s="272"/>
      <c r="F273" s="272"/>
      <c r="G273" s="4660"/>
      <c r="H273" s="4660"/>
      <c r="I273" s="4658"/>
      <c r="J273" s="4643"/>
    </row>
    <row r="274" spans="1:10" ht="20.100000000000001" customHeight="1" x14ac:dyDescent="0.2">
      <c r="A274" s="4610"/>
      <c r="B274" s="4611"/>
      <c r="C274" s="4611"/>
      <c r="D274" s="4611"/>
      <c r="E274" s="4611"/>
      <c r="F274" s="4611"/>
      <c r="G274" s="4612"/>
      <c r="H274" s="4612"/>
      <c r="I274" s="4418"/>
      <c r="J274" s="4613"/>
    </row>
    <row r="275" spans="1:10" ht="20.100000000000001" customHeight="1" x14ac:dyDescent="0.2">
      <c r="A275" s="4875" t="s">
        <v>1042</v>
      </c>
      <c r="B275" s="4663"/>
      <c r="C275" s="4663"/>
      <c r="D275" s="4663"/>
      <c r="E275" s="4663"/>
      <c r="F275" s="4663"/>
      <c r="G275" s="4687"/>
      <c r="H275" s="4687"/>
      <c r="I275" s="4663">
        <f>SUM(B275:H275)</f>
        <v>0</v>
      </c>
      <c r="J275" s="4825"/>
    </row>
    <row r="276" spans="1:10" ht="20.100000000000001" customHeight="1" x14ac:dyDescent="0.2">
      <c r="A276" s="4795"/>
      <c r="B276" s="272"/>
      <c r="C276" s="272"/>
      <c r="D276" s="272"/>
      <c r="E276" s="272"/>
      <c r="F276" s="272"/>
      <c r="G276" s="227"/>
      <c r="H276" s="227"/>
      <c r="I276" s="226"/>
      <c r="J276" s="234"/>
    </row>
    <row r="277" spans="1:10" ht="20.100000000000001" customHeight="1" x14ac:dyDescent="0.2">
      <c r="A277" s="46" t="s">
        <v>652</v>
      </c>
      <c r="B277" s="46">
        <f t="shared" ref="B277:I277" si="6">SUM(B257,B260,B263,B266,B269,B272,B275)</f>
        <v>23.25</v>
      </c>
      <c r="C277" s="46">
        <f t="shared" si="6"/>
        <v>23.25</v>
      </c>
      <c r="D277" s="46">
        <f t="shared" si="6"/>
        <v>23.25</v>
      </c>
      <c r="E277" s="46">
        <f t="shared" si="6"/>
        <v>23.25</v>
      </c>
      <c r="F277" s="46">
        <f t="shared" si="6"/>
        <v>23.25</v>
      </c>
      <c r="G277" s="46">
        <f t="shared" si="6"/>
        <v>12</v>
      </c>
      <c r="H277" s="46">
        <f t="shared" si="6"/>
        <v>12</v>
      </c>
      <c r="I277" s="46">
        <f t="shared" si="6"/>
        <v>140.25</v>
      </c>
      <c r="J277" s="50"/>
    </row>
    <row r="278" spans="1:10" ht="20.100000000000001" customHeight="1" x14ac:dyDescent="0.2">
      <c r="A278" s="64"/>
      <c r="B278" s="18"/>
      <c r="C278" s="18"/>
      <c r="D278" s="18"/>
      <c r="E278" s="18"/>
      <c r="F278" s="37"/>
      <c r="G278" s="4690" t="s">
        <v>768</v>
      </c>
      <c r="H278" s="4690" t="s">
        <v>769</v>
      </c>
      <c r="I278" s="4690" t="s">
        <v>770</v>
      </c>
      <c r="J278" s="19"/>
    </row>
    <row r="279" spans="1:10" ht="20.100000000000001" customHeight="1" x14ac:dyDescent="0.2">
      <c r="A279" s="64"/>
      <c r="B279" s="18"/>
      <c r="C279" s="18"/>
      <c r="D279" s="18"/>
      <c r="E279" s="18"/>
      <c r="F279" s="37"/>
      <c r="G279" s="4663">
        <f>I277</f>
        <v>140.25</v>
      </c>
      <c r="H279" s="4691">
        <f>SUM(G279*13/3)</f>
        <v>607.75</v>
      </c>
      <c r="I279" s="4663">
        <f>SUM(H279*12)</f>
        <v>7293</v>
      </c>
      <c r="J279" s="19"/>
    </row>
    <row r="280" spans="1:10" ht="20.100000000000001" customHeight="1" x14ac:dyDescent="0.2">
      <c r="A280" s="18"/>
      <c r="B280" s="18"/>
      <c r="C280" s="18"/>
      <c r="D280" s="18"/>
      <c r="E280" s="18"/>
      <c r="F280" s="37"/>
      <c r="G280" s="37"/>
      <c r="H280" s="37"/>
      <c r="I280" s="18"/>
      <c r="J280" s="19"/>
    </row>
    <row r="281" spans="1:10" ht="20.100000000000001" customHeight="1" x14ac:dyDescent="0.2">
      <c r="A281" s="18"/>
      <c r="B281" s="18"/>
      <c r="C281" s="18"/>
      <c r="D281" s="18"/>
      <c r="E281" s="18"/>
      <c r="F281" s="37"/>
      <c r="G281" s="37"/>
      <c r="H281" s="37"/>
      <c r="I281" s="18"/>
      <c r="J281" s="19"/>
    </row>
    <row r="282" spans="1:10" ht="20.100000000000001" customHeight="1" x14ac:dyDescent="0.2">
      <c r="A282" s="18"/>
      <c r="B282" s="18"/>
      <c r="C282" s="18"/>
      <c r="D282" s="18"/>
      <c r="E282" s="18"/>
      <c r="F282" s="37"/>
      <c r="G282" s="37"/>
      <c r="H282" s="37"/>
      <c r="I282" s="18"/>
      <c r="J282" s="19"/>
    </row>
    <row r="283" spans="1:10" ht="20.100000000000001" customHeight="1" x14ac:dyDescent="0.2">
      <c r="A283" s="18"/>
      <c r="B283" s="18"/>
      <c r="C283" s="18"/>
      <c r="D283" s="18"/>
      <c r="E283" s="18"/>
      <c r="F283" s="37"/>
      <c r="G283" s="37"/>
      <c r="H283" s="37"/>
      <c r="I283" s="18"/>
      <c r="J283" s="19"/>
    </row>
    <row r="284" spans="1:10" ht="20.100000000000001" customHeight="1" x14ac:dyDescent="0.2">
      <c r="A284" s="18"/>
      <c r="B284" s="59"/>
      <c r="C284" s="59"/>
      <c r="D284" s="59"/>
      <c r="E284" s="59"/>
      <c r="F284" s="59"/>
      <c r="G284" s="37"/>
      <c r="H284" s="37"/>
      <c r="I284" s="18"/>
      <c r="J284" s="19"/>
    </row>
    <row r="285" spans="1:10" ht="20.100000000000001" customHeight="1" x14ac:dyDescent="0.2">
      <c r="A285" s="18"/>
      <c r="B285" s="18"/>
      <c r="C285" s="18"/>
      <c r="D285" s="18"/>
      <c r="E285" s="18"/>
      <c r="F285" s="37"/>
      <c r="G285" s="37"/>
      <c r="H285" s="37"/>
      <c r="I285" s="18"/>
      <c r="J285" s="19"/>
    </row>
    <row r="286" spans="1:10" ht="20.100000000000001" customHeight="1" x14ac:dyDescent="0.2">
      <c r="A286" s="4409"/>
      <c r="B286" s="4676" t="s">
        <v>107</v>
      </c>
      <c r="C286" s="4630" t="s">
        <v>108</v>
      </c>
      <c r="D286" s="4630" t="s">
        <v>109</v>
      </c>
      <c r="E286" s="4630" t="s">
        <v>110</v>
      </c>
      <c r="F286" s="4630" t="s">
        <v>111</v>
      </c>
      <c r="G286" s="4630" t="s">
        <v>112</v>
      </c>
      <c r="H286" s="4677" t="s">
        <v>113</v>
      </c>
      <c r="I286" s="4678" t="s">
        <v>755</v>
      </c>
      <c r="J286" s="19"/>
    </row>
    <row r="287" spans="1:10" ht="20.100000000000001" customHeight="1" x14ac:dyDescent="0.2">
      <c r="A287" s="4696" t="s">
        <v>756</v>
      </c>
      <c r="B287" s="68">
        <f t="shared" ref="B287:I287" si="7">SUM(B4,B11,B53,B65,B116,B163,B169,B189,B204,B238,B247,B277)</f>
        <v>276</v>
      </c>
      <c r="C287" s="68">
        <f t="shared" si="7"/>
        <v>276</v>
      </c>
      <c r="D287" s="68">
        <f t="shared" si="7"/>
        <v>276</v>
      </c>
      <c r="E287" s="68">
        <f t="shared" si="7"/>
        <v>276</v>
      </c>
      <c r="F287" s="68">
        <f t="shared" si="7"/>
        <v>246.5</v>
      </c>
      <c r="G287" s="68">
        <f t="shared" si="7"/>
        <v>105</v>
      </c>
      <c r="H287" s="68">
        <f t="shared" si="7"/>
        <v>108</v>
      </c>
      <c r="I287" s="68">
        <f t="shared" si="7"/>
        <v>1526.5</v>
      </c>
      <c r="J287" s="19"/>
    </row>
    <row r="288" spans="1:10" ht="20.100000000000001" customHeight="1" x14ac:dyDescent="0.2">
      <c r="A288" s="4706" t="s">
        <v>758</v>
      </c>
      <c r="B288" s="226">
        <f t="shared" ref="B288:I288" si="8">SUM(B287*52)</f>
        <v>14352</v>
      </c>
      <c r="C288" s="226">
        <f t="shared" si="8"/>
        <v>14352</v>
      </c>
      <c r="D288" s="226">
        <f t="shared" si="8"/>
        <v>14352</v>
      </c>
      <c r="E288" s="226">
        <f t="shared" si="8"/>
        <v>14352</v>
      </c>
      <c r="F288" s="226">
        <f t="shared" si="8"/>
        <v>12818</v>
      </c>
      <c r="G288" s="226">
        <f t="shared" si="8"/>
        <v>5460</v>
      </c>
      <c r="H288" s="226">
        <f t="shared" si="8"/>
        <v>5616</v>
      </c>
      <c r="I288" s="226">
        <f t="shared" si="8"/>
        <v>79378</v>
      </c>
      <c r="J288" s="19"/>
    </row>
    <row r="289" spans="1:10" ht="20.100000000000001" customHeight="1" x14ac:dyDescent="0.2">
      <c r="J289" s="19"/>
    </row>
    <row r="290" spans="1:10" ht="20.100000000000001" customHeight="1" x14ac:dyDescent="0.2">
      <c r="J290" s="37" t="s">
        <v>0</v>
      </c>
    </row>
    <row r="291" spans="1:10" ht="20.100000000000001" customHeight="1" x14ac:dyDescent="0.2">
      <c r="A291" s="4810" t="s">
        <v>945</v>
      </c>
      <c r="B291" s="4331"/>
      <c r="C291" s="4331"/>
      <c r="D291" s="4331"/>
      <c r="E291" s="4611">
        <v>56</v>
      </c>
      <c r="F291" s="4331"/>
      <c r="G291" s="4331"/>
      <c r="H291" s="4418"/>
      <c r="I291" s="4811">
        <f>SUM(E291)*26</f>
        <v>1456</v>
      </c>
      <c r="J291" s="18" t="s">
        <v>0</v>
      </c>
    </row>
    <row r="292" spans="1:10" ht="20.100000000000001" customHeight="1" x14ac:dyDescent="0.2">
      <c r="A292" s="4812" t="s">
        <v>946</v>
      </c>
      <c r="B292" s="4682"/>
      <c r="C292" s="4682"/>
      <c r="D292" s="4682"/>
      <c r="E292" s="4682"/>
      <c r="F292" s="4682"/>
      <c r="G292" s="4682"/>
      <c r="H292" s="4682"/>
      <c r="I292" s="4813">
        <f>SUM(I291*2)</f>
        <v>2912</v>
      </c>
    </row>
    <row r="293" spans="1:10" ht="20.100000000000001" customHeight="1" x14ac:dyDescent="0.2">
      <c r="A293" s="4696" t="s">
        <v>761</v>
      </c>
      <c r="B293" s="4679"/>
      <c r="C293" s="4680"/>
      <c r="D293" s="4682"/>
      <c r="E293" s="4682"/>
      <c r="F293" s="4682"/>
      <c r="G293" s="4682"/>
      <c r="H293" s="4682"/>
      <c r="I293" s="4813">
        <f>48*12</f>
        <v>576</v>
      </c>
    </row>
    <row r="294" spans="1:10" ht="20.100000000000001" customHeight="1" x14ac:dyDescent="0.2">
      <c r="A294" s="4814" t="s">
        <v>755</v>
      </c>
      <c r="B294" s="4624"/>
      <c r="C294" s="4624"/>
      <c r="D294" s="4624"/>
      <c r="E294" s="4624"/>
      <c r="F294" s="4624"/>
      <c r="G294" s="4624"/>
      <c r="H294" s="4624"/>
      <c r="I294" s="4815">
        <f>SUM(I291:I293)</f>
        <v>4944</v>
      </c>
    </row>
    <row r="295" spans="1:10" ht="20.100000000000001" customHeight="1" x14ac:dyDescent="0.2">
      <c r="I295" s="42"/>
    </row>
    <row r="296" spans="1:10" ht="20.100000000000001" customHeight="1" x14ac:dyDescent="0.2">
      <c r="I296" s="42"/>
    </row>
    <row r="297" spans="1:10" ht="20.100000000000001" customHeight="1" x14ac:dyDescent="0.2">
      <c r="A297" s="4683" t="s">
        <v>762</v>
      </c>
      <c r="B297" s="4683"/>
      <c r="C297" s="4683"/>
      <c r="D297" s="4683"/>
      <c r="E297" s="4683"/>
      <c r="F297" s="4683"/>
      <c r="G297" s="4683"/>
      <c r="H297" s="4683"/>
      <c r="I297" s="4685">
        <f>SUM(I288+I294)</f>
        <v>84322</v>
      </c>
      <c r="J297" t="s">
        <v>1043</v>
      </c>
    </row>
  </sheetData>
  <sheetProtection algorithmName="SHA-512" hashValue="QTaKVSIV8dVbH6x6g1i2gZOCHzHIYKFJ3Msrp7ij62y98jjXEb3Ad4XR3Ob4MWtHyP6bZBGh8YLS2i/BQAPUUw==" saltValue="Gqa4rU/NcG8ejNG8jNj0eg==" spinCount="100000" sheet="1" objects="1" scenarios="1"/>
  <phoneticPr fontId="9" type="noConversion"/>
  <pageMargins left="0" right="0" top="0.19652777777777777" bottom="0" header="0.19652777777777777" footer="0.51180555555555551"/>
  <pageSetup paperSize="9" scale="90" firstPageNumber="0" pageOrder="overThenDown" orientation="landscape" horizontalDpi="300" verticalDpi="300" r:id="rId1"/>
  <headerFooter alignWithMargins="0">
    <oddHeader>&amp;ROpdateret &amp;D</oddHead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rk21"/>
  <dimension ref="A1:N20"/>
  <sheetViews>
    <sheetView zoomScale="67" zoomScaleNormal="67" workbookViewId="0">
      <selection activeCell="AL192" sqref="AL192"/>
    </sheetView>
  </sheetViews>
  <sheetFormatPr defaultRowHeight="12" x14ac:dyDescent="0.2"/>
  <cols>
    <col min="1" max="1" width="10.140625" customWidth="1"/>
    <col min="2" max="2" width="17.85546875" customWidth="1"/>
    <col min="3" max="3" width="27.5703125" customWidth="1"/>
    <col min="4" max="4" width="8.140625" customWidth="1"/>
    <col min="5" max="5" width="8.7109375" customWidth="1"/>
    <col min="6" max="6" width="8.42578125" customWidth="1"/>
    <col min="7" max="7" width="8.7109375" customWidth="1"/>
    <col min="8" max="8" width="9.7109375" customWidth="1"/>
    <col min="9" max="9" width="8.85546875" customWidth="1"/>
    <col min="10" max="12" width="10" customWidth="1"/>
    <col min="14" max="14" width="13.140625" customWidth="1"/>
    <col min="15" max="15" width="16" customWidth="1"/>
  </cols>
  <sheetData>
    <row r="1" spans="1:14" ht="18" x14ac:dyDescent="0.25">
      <c r="A1" s="4960" t="s">
        <v>1044</v>
      </c>
      <c r="B1" s="4960"/>
      <c r="C1" s="4960"/>
      <c r="D1" s="4960"/>
      <c r="E1" s="4960"/>
      <c r="F1" s="4960"/>
      <c r="G1" s="4960"/>
      <c r="H1" s="4960"/>
      <c r="I1" s="4960"/>
      <c r="J1" s="4960"/>
      <c r="K1" s="4960"/>
      <c r="L1" s="4960"/>
      <c r="M1" s="4960"/>
      <c r="N1" s="4960"/>
    </row>
    <row r="2" spans="1:14" ht="32.25" customHeight="1" x14ac:dyDescent="0.2">
      <c r="A2" s="4885"/>
      <c r="B2" s="4886" t="s">
        <v>1045</v>
      </c>
      <c r="C2" s="4886" t="s">
        <v>1046</v>
      </c>
      <c r="D2" s="4887" t="s">
        <v>1047</v>
      </c>
      <c r="E2" s="4887" t="s">
        <v>1048</v>
      </c>
      <c r="F2" s="4885"/>
      <c r="G2" s="4888" t="s">
        <v>1049</v>
      </c>
      <c r="H2" s="4888"/>
      <c r="I2" s="4889"/>
      <c r="J2" s="4885"/>
      <c r="K2" s="4888" t="s">
        <v>1050</v>
      </c>
      <c r="L2" s="4888"/>
      <c r="M2" s="4889"/>
      <c r="N2" s="4889" t="s">
        <v>114</v>
      </c>
    </row>
    <row r="3" spans="1:14" ht="12.75" x14ac:dyDescent="0.2">
      <c r="A3" s="126"/>
      <c r="B3" s="127" t="s">
        <v>0</v>
      </c>
      <c r="C3" s="127"/>
      <c r="D3" s="128"/>
      <c r="E3" s="128"/>
      <c r="F3" s="129" t="s">
        <v>1051</v>
      </c>
      <c r="G3" s="130" t="s">
        <v>1052</v>
      </c>
      <c r="H3" s="130" t="s">
        <v>1053</v>
      </c>
      <c r="I3" s="131" t="s">
        <v>1054</v>
      </c>
      <c r="J3" s="129" t="s">
        <v>1051</v>
      </c>
      <c r="K3" s="130" t="s">
        <v>1052</v>
      </c>
      <c r="L3" s="130" t="s">
        <v>1053</v>
      </c>
      <c r="M3" s="131" t="s">
        <v>1054</v>
      </c>
      <c r="N3" s="132"/>
    </row>
    <row r="4" spans="1:14" ht="48.75" customHeight="1" x14ac:dyDescent="0.2">
      <c r="A4" s="4890" t="s">
        <v>1055</v>
      </c>
      <c r="B4" s="4891" t="s">
        <v>1056</v>
      </c>
      <c r="C4" s="4892" t="s">
        <v>1057</v>
      </c>
      <c r="D4" s="4893" t="s">
        <v>1058</v>
      </c>
      <c r="E4" s="4894" t="s">
        <v>582</v>
      </c>
      <c r="F4" s="4895"/>
      <c r="G4" s="4896"/>
      <c r="H4" s="4897"/>
      <c r="I4" s="4897"/>
      <c r="J4" s="4895"/>
      <c r="K4" s="4897"/>
      <c r="L4" s="4897"/>
      <c r="M4" s="4898"/>
      <c r="N4" s="4899"/>
    </row>
    <row r="5" spans="1:14" ht="12.75" x14ac:dyDescent="0.2">
      <c r="A5" s="133"/>
      <c r="B5" s="133"/>
      <c r="C5" s="133"/>
      <c r="D5" s="133"/>
      <c r="E5" s="133"/>
      <c r="F5" s="134"/>
      <c r="G5" s="134"/>
      <c r="H5" s="134"/>
      <c r="I5" s="134"/>
      <c r="J5" s="134"/>
      <c r="K5" s="134"/>
      <c r="L5" s="134"/>
      <c r="M5" s="134"/>
      <c r="N5" s="133"/>
    </row>
    <row r="6" spans="1:14" ht="32.25" customHeight="1" x14ac:dyDescent="0.2">
      <c r="A6" s="4885"/>
      <c r="B6" s="4886" t="s">
        <v>1059</v>
      </c>
      <c r="C6" s="4886" t="s">
        <v>1046</v>
      </c>
      <c r="D6" s="4887" t="s">
        <v>1047</v>
      </c>
      <c r="E6" s="4887" t="s">
        <v>1048</v>
      </c>
      <c r="F6" s="4900"/>
      <c r="G6" s="4901" t="s">
        <v>1049</v>
      </c>
      <c r="H6" s="4901"/>
      <c r="I6" s="4902"/>
      <c r="J6" s="4900"/>
      <c r="K6" s="4901" t="s">
        <v>1050</v>
      </c>
      <c r="L6" s="4901"/>
      <c r="M6" s="4902"/>
      <c r="N6" s="4889" t="s">
        <v>114</v>
      </c>
    </row>
    <row r="7" spans="1:14" ht="12.75" x14ac:dyDescent="0.2">
      <c r="A7" s="126"/>
      <c r="B7" s="127" t="s">
        <v>0</v>
      </c>
      <c r="C7" s="127"/>
      <c r="D7" s="128"/>
      <c r="E7" s="128"/>
      <c r="F7" s="129" t="s">
        <v>1051</v>
      </c>
      <c r="G7" s="130" t="s">
        <v>1052</v>
      </c>
      <c r="H7" s="130" t="s">
        <v>1053</v>
      </c>
      <c r="I7" s="131" t="s">
        <v>1054</v>
      </c>
      <c r="J7" s="129" t="s">
        <v>1051</v>
      </c>
      <c r="K7" s="130" t="s">
        <v>1052</v>
      </c>
      <c r="L7" s="130" t="s">
        <v>1053</v>
      </c>
      <c r="M7" s="131" t="s">
        <v>1054</v>
      </c>
      <c r="N7" s="132"/>
    </row>
    <row r="8" spans="1:14" ht="36" customHeight="1" x14ac:dyDescent="0.2">
      <c r="A8" s="135" t="s">
        <v>1060</v>
      </c>
      <c r="B8" s="4891" t="s">
        <v>1061</v>
      </c>
      <c r="C8" s="4892" t="s">
        <v>1062</v>
      </c>
      <c r="D8" s="4903" t="s">
        <v>1063</v>
      </c>
      <c r="E8" s="4904" t="s">
        <v>1064</v>
      </c>
      <c r="F8" s="4905">
        <v>0</v>
      </c>
      <c r="G8" s="4906">
        <v>0</v>
      </c>
      <c r="H8" s="4906">
        <v>0</v>
      </c>
      <c r="I8" s="4907">
        <v>0</v>
      </c>
      <c r="J8" s="4905">
        <v>0</v>
      </c>
      <c r="K8" s="4906">
        <v>0</v>
      </c>
      <c r="L8" s="4906">
        <v>0</v>
      </c>
      <c r="M8" s="4907"/>
      <c r="N8" s="4908"/>
    </row>
    <row r="9" spans="1:14" ht="39.75" customHeight="1" x14ac:dyDescent="0.2">
      <c r="A9" s="135" t="s">
        <v>577</v>
      </c>
      <c r="B9" s="4765" t="s">
        <v>1065</v>
      </c>
      <c r="C9" s="4909" t="s">
        <v>1066</v>
      </c>
      <c r="D9" s="4910" t="s">
        <v>1067</v>
      </c>
      <c r="E9" s="4904" t="s">
        <v>1064</v>
      </c>
      <c r="F9" s="4905" t="s">
        <v>0</v>
      </c>
      <c r="G9" s="4906"/>
      <c r="H9" s="4906">
        <v>4</v>
      </c>
      <c r="I9" s="4907"/>
      <c r="J9" s="4905">
        <v>0</v>
      </c>
      <c r="K9" s="4906">
        <v>0</v>
      </c>
      <c r="L9" s="4906" t="s">
        <v>0</v>
      </c>
      <c r="M9" s="4907"/>
      <c r="N9" s="4911"/>
    </row>
    <row r="10" spans="1:14" ht="39" customHeight="1" x14ac:dyDescent="0.2">
      <c r="A10" s="136" t="s">
        <v>1068</v>
      </c>
      <c r="B10" s="4891" t="s">
        <v>1061</v>
      </c>
      <c r="C10" s="4892" t="s">
        <v>1062</v>
      </c>
      <c r="D10" s="4903" t="s">
        <v>1063</v>
      </c>
      <c r="E10" s="4904" t="s">
        <v>1069</v>
      </c>
      <c r="F10" s="4905">
        <v>0</v>
      </c>
      <c r="G10" s="4906">
        <v>0</v>
      </c>
      <c r="H10" s="4906">
        <v>0</v>
      </c>
      <c r="I10" s="4907">
        <v>0</v>
      </c>
      <c r="J10" s="4905">
        <v>0</v>
      </c>
      <c r="K10" s="4906">
        <v>0</v>
      </c>
      <c r="L10" s="4906">
        <v>0</v>
      </c>
      <c r="M10" s="4907"/>
      <c r="N10" s="4908"/>
    </row>
    <row r="11" spans="1:14" ht="45" x14ac:dyDescent="0.2">
      <c r="A11" s="136" t="s">
        <v>1070</v>
      </c>
      <c r="B11" s="4765" t="s">
        <v>1065</v>
      </c>
      <c r="C11" s="4909" t="s">
        <v>1066</v>
      </c>
      <c r="D11" s="4910" t="s">
        <v>1067</v>
      </c>
      <c r="E11" s="4904" t="s">
        <v>1071</v>
      </c>
      <c r="F11" s="4905" t="s">
        <v>0</v>
      </c>
      <c r="G11" s="4906"/>
      <c r="H11" s="4906">
        <v>4</v>
      </c>
      <c r="I11" s="4907"/>
      <c r="J11" s="4905">
        <v>0</v>
      </c>
      <c r="K11" s="4906">
        <v>0</v>
      </c>
      <c r="L11" s="4906">
        <v>0</v>
      </c>
      <c r="M11" s="4907"/>
      <c r="N11" s="4911"/>
    </row>
    <row r="12" spans="1:14" ht="36" customHeight="1" x14ac:dyDescent="0.2">
      <c r="A12" s="137" t="s">
        <v>1072</v>
      </c>
      <c r="B12" s="4891" t="s">
        <v>1061</v>
      </c>
      <c r="C12" s="4892" t="s">
        <v>1062</v>
      </c>
      <c r="D12" s="4903" t="s">
        <v>1063</v>
      </c>
      <c r="E12" s="4904" t="s">
        <v>1073</v>
      </c>
      <c r="F12" s="4905">
        <v>0</v>
      </c>
      <c r="G12" s="4906">
        <v>0</v>
      </c>
      <c r="H12" s="4906">
        <v>0</v>
      </c>
      <c r="I12" s="4907">
        <v>0</v>
      </c>
      <c r="J12" s="4905">
        <v>0</v>
      </c>
      <c r="K12" s="4906">
        <v>0</v>
      </c>
      <c r="L12" s="4906">
        <v>0</v>
      </c>
      <c r="M12" s="4907"/>
      <c r="N12" s="4908"/>
    </row>
    <row r="13" spans="1:14" ht="37.5" customHeight="1" x14ac:dyDescent="0.2">
      <c r="A13" s="137" t="s">
        <v>312</v>
      </c>
      <c r="B13" s="4765" t="s">
        <v>1065</v>
      </c>
      <c r="C13" s="4909" t="s">
        <v>1066</v>
      </c>
      <c r="D13" s="4910" t="s">
        <v>1067</v>
      </c>
      <c r="E13" s="4904" t="s">
        <v>1073</v>
      </c>
      <c r="F13" s="4905" t="s">
        <v>0</v>
      </c>
      <c r="G13" s="4906"/>
      <c r="H13" s="4906">
        <v>4</v>
      </c>
      <c r="I13" s="4907"/>
      <c r="J13" s="4905">
        <v>0</v>
      </c>
      <c r="K13" s="4906">
        <v>0</v>
      </c>
      <c r="L13" s="4906">
        <v>0</v>
      </c>
      <c r="M13" s="4907"/>
      <c r="N13" s="4911"/>
    </row>
    <row r="14" spans="1:14" ht="36" customHeight="1" x14ac:dyDescent="0.2">
      <c r="A14" s="138" t="s">
        <v>1074</v>
      </c>
      <c r="B14" s="4891" t="s">
        <v>1061</v>
      </c>
      <c r="C14" s="4892" t="s">
        <v>1062</v>
      </c>
      <c r="D14" s="4903" t="s">
        <v>1063</v>
      </c>
      <c r="E14" s="4904" t="s">
        <v>1073</v>
      </c>
      <c r="F14" s="4905">
        <v>0</v>
      </c>
      <c r="G14" s="4906">
        <v>0</v>
      </c>
      <c r="H14" s="4906">
        <v>0</v>
      </c>
      <c r="I14" s="4907">
        <v>0</v>
      </c>
      <c r="J14" s="4905">
        <v>0</v>
      </c>
      <c r="K14" s="4906">
        <v>0</v>
      </c>
      <c r="L14" s="4906">
        <v>0</v>
      </c>
      <c r="M14" s="4907"/>
      <c r="N14" s="4908"/>
    </row>
    <row r="15" spans="1:14" ht="45" x14ac:dyDescent="0.2">
      <c r="A15" s="273" t="s">
        <v>1075</v>
      </c>
      <c r="B15" s="247" t="s">
        <v>1065</v>
      </c>
      <c r="C15" s="4912" t="s">
        <v>1066</v>
      </c>
      <c r="D15" s="4913" t="s">
        <v>1067</v>
      </c>
      <c r="E15" s="4914" t="s">
        <v>1073</v>
      </c>
      <c r="F15" s="4915" t="s">
        <v>0</v>
      </c>
      <c r="G15" s="4916"/>
      <c r="H15" s="4916">
        <v>4</v>
      </c>
      <c r="I15" s="4917"/>
      <c r="J15" s="4915">
        <v>0</v>
      </c>
      <c r="K15" s="4916">
        <v>0</v>
      </c>
      <c r="L15" s="4916">
        <v>0</v>
      </c>
      <c r="M15" s="4917"/>
      <c r="N15" s="4918"/>
    </row>
    <row r="16" spans="1:14" ht="36" customHeight="1" x14ac:dyDescent="0.2">
      <c r="A16" s="139"/>
      <c r="B16" s="4891" t="s">
        <v>1061</v>
      </c>
      <c r="C16" s="4892" t="s">
        <v>1062</v>
      </c>
      <c r="D16" s="4903" t="s">
        <v>1063</v>
      </c>
      <c r="E16" s="4904" t="s">
        <v>1076</v>
      </c>
      <c r="F16" s="4905">
        <v>0</v>
      </c>
      <c r="G16" s="4906">
        <v>0</v>
      </c>
      <c r="H16" s="4906">
        <v>0</v>
      </c>
      <c r="I16" s="4907">
        <v>0</v>
      </c>
      <c r="J16" s="4919"/>
      <c r="K16" s="4920"/>
      <c r="L16" s="4920"/>
      <c r="M16" s="4921"/>
      <c r="N16" s="4922"/>
    </row>
    <row r="17" spans="1:14" ht="45.75" customHeight="1" x14ac:dyDescent="0.2">
      <c r="A17" s="274" t="s">
        <v>516</v>
      </c>
      <c r="B17" s="247" t="s">
        <v>1065</v>
      </c>
      <c r="C17" s="4912" t="s">
        <v>1066</v>
      </c>
      <c r="D17" s="4913" t="s">
        <v>1067</v>
      </c>
      <c r="E17" s="4914" t="s">
        <v>1076</v>
      </c>
      <c r="F17" s="4923"/>
      <c r="G17" s="4924"/>
      <c r="H17" s="4916">
        <v>4</v>
      </c>
      <c r="I17" s="4925"/>
      <c r="J17" s="4923"/>
      <c r="K17" s="4924"/>
      <c r="L17" s="4924"/>
      <c r="M17" s="4925"/>
      <c r="N17" s="4926"/>
    </row>
    <row r="18" spans="1:14" ht="12.75" x14ac:dyDescent="0.2">
      <c r="A18" s="133"/>
      <c r="B18" s="133"/>
      <c r="C18" s="133"/>
      <c r="D18" s="133"/>
      <c r="E18" s="133"/>
      <c r="F18" s="134"/>
      <c r="G18" s="134"/>
      <c r="H18" s="134"/>
      <c r="I18" s="134"/>
      <c r="J18" s="134"/>
      <c r="K18" s="134"/>
      <c r="L18" s="134"/>
      <c r="M18" s="134"/>
      <c r="N18" s="133"/>
    </row>
    <row r="19" spans="1:14" ht="12.75" x14ac:dyDescent="0.2">
      <c r="A19" s="133"/>
      <c r="B19" s="133"/>
      <c r="C19" s="133"/>
      <c r="D19" s="133"/>
      <c r="E19" s="133"/>
      <c r="F19" s="134"/>
      <c r="G19" s="134"/>
      <c r="H19" s="134"/>
      <c r="I19" s="134"/>
      <c r="J19" s="134"/>
      <c r="K19" s="134"/>
      <c r="L19" s="134"/>
      <c r="M19" s="134"/>
      <c r="N19" s="133"/>
    </row>
    <row r="20" spans="1:14" ht="18" x14ac:dyDescent="0.25">
      <c r="A20" s="133"/>
      <c r="B20" s="133"/>
      <c r="C20" s="140"/>
      <c r="D20" s="133"/>
      <c r="E20" s="133"/>
      <c r="F20" s="134"/>
      <c r="G20" s="134"/>
      <c r="H20" s="134"/>
      <c r="I20" s="134"/>
      <c r="J20" s="134"/>
      <c r="K20" s="134"/>
      <c r="L20" s="134"/>
      <c r="M20" s="134"/>
      <c r="N20" s="133"/>
    </row>
  </sheetData>
  <sheetProtection selectLockedCells="1" selectUnlockedCells="1"/>
  <mergeCells count="1">
    <mergeCell ref="A1:N1"/>
  </mergeCells>
  <phoneticPr fontId="9" type="noConversion"/>
  <pageMargins left="0" right="0" top="0" bottom="0" header="0.51180555555555551" footer="0.51180555555555551"/>
  <pageSetup paperSize="9" scale="85" firstPageNumber="0" orientation="landscape"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Ark4"/>
  <dimension ref="A1:A3"/>
  <sheetViews>
    <sheetView workbookViewId="0"/>
  </sheetViews>
  <sheetFormatPr defaultRowHeight="12" x14ac:dyDescent="0.2"/>
  <sheetData>
    <row r="1" spans="1:1" x14ac:dyDescent="0.2">
      <c r="A1" s="187" t="s">
        <v>1077</v>
      </c>
    </row>
    <row r="2" spans="1:1" x14ac:dyDescent="0.2">
      <c r="A2" s="187" t="s">
        <v>1078</v>
      </c>
    </row>
    <row r="3" spans="1:1" x14ac:dyDescent="0.2">
      <c r="A3" s="187" t="s">
        <v>1079</v>
      </c>
    </row>
  </sheetData>
  <pageMargins left="0.7" right="0.7" top="0.75" bottom="0.75" header="0.3" footer="0.3"/>
</worksheet>
</file>

<file path=customUI/customUI.xml><?xml version="1.0" encoding="utf-8"?>
<!--RibbonX Visual Designer 1.94 for Microsoft Excel 12.0. XML Code produced on 2015-03-05-->
<customUI xmlns="http://schemas.microsoft.com/office/2006/01/customui">
  <ribbon>
    <tabs>
      <tab id="Tab1" insertBeforeMso="TabInsert" label="Vagtplan">
        <group id="Group1" label="Group1">
          <button idMso="FileSendAsAttachment" label="Email"/>
          <button idMso="FilePrint" label="Udskriv"/>
          <gallery idMso="ViewFreezePanesGallery" label="Frys"/>
        </group>
        <group idMso="GroupStyles"/>
        <group idMso="GroupComments"/>
        <group idMso="GroupMacros"/>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5c24c4d-4de2-4a11-996b-ad1b02b5a53f">
      <UserInfo>
        <DisplayName>Bo Volfing Jacobsen</DisplayName>
        <AccountId>51</AccountId>
        <AccountType/>
      </UserInfo>
      <UserInfo>
        <DisplayName>Erik Skyggebjerg Andersen</DisplayName>
        <AccountId>52</AccountId>
        <AccountType/>
      </UserInfo>
      <UserInfo>
        <DisplayName>Steen Hertin-Sandkær</DisplayName>
        <AccountId>53</AccountId>
        <AccountType/>
      </UserInfo>
      <UserInfo>
        <DisplayName>Michael Bo Pedersen</DisplayName>
        <AccountId>54</AccountId>
        <AccountType/>
      </UserInfo>
      <UserInfo>
        <DisplayName>Rasmus Sørensen</DisplayName>
        <AccountId>55</AccountId>
        <AccountType/>
      </UserInfo>
      <UserInfo>
        <DisplayName>Dennis Rise</DisplayName>
        <AccountId>56</AccountId>
        <AccountType/>
      </UserInfo>
      <UserInfo>
        <DisplayName>Kim Holm Aabroe</DisplayName>
        <AccountId>38</AccountId>
        <AccountType/>
      </UserInfo>
      <UserInfo>
        <DisplayName>Flemming Nielsen</DisplayName>
        <AccountId>130</AccountId>
        <AccountType/>
      </UserInfo>
      <UserInfo>
        <DisplayName>Flemming Erik Dam</DisplayName>
        <AccountId>133</AccountId>
        <AccountType/>
      </UserInfo>
      <UserInfo>
        <DisplayName>Thomas Holm</DisplayName>
        <AccountId>26</AccountId>
        <AccountType/>
      </UserInfo>
      <UserInfo>
        <DisplayName>Nikolaj Langtin Pamhede</DisplayName>
        <AccountId>69</AccountId>
        <AccountType/>
      </UserInfo>
      <UserInfo>
        <DisplayName>Anders Villadsen</DisplayName>
        <AccountId>79</AccountId>
        <AccountType/>
      </UserInfo>
      <UserInfo>
        <DisplayName>Marianne Rasmussen</DisplayName>
        <AccountId>40</AccountId>
        <AccountType/>
      </UserInfo>
      <UserInfo>
        <DisplayName>Mathias Nielsen</DisplayName>
        <AccountId>33</AccountId>
        <AccountType/>
      </UserInfo>
      <UserInfo>
        <DisplayName>Martin Svanebjerg Larsen</DisplayName>
        <AccountId>792</AccountId>
        <AccountType/>
      </UserInfo>
      <UserInfo>
        <DisplayName>Kim BT. Pedersen</DisplayName>
        <AccountId>24</AccountId>
        <AccountType/>
      </UserInfo>
      <UserInfo>
        <DisplayName>Nick Lorentzen</DisplayName>
        <AccountId>112</AccountId>
        <AccountType/>
      </UserInfo>
    </SharedWithUsers>
    <dato xmlns="0f03729d-1f1c-4b43-bedd-870f9fd028b5">2020-12-25T23:00:00+00:00</dato>
    <Note xmlns="0f03729d-1f1c-4b43-bedd-870f9fd028b5" xsi:nil="true"/>
    <lcf76f155ced4ddcb4097134ff3c332f xmlns="0f03729d-1f1c-4b43-bedd-870f9fd028b5">
      <Terms xmlns="http://schemas.microsoft.com/office/infopath/2007/PartnerControls"/>
    </lcf76f155ced4ddcb4097134ff3c332f>
    <eDoc xmlns="0f03729d-1f1c-4b43-bedd-870f9fd028b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24556FA7B362AE4B8446F9CC073D5A4F" ma:contentTypeVersion="21" ma:contentTypeDescription="Opret et nyt dokument." ma:contentTypeScope="" ma:versionID="d1aa7de62efe80bb21950df6e450197f">
  <xsd:schema xmlns:xsd="http://www.w3.org/2001/XMLSchema" xmlns:xs="http://www.w3.org/2001/XMLSchema" xmlns:p="http://schemas.microsoft.com/office/2006/metadata/properties" xmlns:ns2="0f03729d-1f1c-4b43-bedd-870f9fd028b5" xmlns:ns3="45c24c4d-4de2-4a11-996b-ad1b02b5a53f" targetNamespace="http://schemas.microsoft.com/office/2006/metadata/properties" ma:root="true" ma:fieldsID="14b8e5f815d087d67dcc59fc9196c213" ns2:_="" ns3:_="">
    <xsd:import namespace="0f03729d-1f1c-4b43-bedd-870f9fd028b5"/>
    <xsd:import namespace="45c24c4d-4de2-4a11-996b-ad1b02b5a53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dato" minOccurs="0"/>
                <xsd:element ref="ns2:Note" minOccurs="0"/>
                <xsd:element ref="ns2:MediaLengthInSeconds" minOccurs="0"/>
                <xsd:element ref="ns2:lcf76f155ced4ddcb4097134ff3c332f" minOccurs="0"/>
                <xsd:element ref="ns2:eDoc"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03729d-1f1c-4b43-bedd-870f9fd028b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dato" ma:index="20" nillable="true" ma:displayName="dato" ma:format="DateTime" ma:internalName="dato" ma:readOnly="false">
      <xsd:simpleType>
        <xsd:restriction base="dms:DateTime"/>
      </xsd:simpleType>
    </xsd:element>
    <xsd:element name="Note" ma:index="21" nillable="true" ma:displayName="Note" ma:description="Ekstra noter" ma:format="Dropdown" ma:internalName="Note">
      <xsd:simpleType>
        <xsd:restriction base="dms:Note">
          <xsd:maxLength value="255"/>
        </xsd:restriction>
      </xsd:simpleType>
    </xsd:element>
    <xsd:element name="MediaLengthInSeconds" ma:index="22"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Billedmærker" ma:readOnly="false" ma:fieldId="{5cf76f15-5ced-4ddc-b409-7134ff3c332f}" ma:taxonomyMulti="true" ma:sspId="e6a412d2-aea5-45d9-add9-4615ec186553" ma:termSetId="09814cd3-568e-fe90-9814-8d621ff8fb84" ma:anchorId="fba54fb3-c3e1-fe81-a776-ca4b69148c4d" ma:open="true" ma:isKeyword="false">
      <xsd:complexType>
        <xsd:sequence>
          <xsd:element ref="pc:Terms" minOccurs="0" maxOccurs="1"/>
        </xsd:sequence>
      </xsd:complexType>
    </xsd:element>
    <xsd:element name="eDoc" ma:index="25" nillable="true" ma:displayName="eDoc" ma:internalName="eDoc">
      <xsd:simpleType>
        <xsd:restriction base="dms:Text"/>
      </xsd:simple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5c24c4d-4de2-4a11-996b-ad1b02b5a53f" elementFormDefault="qualified">
    <xsd:import namespace="http://schemas.microsoft.com/office/2006/documentManagement/types"/>
    <xsd:import namespace="http://schemas.microsoft.com/office/infopath/2007/PartnerControls"/>
    <xsd:element name="SharedWithUsers" ma:index="14"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lt med detaljer"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74A16D-7D0F-432C-80FF-48A6AFFF8F3F}">
  <ds:schemaRefs>
    <ds:schemaRef ds:uri="http://schemas.microsoft.com/sharepoint/v3/contenttype/forms"/>
  </ds:schemaRefs>
</ds:datastoreItem>
</file>

<file path=customXml/itemProps2.xml><?xml version="1.0" encoding="utf-8"?>
<ds:datastoreItem xmlns:ds="http://schemas.openxmlformats.org/officeDocument/2006/customXml" ds:itemID="{7BCA86D9-54B4-4348-9CE7-64F24673B21E}">
  <ds:schemaRefs>
    <ds:schemaRef ds:uri="http://schemas.microsoft.com/office/infopath/2007/PartnerControls"/>
    <ds:schemaRef ds:uri="http://schemas.microsoft.com/office/2006/documentManagement/types"/>
    <ds:schemaRef ds:uri="http://purl.org/dc/elements/1.1/"/>
    <ds:schemaRef ds:uri="http://schemas.microsoft.com/office/2006/metadata/properties"/>
    <ds:schemaRef ds:uri="45c24c4d-4de2-4a11-996b-ad1b02b5a53f"/>
    <ds:schemaRef ds:uri="http://schemas.openxmlformats.org/package/2006/metadata/core-properties"/>
    <ds:schemaRef ds:uri="http://purl.org/dc/terms/"/>
    <ds:schemaRef ds:uri="0f03729d-1f1c-4b43-bedd-870f9fd028b5"/>
    <ds:schemaRef ds:uri="http://www.w3.org/XML/1998/namespace"/>
    <ds:schemaRef ds:uri="http://purl.org/dc/dcmitype/"/>
  </ds:schemaRefs>
</ds:datastoreItem>
</file>

<file path=customXml/itemProps3.xml><?xml version="1.0" encoding="utf-8"?>
<ds:datastoreItem xmlns:ds="http://schemas.openxmlformats.org/officeDocument/2006/customXml" ds:itemID="{8FB0F341-F804-4CFA-910B-B85CBBF0BB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f03729d-1f1c-4b43-bedd-870f9fd028b5"/>
    <ds:schemaRef ds:uri="45c24c4d-4de2-4a11-996b-ad1b02b5a53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23</vt:i4>
      </vt:variant>
      <vt:variant>
        <vt:lpstr>Navngivne områder</vt:lpstr>
      </vt:variant>
      <vt:variant>
        <vt:i4>16</vt:i4>
      </vt:variant>
    </vt:vector>
  </HeadingPairs>
  <TitlesOfParts>
    <vt:vector size="39" baseType="lpstr">
      <vt:lpstr>Ark7</vt:lpstr>
      <vt:lpstr>Ark8</vt:lpstr>
      <vt:lpstr>Ark9</vt:lpstr>
      <vt:lpstr>Ark4</vt:lpstr>
      <vt:lpstr>Maj 2022</vt:lpstr>
      <vt:lpstr>Juni 2022</vt:lpstr>
      <vt:lpstr>Juli 2022</vt:lpstr>
      <vt:lpstr>August 2022</vt:lpstr>
      <vt:lpstr>September 2022</vt:lpstr>
      <vt:lpstr>Oktober 2022</vt:lpstr>
      <vt:lpstr>November 2022</vt:lpstr>
      <vt:lpstr>December 2022</vt:lpstr>
      <vt:lpstr>Januar 2023</vt:lpstr>
      <vt:lpstr>Februar 2023</vt:lpstr>
      <vt:lpstr>Marts 2023</vt:lpstr>
      <vt:lpstr>April 2023</vt:lpstr>
      <vt:lpstr>Prisliste 2022</vt:lpstr>
      <vt:lpstr>Priser 2023</vt:lpstr>
      <vt:lpstr>GRUSMUS 2022</vt:lpstr>
      <vt:lpstr>Nøgler GL</vt:lpstr>
      <vt:lpstr>Nøgler januar 2000</vt:lpstr>
      <vt:lpstr>Nøgler m. lønkode</vt:lpstr>
      <vt:lpstr>Balanced 2010</vt:lpstr>
      <vt:lpstr>NormTid</vt:lpstr>
      <vt:lpstr>'Nøgler januar 2000'!Udskriftsområde</vt:lpstr>
      <vt:lpstr>'Nøgler m. lønkode'!Udskriftsområde</vt:lpstr>
      <vt:lpstr>'April 2023'!Udskriftstitler</vt:lpstr>
      <vt:lpstr>'August 2022'!Udskriftstitler</vt:lpstr>
      <vt:lpstr>'Balanced 2010'!Udskriftstitler</vt:lpstr>
      <vt:lpstr>'December 2022'!Udskriftstitler</vt:lpstr>
      <vt:lpstr>'Februar 2023'!Udskriftstitler</vt:lpstr>
      <vt:lpstr>'Januar 2023'!Udskriftstitler</vt:lpstr>
      <vt:lpstr>'Juli 2022'!Udskriftstitler</vt:lpstr>
      <vt:lpstr>'Juni 2022'!Udskriftstitler</vt:lpstr>
      <vt:lpstr>'Maj 2022'!Udskriftstitler</vt:lpstr>
      <vt:lpstr>'Marts 2023'!Udskriftstitler</vt:lpstr>
      <vt:lpstr>'November 2022'!Udskriftstitler</vt:lpstr>
      <vt:lpstr>'Oktober 2022'!Udskriftstitler</vt:lpstr>
      <vt:lpstr>'September 2022'!Udskriftstitler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Kff</dc:creator>
  <cp:keywords/>
  <dc:description/>
  <cp:lastModifiedBy>Kim Holm Aabroe</cp:lastModifiedBy>
  <cp:revision>11</cp:revision>
  <dcterms:created xsi:type="dcterms:W3CDTF">2000-02-23T09:56:36Z</dcterms:created>
  <dcterms:modified xsi:type="dcterms:W3CDTF">2024-10-16T16:42:10Z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ujitsuDocumentOpenedAndNotYetMarkedAsEDocInExcel">
    <vt:bool>false</vt:bool>
  </property>
  <property fmtid="{D5CDD505-2E9C-101B-9397-08002B2CF9AE}" pid="3" name="ICLInviaDenyAllSaves">
    <vt:bool>false</vt:bool>
  </property>
  <property fmtid="{D5CDD505-2E9C-101B-9397-08002B2CF9AE}" pid="4" name="ICLInviaDocumentId">
    <vt:lpwstr>{4E6EB6B6-D0DC-409E-891A-6296969950C6}</vt:lpwstr>
  </property>
  <property fmtid="{D5CDD505-2E9C-101B-9397-08002B2CF9AE}" pid="5" name="ICLInviaIsBeingSaved">
    <vt:bool>true</vt:bool>
  </property>
  <property fmtid="{D5CDD505-2E9C-101B-9397-08002B2CF9AE}" pid="6" name="ICLInviaLocalDocument">
    <vt:bool>true</vt:bool>
  </property>
  <property fmtid="{D5CDD505-2E9C-101B-9397-08002B2CF9AE}" pid="7" name="ICLInviaNewDocument">
    <vt:bool>false</vt:bool>
  </property>
  <property fmtid="{D5CDD505-2E9C-101B-9397-08002B2CF9AE}" pid="8" name="ICLInviaReadOnly">
    <vt:bool>false</vt:bool>
  </property>
  <property fmtid="{D5CDD505-2E9C-101B-9397-08002B2CF9AE}" pid="9" name="ICLInviaTemplate">
    <vt:bool>false</vt:bool>
  </property>
  <property fmtid="{D5CDD505-2E9C-101B-9397-08002B2CF9AE}" pid="10" name="eDocWrapped">
    <vt:bool>true</vt:bool>
  </property>
  <property fmtid="{D5CDD505-2E9C-101B-9397-08002B2CF9AE}" pid="11" name="ContentTypeId">
    <vt:lpwstr>0x01010024556FA7B362AE4B8446F9CC073D5A4F</vt:lpwstr>
  </property>
  <property fmtid="{D5CDD505-2E9C-101B-9397-08002B2CF9AE}" pid="12" name="Order">
    <vt:r8>100</vt:r8>
  </property>
  <property fmtid="{D5CDD505-2E9C-101B-9397-08002B2CF9AE}" pid="13" name="SharedWithUsers">
    <vt:lpwstr>51;#Bo Volfing Jacobsen;#52;#Erik Skyggebjerg Andersen;#53;#Steen Hertin;#54;#Michael Bo Pedersen;#55;#Rasmus Sørensen;#56;#Dennis Rise;#38;#Kim Holm Aabroe;#130;#Flemming Nielsen;#133;#Flemming Dam</vt:lpwstr>
  </property>
  <property fmtid="{D5CDD505-2E9C-101B-9397-08002B2CF9AE}" pid="14" name="Sensitivity">
    <vt:lpwstr/>
  </property>
  <property fmtid="{D5CDD505-2E9C-101B-9397-08002B2CF9AE}" pid="15" name="j2c2601e249f4d2993f2fcc4fe83f7c1">
    <vt:lpwstr/>
  </property>
  <property fmtid="{D5CDD505-2E9C-101B-9397-08002B2CF9AE}" pid="16" name="TaxCatchAll">
    <vt:lpwstr/>
  </property>
  <property fmtid="{D5CDD505-2E9C-101B-9397-08002B2CF9AE}" pid="17" name="AuthorIds_UIVersion_55808">
    <vt:lpwstr>64</vt:lpwstr>
  </property>
  <property fmtid="{D5CDD505-2E9C-101B-9397-08002B2CF9AE}" pid="18" name="CloudStatistics_StoryID">
    <vt:lpwstr>a4b12edf-297e-42b2-ba9a-01191d323809</vt:lpwstr>
  </property>
  <property fmtid="{D5CDD505-2E9C-101B-9397-08002B2CF9AE}" pid="19" name="MediaServiceImageTags">
    <vt:lpwstr/>
  </property>
</Properties>
</file>